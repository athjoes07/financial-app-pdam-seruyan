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24226"/>
  <mc:AlternateContent xmlns:mc="http://schemas.openxmlformats.org/markup-compatibility/2006">
    <mc:Choice Requires="x15">
      <x15ac:absPath xmlns:x15ac="http://schemas.microsoft.com/office/spreadsheetml/2010/11/ac" url="C:\Users\PC\Documents\"/>
    </mc:Choice>
  </mc:AlternateContent>
  <xr:revisionPtr revIDLastSave="0" documentId="13_ncr:1_{2253A92D-22E0-43C5-90F2-D9FC20CD4EBA}" xr6:coauthVersionLast="47" xr6:coauthVersionMax="47" xr10:uidLastSave="{00000000-0000-0000-0000-000000000000}"/>
  <bookViews>
    <workbookView xWindow="-120" yWindow="-120" windowWidth="29040" windowHeight="15720" tabRatio="771" firstSheet="4" activeTab="19" xr2:uid="{00000000-000D-0000-FFFF-FFFF00000000}"/>
  </bookViews>
  <sheets>
    <sheet name="BPTRA" sheetId="14" state="hidden" r:id="rId1"/>
    <sheet name="BPTRNA" sheetId="13" state="hidden" r:id="rId2"/>
    <sheet name="BPTDN" sheetId="15" state="hidden" r:id="rId3"/>
    <sheet name="BKM" sheetId="17" state="hidden" r:id="rId4"/>
    <sheet name="JPK. RA" sheetId="3" r:id="rId5"/>
    <sheet name="JPK. RNA " sheetId="23" r:id="rId6"/>
    <sheet name="JU" sheetId="5" r:id="rId7"/>
    <sheet name="JRA" sheetId="19" r:id="rId8"/>
    <sheet name="JRNA2 " sheetId="20" state="hidden" r:id="rId9"/>
    <sheet name="DVUD(1)" sheetId="29" state="hidden" r:id="rId10"/>
    <sheet name="DVUD" sheetId="30" r:id="rId11"/>
    <sheet name="JBK" sheetId="1" r:id="rId12"/>
    <sheet name="JPBIK" sheetId="26" r:id="rId13"/>
    <sheet name="JP" sheetId="8" r:id="rId14"/>
    <sheet name="J. Pemblk" sheetId="10" state="hidden" r:id="rId15"/>
    <sheet name="DUVHD" sheetId="6" state="hidden" r:id="rId16"/>
    <sheet name="J.Koreksi" sheetId="25" state="hidden" r:id="rId17"/>
    <sheet name="BKU" sheetId="7" state="hidden" r:id="rId18"/>
    <sheet name="BKU PM" sheetId="12" state="hidden" r:id="rId19"/>
    <sheet name="JRNA" sheetId="27" r:id="rId20"/>
  </sheets>
  <externalReferences>
    <externalReference r:id="rId21"/>
    <externalReference r:id="rId22"/>
  </externalReferences>
  <definedNames>
    <definedName name="_xlnm.Print_Area" localSheetId="9">'DVUD(1)'!$AI$8:$AQ$83</definedName>
    <definedName name="_xlnm.Print_Area" localSheetId="11">JBK!$A$1:$I$1425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 i="19" l="1"/>
  <c r="K22" i="19" s="1"/>
  <c r="H35" i="19"/>
  <c r="H49" i="19"/>
  <c r="L56" i="19"/>
  <c r="F21" i="19"/>
  <c r="F51" i="19" s="1"/>
  <c r="H52" i="19" s="1"/>
  <c r="F35" i="19"/>
  <c r="F49" i="19"/>
  <c r="H137" i="19"/>
  <c r="F137" i="19"/>
  <c r="H151" i="19"/>
  <c r="F151" i="19"/>
  <c r="F277" i="5"/>
  <c r="E66" i="5"/>
  <c r="E69" i="5"/>
  <c r="E73" i="5"/>
  <c r="E53" i="5"/>
  <c r="E54" i="5"/>
  <c r="E55" i="5"/>
  <c r="E56" i="5"/>
  <c r="D138" i="3"/>
  <c r="D61" i="3"/>
  <c r="D62" i="3"/>
  <c r="D63" i="3"/>
  <c r="D64" i="3"/>
  <c r="D65" i="3"/>
  <c r="D66" i="3"/>
  <c r="D67" i="3"/>
  <c r="D68" i="3"/>
  <c r="D69" i="3"/>
  <c r="D70" i="3"/>
  <c r="D71" i="3"/>
  <c r="D72" i="3"/>
  <c r="D73" i="3"/>
  <c r="D74" i="3"/>
  <c r="D75" i="3"/>
  <c r="D76" i="3"/>
  <c r="D77" i="3"/>
  <c r="D78" i="3"/>
  <c r="D79" i="3"/>
  <c r="D80" i="3"/>
  <c r="D81" i="3"/>
  <c r="D82" i="3"/>
  <c r="D84" i="3"/>
  <c r="D85" i="3"/>
  <c r="D86" i="3"/>
  <c r="D87" i="3"/>
  <c r="D88" i="3"/>
  <c r="D89" i="3"/>
  <c r="D60"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I21" i="19" l="1"/>
  <c r="L27" i="19"/>
  <c r="L22" i="19"/>
  <c r="F179" i="26"/>
  <c r="E178" i="23" l="1"/>
  <c r="H361" i="19" l="1"/>
  <c r="G350" i="5" l="1"/>
  <c r="F188" i="3" l="1"/>
  <c r="E188" i="3"/>
  <c r="I188" i="3"/>
  <c r="J188" i="3"/>
  <c r="D115" i="23" l="1"/>
  <c r="D116" i="23"/>
  <c r="D117" i="23"/>
  <c r="D118" i="23"/>
  <c r="D119" i="23"/>
  <c r="D120" i="23"/>
  <c r="D121" i="23"/>
  <c r="D122" i="23"/>
  <c r="D123" i="23"/>
  <c r="D124" i="23"/>
  <c r="D125" i="23"/>
  <c r="D126" i="23"/>
  <c r="D127" i="23"/>
  <c r="D128" i="23"/>
  <c r="D129" i="23"/>
  <c r="D130" i="23"/>
  <c r="D100" i="23"/>
  <c r="D101" i="23"/>
  <c r="D102" i="23"/>
  <c r="D103" i="23"/>
  <c r="D104" i="23"/>
  <c r="D105" i="23"/>
  <c r="D106" i="23"/>
  <c r="D107" i="23"/>
  <c r="D108" i="23"/>
  <c r="D109" i="23"/>
  <c r="D110" i="23"/>
  <c r="D111" i="23"/>
  <c r="D112" i="23"/>
  <c r="D113" i="23"/>
  <c r="D114" i="23"/>
  <c r="E131" i="23"/>
  <c r="C300" i="1" l="1"/>
  <c r="C301" i="1"/>
  <c r="C302" i="1"/>
  <c r="C303" i="1"/>
  <c r="C304" i="1"/>
  <c r="C305" i="1"/>
  <c r="C282" i="1"/>
  <c r="C283" i="1"/>
  <c r="C284" i="1"/>
  <c r="C285" i="1"/>
  <c r="C286" i="1"/>
  <c r="C287" i="1"/>
  <c r="C288" i="1"/>
  <c r="C289" i="1"/>
  <c r="C290" i="1"/>
  <c r="C291" i="1"/>
  <c r="C292" i="1"/>
  <c r="C293" i="1"/>
  <c r="C294" i="1"/>
  <c r="C295" i="1"/>
  <c r="C296" i="1"/>
  <c r="C297" i="1"/>
  <c r="C298" i="1"/>
  <c r="C299" i="1"/>
  <c r="B296" i="1"/>
  <c r="B297" i="1" s="1"/>
  <c r="B298" i="1" s="1"/>
  <c r="B299" i="1" s="1"/>
  <c r="B300" i="1" s="1"/>
  <c r="B301" i="1" s="1"/>
  <c r="B302" i="1" s="1"/>
  <c r="B303" i="1" s="1"/>
  <c r="B304" i="1" s="1"/>
  <c r="B305" i="1" s="1"/>
  <c r="B282" i="1"/>
  <c r="B283" i="1" s="1"/>
  <c r="B284" i="1" s="1"/>
  <c r="B285" i="1" s="1"/>
  <c r="B286" i="1" s="1"/>
  <c r="B287" i="1" s="1"/>
  <c r="B288" i="1" s="1"/>
  <c r="B266" i="1"/>
  <c r="B267" i="1" s="1"/>
  <c r="B268" i="1" s="1"/>
  <c r="B269" i="1" s="1"/>
  <c r="B270" i="1" s="1"/>
  <c r="B258" i="1"/>
  <c r="B259" i="1" s="1"/>
  <c r="B260" i="1" s="1"/>
  <c r="B261" i="1" s="1"/>
  <c r="B262" i="1" s="1"/>
  <c r="B246" i="1"/>
  <c r="B247" i="1" s="1"/>
  <c r="B250" i="1" s="1"/>
  <c r="B251" i="1" s="1"/>
  <c r="B252" i="1" s="1"/>
  <c r="B253" i="1" s="1"/>
  <c r="B254" i="1" s="1"/>
  <c r="B241" i="1"/>
  <c r="B242" i="1" s="1"/>
  <c r="B225" i="1"/>
  <c r="B226" i="1" s="1"/>
  <c r="B227" i="1" s="1"/>
  <c r="B228" i="1" s="1"/>
  <c r="B229" i="1" s="1"/>
  <c r="B230" i="1" s="1"/>
  <c r="B231" i="1" s="1"/>
  <c r="B232" i="1" s="1"/>
  <c r="B233" i="1" s="1"/>
  <c r="B234" i="1" s="1"/>
  <c r="B235" i="1" s="1"/>
  <c r="B236" i="1" s="1"/>
  <c r="B237" i="1" s="1"/>
  <c r="H306" i="5" l="1"/>
  <c r="E43" i="23" l="1"/>
  <c r="H249" i="19" l="1"/>
  <c r="E161" i="5" l="1"/>
  <c r="A161" i="5"/>
  <c r="H184" i="30" l="1"/>
  <c r="K233" i="30" l="1"/>
  <c r="H249" i="1" s="1"/>
  <c r="K232" i="30"/>
  <c r="H248" i="1" s="1"/>
  <c r="F22" i="26" l="1"/>
  <c r="F34" i="26"/>
  <c r="F84" i="26"/>
  <c r="F72" i="26"/>
  <c r="G206" i="1" l="1"/>
  <c r="F138" i="5" l="1"/>
  <c r="C197" i="1" l="1"/>
  <c r="C198" i="1"/>
  <c r="C199" i="1"/>
  <c r="C200" i="1"/>
  <c r="C201" i="1"/>
  <c r="C202" i="1"/>
  <c r="C203" i="1"/>
  <c r="C204" i="1"/>
  <c r="C205" i="1"/>
  <c r="C187" i="1"/>
  <c r="C188" i="1"/>
  <c r="C189" i="1"/>
  <c r="C190" i="1"/>
  <c r="C191" i="1"/>
  <c r="C192" i="1"/>
  <c r="C193" i="1"/>
  <c r="C194" i="1"/>
  <c r="C195" i="1"/>
  <c r="C196" i="1"/>
  <c r="C175" i="1"/>
  <c r="C176" i="1"/>
  <c r="C177" i="1"/>
  <c r="C178" i="1"/>
  <c r="C179" i="1"/>
  <c r="C180" i="1"/>
  <c r="C181" i="1"/>
  <c r="C182" i="1"/>
  <c r="C183" i="1"/>
  <c r="C184" i="1"/>
  <c r="C185" i="1"/>
  <c r="C186" i="1"/>
  <c r="C164" i="1"/>
  <c r="C165" i="1"/>
  <c r="C166" i="1"/>
  <c r="C167" i="1"/>
  <c r="C168" i="1"/>
  <c r="C169" i="1"/>
  <c r="C170" i="1"/>
  <c r="C171" i="1"/>
  <c r="C172" i="1"/>
  <c r="C173" i="1"/>
  <c r="C174" i="1"/>
  <c r="C151" i="1"/>
  <c r="C152" i="1"/>
  <c r="C153" i="1"/>
  <c r="C154" i="1"/>
  <c r="C155" i="1"/>
  <c r="C156" i="1"/>
  <c r="C157" i="1"/>
  <c r="C158" i="1"/>
  <c r="C159" i="1"/>
  <c r="C160" i="1"/>
  <c r="C161" i="1"/>
  <c r="C162" i="1"/>
  <c r="C163" i="1"/>
  <c r="C139" i="1"/>
  <c r="C140" i="1"/>
  <c r="C141" i="1"/>
  <c r="C142" i="1"/>
  <c r="C143" i="1"/>
  <c r="C144" i="1"/>
  <c r="C145" i="1"/>
  <c r="C146" i="1"/>
  <c r="C147" i="1"/>
  <c r="C148" i="1"/>
  <c r="C149" i="1"/>
  <c r="C150" i="1"/>
  <c r="C131" i="1"/>
  <c r="C132" i="1"/>
  <c r="C133" i="1"/>
  <c r="C134" i="1"/>
  <c r="C135" i="1"/>
  <c r="C136" i="1"/>
  <c r="C137" i="1"/>
  <c r="C138" i="1"/>
  <c r="C127" i="1"/>
  <c r="C128" i="1"/>
  <c r="C129" i="1"/>
  <c r="C130" i="1"/>
  <c r="C126" i="1"/>
  <c r="C125" i="1"/>
  <c r="B198" i="1"/>
  <c r="B199" i="1" s="1"/>
  <c r="B200" i="1" s="1"/>
  <c r="B201" i="1" s="1"/>
  <c r="B202" i="1" s="1"/>
  <c r="B203" i="1" s="1"/>
  <c r="B204" i="1" s="1"/>
  <c r="B205" i="1" s="1"/>
  <c r="B183" i="1"/>
  <c r="B178" i="1"/>
  <c r="B179" i="1" s="1"/>
  <c r="B171" i="1"/>
  <c r="B172" i="1" s="1"/>
  <c r="B173" i="1" s="1"/>
  <c r="B174" i="1" s="1"/>
  <c r="B164" i="1"/>
  <c r="B165" i="1" s="1"/>
  <c r="B166" i="1" s="1"/>
  <c r="B148" i="1"/>
  <c r="B149" i="1" s="1"/>
  <c r="B150" i="1" s="1"/>
  <c r="B151" i="1" s="1"/>
  <c r="B152" i="1" s="1"/>
  <c r="B153" i="1" s="1"/>
  <c r="B154" i="1" s="1"/>
  <c r="B155" i="1" s="1"/>
  <c r="B156" i="1" s="1"/>
  <c r="B157" i="1" s="1"/>
  <c r="B158" i="1" s="1"/>
  <c r="B159" i="1" s="1"/>
  <c r="B160" i="1" s="1"/>
  <c r="B140" i="1"/>
  <c r="B141" i="1" s="1"/>
  <c r="B142" i="1" s="1"/>
  <c r="B143" i="1" s="1"/>
  <c r="B144" i="1" s="1"/>
  <c r="B135" i="1"/>
  <c r="B136" i="1" s="1"/>
  <c r="B129" i="1"/>
  <c r="B130" i="1" s="1"/>
  <c r="B131" i="1" s="1"/>
  <c r="B132" i="1" s="1"/>
  <c r="K288" i="30"/>
  <c r="H304" i="1" s="1"/>
  <c r="K287" i="30"/>
  <c r="H303" i="1" s="1"/>
  <c r="K286" i="30"/>
  <c r="H302" i="1" s="1"/>
  <c r="K285" i="30"/>
  <c r="H301" i="1" s="1"/>
  <c r="K284" i="30"/>
  <c r="H300" i="1" s="1"/>
  <c r="D284" i="30"/>
  <c r="D285" i="30"/>
  <c r="D286" i="30"/>
  <c r="D287" i="30"/>
  <c r="D288" i="30"/>
  <c r="K283" i="30"/>
  <c r="H299" i="1" s="1"/>
  <c r="K282" i="30"/>
  <c r="H298" i="1" s="1"/>
  <c r="K281" i="30"/>
  <c r="H297" i="1" s="1"/>
  <c r="K280" i="30"/>
  <c r="H296" i="1" s="1"/>
  <c r="K279" i="30"/>
  <c r="H295" i="1" s="1"/>
  <c r="B280" i="30"/>
  <c r="B281" i="30" s="1"/>
  <c r="B282" i="30" s="1"/>
  <c r="B283" i="30" s="1"/>
  <c r="B284" i="30" s="1"/>
  <c r="B285" i="30" s="1"/>
  <c r="B286" i="30" s="1"/>
  <c r="B287" i="30" s="1"/>
  <c r="B288" i="30" s="1"/>
  <c r="B289" i="30" s="1"/>
  <c r="D279" i="30"/>
  <c r="D280" i="30"/>
  <c r="D281" i="30"/>
  <c r="D282" i="30"/>
  <c r="D283" i="30"/>
  <c r="D237" i="30"/>
  <c r="F115" i="5" l="1"/>
  <c r="F112" i="5"/>
  <c r="F50" i="5" l="1"/>
  <c r="F16" i="26" l="1"/>
  <c r="D145" i="30"/>
  <c r="D146" i="30"/>
  <c r="D147" i="30"/>
  <c r="F8" i="5" l="1"/>
  <c r="A73" i="5" l="1"/>
  <c r="E107" i="5" l="1"/>
  <c r="F46" i="5"/>
  <c r="E154" i="5" l="1"/>
  <c r="E141" i="5" l="1"/>
  <c r="F15" i="5" l="1"/>
  <c r="F39" i="5" l="1"/>
  <c r="F35" i="5"/>
  <c r="F27" i="5"/>
  <c r="C9" i="1" l="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D115" i="3" l="1"/>
  <c r="D142" i="3"/>
  <c r="D140" i="3"/>
  <c r="D135" i="3"/>
  <c r="D133" i="3"/>
  <c r="D131" i="3"/>
  <c r="D129" i="3"/>
  <c r="D127" i="3"/>
  <c r="D125" i="3"/>
  <c r="D123" i="3"/>
  <c r="D121" i="3"/>
  <c r="D119" i="3"/>
  <c r="D117" i="3"/>
  <c r="D141" i="3"/>
  <c r="D139" i="3"/>
  <c r="D136" i="3"/>
  <c r="D134" i="3"/>
  <c r="D132" i="3"/>
  <c r="D130" i="3"/>
  <c r="D128" i="3"/>
  <c r="D126" i="3"/>
  <c r="D124" i="3"/>
  <c r="D122" i="3"/>
  <c r="D120" i="3"/>
  <c r="D118" i="3"/>
  <c r="D116" i="3"/>
  <c r="D131" i="23" l="1"/>
  <c r="D114" i="3"/>
  <c r="D112" i="3" l="1"/>
  <c r="D111" i="3"/>
  <c r="D113" i="3"/>
  <c r="K90" i="30"/>
  <c r="H90" i="1" s="1"/>
  <c r="G90" i="1" s="1"/>
  <c r="K89" i="30"/>
  <c r="H89" i="1" s="1"/>
  <c r="G89" i="1" s="1"/>
  <c r="K88" i="30"/>
  <c r="H88" i="1" s="1"/>
  <c r="G88" i="1" s="1"/>
  <c r="K87" i="30"/>
  <c r="H87" i="1" s="1"/>
  <c r="G87" i="1" s="1"/>
  <c r="K86" i="30"/>
  <c r="H86" i="1" s="1"/>
  <c r="G86" i="1" s="1"/>
  <c r="K85" i="30"/>
  <c r="H85" i="1" s="1"/>
  <c r="G85" i="1" s="1"/>
  <c r="D85" i="30"/>
  <c r="D86" i="30"/>
  <c r="D87" i="30"/>
  <c r="D88" i="30"/>
  <c r="D89" i="30"/>
  <c r="D90" i="30"/>
  <c r="K82" i="30"/>
  <c r="H82" i="1" s="1"/>
  <c r="G82" i="1" s="1"/>
  <c r="K83" i="30"/>
  <c r="H83" i="1" s="1"/>
  <c r="G83" i="1" s="1"/>
  <c r="K84" i="30"/>
  <c r="H84" i="1" s="1"/>
  <c r="G84" i="1" s="1"/>
  <c r="K91" i="30"/>
  <c r="H91" i="1" s="1"/>
  <c r="G91" i="1" s="1"/>
  <c r="K81" i="30"/>
  <c r="H81" i="1" s="1"/>
  <c r="G81" i="1" s="1"/>
  <c r="D81" i="30"/>
  <c r="D82" i="30"/>
  <c r="D83" i="30"/>
  <c r="D84" i="30"/>
  <c r="D91" i="30"/>
  <c r="D42" i="23" l="1"/>
  <c r="D41" i="23"/>
  <c r="D40" i="23"/>
  <c r="D39" i="23"/>
  <c r="D38"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B42" i="23"/>
  <c r="B41" i="23"/>
  <c r="B40" i="23"/>
  <c r="B39" i="23"/>
  <c r="B38" i="23"/>
  <c r="B37" i="23"/>
  <c r="B36" i="23"/>
  <c r="B35" i="23"/>
  <c r="B34" i="23"/>
  <c r="B33" i="23"/>
  <c r="B32" i="23"/>
  <c r="B31" i="23"/>
  <c r="B30" i="23"/>
  <c r="B29" i="23"/>
  <c r="B28" i="23"/>
  <c r="D44" i="3"/>
  <c r="B43" i="3"/>
  <c r="B42" i="3"/>
  <c r="B41" i="3"/>
  <c r="B40" i="3"/>
  <c r="B38" i="3"/>
  <c r="B37" i="3"/>
  <c r="B36" i="3"/>
  <c r="B35" i="3"/>
  <c r="B34" i="3"/>
  <c r="B33" i="3"/>
  <c r="B32" i="3"/>
  <c r="B31" i="3"/>
  <c r="B30" i="3"/>
  <c r="B29" i="3"/>
  <c r="B28" i="3"/>
  <c r="D37" i="23" l="1"/>
  <c r="D540" i="3" l="1"/>
  <c r="A1105" i="5" l="1"/>
  <c r="F79" i="8"/>
  <c r="G74" i="8" l="1"/>
  <c r="G79" i="8" s="1"/>
  <c r="K1411" i="30" l="1"/>
  <c r="H1409" i="1" s="1"/>
  <c r="F573" i="26"/>
  <c r="K1422" i="30" l="1"/>
  <c r="H1417" i="1" s="1"/>
  <c r="G1417" i="1" s="1"/>
  <c r="K1421" i="30" l="1"/>
  <c r="H1416" i="1" s="1"/>
  <c r="K1420" i="30"/>
  <c r="H1415" i="1" s="1"/>
  <c r="K1419" i="30"/>
  <c r="H1414" i="1" s="1"/>
  <c r="D1419" i="30"/>
  <c r="K1418" i="30"/>
  <c r="H1413" i="1" s="1"/>
  <c r="D1418" i="30"/>
  <c r="K1417" i="30"/>
  <c r="H1412" i="1" s="1"/>
  <c r="D1417" i="30"/>
  <c r="K1416" i="30"/>
  <c r="H1411" i="1" s="1"/>
  <c r="D1416" i="30"/>
  <c r="K1415" i="30"/>
  <c r="H1410" i="1" s="1"/>
  <c r="D1415" i="30"/>
  <c r="D1411" i="30"/>
  <c r="K1410" i="30"/>
  <c r="H1408" i="1" s="1"/>
  <c r="D1410" i="30"/>
  <c r="K1409" i="30"/>
  <c r="H1407" i="1" s="1"/>
  <c r="D1409" i="30"/>
  <c r="K1408" i="30"/>
  <c r="H1406" i="1" s="1"/>
  <c r="D1408" i="30"/>
  <c r="K1407" i="30"/>
  <c r="H1405" i="1" s="1"/>
  <c r="D1407" i="30"/>
  <c r="K1406" i="30"/>
  <c r="H1404" i="1" s="1"/>
  <c r="D1406" i="30"/>
  <c r="K1405" i="30"/>
  <c r="H1403" i="1" s="1"/>
  <c r="D1405" i="30"/>
  <c r="K1404" i="30"/>
  <c r="H1402" i="1" s="1"/>
  <c r="D1404" i="30"/>
  <c r="K1403" i="30"/>
  <c r="H1401" i="1" s="1"/>
  <c r="D1403" i="30"/>
  <c r="K1402" i="30"/>
  <c r="H1400" i="1" s="1"/>
  <c r="D1402" i="30"/>
  <c r="K1401" i="30"/>
  <c r="H1399" i="1" s="1"/>
  <c r="D1401" i="30"/>
  <c r="K1400" i="30"/>
  <c r="H1398" i="1" s="1"/>
  <c r="D1400" i="30"/>
  <c r="K1399" i="30"/>
  <c r="H1397" i="1" s="1"/>
  <c r="D1399" i="30"/>
  <c r="K1398" i="30"/>
  <c r="H1396" i="1" s="1"/>
  <c r="D1398" i="30"/>
  <c r="K1397" i="30"/>
  <c r="H1395" i="1" s="1"/>
  <c r="D1397" i="30"/>
  <c r="K1396" i="30"/>
  <c r="H1394" i="1" s="1"/>
  <c r="D1396" i="30"/>
  <c r="K1395" i="30"/>
  <c r="H1393" i="1" s="1"/>
  <c r="D1395" i="30"/>
  <c r="K1394" i="30"/>
  <c r="H1392" i="1" s="1"/>
  <c r="D1394" i="30"/>
  <c r="K1393" i="30"/>
  <c r="H1391" i="1" s="1"/>
  <c r="D1393" i="30"/>
  <c r="K1392" i="30"/>
  <c r="H1390" i="1" s="1"/>
  <c r="D1392" i="30"/>
  <c r="K1391" i="30"/>
  <c r="H1389" i="1" s="1"/>
  <c r="D1391" i="30"/>
  <c r="K1390" i="30"/>
  <c r="H1388" i="1" s="1"/>
  <c r="D1390" i="30"/>
  <c r="K1389" i="30"/>
  <c r="H1387" i="1" s="1"/>
  <c r="D1389" i="30"/>
  <c r="K1388" i="30"/>
  <c r="H1386" i="1" s="1"/>
  <c r="D1388" i="30"/>
  <c r="K1387" i="30"/>
  <c r="H1385" i="1" s="1"/>
  <c r="D1387" i="30"/>
  <c r="K1386" i="30"/>
  <c r="H1384" i="1" s="1"/>
  <c r="D1386" i="30"/>
  <c r="K1385" i="30"/>
  <c r="H1383" i="1" s="1"/>
  <c r="D1385" i="30"/>
  <c r="K1384" i="30"/>
  <c r="H1382" i="1" s="1"/>
  <c r="D1384" i="30"/>
  <c r="K1383" i="30"/>
  <c r="H1381" i="1" s="1"/>
  <c r="D1383" i="30"/>
  <c r="K1382" i="30"/>
  <c r="H1380" i="1" s="1"/>
  <c r="D1382" i="30"/>
  <c r="K1381" i="30"/>
  <c r="H1379" i="1" s="1"/>
  <c r="D1381" i="30"/>
  <c r="K1380" i="30"/>
  <c r="H1378" i="1" s="1"/>
  <c r="D1380" i="30"/>
  <c r="K1379" i="30"/>
  <c r="H1377" i="1" s="1"/>
  <c r="D1379" i="30"/>
  <c r="K1378" i="30"/>
  <c r="H1376" i="1" s="1"/>
  <c r="D1378" i="30"/>
  <c r="K1377" i="30"/>
  <c r="H1375" i="1" s="1"/>
  <c r="D1377" i="30"/>
  <c r="K1376" i="30"/>
  <c r="H1374" i="1" s="1"/>
  <c r="D1376" i="30"/>
  <c r="K1375" i="30"/>
  <c r="H1373" i="1" s="1"/>
  <c r="D1375" i="30"/>
  <c r="K1374" i="30"/>
  <c r="H1372" i="1" s="1"/>
  <c r="D1374" i="30"/>
  <c r="K1373" i="30"/>
  <c r="H1371" i="1" s="1"/>
  <c r="D1373" i="30"/>
  <c r="K1372" i="30"/>
  <c r="H1370" i="1" s="1"/>
  <c r="D1372" i="30"/>
  <c r="K1371" i="30"/>
  <c r="H1369" i="1" s="1"/>
  <c r="D1371" i="30"/>
  <c r="K1370" i="30"/>
  <c r="H1368" i="1" s="1"/>
  <c r="D1370" i="30"/>
  <c r="K1369" i="30"/>
  <c r="H1367" i="1" s="1"/>
  <c r="D1369" i="30"/>
  <c r="K1368" i="30"/>
  <c r="H1366" i="1" s="1"/>
  <c r="D1368" i="30"/>
  <c r="K1367" i="30"/>
  <c r="H1365" i="1" s="1"/>
  <c r="D1367" i="30"/>
  <c r="K1366" i="30"/>
  <c r="H1364" i="1" s="1"/>
  <c r="D1366" i="30"/>
  <c r="K1365" i="30"/>
  <c r="H1363" i="1" s="1"/>
  <c r="D1365" i="30"/>
  <c r="K1364" i="30"/>
  <c r="H1362" i="1" s="1"/>
  <c r="D1364" i="30"/>
  <c r="K1363" i="30"/>
  <c r="H1361" i="1" s="1"/>
  <c r="D1363" i="30"/>
  <c r="K1362" i="30"/>
  <c r="H1360" i="1" s="1"/>
  <c r="D1362" i="30"/>
  <c r="K1361" i="30"/>
  <c r="H1359" i="1" s="1"/>
  <c r="D1361" i="30"/>
  <c r="K1360" i="30"/>
  <c r="H1358" i="1" s="1"/>
  <c r="D1360" i="30"/>
  <c r="K1359" i="30"/>
  <c r="H1357" i="1" s="1"/>
  <c r="D1359" i="30"/>
  <c r="K1358" i="30"/>
  <c r="H1356" i="1" s="1"/>
  <c r="D1358" i="30"/>
  <c r="K1357" i="30"/>
  <c r="H1355" i="1" s="1"/>
  <c r="D1357" i="30"/>
  <c r="K1356" i="30"/>
  <c r="H1354" i="1" s="1"/>
  <c r="D1356" i="30"/>
  <c r="K1355" i="30"/>
  <c r="H1353" i="1" s="1"/>
  <c r="D1355" i="30"/>
  <c r="K1354" i="30"/>
  <c r="H1352" i="1" s="1"/>
  <c r="D1354" i="30"/>
  <c r="K1353" i="30"/>
  <c r="H1351" i="1" s="1"/>
  <c r="D1353" i="30"/>
  <c r="K1352" i="30"/>
  <c r="H1350" i="1" s="1"/>
  <c r="D1352" i="30"/>
  <c r="K1351" i="30"/>
  <c r="H1349" i="1" s="1"/>
  <c r="D1351" i="30"/>
  <c r="K1350" i="30"/>
  <c r="H1348" i="1" s="1"/>
  <c r="D1350" i="30"/>
  <c r="K1349" i="30"/>
  <c r="H1347" i="1" s="1"/>
  <c r="D1349" i="30"/>
  <c r="K1348" i="30"/>
  <c r="H1346" i="1" s="1"/>
  <c r="D1348" i="30"/>
  <c r="K1347" i="30"/>
  <c r="H1345" i="1" s="1"/>
  <c r="D1347" i="30"/>
  <c r="K1346" i="30"/>
  <c r="H1344" i="1" s="1"/>
  <c r="D1346" i="30"/>
  <c r="K1345" i="30"/>
  <c r="H1343" i="1" s="1"/>
  <c r="D1345" i="30"/>
  <c r="K1344" i="30"/>
  <c r="H1342" i="1" s="1"/>
  <c r="D1344" i="30"/>
  <c r="K1343" i="30"/>
  <c r="H1341" i="1" s="1"/>
  <c r="D1343" i="30"/>
  <c r="K1342" i="30"/>
  <c r="H1340" i="1" s="1"/>
  <c r="D1342" i="30"/>
  <c r="K1341" i="30"/>
  <c r="H1339" i="1" s="1"/>
  <c r="D1341" i="30"/>
  <c r="K1340" i="30"/>
  <c r="H1338" i="1" s="1"/>
  <c r="D1340" i="30"/>
  <c r="K1339" i="30"/>
  <c r="H1337" i="1" s="1"/>
  <c r="D1339" i="30"/>
  <c r="K1338" i="30"/>
  <c r="H1336" i="1" s="1"/>
  <c r="D1338" i="30"/>
  <c r="K1337" i="30"/>
  <c r="H1335" i="1" s="1"/>
  <c r="D1337" i="30"/>
  <c r="K1336" i="30"/>
  <c r="H1334" i="1" s="1"/>
  <c r="D1336" i="30"/>
  <c r="K1335" i="30"/>
  <c r="H1333" i="1" s="1"/>
  <c r="D1335" i="30"/>
  <c r="D1334" i="30"/>
  <c r="K1333" i="30"/>
  <c r="H1331" i="1" s="1"/>
  <c r="D1333" i="30"/>
  <c r="K1332" i="30"/>
  <c r="H1330" i="1" s="1"/>
  <c r="D1332" i="30"/>
  <c r="K1331" i="30"/>
  <c r="H1329" i="1" s="1"/>
  <c r="D1331" i="30"/>
  <c r="K1330" i="30"/>
  <c r="H1328" i="1" s="1"/>
  <c r="D1330" i="30"/>
  <c r="K1329" i="30"/>
  <c r="H1327" i="1" s="1"/>
  <c r="D1329" i="30"/>
  <c r="K1328" i="30"/>
  <c r="H1326" i="1" s="1"/>
  <c r="D1328" i="30"/>
  <c r="K1327" i="30"/>
  <c r="H1325" i="1" s="1"/>
  <c r="D1327" i="30"/>
  <c r="K1326" i="30"/>
  <c r="H1324" i="1" s="1"/>
  <c r="D1326" i="30"/>
  <c r="K1325" i="30"/>
  <c r="H1323" i="1" s="1"/>
  <c r="D1325" i="30"/>
  <c r="K1324" i="30"/>
  <c r="H1322" i="1" s="1"/>
  <c r="D1324" i="30"/>
  <c r="K1323" i="30"/>
  <c r="H1321" i="1" s="1"/>
  <c r="D1323" i="30"/>
  <c r="K1322" i="30"/>
  <c r="H1320" i="1" s="1"/>
  <c r="D1322" i="30"/>
  <c r="D1321" i="30"/>
  <c r="K1320" i="30"/>
  <c r="H1318" i="1" s="1"/>
  <c r="D1320" i="30"/>
  <c r="K1319" i="30"/>
  <c r="H1317" i="1" s="1"/>
  <c r="D1319" i="30"/>
  <c r="K1318" i="30"/>
  <c r="H1316" i="1" s="1"/>
  <c r="D1318" i="30"/>
  <c r="K1317" i="30"/>
  <c r="H1315" i="1" s="1"/>
  <c r="D1317" i="30"/>
  <c r="K1316" i="30"/>
  <c r="H1314" i="1" s="1"/>
  <c r="D1316" i="30"/>
  <c r="K1315" i="30"/>
  <c r="H1313" i="1" s="1"/>
  <c r="D1315" i="30"/>
  <c r="D1314" i="30"/>
  <c r="K1313" i="30"/>
  <c r="H1311" i="1" s="1"/>
  <c r="D1313" i="30"/>
  <c r="K1312" i="30"/>
  <c r="H1310" i="1" s="1"/>
  <c r="D1312" i="30"/>
  <c r="K1311" i="30"/>
  <c r="H1309" i="1" s="1"/>
  <c r="D1311" i="30"/>
  <c r="K1310" i="30"/>
  <c r="H1308" i="1" s="1"/>
  <c r="D1310" i="30"/>
  <c r="K1309" i="30"/>
  <c r="H1307" i="1" s="1"/>
  <c r="D1309" i="30"/>
  <c r="K1308" i="30"/>
  <c r="H1306" i="1" s="1"/>
  <c r="D1308" i="30"/>
  <c r="K1307" i="30"/>
  <c r="H1305" i="1" s="1"/>
  <c r="D1307" i="30"/>
  <c r="K1306" i="30"/>
  <c r="H1304" i="1" s="1"/>
  <c r="D1306" i="30"/>
  <c r="K1305" i="30"/>
  <c r="D1305" i="30"/>
  <c r="H1423" i="30" l="1"/>
  <c r="K1334" i="30"/>
  <c r="H1332" i="1" s="1"/>
  <c r="H1303" i="1"/>
  <c r="K1321" i="30"/>
  <c r="H1319" i="1" s="1"/>
  <c r="K1314" i="30"/>
  <c r="K1423" i="30" l="1"/>
  <c r="H1312" i="1"/>
  <c r="H1418" i="1" s="1"/>
  <c r="J537" i="23" l="1"/>
  <c r="I537" i="23"/>
  <c r="H537" i="23"/>
  <c r="F537" i="23"/>
  <c r="E537" i="23"/>
  <c r="D536" i="23"/>
  <c r="D535" i="23"/>
  <c r="D534" i="23"/>
  <c r="D533" i="23"/>
  <c r="D532" i="23"/>
  <c r="D531" i="23"/>
  <c r="D530" i="23"/>
  <c r="D529" i="23"/>
  <c r="D528" i="23"/>
  <c r="D527" i="23"/>
  <c r="D526" i="23"/>
  <c r="D525" i="23"/>
  <c r="D524" i="23"/>
  <c r="D523" i="23"/>
  <c r="D522" i="23"/>
  <c r="D521" i="23"/>
  <c r="D520" i="23"/>
  <c r="D519" i="23"/>
  <c r="D518" i="23"/>
  <c r="D517" i="23"/>
  <c r="D516" i="23"/>
  <c r="D515" i="23"/>
  <c r="D514" i="23"/>
  <c r="D513" i="23"/>
  <c r="D512" i="23"/>
  <c r="D511" i="23"/>
  <c r="D510" i="23"/>
  <c r="D509" i="23"/>
  <c r="D508" i="23"/>
  <c r="D507" i="23"/>
  <c r="D506" i="23"/>
  <c r="D572" i="3"/>
  <c r="D571" i="3"/>
  <c r="D570" i="3"/>
  <c r="D569" i="3"/>
  <c r="D568" i="3"/>
  <c r="D567" i="3"/>
  <c r="D566" i="3"/>
  <c r="D564" i="3"/>
  <c r="D563" i="3"/>
  <c r="J574" i="3"/>
  <c r="D561" i="3"/>
  <c r="D560" i="3"/>
  <c r="D559" i="3"/>
  <c r="D558" i="3"/>
  <c r="D557" i="3"/>
  <c r="D556" i="3"/>
  <c r="D555" i="3"/>
  <c r="D554" i="3"/>
  <c r="D553" i="3"/>
  <c r="D552" i="3"/>
  <c r="D551" i="3"/>
  <c r="D550" i="3"/>
  <c r="D549" i="3"/>
  <c r="D548" i="3"/>
  <c r="D547" i="3"/>
  <c r="D546" i="3"/>
  <c r="D545" i="3"/>
  <c r="D544" i="3"/>
  <c r="D543" i="3"/>
  <c r="D542" i="3"/>
  <c r="D541" i="3"/>
  <c r="F574" i="3"/>
  <c r="D537" i="23" l="1"/>
  <c r="G537" i="23"/>
  <c r="D574" i="3"/>
  <c r="E574" i="3"/>
  <c r="I574" i="3"/>
  <c r="H1241" i="19" l="1"/>
  <c r="F1269" i="19"/>
  <c r="F1255" i="19"/>
  <c r="F1241" i="19"/>
  <c r="I529" i="3" l="1"/>
  <c r="J492" i="23" l="1"/>
  <c r="I492" i="23"/>
  <c r="H492" i="23"/>
  <c r="F492" i="23"/>
  <c r="E492" i="23"/>
  <c r="D490" i="23"/>
  <c r="D489" i="23"/>
  <c r="D488" i="23"/>
  <c r="D487" i="23"/>
  <c r="D486" i="23"/>
  <c r="D485" i="23"/>
  <c r="D484" i="23"/>
  <c r="D483" i="23"/>
  <c r="D482" i="23"/>
  <c r="D481" i="23"/>
  <c r="D480" i="23"/>
  <c r="D479" i="23"/>
  <c r="D478" i="23"/>
  <c r="D477" i="23"/>
  <c r="D476" i="23"/>
  <c r="D475" i="23"/>
  <c r="D474" i="23"/>
  <c r="D473" i="23"/>
  <c r="D472" i="23"/>
  <c r="D471" i="23"/>
  <c r="D470" i="23"/>
  <c r="D469" i="23"/>
  <c r="D468" i="23"/>
  <c r="D467" i="23"/>
  <c r="D466" i="23"/>
  <c r="D465" i="23"/>
  <c r="D464" i="23"/>
  <c r="D463" i="23"/>
  <c r="D462" i="23"/>
  <c r="D461" i="23"/>
  <c r="D492" i="23" l="1"/>
  <c r="G492" i="23"/>
  <c r="D526" i="3" l="1"/>
  <c r="D525" i="3"/>
  <c r="D524" i="3"/>
  <c r="D522" i="3"/>
  <c r="D520" i="3"/>
  <c r="D519" i="3"/>
  <c r="D517" i="3"/>
  <c r="D516" i="3"/>
  <c r="D515" i="3"/>
  <c r="D514" i="3"/>
  <c r="D513" i="3"/>
  <c r="D512" i="3"/>
  <c r="D511" i="3"/>
  <c r="D510" i="3"/>
  <c r="D509" i="3"/>
  <c r="D508" i="3"/>
  <c r="D507" i="3"/>
  <c r="D506" i="3"/>
  <c r="D505" i="3"/>
  <c r="D504" i="3"/>
  <c r="D503" i="3"/>
  <c r="D502" i="3"/>
  <c r="D501" i="3"/>
  <c r="D500" i="3"/>
  <c r="D499" i="3"/>
  <c r="D498" i="3"/>
  <c r="D497" i="3"/>
  <c r="J529" i="3"/>
  <c r="D494" i="3"/>
  <c r="D493" i="3"/>
  <c r="F529" i="3"/>
  <c r="D492" i="3"/>
  <c r="D529" i="3" l="1"/>
  <c r="E529" i="3"/>
  <c r="H1290" i="30" l="1"/>
  <c r="K1289" i="30"/>
  <c r="H1269" i="1" s="1"/>
  <c r="G1269" i="1" s="1"/>
  <c r="D1289" i="30"/>
  <c r="K1288" i="30"/>
  <c r="H1268" i="1" s="1"/>
  <c r="G1268" i="1" s="1"/>
  <c r="D1288" i="30"/>
  <c r="K1287" i="30"/>
  <c r="H1267" i="1" s="1"/>
  <c r="G1267" i="1" s="1"/>
  <c r="D1287" i="30"/>
  <c r="K1286" i="30"/>
  <c r="H1266" i="1" s="1"/>
  <c r="G1266" i="1" s="1"/>
  <c r="D1286" i="30"/>
  <c r="K1285" i="30"/>
  <c r="H1265" i="1" s="1"/>
  <c r="G1265" i="1" s="1"/>
  <c r="D1285" i="30"/>
  <c r="K1284" i="30"/>
  <c r="H1264" i="1" s="1"/>
  <c r="G1264" i="1" s="1"/>
  <c r="D1284" i="30"/>
  <c r="K1283" i="30"/>
  <c r="H1263" i="1" s="1"/>
  <c r="G1263" i="1" s="1"/>
  <c r="D1283" i="30"/>
  <c r="K1282" i="30"/>
  <c r="H1262" i="1" s="1"/>
  <c r="G1262" i="1" s="1"/>
  <c r="D1282" i="30"/>
  <c r="K1281" i="30"/>
  <c r="H1261" i="1" s="1"/>
  <c r="G1261" i="1" s="1"/>
  <c r="D1281" i="30"/>
  <c r="K1280" i="30"/>
  <c r="H1260" i="1" s="1"/>
  <c r="G1260" i="1" s="1"/>
  <c r="D1280" i="30"/>
  <c r="K1279" i="30"/>
  <c r="H1259" i="1" s="1"/>
  <c r="G1259" i="1" s="1"/>
  <c r="D1279" i="30"/>
  <c r="K1278" i="30"/>
  <c r="H1258" i="1" s="1"/>
  <c r="G1258" i="1" s="1"/>
  <c r="D1278" i="30"/>
  <c r="K1277" i="30"/>
  <c r="H1257" i="1" s="1"/>
  <c r="D1277" i="30"/>
  <c r="K1276" i="30"/>
  <c r="H1256" i="1" s="1"/>
  <c r="D1276" i="30"/>
  <c r="K1275" i="30"/>
  <c r="H1255" i="1" s="1"/>
  <c r="D1275" i="30"/>
  <c r="K1274" i="30"/>
  <c r="H1254" i="1" s="1"/>
  <c r="D1274" i="30"/>
  <c r="K1273" i="30"/>
  <c r="H1253" i="1" s="1"/>
  <c r="D1273" i="30"/>
  <c r="K1272" i="30"/>
  <c r="H1252" i="1" s="1"/>
  <c r="D1272" i="30"/>
  <c r="K1271" i="30"/>
  <c r="H1251" i="1" s="1"/>
  <c r="D1271" i="30"/>
  <c r="K1270" i="30"/>
  <c r="H1250" i="1" s="1"/>
  <c r="D1270" i="30"/>
  <c r="K1269" i="30"/>
  <c r="H1249" i="1" s="1"/>
  <c r="D1269" i="30"/>
  <c r="K1268" i="30"/>
  <c r="H1248" i="1" s="1"/>
  <c r="D1268" i="30"/>
  <c r="K1267" i="30"/>
  <c r="H1247" i="1" s="1"/>
  <c r="D1267" i="30"/>
  <c r="K1266" i="30"/>
  <c r="H1246" i="1" s="1"/>
  <c r="D1266" i="30"/>
  <c r="K1265" i="30"/>
  <c r="H1245" i="1" s="1"/>
  <c r="D1265" i="30"/>
  <c r="K1264" i="30"/>
  <c r="H1244" i="1" s="1"/>
  <c r="D1264" i="30"/>
  <c r="K1263" i="30"/>
  <c r="H1243" i="1" s="1"/>
  <c r="D1263" i="30"/>
  <c r="K1262" i="30"/>
  <c r="H1242" i="1" s="1"/>
  <c r="D1262" i="30"/>
  <c r="K1261" i="30"/>
  <c r="H1241" i="1" s="1"/>
  <c r="D1261" i="30"/>
  <c r="K1260" i="30"/>
  <c r="H1240" i="1" s="1"/>
  <c r="D1260" i="30"/>
  <c r="K1259" i="30"/>
  <c r="H1239" i="1" s="1"/>
  <c r="D1259" i="30"/>
  <c r="K1258" i="30"/>
  <c r="H1238" i="1" s="1"/>
  <c r="D1258" i="30"/>
  <c r="K1257" i="30"/>
  <c r="H1237" i="1" s="1"/>
  <c r="D1257" i="30"/>
  <c r="K1256" i="30"/>
  <c r="H1236" i="1" s="1"/>
  <c r="D1256" i="30"/>
  <c r="K1255" i="30"/>
  <c r="H1235" i="1" s="1"/>
  <c r="D1255" i="30"/>
  <c r="K1254" i="30"/>
  <c r="H1234" i="1" s="1"/>
  <c r="D1254" i="30"/>
  <c r="K1253" i="30"/>
  <c r="H1233" i="1" s="1"/>
  <c r="D1253" i="30"/>
  <c r="K1252" i="30"/>
  <c r="H1232" i="1" s="1"/>
  <c r="D1252" i="30"/>
  <c r="K1251" i="30"/>
  <c r="H1231" i="1" s="1"/>
  <c r="D1251" i="30"/>
  <c r="K1250" i="30"/>
  <c r="H1230" i="1" s="1"/>
  <c r="D1250" i="30"/>
  <c r="K1249" i="30"/>
  <c r="H1229" i="1" s="1"/>
  <c r="D1249" i="30"/>
  <c r="K1248" i="30"/>
  <c r="H1228" i="1" s="1"/>
  <c r="D1248" i="30"/>
  <c r="K1247" i="30"/>
  <c r="H1227" i="1" s="1"/>
  <c r="D1247" i="30"/>
  <c r="K1246" i="30"/>
  <c r="H1226" i="1" s="1"/>
  <c r="D1246" i="30"/>
  <c r="K1245" i="30"/>
  <c r="H1225" i="1" s="1"/>
  <c r="D1245" i="30"/>
  <c r="K1244" i="30"/>
  <c r="H1224" i="1" s="1"/>
  <c r="D1244" i="30"/>
  <c r="K1243" i="30"/>
  <c r="H1223" i="1" s="1"/>
  <c r="D1243" i="30"/>
  <c r="K1242" i="30"/>
  <c r="H1222" i="1" s="1"/>
  <c r="D1242" i="30"/>
  <c r="K1241" i="30"/>
  <c r="H1221" i="1" s="1"/>
  <c r="D1241" i="30"/>
  <c r="K1240" i="30"/>
  <c r="H1220" i="1" s="1"/>
  <c r="D1240" i="30"/>
  <c r="K1239" i="30"/>
  <c r="H1219" i="1" s="1"/>
  <c r="D1239" i="30"/>
  <c r="K1238" i="30"/>
  <c r="H1218" i="1" s="1"/>
  <c r="D1238" i="30"/>
  <c r="K1237" i="30"/>
  <c r="H1217" i="1" s="1"/>
  <c r="D1237" i="30"/>
  <c r="K1236" i="30"/>
  <c r="H1216" i="1" s="1"/>
  <c r="D1236" i="30"/>
  <c r="K1235" i="30"/>
  <c r="H1215" i="1" s="1"/>
  <c r="D1235" i="30"/>
  <c r="K1234" i="30"/>
  <c r="H1214" i="1" s="1"/>
  <c r="D1234" i="30"/>
  <c r="K1233" i="30"/>
  <c r="H1213" i="1" s="1"/>
  <c r="D1233" i="30"/>
  <c r="K1232" i="30"/>
  <c r="H1212" i="1" s="1"/>
  <c r="D1232" i="30"/>
  <c r="K1231" i="30"/>
  <c r="H1211" i="1" s="1"/>
  <c r="D1231" i="30"/>
  <c r="K1230" i="30"/>
  <c r="H1210" i="1" s="1"/>
  <c r="D1230" i="30"/>
  <c r="K1229" i="30"/>
  <c r="H1209" i="1" s="1"/>
  <c r="D1229" i="30"/>
  <c r="K1228" i="30"/>
  <c r="H1208" i="1" s="1"/>
  <c r="D1228" i="30"/>
  <c r="K1227" i="30"/>
  <c r="H1207" i="1" s="1"/>
  <c r="D1227" i="30"/>
  <c r="K1226" i="30"/>
  <c r="H1206" i="1" s="1"/>
  <c r="D1226" i="30"/>
  <c r="K1225" i="30"/>
  <c r="H1205" i="1" s="1"/>
  <c r="D1225" i="30"/>
  <c r="K1224" i="30"/>
  <c r="H1204" i="1" s="1"/>
  <c r="D1224" i="30"/>
  <c r="K1223" i="30"/>
  <c r="H1203" i="1" s="1"/>
  <c r="K1222" i="30"/>
  <c r="H1202" i="1" s="1"/>
  <c r="D1222" i="30"/>
  <c r="K1221" i="30"/>
  <c r="H1201" i="1" s="1"/>
  <c r="D1221" i="30"/>
  <c r="K1220" i="30"/>
  <c r="H1200" i="1" s="1"/>
  <c r="D1220" i="30"/>
  <c r="K1219" i="30"/>
  <c r="H1199" i="1" s="1"/>
  <c r="D1219" i="30"/>
  <c r="K1218" i="30"/>
  <c r="H1198" i="1" s="1"/>
  <c r="D1218" i="30"/>
  <c r="K1217" i="30"/>
  <c r="H1197" i="1" s="1"/>
  <c r="D1217" i="30"/>
  <c r="K1216" i="30"/>
  <c r="H1196" i="1" s="1"/>
  <c r="D1216" i="30"/>
  <c r="K1215" i="30"/>
  <c r="H1195" i="1" s="1"/>
  <c r="D1215" i="30"/>
  <c r="K1214" i="30"/>
  <c r="H1194" i="1" s="1"/>
  <c r="D1214" i="30"/>
  <c r="K1213" i="30"/>
  <c r="H1193" i="1" s="1"/>
  <c r="D1213" i="30"/>
  <c r="K1212" i="30"/>
  <c r="H1192" i="1" s="1"/>
  <c r="D1212" i="30"/>
  <c r="K1211" i="30"/>
  <c r="H1191" i="1" s="1"/>
  <c r="D1211" i="30"/>
  <c r="K1210" i="30"/>
  <c r="H1190" i="1" s="1"/>
  <c r="D1210" i="30"/>
  <c r="K1209" i="30"/>
  <c r="H1189" i="1" s="1"/>
  <c r="D1209" i="30"/>
  <c r="K1208" i="30"/>
  <c r="H1188" i="1" s="1"/>
  <c r="D1208" i="30"/>
  <c r="K1207" i="30"/>
  <c r="H1187" i="1" s="1"/>
  <c r="D1207" i="30"/>
  <c r="K1206" i="30"/>
  <c r="H1186" i="1" s="1"/>
  <c r="D1206" i="30"/>
  <c r="K1205" i="30"/>
  <c r="D1205" i="30"/>
  <c r="K1290" i="30" l="1"/>
  <c r="H1185" i="1"/>
  <c r="F523" i="26"/>
  <c r="G1273" i="1"/>
  <c r="F535" i="26"/>
  <c r="F1157" i="19"/>
  <c r="F1165" i="19" s="1"/>
  <c r="F1143" i="19"/>
  <c r="F1162" i="19" s="1"/>
  <c r="F1129" i="19"/>
  <c r="F1159" i="19" s="1"/>
  <c r="F1160" i="19" s="1"/>
  <c r="A853" i="5"/>
  <c r="F1048" i="19"/>
  <c r="F1020" i="19"/>
  <c r="H1182" i="30" l="1"/>
  <c r="K1181" i="30"/>
  <c r="H1144" i="1" s="1"/>
  <c r="D1181" i="30"/>
  <c r="K1180" i="30"/>
  <c r="H1143" i="1" s="1"/>
  <c r="D1180" i="30"/>
  <c r="K1179" i="30"/>
  <c r="H1142" i="1" s="1"/>
  <c r="D1179" i="30"/>
  <c r="K1178" i="30"/>
  <c r="H1141" i="1" s="1"/>
  <c r="D1178" i="30"/>
  <c r="K1177" i="30"/>
  <c r="H1140" i="1" s="1"/>
  <c r="D1177" i="30"/>
  <c r="K1176" i="30"/>
  <c r="H1139" i="1" s="1"/>
  <c r="D1176" i="30"/>
  <c r="K1175" i="30"/>
  <c r="H1138" i="1" s="1"/>
  <c r="D1175" i="30"/>
  <c r="K1174" i="30"/>
  <c r="H1137" i="1" s="1"/>
  <c r="D1174" i="30"/>
  <c r="K1173" i="30"/>
  <c r="H1136" i="1" s="1"/>
  <c r="D1173" i="30"/>
  <c r="K1172" i="30"/>
  <c r="H1135" i="1" s="1"/>
  <c r="D1172" i="30"/>
  <c r="K1171" i="30"/>
  <c r="H1134" i="1" s="1"/>
  <c r="D1171" i="30"/>
  <c r="K1170" i="30"/>
  <c r="H1133" i="1" s="1"/>
  <c r="D1170" i="30"/>
  <c r="K1169" i="30"/>
  <c r="H1132" i="1" s="1"/>
  <c r="D1169" i="30"/>
  <c r="K1168" i="30"/>
  <c r="H1131" i="1" s="1"/>
  <c r="D1168" i="30"/>
  <c r="K1167" i="30"/>
  <c r="H1130" i="1" s="1"/>
  <c r="D1167" i="30"/>
  <c r="K1166" i="30"/>
  <c r="H1129" i="1" s="1"/>
  <c r="D1166" i="30"/>
  <c r="K1165" i="30"/>
  <c r="H1128" i="1" s="1"/>
  <c r="D1165" i="30"/>
  <c r="K1164" i="30"/>
  <c r="H1127" i="1" s="1"/>
  <c r="K1163" i="30"/>
  <c r="H1126" i="1" s="1"/>
  <c r="D1163" i="30"/>
  <c r="K1162" i="30"/>
  <c r="H1125" i="1" s="1"/>
  <c r="D1162" i="30"/>
  <c r="K1161" i="30"/>
  <c r="H1124" i="1" s="1"/>
  <c r="D1161" i="30"/>
  <c r="K1160" i="30"/>
  <c r="H1123" i="1" s="1"/>
  <c r="D1160" i="30"/>
  <c r="K1159" i="30"/>
  <c r="H1122" i="1" s="1"/>
  <c r="D1159" i="30"/>
  <c r="K1158" i="30"/>
  <c r="H1121" i="1" s="1"/>
  <c r="D1158" i="30"/>
  <c r="K1157" i="30"/>
  <c r="H1120" i="1" s="1"/>
  <c r="D1157" i="30"/>
  <c r="K1156" i="30"/>
  <c r="H1119" i="1" s="1"/>
  <c r="D1156" i="30"/>
  <c r="K1155" i="30"/>
  <c r="H1118" i="1" s="1"/>
  <c r="D1155" i="30"/>
  <c r="K1154" i="30"/>
  <c r="H1117" i="1" s="1"/>
  <c r="D1154" i="30"/>
  <c r="K1153" i="30"/>
  <c r="H1116" i="1" s="1"/>
  <c r="D1153" i="30"/>
  <c r="K1152" i="30"/>
  <c r="H1115" i="1" s="1"/>
  <c r="D1152" i="30"/>
  <c r="K1151" i="30"/>
  <c r="H1114" i="1" s="1"/>
  <c r="D1151" i="30"/>
  <c r="K1150" i="30"/>
  <c r="H1113" i="1" s="1"/>
  <c r="D1150" i="30"/>
  <c r="K1149" i="30"/>
  <c r="H1112" i="1" s="1"/>
  <c r="D1149" i="30"/>
  <c r="K1148" i="30"/>
  <c r="H1111" i="1" s="1"/>
  <c r="D1148" i="30"/>
  <c r="K1147" i="30"/>
  <c r="H1110" i="1" s="1"/>
  <c r="D1147" i="30"/>
  <c r="K1146" i="30"/>
  <c r="H1109" i="1" s="1"/>
  <c r="D1146" i="30"/>
  <c r="K1145" i="30"/>
  <c r="H1108" i="1" s="1"/>
  <c r="D1145" i="30"/>
  <c r="K1144" i="30"/>
  <c r="H1107" i="1" s="1"/>
  <c r="D1144" i="30"/>
  <c r="K1143" i="30"/>
  <c r="H1106" i="1" s="1"/>
  <c r="D1143" i="30"/>
  <c r="K1142" i="30"/>
  <c r="H1105" i="1" s="1"/>
  <c r="D1142" i="30"/>
  <c r="K1141" i="30"/>
  <c r="H1104" i="1" s="1"/>
  <c r="D1141" i="30"/>
  <c r="K1140" i="30"/>
  <c r="H1103" i="1" s="1"/>
  <c r="D1140" i="30"/>
  <c r="K1139" i="30"/>
  <c r="H1102" i="1" s="1"/>
  <c r="D1139" i="30"/>
  <c r="K1138" i="30"/>
  <c r="H1101" i="1" s="1"/>
  <c r="D1138" i="30"/>
  <c r="K1137" i="30"/>
  <c r="H1100" i="1" s="1"/>
  <c r="D1137" i="30"/>
  <c r="K1136" i="30"/>
  <c r="H1099" i="1" s="1"/>
  <c r="D1136" i="30"/>
  <c r="K1135" i="30"/>
  <c r="H1098" i="1" s="1"/>
  <c r="D1135" i="30"/>
  <c r="K1134" i="30"/>
  <c r="H1097" i="1" s="1"/>
  <c r="D1134" i="30"/>
  <c r="K1133" i="30"/>
  <c r="H1096" i="1" s="1"/>
  <c r="D1133" i="30"/>
  <c r="K1132" i="30"/>
  <c r="H1095" i="1" s="1"/>
  <c r="D1132" i="30"/>
  <c r="K1131" i="30"/>
  <c r="H1094" i="1" s="1"/>
  <c r="D1131" i="30"/>
  <c r="K1130" i="30"/>
  <c r="H1093" i="1" s="1"/>
  <c r="D1130" i="30"/>
  <c r="K1129" i="30"/>
  <c r="H1092" i="1" s="1"/>
  <c r="D1129" i="30"/>
  <c r="K1128" i="30"/>
  <c r="H1091" i="1" s="1"/>
  <c r="D1128" i="30"/>
  <c r="K1127" i="30"/>
  <c r="H1090" i="1" s="1"/>
  <c r="D1127" i="30"/>
  <c r="K1126" i="30"/>
  <c r="H1089" i="1" s="1"/>
  <c r="D1126" i="30"/>
  <c r="K1125" i="30"/>
  <c r="H1088" i="1" s="1"/>
  <c r="D1125" i="30"/>
  <c r="K1124" i="30"/>
  <c r="H1087" i="1" s="1"/>
  <c r="D1124" i="30"/>
  <c r="K1123" i="30"/>
  <c r="H1086" i="1" s="1"/>
  <c r="D1123" i="30"/>
  <c r="K1122" i="30"/>
  <c r="H1085" i="1" s="1"/>
  <c r="D1122" i="30"/>
  <c r="K1121" i="30"/>
  <c r="H1084" i="1" s="1"/>
  <c r="D1121" i="30"/>
  <c r="K1120" i="30"/>
  <c r="H1083" i="1" s="1"/>
  <c r="D1120" i="30"/>
  <c r="K1119" i="30"/>
  <c r="H1082" i="1" s="1"/>
  <c r="D1119" i="30"/>
  <c r="K1118" i="30"/>
  <c r="H1081" i="1" s="1"/>
  <c r="D1118" i="30"/>
  <c r="K1117" i="30"/>
  <c r="H1080" i="1" s="1"/>
  <c r="D1117" i="30"/>
  <c r="K1116" i="30"/>
  <c r="H1079" i="1" s="1"/>
  <c r="D1116" i="30"/>
  <c r="K1115" i="30"/>
  <c r="H1078" i="1" s="1"/>
  <c r="D1115" i="30"/>
  <c r="K1114" i="30"/>
  <c r="H1077" i="1" s="1"/>
  <c r="D1114" i="30"/>
  <c r="K1113" i="30"/>
  <c r="H1076" i="1" s="1"/>
  <c r="D1113" i="30"/>
  <c r="K1112" i="30"/>
  <c r="H1075" i="1" s="1"/>
  <c r="D1112" i="30"/>
  <c r="K1111" i="30"/>
  <c r="H1074" i="1" s="1"/>
  <c r="D1111" i="30"/>
  <c r="K1110" i="30"/>
  <c r="H1073" i="1" s="1"/>
  <c r="D1110" i="30"/>
  <c r="K1109" i="30"/>
  <c r="H1072" i="1" s="1"/>
  <c r="D1109" i="30"/>
  <c r="K1108" i="30"/>
  <c r="H1071" i="1" s="1"/>
  <c r="D1108" i="30"/>
  <c r="K1107" i="30"/>
  <c r="H1070" i="1" s="1"/>
  <c r="D1107" i="30"/>
  <c r="K1106" i="30"/>
  <c r="H1069" i="1" s="1"/>
  <c r="D1106" i="30"/>
  <c r="K1105" i="30"/>
  <c r="D1105" i="30"/>
  <c r="K1182" i="30" l="1"/>
  <c r="H1068" i="1"/>
  <c r="J447" i="23" l="1"/>
  <c r="I447" i="23"/>
  <c r="H447" i="23"/>
  <c r="F447" i="23"/>
  <c r="D446" i="23"/>
  <c r="D445" i="23"/>
  <c r="D444" i="23"/>
  <c r="D443" i="23"/>
  <c r="D442" i="23"/>
  <c r="D441" i="23"/>
  <c r="D440" i="23"/>
  <c r="D439" i="23"/>
  <c r="D438" i="23"/>
  <c r="D437" i="23"/>
  <c r="D436" i="23"/>
  <c r="D435" i="23"/>
  <c r="D434" i="23"/>
  <c r="D433" i="23"/>
  <c r="D432" i="23"/>
  <c r="D431" i="23"/>
  <c r="D430" i="23"/>
  <c r="D429" i="23"/>
  <c r="E447" i="23"/>
  <c r="D428" i="23"/>
  <c r="D427" i="23"/>
  <c r="D426" i="23"/>
  <c r="D425" i="23"/>
  <c r="D424" i="23"/>
  <c r="D423" i="23"/>
  <c r="D422" i="23"/>
  <c r="D421" i="23"/>
  <c r="D420" i="23"/>
  <c r="D419" i="23"/>
  <c r="D418" i="23"/>
  <c r="D417" i="23"/>
  <c r="D416" i="23"/>
  <c r="I477" i="3"/>
  <c r="J477" i="3"/>
  <c r="D475" i="3"/>
  <c r="D474" i="3"/>
  <c r="D473" i="3"/>
  <c r="D472" i="3"/>
  <c r="D471" i="3"/>
  <c r="D470" i="3"/>
  <c r="D469" i="3"/>
  <c r="D468" i="3"/>
  <c r="D467" i="3"/>
  <c r="D466" i="3"/>
  <c r="D464" i="3"/>
  <c r="D463" i="3"/>
  <c r="D462" i="3"/>
  <c r="D461" i="3"/>
  <c r="D460" i="3"/>
  <c r="D459" i="3"/>
  <c r="D458" i="3"/>
  <c r="D457" i="3"/>
  <c r="D456" i="3"/>
  <c r="D455" i="3"/>
  <c r="D454" i="3"/>
  <c r="D453" i="3"/>
  <c r="D452" i="3"/>
  <c r="D451" i="3"/>
  <c r="D450" i="3"/>
  <c r="D449" i="3"/>
  <c r="D448" i="3"/>
  <c r="D447" i="3"/>
  <c r="D446" i="3"/>
  <c r="D445" i="3"/>
  <c r="F477" i="3"/>
  <c r="D444" i="3"/>
  <c r="D422" i="3"/>
  <c r="E403" i="23"/>
  <c r="J403" i="23"/>
  <c r="I403" i="23"/>
  <c r="H403" i="23"/>
  <c r="F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I428" i="3"/>
  <c r="D427" i="3"/>
  <c r="B427" i="3"/>
  <c r="D426" i="3"/>
  <c r="D425" i="3"/>
  <c r="D424" i="3"/>
  <c r="D423" i="3"/>
  <c r="J428" i="3"/>
  <c r="D420" i="3"/>
  <c r="D419" i="3"/>
  <c r="D418" i="3"/>
  <c r="D417" i="3"/>
  <c r="D416" i="3"/>
  <c r="D415" i="3"/>
  <c r="D414" i="3"/>
  <c r="D413" i="3"/>
  <c r="D412" i="3"/>
  <c r="D411" i="3"/>
  <c r="D410" i="3"/>
  <c r="D409" i="3"/>
  <c r="D407" i="3"/>
  <c r="D406" i="3"/>
  <c r="D405" i="3"/>
  <c r="D404" i="3"/>
  <c r="D403" i="3"/>
  <c r="D402" i="3"/>
  <c r="D401" i="3"/>
  <c r="D400" i="3"/>
  <c r="D399" i="3"/>
  <c r="D398" i="3"/>
  <c r="D397" i="3"/>
  <c r="F428" i="3"/>
  <c r="D396" i="3"/>
  <c r="D477" i="3" l="1"/>
  <c r="D447" i="23"/>
  <c r="G447" i="23"/>
  <c r="E477" i="3"/>
  <c r="D428" i="3"/>
  <c r="D403" i="23"/>
  <c r="G403" i="23"/>
  <c r="E428" i="3"/>
  <c r="H1064" i="30" l="1"/>
  <c r="H1055" i="30"/>
  <c r="K1054" i="30"/>
  <c r="H1052" i="1" s="1"/>
  <c r="G1052" i="1" s="1"/>
  <c r="D1054" i="30"/>
  <c r="K1053" i="30"/>
  <c r="H1051" i="1" s="1"/>
  <c r="G1051" i="1" s="1"/>
  <c r="D1053" i="30"/>
  <c r="K1052" i="30"/>
  <c r="H1050" i="1" s="1"/>
  <c r="G1050" i="1" s="1"/>
  <c r="D1052" i="30"/>
  <c r="K1051" i="30"/>
  <c r="H1049" i="1" s="1"/>
  <c r="G1049" i="1" s="1"/>
  <c r="D1051" i="30"/>
  <c r="K1050" i="30"/>
  <c r="H1048" i="1" s="1"/>
  <c r="G1048" i="1" s="1"/>
  <c r="D1050" i="30"/>
  <c r="K1049" i="30"/>
  <c r="H1047" i="1" s="1"/>
  <c r="G1047" i="1" s="1"/>
  <c r="D1049" i="30"/>
  <c r="K1048" i="30"/>
  <c r="H1046" i="1" s="1"/>
  <c r="G1046" i="1" s="1"/>
  <c r="D1048" i="30"/>
  <c r="K1047" i="30"/>
  <c r="H1045" i="1" s="1"/>
  <c r="G1045" i="1" s="1"/>
  <c r="D1047" i="30"/>
  <c r="K1046" i="30"/>
  <c r="H1044" i="1" s="1"/>
  <c r="G1044" i="1" s="1"/>
  <c r="D1046" i="30"/>
  <c r="K1045" i="30"/>
  <c r="H1043" i="1" s="1"/>
  <c r="G1043" i="1" s="1"/>
  <c r="D1045" i="30"/>
  <c r="K1044" i="30"/>
  <c r="H1042" i="1" s="1"/>
  <c r="G1042" i="1" s="1"/>
  <c r="D1044" i="30"/>
  <c r="K1043" i="30"/>
  <c r="H1041" i="1" s="1"/>
  <c r="G1041" i="1" s="1"/>
  <c r="D1043" i="30"/>
  <c r="K1042" i="30"/>
  <c r="H1040" i="1" s="1"/>
  <c r="G1040" i="1" s="1"/>
  <c r="D1042" i="30"/>
  <c r="K1041" i="30"/>
  <c r="H1039" i="1" s="1"/>
  <c r="G1039" i="1" s="1"/>
  <c r="D1041" i="30"/>
  <c r="K1040" i="30"/>
  <c r="H1038" i="1" s="1"/>
  <c r="G1038" i="1" s="1"/>
  <c r="D1040" i="30"/>
  <c r="K1039" i="30"/>
  <c r="H1037" i="1" s="1"/>
  <c r="G1037" i="1" s="1"/>
  <c r="D1039" i="30"/>
  <c r="K1038" i="30"/>
  <c r="H1036" i="1" s="1"/>
  <c r="G1036" i="1" s="1"/>
  <c r="D1038" i="30"/>
  <c r="K1037" i="30"/>
  <c r="H1035" i="1" s="1"/>
  <c r="G1035" i="1" s="1"/>
  <c r="D1037" i="30"/>
  <c r="K1036" i="30"/>
  <c r="H1034" i="1" s="1"/>
  <c r="G1034" i="1" s="1"/>
  <c r="D1036" i="30"/>
  <c r="K1035" i="30"/>
  <c r="H1033" i="1" s="1"/>
  <c r="G1033" i="1" s="1"/>
  <c r="D1035" i="30"/>
  <c r="K1034" i="30"/>
  <c r="H1032" i="1" s="1"/>
  <c r="G1032" i="1" s="1"/>
  <c r="D1034" i="30"/>
  <c r="K1033" i="30"/>
  <c r="H1031" i="1" s="1"/>
  <c r="G1031" i="1" s="1"/>
  <c r="D1033" i="30"/>
  <c r="K1032" i="30"/>
  <c r="H1030" i="1" s="1"/>
  <c r="G1030" i="1" s="1"/>
  <c r="D1032" i="30"/>
  <c r="K1031" i="30"/>
  <c r="H1029" i="1" s="1"/>
  <c r="G1029" i="1" s="1"/>
  <c r="D1031" i="30"/>
  <c r="K1030" i="30"/>
  <c r="H1028" i="1" s="1"/>
  <c r="G1028" i="1" s="1"/>
  <c r="D1030" i="30"/>
  <c r="K1029" i="30"/>
  <c r="H1027" i="1" s="1"/>
  <c r="G1027" i="1" s="1"/>
  <c r="D1029" i="30"/>
  <c r="K1028" i="30"/>
  <c r="H1026" i="1" s="1"/>
  <c r="G1026" i="1" s="1"/>
  <c r="D1028" i="30"/>
  <c r="K1027" i="30"/>
  <c r="H1025" i="1" s="1"/>
  <c r="G1025" i="1" s="1"/>
  <c r="D1027" i="30"/>
  <c r="K1026" i="30"/>
  <c r="H1024" i="1" s="1"/>
  <c r="G1024" i="1" s="1"/>
  <c r="D1026" i="30"/>
  <c r="K1025" i="30"/>
  <c r="H1023" i="1" s="1"/>
  <c r="G1023" i="1" s="1"/>
  <c r="D1025" i="30"/>
  <c r="K1024" i="30"/>
  <c r="H1022" i="1" s="1"/>
  <c r="G1022" i="1" s="1"/>
  <c r="D1024" i="30"/>
  <c r="K1023" i="30"/>
  <c r="H1021" i="1" s="1"/>
  <c r="G1021" i="1" s="1"/>
  <c r="D1023" i="30"/>
  <c r="K1022" i="30"/>
  <c r="H1020" i="1" s="1"/>
  <c r="D1022" i="30"/>
  <c r="K1021" i="30"/>
  <c r="H1019" i="1" s="1"/>
  <c r="D1021" i="30"/>
  <c r="K1020" i="30"/>
  <c r="H1018" i="1" s="1"/>
  <c r="D1020" i="30"/>
  <c r="K1019" i="30"/>
  <c r="H1017" i="1" s="1"/>
  <c r="D1019" i="30"/>
  <c r="K1018" i="30"/>
  <c r="H1016" i="1" s="1"/>
  <c r="D1018" i="30"/>
  <c r="K1017" i="30"/>
  <c r="H1015" i="1" s="1"/>
  <c r="D1017" i="30"/>
  <c r="K1016" i="30"/>
  <c r="H1014" i="1" s="1"/>
  <c r="D1016" i="30"/>
  <c r="K1015" i="30"/>
  <c r="H1013" i="1" s="1"/>
  <c r="D1015" i="30"/>
  <c r="K1014" i="30"/>
  <c r="H1012" i="1" s="1"/>
  <c r="D1014" i="30"/>
  <c r="K1013" i="30"/>
  <c r="H1011" i="1" s="1"/>
  <c r="D1013" i="30"/>
  <c r="K1012" i="30"/>
  <c r="H1010" i="1" s="1"/>
  <c r="D1012" i="30"/>
  <c r="K1011" i="30"/>
  <c r="H1009" i="1" s="1"/>
  <c r="D1011" i="30"/>
  <c r="K1010" i="30"/>
  <c r="H1008" i="1" s="1"/>
  <c r="D1010" i="30"/>
  <c r="K1009" i="30"/>
  <c r="H1007" i="1" s="1"/>
  <c r="D1009" i="30"/>
  <c r="K1008" i="30"/>
  <c r="H1006" i="1" s="1"/>
  <c r="D1008" i="30"/>
  <c r="K1007" i="30"/>
  <c r="H1005" i="1" s="1"/>
  <c r="D1007" i="30"/>
  <c r="K1006" i="30"/>
  <c r="H1004" i="1" s="1"/>
  <c r="K1005" i="30"/>
  <c r="H1003" i="1" s="1"/>
  <c r="K1004" i="30"/>
  <c r="H1002" i="1" s="1"/>
  <c r="D1004" i="30"/>
  <c r="K1003" i="30"/>
  <c r="H1001" i="1" s="1"/>
  <c r="D1003" i="30"/>
  <c r="K1002" i="30"/>
  <c r="H1000" i="1" s="1"/>
  <c r="D1002" i="30"/>
  <c r="K1001" i="30"/>
  <c r="H999" i="1" s="1"/>
  <c r="D1001" i="30"/>
  <c r="K1000" i="30"/>
  <c r="H998" i="1" s="1"/>
  <c r="D1000" i="30"/>
  <c r="K999" i="30"/>
  <c r="H997" i="1" s="1"/>
  <c r="D999" i="30"/>
  <c r="K998" i="30"/>
  <c r="H996" i="1" s="1"/>
  <c r="D998" i="30"/>
  <c r="K997" i="30"/>
  <c r="H995" i="1" s="1"/>
  <c r="D997" i="30"/>
  <c r="K996" i="30"/>
  <c r="H994" i="1" s="1"/>
  <c r="D996" i="30"/>
  <c r="K995" i="30"/>
  <c r="H993" i="1" s="1"/>
  <c r="D995" i="30"/>
  <c r="K994" i="30"/>
  <c r="H992" i="1" s="1"/>
  <c r="D994" i="30"/>
  <c r="K993" i="30"/>
  <c r="H991" i="1" s="1"/>
  <c r="D993" i="30"/>
  <c r="K992" i="30"/>
  <c r="H990" i="1" s="1"/>
  <c r="D992" i="30"/>
  <c r="K991" i="30"/>
  <c r="H989" i="1" s="1"/>
  <c r="D991" i="30"/>
  <c r="K990" i="30"/>
  <c r="H988" i="1" s="1"/>
  <c r="D990" i="30"/>
  <c r="K989" i="30"/>
  <c r="H987" i="1" s="1"/>
  <c r="D989" i="30"/>
  <c r="K988" i="30"/>
  <c r="H986" i="1" s="1"/>
  <c r="D988" i="30"/>
  <c r="K987" i="30"/>
  <c r="H985" i="1" s="1"/>
  <c r="D987" i="30"/>
  <c r="K986" i="30"/>
  <c r="H984" i="1" s="1"/>
  <c r="D986" i="30"/>
  <c r="K985" i="30"/>
  <c r="H983" i="1" s="1"/>
  <c r="D985" i="30"/>
  <c r="K984" i="30"/>
  <c r="H982" i="1" s="1"/>
  <c r="D984" i="30"/>
  <c r="K983" i="30"/>
  <c r="H981" i="1" s="1"/>
  <c r="D983" i="30"/>
  <c r="K982" i="30"/>
  <c r="H980" i="1" s="1"/>
  <c r="D982" i="30"/>
  <c r="K981" i="30"/>
  <c r="H979" i="1" s="1"/>
  <c r="D981" i="30"/>
  <c r="K980" i="30"/>
  <c r="H978" i="1" s="1"/>
  <c r="D980" i="30"/>
  <c r="K979" i="30"/>
  <c r="H977" i="1" s="1"/>
  <c r="D979" i="30"/>
  <c r="K978" i="30"/>
  <c r="H976" i="1" s="1"/>
  <c r="D978" i="30"/>
  <c r="K977" i="30"/>
  <c r="H975" i="1" s="1"/>
  <c r="D977" i="30"/>
  <c r="K976" i="30"/>
  <c r="H974" i="1" s="1"/>
  <c r="D976" i="30"/>
  <c r="K975" i="30"/>
  <c r="H973" i="1" s="1"/>
  <c r="D975" i="30"/>
  <c r="K974" i="30"/>
  <c r="H972" i="1" s="1"/>
  <c r="D974" i="30"/>
  <c r="K973" i="30"/>
  <c r="H971" i="1" s="1"/>
  <c r="D973" i="30"/>
  <c r="K972" i="30"/>
  <c r="H970" i="1" s="1"/>
  <c r="D972" i="30"/>
  <c r="K971" i="30"/>
  <c r="H969" i="1" s="1"/>
  <c r="D971" i="30"/>
  <c r="K970" i="30"/>
  <c r="H968" i="1" s="1"/>
  <c r="D970" i="30"/>
  <c r="K969" i="30"/>
  <c r="H967" i="1" s="1"/>
  <c r="D969" i="30"/>
  <c r="K968" i="30"/>
  <c r="H966" i="1" s="1"/>
  <c r="D968" i="30"/>
  <c r="K967" i="30"/>
  <c r="H965" i="1" s="1"/>
  <c r="D967" i="30"/>
  <c r="K966" i="30"/>
  <c r="H964" i="1" s="1"/>
  <c r="D966" i="30"/>
  <c r="K965" i="30"/>
  <c r="H963" i="1" s="1"/>
  <c r="D965" i="30"/>
  <c r="K964" i="30"/>
  <c r="H962" i="1" s="1"/>
  <c r="D964" i="30"/>
  <c r="K963" i="30"/>
  <c r="H961" i="1" s="1"/>
  <c r="D963" i="30"/>
  <c r="K962" i="30"/>
  <c r="H960" i="1" s="1"/>
  <c r="D962" i="30"/>
  <c r="K961" i="30"/>
  <c r="H959" i="1" s="1"/>
  <c r="D961" i="30"/>
  <c r="K960" i="30"/>
  <c r="H958" i="1" s="1"/>
  <c r="D960" i="30"/>
  <c r="K959" i="30"/>
  <c r="H957" i="1" s="1"/>
  <c r="D959" i="30"/>
  <c r="K958" i="30"/>
  <c r="H956" i="1" s="1"/>
  <c r="D958" i="30"/>
  <c r="K957" i="30"/>
  <c r="H955" i="1" s="1"/>
  <c r="D957" i="30"/>
  <c r="K956" i="30"/>
  <c r="H954" i="1" s="1"/>
  <c r="D956" i="30"/>
  <c r="K955" i="30"/>
  <c r="H953" i="1" s="1"/>
  <c r="D955" i="30"/>
  <c r="K954" i="30"/>
  <c r="H952" i="1" s="1"/>
  <c r="D954" i="30"/>
  <c r="K953" i="30"/>
  <c r="H951" i="1" s="1"/>
  <c r="D953" i="30"/>
  <c r="K1055" i="30" l="1"/>
  <c r="H1065" i="30"/>
  <c r="F422" i="26" l="1"/>
  <c r="F938" i="19" l="1"/>
  <c r="F924" i="19"/>
  <c r="F910" i="19"/>
  <c r="F372" i="26" l="1"/>
  <c r="J383" i="3" l="1"/>
  <c r="D330" i="23"/>
  <c r="D333" i="23"/>
  <c r="D337" i="23"/>
  <c r="D341" i="23"/>
  <c r="D345" i="23"/>
  <c r="D356" i="23"/>
  <c r="J358" i="23"/>
  <c r="I358" i="23"/>
  <c r="H358" i="23"/>
  <c r="F358" i="23"/>
  <c r="D357" i="23"/>
  <c r="D355" i="23"/>
  <c r="D354" i="23"/>
  <c r="D353" i="23"/>
  <c r="D352" i="23"/>
  <c r="D351" i="23"/>
  <c r="D350" i="23"/>
  <c r="D349" i="23"/>
  <c r="D348" i="23"/>
  <c r="D347" i="23"/>
  <c r="D346" i="23"/>
  <c r="D344" i="23"/>
  <c r="D343" i="23"/>
  <c r="D342" i="23"/>
  <c r="D340" i="23"/>
  <c r="D339" i="23"/>
  <c r="D338" i="23"/>
  <c r="D336" i="23"/>
  <c r="D335" i="23"/>
  <c r="D334" i="23"/>
  <c r="D332" i="23"/>
  <c r="D331" i="23"/>
  <c r="E358" i="23"/>
  <c r="D329" i="23"/>
  <c r="D328" i="23"/>
  <c r="D327" i="23"/>
  <c r="D380" i="3"/>
  <c r="D377" i="3"/>
  <c r="D375" i="3"/>
  <c r="D373" i="3"/>
  <c r="D371" i="3"/>
  <c r="D370" i="3"/>
  <c r="D369" i="3"/>
  <c r="D367" i="3"/>
  <c r="D366" i="3"/>
  <c r="D365" i="3"/>
  <c r="D363" i="3"/>
  <c r="D362" i="3"/>
  <c r="D361" i="3"/>
  <c r="D359" i="3"/>
  <c r="D358" i="3"/>
  <c r="D357" i="3"/>
  <c r="D355" i="3"/>
  <c r="D354" i="3"/>
  <c r="D353" i="3"/>
  <c r="D351" i="3"/>
  <c r="D349" i="3"/>
  <c r="D348" i="3"/>
  <c r="D350" i="3"/>
  <c r="F383" i="3"/>
  <c r="D356" i="3"/>
  <c r="D360" i="3"/>
  <c r="D364" i="3"/>
  <c r="D368" i="3"/>
  <c r="D372" i="3"/>
  <c r="D376" i="3"/>
  <c r="D379" i="3"/>
  <c r="D381" i="3"/>
  <c r="I383" i="3"/>
  <c r="D358" i="23" l="1"/>
  <c r="G358" i="23"/>
  <c r="D383" i="3"/>
  <c r="E383" i="3"/>
  <c r="H894" i="30" l="1"/>
  <c r="K893" i="30"/>
  <c r="D893" i="30"/>
  <c r="K892" i="30"/>
  <c r="D892" i="30"/>
  <c r="K891" i="30"/>
  <c r="D891" i="30"/>
  <c r="K890" i="30"/>
  <c r="D890" i="30"/>
  <c r="K889" i="30"/>
  <c r="D889" i="30"/>
  <c r="K888" i="30"/>
  <c r="D888" i="30"/>
  <c r="K887" i="30"/>
  <c r="D887" i="30"/>
  <c r="K886" i="30"/>
  <c r="D886" i="30"/>
  <c r="K885" i="30"/>
  <c r="D885" i="30"/>
  <c r="K884" i="30"/>
  <c r="D884" i="30"/>
  <c r="K883" i="30"/>
  <c r="D883" i="30"/>
  <c r="K882" i="30"/>
  <c r="D882" i="30"/>
  <c r="K881" i="30"/>
  <c r="D881" i="30"/>
  <c r="K880" i="30"/>
  <c r="D880" i="30"/>
  <c r="K879" i="30"/>
  <c r="D879" i="30"/>
  <c r="K878" i="30"/>
  <c r="D878" i="30"/>
  <c r="K877" i="30"/>
  <c r="D877" i="30"/>
  <c r="K876" i="30"/>
  <c r="D876" i="30"/>
  <c r="K875" i="30"/>
  <c r="D875" i="30"/>
  <c r="K874" i="30"/>
  <c r="D874" i="30"/>
  <c r="K873" i="30"/>
  <c r="D873" i="30"/>
  <c r="K872" i="30"/>
  <c r="D872" i="30"/>
  <c r="K871" i="30"/>
  <c r="D871" i="30"/>
  <c r="K870" i="30"/>
  <c r="D870" i="30"/>
  <c r="K869" i="30"/>
  <c r="D869" i="30"/>
  <c r="K868" i="30"/>
  <c r="D868" i="30"/>
  <c r="K867" i="30"/>
  <c r="D867" i="30"/>
  <c r="K866" i="30"/>
  <c r="D866" i="30"/>
  <c r="K865" i="30"/>
  <c r="D865" i="30"/>
  <c r="K864" i="30"/>
  <c r="D864" i="30"/>
  <c r="K863" i="30"/>
  <c r="D863" i="30"/>
  <c r="K862" i="30"/>
  <c r="D862" i="30"/>
  <c r="K861" i="30"/>
  <c r="D861" i="30"/>
  <c r="K860" i="30"/>
  <c r="D860" i="30"/>
  <c r="K859" i="30"/>
  <c r="D859" i="30"/>
  <c r="K858" i="30"/>
  <c r="D858" i="30"/>
  <c r="K857" i="30"/>
  <c r="D857" i="30"/>
  <c r="K856" i="30"/>
  <c r="D856" i="30"/>
  <c r="K855" i="30"/>
  <c r="D855" i="30"/>
  <c r="K854" i="30"/>
  <c r="D854" i="30"/>
  <c r="K853" i="30"/>
  <c r="D853" i="30"/>
  <c r="K852" i="30"/>
  <c r="D852" i="30"/>
  <c r="K851" i="30"/>
  <c r="D851" i="30"/>
  <c r="K850" i="30"/>
  <c r="D850" i="30"/>
  <c r="K849" i="30"/>
  <c r="D849" i="30"/>
  <c r="K848" i="30"/>
  <c r="D848" i="30"/>
  <c r="K847" i="30"/>
  <c r="D847" i="30"/>
  <c r="K846" i="30"/>
  <c r="D846" i="30"/>
  <c r="K845" i="30"/>
  <c r="D845" i="30"/>
  <c r="K844" i="30"/>
  <c r="D844" i="30"/>
  <c r="K843" i="30"/>
  <c r="D843" i="30"/>
  <c r="K842" i="30"/>
  <c r="D842" i="30"/>
  <c r="K841" i="30"/>
  <c r="D841" i="30"/>
  <c r="K840" i="30"/>
  <c r="D840" i="30"/>
  <c r="K839" i="30"/>
  <c r="D839" i="30"/>
  <c r="K838" i="30"/>
  <c r="D838" i="30"/>
  <c r="K837" i="30"/>
  <c r="D837" i="30"/>
  <c r="K836" i="30"/>
  <c r="D836" i="30"/>
  <c r="K835" i="30"/>
  <c r="D835" i="30"/>
  <c r="K834" i="30"/>
  <c r="D834" i="30"/>
  <c r="K833" i="30"/>
  <c r="D833" i="30"/>
  <c r="K832" i="30"/>
  <c r="D832" i="30"/>
  <c r="K831" i="30"/>
  <c r="D831" i="30"/>
  <c r="K830" i="30"/>
  <c r="D830" i="30"/>
  <c r="K829" i="30"/>
  <c r="D829" i="30"/>
  <c r="K828" i="30"/>
  <c r="D828" i="30"/>
  <c r="K827" i="30"/>
  <c r="D827" i="30"/>
  <c r="K826" i="30"/>
  <c r="D826" i="30"/>
  <c r="K825" i="30"/>
  <c r="D825" i="30"/>
  <c r="K824" i="30"/>
  <c r="D824" i="30"/>
  <c r="K823" i="30"/>
  <c r="D823" i="30"/>
  <c r="K822" i="30"/>
  <c r="D822" i="30"/>
  <c r="K821" i="30"/>
  <c r="D821" i="30"/>
  <c r="K820" i="30"/>
  <c r="D820" i="30"/>
  <c r="K819" i="30"/>
  <c r="D819" i="30"/>
  <c r="K818" i="30"/>
  <c r="D818" i="30"/>
  <c r="K817" i="30"/>
  <c r="D817" i="30"/>
  <c r="K816" i="30"/>
  <c r="D816" i="30"/>
  <c r="K815" i="30"/>
  <c r="D815" i="30"/>
  <c r="K814" i="30"/>
  <c r="D814" i="30"/>
  <c r="K813" i="30"/>
  <c r="D813" i="30"/>
  <c r="K812" i="30"/>
  <c r="D812" i="30"/>
  <c r="K811" i="30"/>
  <c r="D811" i="30"/>
  <c r="K810" i="30"/>
  <c r="D810" i="30"/>
  <c r="K809" i="30"/>
  <c r="D809" i="30"/>
  <c r="K808" i="30"/>
  <c r="D808" i="30"/>
  <c r="K807" i="30"/>
  <c r="D807" i="30"/>
  <c r="K806" i="30"/>
  <c r="D806" i="30"/>
  <c r="K805" i="30"/>
  <c r="D805" i="30"/>
  <c r="K804" i="30"/>
  <c r="D804" i="30"/>
  <c r="K803" i="30"/>
  <c r="D803" i="30"/>
  <c r="K894" i="30" l="1"/>
  <c r="F828" i="19" l="1"/>
  <c r="F814" i="19"/>
  <c r="F800" i="19"/>
  <c r="J313" i="23"/>
  <c r="I313" i="23"/>
  <c r="H313" i="23"/>
  <c r="F313" i="23"/>
  <c r="D312" i="23"/>
  <c r="D311" i="23"/>
  <c r="D310" i="23"/>
  <c r="D309" i="23"/>
  <c r="D308" i="23"/>
  <c r="D307" i="23"/>
  <c r="E313"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F333" i="3"/>
  <c r="J333" i="3"/>
  <c r="I333" i="3"/>
  <c r="D313" i="23" l="1"/>
  <c r="G313" i="23"/>
  <c r="E333" i="3" l="1"/>
  <c r="D300" i="3"/>
  <c r="D333" i="3" s="1"/>
  <c r="K679" i="30" l="1"/>
  <c r="H742" i="1" s="1"/>
  <c r="G742" i="1" s="1"/>
  <c r="K680" i="30"/>
  <c r="H743" i="1" s="1"/>
  <c r="G743" i="1" s="1"/>
  <c r="K681" i="30"/>
  <c r="H744" i="1" s="1"/>
  <c r="G744" i="1" s="1"/>
  <c r="K682" i="30"/>
  <c r="H745" i="1" s="1"/>
  <c r="G745" i="1" s="1"/>
  <c r="H749" i="30"/>
  <c r="K742" i="30"/>
  <c r="H805" i="1" s="1"/>
  <c r="G805" i="1" s="1"/>
  <c r="D742" i="30"/>
  <c r="K741" i="30"/>
  <c r="H804" i="1" s="1"/>
  <c r="G804" i="1" s="1"/>
  <c r="D741" i="30"/>
  <c r="K740" i="30"/>
  <c r="H803" i="1" s="1"/>
  <c r="G803" i="1" s="1"/>
  <c r="D740" i="30"/>
  <c r="K739" i="30"/>
  <c r="H802" i="1" s="1"/>
  <c r="G802" i="1" s="1"/>
  <c r="D739" i="30"/>
  <c r="K738" i="30"/>
  <c r="H801" i="1" s="1"/>
  <c r="G801" i="1" s="1"/>
  <c r="D738" i="30"/>
  <c r="K737" i="30"/>
  <c r="H800" i="1" s="1"/>
  <c r="G800" i="1" s="1"/>
  <c r="D737" i="30"/>
  <c r="K736" i="30"/>
  <c r="H799" i="1" s="1"/>
  <c r="G799" i="1" s="1"/>
  <c r="D736" i="30"/>
  <c r="K735" i="30"/>
  <c r="H798" i="1" s="1"/>
  <c r="G798" i="1" s="1"/>
  <c r="D735" i="30"/>
  <c r="K734" i="30"/>
  <c r="H797" i="1" s="1"/>
  <c r="G797" i="1" s="1"/>
  <c r="D734" i="30"/>
  <c r="K733" i="30"/>
  <c r="H796" i="1" s="1"/>
  <c r="G796" i="1" s="1"/>
  <c r="D733" i="30"/>
  <c r="K732" i="30"/>
  <c r="H795" i="1" s="1"/>
  <c r="G795" i="1" s="1"/>
  <c r="D732" i="30"/>
  <c r="K731" i="30"/>
  <c r="H794" i="1" s="1"/>
  <c r="G794" i="1" s="1"/>
  <c r="D731" i="30"/>
  <c r="K730" i="30"/>
  <c r="H793" i="1" s="1"/>
  <c r="G793" i="1" s="1"/>
  <c r="D730" i="30"/>
  <c r="K729" i="30"/>
  <c r="H792" i="1" s="1"/>
  <c r="G792" i="1" s="1"/>
  <c r="D729" i="30"/>
  <c r="K728" i="30"/>
  <c r="H791" i="1" s="1"/>
  <c r="G791" i="1" s="1"/>
  <c r="D728" i="30"/>
  <c r="K727" i="30"/>
  <c r="H790" i="1" s="1"/>
  <c r="G790" i="1" s="1"/>
  <c r="D727" i="30"/>
  <c r="K726" i="30"/>
  <c r="H789" i="1" s="1"/>
  <c r="G789" i="1" s="1"/>
  <c r="D726" i="30"/>
  <c r="K725" i="30"/>
  <c r="H788" i="1" s="1"/>
  <c r="G788" i="1" s="1"/>
  <c r="D725" i="30"/>
  <c r="K724" i="30"/>
  <c r="H787" i="1" s="1"/>
  <c r="G787" i="1" s="1"/>
  <c r="D724" i="30"/>
  <c r="K723" i="30"/>
  <c r="H786" i="1" s="1"/>
  <c r="G786" i="1" s="1"/>
  <c r="D723" i="30"/>
  <c r="K722" i="30"/>
  <c r="H785" i="1" s="1"/>
  <c r="G785" i="1" s="1"/>
  <c r="D722" i="30"/>
  <c r="K721" i="30"/>
  <c r="H784" i="1" s="1"/>
  <c r="G784" i="1" s="1"/>
  <c r="D721" i="30"/>
  <c r="K720" i="30"/>
  <c r="H783" i="1" s="1"/>
  <c r="G783" i="1" s="1"/>
  <c r="D720" i="30"/>
  <c r="K719" i="30"/>
  <c r="H782" i="1" s="1"/>
  <c r="G782" i="1" s="1"/>
  <c r="D719" i="30"/>
  <c r="K718" i="30"/>
  <c r="H781" i="1" s="1"/>
  <c r="G781" i="1" s="1"/>
  <c r="D718" i="30"/>
  <c r="K717" i="30"/>
  <c r="H780" i="1" s="1"/>
  <c r="G780" i="1" s="1"/>
  <c r="D717" i="30"/>
  <c r="K716" i="30"/>
  <c r="H779" i="1" s="1"/>
  <c r="G779" i="1" s="1"/>
  <c r="D716" i="30"/>
  <c r="K715" i="30"/>
  <c r="H778" i="1" s="1"/>
  <c r="G778" i="1" s="1"/>
  <c r="D715" i="30"/>
  <c r="K714" i="30"/>
  <c r="H777" i="1" s="1"/>
  <c r="G777" i="1" s="1"/>
  <c r="D714" i="30"/>
  <c r="K713" i="30"/>
  <c r="H776" i="1" s="1"/>
  <c r="G776" i="1" s="1"/>
  <c r="D713" i="30"/>
  <c r="K712" i="30"/>
  <c r="H775" i="1" s="1"/>
  <c r="G775" i="1" s="1"/>
  <c r="D712" i="30"/>
  <c r="K711" i="30"/>
  <c r="H774" i="1" s="1"/>
  <c r="G774" i="1" s="1"/>
  <c r="D711" i="30"/>
  <c r="K710" i="30"/>
  <c r="H773" i="1" s="1"/>
  <c r="G773" i="1" s="1"/>
  <c r="D710" i="30"/>
  <c r="K709" i="30"/>
  <c r="H772" i="1" s="1"/>
  <c r="G772" i="1" s="1"/>
  <c r="D709" i="30"/>
  <c r="K708" i="30"/>
  <c r="H771" i="1" s="1"/>
  <c r="G771" i="1" s="1"/>
  <c r="D708" i="30"/>
  <c r="K707" i="30"/>
  <c r="H770" i="1" s="1"/>
  <c r="G770" i="1" s="1"/>
  <c r="D707" i="30"/>
  <c r="K706" i="30"/>
  <c r="H769" i="1" s="1"/>
  <c r="G769" i="1" s="1"/>
  <c r="D706" i="30"/>
  <c r="K705" i="30"/>
  <c r="H768" i="1" s="1"/>
  <c r="G768" i="1" s="1"/>
  <c r="D705" i="30"/>
  <c r="K704" i="30"/>
  <c r="H767" i="1" s="1"/>
  <c r="G767" i="1" s="1"/>
  <c r="D704" i="30"/>
  <c r="K703" i="30"/>
  <c r="H766" i="1" s="1"/>
  <c r="G766" i="1" s="1"/>
  <c r="D703" i="30"/>
  <c r="K702" i="30"/>
  <c r="H765" i="1" s="1"/>
  <c r="G765" i="1" s="1"/>
  <c r="D702" i="30"/>
  <c r="K701" i="30"/>
  <c r="H764" i="1" s="1"/>
  <c r="G764" i="1" s="1"/>
  <c r="D701" i="30"/>
  <c r="K700" i="30"/>
  <c r="H763" i="1" s="1"/>
  <c r="G763" i="1" s="1"/>
  <c r="D700" i="30"/>
  <c r="K699" i="30"/>
  <c r="H762" i="1" s="1"/>
  <c r="G762" i="1" s="1"/>
  <c r="D699" i="30"/>
  <c r="K698" i="30"/>
  <c r="H761" i="1" s="1"/>
  <c r="G761" i="1" s="1"/>
  <c r="D698" i="30"/>
  <c r="K697" i="30"/>
  <c r="H760" i="1" s="1"/>
  <c r="G760" i="1" s="1"/>
  <c r="D697" i="30"/>
  <c r="K696" i="30"/>
  <c r="H759" i="1" s="1"/>
  <c r="G759" i="1" s="1"/>
  <c r="D696" i="30"/>
  <c r="K695" i="30"/>
  <c r="H758" i="1" s="1"/>
  <c r="G758" i="1" s="1"/>
  <c r="D695" i="30"/>
  <c r="K694" i="30"/>
  <c r="H757" i="1" s="1"/>
  <c r="G757" i="1" s="1"/>
  <c r="D694" i="30"/>
  <c r="K693" i="30"/>
  <c r="H756" i="1" s="1"/>
  <c r="G756" i="1" s="1"/>
  <c r="D693" i="30"/>
  <c r="K692" i="30"/>
  <c r="H755" i="1" s="1"/>
  <c r="G755" i="1" s="1"/>
  <c r="D692" i="30"/>
  <c r="K691" i="30"/>
  <c r="H754" i="1" s="1"/>
  <c r="G754" i="1" s="1"/>
  <c r="D691" i="30"/>
  <c r="K690" i="30"/>
  <c r="H753" i="1" s="1"/>
  <c r="G753" i="1" s="1"/>
  <c r="D690" i="30"/>
  <c r="K689" i="30"/>
  <c r="H752" i="1" s="1"/>
  <c r="G752" i="1" s="1"/>
  <c r="D689" i="30"/>
  <c r="K688" i="30"/>
  <c r="H751" i="1" s="1"/>
  <c r="G751" i="1" s="1"/>
  <c r="D688" i="30"/>
  <c r="K687" i="30"/>
  <c r="H750" i="1" s="1"/>
  <c r="G750" i="1" s="1"/>
  <c r="D687" i="30"/>
  <c r="K686" i="30"/>
  <c r="H749" i="1" s="1"/>
  <c r="G749" i="1" s="1"/>
  <c r="D686" i="30"/>
  <c r="K685" i="30"/>
  <c r="H748" i="1" s="1"/>
  <c r="G748" i="1" s="1"/>
  <c r="D685" i="30"/>
  <c r="K684" i="30"/>
  <c r="H747" i="1" s="1"/>
  <c r="G747" i="1" s="1"/>
  <c r="D684" i="30"/>
  <c r="K683" i="30"/>
  <c r="H746" i="1" s="1"/>
  <c r="G746" i="1" s="1"/>
  <c r="D683" i="30"/>
  <c r="D679" i="30"/>
  <c r="K678" i="30"/>
  <c r="H741" i="1" s="1"/>
  <c r="G741" i="1" s="1"/>
  <c r="D678" i="30"/>
  <c r="K677" i="30"/>
  <c r="H740" i="1" s="1"/>
  <c r="G740" i="1" s="1"/>
  <c r="D677" i="30"/>
  <c r="K676" i="30"/>
  <c r="H739" i="1" s="1"/>
  <c r="G739" i="1" s="1"/>
  <c r="D676" i="30"/>
  <c r="K675" i="30"/>
  <c r="H738" i="1" s="1"/>
  <c r="G738" i="1" s="1"/>
  <c r="D675" i="30"/>
  <c r="K674" i="30"/>
  <c r="H737" i="1" s="1"/>
  <c r="G737" i="1" s="1"/>
  <c r="D674" i="30"/>
  <c r="K673" i="30"/>
  <c r="H736" i="1" s="1"/>
  <c r="G736" i="1" s="1"/>
  <c r="D673" i="30"/>
  <c r="K672" i="30"/>
  <c r="H735" i="1" s="1"/>
  <c r="G735" i="1" s="1"/>
  <c r="D672" i="30"/>
  <c r="K671" i="30"/>
  <c r="H734" i="1" s="1"/>
  <c r="G734" i="1" s="1"/>
  <c r="D671" i="30"/>
  <c r="K670" i="30"/>
  <c r="H733" i="1" s="1"/>
  <c r="G733" i="1" s="1"/>
  <c r="D670" i="30"/>
  <c r="K669" i="30"/>
  <c r="H732" i="1" s="1"/>
  <c r="G732" i="1" s="1"/>
  <c r="D669" i="30"/>
  <c r="K668" i="30"/>
  <c r="H731" i="1" s="1"/>
  <c r="G731" i="1" s="1"/>
  <c r="D668" i="30"/>
  <c r="K667" i="30"/>
  <c r="H730" i="1" s="1"/>
  <c r="G730" i="1" s="1"/>
  <c r="D667" i="30"/>
  <c r="K666" i="30"/>
  <c r="H729" i="1" s="1"/>
  <c r="G729" i="1" s="1"/>
  <c r="D666" i="30"/>
  <c r="K665" i="30"/>
  <c r="H728" i="1" s="1"/>
  <c r="G728" i="1" s="1"/>
  <c r="D665" i="30"/>
  <c r="K664" i="30"/>
  <c r="H727" i="1" s="1"/>
  <c r="G727" i="1" s="1"/>
  <c r="D664" i="30"/>
  <c r="K663" i="30"/>
  <c r="H726" i="1" s="1"/>
  <c r="G726" i="1" s="1"/>
  <c r="D663" i="30"/>
  <c r="K662" i="30"/>
  <c r="H725" i="1" s="1"/>
  <c r="G725" i="1" s="1"/>
  <c r="D662" i="30"/>
  <c r="K661" i="30"/>
  <c r="H724" i="1" s="1"/>
  <c r="G724" i="1" s="1"/>
  <c r="D661" i="30"/>
  <c r="K660" i="30"/>
  <c r="H723" i="1" s="1"/>
  <c r="G723" i="1" s="1"/>
  <c r="D660" i="30"/>
  <c r="K659" i="30"/>
  <c r="H722" i="1" s="1"/>
  <c r="G722" i="1" s="1"/>
  <c r="D659" i="30"/>
  <c r="K658" i="30"/>
  <c r="H721" i="1" s="1"/>
  <c r="G721" i="1" s="1"/>
  <c r="D658" i="30"/>
  <c r="K657" i="30"/>
  <c r="H720" i="1" s="1"/>
  <c r="G720" i="1" s="1"/>
  <c r="D657" i="30"/>
  <c r="K656" i="30"/>
  <c r="H719" i="1" s="1"/>
  <c r="G719" i="1" s="1"/>
  <c r="D656" i="30"/>
  <c r="K655" i="30"/>
  <c r="H718" i="1" s="1"/>
  <c r="G718" i="1" s="1"/>
  <c r="D655" i="30"/>
  <c r="K654" i="30"/>
  <c r="H717" i="1" s="1"/>
  <c r="G717" i="1" s="1"/>
  <c r="D654" i="30"/>
  <c r="K653" i="30"/>
  <c r="H716" i="1" s="1"/>
  <c r="G716" i="1" s="1"/>
  <c r="D653" i="30"/>
  <c r="L679" i="30" l="1"/>
  <c r="H743" i="30"/>
  <c r="H750" i="30" s="1"/>
  <c r="K743" i="30"/>
  <c r="A325" i="26" l="1"/>
  <c r="F323" i="26" l="1"/>
  <c r="F718" i="19" l="1"/>
  <c r="F704" i="19"/>
  <c r="F690" i="19"/>
  <c r="H601" i="1" l="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G673" i="1" s="1"/>
  <c r="H674" i="1"/>
  <c r="G674" i="1" s="1"/>
  <c r="H675" i="1"/>
  <c r="G675" i="1" s="1"/>
  <c r="H676" i="1"/>
  <c r="G676" i="1" s="1"/>
  <c r="H677" i="1"/>
  <c r="G677" i="1" s="1"/>
  <c r="H678" i="1"/>
  <c r="G678" i="1" s="1"/>
  <c r="H679" i="1"/>
  <c r="G679" i="1" s="1"/>
  <c r="H680" i="1"/>
  <c r="G680" i="1" s="1"/>
  <c r="H681" i="1"/>
  <c r="G681" i="1" s="1"/>
  <c r="H682" i="1"/>
  <c r="G682" i="1" s="1"/>
  <c r="H683" i="1"/>
  <c r="G683" i="1" s="1"/>
  <c r="H684" i="1"/>
  <c r="G684" i="1" s="1"/>
  <c r="H685" i="1"/>
  <c r="G685" i="1" s="1"/>
  <c r="H686" i="1"/>
  <c r="G686" i="1" s="1"/>
  <c r="H687" i="1"/>
  <c r="G687" i="1" s="1"/>
  <c r="H688" i="1"/>
  <c r="G688" i="1" s="1"/>
  <c r="H689" i="1"/>
  <c r="G689" i="1" s="1"/>
  <c r="H690" i="1"/>
  <c r="G690" i="1" s="1"/>
  <c r="H600" i="1"/>
  <c r="B685" i="1"/>
  <c r="B686" i="1" s="1"/>
  <c r="B687" i="1" s="1"/>
  <c r="B688" i="1" s="1"/>
  <c r="B689" i="1" s="1"/>
  <c r="B690" i="1" s="1"/>
  <c r="B668" i="1"/>
  <c r="B669" i="1" s="1"/>
  <c r="B670" i="1" s="1"/>
  <c r="B671" i="1" s="1"/>
  <c r="B672" i="1" s="1"/>
  <c r="B673" i="1" s="1"/>
  <c r="B674" i="1" s="1"/>
  <c r="B675" i="1" s="1"/>
  <c r="B676" i="1" s="1"/>
  <c r="B677" i="1" s="1"/>
  <c r="B678" i="1" s="1"/>
  <c r="B679" i="1" s="1"/>
  <c r="B680" i="1" s="1"/>
  <c r="B681" i="1" s="1"/>
  <c r="B653" i="1"/>
  <c r="B654" i="1" s="1"/>
  <c r="B655" i="1" s="1"/>
  <c r="B656" i="1" s="1"/>
  <c r="B657" i="1" s="1"/>
  <c r="B658" i="1" s="1"/>
  <c r="B659" i="1" s="1"/>
  <c r="B660" i="1" s="1"/>
  <c r="B661" i="1" s="1"/>
  <c r="B662" i="1" s="1"/>
  <c r="B663" i="1" s="1"/>
  <c r="B664" i="1" s="1"/>
  <c r="B607" i="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00" i="1"/>
  <c r="B601" i="1" s="1"/>
  <c r="B602" i="1" s="1"/>
  <c r="B603" i="1" s="1"/>
  <c r="B589" i="30"/>
  <c r="B590" i="30" s="1"/>
  <c r="B591" i="30" s="1"/>
  <c r="B592" i="30" s="1"/>
  <c r="B593" i="30" s="1"/>
  <c r="B594" i="30" s="1"/>
  <c r="B572" i="30"/>
  <c r="B573" i="30" s="1"/>
  <c r="B574" i="30" s="1"/>
  <c r="B575" i="30" s="1"/>
  <c r="B576" i="30" s="1"/>
  <c r="B577" i="30" s="1"/>
  <c r="B578" i="30" s="1"/>
  <c r="B579" i="30" s="1"/>
  <c r="B580" i="30" s="1"/>
  <c r="B581" i="30" s="1"/>
  <c r="B582" i="30" s="1"/>
  <c r="B583" i="30" s="1"/>
  <c r="B584" i="30" s="1"/>
  <c r="B585" i="30" s="1"/>
  <c r="B557" i="30"/>
  <c r="B558" i="30" s="1"/>
  <c r="B559" i="30" s="1"/>
  <c r="B560" i="30" s="1"/>
  <c r="B561" i="30" s="1"/>
  <c r="B562" i="30" s="1"/>
  <c r="B563" i="30" s="1"/>
  <c r="B564" i="30" s="1"/>
  <c r="B565" i="30" s="1"/>
  <c r="B566" i="30" s="1"/>
  <c r="B567" i="30" s="1"/>
  <c r="B568" i="30" s="1"/>
  <c r="B511" i="30"/>
  <c r="B512" i="30" s="1"/>
  <c r="B513" i="30" s="1"/>
  <c r="B514" i="30" s="1"/>
  <c r="B515" i="30" s="1"/>
  <c r="B516" i="30" s="1"/>
  <c r="B517" i="30" s="1"/>
  <c r="B518" i="30" s="1"/>
  <c r="B519" i="30" s="1"/>
  <c r="B520" i="30" s="1"/>
  <c r="B521" i="30" s="1"/>
  <c r="B522" i="30" s="1"/>
  <c r="B523" i="30" s="1"/>
  <c r="B524" i="30" s="1"/>
  <c r="B525" i="30" s="1"/>
  <c r="B526" i="30" s="1"/>
  <c r="B527" i="30" s="1"/>
  <c r="B528" i="30" s="1"/>
  <c r="B529" i="30" s="1"/>
  <c r="B530" i="30" s="1"/>
  <c r="B531" i="30" s="1"/>
  <c r="B532" i="30" s="1"/>
  <c r="B533" i="30" s="1"/>
  <c r="B534" i="30" s="1"/>
  <c r="B535" i="30" s="1"/>
  <c r="B536" i="30" s="1"/>
  <c r="B537" i="30" s="1"/>
  <c r="B538" i="30" s="1"/>
  <c r="B539" i="30" s="1"/>
  <c r="B540" i="30" s="1"/>
  <c r="B541" i="30" s="1"/>
  <c r="B542" i="30" s="1"/>
  <c r="B543" i="30" s="1"/>
  <c r="B544" i="30" s="1"/>
  <c r="B545" i="30" s="1"/>
  <c r="B504" i="30"/>
  <c r="B505" i="30" s="1"/>
  <c r="B506" i="30" s="1"/>
  <c r="B507" i="30" s="1"/>
  <c r="H599" i="30"/>
  <c r="H595" i="30"/>
  <c r="K594" i="30"/>
  <c r="D594" i="30"/>
  <c r="K593" i="30"/>
  <c r="D593" i="30"/>
  <c r="K592" i="30"/>
  <c r="D592" i="30"/>
  <c r="K591" i="30"/>
  <c r="D591" i="30"/>
  <c r="K590" i="30"/>
  <c r="D590" i="30"/>
  <c r="K589" i="30"/>
  <c r="D589" i="30"/>
  <c r="K588" i="30"/>
  <c r="D588" i="30"/>
  <c r="K587" i="30"/>
  <c r="D587" i="30"/>
  <c r="K586" i="30"/>
  <c r="D586" i="30"/>
  <c r="K585" i="30"/>
  <c r="D585" i="30"/>
  <c r="K584" i="30"/>
  <c r="D584" i="30"/>
  <c r="K583" i="30"/>
  <c r="D583" i="30"/>
  <c r="K582" i="30"/>
  <c r="D582" i="30"/>
  <c r="K581" i="30"/>
  <c r="D581" i="30"/>
  <c r="K580" i="30"/>
  <c r="D580" i="30"/>
  <c r="K579" i="30"/>
  <c r="D579" i="30"/>
  <c r="K578" i="30"/>
  <c r="D578" i="30"/>
  <c r="K577" i="30"/>
  <c r="D577" i="30"/>
  <c r="K576" i="30"/>
  <c r="D576" i="30"/>
  <c r="K575" i="30"/>
  <c r="D575" i="30"/>
  <c r="K574" i="30"/>
  <c r="D574" i="30"/>
  <c r="K573" i="30"/>
  <c r="D573" i="30"/>
  <c r="K572" i="30"/>
  <c r="D572" i="30"/>
  <c r="K571" i="30"/>
  <c r="D571" i="30"/>
  <c r="K570" i="30"/>
  <c r="D570" i="30"/>
  <c r="K569" i="30"/>
  <c r="D569" i="30"/>
  <c r="K568" i="30"/>
  <c r="D568" i="30"/>
  <c r="K567" i="30"/>
  <c r="D567" i="30"/>
  <c r="K566" i="30"/>
  <c r="D566" i="30"/>
  <c r="K565" i="30"/>
  <c r="D565" i="30"/>
  <c r="K564" i="30"/>
  <c r="D564" i="30"/>
  <c r="K563" i="30"/>
  <c r="D563" i="30"/>
  <c r="K562" i="30"/>
  <c r="D562" i="30"/>
  <c r="K561" i="30"/>
  <c r="D561" i="30"/>
  <c r="K560" i="30"/>
  <c r="D560" i="30"/>
  <c r="K559" i="30"/>
  <c r="D559" i="30"/>
  <c r="K558" i="30"/>
  <c r="D558" i="30"/>
  <c r="K557" i="30"/>
  <c r="D557" i="30"/>
  <c r="K556" i="30"/>
  <c r="D556" i="30"/>
  <c r="K555" i="30"/>
  <c r="D555" i="30"/>
  <c r="K554" i="30"/>
  <c r="D554" i="30"/>
  <c r="K553" i="30"/>
  <c r="D553" i="30"/>
  <c r="K552" i="30"/>
  <c r="D552" i="30"/>
  <c r="K551" i="30"/>
  <c r="D551" i="30"/>
  <c r="K550" i="30"/>
  <c r="D550" i="30"/>
  <c r="K549" i="30"/>
  <c r="D549" i="30"/>
  <c r="K548" i="30"/>
  <c r="D548" i="30"/>
  <c r="K547" i="30"/>
  <c r="D547" i="30"/>
  <c r="K546" i="30"/>
  <c r="D546" i="30"/>
  <c r="K545" i="30"/>
  <c r="D545" i="30"/>
  <c r="K544" i="30"/>
  <c r="D544" i="30"/>
  <c r="K543" i="30"/>
  <c r="D543" i="30"/>
  <c r="K542" i="30"/>
  <c r="D542" i="30"/>
  <c r="K541" i="30"/>
  <c r="D541" i="30"/>
  <c r="K540" i="30"/>
  <c r="D540" i="30"/>
  <c r="K539" i="30"/>
  <c r="D539" i="30"/>
  <c r="K538" i="30"/>
  <c r="D538" i="30"/>
  <c r="K537" i="30"/>
  <c r="D537" i="30"/>
  <c r="K536" i="30"/>
  <c r="D536" i="30"/>
  <c r="K535" i="30"/>
  <c r="D535" i="30"/>
  <c r="K534" i="30"/>
  <c r="D534" i="30"/>
  <c r="K533" i="30"/>
  <c r="D533" i="30"/>
  <c r="K532" i="30"/>
  <c r="D532" i="30"/>
  <c r="K531" i="30"/>
  <c r="D531" i="30"/>
  <c r="K530" i="30"/>
  <c r="D530" i="30"/>
  <c r="K529" i="30"/>
  <c r="D529" i="30"/>
  <c r="K528" i="30"/>
  <c r="D528" i="30"/>
  <c r="K527" i="30"/>
  <c r="D527" i="30"/>
  <c r="K526" i="30"/>
  <c r="D526" i="30"/>
  <c r="K525" i="30"/>
  <c r="D525" i="30"/>
  <c r="K524" i="30"/>
  <c r="D524" i="30"/>
  <c r="K523" i="30"/>
  <c r="D523" i="30"/>
  <c r="K522" i="30"/>
  <c r="D522" i="30"/>
  <c r="K521" i="30"/>
  <c r="D521" i="30"/>
  <c r="K520" i="30"/>
  <c r="D520" i="30"/>
  <c r="K519" i="30"/>
  <c r="D519" i="30"/>
  <c r="K518" i="30"/>
  <c r="D518" i="30"/>
  <c r="K517" i="30"/>
  <c r="D517" i="30"/>
  <c r="K516" i="30"/>
  <c r="D516" i="30"/>
  <c r="K515" i="30"/>
  <c r="D515" i="30"/>
  <c r="K514" i="30"/>
  <c r="D514" i="30"/>
  <c r="K513" i="30"/>
  <c r="D513" i="30"/>
  <c r="K512" i="30"/>
  <c r="D512" i="30"/>
  <c r="K511" i="30"/>
  <c r="D511" i="30"/>
  <c r="K510" i="30"/>
  <c r="D510" i="30"/>
  <c r="K509" i="30"/>
  <c r="D509" i="30"/>
  <c r="K508" i="30"/>
  <c r="D508" i="30"/>
  <c r="K507" i="30"/>
  <c r="D507" i="30"/>
  <c r="K506" i="30"/>
  <c r="D506" i="30"/>
  <c r="K505" i="30"/>
  <c r="D505" i="30"/>
  <c r="K504" i="30"/>
  <c r="D504" i="30"/>
  <c r="K503" i="30"/>
  <c r="D503" i="30"/>
  <c r="K595" i="30" l="1"/>
  <c r="H599" i="1"/>
  <c r="H600" i="30"/>
  <c r="J268" i="23"/>
  <c r="I268" i="23"/>
  <c r="H268" i="23"/>
  <c r="F268" i="23"/>
  <c r="E268"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J285" i="3"/>
  <c r="I285" i="3"/>
  <c r="D284" i="3"/>
  <c r="D283" i="3"/>
  <c r="D282" i="3"/>
  <c r="D281" i="3"/>
  <c r="D280" i="3"/>
  <c r="D279" i="3"/>
  <c r="D278" i="3"/>
  <c r="D276" i="3"/>
  <c r="D275" i="3"/>
  <c r="D274" i="3"/>
  <c r="D273" i="3"/>
  <c r="D272" i="3"/>
  <c r="D271" i="3"/>
  <c r="D269" i="3"/>
  <c r="D268" i="3"/>
  <c r="D267" i="3"/>
  <c r="D266" i="3"/>
  <c r="D265" i="3"/>
  <c r="D264" i="3"/>
  <c r="D263" i="3"/>
  <c r="D262" i="3"/>
  <c r="D261" i="3"/>
  <c r="D260" i="3"/>
  <c r="D259" i="3"/>
  <c r="D258" i="3"/>
  <c r="D257" i="3"/>
  <c r="D256" i="3"/>
  <c r="D255" i="3"/>
  <c r="D254" i="3"/>
  <c r="D253" i="3"/>
  <c r="F285" i="3"/>
  <c r="D252" i="3"/>
  <c r="D268" i="23" l="1"/>
  <c r="G268" i="23"/>
  <c r="D285" i="3"/>
  <c r="E285" i="3"/>
  <c r="F271" i="26" l="1"/>
  <c r="F608" i="19"/>
  <c r="F594" i="19"/>
  <c r="F580" i="19"/>
  <c r="F222" i="26" l="1"/>
  <c r="D195" i="23" l="1"/>
  <c r="D199" i="23"/>
  <c r="D203" i="23"/>
  <c r="D205" i="23"/>
  <c r="D206" i="23"/>
  <c r="D209" i="23"/>
  <c r="D210" i="23"/>
  <c r="D213" i="23"/>
  <c r="D214" i="23"/>
  <c r="D217" i="23"/>
  <c r="D218" i="23"/>
  <c r="D221" i="23"/>
  <c r="D222" i="23"/>
  <c r="E223" i="23"/>
  <c r="F223" i="23"/>
  <c r="H223" i="23"/>
  <c r="I223" i="23"/>
  <c r="D220" i="23"/>
  <c r="D219" i="23"/>
  <c r="D216" i="23"/>
  <c r="D215" i="23"/>
  <c r="D212" i="23"/>
  <c r="D211" i="23"/>
  <c r="D208" i="23"/>
  <c r="D207" i="23"/>
  <c r="D204" i="23"/>
  <c r="D202" i="23"/>
  <c r="D201" i="23"/>
  <c r="D200" i="23"/>
  <c r="D198" i="23"/>
  <c r="D197" i="23"/>
  <c r="D196" i="23"/>
  <c r="D194" i="23"/>
  <c r="D193" i="23"/>
  <c r="D192" i="23"/>
  <c r="G223" i="23" l="1"/>
  <c r="J223" i="23"/>
  <c r="D223" i="23"/>
  <c r="J235" i="3" l="1"/>
  <c r="I235" i="3"/>
  <c r="F235" i="3"/>
  <c r="E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K485" i="30"/>
  <c r="D485" i="30"/>
  <c r="K484" i="30"/>
  <c r="D484" i="30"/>
  <c r="K483" i="30"/>
  <c r="D483" i="30"/>
  <c r="K482" i="30"/>
  <c r="D482" i="30"/>
  <c r="K481" i="30"/>
  <c r="D481" i="30"/>
  <c r="K480" i="30"/>
  <c r="D480" i="30"/>
  <c r="K479" i="30"/>
  <c r="D479" i="30"/>
  <c r="K478" i="30"/>
  <c r="D478" i="30"/>
  <c r="K477" i="30"/>
  <c r="D477" i="30"/>
  <c r="K476" i="30"/>
  <c r="D476" i="30"/>
  <c r="K475" i="30"/>
  <c r="D475" i="30"/>
  <c r="K474" i="30"/>
  <c r="D474" i="30"/>
  <c r="K473" i="30"/>
  <c r="D473" i="30"/>
  <c r="K472" i="30"/>
  <c r="D472" i="30"/>
  <c r="K471" i="30"/>
  <c r="D471" i="30"/>
  <c r="K470" i="30"/>
  <c r="D470" i="30"/>
  <c r="K469" i="30"/>
  <c r="D469" i="30"/>
  <c r="K468" i="30"/>
  <c r="D468" i="30"/>
  <c r="K467" i="30"/>
  <c r="D467" i="30"/>
  <c r="K466" i="30"/>
  <c r="D466" i="30"/>
  <c r="K465" i="30"/>
  <c r="D465" i="30"/>
  <c r="K464" i="30"/>
  <c r="D464" i="30"/>
  <c r="K463" i="30"/>
  <c r="D463" i="30"/>
  <c r="K462" i="30"/>
  <c r="D462" i="30"/>
  <c r="K461" i="30"/>
  <c r="D461" i="30"/>
  <c r="K460" i="30"/>
  <c r="D460" i="30"/>
  <c r="K459" i="30"/>
  <c r="D459" i="30"/>
  <c r="K458" i="30"/>
  <c r="D458" i="30"/>
  <c r="K457" i="30"/>
  <c r="D457" i="30"/>
  <c r="K456" i="30"/>
  <c r="D456" i="30"/>
  <c r="K455" i="30"/>
  <c r="D455" i="30"/>
  <c r="K454" i="30"/>
  <c r="D454" i="30"/>
  <c r="K453" i="30"/>
  <c r="D453" i="30"/>
  <c r="K452" i="30"/>
  <c r="D452" i="30"/>
  <c r="K451" i="30"/>
  <c r="D451" i="30"/>
  <c r="K450" i="30"/>
  <c r="D450" i="30"/>
  <c r="K449" i="30"/>
  <c r="D449" i="30"/>
  <c r="K448" i="30"/>
  <c r="D448" i="30"/>
  <c r="K447" i="30"/>
  <c r="D447" i="30"/>
  <c r="K446" i="30"/>
  <c r="D446" i="30"/>
  <c r="K445" i="30"/>
  <c r="D445" i="30"/>
  <c r="K444" i="30"/>
  <c r="D444" i="30"/>
  <c r="K443" i="30"/>
  <c r="D443" i="30"/>
  <c r="K442" i="30"/>
  <c r="D442" i="30"/>
  <c r="K441" i="30"/>
  <c r="D441" i="30"/>
  <c r="K440" i="30"/>
  <c r="D440" i="30"/>
  <c r="K439" i="30"/>
  <c r="D439" i="30"/>
  <c r="K438" i="30"/>
  <c r="D438" i="30"/>
  <c r="K437" i="30"/>
  <c r="D437" i="30"/>
  <c r="K436" i="30"/>
  <c r="D436" i="30"/>
  <c r="K435" i="30"/>
  <c r="D435" i="30"/>
  <c r="K434" i="30"/>
  <c r="D434" i="30"/>
  <c r="K433" i="30"/>
  <c r="D433" i="30"/>
  <c r="K432" i="30"/>
  <c r="D432" i="30"/>
  <c r="K431" i="30"/>
  <c r="D431" i="30"/>
  <c r="K430" i="30"/>
  <c r="D430" i="30"/>
  <c r="K429" i="30"/>
  <c r="D429" i="30"/>
  <c r="K428" i="30"/>
  <c r="D428" i="30"/>
  <c r="K427" i="30"/>
  <c r="D427" i="30"/>
  <c r="K426" i="30"/>
  <c r="D426" i="30"/>
  <c r="K425" i="30"/>
  <c r="D425" i="30"/>
  <c r="K424" i="30"/>
  <c r="D424" i="30"/>
  <c r="K423" i="30"/>
  <c r="D423" i="30"/>
  <c r="K422" i="30"/>
  <c r="D422" i="30"/>
  <c r="K421" i="30"/>
  <c r="D421" i="30"/>
  <c r="K420" i="30"/>
  <c r="D420" i="30"/>
  <c r="K419" i="30"/>
  <c r="D419" i="30"/>
  <c r="K418" i="30"/>
  <c r="D418" i="30"/>
  <c r="K417" i="30"/>
  <c r="D417" i="30"/>
  <c r="K416" i="30"/>
  <c r="D416" i="30"/>
  <c r="K415" i="30"/>
  <c r="D415" i="30"/>
  <c r="K414" i="30"/>
  <c r="D414" i="30"/>
  <c r="K413" i="30"/>
  <c r="D413" i="30"/>
  <c r="K412" i="30"/>
  <c r="D412" i="30"/>
  <c r="K411" i="30"/>
  <c r="D411" i="30"/>
  <c r="K410" i="30"/>
  <c r="D410" i="30"/>
  <c r="K409" i="30"/>
  <c r="D409" i="30"/>
  <c r="K408" i="30"/>
  <c r="D408" i="30"/>
  <c r="K407" i="30"/>
  <c r="D407" i="30"/>
  <c r="K406" i="30"/>
  <c r="D406" i="30"/>
  <c r="K405" i="30"/>
  <c r="D405" i="30"/>
  <c r="K404" i="30"/>
  <c r="D404" i="30"/>
  <c r="K403" i="30"/>
  <c r="D403" i="30"/>
  <c r="K402" i="30"/>
  <c r="D402" i="30"/>
  <c r="H467" i="19"/>
  <c r="F495" i="19"/>
  <c r="F503" i="19" s="1"/>
  <c r="F481" i="19"/>
  <c r="F500" i="19" s="1"/>
  <c r="F467" i="19"/>
  <c r="F497" i="19" s="1"/>
  <c r="F498" i="19" s="1"/>
  <c r="D235" i="3" l="1"/>
  <c r="D173" i="23"/>
  <c r="D169" i="23"/>
  <c r="D165" i="23"/>
  <c r="D161" i="23"/>
  <c r="D157" i="23"/>
  <c r="D153" i="23"/>
  <c r="D149" i="23"/>
  <c r="J178" i="23"/>
  <c r="I178" i="23"/>
  <c r="H178" i="23"/>
  <c r="F178" i="23"/>
  <c r="D177" i="23"/>
  <c r="D176" i="23"/>
  <c r="D175" i="23"/>
  <c r="D174" i="23"/>
  <c r="D172" i="23"/>
  <c r="D171" i="23"/>
  <c r="D170" i="23"/>
  <c r="D168" i="23"/>
  <c r="D167" i="23"/>
  <c r="D166" i="23"/>
  <c r="D164" i="23"/>
  <c r="D163" i="23"/>
  <c r="D162" i="23"/>
  <c r="D160" i="23"/>
  <c r="D159" i="23"/>
  <c r="D158" i="23"/>
  <c r="D156" i="23"/>
  <c r="D155" i="23"/>
  <c r="D154" i="23"/>
  <c r="D152" i="23"/>
  <c r="D151" i="23"/>
  <c r="D150" i="23"/>
  <c r="D148" i="23"/>
  <c r="D147" i="23"/>
  <c r="D186" i="3"/>
  <c r="D185" i="3"/>
  <c r="D184" i="3"/>
  <c r="D183" i="3"/>
  <c r="D182" i="3"/>
  <c r="D181" i="3"/>
  <c r="D180" i="3"/>
  <c r="D179" i="3"/>
  <c r="D178" i="3"/>
  <c r="D177" i="3"/>
  <c r="D176" i="3"/>
  <c r="D175" i="3"/>
  <c r="D174" i="3"/>
  <c r="D173" i="3"/>
  <c r="D172" i="3"/>
  <c r="D171" i="3"/>
  <c r="D170" i="3"/>
  <c r="D168" i="3"/>
  <c r="D167" i="3"/>
  <c r="D166" i="3"/>
  <c r="D165" i="3"/>
  <c r="D164" i="3"/>
  <c r="D162" i="3"/>
  <c r="D161" i="3"/>
  <c r="D160" i="3"/>
  <c r="D159" i="3"/>
  <c r="D158" i="3"/>
  <c r="D157" i="3"/>
  <c r="D156" i="3"/>
  <c r="D155" i="3"/>
  <c r="F166" i="26" l="1"/>
  <c r="D178" i="23"/>
  <c r="G178" i="23"/>
  <c r="D188" i="3"/>
  <c r="H392" i="30" l="1"/>
  <c r="K388" i="30"/>
  <c r="H445" i="1" s="1"/>
  <c r="G445" i="1" s="1"/>
  <c r="D388" i="30"/>
  <c r="K387" i="30"/>
  <c r="H444" i="1" s="1"/>
  <c r="G444" i="1" s="1"/>
  <c r="D387" i="30"/>
  <c r="K386" i="30"/>
  <c r="H443" i="1" s="1"/>
  <c r="G443" i="1" s="1"/>
  <c r="D386" i="30"/>
  <c r="K385" i="30"/>
  <c r="H442" i="1" s="1"/>
  <c r="G442" i="1" s="1"/>
  <c r="D385" i="30"/>
  <c r="K384" i="30"/>
  <c r="H441" i="1" s="1"/>
  <c r="G441" i="1" s="1"/>
  <c r="D384" i="30"/>
  <c r="K383" i="30"/>
  <c r="H440" i="1" s="1"/>
  <c r="G440" i="1" s="1"/>
  <c r="D383" i="30"/>
  <c r="K382" i="30"/>
  <c r="H439" i="1" s="1"/>
  <c r="G439" i="1" s="1"/>
  <c r="D382" i="30"/>
  <c r="K381" i="30"/>
  <c r="H438" i="1" s="1"/>
  <c r="G438" i="1" s="1"/>
  <c r="D381" i="30"/>
  <c r="K380" i="30"/>
  <c r="H437" i="1" s="1"/>
  <c r="G437" i="1" s="1"/>
  <c r="D380" i="30"/>
  <c r="K379" i="30"/>
  <c r="H436" i="1" s="1"/>
  <c r="G436" i="1" s="1"/>
  <c r="D379" i="30"/>
  <c r="K378" i="30"/>
  <c r="H435" i="1" s="1"/>
  <c r="G435" i="1" s="1"/>
  <c r="D378" i="30"/>
  <c r="K377" i="30"/>
  <c r="H434" i="1" s="1"/>
  <c r="G434" i="1" s="1"/>
  <c r="D377" i="30"/>
  <c r="K376" i="30"/>
  <c r="H433" i="1" s="1"/>
  <c r="G433" i="1" s="1"/>
  <c r="D376" i="30"/>
  <c r="K375" i="30"/>
  <c r="H432" i="1" s="1"/>
  <c r="G432" i="1" s="1"/>
  <c r="D375" i="30"/>
  <c r="K374" i="30"/>
  <c r="H431" i="1" s="1"/>
  <c r="G431" i="1" s="1"/>
  <c r="D374" i="30"/>
  <c r="K373" i="30"/>
  <c r="H430" i="1" s="1"/>
  <c r="G430" i="1" s="1"/>
  <c r="D373" i="30"/>
  <c r="K372" i="30"/>
  <c r="H429" i="1" s="1"/>
  <c r="G429" i="1" s="1"/>
  <c r="D372" i="30"/>
  <c r="K371" i="30"/>
  <c r="H428" i="1" s="1"/>
  <c r="D371" i="30"/>
  <c r="K370" i="30"/>
  <c r="H427" i="1" s="1"/>
  <c r="D370" i="30"/>
  <c r="K369" i="30"/>
  <c r="H426" i="1" s="1"/>
  <c r="D369" i="30"/>
  <c r="K368" i="30"/>
  <c r="H425" i="1" s="1"/>
  <c r="D368" i="30"/>
  <c r="K367" i="30"/>
  <c r="H424" i="1" s="1"/>
  <c r="D367" i="30"/>
  <c r="K366" i="30"/>
  <c r="H423" i="1" s="1"/>
  <c r="D366" i="30"/>
  <c r="K365" i="30"/>
  <c r="H422" i="1" s="1"/>
  <c r="D365" i="30"/>
  <c r="K364" i="30"/>
  <c r="H421" i="1" s="1"/>
  <c r="D364" i="30"/>
  <c r="K363" i="30"/>
  <c r="H420" i="1" s="1"/>
  <c r="D363" i="30"/>
  <c r="K362" i="30"/>
  <c r="H419" i="1" s="1"/>
  <c r="D362" i="30"/>
  <c r="K361" i="30"/>
  <c r="H418" i="1" s="1"/>
  <c r="D361" i="30"/>
  <c r="K360" i="30"/>
  <c r="H417" i="1" s="1"/>
  <c r="D360" i="30"/>
  <c r="K359" i="30"/>
  <c r="H416" i="1" s="1"/>
  <c r="D359" i="30"/>
  <c r="K358" i="30"/>
  <c r="H415" i="1" s="1"/>
  <c r="D358" i="30"/>
  <c r="K357" i="30"/>
  <c r="H414" i="1" s="1"/>
  <c r="D357" i="30"/>
  <c r="K356" i="30"/>
  <c r="H413" i="1" s="1"/>
  <c r="D356" i="30"/>
  <c r="K355" i="30"/>
  <c r="H412" i="1" s="1"/>
  <c r="D355" i="30"/>
  <c r="K354" i="30"/>
  <c r="H411" i="1" s="1"/>
  <c r="D354" i="30"/>
  <c r="K353" i="30"/>
  <c r="H410" i="1" s="1"/>
  <c r="D353" i="30"/>
  <c r="K352" i="30"/>
  <c r="H409" i="1" s="1"/>
  <c r="D352" i="30"/>
  <c r="K351" i="30"/>
  <c r="H408" i="1" s="1"/>
  <c r="D351" i="30"/>
  <c r="K350" i="30"/>
  <c r="H407" i="1" s="1"/>
  <c r="D350" i="30"/>
  <c r="K349" i="30"/>
  <c r="H406" i="1" s="1"/>
  <c r="D349" i="30"/>
  <c r="K348" i="30"/>
  <c r="H405" i="1" s="1"/>
  <c r="D348" i="30"/>
  <c r="K347" i="30"/>
  <c r="H404" i="1" s="1"/>
  <c r="D347" i="30"/>
  <c r="K346" i="30"/>
  <c r="H403" i="1" s="1"/>
  <c r="D346" i="30"/>
  <c r="K345" i="30"/>
  <c r="H402" i="1" s="1"/>
  <c r="D345" i="30"/>
  <c r="K344" i="30"/>
  <c r="H401" i="1" s="1"/>
  <c r="D344" i="30"/>
  <c r="K343" i="30"/>
  <c r="H400" i="1" s="1"/>
  <c r="D343" i="30"/>
  <c r="K342" i="30"/>
  <c r="H399" i="1" s="1"/>
  <c r="D342" i="30"/>
  <c r="K341" i="30"/>
  <c r="H398" i="1" s="1"/>
  <c r="D341" i="30"/>
  <c r="K340" i="30"/>
  <c r="H397" i="1" s="1"/>
  <c r="D340" i="30"/>
  <c r="K339" i="30"/>
  <c r="H396" i="1" s="1"/>
  <c r="D339" i="30"/>
  <c r="K338" i="30"/>
  <c r="H395" i="1" s="1"/>
  <c r="D338" i="30"/>
  <c r="K337" i="30"/>
  <c r="H394" i="1" s="1"/>
  <c r="D337" i="30"/>
  <c r="K336" i="30"/>
  <c r="H393" i="1" s="1"/>
  <c r="D336" i="30"/>
  <c r="K335" i="30"/>
  <c r="H392" i="1" s="1"/>
  <c r="D335" i="30"/>
  <c r="K334" i="30"/>
  <c r="H391" i="1" s="1"/>
  <c r="D334" i="30"/>
  <c r="K333" i="30"/>
  <c r="H390" i="1" s="1"/>
  <c r="D333" i="30"/>
  <c r="K332" i="30"/>
  <c r="H389" i="1" s="1"/>
  <c r="D332" i="30"/>
  <c r="K331" i="30"/>
  <c r="H388" i="1" s="1"/>
  <c r="D331" i="30"/>
  <c r="K330" i="30"/>
  <c r="H387" i="1" s="1"/>
  <c r="D330" i="30"/>
  <c r="K329" i="30"/>
  <c r="H386" i="1" s="1"/>
  <c r="D329" i="30"/>
  <c r="K328" i="30"/>
  <c r="H385" i="1" s="1"/>
  <c r="D328" i="30"/>
  <c r="K327" i="30"/>
  <c r="H384" i="1" s="1"/>
  <c r="D327" i="30"/>
  <c r="K326" i="30"/>
  <c r="H383" i="1" s="1"/>
  <c r="D326" i="30"/>
  <c r="K325" i="30"/>
  <c r="H382" i="1" s="1"/>
  <c r="D325" i="30"/>
  <c r="K324" i="30"/>
  <c r="H381" i="1" s="1"/>
  <c r="D324" i="30"/>
  <c r="K323" i="30"/>
  <c r="H380" i="1" s="1"/>
  <c r="D323" i="30"/>
  <c r="K322" i="30"/>
  <c r="H379" i="1" s="1"/>
  <c r="D322" i="30"/>
  <c r="K321" i="30"/>
  <c r="H378" i="1" s="1"/>
  <c r="D321" i="30"/>
  <c r="K320" i="30"/>
  <c r="H377" i="1" s="1"/>
  <c r="D320" i="30"/>
  <c r="K319" i="30"/>
  <c r="H376" i="1" s="1"/>
  <c r="D319" i="30"/>
  <c r="K318" i="30"/>
  <c r="H375" i="1" s="1"/>
  <c r="D318" i="30"/>
  <c r="K317" i="30"/>
  <c r="H374" i="1" s="1"/>
  <c r="D317" i="30"/>
  <c r="K316" i="30"/>
  <c r="H373" i="1" s="1"/>
  <c r="D316" i="30"/>
  <c r="K315" i="30"/>
  <c r="H372" i="1" s="1"/>
  <c r="D315" i="30"/>
  <c r="K314" i="30"/>
  <c r="H371" i="1" s="1"/>
  <c r="D314" i="30"/>
  <c r="K313" i="30"/>
  <c r="H370" i="1" s="1"/>
  <c r="D313" i="30"/>
  <c r="K312" i="30"/>
  <c r="H369" i="1" s="1"/>
  <c r="D312" i="30"/>
  <c r="K311" i="30"/>
  <c r="H368" i="1" s="1"/>
  <c r="D311" i="30"/>
  <c r="K310" i="30"/>
  <c r="H367" i="1" s="1"/>
  <c r="D310" i="30"/>
  <c r="K309" i="30"/>
  <c r="H366" i="1" s="1"/>
  <c r="D309" i="30"/>
  <c r="K308" i="30"/>
  <c r="H365" i="1" s="1"/>
  <c r="D308" i="30"/>
  <c r="K307" i="30"/>
  <c r="H364" i="1" s="1"/>
  <c r="D307" i="30"/>
  <c r="K306" i="30"/>
  <c r="H363" i="1" s="1"/>
  <c r="D306" i="30"/>
  <c r="K305" i="30"/>
  <c r="H362" i="1" s="1"/>
  <c r="D305" i="30"/>
  <c r="K304" i="30"/>
  <c r="H361" i="1" s="1"/>
  <c r="D304" i="30"/>
  <c r="K303" i="30"/>
  <c r="H360" i="1" s="1"/>
  <c r="D303" i="30"/>
  <c r="K302" i="30"/>
  <c r="H359" i="1" s="1"/>
  <c r="D302" i="30"/>
  <c r="K301" i="30"/>
  <c r="H358" i="1" s="1"/>
  <c r="D301" i="30"/>
  <c r="F389" i="19"/>
  <c r="F397" i="19" s="1"/>
  <c r="F375" i="19"/>
  <c r="F394" i="19" s="1"/>
  <c r="F361" i="19"/>
  <c r="F391" i="19" s="1"/>
  <c r="F392" i="19" l="1"/>
  <c r="F116" i="26"/>
  <c r="F277" i="19"/>
  <c r="F263" i="19"/>
  <c r="F249" i="19"/>
  <c r="B266" i="30" l="1"/>
  <c r="B267" i="30" s="1"/>
  <c r="B268" i="30" s="1"/>
  <c r="B269" i="30" s="1"/>
  <c r="B270" i="30" s="1"/>
  <c r="B271" i="30" s="1"/>
  <c r="B272" i="30" s="1"/>
  <c r="B242" i="30"/>
  <c r="B243" i="30" s="1"/>
  <c r="B244" i="30" s="1"/>
  <c r="B245" i="30" s="1"/>
  <c r="B246" i="30" s="1"/>
  <c r="B250" i="30" s="1"/>
  <c r="B251" i="30" s="1"/>
  <c r="B252" i="30" s="1"/>
  <c r="B253" i="30" s="1"/>
  <c r="B254" i="30" s="1"/>
  <c r="B209" i="30"/>
  <c r="B210" i="30" s="1"/>
  <c r="B211" i="30" s="1"/>
  <c r="B212" i="30" s="1"/>
  <c r="B213" i="30" s="1"/>
  <c r="B214" i="30" s="1"/>
  <c r="B215" i="30" s="1"/>
  <c r="B216" i="30" s="1"/>
  <c r="B217" i="30" s="1"/>
  <c r="B218" i="30" s="1"/>
  <c r="B219" i="30" s="1"/>
  <c r="B220" i="30" s="1"/>
  <c r="B221" i="30" s="1"/>
  <c r="B225" i="30" s="1"/>
  <c r="B226" i="30" s="1"/>
  <c r="B230" i="30" s="1"/>
  <c r="B231" i="30" s="1"/>
  <c r="B234" i="30" s="1"/>
  <c r="B235" i="30" s="1"/>
  <c r="B236" i="30" s="1"/>
  <c r="B237" i="30" s="1"/>
  <c r="B238" i="30" s="1"/>
  <c r="K289" i="30"/>
  <c r="H305" i="1" s="1"/>
  <c r="D289" i="30"/>
  <c r="K278" i="30"/>
  <c r="H294" i="1" s="1"/>
  <c r="D278" i="30"/>
  <c r="K277" i="30"/>
  <c r="H293" i="1" s="1"/>
  <c r="D277" i="30"/>
  <c r="K276" i="30"/>
  <c r="H292" i="1" s="1"/>
  <c r="D276" i="30"/>
  <c r="K275" i="30"/>
  <c r="H291" i="1" s="1"/>
  <c r="D275" i="30"/>
  <c r="K274" i="30"/>
  <c r="H290" i="1" s="1"/>
  <c r="D274" i="30"/>
  <c r="K273" i="30"/>
  <c r="H289" i="1" s="1"/>
  <c r="D273" i="30"/>
  <c r="K272" i="30"/>
  <c r="H288" i="1" s="1"/>
  <c r="D272" i="30"/>
  <c r="K271" i="30"/>
  <c r="H287" i="1" s="1"/>
  <c r="D271" i="30"/>
  <c r="K270" i="30"/>
  <c r="H286" i="1" s="1"/>
  <c r="D270" i="30"/>
  <c r="K269" i="30"/>
  <c r="H285" i="1" s="1"/>
  <c r="D269" i="30"/>
  <c r="K268" i="30"/>
  <c r="H284" i="1" s="1"/>
  <c r="D268" i="30"/>
  <c r="K267" i="30"/>
  <c r="H283" i="1" s="1"/>
  <c r="D267" i="30"/>
  <c r="K266" i="30"/>
  <c r="H282" i="1" s="1"/>
  <c r="D266" i="30"/>
  <c r="K265" i="30"/>
  <c r="H281" i="1" s="1"/>
  <c r="D265" i="30"/>
  <c r="K264" i="30"/>
  <c r="H280" i="1" s="1"/>
  <c r="D264" i="30"/>
  <c r="K263" i="30"/>
  <c r="H279" i="1" s="1"/>
  <c r="D263" i="30"/>
  <c r="K262" i="30"/>
  <c r="H278" i="1" s="1"/>
  <c r="D262" i="30"/>
  <c r="K261" i="30"/>
  <c r="H277" i="1" s="1"/>
  <c r="D261" i="30"/>
  <c r="K260" i="30"/>
  <c r="H276" i="1" s="1"/>
  <c r="D260" i="30"/>
  <c r="K259" i="30"/>
  <c r="H275" i="1" s="1"/>
  <c r="D259" i="30"/>
  <c r="K258" i="30"/>
  <c r="H274" i="1" s="1"/>
  <c r="D258" i="30"/>
  <c r="K257" i="30"/>
  <c r="H273" i="1" s="1"/>
  <c r="D257" i="30"/>
  <c r="K256" i="30"/>
  <c r="H272" i="1" s="1"/>
  <c r="D256" i="30"/>
  <c r="K255" i="30"/>
  <c r="H271" i="1" s="1"/>
  <c r="D255" i="30"/>
  <c r="K254" i="30"/>
  <c r="H270" i="1" s="1"/>
  <c r="D254" i="30"/>
  <c r="K253" i="30"/>
  <c r="H269" i="1" s="1"/>
  <c r="D253" i="30"/>
  <c r="K252" i="30"/>
  <c r="H268" i="1" s="1"/>
  <c r="D252" i="30"/>
  <c r="K251" i="30"/>
  <c r="H267" i="1" s="1"/>
  <c r="D251" i="30"/>
  <c r="K250" i="30"/>
  <c r="H266" i="1" s="1"/>
  <c r="D250" i="30"/>
  <c r="K249" i="30"/>
  <c r="H265" i="1" s="1"/>
  <c r="D249" i="30"/>
  <c r="K248" i="30"/>
  <c r="H264" i="1" s="1"/>
  <c r="D248" i="30"/>
  <c r="K247" i="30"/>
  <c r="H263" i="1" s="1"/>
  <c r="D247" i="30"/>
  <c r="K246" i="30"/>
  <c r="H262" i="1" s="1"/>
  <c r="D246" i="30"/>
  <c r="K245" i="30"/>
  <c r="H261" i="1" s="1"/>
  <c r="D245" i="30"/>
  <c r="K244" i="30"/>
  <c r="H260" i="1" s="1"/>
  <c r="D244" i="30"/>
  <c r="K243" i="30"/>
  <c r="H259" i="1" s="1"/>
  <c r="D243" i="30"/>
  <c r="K242" i="30"/>
  <c r="H258" i="1" s="1"/>
  <c r="D242" i="30"/>
  <c r="K241" i="30"/>
  <c r="H257" i="1" s="1"/>
  <c r="D241" i="30"/>
  <c r="K240" i="30"/>
  <c r="H256" i="1" s="1"/>
  <c r="D240" i="30"/>
  <c r="K239" i="30"/>
  <c r="H255" i="1" s="1"/>
  <c r="D239" i="30"/>
  <c r="K238" i="30"/>
  <c r="H254" i="1" s="1"/>
  <c r="D238" i="30"/>
  <c r="K237" i="30"/>
  <c r="H253" i="1" s="1"/>
  <c r="K236" i="30"/>
  <c r="H252" i="1" s="1"/>
  <c r="D236" i="30"/>
  <c r="K235" i="30"/>
  <c r="H251" i="1" s="1"/>
  <c r="D235" i="30"/>
  <c r="K234" i="30"/>
  <c r="H250" i="1" s="1"/>
  <c r="D234" i="30"/>
  <c r="K231" i="30"/>
  <c r="H247" i="1" s="1"/>
  <c r="D231" i="30"/>
  <c r="K230" i="30"/>
  <c r="H246" i="1" s="1"/>
  <c r="D230" i="30"/>
  <c r="K229" i="30"/>
  <c r="H245" i="1" s="1"/>
  <c r="D229" i="30"/>
  <c r="K228" i="30"/>
  <c r="H244" i="1" s="1"/>
  <c r="D228" i="30"/>
  <c r="K227" i="30"/>
  <c r="H243" i="1" s="1"/>
  <c r="D227" i="30"/>
  <c r="K226" i="30"/>
  <c r="H242" i="1" s="1"/>
  <c r="D226" i="30"/>
  <c r="K225" i="30"/>
  <c r="H241" i="1" s="1"/>
  <c r="D225" i="30"/>
  <c r="K224" i="30"/>
  <c r="H240" i="1" s="1"/>
  <c r="D224" i="30"/>
  <c r="K223" i="30"/>
  <c r="H239" i="1" s="1"/>
  <c r="D223" i="30"/>
  <c r="K222" i="30"/>
  <c r="H238" i="1" s="1"/>
  <c r="D222" i="30"/>
  <c r="K221" i="30"/>
  <c r="H237" i="1" s="1"/>
  <c r="D221" i="30"/>
  <c r="K220" i="30"/>
  <c r="H236" i="1" s="1"/>
  <c r="D220" i="30"/>
  <c r="K219" i="30"/>
  <c r="H235" i="1" s="1"/>
  <c r="D219" i="30"/>
  <c r="K218" i="30"/>
  <c r="H234" i="1" s="1"/>
  <c r="D218" i="30"/>
  <c r="K217" i="30"/>
  <c r="H233" i="1" s="1"/>
  <c r="D217" i="30"/>
  <c r="K216" i="30"/>
  <c r="H232" i="1" s="1"/>
  <c r="D216" i="30"/>
  <c r="K215" i="30"/>
  <c r="H231" i="1" s="1"/>
  <c r="D215" i="30"/>
  <c r="K214" i="30"/>
  <c r="H230" i="1" s="1"/>
  <c r="D214" i="30"/>
  <c r="K213" i="30"/>
  <c r="H229" i="1" s="1"/>
  <c r="D213" i="30"/>
  <c r="K212" i="30"/>
  <c r="H228" i="1" s="1"/>
  <c r="D212" i="30"/>
  <c r="K211" i="30"/>
  <c r="H227" i="1" s="1"/>
  <c r="D211" i="30"/>
  <c r="K210" i="30"/>
  <c r="H226" i="1" s="1"/>
  <c r="D210" i="30"/>
  <c r="K209" i="30"/>
  <c r="H225" i="1" s="1"/>
  <c r="D209" i="30"/>
  <c r="K208" i="30"/>
  <c r="H224" i="1" s="1"/>
  <c r="D208" i="30"/>
  <c r="K207" i="30"/>
  <c r="H223" i="1" s="1"/>
  <c r="D207" i="30"/>
  <c r="K206" i="30"/>
  <c r="H222" i="1" s="1"/>
  <c r="D206" i="30"/>
  <c r="K205" i="30"/>
  <c r="H221" i="1" s="1"/>
  <c r="D205" i="30"/>
  <c r="K204" i="30"/>
  <c r="H220" i="1" s="1"/>
  <c r="D204" i="30"/>
  <c r="K203" i="30"/>
  <c r="H219" i="1" s="1"/>
  <c r="D203" i="30"/>
  <c r="F78" i="26" l="1"/>
  <c r="F66" i="26"/>
  <c r="K146" i="30"/>
  <c r="H168" i="1" s="1"/>
  <c r="K145" i="30"/>
  <c r="H167" i="1" s="1"/>
  <c r="K147" i="30" l="1"/>
  <c r="H169" i="1" s="1"/>
  <c r="F165" i="19"/>
  <c r="J131" i="23" l="1"/>
  <c r="I131" i="23"/>
  <c r="H131" i="23"/>
  <c r="F131" i="23"/>
  <c r="J88" i="23"/>
  <c r="I88" i="23"/>
  <c r="H88" i="23"/>
  <c r="F88" i="23"/>
  <c r="E88" i="23"/>
  <c r="E143" i="3"/>
  <c r="I143" i="3"/>
  <c r="F143" i="3"/>
  <c r="J92" i="3"/>
  <c r="I92" i="3"/>
  <c r="F92" i="3"/>
  <c r="E92" i="3"/>
  <c r="B176" i="30"/>
  <c r="B177" i="30" s="1"/>
  <c r="B178" i="30" s="1"/>
  <c r="B179" i="30" s="1"/>
  <c r="B180" i="30" s="1"/>
  <c r="B181" i="30" s="1"/>
  <c r="B182" i="30" s="1"/>
  <c r="B183" i="30" s="1"/>
  <c r="B142" i="30"/>
  <c r="B143" i="30" s="1"/>
  <c r="B144" i="30" s="1"/>
  <c r="B149" i="30" s="1"/>
  <c r="B150" i="30" s="1"/>
  <c r="B151" i="30" s="1"/>
  <c r="B152" i="30" s="1"/>
  <c r="B156" i="30" s="1"/>
  <c r="B157" i="30" s="1"/>
  <c r="B161" i="30" s="1"/>
  <c r="B118" i="30"/>
  <c r="B119" i="30" s="1"/>
  <c r="B120" i="30" s="1"/>
  <c r="B121" i="30" s="1"/>
  <c r="B122" i="30" s="1"/>
  <c r="B126" i="30" s="1"/>
  <c r="B127" i="30" s="1"/>
  <c r="B128" i="30" s="1"/>
  <c r="B129" i="30" s="1"/>
  <c r="B130" i="30" s="1"/>
  <c r="B131" i="30" s="1"/>
  <c r="B132" i="30" s="1"/>
  <c r="B133" i="30" s="1"/>
  <c r="B134" i="30" s="1"/>
  <c r="B135" i="30" s="1"/>
  <c r="B136" i="30" s="1"/>
  <c r="B137" i="30" s="1"/>
  <c r="B138" i="30" s="1"/>
  <c r="B107" i="30"/>
  <c r="B108" i="30" s="1"/>
  <c r="B109" i="30" s="1"/>
  <c r="B110" i="30" s="1"/>
  <c r="B113" i="30" s="1"/>
  <c r="B114" i="30" s="1"/>
  <c r="K183" i="30"/>
  <c r="H205" i="1" s="1"/>
  <c r="D183" i="30"/>
  <c r="K182" i="30"/>
  <c r="H204" i="1" s="1"/>
  <c r="D182" i="30"/>
  <c r="K181" i="30"/>
  <c r="H203" i="1" s="1"/>
  <c r="D181" i="30"/>
  <c r="K180" i="30"/>
  <c r="H202" i="1" s="1"/>
  <c r="D180" i="30"/>
  <c r="K179" i="30"/>
  <c r="H201" i="1" s="1"/>
  <c r="D179" i="30"/>
  <c r="K178" i="30"/>
  <c r="H200" i="1" s="1"/>
  <c r="D178" i="30"/>
  <c r="K177" i="30"/>
  <c r="H199" i="1" s="1"/>
  <c r="D177" i="30"/>
  <c r="K176" i="30"/>
  <c r="H198" i="1" s="1"/>
  <c r="D176" i="30"/>
  <c r="K175" i="30"/>
  <c r="H197" i="1" s="1"/>
  <c r="D175" i="30"/>
  <c r="K174" i="30"/>
  <c r="H196" i="1" s="1"/>
  <c r="D174" i="30"/>
  <c r="K173" i="30"/>
  <c r="H195" i="1" s="1"/>
  <c r="D173" i="30"/>
  <c r="K172" i="30"/>
  <c r="H194" i="1" s="1"/>
  <c r="D172" i="30"/>
  <c r="K171" i="30"/>
  <c r="H193" i="1" s="1"/>
  <c r="D171" i="30"/>
  <c r="K170" i="30"/>
  <c r="H192" i="1" s="1"/>
  <c r="D170" i="30"/>
  <c r="K169" i="30"/>
  <c r="H191" i="1" s="1"/>
  <c r="D169" i="30"/>
  <c r="K168" i="30"/>
  <c r="H190" i="1" s="1"/>
  <c r="D168" i="30"/>
  <c r="K167" i="30"/>
  <c r="H189" i="1" s="1"/>
  <c r="D167" i="30"/>
  <c r="K166" i="30"/>
  <c r="H188" i="1" s="1"/>
  <c r="D166" i="30"/>
  <c r="K165" i="30"/>
  <c r="H187" i="1" s="1"/>
  <c r="D165" i="30"/>
  <c r="K164" i="30"/>
  <c r="H186" i="1" s="1"/>
  <c r="D164" i="30"/>
  <c r="K163" i="30"/>
  <c r="H185" i="1" s="1"/>
  <c r="D163" i="30"/>
  <c r="K162" i="30"/>
  <c r="H184" i="1" s="1"/>
  <c r="D162" i="30"/>
  <c r="K161" i="30"/>
  <c r="H183" i="1" s="1"/>
  <c r="D161" i="30"/>
  <c r="K160" i="30"/>
  <c r="H182" i="1" s="1"/>
  <c r="D160" i="30"/>
  <c r="K159" i="30"/>
  <c r="H181" i="1" s="1"/>
  <c r="D159" i="30"/>
  <c r="K158" i="30"/>
  <c r="H180" i="1" s="1"/>
  <c r="D158" i="30"/>
  <c r="K157" i="30"/>
  <c r="H179" i="1" s="1"/>
  <c r="D157" i="30"/>
  <c r="K156" i="30"/>
  <c r="H178" i="1" s="1"/>
  <c r="D156" i="30"/>
  <c r="K155" i="30"/>
  <c r="H177" i="1" s="1"/>
  <c r="D155" i="30"/>
  <c r="K154" i="30"/>
  <c r="H176" i="1" s="1"/>
  <c r="D154" i="30"/>
  <c r="K153" i="30"/>
  <c r="H175" i="1" s="1"/>
  <c r="D153" i="30"/>
  <c r="K152" i="30"/>
  <c r="H174" i="1" s="1"/>
  <c r="D152" i="30"/>
  <c r="K151" i="30"/>
  <c r="H173" i="1" s="1"/>
  <c r="D151" i="30"/>
  <c r="K150" i="30"/>
  <c r="H172" i="1" s="1"/>
  <c r="D150" i="30"/>
  <c r="K149" i="30"/>
  <c r="H171" i="1" s="1"/>
  <c r="D149" i="30"/>
  <c r="K148" i="30"/>
  <c r="H170" i="1" s="1"/>
  <c r="D148" i="30"/>
  <c r="K144" i="30"/>
  <c r="H166" i="1" s="1"/>
  <c r="D144" i="30"/>
  <c r="K143" i="30"/>
  <c r="H165" i="1" s="1"/>
  <c r="D143" i="30"/>
  <c r="K142" i="30"/>
  <c r="H164" i="1" s="1"/>
  <c r="D142" i="30"/>
  <c r="K141" i="30"/>
  <c r="H163" i="1" s="1"/>
  <c r="D141" i="30"/>
  <c r="K140" i="30"/>
  <c r="H162" i="1" s="1"/>
  <c r="D140" i="30"/>
  <c r="K139" i="30"/>
  <c r="H161" i="1" s="1"/>
  <c r="D139" i="30"/>
  <c r="K138" i="30"/>
  <c r="H160" i="1" s="1"/>
  <c r="K137" i="30"/>
  <c r="H159" i="1" s="1"/>
  <c r="D137" i="30"/>
  <c r="K136" i="30"/>
  <c r="H158" i="1" s="1"/>
  <c r="D136" i="30"/>
  <c r="K135" i="30"/>
  <c r="H157" i="1" s="1"/>
  <c r="D135" i="30"/>
  <c r="K134" i="30"/>
  <c r="H156" i="1" s="1"/>
  <c r="D134" i="30"/>
  <c r="K133" i="30"/>
  <c r="H155" i="1" s="1"/>
  <c r="D133" i="30"/>
  <c r="K132" i="30"/>
  <c r="H154" i="1" s="1"/>
  <c r="D132" i="30"/>
  <c r="K131" i="30"/>
  <c r="H153" i="1" s="1"/>
  <c r="D131" i="30"/>
  <c r="K130" i="30"/>
  <c r="H152" i="1" s="1"/>
  <c r="D130" i="30"/>
  <c r="K129" i="30"/>
  <c r="H151" i="1" s="1"/>
  <c r="D129" i="30"/>
  <c r="K128" i="30"/>
  <c r="H150" i="1" s="1"/>
  <c r="K127" i="30"/>
  <c r="H149" i="1" s="1"/>
  <c r="D127" i="30"/>
  <c r="K126" i="30"/>
  <c r="H148" i="1" s="1"/>
  <c r="D126" i="30"/>
  <c r="K125" i="30"/>
  <c r="H147" i="1" s="1"/>
  <c r="D125" i="30"/>
  <c r="K124" i="30"/>
  <c r="H146" i="1" s="1"/>
  <c r="D124" i="30"/>
  <c r="K123" i="30"/>
  <c r="H145" i="1" s="1"/>
  <c r="D123" i="30"/>
  <c r="K122" i="30"/>
  <c r="H144" i="1" s="1"/>
  <c r="D122" i="30"/>
  <c r="K121" i="30"/>
  <c r="H143" i="1" s="1"/>
  <c r="D121" i="30"/>
  <c r="K120" i="30"/>
  <c r="H142" i="1" s="1"/>
  <c r="D120" i="30"/>
  <c r="K119" i="30"/>
  <c r="H141" i="1" s="1"/>
  <c r="D119" i="30"/>
  <c r="K118" i="30"/>
  <c r="H140" i="1" s="1"/>
  <c r="D118" i="30"/>
  <c r="K117" i="30"/>
  <c r="H139" i="1" s="1"/>
  <c r="D117" i="30"/>
  <c r="K116" i="30"/>
  <c r="H138" i="1" s="1"/>
  <c r="D116" i="30"/>
  <c r="K115" i="30"/>
  <c r="H137" i="1" s="1"/>
  <c r="D115" i="30"/>
  <c r="K114" i="30"/>
  <c r="H136" i="1" s="1"/>
  <c r="D114" i="30"/>
  <c r="K113" i="30"/>
  <c r="H135" i="1" s="1"/>
  <c r="D113" i="30"/>
  <c r="K112" i="30"/>
  <c r="H134" i="1" s="1"/>
  <c r="D112" i="30"/>
  <c r="K111" i="30"/>
  <c r="H133" i="1" s="1"/>
  <c r="D111" i="30"/>
  <c r="K110" i="30"/>
  <c r="H132" i="1" s="1"/>
  <c r="D110" i="30"/>
  <c r="K109" i="30"/>
  <c r="H131" i="1" s="1"/>
  <c r="D109" i="30"/>
  <c r="K108" i="30"/>
  <c r="H130" i="1" s="1"/>
  <c r="D108" i="30"/>
  <c r="K107" i="30"/>
  <c r="H129" i="1" s="1"/>
  <c r="D107" i="30"/>
  <c r="K106" i="30"/>
  <c r="H128" i="1" s="1"/>
  <c r="D106" i="30"/>
  <c r="K105" i="30"/>
  <c r="H127" i="1" s="1"/>
  <c r="D105" i="30"/>
  <c r="K104" i="30"/>
  <c r="H126" i="1" s="1"/>
  <c r="D104" i="30"/>
  <c r="K103" i="30"/>
  <c r="H125" i="1" s="1"/>
  <c r="D103" i="30"/>
  <c r="H206" i="1" l="1"/>
  <c r="D88" i="23"/>
  <c r="G88" i="23"/>
  <c r="G131" i="23"/>
  <c r="D92" i="3"/>
  <c r="D143" i="3"/>
  <c r="J143" i="3"/>
  <c r="A18" i="26"/>
  <c r="F28" i="26" l="1"/>
  <c r="J43" i="23"/>
  <c r="I43" i="23"/>
  <c r="H43" i="23"/>
  <c r="G43" i="23"/>
  <c r="F43" i="23"/>
  <c r="I45" i="3"/>
  <c r="J45" i="3"/>
  <c r="F45" i="3"/>
  <c r="D43" i="23" l="1"/>
  <c r="D45" i="3"/>
  <c r="E45" i="3"/>
  <c r="F594" i="26" l="1"/>
  <c r="F591" i="26"/>
  <c r="F585" i="26"/>
  <c r="F579" i="26"/>
  <c r="C1395" i="1" l="1"/>
  <c r="C1396" i="1"/>
  <c r="C1397" i="1"/>
  <c r="C1398" i="1"/>
  <c r="C1399" i="1"/>
  <c r="C1400" i="1"/>
  <c r="C1401" i="1"/>
  <c r="C1402" i="1"/>
  <c r="C1403" i="1"/>
  <c r="C1404" i="1"/>
  <c r="C1405" i="1"/>
  <c r="C1406" i="1"/>
  <c r="C1407" i="1"/>
  <c r="C1408" i="1"/>
  <c r="C1409" i="1"/>
  <c r="C1410" i="1"/>
  <c r="C1411" i="1"/>
  <c r="C1412" i="1"/>
  <c r="C1413" i="1"/>
  <c r="C1414" i="1"/>
  <c r="C1415" i="1"/>
  <c r="C1416" i="1"/>
  <c r="G1416" i="1" l="1"/>
  <c r="G1415" i="1"/>
  <c r="G1414" i="1"/>
  <c r="G1413" i="1"/>
  <c r="G1412" i="1"/>
  <c r="G1411" i="1"/>
  <c r="G1410" i="1"/>
  <c r="G1409" i="1"/>
  <c r="G1408" i="1"/>
  <c r="G1407" i="1"/>
  <c r="G1406" i="1"/>
  <c r="G1405" i="1"/>
  <c r="G1404" i="1"/>
  <c r="G1403" i="1"/>
  <c r="G1402" i="1"/>
  <c r="G1401" i="1"/>
  <c r="G1400" i="1"/>
  <c r="G1399" i="1"/>
  <c r="G1398" i="1"/>
  <c r="G1397" i="1"/>
  <c r="G1396" i="1"/>
  <c r="G1395" i="1"/>
  <c r="F544" i="26" l="1"/>
  <c r="A525" i="26"/>
  <c r="A531" i="26" s="1"/>
  <c r="A537" i="26" s="1"/>
  <c r="F529" i="26" l="1"/>
  <c r="F541" i="26"/>
  <c r="A543" i="26"/>
  <c r="F493" i="26" l="1"/>
  <c r="F1034" i="19"/>
  <c r="F478" i="26" l="1"/>
  <c r="F484" i="26"/>
  <c r="F490" i="26"/>
  <c r="F443" i="26" l="1"/>
  <c r="F428" i="26" l="1"/>
  <c r="F440" i="26"/>
  <c r="F434" i="26"/>
  <c r="E445" i="26" l="1"/>
  <c r="A374" i="26" l="1"/>
  <c r="A380" i="26" s="1"/>
  <c r="A386" i="26" s="1"/>
  <c r="A392" i="26" s="1"/>
  <c r="F378" i="26" l="1"/>
  <c r="F390" i="26"/>
  <c r="F384" i="26"/>
  <c r="C909" i="1" l="1"/>
  <c r="C910" i="1"/>
  <c r="C911" i="1"/>
  <c r="C912" i="1"/>
  <c r="C913" i="1"/>
  <c r="C914" i="1"/>
  <c r="C915" i="1"/>
  <c r="C916" i="1"/>
  <c r="C917" i="1"/>
  <c r="C918" i="1"/>
  <c r="C919" i="1"/>
  <c r="C920" i="1"/>
  <c r="C921" i="1"/>
  <c r="C922" i="1"/>
  <c r="C923" i="1"/>
  <c r="H923" i="1"/>
  <c r="G923" i="1" s="1"/>
  <c r="H922" i="1"/>
  <c r="G922" i="1" s="1"/>
  <c r="H921" i="1"/>
  <c r="G921" i="1" s="1"/>
  <c r="H920" i="1"/>
  <c r="G920" i="1" s="1"/>
  <c r="H919" i="1"/>
  <c r="G919" i="1" s="1"/>
  <c r="H918" i="1"/>
  <c r="G918" i="1" s="1"/>
  <c r="H917" i="1"/>
  <c r="G917" i="1" s="1"/>
  <c r="H916" i="1"/>
  <c r="G916" i="1" s="1"/>
  <c r="H915" i="1"/>
  <c r="G915" i="1" s="1"/>
  <c r="H914" i="1"/>
  <c r="G914" i="1" s="1"/>
  <c r="H913" i="1"/>
  <c r="G913" i="1" s="1"/>
  <c r="H912" i="1"/>
  <c r="G912" i="1" s="1"/>
  <c r="H911" i="1"/>
  <c r="G911" i="1" s="1"/>
  <c r="H910" i="1"/>
  <c r="G910" i="1" s="1"/>
  <c r="F329" i="26" l="1"/>
  <c r="F341" i="26"/>
  <c r="F335" i="26"/>
  <c r="C786" i="1" l="1"/>
  <c r="C787" i="1"/>
  <c r="C788" i="1"/>
  <c r="C789" i="1"/>
  <c r="C790" i="1"/>
  <c r="C791" i="1"/>
  <c r="C792" i="1"/>
  <c r="C793" i="1"/>
  <c r="C794" i="1"/>
  <c r="C795" i="1"/>
  <c r="C796" i="1"/>
  <c r="C797" i="1"/>
  <c r="C798" i="1"/>
  <c r="C799" i="1"/>
  <c r="C800" i="1"/>
  <c r="C801" i="1"/>
  <c r="C802" i="1"/>
  <c r="F836" i="19" l="1"/>
  <c r="F833" i="19"/>
  <c r="F830" i="19"/>
  <c r="F831" i="19" l="1"/>
  <c r="F277" i="26"/>
  <c r="F289" i="26"/>
  <c r="F283" i="26"/>
  <c r="F616" i="19" l="1"/>
  <c r="F613" i="19"/>
  <c r="F610" i="19"/>
  <c r="F611" i="19" l="1"/>
  <c r="F240" i="26"/>
  <c r="F234" i="26"/>
  <c r="F228" i="26"/>
  <c r="H565" i="1" l="1"/>
  <c r="G565" i="1" s="1"/>
  <c r="H564" i="1"/>
  <c r="G564" i="1" s="1"/>
  <c r="H563" i="1"/>
  <c r="G563" i="1" s="1"/>
  <c r="H562" i="1"/>
  <c r="G562" i="1" s="1"/>
  <c r="H561" i="1"/>
  <c r="G561" i="1" s="1"/>
  <c r="H560" i="1"/>
  <c r="G560" i="1" s="1"/>
  <c r="H559" i="1"/>
  <c r="G559" i="1" s="1"/>
  <c r="H558" i="1"/>
  <c r="G558" i="1" s="1"/>
  <c r="H557" i="1"/>
  <c r="G557" i="1" s="1"/>
  <c r="H556" i="1"/>
  <c r="G556" i="1" s="1"/>
  <c r="H555" i="1"/>
  <c r="G555" i="1" s="1"/>
  <c r="H554" i="1"/>
  <c r="G554" i="1" s="1"/>
  <c r="H553" i="1"/>
  <c r="G553" i="1" s="1"/>
  <c r="H552" i="1"/>
  <c r="G552" i="1" s="1"/>
  <c r="H551" i="1"/>
  <c r="G551" i="1" s="1"/>
  <c r="H550" i="1"/>
  <c r="G550" i="1" s="1"/>
  <c r="H549" i="1"/>
  <c r="G549" i="1" s="1"/>
  <c r="H548" i="1"/>
  <c r="G548" i="1" s="1"/>
  <c r="H547" i="1"/>
  <c r="G547" i="1" s="1"/>
  <c r="H546" i="1"/>
  <c r="G546" i="1" s="1"/>
  <c r="H545" i="1"/>
  <c r="G545" i="1" s="1"/>
  <c r="H544" i="1"/>
  <c r="G544" i="1" s="1"/>
  <c r="H543" i="1"/>
  <c r="G543" i="1" s="1"/>
  <c r="H542" i="1"/>
  <c r="G542" i="1" s="1"/>
  <c r="H541" i="1"/>
  <c r="G541" i="1" s="1"/>
  <c r="H540" i="1"/>
  <c r="G540" i="1" s="1"/>
  <c r="H539" i="1"/>
  <c r="G539" i="1" s="1"/>
  <c r="H538" i="1"/>
  <c r="H537" i="1"/>
  <c r="A169" i="26" l="1"/>
  <c r="F185" i="26" l="1"/>
  <c r="F173" i="26"/>
  <c r="A118" i="26" l="1"/>
  <c r="F134" i="26" l="1"/>
  <c r="F122" i="26"/>
  <c r="F128" i="26"/>
  <c r="A68" i="26" l="1"/>
  <c r="K31" i="30" l="1"/>
  <c r="H31" i="1" s="1"/>
  <c r="G31" i="1" s="1"/>
  <c r="E140" i="26" l="1"/>
  <c r="H92" i="30"/>
  <c r="F23" i="5"/>
  <c r="H1270" i="1" l="1"/>
  <c r="G1144" i="1" l="1"/>
  <c r="G1143" i="1"/>
  <c r="G1142" i="1"/>
  <c r="G1141" i="1"/>
  <c r="G1140" i="1"/>
  <c r="G1139" i="1"/>
  <c r="G1138" i="1"/>
  <c r="G1137" i="1"/>
  <c r="G1136" i="1"/>
  <c r="G1135" i="1"/>
  <c r="G1134" i="1"/>
  <c r="G1133" i="1"/>
  <c r="G1132" i="1"/>
  <c r="H1053" i="1" l="1"/>
  <c r="H909" i="1" l="1"/>
  <c r="G909" i="1" s="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l="1"/>
  <c r="C778" i="1" l="1"/>
  <c r="C779" i="1"/>
  <c r="C780" i="1"/>
  <c r="C781" i="1"/>
  <c r="C782" i="1"/>
  <c r="C783" i="1"/>
  <c r="C784" i="1"/>
  <c r="C785" i="1"/>
  <c r="C803" i="1"/>
  <c r="C804" i="1"/>
  <c r="C805" i="1"/>
  <c r="C672" i="1" l="1"/>
  <c r="G704" i="1" l="1"/>
  <c r="C417" i="1" l="1"/>
  <c r="C418" i="1"/>
  <c r="C419" i="1"/>
  <c r="C420" i="1"/>
  <c r="C421" i="1"/>
  <c r="C422" i="1"/>
  <c r="C423" i="1"/>
  <c r="C424" i="1"/>
  <c r="C425" i="1"/>
  <c r="C426" i="1"/>
  <c r="C427" i="1"/>
  <c r="C428" i="1"/>
  <c r="G428" i="1"/>
  <c r="G427" i="1"/>
  <c r="G426" i="1"/>
  <c r="G425" i="1"/>
  <c r="G424" i="1"/>
  <c r="G423" i="1"/>
  <c r="G422" i="1"/>
  <c r="G421" i="1"/>
  <c r="G420" i="1"/>
  <c r="G419" i="1"/>
  <c r="G418" i="1"/>
  <c r="G417" i="1"/>
  <c r="F18" i="8" l="1"/>
  <c r="G18" i="8"/>
  <c r="F31" i="5" l="1"/>
  <c r="D77" i="30" l="1"/>
  <c r="D78" i="30"/>
  <c r="D79" i="30"/>
  <c r="D80" i="30"/>
  <c r="K80" i="30"/>
  <c r="K79" i="30"/>
  <c r="K78" i="30"/>
  <c r="K77" i="30"/>
  <c r="H80" i="1" l="1"/>
  <c r="G80" i="1" s="1"/>
  <c r="H77" i="1"/>
  <c r="G77" i="1" s="1"/>
  <c r="H78" i="1"/>
  <c r="G78" i="1" s="1"/>
  <c r="H79" i="1"/>
  <c r="G79" i="1" s="1"/>
  <c r="H95" i="30"/>
  <c r="A575" i="26"/>
  <c r="A593" i="26" l="1"/>
  <c r="A587" i="26"/>
  <c r="A581" i="26"/>
  <c r="C1379" i="1"/>
  <c r="C1380" i="1"/>
  <c r="C1381" i="1"/>
  <c r="C1382" i="1"/>
  <c r="C1383" i="1"/>
  <c r="C1384" i="1"/>
  <c r="C1385" i="1"/>
  <c r="C1386" i="1"/>
  <c r="C1387" i="1"/>
  <c r="C1388" i="1"/>
  <c r="C1389" i="1"/>
  <c r="C1390" i="1"/>
  <c r="C1391" i="1"/>
  <c r="C1392" i="1"/>
  <c r="C1393" i="1"/>
  <c r="C1394" i="1"/>
  <c r="G1394" i="1" l="1"/>
  <c r="G1392" i="1"/>
  <c r="G1391" i="1"/>
  <c r="G1390" i="1"/>
  <c r="G1389" i="1"/>
  <c r="G1388" i="1"/>
  <c r="G1387" i="1"/>
  <c r="G1386" i="1"/>
  <c r="G1385" i="1"/>
  <c r="G1384" i="1"/>
  <c r="G1383" i="1"/>
  <c r="C1361" i="1" l="1"/>
  <c r="C1362" i="1"/>
  <c r="C1363" i="1"/>
  <c r="C1364" i="1"/>
  <c r="C1365" i="1"/>
  <c r="C1366" i="1"/>
  <c r="C1367" i="1"/>
  <c r="C1368" i="1"/>
  <c r="C1369" i="1"/>
  <c r="C1370" i="1"/>
  <c r="C1371" i="1"/>
  <c r="C1372" i="1"/>
  <c r="C1373" i="1"/>
  <c r="C1374" i="1"/>
  <c r="C1375" i="1"/>
  <c r="C1376" i="1"/>
  <c r="C1377" i="1"/>
  <c r="C1378" i="1"/>
  <c r="C1235" i="1" l="1"/>
  <c r="C1236" i="1"/>
  <c r="C1237" i="1"/>
  <c r="C1238" i="1"/>
  <c r="C1239" i="1"/>
  <c r="C1240" i="1"/>
  <c r="C1241" i="1"/>
  <c r="C1242" i="1"/>
  <c r="C1243" i="1"/>
  <c r="C1244" i="1"/>
  <c r="C1245" i="1"/>
  <c r="C1246" i="1"/>
  <c r="C1247" i="1"/>
  <c r="C1248" i="1"/>
  <c r="C1249" i="1"/>
  <c r="C1250" i="1"/>
  <c r="C1251" i="1"/>
  <c r="C1252" i="1"/>
  <c r="C1253" i="1"/>
  <c r="C1254" i="1"/>
  <c r="C1255" i="1"/>
  <c r="C1256" i="1"/>
  <c r="C1257" i="1"/>
  <c r="G1256" i="1" l="1"/>
  <c r="G1257" i="1"/>
  <c r="G1245" i="1"/>
  <c r="G1242" i="1"/>
  <c r="G1243" i="1"/>
  <c r="G1244" i="1"/>
  <c r="G1246" i="1"/>
  <c r="G1247" i="1"/>
  <c r="G1248" i="1"/>
  <c r="G1249" i="1"/>
  <c r="G1250" i="1"/>
  <c r="G1251" i="1"/>
  <c r="G1252" i="1"/>
  <c r="G1253" i="1"/>
  <c r="F472" i="26" l="1"/>
  <c r="G1393" i="1" l="1"/>
  <c r="G785" i="19" l="1"/>
  <c r="G782" i="19"/>
  <c r="E642" i="5" l="1"/>
  <c r="G650" i="1" l="1"/>
  <c r="G651" i="1"/>
  <c r="G652" i="1"/>
  <c r="G653" i="1"/>
  <c r="G654" i="1"/>
  <c r="G668" i="1" l="1"/>
  <c r="G660" i="1"/>
  <c r="G670" i="1"/>
  <c r="G666" i="1"/>
  <c r="G662" i="1"/>
  <c r="G656" i="1"/>
  <c r="G658" i="1"/>
  <c r="G671" i="1"/>
  <c r="G669" i="1"/>
  <c r="G667" i="1"/>
  <c r="G665" i="1"/>
  <c r="G663" i="1"/>
  <c r="G661" i="1"/>
  <c r="G659" i="1"/>
  <c r="G655" i="1"/>
  <c r="G657" i="1"/>
  <c r="G672" i="1"/>
  <c r="G664" i="1"/>
  <c r="G565" i="19"/>
  <c r="H486" i="30" l="1"/>
  <c r="H534" i="1" l="1"/>
  <c r="H530" i="1"/>
  <c r="H531" i="1"/>
  <c r="H532" i="1"/>
  <c r="H533" i="1"/>
  <c r="H535" i="1"/>
  <c r="C415" i="1" l="1"/>
  <c r="C416" i="1"/>
  <c r="G345" i="19" l="1"/>
  <c r="G340" i="19"/>
  <c r="G233" i="19" l="1"/>
  <c r="G229" i="19"/>
  <c r="G118" i="19" l="1"/>
  <c r="A141" i="5"/>
  <c r="A154" i="5" s="1"/>
  <c r="K75" i="30" l="1"/>
  <c r="H75" i="1" s="1"/>
  <c r="D75" i="30"/>
  <c r="K74" i="30"/>
  <c r="H74" i="1" s="1"/>
  <c r="D74" i="30"/>
  <c r="D38" i="30"/>
  <c r="D39" i="30"/>
  <c r="K38" i="30" l="1"/>
  <c r="H38" i="1" s="1"/>
  <c r="K39" i="30"/>
  <c r="H39" i="1" s="1"/>
  <c r="F188" i="26"/>
  <c r="F37" i="26"/>
  <c r="A36" i="26"/>
  <c r="F87" i="26"/>
  <c r="A86" i="26"/>
  <c r="A279" i="19"/>
  <c r="A282" i="19" s="1"/>
  <c r="A285" i="19" s="1"/>
  <c r="H277" i="19"/>
  <c r="F285" i="19"/>
  <c r="H263" i="19"/>
  <c r="F282" i="19"/>
  <c r="F279" i="19"/>
  <c r="A167" i="19"/>
  <c r="A170" i="19" s="1"/>
  <c r="A173" i="19" s="1"/>
  <c r="H165" i="19"/>
  <c r="F173" i="19"/>
  <c r="L139" i="19"/>
  <c r="F170" i="19"/>
  <c r="F167" i="19"/>
  <c r="F57" i="19"/>
  <c r="G57" i="19" s="1"/>
  <c r="H58" i="19" s="1"/>
  <c r="I48" i="19" s="1"/>
  <c r="A51" i="19"/>
  <c r="A54" i="19" s="1"/>
  <c r="A57" i="19" s="1"/>
  <c r="F54" i="19"/>
  <c r="G54" i="19" s="1"/>
  <c r="I255" i="19" l="1"/>
  <c r="H55" i="19"/>
  <c r="H283" i="19"/>
  <c r="I263" i="19" s="1"/>
  <c r="H286" i="19"/>
  <c r="I277" i="19" s="1"/>
  <c r="F168" i="19"/>
  <c r="H171" i="19"/>
  <c r="I171" i="19" s="1"/>
  <c r="H174" i="19"/>
  <c r="I165" i="19" s="1"/>
  <c r="A24" i="26"/>
  <c r="A30" i="26" s="1"/>
  <c r="A74" i="26"/>
  <c r="A80" i="26" s="1"/>
  <c r="F280" i="19"/>
  <c r="G60" i="19"/>
  <c r="G177" i="19" s="1"/>
  <c r="F52" i="19"/>
  <c r="I37" i="19" l="1"/>
  <c r="K57" i="19"/>
  <c r="H168" i="19"/>
  <c r="H60" i="19"/>
  <c r="H177" i="19" s="1"/>
  <c r="G288" i="19"/>
  <c r="H280" i="19"/>
  <c r="H176" i="19"/>
  <c r="G176" i="19"/>
  <c r="G178" i="19" s="1"/>
  <c r="G289" i="19" s="1"/>
  <c r="I282" i="19" l="1"/>
  <c r="I249" i="19"/>
  <c r="I168" i="19"/>
  <c r="I153" i="19"/>
  <c r="H288" i="19"/>
  <c r="H178" i="19"/>
  <c r="H289" i="19" s="1"/>
  <c r="G290" i="19"/>
  <c r="H290" i="19" l="1"/>
  <c r="I1419" i="1"/>
  <c r="I1418"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G1306" i="1" l="1"/>
  <c r="G1310" i="1"/>
  <c r="G1314" i="1"/>
  <c r="G1318" i="1"/>
  <c r="G1326" i="1"/>
  <c r="G1332" i="1"/>
  <c r="G1336" i="1"/>
  <c r="G1340" i="1"/>
  <c r="G1344" i="1"/>
  <c r="G1348" i="1"/>
  <c r="G1354" i="1"/>
  <c r="G1358" i="1"/>
  <c r="G1366" i="1"/>
  <c r="G1374" i="1"/>
  <c r="G1378" i="1"/>
  <c r="G1367" i="1"/>
  <c r="G1375" i="1"/>
  <c r="G1307" i="1"/>
  <c r="G1311" i="1"/>
  <c r="G1317" i="1"/>
  <c r="G1321" i="1"/>
  <c r="G1325" i="1"/>
  <c r="G1327" i="1"/>
  <c r="G1331" i="1"/>
  <c r="G1335" i="1"/>
  <c r="G1337" i="1"/>
  <c r="G1339" i="1"/>
  <c r="G1341" i="1"/>
  <c r="G1343" i="1"/>
  <c r="G1345" i="1"/>
  <c r="G1347" i="1"/>
  <c r="G1349" i="1"/>
  <c r="G1351" i="1"/>
  <c r="G1353" i="1"/>
  <c r="G1355" i="1"/>
  <c r="G1357" i="1"/>
  <c r="G1368" i="1"/>
  <c r="G1372" i="1"/>
  <c r="G1376" i="1"/>
  <c r="G1380" i="1"/>
  <c r="G1365" i="1"/>
  <c r="G1308" i="1"/>
  <c r="G1312" i="1"/>
  <c r="G1316" i="1"/>
  <c r="G1320" i="1"/>
  <c r="G1322" i="1"/>
  <c r="G1324" i="1"/>
  <c r="G1328" i="1"/>
  <c r="G1330" i="1"/>
  <c r="G1334" i="1"/>
  <c r="G1338" i="1"/>
  <c r="G1342" i="1"/>
  <c r="G1346" i="1"/>
  <c r="G1350" i="1"/>
  <c r="G1352" i="1"/>
  <c r="G1356" i="1"/>
  <c r="G1370" i="1"/>
  <c r="G1364" i="1"/>
  <c r="G1303" i="1"/>
  <c r="G1371" i="1"/>
  <c r="G1379" i="1"/>
  <c r="G1305" i="1"/>
  <c r="G1309" i="1"/>
  <c r="G1313" i="1"/>
  <c r="G1315" i="1"/>
  <c r="G1319" i="1"/>
  <c r="G1323" i="1"/>
  <c r="G1329" i="1"/>
  <c r="G1333" i="1"/>
  <c r="G1304" i="1"/>
  <c r="G1369" i="1"/>
  <c r="G1373" i="1"/>
  <c r="G1377" i="1"/>
  <c r="G1363" i="1"/>
  <c r="G1359" i="1" l="1"/>
  <c r="G1361" i="1"/>
  <c r="G1360" i="1"/>
  <c r="G1362" i="1"/>
  <c r="G1225" i="19"/>
  <c r="G1213" i="1" l="1"/>
  <c r="G1211" i="1"/>
  <c r="G1212" i="1"/>
  <c r="G1210" i="1"/>
  <c r="G1214" i="1"/>
  <c r="G1241" i="1"/>
  <c r="G1255" i="1"/>
  <c r="A1271" i="19" l="1"/>
  <c r="A1274" i="19" s="1"/>
  <c r="A1277" i="19" s="1"/>
  <c r="H1269" i="19"/>
  <c r="F1277" i="19"/>
  <c r="H1255" i="19"/>
  <c r="F1274" i="19"/>
  <c r="A1243" i="19"/>
  <c r="A1257" i="19" s="1"/>
  <c r="F1271" i="19"/>
  <c r="H1278" i="19" l="1"/>
  <c r="I1269" i="19" s="1"/>
  <c r="H1275" i="19"/>
  <c r="I1275" i="19" s="1"/>
  <c r="H1272" i="19"/>
  <c r="I1272" i="19" s="1"/>
  <c r="F1272" i="19"/>
  <c r="A1077" i="5"/>
  <c r="A1090" i="5" s="1"/>
  <c r="A1093" i="5" s="1"/>
  <c r="A1097" i="5" s="1"/>
  <c r="A989" i="5"/>
  <c r="A1002" i="5" s="1"/>
  <c r="A1005" i="5" s="1"/>
  <c r="A1009" i="5" s="1"/>
  <c r="E602" i="26"/>
  <c r="E547" i="26"/>
  <c r="C1234" i="1"/>
  <c r="G1235" i="1"/>
  <c r="G1236" i="1"/>
  <c r="G1237" i="1"/>
  <c r="G1238" i="1"/>
  <c r="G1239" i="1"/>
  <c r="G1240" i="1"/>
  <c r="G1254" i="1"/>
  <c r="H1280" i="19" l="1"/>
  <c r="F1126" i="5"/>
  <c r="E1126" i="5"/>
  <c r="G1234" i="1"/>
  <c r="E1040" i="5"/>
  <c r="F1013" i="5"/>
  <c r="F602" i="26"/>
  <c r="G1280" i="19"/>
  <c r="E1013" i="5"/>
  <c r="F547" i="26"/>
  <c r="G1114" i="19"/>
  <c r="A1159" i="19"/>
  <c r="A1162" i="19" s="1"/>
  <c r="A1165" i="19" s="1"/>
  <c r="H1157" i="19"/>
  <c r="H1143" i="19"/>
  <c r="A1131" i="19"/>
  <c r="A1145" i="19" s="1"/>
  <c r="H1129" i="19"/>
  <c r="H1166" i="19" l="1"/>
  <c r="I1157" i="19" s="1"/>
  <c r="H1163" i="19"/>
  <c r="I1143" i="19" s="1"/>
  <c r="F1041" i="5"/>
  <c r="H1160" i="19"/>
  <c r="I1129" i="19" s="1"/>
  <c r="H1168" i="19" l="1"/>
  <c r="E942" i="5"/>
  <c r="G1168" i="19"/>
  <c r="F943" i="5" l="1"/>
  <c r="A474" i="26"/>
  <c r="A489" i="26" s="1"/>
  <c r="A479" i="26" l="1"/>
  <c r="A484" i="26" s="1"/>
  <c r="A424" i="26" l="1"/>
  <c r="A436" i="26" l="1"/>
  <c r="A430" i="26"/>
  <c r="A442" i="26"/>
  <c r="A876" i="5"/>
  <c r="A879" i="5" s="1"/>
  <c r="A883" i="5" s="1"/>
  <c r="A1050" i="19"/>
  <c r="A1053" i="19" s="1"/>
  <c r="A1056" i="19" s="1"/>
  <c r="H1048" i="19"/>
  <c r="F1056" i="19"/>
  <c r="H1034" i="19"/>
  <c r="F1053" i="19"/>
  <c r="A1022" i="19"/>
  <c r="A1036" i="19" s="1"/>
  <c r="H1020" i="19"/>
  <c r="F1050" i="19"/>
  <c r="H1054" i="19" l="1"/>
  <c r="H1057" i="19"/>
  <c r="G1128" i="1"/>
  <c r="G1129" i="1"/>
  <c r="G1124" i="1"/>
  <c r="G1131" i="1"/>
  <c r="G1127" i="1"/>
  <c r="G1125" i="1"/>
  <c r="G1123" i="1"/>
  <c r="G1121" i="1"/>
  <c r="G1130" i="1"/>
  <c r="G1126" i="1"/>
  <c r="G1122" i="1"/>
  <c r="E887" i="5"/>
  <c r="F887" i="5"/>
  <c r="F1051" i="19"/>
  <c r="H1051" i="19" l="1"/>
  <c r="H1059" i="19" s="1"/>
  <c r="G1059" i="19"/>
  <c r="C1014" i="1" l="1"/>
  <c r="C1015" i="1"/>
  <c r="C1016" i="1"/>
  <c r="C1017" i="1"/>
  <c r="C1018" i="1"/>
  <c r="C1019" i="1"/>
  <c r="C1020" i="1"/>
  <c r="G1019" i="1" l="1"/>
  <c r="G1018" i="1"/>
  <c r="G1020" i="1"/>
  <c r="A781" i="5"/>
  <c r="A784" i="5" s="1"/>
  <c r="A788" i="5" s="1"/>
  <c r="E827" i="5" l="1"/>
  <c r="F828" i="5" l="1"/>
  <c r="A940" i="19" l="1"/>
  <c r="A943" i="19" s="1"/>
  <c r="A946" i="19" s="1"/>
  <c r="H938" i="19"/>
  <c r="F946" i="19"/>
  <c r="H924" i="19"/>
  <c r="F943" i="19"/>
  <c r="A912" i="19"/>
  <c r="A926" i="19" s="1"/>
  <c r="H910" i="19"/>
  <c r="F940" i="19"/>
  <c r="H947" i="19" l="1"/>
  <c r="I938" i="19" s="1"/>
  <c r="H944" i="19"/>
  <c r="I924" i="19" s="1"/>
  <c r="F941" i="19"/>
  <c r="H941" i="19" l="1"/>
  <c r="I910" i="19" s="1"/>
  <c r="G949" i="19"/>
  <c r="H949" i="19" l="1"/>
  <c r="F393" i="26"/>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F643" i="5" l="1"/>
  <c r="A672" i="5"/>
  <c r="A675" i="5" s="1"/>
  <c r="A679" i="5" s="1"/>
  <c r="E742" i="5" l="1"/>
  <c r="F743" i="5" l="1"/>
  <c r="H840" i="19" l="1"/>
  <c r="G840" i="19"/>
  <c r="A830" i="19"/>
  <c r="A833" i="19" s="1"/>
  <c r="A836" i="19" s="1"/>
  <c r="H828" i="19"/>
  <c r="H837" i="19"/>
  <c r="H814" i="19"/>
  <c r="H834" i="19"/>
  <c r="A802" i="19"/>
  <c r="A816" i="19" s="1"/>
  <c r="H800" i="19"/>
  <c r="I814" i="19" l="1"/>
  <c r="I828" i="19"/>
  <c r="G839" i="19"/>
  <c r="G841" i="19" s="1"/>
  <c r="G950" i="19" s="1"/>
  <c r="G951" i="19" s="1"/>
  <c r="G1060" i="19" s="1"/>
  <c r="G1061" i="19" s="1"/>
  <c r="G1169" i="19" s="1"/>
  <c r="H831" i="19"/>
  <c r="I800" i="19" s="1"/>
  <c r="H839" i="19" l="1"/>
  <c r="H841" i="19" s="1"/>
  <c r="H950" i="19" s="1"/>
  <c r="H951" i="19" s="1"/>
  <c r="H1060" i="19" s="1"/>
  <c r="H1061" i="19" s="1"/>
  <c r="H1169" i="19" s="1"/>
  <c r="H1170" i="19" s="1"/>
  <c r="G1170" i="19"/>
  <c r="G1281" i="19"/>
  <c r="G1282" i="19" s="1"/>
  <c r="H1281" i="19" l="1"/>
  <c r="H1282" i="19" s="1"/>
  <c r="F344" i="26" l="1"/>
  <c r="A343" i="26"/>
  <c r="A331" i="26" l="1"/>
  <c r="A337" i="26" s="1"/>
  <c r="G671" i="19" l="1"/>
  <c r="G674" i="19"/>
  <c r="H730" i="19"/>
  <c r="G730" i="19"/>
  <c r="A720" i="19"/>
  <c r="A723" i="19" s="1"/>
  <c r="A726" i="19" s="1"/>
  <c r="H718" i="19"/>
  <c r="F726" i="19"/>
  <c r="H704" i="19"/>
  <c r="F723" i="19"/>
  <c r="A692" i="19"/>
  <c r="A706" i="19" s="1"/>
  <c r="H690" i="19"/>
  <c r="F720" i="19"/>
  <c r="H724" i="19" l="1"/>
  <c r="H727" i="19"/>
  <c r="H721" i="19"/>
  <c r="F721" i="19"/>
  <c r="H729" i="19" l="1"/>
  <c r="H731" i="19" s="1"/>
  <c r="G729" i="19"/>
  <c r="G731" i="19" s="1"/>
  <c r="A494" i="5" l="1"/>
  <c r="A507" i="5" s="1"/>
  <c r="A510" i="5" s="1"/>
  <c r="A514" i="5" s="1"/>
  <c r="C658" i="1" l="1"/>
  <c r="C659" i="1"/>
  <c r="C660" i="1"/>
  <c r="C661" i="1"/>
  <c r="C662" i="1"/>
  <c r="C663" i="1"/>
  <c r="C664" i="1"/>
  <c r="C665" i="1"/>
  <c r="C666" i="1"/>
  <c r="C667" i="1"/>
  <c r="C668" i="1"/>
  <c r="C669" i="1"/>
  <c r="C670" i="1"/>
  <c r="C671" i="1"/>
  <c r="F292" i="26"/>
  <c r="A273" i="26"/>
  <c r="A291" i="26" s="1"/>
  <c r="A279" i="26" l="1"/>
  <c r="A285" i="26" s="1"/>
  <c r="G561" i="19"/>
  <c r="A610" i="19"/>
  <c r="A613" i="19" s="1"/>
  <c r="A616" i="19" s="1"/>
  <c r="H608" i="19"/>
  <c r="H617" i="19"/>
  <c r="H594" i="19"/>
  <c r="H614" i="19"/>
  <c r="A582" i="19"/>
  <c r="A596" i="19" s="1"/>
  <c r="H580" i="19"/>
  <c r="A224" i="26"/>
  <c r="A242" i="26" s="1"/>
  <c r="F243" i="26" l="1"/>
  <c r="A230" i="26"/>
  <c r="A236" i="26" s="1"/>
  <c r="H611" i="19" l="1"/>
  <c r="G619" i="19"/>
  <c r="H619" i="19" l="1"/>
  <c r="A416" i="5" l="1"/>
  <c r="A419" i="5" s="1"/>
  <c r="A423" i="5" s="1"/>
  <c r="C537" i="1" l="1"/>
  <c r="G534" i="1" l="1"/>
  <c r="G535" i="1"/>
  <c r="G533" i="1"/>
  <c r="G532" i="1"/>
  <c r="C528" i="1"/>
  <c r="C529" i="1"/>
  <c r="C530" i="1"/>
  <c r="C531" i="1"/>
  <c r="C532" i="1"/>
  <c r="C533" i="1"/>
  <c r="C534" i="1"/>
  <c r="C535" i="1"/>
  <c r="C536" i="1"/>
  <c r="G538" i="1"/>
  <c r="G537" i="1"/>
  <c r="G531" i="1" l="1"/>
  <c r="H527" i="1"/>
  <c r="H528" i="1"/>
  <c r="H529" i="1"/>
  <c r="G530" i="1"/>
  <c r="H536" i="1" l="1"/>
  <c r="G536" i="1" s="1"/>
  <c r="G528" i="1"/>
  <c r="G529" i="1"/>
  <c r="A469" i="19"/>
  <c r="A483" i="19" s="1"/>
  <c r="A497" i="19"/>
  <c r="A500" i="19" s="1"/>
  <c r="A503" i="19" s="1"/>
  <c r="H495" i="19"/>
  <c r="H481" i="19"/>
  <c r="H501" i="19" l="1"/>
  <c r="I481" i="19" s="1"/>
  <c r="H504" i="19"/>
  <c r="I495" i="19" s="1"/>
  <c r="H498" i="19" l="1"/>
  <c r="G506" i="19"/>
  <c r="H506" i="19" l="1"/>
  <c r="I467" i="19"/>
  <c r="A187" i="26"/>
  <c r="A175" i="26" l="1"/>
  <c r="A181" i="26" s="1"/>
  <c r="G412" i="1" l="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359" i="1"/>
  <c r="C360" i="1"/>
  <c r="H389" i="19"/>
  <c r="H398" i="19"/>
  <c r="H375" i="19"/>
  <c r="H395" i="19"/>
  <c r="I389" i="19" l="1"/>
  <c r="I375" i="19"/>
  <c r="G413" i="1"/>
  <c r="G410" i="1"/>
  <c r="G411" i="1"/>
  <c r="G414" i="1"/>
  <c r="G416" i="1"/>
  <c r="G415" i="1"/>
  <c r="C221" i="1" l="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20" i="1"/>
  <c r="C219" i="1"/>
  <c r="H305" i="5" l="1"/>
  <c r="H307" i="5" s="1"/>
  <c r="D11" i="30"/>
  <c r="D12" i="30"/>
  <c r="D13" i="30"/>
  <c r="D14" i="30"/>
  <c r="D15" i="30"/>
  <c r="D16" i="30"/>
  <c r="D17" i="30"/>
  <c r="D18" i="30"/>
  <c r="D19" i="30"/>
  <c r="D20" i="30"/>
  <c r="D21" i="30"/>
  <c r="D22" i="30"/>
  <c r="D23" i="30"/>
  <c r="D24" i="30"/>
  <c r="D25" i="30"/>
  <c r="D26" i="30"/>
  <c r="D27" i="30"/>
  <c r="D28" i="30"/>
  <c r="D29" i="30"/>
  <c r="D30" i="30"/>
  <c r="D32" i="30"/>
  <c r="D33" i="30"/>
  <c r="D34" i="30"/>
  <c r="D35" i="30"/>
  <c r="D36" i="30"/>
  <c r="D37"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6" i="30"/>
  <c r="D10" i="30"/>
  <c r="D9" i="30"/>
  <c r="K64" i="30" l="1"/>
  <c r="H64" i="1" s="1"/>
  <c r="K63" i="30"/>
  <c r="H63" i="1" s="1"/>
  <c r="G75" i="1" l="1"/>
  <c r="G74" i="1"/>
  <c r="K76" i="30"/>
  <c r="H76" i="1" s="1"/>
  <c r="K73" i="30"/>
  <c r="H73" i="1" s="1"/>
  <c r="K72" i="30"/>
  <c r="H72" i="1" s="1"/>
  <c r="K71" i="30"/>
  <c r="H71" i="1" s="1"/>
  <c r="K70" i="30"/>
  <c r="H70" i="1" s="1"/>
  <c r="K69" i="30"/>
  <c r="H69" i="1" s="1"/>
  <c r="K68" i="30"/>
  <c r="H68" i="1" s="1"/>
  <c r="K67" i="30"/>
  <c r="H67" i="1" s="1"/>
  <c r="K66" i="30"/>
  <c r="H66" i="1" s="1"/>
  <c r="K65" i="30"/>
  <c r="H65" i="1" s="1"/>
  <c r="K62" i="30"/>
  <c r="H62" i="1" s="1"/>
  <c r="G66" i="1" l="1"/>
  <c r="G70" i="1"/>
  <c r="G76" i="1"/>
  <c r="G63" i="1"/>
  <c r="G67" i="1"/>
  <c r="G71" i="1"/>
  <c r="G62" i="1"/>
  <c r="G64" i="1"/>
  <c r="G68" i="1"/>
  <c r="G72" i="1"/>
  <c r="G65" i="1"/>
  <c r="G69" i="1"/>
  <c r="G73"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H738" i="17" l="1"/>
  <c r="H705" i="17"/>
  <c r="H711" i="17" s="1"/>
  <c r="H744" i="17"/>
  <c r="G744" i="17"/>
  <c r="F744" i="17"/>
  <c r="E744" i="17"/>
  <c r="D744" i="17"/>
  <c r="I741" i="17"/>
  <c r="I740" i="17"/>
  <c r="I739" i="17"/>
  <c r="I738" i="17"/>
  <c r="G711" i="17"/>
  <c r="F711" i="17"/>
  <c r="E711" i="17"/>
  <c r="D711" i="17"/>
  <c r="I708" i="17"/>
  <c r="I707" i="17"/>
  <c r="I706" i="17"/>
  <c r="I744" i="17" l="1"/>
  <c r="I705" i="17"/>
  <c r="I711" i="17" s="1"/>
  <c r="H672" i="17"/>
  <c r="G678" i="17"/>
  <c r="F678" i="17"/>
  <c r="E678" i="17"/>
  <c r="D678" i="17"/>
  <c r="I675" i="17"/>
  <c r="I674" i="17"/>
  <c r="I673" i="17"/>
  <c r="H678" i="17"/>
  <c r="I672" i="17" l="1"/>
  <c r="I678" i="17" s="1"/>
  <c r="C607" i="17"/>
  <c r="E176" i="13"/>
  <c r="E607" i="17" s="1"/>
  <c r="A169" i="13"/>
  <c r="A170" i="13" s="1"/>
  <c r="A171" i="13" s="1"/>
  <c r="A172" i="13" s="1"/>
  <c r="A173" i="13" s="1"/>
  <c r="A174" i="13" s="1"/>
  <c r="H639" i="17" l="1"/>
  <c r="G645" i="17"/>
  <c r="F645" i="17"/>
  <c r="E645" i="17"/>
  <c r="D645" i="17"/>
  <c r="I642" i="17"/>
  <c r="I641" i="17"/>
  <c r="I640" i="17"/>
  <c r="H645" i="17"/>
  <c r="I639" i="17" l="1"/>
  <c r="I645" i="17" s="1"/>
  <c r="H606" i="17"/>
  <c r="G612" i="17"/>
  <c r="F612" i="17"/>
  <c r="E612" i="17"/>
  <c r="D612" i="17"/>
  <c r="I609" i="17"/>
  <c r="I608" i="17"/>
  <c r="I607" i="17"/>
  <c r="H612" i="17"/>
  <c r="I606" i="17" l="1"/>
  <c r="I612" i="17" s="1"/>
  <c r="C442" i="17"/>
  <c r="A116" i="13"/>
  <c r="A117" i="13" s="1"/>
  <c r="A118" i="13" s="1"/>
  <c r="A119" i="13" s="1"/>
  <c r="A120" i="13" s="1"/>
  <c r="A121" i="13" s="1"/>
  <c r="E123" i="13"/>
  <c r="E442" i="17" s="1"/>
  <c r="H573" i="17" l="1"/>
  <c r="G579" i="17"/>
  <c r="F579" i="17"/>
  <c r="E579" i="17"/>
  <c r="D579" i="17"/>
  <c r="I576" i="17"/>
  <c r="I575" i="17"/>
  <c r="I574" i="17"/>
  <c r="H579" i="17"/>
  <c r="I573" i="17" l="1"/>
  <c r="I579" i="17" s="1"/>
  <c r="H540" i="17"/>
  <c r="G546" i="17"/>
  <c r="F546" i="17"/>
  <c r="E546" i="17"/>
  <c r="D546" i="17"/>
  <c r="I543" i="17"/>
  <c r="I542" i="17"/>
  <c r="I541" i="17"/>
  <c r="H546" i="17"/>
  <c r="H507" i="17"/>
  <c r="H513" i="17" s="1"/>
  <c r="G513" i="17"/>
  <c r="F513" i="17"/>
  <c r="E513" i="17"/>
  <c r="D513" i="17"/>
  <c r="I510" i="17"/>
  <c r="I509" i="17"/>
  <c r="I508" i="17"/>
  <c r="H474" i="17"/>
  <c r="H480" i="17" s="1"/>
  <c r="G480" i="17"/>
  <c r="F480" i="17"/>
  <c r="E480" i="17"/>
  <c r="D480" i="17"/>
  <c r="I477" i="17"/>
  <c r="I476" i="17"/>
  <c r="I475" i="17"/>
  <c r="I540" i="17" l="1"/>
  <c r="I546" i="17" s="1"/>
  <c r="I507" i="17"/>
  <c r="I513" i="17" s="1"/>
  <c r="I474" i="17"/>
  <c r="I480" i="17" s="1"/>
  <c r="H441" i="17"/>
  <c r="H447" i="17" s="1"/>
  <c r="G447" i="17"/>
  <c r="F447" i="17"/>
  <c r="E447" i="17"/>
  <c r="D447" i="17"/>
  <c r="I444" i="17"/>
  <c r="I443" i="17"/>
  <c r="I442" i="17"/>
  <c r="I441" i="17"/>
  <c r="I447" i="17" s="1"/>
  <c r="C376" i="17" l="1"/>
  <c r="E62" i="13"/>
  <c r="E70" i="13" s="1"/>
  <c r="E376" i="17" s="1"/>
  <c r="A63" i="13"/>
  <c r="A64" i="13" s="1"/>
  <c r="A65" i="13" s="1"/>
  <c r="A66" i="13" s="1"/>
  <c r="A67" i="13" s="1"/>
  <c r="A68" i="13" s="1"/>
  <c r="H408" i="17"/>
  <c r="G414" i="17"/>
  <c r="F414" i="17"/>
  <c r="E414" i="17"/>
  <c r="D414" i="17"/>
  <c r="I411" i="17"/>
  <c r="I410" i="17"/>
  <c r="I409" i="17"/>
  <c r="H414" i="17"/>
  <c r="I408" i="17" l="1"/>
  <c r="I414" i="17" s="1"/>
  <c r="H375" i="17"/>
  <c r="G381" i="17"/>
  <c r="F381" i="17"/>
  <c r="E381" i="17"/>
  <c r="D381" i="17"/>
  <c r="I378" i="17"/>
  <c r="I377" i="17"/>
  <c r="I376" i="17"/>
  <c r="H381" i="17"/>
  <c r="I375" i="17" l="1"/>
  <c r="I381" i="17" s="1"/>
  <c r="H342" i="17" l="1"/>
  <c r="H309" i="17" l="1"/>
  <c r="H276" i="17"/>
  <c r="H243" i="17"/>
  <c r="H249" i="17" s="1"/>
  <c r="H348" i="17"/>
  <c r="G348" i="17"/>
  <c r="F348" i="17"/>
  <c r="E348" i="17"/>
  <c r="D348" i="17"/>
  <c r="I345" i="17"/>
  <c r="I344" i="17"/>
  <c r="I343" i="17"/>
  <c r="I342" i="17"/>
  <c r="I348" i="17" s="1"/>
  <c r="H315" i="17"/>
  <c r="G315" i="17"/>
  <c r="F315" i="17"/>
  <c r="E315" i="17"/>
  <c r="D315" i="17"/>
  <c r="I312" i="17"/>
  <c r="I311" i="17"/>
  <c r="I310" i="17"/>
  <c r="I309" i="17"/>
  <c r="H282" i="17"/>
  <c r="G282" i="17"/>
  <c r="F282" i="17"/>
  <c r="E282" i="17"/>
  <c r="D282" i="17"/>
  <c r="I279" i="17"/>
  <c r="I278" i="17"/>
  <c r="I277" i="17"/>
  <c r="I276" i="17"/>
  <c r="G249" i="17"/>
  <c r="F249" i="17"/>
  <c r="E249" i="17"/>
  <c r="D249" i="17"/>
  <c r="I246" i="17"/>
  <c r="I245" i="17"/>
  <c r="I244" i="17"/>
  <c r="I282" i="17" l="1"/>
  <c r="I315" i="17"/>
  <c r="I243" i="17"/>
  <c r="I249" i="17" s="1"/>
  <c r="H210" i="17"/>
  <c r="H177" i="17" l="1"/>
  <c r="H216" i="17"/>
  <c r="G216" i="17"/>
  <c r="F216" i="17"/>
  <c r="D216" i="17"/>
  <c r="I213" i="17"/>
  <c r="I212" i="17"/>
  <c r="I211" i="17"/>
  <c r="E216" i="17"/>
  <c r="I210" i="17" l="1"/>
  <c r="I216" i="17" s="1"/>
  <c r="G183" i="17"/>
  <c r="F183" i="17"/>
  <c r="D183" i="17"/>
  <c r="I180" i="17"/>
  <c r="I179" i="17"/>
  <c r="I178" i="17"/>
  <c r="H183" i="17"/>
  <c r="E9" i="13"/>
  <c r="H144" i="17" l="1"/>
  <c r="H111" i="17"/>
  <c r="H150" i="17"/>
  <c r="G150" i="17"/>
  <c r="F150" i="17"/>
  <c r="E150" i="17"/>
  <c r="D150" i="17"/>
  <c r="I147" i="17"/>
  <c r="I146" i="17"/>
  <c r="I145" i="17"/>
  <c r="I144" i="17"/>
  <c r="I150" i="17" s="1"/>
  <c r="H117" i="17"/>
  <c r="G117" i="17"/>
  <c r="F117" i="17"/>
  <c r="E117" i="17"/>
  <c r="D117" i="17"/>
  <c r="I114" i="17"/>
  <c r="I113" i="17"/>
  <c r="I112" i="17"/>
  <c r="I111" i="17"/>
  <c r="H84" i="17"/>
  <c r="G84" i="17"/>
  <c r="F84" i="17"/>
  <c r="E84" i="17"/>
  <c r="D84" i="17"/>
  <c r="I81" i="17"/>
  <c r="I80" i="17"/>
  <c r="I79" i="17"/>
  <c r="I78" i="17"/>
  <c r="H51" i="17"/>
  <c r="G51" i="17"/>
  <c r="F51" i="17"/>
  <c r="E51" i="17"/>
  <c r="D51" i="17"/>
  <c r="I48" i="17"/>
  <c r="I47" i="17"/>
  <c r="I46" i="17"/>
  <c r="I45" i="17"/>
  <c r="I51" i="17" l="1"/>
  <c r="I84" i="17"/>
  <c r="I117" i="17"/>
  <c r="I1271" i="1" l="1"/>
  <c r="I1270"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G1233" i="1" l="1"/>
  <c r="G1232" i="1"/>
  <c r="G1231" i="1"/>
  <c r="G1230" i="1"/>
  <c r="G1229" i="1"/>
  <c r="G1228" i="1"/>
  <c r="G1227" i="1"/>
  <c r="G1190" i="1" l="1"/>
  <c r="G1205" i="1"/>
  <c r="G1207" i="1"/>
  <c r="G1209" i="1"/>
  <c r="G1224" i="1"/>
  <c r="G1197" i="1"/>
  <c r="G1201" i="1"/>
  <c r="G1216" i="1"/>
  <c r="G1191" i="1"/>
  <c r="G1204" i="1"/>
  <c r="G1206" i="1"/>
  <c r="G1223" i="1"/>
  <c r="G1188" i="1"/>
  <c r="G1192" i="1"/>
  <c r="G1203" i="1"/>
  <c r="G1226" i="1"/>
  <c r="G1185" i="1"/>
  <c r="G1199" i="1"/>
  <c r="G1218" i="1"/>
  <c r="G1220" i="1"/>
  <c r="G1222" i="1"/>
  <c r="G1187" i="1"/>
  <c r="G1189" i="1"/>
  <c r="G1193" i="1"/>
  <c r="G1194" i="1"/>
  <c r="G1198" i="1"/>
  <c r="G1200" i="1"/>
  <c r="G1202" i="1"/>
  <c r="G1215" i="1"/>
  <c r="G1217" i="1"/>
  <c r="G1219" i="1"/>
  <c r="G1221" i="1"/>
  <c r="G1225" i="1"/>
  <c r="G1208" i="1"/>
  <c r="G1186" i="1" l="1"/>
  <c r="I1146" i="1"/>
  <c r="I1145" i="1"/>
  <c r="G1093" i="1" l="1"/>
  <c r="G1097" i="1"/>
  <c r="G1101" i="1"/>
  <c r="G1103" i="1"/>
  <c r="G1107" i="1"/>
  <c r="G1109" i="1"/>
  <c r="G1111" i="1"/>
  <c r="G1115" i="1"/>
  <c r="G1117" i="1"/>
  <c r="G1119" i="1"/>
  <c r="G1092" i="1"/>
  <c r="G1094" i="1"/>
  <c r="G1096" i="1"/>
  <c r="G1098" i="1"/>
  <c r="G1100" i="1"/>
  <c r="G1102" i="1"/>
  <c r="G1104" i="1"/>
  <c r="G1106" i="1"/>
  <c r="G1108" i="1"/>
  <c r="G1110" i="1"/>
  <c r="G1112" i="1"/>
  <c r="G1114" i="1"/>
  <c r="G1116" i="1"/>
  <c r="G1118" i="1"/>
  <c r="G1120" i="1"/>
  <c r="G1091" i="1"/>
  <c r="G1095" i="1"/>
  <c r="G1099" i="1"/>
  <c r="G1105" i="1"/>
  <c r="G1113" i="1"/>
  <c r="G1069" i="1"/>
  <c r="G1079" i="1"/>
  <c r="G1087" i="1"/>
  <c r="G1070" i="1"/>
  <c r="G1074" i="1"/>
  <c r="G1076" i="1"/>
  <c r="G1080" i="1"/>
  <c r="G1082" i="1"/>
  <c r="G1084" i="1"/>
  <c r="G1086" i="1"/>
  <c r="G1088" i="1"/>
  <c r="G1090" i="1"/>
  <c r="G1073" i="1"/>
  <c r="G1081" i="1"/>
  <c r="G1072" i="1"/>
  <c r="G1078" i="1"/>
  <c r="G1071" i="1"/>
  <c r="G1077" i="1"/>
  <c r="G1085" i="1"/>
  <c r="G1089" i="1"/>
  <c r="G1075" i="1"/>
  <c r="G1083" i="1"/>
  <c r="G1068" i="1"/>
  <c r="G1145" i="1" l="1"/>
  <c r="H1145" i="1"/>
  <c r="I1054" i="1"/>
  <c r="I1053" i="1"/>
  <c r="G966" i="1" l="1"/>
  <c r="G952" i="1"/>
  <c r="G958" i="1"/>
  <c r="G964" i="1"/>
  <c r="G970" i="1"/>
  <c r="G976" i="1"/>
  <c r="G980" i="1"/>
  <c r="G984" i="1"/>
  <c r="G988" i="1"/>
  <c r="G994" i="1"/>
  <c r="G1002" i="1"/>
  <c r="G1016" i="1"/>
  <c r="G956" i="1"/>
  <c r="G962" i="1"/>
  <c r="G968" i="1"/>
  <c r="G972" i="1"/>
  <c r="G978" i="1"/>
  <c r="G982" i="1"/>
  <c r="G986" i="1"/>
  <c r="G992" i="1"/>
  <c r="G996" i="1"/>
  <c r="G998" i="1"/>
  <c r="G1004" i="1"/>
  <c r="G1006" i="1"/>
  <c r="G1008" i="1"/>
  <c r="G1010" i="1"/>
  <c r="G1012" i="1"/>
  <c r="G1014" i="1"/>
  <c r="G953" i="1"/>
  <c r="G955" i="1"/>
  <c r="G957" i="1"/>
  <c r="G959" i="1"/>
  <c r="G961" i="1"/>
  <c r="G963" i="1"/>
  <c r="G965" i="1"/>
  <c r="G967" i="1"/>
  <c r="G969" i="1"/>
  <c r="G971" i="1"/>
  <c r="G973" i="1"/>
  <c r="G975" i="1"/>
  <c r="G977" i="1"/>
  <c r="G979" i="1"/>
  <c r="G981" i="1"/>
  <c r="G983" i="1"/>
  <c r="G985" i="1"/>
  <c r="G987" i="1"/>
  <c r="G989" i="1"/>
  <c r="G991" i="1"/>
  <c r="G993" i="1"/>
  <c r="G995" i="1"/>
  <c r="G997" i="1"/>
  <c r="G1003" i="1"/>
  <c r="G1005" i="1"/>
  <c r="G1007" i="1"/>
  <c r="G1009" i="1"/>
  <c r="G1011" i="1"/>
  <c r="G1013" i="1"/>
  <c r="G1015" i="1"/>
  <c r="G1017" i="1"/>
  <c r="G954" i="1"/>
  <c r="G960" i="1"/>
  <c r="G974" i="1"/>
  <c r="G1000" i="1"/>
  <c r="G990" i="1"/>
  <c r="G951" i="1"/>
  <c r="G1001" i="1"/>
  <c r="G999" i="1" l="1"/>
  <c r="G1053" i="1" s="1"/>
  <c r="I925" i="1" l="1"/>
  <c r="I924" i="1"/>
  <c r="G907" i="1" l="1"/>
  <c r="G903" i="1"/>
  <c r="G834" i="1"/>
  <c r="G836" i="1"/>
  <c r="G838" i="1"/>
  <c r="G840" i="1"/>
  <c r="G842" i="1"/>
  <c r="G844" i="1"/>
  <c r="G846" i="1"/>
  <c r="G848" i="1"/>
  <c r="G850" i="1"/>
  <c r="G852" i="1"/>
  <c r="G854" i="1"/>
  <c r="G856" i="1"/>
  <c r="G858" i="1"/>
  <c r="G860" i="1"/>
  <c r="G862" i="1"/>
  <c r="G864" i="1"/>
  <c r="G866" i="1"/>
  <c r="G868" i="1"/>
  <c r="G870" i="1"/>
  <c r="G872" i="1"/>
  <c r="G874" i="1"/>
  <c r="G876" i="1"/>
  <c r="G878" i="1"/>
  <c r="G880" i="1"/>
  <c r="G882" i="1"/>
  <c r="G884" i="1"/>
  <c r="G886" i="1"/>
  <c r="G888" i="1"/>
  <c r="G890" i="1"/>
  <c r="G892" i="1"/>
  <c r="G894" i="1"/>
  <c r="G896" i="1"/>
  <c r="G898" i="1"/>
  <c r="G900" i="1"/>
  <c r="G908" i="1"/>
  <c r="G906" i="1"/>
  <c r="G904" i="1"/>
  <c r="G902" i="1"/>
  <c r="G905" i="1"/>
  <c r="G835" i="1"/>
  <c r="G837" i="1"/>
  <c r="G839" i="1"/>
  <c r="G841" i="1"/>
  <c r="G843" i="1"/>
  <c r="G845" i="1"/>
  <c r="G847" i="1"/>
  <c r="G849" i="1"/>
  <c r="G851" i="1"/>
  <c r="G853" i="1"/>
  <c r="G855" i="1"/>
  <c r="G857" i="1"/>
  <c r="G859" i="1"/>
  <c r="G861" i="1"/>
  <c r="G863" i="1"/>
  <c r="G865" i="1"/>
  <c r="G867" i="1"/>
  <c r="G869" i="1"/>
  <c r="G871" i="1"/>
  <c r="G873" i="1"/>
  <c r="G875" i="1"/>
  <c r="G877" i="1"/>
  <c r="G879" i="1"/>
  <c r="G883" i="1"/>
  <c r="G885" i="1"/>
  <c r="G887" i="1"/>
  <c r="G889" i="1"/>
  <c r="G891" i="1"/>
  <c r="G893" i="1"/>
  <c r="G895" i="1"/>
  <c r="G897" i="1"/>
  <c r="G899" i="1"/>
  <c r="G901" i="1"/>
  <c r="G881" i="1"/>
  <c r="G833" i="1"/>
  <c r="G924" i="1" l="1"/>
  <c r="H924" i="1"/>
  <c r="C769" i="1" l="1"/>
  <c r="C770" i="1"/>
  <c r="C771" i="1"/>
  <c r="C772" i="1"/>
  <c r="C766" i="1" l="1"/>
  <c r="C767" i="1"/>
  <c r="C768" i="1"/>
  <c r="C773" i="1"/>
  <c r="C774" i="1"/>
  <c r="C775" i="1"/>
  <c r="C776" i="1"/>
  <c r="C777" i="1"/>
  <c r="I80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G810" i="1" l="1"/>
  <c r="G806" i="1" l="1"/>
  <c r="H806" i="1"/>
  <c r="C647" i="1"/>
  <c r="C648" i="1"/>
  <c r="C649" i="1"/>
  <c r="C650" i="1"/>
  <c r="C651" i="1"/>
  <c r="C652" i="1"/>
  <c r="C653" i="1"/>
  <c r="C654" i="1"/>
  <c r="C655" i="1"/>
  <c r="C656" i="1"/>
  <c r="C657"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I691" i="1"/>
  <c r="G649" i="1" l="1"/>
  <c r="G648" i="1"/>
  <c r="G647" i="1"/>
  <c r="G646" i="1"/>
  <c r="G645" i="1" l="1"/>
  <c r="G644" i="1"/>
  <c r="G643" i="1"/>
  <c r="G642" i="1"/>
  <c r="G641" i="1"/>
  <c r="G640" i="1"/>
  <c r="G639" i="1"/>
  <c r="G638" i="1"/>
  <c r="G637" i="1"/>
  <c r="G636" i="1"/>
  <c r="G635" i="1"/>
  <c r="G634" i="1"/>
  <c r="G633" i="1"/>
  <c r="G632" i="1"/>
  <c r="G601" i="1" l="1"/>
  <c r="G605" i="1"/>
  <c r="G609" i="1"/>
  <c r="G613" i="1"/>
  <c r="G618" i="1"/>
  <c r="G624" i="1"/>
  <c r="G628" i="1"/>
  <c r="G600" i="1"/>
  <c r="G602" i="1"/>
  <c r="G604" i="1"/>
  <c r="G606" i="1"/>
  <c r="G608" i="1"/>
  <c r="G610" i="1"/>
  <c r="G612" i="1"/>
  <c r="G614" i="1"/>
  <c r="G599" i="1"/>
  <c r="G616" i="1"/>
  <c r="G622" i="1"/>
  <c r="G626" i="1"/>
  <c r="G617" i="1"/>
  <c r="G619" i="1"/>
  <c r="G621" i="1"/>
  <c r="G623" i="1"/>
  <c r="G625" i="1"/>
  <c r="G627" i="1"/>
  <c r="G629" i="1"/>
  <c r="G631" i="1"/>
  <c r="G607" i="1"/>
  <c r="G611" i="1"/>
  <c r="G603" i="1"/>
  <c r="G620" i="1"/>
  <c r="G630" i="1"/>
  <c r="G615" i="1" l="1"/>
  <c r="G691" i="1" s="1"/>
  <c r="A576" i="5" l="1"/>
  <c r="A583" i="5" s="1"/>
  <c r="A587" i="5" s="1"/>
  <c r="C484" i="1" l="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483" i="1"/>
  <c r="C482" i="1"/>
  <c r="G527" i="1"/>
  <c r="I566" i="1"/>
  <c r="H513" i="1" l="1"/>
  <c r="H514" i="1"/>
  <c r="G514" i="1" l="1"/>
  <c r="G513" i="1"/>
  <c r="H526" i="1"/>
  <c r="H525" i="1"/>
  <c r="H524" i="1"/>
  <c r="H523" i="1"/>
  <c r="H522" i="1"/>
  <c r="H521" i="1"/>
  <c r="H520" i="1"/>
  <c r="H519" i="1"/>
  <c r="H518" i="1"/>
  <c r="H517" i="1"/>
  <c r="H516" i="1"/>
  <c r="H515"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2" i="1"/>
  <c r="H483" i="1" l="1"/>
  <c r="H566" i="1" s="1"/>
  <c r="K486" i="30"/>
  <c r="G484" i="1"/>
  <c r="G486" i="1"/>
  <c r="G488" i="1"/>
  <c r="G490" i="1"/>
  <c r="G492" i="1"/>
  <c r="G494" i="1"/>
  <c r="G496" i="1"/>
  <c r="G498" i="1"/>
  <c r="G500" i="1"/>
  <c r="G502" i="1"/>
  <c r="G504" i="1"/>
  <c r="G506" i="1"/>
  <c r="G509" i="1"/>
  <c r="G511" i="1"/>
  <c r="G516" i="1"/>
  <c r="G518" i="1"/>
  <c r="G520" i="1"/>
  <c r="G522" i="1"/>
  <c r="G524" i="1"/>
  <c r="G526" i="1"/>
  <c r="G485" i="1"/>
  <c r="G487" i="1"/>
  <c r="G489" i="1"/>
  <c r="G491" i="1"/>
  <c r="G493" i="1"/>
  <c r="G495" i="1"/>
  <c r="G497" i="1"/>
  <c r="G499" i="1"/>
  <c r="G501" i="1"/>
  <c r="G503" i="1"/>
  <c r="G505" i="1"/>
  <c r="G507" i="1"/>
  <c r="G508" i="1"/>
  <c r="G510" i="1"/>
  <c r="G512" i="1"/>
  <c r="G515" i="1"/>
  <c r="G517" i="1"/>
  <c r="G519" i="1"/>
  <c r="G521" i="1"/>
  <c r="G523" i="1"/>
  <c r="G525" i="1"/>
  <c r="G483" i="1" l="1"/>
  <c r="G482" i="1"/>
  <c r="G566" i="1" l="1"/>
  <c r="I446" i="1"/>
  <c r="C361" i="1"/>
  <c r="C358" i="1"/>
  <c r="G406" i="1" l="1"/>
  <c r="H389" i="30"/>
  <c r="G449" i="1" l="1"/>
  <c r="H393" i="30"/>
  <c r="G385" i="1"/>
  <c r="G389" i="1"/>
  <c r="G392" i="1"/>
  <c r="G394" i="1"/>
  <c r="G396" i="1"/>
  <c r="G398" i="1"/>
  <c r="G400" i="1"/>
  <c r="G402" i="1"/>
  <c r="G404" i="1"/>
  <c r="G359" i="1"/>
  <c r="G361" i="1"/>
  <c r="G363" i="1"/>
  <c r="G365" i="1"/>
  <c r="G367" i="1"/>
  <c r="G369" i="1"/>
  <c r="G371" i="1"/>
  <c r="G373" i="1"/>
  <c r="G375" i="1"/>
  <c r="G377" i="1"/>
  <c r="G379" i="1"/>
  <c r="G381" i="1"/>
  <c r="G383" i="1"/>
  <c r="G386" i="1"/>
  <c r="G390" i="1"/>
  <c r="G387" i="1"/>
  <c r="G399" i="1"/>
  <c r="G405" i="1"/>
  <c r="G391" i="1"/>
  <c r="G393" i="1"/>
  <c r="G395" i="1"/>
  <c r="G397" i="1"/>
  <c r="G401" i="1"/>
  <c r="G403" i="1"/>
  <c r="G360" i="1"/>
  <c r="G362" i="1"/>
  <c r="G364" i="1"/>
  <c r="G366" i="1"/>
  <c r="G368" i="1"/>
  <c r="G370" i="1"/>
  <c r="G372" i="1"/>
  <c r="G374" i="1"/>
  <c r="G376" i="1"/>
  <c r="G378" i="1"/>
  <c r="G380" i="1"/>
  <c r="G382" i="1"/>
  <c r="G384" i="1"/>
  <c r="G388" i="1"/>
  <c r="G358" i="1"/>
  <c r="K389" i="30"/>
  <c r="G407" i="1" l="1"/>
  <c r="A354" i="5" l="1"/>
  <c r="A357" i="5" s="1"/>
  <c r="A361" i="5" s="1"/>
  <c r="A391" i="19" l="1"/>
  <c r="A394" i="19" s="1"/>
  <c r="A397" i="19" s="1"/>
  <c r="F137" i="26"/>
  <c r="I306" i="1"/>
  <c r="A136" i="26" l="1"/>
  <c r="A124" i="26"/>
  <c r="A130" i="26" s="1"/>
  <c r="G400" i="19" l="1"/>
  <c r="H392" i="19"/>
  <c r="I361" i="19" s="1"/>
  <c r="H400" i="19" l="1"/>
  <c r="A266" i="5" l="1"/>
  <c r="H290" i="30" l="1"/>
  <c r="K290" i="30" l="1"/>
  <c r="G306" i="1" l="1"/>
  <c r="H306" i="1"/>
  <c r="E142" i="5" l="1"/>
  <c r="I206" i="1" l="1"/>
  <c r="G210" i="1" l="1"/>
  <c r="K184" i="30"/>
  <c r="K10" i="30" l="1"/>
  <c r="H10" i="1" s="1"/>
  <c r="K11" i="30"/>
  <c r="H11" i="1" s="1"/>
  <c r="K12" i="30"/>
  <c r="H12" i="1" s="1"/>
  <c r="K13" i="30"/>
  <c r="H13" i="1" s="1"/>
  <c r="K14" i="30"/>
  <c r="H14" i="1" s="1"/>
  <c r="K15" i="30"/>
  <c r="H15" i="1" s="1"/>
  <c r="K16" i="30"/>
  <c r="H16" i="1" s="1"/>
  <c r="K17" i="30"/>
  <c r="H17" i="1" s="1"/>
  <c r="K18" i="30"/>
  <c r="H18" i="1" s="1"/>
  <c r="K19" i="30"/>
  <c r="H19" i="1" s="1"/>
  <c r="K20" i="30"/>
  <c r="H20" i="1" s="1"/>
  <c r="K21" i="30"/>
  <c r="H21" i="1" s="1"/>
  <c r="K22" i="30"/>
  <c r="H22" i="1" s="1"/>
  <c r="K23" i="30"/>
  <c r="H23" i="1" s="1"/>
  <c r="K24" i="30"/>
  <c r="H24" i="1" s="1"/>
  <c r="K25" i="30"/>
  <c r="H25" i="1" s="1"/>
  <c r="K26" i="30"/>
  <c r="H26" i="1" s="1"/>
  <c r="K27" i="30"/>
  <c r="H27" i="1" s="1"/>
  <c r="K28" i="30"/>
  <c r="H28" i="1" s="1"/>
  <c r="K29" i="30"/>
  <c r="H29" i="1" s="1"/>
  <c r="K30" i="30"/>
  <c r="H30" i="1" s="1"/>
  <c r="K32" i="30"/>
  <c r="H32" i="1" s="1"/>
  <c r="G32" i="1" s="1"/>
  <c r="K33" i="30"/>
  <c r="H33" i="1" s="1"/>
  <c r="G33" i="1" s="1"/>
  <c r="K34" i="30"/>
  <c r="H34" i="1" s="1"/>
  <c r="G34" i="1" s="1"/>
  <c r="K35" i="30"/>
  <c r="H35" i="1" s="1"/>
  <c r="K36" i="30"/>
  <c r="H36" i="1" s="1"/>
  <c r="K37" i="30"/>
  <c r="H37" i="1" s="1"/>
  <c r="K40" i="30"/>
  <c r="H40" i="1" s="1"/>
  <c r="K41" i="30"/>
  <c r="H41" i="1" s="1"/>
  <c r="K42" i="30"/>
  <c r="H42" i="1" s="1"/>
  <c r="K43" i="30"/>
  <c r="H43" i="1" s="1"/>
  <c r="K44" i="30"/>
  <c r="H44" i="1" s="1"/>
  <c r="K45" i="30"/>
  <c r="H45" i="1" s="1"/>
  <c r="K46" i="30"/>
  <c r="H46" i="1" s="1"/>
  <c r="K47" i="30"/>
  <c r="H47" i="1" s="1"/>
  <c r="K48" i="30"/>
  <c r="H48" i="1" s="1"/>
  <c r="K49" i="30"/>
  <c r="H49" i="1" s="1"/>
  <c r="K50" i="30"/>
  <c r="H50" i="1" s="1"/>
  <c r="K51" i="30"/>
  <c r="H51" i="1" s="1"/>
  <c r="K52" i="30"/>
  <c r="H52" i="1" s="1"/>
  <c r="K53" i="30"/>
  <c r="H53" i="1" s="1"/>
  <c r="K54" i="30"/>
  <c r="H54" i="1" s="1"/>
  <c r="K55" i="30"/>
  <c r="H55" i="1" s="1"/>
  <c r="K56" i="30"/>
  <c r="H56" i="1" s="1"/>
  <c r="K57" i="30"/>
  <c r="H57" i="1" s="1"/>
  <c r="K58" i="30"/>
  <c r="H58" i="1" s="1"/>
  <c r="K59" i="30"/>
  <c r="H59" i="1" s="1"/>
  <c r="K60" i="30"/>
  <c r="H60" i="1" s="1"/>
  <c r="K61" i="30"/>
  <c r="H61" i="1" s="1"/>
  <c r="K9" i="30"/>
  <c r="H185" i="30"/>
  <c r="H186" i="30" s="1"/>
  <c r="G211" i="1" s="1"/>
  <c r="AP62" i="29"/>
  <c r="AO62" i="29"/>
  <c r="AN62" i="29"/>
  <c r="AM62" i="29"/>
  <c r="AL62" i="29"/>
  <c r="AK62" i="29"/>
  <c r="AJ62" i="29"/>
  <c r="AI62" i="29"/>
  <c r="AH62" i="29"/>
  <c r="AG62" i="29"/>
  <c r="AF62" i="29"/>
  <c r="AE62" i="29"/>
  <c r="AD62" i="29"/>
  <c r="AC62" i="29"/>
  <c r="AB62" i="29"/>
  <c r="AA62" i="29"/>
  <c r="Z62" i="29"/>
  <c r="Y62" i="29"/>
  <c r="X62" i="29"/>
  <c r="W62" i="29"/>
  <c r="V62" i="29"/>
  <c r="U62" i="29"/>
  <c r="T62" i="29"/>
  <c r="S62" i="29"/>
  <c r="R62" i="29"/>
  <c r="Q62" i="29"/>
  <c r="P62" i="29"/>
  <c r="O62" i="29"/>
  <c r="N62" i="29"/>
  <c r="M62" i="29"/>
  <c r="L62" i="29"/>
  <c r="K62" i="29"/>
  <c r="J62" i="29"/>
  <c r="I62" i="29"/>
  <c r="H62" i="29"/>
  <c r="G62" i="29"/>
  <c r="D37" i="29"/>
  <c r="F37" i="29"/>
  <c r="D38" i="29"/>
  <c r="F38" i="29"/>
  <c r="D39" i="29"/>
  <c r="F39" i="29"/>
  <c r="D40" i="29"/>
  <c r="F40" i="29"/>
  <c r="D41" i="29"/>
  <c r="F41" i="29"/>
  <c r="D42" i="29"/>
  <c r="F42" i="29"/>
  <c r="D43" i="29"/>
  <c r="F43" i="29"/>
  <c r="D44" i="29"/>
  <c r="F44" i="29"/>
  <c r="D45" i="29"/>
  <c r="F45" i="29"/>
  <c r="D46" i="29"/>
  <c r="F46" i="29"/>
  <c r="D47" i="29"/>
  <c r="F47" i="29"/>
  <c r="D48" i="29"/>
  <c r="F48" i="29"/>
  <c r="D49" i="29"/>
  <c r="F49" i="29"/>
  <c r="D50" i="29"/>
  <c r="F50" i="29"/>
  <c r="D51" i="29"/>
  <c r="F51" i="29"/>
  <c r="D52" i="29"/>
  <c r="F52" i="29"/>
  <c r="D53" i="29"/>
  <c r="F53" i="29"/>
  <c r="D54" i="29"/>
  <c r="F54" i="29"/>
  <c r="D55" i="29"/>
  <c r="F55" i="29"/>
  <c r="D56" i="29"/>
  <c r="F56" i="29"/>
  <c r="D57" i="29"/>
  <c r="F57" i="29"/>
  <c r="D58" i="29"/>
  <c r="F58" i="29"/>
  <c r="D59" i="29"/>
  <c r="F59" i="29"/>
  <c r="D60" i="29"/>
  <c r="F60" i="29"/>
  <c r="D61" i="29"/>
  <c r="F61" i="29"/>
  <c r="F21" i="29"/>
  <c r="F22" i="29"/>
  <c r="F23" i="29"/>
  <c r="F24" i="29"/>
  <c r="F25" i="29"/>
  <c r="F26" i="29"/>
  <c r="F27" i="29"/>
  <c r="F28" i="29"/>
  <c r="F29" i="29"/>
  <c r="F30" i="29"/>
  <c r="F31" i="29"/>
  <c r="F32" i="29"/>
  <c r="F33" i="29"/>
  <c r="F34" i="29"/>
  <c r="F35" i="29"/>
  <c r="F36" i="29"/>
  <c r="F12" i="29"/>
  <c r="F13" i="29"/>
  <c r="F14" i="29"/>
  <c r="F15" i="29"/>
  <c r="F16" i="29"/>
  <c r="F17" i="29"/>
  <c r="F18" i="29"/>
  <c r="F19" i="29"/>
  <c r="F20" i="29"/>
  <c r="F10" i="29"/>
  <c r="F11" i="29"/>
  <c r="K92" i="30" l="1"/>
  <c r="H9" i="1"/>
  <c r="G9" i="1" s="1"/>
  <c r="G60" i="1"/>
  <c r="G52" i="1"/>
  <c r="G44" i="1"/>
  <c r="G29" i="1"/>
  <c r="G21" i="1"/>
  <c r="G13" i="1"/>
  <c r="G59" i="1"/>
  <c r="G51" i="1"/>
  <c r="G43" i="1"/>
  <c r="G24" i="1"/>
  <c r="G12" i="1"/>
  <c r="G58" i="1"/>
  <c r="G54" i="1"/>
  <c r="G50" i="1"/>
  <c r="G46" i="1"/>
  <c r="G42" i="1"/>
  <c r="G36" i="1"/>
  <c r="G27" i="1"/>
  <c r="G23" i="1"/>
  <c r="G19" i="1"/>
  <c r="G15" i="1"/>
  <c r="G11" i="1"/>
  <c r="G56" i="1"/>
  <c r="G48" i="1"/>
  <c r="G38" i="1"/>
  <c r="G40" i="1"/>
  <c r="G25" i="1"/>
  <c r="G17" i="1"/>
  <c r="G55" i="1"/>
  <c r="G47" i="1"/>
  <c r="G37" i="1"/>
  <c r="G28" i="1"/>
  <c r="G20" i="1"/>
  <c r="G16" i="1"/>
  <c r="G61" i="1"/>
  <c r="G57" i="1"/>
  <c r="G53" i="1"/>
  <c r="G49" i="1"/>
  <c r="G45" i="1"/>
  <c r="G39" i="1"/>
  <c r="G41" i="1"/>
  <c r="G35" i="1"/>
  <c r="G30" i="1"/>
  <c r="G26" i="1"/>
  <c r="G22" i="1"/>
  <c r="G18" i="1"/>
  <c r="G14" i="1"/>
  <c r="G10" i="1"/>
  <c r="H291" i="30"/>
  <c r="H292" i="30" s="1"/>
  <c r="D15" i="29"/>
  <c r="D13" i="29"/>
  <c r="D14" i="29"/>
  <c r="D16" i="29"/>
  <c r="D17" i="29"/>
  <c r="D20" i="29"/>
  <c r="D21" i="29"/>
  <c r="D22" i="29"/>
  <c r="D23" i="29"/>
  <c r="D24" i="29"/>
  <c r="D25" i="29"/>
  <c r="D26" i="29"/>
  <c r="D27" i="29"/>
  <c r="D28" i="29"/>
  <c r="D29" i="29"/>
  <c r="D30" i="29"/>
  <c r="D31" i="29"/>
  <c r="D32" i="29"/>
  <c r="D33" i="29"/>
  <c r="D34" i="29"/>
  <c r="D35" i="29"/>
  <c r="D36" i="29"/>
  <c r="D12" i="29"/>
  <c r="H390" i="30" l="1"/>
  <c r="H391" i="30" s="1"/>
  <c r="G310" i="1"/>
  <c r="G92" i="1"/>
  <c r="H92" i="1"/>
  <c r="K185" i="30"/>
  <c r="K186" i="30" s="1"/>
  <c r="K291" i="30" s="1"/>
  <c r="K292" i="30" s="1"/>
  <c r="K390" i="30" s="1"/>
  <c r="K391" i="30" s="1"/>
  <c r="H207" i="1" l="1"/>
  <c r="H208" i="1" s="1"/>
  <c r="H307" i="1" s="1"/>
  <c r="H308" i="1" s="1"/>
  <c r="H447" i="1" s="1"/>
  <c r="G207" i="1"/>
  <c r="G208" i="1" s="1"/>
  <c r="H487" i="30"/>
  <c r="H488" i="30" s="1"/>
  <c r="G450" i="1"/>
  <c r="H596" i="30" l="1"/>
  <c r="H597" i="30" s="1"/>
  <c r="H744" i="30" s="1"/>
  <c r="H745" i="30" s="1"/>
  <c r="G307" i="1"/>
  <c r="G308" i="1" s="1"/>
  <c r="G447" i="1" s="1"/>
  <c r="K487" i="30"/>
  <c r="K488" i="30" s="1"/>
  <c r="K596" i="30" s="1"/>
  <c r="K597" i="30" s="1"/>
  <c r="K744" i="30" s="1"/>
  <c r="K745" i="30" s="1"/>
  <c r="K895" i="30" s="1"/>
  <c r="G409" i="1"/>
  <c r="G408" i="1"/>
  <c r="AQ62" i="29"/>
  <c r="F62" i="29"/>
  <c r="K896" i="30" l="1"/>
  <c r="K1056" i="30" s="1"/>
  <c r="K1057" i="30" s="1"/>
  <c r="H927" i="1"/>
  <c r="G812" i="1"/>
  <c r="H895" i="30"/>
  <c r="H896" i="30" s="1"/>
  <c r="H1056" i="30" s="1"/>
  <c r="H1057" i="30" s="1"/>
  <c r="H1183" i="30" s="1"/>
  <c r="H1184" i="30" s="1"/>
  <c r="G446" i="1"/>
  <c r="H446" i="1"/>
  <c r="F29" i="27"/>
  <c r="G26" i="27"/>
  <c r="G29" i="27" s="1"/>
  <c r="G1148" i="1" l="1"/>
  <c r="H1291" i="30"/>
  <c r="H1292" i="30" s="1"/>
  <c r="H1424" i="30" s="1"/>
  <c r="H1425" i="30" s="1"/>
  <c r="G1421" i="1" s="1"/>
  <c r="K1183" i="30"/>
  <c r="K1184" i="30" s="1"/>
  <c r="K1291" i="30" s="1"/>
  <c r="K1292" i="30" s="1"/>
  <c r="K1424" i="30" s="1"/>
  <c r="K1425" i="30" s="1"/>
  <c r="H1056" i="1"/>
  <c r="H448" i="1"/>
  <c r="H567" i="1" s="1"/>
  <c r="H568" i="1" s="1"/>
  <c r="H692" i="1" s="1"/>
  <c r="G448" i="1"/>
  <c r="G567" i="1" s="1"/>
  <c r="G568" i="1" s="1"/>
  <c r="G692" i="1" s="1"/>
  <c r="G21" i="25"/>
  <c r="F21" i="25"/>
  <c r="G693" i="1" l="1"/>
  <c r="G807" i="1" s="1"/>
  <c r="G808" i="1" s="1"/>
  <c r="G925" i="1" s="1"/>
  <c r="G926" i="1" s="1"/>
  <c r="G1054" i="1" s="1"/>
  <c r="G1055" i="1" s="1"/>
  <c r="G1146" i="1" s="1"/>
  <c r="H691" i="1"/>
  <c r="G112" i="10"/>
  <c r="H693" i="1" l="1"/>
  <c r="H807" i="1" s="1"/>
  <c r="H808" i="1" s="1"/>
  <c r="H925" i="1" s="1"/>
  <c r="H926" i="1" s="1"/>
  <c r="H1054" i="1" s="1"/>
  <c r="H1055" i="1" s="1"/>
  <c r="H1146" i="1" s="1"/>
  <c r="H1147" i="1" s="1"/>
  <c r="H1271" i="1" s="1"/>
  <c r="G1147" i="1"/>
  <c r="G1271" i="1" s="1"/>
  <c r="G1196" i="1" l="1"/>
  <c r="G1195" i="1"/>
  <c r="H1272" i="1"/>
  <c r="H1419" i="1" s="1"/>
  <c r="E17" i="13"/>
  <c r="E177" i="17" s="1"/>
  <c r="A10" i="13"/>
  <c r="A11" i="13" s="1"/>
  <c r="A12" i="13" s="1"/>
  <c r="A13" i="13" s="1"/>
  <c r="A14" i="13" s="1"/>
  <c r="A15" i="13" s="1"/>
  <c r="G1270" i="1" l="1"/>
  <c r="E183" i="17"/>
  <c r="I177" i="17"/>
  <c r="I183" i="17" s="1"/>
  <c r="G1272" i="1" l="1"/>
  <c r="G1419" i="1" s="1"/>
  <c r="G1382" i="1"/>
  <c r="G1381" i="1"/>
  <c r="H1420" i="1"/>
  <c r="F210" i="10"/>
  <c r="F209" i="10"/>
  <c r="G1418" i="1" l="1"/>
  <c r="F159" i="10"/>
  <c r="F160" i="10"/>
  <c r="G1420" i="1" l="1"/>
  <c r="A4356" i="15"/>
  <c r="A4357" i="15" s="1"/>
  <c r="A4358" i="15" s="1"/>
  <c r="A4359" i="15" s="1"/>
  <c r="A4360" i="15" s="1"/>
  <c r="A4361" i="15" s="1"/>
  <c r="A4362" i="15" s="1"/>
  <c r="A4363" i="15" s="1"/>
  <c r="A4364" i="15" s="1"/>
  <c r="A4365" i="15" s="1"/>
  <c r="A4366" i="15" s="1"/>
  <c r="A4367" i="15" s="1"/>
  <c r="A4368" i="15" s="1"/>
  <c r="A4369" i="15" s="1"/>
  <c r="A4370" i="15" s="1"/>
  <c r="A4371" i="15" s="1"/>
  <c r="A4372" i="15" s="1"/>
  <c r="A4373" i="15" s="1"/>
  <c r="A4374" i="15" s="1"/>
  <c r="A4375" i="15" s="1"/>
  <c r="A4376" i="15" s="1"/>
  <c r="A4377" i="15" s="1"/>
  <c r="A4378" i="15" s="1"/>
  <c r="A4379" i="15" s="1"/>
  <c r="A4380" i="15" s="1"/>
  <c r="A4381" i="15" s="1"/>
  <c r="A4382" i="15" s="1"/>
  <c r="A4383" i="15" s="1"/>
  <c r="A4384" i="15" s="1"/>
  <c r="A4385" i="15" s="1"/>
  <c r="A4386" i="15" s="1"/>
  <c r="A4387" i="15" s="1"/>
  <c r="A4388" i="15" s="1"/>
  <c r="A4389" i="15" s="1"/>
  <c r="A4390" i="15" s="1"/>
  <c r="A4391" i="15" s="1"/>
  <c r="A4392" i="15" s="1"/>
  <c r="A4393" i="15" s="1"/>
  <c r="E4395" i="15"/>
  <c r="E4345" i="15" l="1"/>
  <c r="A4303" i="15"/>
  <c r="A4304" i="15" s="1"/>
  <c r="A4305" i="15" s="1"/>
  <c r="A4306" i="15" s="1"/>
  <c r="A4307" i="15" s="1"/>
  <c r="A4308" i="15" s="1"/>
  <c r="A4309" i="15" s="1"/>
  <c r="A4310" i="15" s="1"/>
  <c r="A4311" i="15" s="1"/>
  <c r="A4312" i="15" s="1"/>
  <c r="A4313" i="15" s="1"/>
  <c r="A4314" i="15" s="1"/>
  <c r="A4315" i="15" s="1"/>
  <c r="A4316" i="15" s="1"/>
  <c r="A4317" i="15" s="1"/>
  <c r="A4318" i="15" s="1"/>
  <c r="A4319" i="15" s="1"/>
  <c r="A4320" i="15" s="1"/>
  <c r="A4321" i="15" s="1"/>
  <c r="A4322" i="15" s="1"/>
  <c r="A4323" i="15" s="1"/>
  <c r="A4324" i="15" s="1"/>
  <c r="A4325" i="15" s="1"/>
  <c r="A4326" i="15" s="1"/>
  <c r="A4327" i="15" s="1"/>
  <c r="A4328" i="15" s="1"/>
  <c r="A4329" i="15" s="1"/>
  <c r="A4330" i="15" s="1"/>
  <c r="A4331" i="15" s="1"/>
  <c r="A4332" i="15" s="1"/>
  <c r="A4333" i="15" s="1"/>
  <c r="A4334" i="15" s="1"/>
  <c r="A4335" i="15" s="1"/>
  <c r="A4336" i="15" s="1"/>
  <c r="A4337" i="15" s="1"/>
  <c r="A4338" i="15" s="1"/>
  <c r="A4339" i="15" s="1"/>
  <c r="A4340" i="15" s="1"/>
  <c r="A4341" i="15" s="1"/>
  <c r="A4342" i="15" s="1"/>
  <c r="A4343" i="15" s="1"/>
  <c r="A4344" i="15" s="1"/>
  <c r="E4271" i="15"/>
  <c r="A4250" i="15"/>
  <c r="A4251" i="15" s="1"/>
  <c r="A4252" i="15" s="1"/>
  <c r="A4253" i="15" s="1"/>
  <c r="A4254" i="15" s="1"/>
  <c r="A4255" i="15" s="1"/>
  <c r="A4256" i="15" s="1"/>
  <c r="A4257" i="15" s="1"/>
  <c r="A4258" i="15" s="1"/>
  <c r="A4259" i="15" s="1"/>
  <c r="A4260" i="15" s="1"/>
  <c r="A4261" i="15" s="1"/>
  <c r="A4262" i="15" s="1"/>
  <c r="A4263" i="15" s="1"/>
  <c r="A4264" i="15" s="1"/>
  <c r="A4265" i="15" s="1"/>
  <c r="A4266" i="15" s="1"/>
  <c r="A4267" i="15" s="1"/>
  <c r="A4268" i="15" s="1"/>
  <c r="A4269" i="15" s="1"/>
  <c r="E4218" i="15" l="1"/>
  <c r="A4197" i="15" l="1"/>
  <c r="A4198" i="15" s="1"/>
  <c r="A4199" i="15" s="1"/>
  <c r="A4200" i="15" s="1"/>
  <c r="A4201" i="15" s="1"/>
  <c r="A4202" i="15" s="1"/>
  <c r="A4203" i="15" s="1"/>
  <c r="A4204" i="15" s="1"/>
  <c r="A4205" i="15" s="1"/>
  <c r="A4206" i="15" s="1"/>
  <c r="A4207" i="15" s="1"/>
  <c r="A4208" i="15" s="1"/>
  <c r="A4209" i="15" s="1"/>
  <c r="A4210" i="15" s="1"/>
  <c r="A4211" i="15" s="1"/>
  <c r="A4212" i="15" s="1"/>
  <c r="A4213" i="15" s="1"/>
  <c r="A4214" i="15" s="1"/>
  <c r="A4215" i="15" s="1"/>
  <c r="A4216" i="15" s="1"/>
  <c r="E4158" i="15"/>
  <c r="A4144" i="15"/>
  <c r="A4145" i="15" s="1"/>
  <c r="A4146" i="15" s="1"/>
  <c r="A4147" i="15" s="1"/>
  <c r="A4148" i="15" s="1"/>
  <c r="A4149" i="15" s="1"/>
  <c r="A4150" i="15" s="1"/>
  <c r="A4151" i="15" s="1"/>
  <c r="A4152" i="15" s="1"/>
  <c r="A4153" i="15" s="1"/>
  <c r="A4154" i="15" s="1"/>
  <c r="A4155" i="15" s="1"/>
  <c r="A4156" i="15" s="1"/>
  <c r="E4117" i="15" l="1"/>
  <c r="A4091" i="15"/>
  <c r="A4092" i="15" s="1"/>
  <c r="A4093" i="15" s="1"/>
  <c r="A4094" i="15" s="1"/>
  <c r="A4095" i="15" s="1"/>
  <c r="A4096" i="15" s="1"/>
  <c r="A4097" i="15" s="1"/>
  <c r="A4098" i="15" s="1"/>
  <c r="A4099" i="15" s="1"/>
  <c r="A4100" i="15" s="1"/>
  <c r="A4101" i="15" s="1"/>
  <c r="A4102" i="15" s="1"/>
  <c r="A4103" i="15" s="1"/>
  <c r="A4104" i="15" s="1"/>
  <c r="A4105" i="15" s="1"/>
  <c r="A4106" i="15" s="1"/>
  <c r="A4107" i="15" s="1"/>
  <c r="A4108" i="15" s="1"/>
  <c r="A4109" i="15" s="1"/>
  <c r="A4110" i="15" s="1"/>
  <c r="A4111" i="15" s="1"/>
  <c r="A4112" i="15" s="1"/>
  <c r="A4113" i="15" s="1"/>
  <c r="A4114" i="15" s="1"/>
  <c r="A4115" i="15" s="1"/>
  <c r="E4057" i="15" l="1"/>
  <c r="A4038" i="15"/>
  <c r="A4039" i="15" s="1"/>
  <c r="A4040" i="15" s="1"/>
  <c r="A4041" i="15" s="1"/>
  <c r="A4042" i="15" s="1"/>
  <c r="A4043" i="15" s="1"/>
  <c r="A4044" i="15" s="1"/>
  <c r="A4045" i="15" s="1"/>
  <c r="A4046" i="15" s="1"/>
  <c r="A4047" i="15" s="1"/>
  <c r="A4048" i="15" s="1"/>
  <c r="A4049" i="15" s="1"/>
  <c r="A4050" i="15" s="1"/>
  <c r="A4051" i="15" s="1"/>
  <c r="A4052" i="15" s="1"/>
  <c r="A4053" i="15" s="1"/>
  <c r="A4054" i="15" s="1"/>
  <c r="A4055" i="15" s="1"/>
  <c r="E3998" i="15" l="1"/>
  <c r="A3985" i="15"/>
  <c r="A3986" i="15" s="1"/>
  <c r="A3987" i="15" s="1"/>
  <c r="A3988" i="15" s="1"/>
  <c r="A3989" i="15" s="1"/>
  <c r="A3990" i="15" s="1"/>
  <c r="A3991" i="15" s="1"/>
  <c r="A3992" i="15" s="1"/>
  <c r="A3993" i="15" s="1"/>
  <c r="A3994" i="15" s="1"/>
  <c r="A3995" i="15" s="1"/>
  <c r="A3996" i="15" s="1"/>
  <c r="E3954" i="15"/>
  <c r="A3932" i="15"/>
  <c r="A3933" i="15" s="1"/>
  <c r="A3934" i="15" s="1"/>
  <c r="A3935" i="15" s="1"/>
  <c r="A3936" i="15" s="1"/>
  <c r="A3937" i="15" s="1"/>
  <c r="A3938" i="15" s="1"/>
  <c r="A3939" i="15" s="1"/>
  <c r="A3940" i="15" s="1"/>
  <c r="A3941" i="15" s="1"/>
  <c r="A3942" i="15" s="1"/>
  <c r="A3943" i="15" s="1"/>
  <c r="A3944" i="15" s="1"/>
  <c r="A3945" i="15" s="1"/>
  <c r="A3946" i="15" s="1"/>
  <c r="A3947" i="15" s="1"/>
  <c r="A3948" i="15" s="1"/>
  <c r="A3949" i="15" s="1"/>
  <c r="A3950" i="15" s="1"/>
  <c r="A3951" i="15" s="1"/>
  <c r="A3952" i="15" s="1"/>
  <c r="E3908" i="15" l="1"/>
  <c r="A3879" i="15"/>
  <c r="A3880" i="15" s="1"/>
  <c r="A3881" i="15" s="1"/>
  <c r="A3882" i="15" s="1"/>
  <c r="A3883" i="15" s="1"/>
  <c r="A3884" i="15" s="1"/>
  <c r="A3885" i="15" s="1"/>
  <c r="A3886" i="15" s="1"/>
  <c r="A3887" i="15" s="1"/>
  <c r="A3888" i="15" s="1"/>
  <c r="A3889" i="15" s="1"/>
  <c r="A3890" i="15" s="1"/>
  <c r="A3891" i="15" s="1"/>
  <c r="A3892" i="15" s="1"/>
  <c r="A3893" i="15" s="1"/>
  <c r="A3894" i="15" s="1"/>
  <c r="A3895" i="15" s="1"/>
  <c r="A3896" i="15" s="1"/>
  <c r="A3897" i="15" s="1"/>
  <c r="A3898" i="15" s="1"/>
  <c r="A3899" i="15" s="1"/>
  <c r="A3900" i="15" s="1"/>
  <c r="A3901" i="15" s="1"/>
  <c r="A3902" i="15" s="1"/>
  <c r="A3903" i="15" s="1"/>
  <c r="A3904" i="15" s="1"/>
  <c r="A3905" i="15" s="1"/>
  <c r="A3906" i="15" s="1"/>
  <c r="E3858" i="15" l="1"/>
  <c r="A3826" i="15"/>
  <c r="A3827" i="15" s="1"/>
  <c r="A3828" i="15" s="1"/>
  <c r="A3829" i="15" s="1"/>
  <c r="A3830" i="15" s="1"/>
  <c r="A3831" i="15" s="1"/>
  <c r="A3832" i="15" s="1"/>
  <c r="A3833" i="15" s="1"/>
  <c r="A3834" i="15" s="1"/>
  <c r="A3835" i="15" s="1"/>
  <c r="A3836" i="15" s="1"/>
  <c r="A3837" i="15" s="1"/>
  <c r="A3838" i="15" s="1"/>
  <c r="A3839" i="15" s="1"/>
  <c r="A3840" i="15" s="1"/>
  <c r="A3841" i="15" s="1"/>
  <c r="A3842" i="15" s="1"/>
  <c r="A3843" i="15" s="1"/>
  <c r="A3844" i="15" s="1"/>
  <c r="A3845" i="15" s="1"/>
  <c r="A3846" i="15" s="1"/>
  <c r="A3847" i="15" s="1"/>
  <c r="A3848" i="15" s="1"/>
  <c r="A3849" i="15" s="1"/>
  <c r="A3850" i="15" s="1"/>
  <c r="A3851" i="15" s="1"/>
  <c r="A3852" i="15" s="1"/>
  <c r="A3853" i="15" s="1"/>
  <c r="A3854" i="15" s="1"/>
  <c r="A3855" i="15" s="1"/>
  <c r="A3856" i="15" s="1"/>
  <c r="E3812" i="15" l="1"/>
  <c r="A3773" i="15"/>
  <c r="A3774" i="15" s="1"/>
  <c r="A3775" i="15" s="1"/>
  <c r="A3776" i="15" s="1"/>
  <c r="A3777" i="15" s="1"/>
  <c r="A3778" i="15" s="1"/>
  <c r="A3779" i="15" s="1"/>
  <c r="A3780" i="15" s="1"/>
  <c r="A3781" i="15" s="1"/>
  <c r="A3782" i="15" s="1"/>
  <c r="A3783" i="15" s="1"/>
  <c r="A3784" i="15" s="1"/>
  <c r="A3785" i="15" s="1"/>
  <c r="A3786" i="15" s="1"/>
  <c r="A3787" i="15" s="1"/>
  <c r="A3788" i="15" s="1"/>
  <c r="A3789" i="15" s="1"/>
  <c r="A3790" i="15" s="1"/>
  <c r="A3791" i="15" s="1"/>
  <c r="A3792" i="15" s="1"/>
  <c r="A3793" i="15" s="1"/>
  <c r="A3794" i="15" s="1"/>
  <c r="A3795" i="15" l="1"/>
  <c r="A3796" i="15" s="1"/>
  <c r="A3797" i="15" s="1"/>
  <c r="A3798" i="15" s="1"/>
  <c r="A3799" i="15" s="1"/>
  <c r="A3800" i="15" s="1"/>
  <c r="A3801" i="15" s="1"/>
  <c r="A3802" i="15" s="1"/>
  <c r="A3803" i="15" s="1"/>
  <c r="A3804" i="15" s="1"/>
  <c r="A3805" i="15" s="1"/>
  <c r="A3806" i="15" s="1"/>
  <c r="A3807" i="15" s="1"/>
  <c r="A3808" i="15" s="1"/>
  <c r="A3809" i="15" s="1"/>
  <c r="A3810" i="15" s="1"/>
  <c r="F110" i="10" l="1"/>
  <c r="F109" i="10"/>
  <c r="E3713" i="15" l="1"/>
  <c r="A3667" i="15"/>
  <c r="A3668" i="15" s="1"/>
  <c r="A3669" i="15" s="1"/>
  <c r="A3670" i="15" s="1"/>
  <c r="A3671" i="15" s="1"/>
  <c r="A3672" i="15" s="1"/>
  <c r="A3673" i="15" s="1"/>
  <c r="A3674" i="15" s="1"/>
  <c r="A3675" i="15" s="1"/>
  <c r="A3676" i="15" s="1"/>
  <c r="A3677" i="15" s="1"/>
  <c r="A3678" i="15" s="1"/>
  <c r="A3679" i="15" s="1"/>
  <c r="A3680" i="15" s="1"/>
  <c r="A3681" i="15" s="1"/>
  <c r="A3682" i="15" s="1"/>
  <c r="A3683" i="15" s="1"/>
  <c r="A3684" i="15" s="1"/>
  <c r="A3685" i="15" s="1"/>
  <c r="A3686" i="15" s="1"/>
  <c r="A3687" i="15" s="1"/>
  <c r="A3688" i="15" s="1"/>
  <c r="A3689" i="15" s="1"/>
  <c r="A3690" i="15" s="1"/>
  <c r="A3691" i="15" s="1"/>
  <c r="A3692" i="15" s="1"/>
  <c r="A3693" i="15" s="1"/>
  <c r="A3694" i="15" s="1"/>
  <c r="A3695" i="15" s="1"/>
  <c r="A3696" i="15" s="1"/>
  <c r="A3697" i="15" s="1"/>
  <c r="A3698" i="15" s="1"/>
  <c r="A3699" i="15" s="1"/>
  <c r="A3700" i="15" s="1"/>
  <c r="A3701" i="15" s="1"/>
  <c r="A3702" i="15" s="1"/>
  <c r="A3703" i="15" s="1"/>
  <c r="A3704" i="15" s="1"/>
  <c r="A3705" i="15" s="1"/>
  <c r="A3706" i="15" s="1"/>
  <c r="A3707" i="15" s="1"/>
  <c r="A3708" i="15" s="1"/>
  <c r="A3709" i="15" s="1"/>
  <c r="A3710" i="15" s="1"/>
  <c r="A3711" i="15" s="1"/>
  <c r="E3637" i="15" l="1"/>
  <c r="A3614" i="15"/>
  <c r="A3615" i="15" s="1"/>
  <c r="A3616" i="15" s="1"/>
  <c r="A3617" i="15" s="1"/>
  <c r="A3618" i="15" s="1"/>
  <c r="A3619" i="15" s="1"/>
  <c r="A3620" i="15" s="1"/>
  <c r="A3621" i="15" s="1"/>
  <c r="A3622" i="15" s="1"/>
  <c r="A3623" i="15" s="1"/>
  <c r="A3624" i="15" s="1"/>
  <c r="A3625" i="15" s="1"/>
  <c r="A3626" i="15" s="1"/>
  <c r="A3627" i="15" s="1"/>
  <c r="A3628" i="15" s="1"/>
  <c r="A3629" i="15" s="1"/>
  <c r="A3630" i="15" s="1"/>
  <c r="A3631" i="15" s="1"/>
  <c r="A3632" i="15" s="1"/>
  <c r="A3633" i="15" s="1"/>
  <c r="A3634" i="15" s="1"/>
  <c r="A3635" i="15" s="1"/>
  <c r="E3585" i="15" l="1"/>
  <c r="A3561" i="15"/>
  <c r="A3562" i="15" s="1"/>
  <c r="A3563" i="15" s="1"/>
  <c r="A3564" i="15" s="1"/>
  <c r="A3565" i="15" s="1"/>
  <c r="A3566" i="15" s="1"/>
  <c r="A3567" i="15" s="1"/>
  <c r="A3568" i="15" s="1"/>
  <c r="A3569" i="15" s="1"/>
  <c r="A3570" i="15" s="1"/>
  <c r="A3571" i="15" s="1"/>
  <c r="A3572" i="15" s="1"/>
  <c r="A3573" i="15" s="1"/>
  <c r="A3574" i="15" s="1"/>
  <c r="A3575" i="15" s="1"/>
  <c r="A3576" i="15" s="1"/>
  <c r="A3577" i="15" s="1"/>
  <c r="A3578" i="15" s="1"/>
  <c r="A3579" i="15" s="1"/>
  <c r="A3580" i="15" s="1"/>
  <c r="A3581" i="15" s="1"/>
  <c r="A3582" i="15" s="1"/>
  <c r="A3583" i="15" s="1"/>
  <c r="E3526" i="15"/>
  <c r="A3508" i="15"/>
  <c r="A3509" i="15" s="1"/>
  <c r="A3510" i="15" s="1"/>
  <c r="A3511" i="15" s="1"/>
  <c r="A3512" i="15" s="1"/>
  <c r="A3513" i="15" s="1"/>
  <c r="A3514" i="15" s="1"/>
  <c r="A3515" i="15" s="1"/>
  <c r="A3516" i="15" s="1"/>
  <c r="A3517" i="15" s="1"/>
  <c r="A3518" i="15" s="1"/>
  <c r="A3519" i="15" s="1"/>
  <c r="A3520" i="15" s="1"/>
  <c r="A3521" i="15" s="1"/>
  <c r="A3522" i="15" s="1"/>
  <c r="A3523" i="15" s="1"/>
  <c r="A3524" i="15" s="1"/>
  <c r="E3474" i="15"/>
  <c r="A3455" i="15"/>
  <c r="A3456" i="15" s="1"/>
  <c r="A3457" i="15" s="1"/>
  <c r="A3458" i="15" s="1"/>
  <c r="A3459" i="15" s="1"/>
  <c r="A3460" i="15" s="1"/>
  <c r="A3461" i="15" s="1"/>
  <c r="A3462" i="15" s="1"/>
  <c r="A3463" i="15" s="1"/>
  <c r="A3464" i="15" s="1"/>
  <c r="A3465" i="15" s="1"/>
  <c r="A3466" i="15" s="1"/>
  <c r="A3467" i="15" s="1"/>
  <c r="A3468" i="15" s="1"/>
  <c r="A3469" i="15" s="1"/>
  <c r="A3470" i="15" s="1"/>
  <c r="A3471" i="15" s="1"/>
  <c r="A3472" i="15" s="1"/>
  <c r="E3438" i="15"/>
  <c r="A3402" i="15"/>
  <c r="A3403" i="15" s="1"/>
  <c r="A3404" i="15" s="1"/>
  <c r="A3405" i="15" s="1"/>
  <c r="A3406" i="15" s="1"/>
  <c r="A3407" i="15" s="1"/>
  <c r="A3408" i="15" s="1"/>
  <c r="A3409" i="15" s="1"/>
  <c r="A3410" i="15" s="1"/>
  <c r="A3411" i="15" s="1"/>
  <c r="A3412" i="15" s="1"/>
  <c r="A3413" i="15" s="1"/>
  <c r="A3414" i="15" s="1"/>
  <c r="A3415" i="15" s="1"/>
  <c r="A3416" i="15" s="1"/>
  <c r="A3417" i="15" s="1"/>
  <c r="A3418" i="15" s="1"/>
  <c r="A3419" i="15" s="1"/>
  <c r="A3420" i="15" s="1"/>
  <c r="A3421" i="15" s="1"/>
  <c r="A3422" i="15" s="1"/>
  <c r="A3423" i="15" s="1"/>
  <c r="A3424" i="15" s="1"/>
  <c r="A3425" i="15" s="1"/>
  <c r="A3426" i="15" s="1"/>
  <c r="A3427" i="15" s="1"/>
  <c r="A3428" i="15" s="1"/>
  <c r="A3429" i="15" s="1"/>
  <c r="A3430" i="15" s="1"/>
  <c r="A3431" i="15" s="1"/>
  <c r="A3432" i="15" s="1"/>
  <c r="A3433" i="15" s="1"/>
  <c r="A3434" i="15" s="1"/>
  <c r="A3435" i="15" s="1"/>
  <c r="A3436" i="15" s="1"/>
  <c r="E3368" i="15" l="1"/>
  <c r="A3349" i="15"/>
  <c r="A3350" i="15" s="1"/>
  <c r="A3351" i="15" s="1"/>
  <c r="A3352" i="15" s="1"/>
  <c r="A3353" i="15" s="1"/>
  <c r="A3354" i="15" s="1"/>
  <c r="A3355" i="15" s="1"/>
  <c r="A3356" i="15" s="1"/>
  <c r="A3357" i="15" s="1"/>
  <c r="A3358" i="15" s="1"/>
  <c r="A3359" i="15" s="1"/>
  <c r="A3360" i="15" s="1"/>
  <c r="A3361" i="15" s="1"/>
  <c r="A3362" i="15" s="1"/>
  <c r="A3363" i="15" s="1"/>
  <c r="A3364" i="15" s="1"/>
  <c r="A3365" i="15" s="1"/>
  <c r="A3366" i="15" s="1"/>
  <c r="E3321" i="15" l="1"/>
  <c r="A3296" i="15" l="1"/>
  <c r="A3297" i="15" s="1"/>
  <c r="A3298" i="15" s="1"/>
  <c r="A3299" i="15" s="1"/>
  <c r="A3300" i="15" s="1"/>
  <c r="A3301" i="15" s="1"/>
  <c r="A3302" i="15" s="1"/>
  <c r="A3303" i="15" s="1"/>
  <c r="A3304" i="15" s="1"/>
  <c r="A3305" i="15" s="1"/>
  <c r="A3306" i="15" s="1"/>
  <c r="A3307" i="15" s="1"/>
  <c r="A3308" i="15" s="1"/>
  <c r="A3309" i="15" s="1"/>
  <c r="A3310" i="15" s="1"/>
  <c r="A3311" i="15" s="1"/>
  <c r="A3312" i="15" s="1"/>
  <c r="A3313" i="15" s="1"/>
  <c r="A3314" i="15" s="1"/>
  <c r="A3315" i="15" s="1"/>
  <c r="A3316" i="15" s="1"/>
  <c r="A3317" i="15" s="1"/>
  <c r="A3318" i="15" s="1"/>
  <c r="A3319" i="15" s="1"/>
  <c r="E3262" i="15"/>
  <c r="A3243" i="15"/>
  <c r="A3244" i="15" s="1"/>
  <c r="A3245" i="15" s="1"/>
  <c r="A3246" i="15" s="1"/>
  <c r="A3247" i="15" s="1"/>
  <c r="A3248" i="15" s="1"/>
  <c r="A3249" i="15" s="1"/>
  <c r="A3250" i="15" s="1"/>
  <c r="A3251" i="15" s="1"/>
  <c r="A3252" i="15" s="1"/>
  <c r="A3253" i="15" s="1"/>
  <c r="A3254" i="15" s="1"/>
  <c r="A3255" i="15" s="1"/>
  <c r="A3256" i="15" s="1"/>
  <c r="A3257" i="15" s="1"/>
  <c r="A3258" i="15" s="1"/>
  <c r="A3259" i="15" s="1"/>
  <c r="A3260" i="15" s="1"/>
  <c r="E3217" i="15"/>
  <c r="A3190" i="15"/>
  <c r="A3191" i="15" s="1"/>
  <c r="A3192" i="15" s="1"/>
  <c r="A3193" i="15" s="1"/>
  <c r="A3194" i="15" s="1"/>
  <c r="A3195" i="15" s="1"/>
  <c r="A3196" i="15" s="1"/>
  <c r="A3197" i="15" s="1"/>
  <c r="A3198" i="15" s="1"/>
  <c r="A3199" i="15" s="1"/>
  <c r="A3200" i="15" s="1"/>
  <c r="A3201" i="15" s="1"/>
  <c r="A3202" i="15" s="1"/>
  <c r="A3203" i="15" s="1"/>
  <c r="A3204" i="15" s="1"/>
  <c r="A3205" i="15" s="1"/>
  <c r="A3206" i="15" s="1"/>
  <c r="A3207" i="15" s="1"/>
  <c r="A3208" i="15" s="1"/>
  <c r="A3209" i="15" s="1"/>
  <c r="A3210" i="15" s="1"/>
  <c r="A3211" i="15" s="1"/>
  <c r="A3212" i="15" s="1"/>
  <c r="A3213" i="15" s="1"/>
  <c r="A3214" i="15" s="1"/>
  <c r="A3215" i="15" s="1"/>
  <c r="E3166" i="15"/>
  <c r="A3137" i="15" l="1"/>
  <c r="A3138" i="15" s="1"/>
  <c r="A3139" i="15" s="1"/>
  <c r="A3140" i="15" s="1"/>
  <c r="A3141" i="15" s="1"/>
  <c r="A3142" i="15" s="1"/>
  <c r="A3143" i="15" s="1"/>
  <c r="A3144" i="15" s="1"/>
  <c r="A3145" i="15" s="1"/>
  <c r="A3146" i="15" s="1"/>
  <c r="A3147" i="15" s="1"/>
  <c r="A3148" i="15" s="1"/>
  <c r="A3149" i="15" s="1"/>
  <c r="A3150" i="15" s="1"/>
  <c r="A3151" i="15" s="1"/>
  <c r="A3152" i="15" s="1"/>
  <c r="A3153" i="15" s="1"/>
  <c r="A3154" i="15" s="1"/>
  <c r="A3155" i="15" s="1"/>
  <c r="A3156" i="15" s="1"/>
  <c r="A3157" i="15" s="1"/>
  <c r="A3158" i="15" s="1"/>
  <c r="A3159" i="15" s="1"/>
  <c r="A3160" i="15" s="1"/>
  <c r="A3161" i="15" s="1"/>
  <c r="A3162" i="15" s="1"/>
  <c r="A3163" i="15" s="1"/>
  <c r="A3164" i="15" s="1"/>
  <c r="E3107" i="15"/>
  <c r="A3084" i="15"/>
  <c r="A3085" i="15" s="1"/>
  <c r="A3086" i="15" s="1"/>
  <c r="A3087" i="15" s="1"/>
  <c r="A3088" i="15" s="1"/>
  <c r="A3089" i="15" s="1"/>
  <c r="A3090" i="15" s="1"/>
  <c r="A3091" i="15" s="1"/>
  <c r="A3092" i="15" s="1"/>
  <c r="A3093" i="15" s="1"/>
  <c r="A3094" i="15" s="1"/>
  <c r="A3095" i="15" s="1"/>
  <c r="A3096" i="15" s="1"/>
  <c r="A3097" i="15" s="1"/>
  <c r="A3098" i="15" s="1"/>
  <c r="A3099" i="15" s="1"/>
  <c r="A3100" i="15" s="1"/>
  <c r="A3101" i="15" s="1"/>
  <c r="A3102" i="15" s="1"/>
  <c r="A3103" i="15" s="1"/>
  <c r="A3104" i="15" s="1"/>
  <c r="A3105" i="15" s="1"/>
  <c r="E3056" i="15" l="1"/>
  <c r="A3031" i="15"/>
  <c r="A3032" i="15" s="1"/>
  <c r="A3033" i="15" s="1"/>
  <c r="A3034" i="15" s="1"/>
  <c r="A3035" i="15" s="1"/>
  <c r="A3036" i="15" s="1"/>
  <c r="A3037" i="15" s="1"/>
  <c r="A3038" i="15" s="1"/>
  <c r="A3039" i="15" s="1"/>
  <c r="A3040" i="15" s="1"/>
  <c r="A3041" i="15" s="1"/>
  <c r="A3042" i="15" s="1"/>
  <c r="A3043" i="15" s="1"/>
  <c r="A3044" i="15" s="1"/>
  <c r="A3045" i="15" s="1"/>
  <c r="A3046" i="15" s="1"/>
  <c r="A3047" i="15" s="1"/>
  <c r="A3048" i="15" s="1"/>
  <c r="A3049" i="15" s="1"/>
  <c r="A3050" i="15" s="1"/>
  <c r="A3051" i="15" s="1"/>
  <c r="A3052" i="15" s="1"/>
  <c r="A3053" i="15" s="1"/>
  <c r="A3054" i="15" s="1"/>
  <c r="E2998" i="15" l="1"/>
  <c r="A2978" i="15"/>
  <c r="A2979" i="15" s="1"/>
  <c r="A2980" i="15" s="1"/>
  <c r="A2981" i="15" s="1"/>
  <c r="A2982" i="15" s="1"/>
  <c r="A2983" i="15" s="1"/>
  <c r="A2984" i="15" s="1"/>
  <c r="A2985" i="15" s="1"/>
  <c r="A2986" i="15" s="1"/>
  <c r="A2987" i="15" s="1"/>
  <c r="A2988" i="15" s="1"/>
  <c r="A2989" i="15" s="1"/>
  <c r="A2990" i="15" s="1"/>
  <c r="A2991" i="15" s="1"/>
  <c r="A2992" i="15" s="1"/>
  <c r="A2993" i="15" s="1"/>
  <c r="A2994" i="15" s="1"/>
  <c r="A2995" i="15" s="1"/>
  <c r="A2996" i="15" s="1"/>
  <c r="E2945" i="15"/>
  <c r="A2925" i="15"/>
  <c r="A2926" i="15" s="1"/>
  <c r="A2927" i="15" s="1"/>
  <c r="A2928" i="15" s="1"/>
  <c r="A2929" i="15" s="1"/>
  <c r="A2930" i="15" s="1"/>
  <c r="A2931" i="15" s="1"/>
  <c r="A2932" i="15" s="1"/>
  <c r="A2933" i="15" s="1"/>
  <c r="A2934" i="15" s="1"/>
  <c r="A2935" i="15" s="1"/>
  <c r="A2936" i="15" s="1"/>
  <c r="A2937" i="15" s="1"/>
  <c r="A2938" i="15" s="1"/>
  <c r="A2939" i="15" s="1"/>
  <c r="A2940" i="15" s="1"/>
  <c r="A2941" i="15" s="1"/>
  <c r="A2942" i="15" s="1"/>
  <c r="A2943" i="15" s="1"/>
  <c r="E2887" i="15" l="1"/>
  <c r="A2872" i="15"/>
  <c r="A2873" i="15" s="1"/>
  <c r="A2874" i="15" s="1"/>
  <c r="A2875" i="15" s="1"/>
  <c r="A2876" i="15" s="1"/>
  <c r="A2877" i="15" s="1"/>
  <c r="A2878" i="15" s="1"/>
  <c r="A2879" i="15" s="1"/>
  <c r="A2880" i="15" s="1"/>
  <c r="A2881" i="15" s="1"/>
  <c r="A2882" i="15" s="1"/>
  <c r="A2883" i="15" s="1"/>
  <c r="A2884" i="15" s="1"/>
  <c r="A2885" i="15" s="1"/>
  <c r="E2845" i="15"/>
  <c r="A2819" i="15"/>
  <c r="A2820" i="15" s="1"/>
  <c r="A2821" i="15" s="1"/>
  <c r="A2822" i="15" s="1"/>
  <c r="A2823" i="15" s="1"/>
  <c r="A2824" i="15" s="1"/>
  <c r="A2825" i="15" s="1"/>
  <c r="A2826" i="15" s="1"/>
  <c r="A2827" i="15" s="1"/>
  <c r="A2828" i="15" s="1"/>
  <c r="A2829" i="15" s="1"/>
  <c r="A2830" i="15" s="1"/>
  <c r="A2831" i="15" s="1"/>
  <c r="A2832" i="15" s="1"/>
  <c r="A2833" i="15" s="1"/>
  <c r="A2834" i="15" s="1"/>
  <c r="A2835" i="15" s="1"/>
  <c r="A2836" i="15" s="1"/>
  <c r="A2837" i="15" s="1"/>
  <c r="A2838" i="15" s="1"/>
  <c r="A2839" i="15" s="1"/>
  <c r="A2840" i="15" s="1"/>
  <c r="A2841" i="15" s="1"/>
  <c r="A2842" i="15" s="1"/>
  <c r="A2843" i="15" s="1"/>
  <c r="E2779" i="15" l="1"/>
  <c r="A2766" i="15"/>
  <c r="A2767" i="15" s="1"/>
  <c r="A2768" i="15" s="1"/>
  <c r="A2769" i="15" s="1"/>
  <c r="A2770" i="15" s="1"/>
  <c r="A2771" i="15" s="1"/>
  <c r="A2772" i="15" s="1"/>
  <c r="A2773" i="15" s="1"/>
  <c r="A2774" i="15" s="1"/>
  <c r="A2775" i="15" s="1"/>
  <c r="A2776" i="15" s="1"/>
  <c r="A2777" i="15" s="1"/>
  <c r="E2721" i="15" l="1"/>
  <c r="A2713" i="15"/>
  <c r="A2714" i="15" s="1"/>
  <c r="A2715" i="15" s="1"/>
  <c r="A2716" i="15" s="1"/>
  <c r="A2717" i="15" s="1"/>
  <c r="A2718" i="15" s="1"/>
  <c r="A2719" i="15" s="1"/>
  <c r="E2673" i="15" l="1"/>
  <c r="A2660" i="15"/>
  <c r="A2661" i="15" s="1"/>
  <c r="A2662" i="15" s="1"/>
  <c r="A2663" i="15" s="1"/>
  <c r="A2664" i="15" s="1"/>
  <c r="A2665" i="15" s="1"/>
  <c r="A2666" i="15" s="1"/>
  <c r="A2667" i="15" s="1"/>
  <c r="A2668" i="15" s="1"/>
  <c r="A2669" i="15" s="1"/>
  <c r="A2670" i="15" s="1"/>
  <c r="A2671" i="15" s="1"/>
  <c r="E2630" i="15" l="1"/>
  <c r="A2607" i="15"/>
  <c r="A2608" i="15" s="1"/>
  <c r="A2609" i="15" s="1"/>
  <c r="A2610" i="15" s="1"/>
  <c r="A2611" i="15" s="1"/>
  <c r="A2612" i="15" s="1"/>
  <c r="A2613" i="15" s="1"/>
  <c r="A2614" i="15" s="1"/>
  <c r="A2615" i="15" s="1"/>
  <c r="A2616" i="15" s="1"/>
  <c r="A2617" i="15" s="1"/>
  <c r="A2618" i="15" s="1"/>
  <c r="A2619" i="15" s="1"/>
  <c r="A2620" i="15" s="1"/>
  <c r="A2621" i="15" s="1"/>
  <c r="A2622" i="15" s="1"/>
  <c r="A2623" i="15" s="1"/>
  <c r="A2624" i="15" s="1"/>
  <c r="A2625" i="15" s="1"/>
  <c r="A2626" i="15" s="1"/>
  <c r="A2627" i="15" s="1"/>
  <c r="A2628" i="15" s="1"/>
  <c r="E2548" i="15" l="1"/>
  <c r="A2501" i="15"/>
  <c r="A2502" i="15" s="1"/>
  <c r="A2503" i="15" s="1"/>
  <c r="A2504" i="15" s="1"/>
  <c r="A2505" i="15" s="1"/>
  <c r="A2506" i="15" s="1"/>
  <c r="A2507" i="15" s="1"/>
  <c r="A2508" i="15" s="1"/>
  <c r="A2509" i="15" s="1"/>
  <c r="A2510" i="15" s="1"/>
  <c r="A2511" i="15" s="1"/>
  <c r="A2512" i="15" s="1"/>
  <c r="A2513" i="15" s="1"/>
  <c r="A2514" i="15" s="1"/>
  <c r="A2515" i="15" s="1"/>
  <c r="A2516" i="15" s="1"/>
  <c r="A2517" i="15" s="1"/>
  <c r="A2518" i="15" s="1"/>
  <c r="A2519" i="15" s="1"/>
  <c r="A2520" i="15" s="1"/>
  <c r="A2521" i="15" s="1"/>
  <c r="A2522" i="15" s="1"/>
  <c r="A2523" i="15" s="1"/>
  <c r="A2524" i="15" s="1"/>
  <c r="A2525" i="15" s="1"/>
  <c r="A2526" i="15" s="1"/>
  <c r="A2527" i="15" s="1"/>
  <c r="A2528" i="15" s="1"/>
  <c r="A2529" i="15" s="1"/>
  <c r="A2530" i="15" s="1"/>
  <c r="A2531" i="15" s="1"/>
  <c r="A2532" i="15" s="1"/>
  <c r="A2533" i="15" s="1"/>
  <c r="A2534" i="15" s="1"/>
  <c r="A2535" i="15" s="1"/>
  <c r="A2536" i="15" s="1"/>
  <c r="A2537" i="15" s="1"/>
  <c r="A2538" i="15" s="1"/>
  <c r="A2539" i="15" s="1"/>
  <c r="A2540" i="15" s="1"/>
  <c r="A2541" i="15" s="1"/>
  <c r="A2542" i="15" s="1"/>
  <c r="A2543" i="15" s="1"/>
  <c r="A2544" i="15" s="1"/>
  <c r="A2545" i="15" s="1"/>
  <c r="A2546" i="15" s="1"/>
  <c r="E2487" i="15"/>
  <c r="A2448" i="15"/>
  <c r="A2449" i="15" s="1"/>
  <c r="A2450" i="15" s="1"/>
  <c r="A2451" i="15" s="1"/>
  <c r="A2452" i="15" s="1"/>
  <c r="A2453" i="15" s="1"/>
  <c r="A2454" i="15" s="1"/>
  <c r="A2455" i="15" s="1"/>
  <c r="A2456" i="15" s="1"/>
  <c r="A2457" i="15" s="1"/>
  <c r="A2458" i="15" s="1"/>
  <c r="A2459" i="15" s="1"/>
  <c r="A2460" i="15" s="1"/>
  <c r="A2461" i="15" s="1"/>
  <c r="A2462" i="15" s="1"/>
  <c r="A2463" i="15" s="1"/>
  <c r="A2464" i="15" s="1"/>
  <c r="A2465" i="15" s="1"/>
  <c r="A2466" i="15" s="1"/>
  <c r="A2467" i="15" s="1"/>
  <c r="A2468" i="15" s="1"/>
  <c r="A2469" i="15" s="1"/>
  <c r="A2470" i="15" s="1"/>
  <c r="A2471" i="15" s="1"/>
  <c r="A2472" i="15" s="1"/>
  <c r="A2473" i="15" s="1"/>
  <c r="A2474" i="15" s="1"/>
  <c r="A2475" i="15" s="1"/>
  <c r="A2476" i="15" s="1"/>
  <c r="A2477" i="15" s="1"/>
  <c r="A2478" i="15" s="1"/>
  <c r="A2479" i="15" s="1"/>
  <c r="A2480" i="15" s="1"/>
  <c r="A2481" i="15" s="1"/>
  <c r="A2482" i="15" s="1"/>
  <c r="A2483" i="15" s="1"/>
  <c r="A2484" i="15" s="1"/>
  <c r="A2485" i="15" s="1"/>
  <c r="E2425" i="15"/>
  <c r="A2395" i="15"/>
  <c r="A2396" i="15" s="1"/>
  <c r="A2397" i="15" s="1"/>
  <c r="A2398" i="15" s="1"/>
  <c r="A2399" i="15" s="1"/>
  <c r="A2400" i="15" s="1"/>
  <c r="A2401" i="15" s="1"/>
  <c r="A2402" i="15" s="1"/>
  <c r="A2403" i="15" s="1"/>
  <c r="A2404" i="15" s="1"/>
  <c r="A2405" i="15" s="1"/>
  <c r="A2406" i="15" s="1"/>
  <c r="A2407" i="15" s="1"/>
  <c r="A2408" i="15" s="1"/>
  <c r="A2409" i="15" s="1"/>
  <c r="A2410" i="15" s="1"/>
  <c r="A2411" i="15" s="1"/>
  <c r="A2412" i="15" s="1"/>
  <c r="A2413" i="15" s="1"/>
  <c r="A2414" i="15" s="1"/>
  <c r="A2415" i="15" s="1"/>
  <c r="A2416" i="15" s="1"/>
  <c r="A2417" i="15" s="1"/>
  <c r="A2418" i="15" s="1"/>
  <c r="A2419" i="15" s="1"/>
  <c r="A2420" i="15" s="1"/>
  <c r="A2421" i="15" s="1"/>
  <c r="A2422" i="15" s="1"/>
  <c r="A2423" i="15" s="1"/>
  <c r="E2351" i="15"/>
  <c r="A2342" i="15"/>
  <c r="A2343" i="15" s="1"/>
  <c r="A2344" i="15" s="1"/>
  <c r="A2345" i="15" s="1"/>
  <c r="A2346" i="15" s="1"/>
  <c r="A2347" i="15" s="1"/>
  <c r="A2348" i="15" s="1"/>
  <c r="A2349" i="15" s="1"/>
  <c r="E2315" i="15" l="1"/>
  <c r="A2289" i="15"/>
  <c r="A2290" i="15" s="1"/>
  <c r="A2291" i="15" s="1"/>
  <c r="A2292" i="15" s="1"/>
  <c r="A2293" i="15" s="1"/>
  <c r="A2294" i="15" s="1"/>
  <c r="A2295" i="15" s="1"/>
  <c r="A2296" i="15" s="1"/>
  <c r="A2297" i="15" s="1"/>
  <c r="A2298" i="15" s="1"/>
  <c r="A2299" i="15" s="1"/>
  <c r="A2300" i="15" s="1"/>
  <c r="A2301" i="15" s="1"/>
  <c r="A2302" i="15" s="1"/>
  <c r="A2303" i="15" s="1"/>
  <c r="A2304" i="15" s="1"/>
  <c r="A2305" i="15" s="1"/>
  <c r="A2306" i="15" s="1"/>
  <c r="A2307" i="15" l="1"/>
  <c r="A2308" i="15" s="1"/>
  <c r="A2309" i="15" s="1"/>
  <c r="A2310" i="15" s="1"/>
  <c r="A2311" i="15" s="1"/>
  <c r="A2312" i="15" s="1"/>
  <c r="A2313" i="15" s="1"/>
  <c r="E2259" i="15" l="1"/>
  <c r="A2236" i="15"/>
  <c r="A2237" i="15" s="1"/>
  <c r="A2238" i="15" s="1"/>
  <c r="A2239" i="15" s="1"/>
  <c r="A2240" i="15" s="1"/>
  <c r="A2241" i="15" s="1"/>
  <c r="A2242" i="15" s="1"/>
  <c r="A2243" i="15" s="1"/>
  <c r="A2244" i="15" s="1"/>
  <c r="A2245" i="15" s="1"/>
  <c r="A2246" i="15" s="1"/>
  <c r="A2247" i="15" s="1"/>
  <c r="A2248" i="15" s="1"/>
  <c r="A2249" i="15" s="1"/>
  <c r="A2250" i="15" s="1"/>
  <c r="A2251" i="15" s="1"/>
  <c r="A2252" i="15" s="1"/>
  <c r="A2253" i="15" s="1"/>
  <c r="A2254" i="15" s="1"/>
  <c r="A2255" i="15" s="1"/>
  <c r="A2256" i="15" s="1"/>
  <c r="A2257" i="15" s="1"/>
  <c r="E2204" i="15" l="1"/>
  <c r="A2183" i="15"/>
  <c r="A2184" i="15" s="1"/>
  <c r="A2185" i="15" s="1"/>
  <c r="A2186" i="15" s="1"/>
  <c r="A2187" i="15" s="1"/>
  <c r="A2188" i="15" s="1"/>
  <c r="A2189" i="15" s="1"/>
  <c r="A2190" i="15" s="1"/>
  <c r="A2191" i="15" s="1"/>
  <c r="A2192" i="15" s="1"/>
  <c r="A2193" i="15" s="1"/>
  <c r="A2194" i="15" s="1"/>
  <c r="A2195" i="15" s="1"/>
  <c r="A2196" i="15" s="1"/>
  <c r="A2197" i="15" s="1"/>
  <c r="A2198" i="15" s="1"/>
  <c r="A2199" i="15" s="1"/>
  <c r="A2200" i="15" s="1"/>
  <c r="A2201" i="15" s="1"/>
  <c r="A2202" i="15" s="1"/>
  <c r="E2121" i="15" l="1"/>
  <c r="A2077" i="15"/>
  <c r="A2078" i="15" s="1"/>
  <c r="A2079" i="15" s="1"/>
  <c r="A2080" i="15" s="1"/>
  <c r="A2081" i="15" s="1"/>
  <c r="A2082" i="15" s="1"/>
  <c r="A2083" i="15" s="1"/>
  <c r="A2084" i="15" s="1"/>
  <c r="A2085" i="15" s="1"/>
  <c r="A2086" i="15" s="1"/>
  <c r="A2087" i="15" s="1"/>
  <c r="A2088" i="15" s="1"/>
  <c r="A2089" i="15" s="1"/>
  <c r="A2090" i="15" s="1"/>
  <c r="A2091" i="15" s="1"/>
  <c r="A2092" i="15" s="1"/>
  <c r="A2093" i="15" s="1"/>
  <c r="A2094" i="15" s="1"/>
  <c r="A2095" i="15" s="1"/>
  <c r="A2096" i="15" s="1"/>
  <c r="A2097" i="15" s="1"/>
  <c r="A2098" i="15" s="1"/>
  <c r="A2099" i="15" s="1"/>
  <c r="A2100" i="15" s="1"/>
  <c r="A2101" i="15" s="1"/>
  <c r="A2102" i="15" s="1"/>
  <c r="A2103" i="15" s="1"/>
  <c r="A2104" i="15" s="1"/>
  <c r="A2105" i="15" s="1"/>
  <c r="A2106" i="15" s="1"/>
  <c r="A2107" i="15" s="1"/>
  <c r="A2108" i="15" s="1"/>
  <c r="A2109" i="15" s="1"/>
  <c r="A2110" i="15" s="1"/>
  <c r="A2111" i="15" s="1"/>
  <c r="A2112" i="15" s="1"/>
  <c r="A2113" i="15" s="1"/>
  <c r="A2114" i="15" s="1"/>
  <c r="A2115" i="15" s="1"/>
  <c r="A2116" i="15" s="1"/>
  <c r="A2117" i="15" s="1"/>
  <c r="A2118" i="15" s="1"/>
  <c r="A2119" i="15" s="1"/>
  <c r="E2039" i="15" l="1"/>
  <c r="A2024" i="15"/>
  <c r="A2025" i="15" s="1"/>
  <c r="A2026" i="15" s="1"/>
  <c r="A2027" i="15" s="1"/>
  <c r="A2028" i="15" s="1"/>
  <c r="A2029" i="15" s="1"/>
  <c r="A2030" i="15" s="1"/>
  <c r="A2031" i="15" s="1"/>
  <c r="A2032" i="15" s="1"/>
  <c r="A2033" i="15" s="1"/>
  <c r="A2034" i="15" s="1"/>
  <c r="A2035" i="15" s="1"/>
  <c r="A2036" i="15" s="1"/>
  <c r="A2037" i="15" s="1"/>
  <c r="E1985" i="15" l="1"/>
  <c r="A1971" i="15"/>
  <c r="A1972" i="15" s="1"/>
  <c r="A1973" i="15" s="1"/>
  <c r="A1974" i="15" s="1"/>
  <c r="A1975" i="15" s="1"/>
  <c r="A1976" i="15" s="1"/>
  <c r="A1977" i="15" s="1"/>
  <c r="A1978" i="15" s="1"/>
  <c r="A1979" i="15" s="1"/>
  <c r="A1980" i="15" s="1"/>
  <c r="A1981" i="15" s="1"/>
  <c r="A1982" i="15" s="1"/>
  <c r="A1983" i="15" s="1"/>
  <c r="E1951" i="15"/>
  <c r="A1918" i="15"/>
  <c r="A1919" i="15" s="1"/>
  <c r="A1920" i="15" s="1"/>
  <c r="A1921" i="15" s="1"/>
  <c r="A1922" i="15" s="1"/>
  <c r="A1923" i="15" s="1"/>
  <c r="A1924" i="15" s="1"/>
  <c r="A1925" i="15" s="1"/>
  <c r="A1926" i="15" s="1"/>
  <c r="A1927" i="15" s="1"/>
  <c r="A1928" i="15" s="1"/>
  <c r="A1929" i="15" s="1"/>
  <c r="A1930" i="15" s="1"/>
  <c r="A1931" i="15" s="1"/>
  <c r="A1932" i="15" s="1"/>
  <c r="A1933" i="15" s="1"/>
  <c r="A1934" i="15" s="1"/>
  <c r="A1935" i="15" s="1"/>
  <c r="A1936" i="15" s="1"/>
  <c r="A1937" i="15" s="1"/>
  <c r="A1938" i="15" s="1"/>
  <c r="A1939" i="15" s="1"/>
  <c r="A1940" i="15" s="1"/>
  <c r="A1941" i="15" s="1"/>
  <c r="A1942" i="15" s="1"/>
  <c r="A1943" i="15" s="1"/>
  <c r="A1944" i="15" s="1"/>
  <c r="A1945" i="15" s="1"/>
  <c r="A1946" i="15" s="1"/>
  <c r="A1947" i="15" s="1"/>
  <c r="A1948" i="15" s="1"/>
  <c r="A1949" i="15" s="1"/>
  <c r="E1895" i="15"/>
  <c r="A1865" i="15"/>
  <c r="A1866" i="15" s="1"/>
  <c r="A1867" i="15" s="1"/>
  <c r="A1868" i="15" s="1"/>
  <c r="A1869" i="15" s="1"/>
  <c r="A1870" i="15" s="1"/>
  <c r="A1871" i="15" s="1"/>
  <c r="A1872" i="15" s="1"/>
  <c r="A1873" i="15" s="1"/>
  <c r="A1874" i="15" s="1"/>
  <c r="A1875" i="15" s="1"/>
  <c r="A1876" i="15" s="1"/>
  <c r="A1877" i="15" s="1"/>
  <c r="A1878" i="15" s="1"/>
  <c r="A1879" i="15" s="1"/>
  <c r="A1880" i="15" s="1"/>
  <c r="A1881" i="15" s="1"/>
  <c r="A1882" i="15" s="1"/>
  <c r="A1883" i="15" s="1"/>
  <c r="A1884" i="15" s="1"/>
  <c r="A1885" i="15" s="1"/>
  <c r="A1886" i="15" s="1"/>
  <c r="A1887" i="15" s="1"/>
  <c r="A1888" i="15" s="1"/>
  <c r="A1889" i="15" s="1"/>
  <c r="A1890" i="15" s="1"/>
  <c r="A1891" i="15" s="1"/>
  <c r="A1892" i="15" s="1"/>
  <c r="A1893" i="15" s="1"/>
  <c r="E1849" i="15" l="1"/>
  <c r="A1812" i="15"/>
  <c r="A1813" i="15" s="1"/>
  <c r="A1814" i="15" s="1"/>
  <c r="A1815" i="15" s="1"/>
  <c r="A1816" i="15" s="1"/>
  <c r="A1817" i="15" s="1"/>
  <c r="A1818" i="15" s="1"/>
  <c r="A1819" i="15" s="1"/>
  <c r="A1820" i="15" s="1"/>
  <c r="A1821" i="15" s="1"/>
  <c r="A1822" i="15" s="1"/>
  <c r="A1823" i="15" s="1"/>
  <c r="A1824" i="15" s="1"/>
  <c r="A1825" i="15" s="1"/>
  <c r="A1826" i="15" s="1"/>
  <c r="A1827" i="15" s="1"/>
  <c r="A1828" i="15" s="1"/>
  <c r="A1829" i="15" s="1"/>
  <c r="A1830" i="15" s="1"/>
  <c r="A1831" i="15" s="1"/>
  <c r="A1832" i="15" s="1"/>
  <c r="A1833" i="15" s="1"/>
  <c r="A1834" i="15" s="1"/>
  <c r="A1835" i="15" s="1"/>
  <c r="A1836" i="15" s="1"/>
  <c r="A1837" i="15" s="1"/>
  <c r="A1838" i="15" s="1"/>
  <c r="A1839" i="15" s="1"/>
  <c r="A1840" i="15" s="1"/>
  <c r="A1841" i="15" s="1"/>
  <c r="A1842" i="15" s="1"/>
  <c r="A1843" i="15" s="1"/>
  <c r="A1844" i="15" s="1"/>
  <c r="A1845" i="15" s="1"/>
  <c r="A1846" i="15" s="1"/>
  <c r="A1847" i="15" s="1"/>
  <c r="E1771" i="15"/>
  <c r="A1759" i="15"/>
  <c r="A1760" i="15" s="1"/>
  <c r="A1761" i="15" s="1"/>
  <c r="A1762" i="15" s="1"/>
  <c r="A1763" i="15" s="1"/>
  <c r="A1764" i="15" s="1"/>
  <c r="A1765" i="15" s="1"/>
  <c r="A1766" i="15" s="1"/>
  <c r="A1767" i="15" s="1"/>
  <c r="A1768" i="15" s="1"/>
  <c r="A1769" i="15" s="1"/>
  <c r="E1718" i="15" l="1"/>
  <c r="A1706" i="15"/>
  <c r="A1707" i="15" s="1"/>
  <c r="A1708" i="15" s="1"/>
  <c r="A1709" i="15" s="1"/>
  <c r="A1710" i="15" s="1"/>
  <c r="E1660" i="15"/>
  <c r="A1653" i="15"/>
  <c r="A1654" i="15" s="1"/>
  <c r="A1655" i="15" s="1"/>
  <c r="A1656" i="15" s="1"/>
  <c r="A1657" i="15" s="1"/>
  <c r="A1658" i="15" s="1"/>
  <c r="E1613" i="15"/>
  <c r="A1600" i="15"/>
  <c r="A1601" i="15" s="1"/>
  <c r="A1602" i="15" s="1"/>
  <c r="A1603" i="15" s="1"/>
  <c r="A1604" i="15" s="1"/>
  <c r="A1605" i="15" s="1"/>
  <c r="A1606" i="15" s="1"/>
  <c r="A1607" i="15" s="1"/>
  <c r="A1608" i="15" s="1"/>
  <c r="A1609" i="15" s="1"/>
  <c r="A1610" i="15" s="1"/>
  <c r="A1611" i="15" s="1"/>
  <c r="A1711" i="15" l="1"/>
  <c r="A1712" i="15" s="1"/>
  <c r="A1713" i="15" s="1"/>
  <c r="A1714" i="15" s="1"/>
  <c r="A1715" i="15" s="1"/>
  <c r="A1716" i="15" s="1"/>
  <c r="E1572" i="15"/>
  <c r="A1547" i="15"/>
  <c r="A1548" i="15" s="1"/>
  <c r="A1549" i="15" s="1"/>
  <c r="A1550" i="15" s="1"/>
  <c r="A1551" i="15" s="1"/>
  <c r="A1552" i="15" s="1"/>
  <c r="A1553" i="15" s="1"/>
  <c r="A1554" i="15" s="1"/>
  <c r="A1555" i="15" s="1"/>
  <c r="A1556" i="15" s="1"/>
  <c r="A1557" i="15" s="1"/>
  <c r="A1558" i="15" s="1"/>
  <c r="A1559" i="15" s="1"/>
  <c r="A1560" i="15" s="1"/>
  <c r="A1561" i="15" s="1"/>
  <c r="A1562" i="15" s="1"/>
  <c r="A1563" i="15" s="1"/>
  <c r="A1564" i="15" s="1"/>
  <c r="A1565" i="15" s="1"/>
  <c r="A1566" i="15" s="1"/>
  <c r="A1567" i="15" s="1"/>
  <c r="A1568" i="15" s="1"/>
  <c r="A1569" i="15" s="1"/>
  <c r="A1570" i="15" s="1"/>
  <c r="E1501" i="15" l="1"/>
  <c r="A1494" i="15"/>
  <c r="A1495" i="15" s="1"/>
  <c r="A1496" i="15" s="1"/>
  <c r="A1497" i="15" s="1"/>
  <c r="A1498" i="15" s="1"/>
  <c r="A1499" i="15" s="1"/>
  <c r="E1459" i="15" l="1"/>
  <c r="A1441" i="15"/>
  <c r="A1442" i="15" s="1"/>
  <c r="A1443" i="15" s="1"/>
  <c r="A1444" i="15" s="1"/>
  <c r="A1445" i="15" s="1"/>
  <c r="A1446" i="15" s="1"/>
  <c r="A1447" i="15" s="1"/>
  <c r="A1448" i="15" s="1"/>
  <c r="A1449" i="15" s="1"/>
  <c r="A1450" i="15" s="1"/>
  <c r="A1451" i="15" s="1"/>
  <c r="A1452" i="15" s="1"/>
  <c r="A1453" i="15" s="1"/>
  <c r="A1454" i="15" s="1"/>
  <c r="A1455" i="15" s="1"/>
  <c r="A1456" i="15" s="1"/>
  <c r="A1457" i="15" s="1"/>
  <c r="E1344" i="15" l="1"/>
  <c r="A1335" i="15"/>
  <c r="A1336" i="15" s="1"/>
  <c r="A1337" i="15" s="1"/>
  <c r="A1338" i="15" s="1"/>
  <c r="A1339" i="15" s="1"/>
  <c r="A1340" i="15" s="1"/>
  <c r="A1341" i="15" s="1"/>
  <c r="A1342" i="15" s="1"/>
  <c r="E1289" i="15"/>
  <c r="A1282" i="15"/>
  <c r="A1283" i="15" s="1"/>
  <c r="A1284" i="15" s="1"/>
  <c r="A1285" i="15" s="1"/>
  <c r="A1286" i="15" s="1"/>
  <c r="A1287" i="15" s="1"/>
  <c r="E1253" i="15"/>
  <c r="A1229" i="15"/>
  <c r="A1230" i="15" s="1"/>
  <c r="A1231" i="15" s="1"/>
  <c r="A1232" i="15" s="1"/>
  <c r="A1233" i="15" s="1"/>
  <c r="A1234" i="15" s="1"/>
  <c r="A1235" i="15" s="1"/>
  <c r="A1236" i="15" s="1"/>
  <c r="A1237" i="15" s="1"/>
  <c r="A1238" i="15" s="1"/>
  <c r="A1239" i="15" s="1"/>
  <c r="A1240" i="15" s="1"/>
  <c r="A1241" i="15" s="1"/>
  <c r="A1242" i="15" s="1"/>
  <c r="A1243" i="15" s="1"/>
  <c r="A1244" i="15" s="1"/>
  <c r="A1245" i="15" s="1"/>
  <c r="A1246" i="15" s="1"/>
  <c r="A1247" i="15" s="1"/>
  <c r="A1248" i="15" s="1"/>
  <c r="A1249" i="15" s="1"/>
  <c r="A1250" i="15" s="1"/>
  <c r="A1251" i="15" s="1"/>
  <c r="E1169" i="15"/>
  <c r="A1123" i="15"/>
  <c r="A1124" i="15" s="1"/>
  <c r="A1125" i="15" s="1"/>
  <c r="A1126" i="15" s="1"/>
  <c r="A1127" i="15" s="1"/>
  <c r="A1128" i="15" s="1"/>
  <c r="A1129" i="15" s="1"/>
  <c r="A1130" i="15" s="1"/>
  <c r="A1131" i="15" s="1"/>
  <c r="A1132" i="15" s="1"/>
  <c r="A1133" i="15" s="1"/>
  <c r="A1134" i="15" s="1"/>
  <c r="A1135" i="15" s="1"/>
  <c r="A1136" i="15" s="1"/>
  <c r="A1137" i="15" s="1"/>
  <c r="A1138" i="15" s="1"/>
  <c r="A1139" i="15" s="1"/>
  <c r="A1140" i="15" s="1"/>
  <c r="A1141" i="15" s="1"/>
  <c r="A1142" i="15" s="1"/>
  <c r="A1143" i="15" s="1"/>
  <c r="A1144" i="15" s="1"/>
  <c r="A1145" i="15" s="1"/>
  <c r="A1146" i="15" s="1"/>
  <c r="A1147" i="15" s="1"/>
  <c r="A1148" i="15" s="1"/>
  <c r="A1149" i="15" s="1"/>
  <c r="A1150" i="15" s="1"/>
  <c r="A1151" i="15" s="1"/>
  <c r="A1152" i="15" s="1"/>
  <c r="A1153" i="15" s="1"/>
  <c r="A1154" i="15" s="1"/>
  <c r="A1155" i="15" s="1"/>
  <c r="A1156" i="15" s="1"/>
  <c r="A1157" i="15" s="1"/>
  <c r="A1158" i="15" s="1"/>
  <c r="A1159" i="15" s="1"/>
  <c r="A1160" i="15" s="1"/>
  <c r="A1161" i="15" s="1"/>
  <c r="A1162" i="15" s="1"/>
  <c r="A1163" i="15" s="1"/>
  <c r="E1400" i="15"/>
  <c r="A1388" i="15"/>
  <c r="A1389" i="15" s="1"/>
  <c r="A1390" i="15" s="1"/>
  <c r="A1391" i="15" s="1"/>
  <c r="A1392" i="15" s="1"/>
  <c r="A1393" i="15" s="1"/>
  <c r="A1394" i="15" s="1"/>
  <c r="A1395" i="15" s="1"/>
  <c r="A1396" i="15" s="1"/>
  <c r="A1397" i="15" s="1"/>
  <c r="A1398" i="15" s="1"/>
  <c r="A1164" i="15" l="1"/>
  <c r="A1165" i="15" s="1"/>
  <c r="A1166" i="15" s="1"/>
  <c r="A1167" i="15" s="1"/>
  <c r="E1093" i="15"/>
  <c r="A1070" i="15"/>
  <c r="A1071" i="15" s="1"/>
  <c r="A1072" i="15" s="1"/>
  <c r="A1073" i="15" s="1"/>
  <c r="A1074" i="15" s="1"/>
  <c r="A1075" i="15" s="1"/>
  <c r="A1076" i="15" s="1"/>
  <c r="A1077" i="15" s="1"/>
  <c r="A1078" i="15" s="1"/>
  <c r="A1079" i="15" s="1"/>
  <c r="A1080" i="15" s="1"/>
  <c r="A1081" i="15" s="1"/>
  <c r="A1082" i="15" s="1"/>
  <c r="A1083" i="15" s="1"/>
  <c r="A1084" i="15" s="1"/>
  <c r="A1085" i="15" s="1"/>
  <c r="A1086" i="15" s="1"/>
  <c r="A1087" i="15" s="1"/>
  <c r="A1088" i="15" s="1"/>
  <c r="A1089" i="15" s="1"/>
  <c r="A1090" i="15" s="1"/>
  <c r="A1091" i="15" s="1"/>
  <c r="E1032" i="15" l="1"/>
  <c r="A1017" i="15"/>
  <c r="A1018" i="15" s="1"/>
  <c r="A1019" i="15" s="1"/>
  <c r="A1020" i="15" s="1"/>
  <c r="A1021" i="15" s="1"/>
  <c r="A1022" i="15" s="1"/>
  <c r="A1023" i="15" s="1"/>
  <c r="A1024" i="15" s="1"/>
  <c r="A1025" i="15" s="1"/>
  <c r="A1026" i="15" s="1"/>
  <c r="A1027" i="15" s="1"/>
  <c r="A1028" i="15" s="1"/>
  <c r="A1029" i="15" s="1"/>
  <c r="A1030" i="15" s="1"/>
  <c r="E988" i="15"/>
  <c r="A964" i="15"/>
  <c r="A965" i="15" s="1"/>
  <c r="A966" i="15" s="1"/>
  <c r="A967" i="15" s="1"/>
  <c r="A968" i="15" s="1"/>
  <c r="A969" i="15" s="1"/>
  <c r="A970" i="15" s="1"/>
  <c r="A971" i="15" s="1"/>
  <c r="A972" i="15" s="1"/>
  <c r="A973" i="15" s="1"/>
  <c r="A974" i="15" s="1"/>
  <c r="A975" i="15" s="1"/>
  <c r="A976" i="15" s="1"/>
  <c r="A977" i="15" s="1"/>
  <c r="A978" i="15" s="1"/>
  <c r="A979" i="15" s="1"/>
  <c r="A980" i="15" s="1"/>
  <c r="A981" i="15" s="1"/>
  <c r="A982" i="15" s="1"/>
  <c r="A983" i="15" s="1"/>
  <c r="A984" i="15" s="1"/>
  <c r="A985" i="15" s="1"/>
  <c r="A986" i="15" s="1"/>
  <c r="E938" i="15"/>
  <c r="A911" i="15"/>
  <c r="A912" i="15" s="1"/>
  <c r="A913" i="15" s="1"/>
  <c r="A914" i="15" s="1"/>
  <c r="A915" i="15" s="1"/>
  <c r="A916" i="15" s="1"/>
  <c r="A917" i="15" s="1"/>
  <c r="A918" i="15" s="1"/>
  <c r="A919" i="15" s="1"/>
  <c r="A920" i="15" s="1"/>
  <c r="A921" i="15" s="1"/>
  <c r="A922" i="15" s="1"/>
  <c r="A923" i="15" s="1"/>
  <c r="A924" i="15" s="1"/>
  <c r="A925" i="15" s="1"/>
  <c r="A926" i="15" s="1"/>
  <c r="A927" i="15" s="1"/>
  <c r="A928" i="15" s="1"/>
  <c r="A929" i="15" s="1"/>
  <c r="A930" i="15" s="1"/>
  <c r="A931" i="15" s="1"/>
  <c r="A932" i="15" l="1"/>
  <c r="A933" i="15" s="1"/>
  <c r="A934" i="15" s="1"/>
  <c r="A935" i="15" s="1"/>
  <c r="A936" i="15" s="1"/>
  <c r="E877" i="15"/>
  <c r="A858" i="15"/>
  <c r="A859" i="15" s="1"/>
  <c r="A860" i="15" s="1"/>
  <c r="A861" i="15" s="1"/>
  <c r="A862" i="15" s="1"/>
  <c r="A863" i="15" s="1"/>
  <c r="A864" i="15" s="1"/>
  <c r="A865" i="15" s="1"/>
  <c r="A866" i="15" s="1"/>
  <c r="A867" i="15" s="1"/>
  <c r="A868" i="15" s="1"/>
  <c r="A869" i="15" s="1"/>
  <c r="A870" i="15" s="1"/>
  <c r="A871" i="15" s="1"/>
  <c r="A872" i="15" s="1"/>
  <c r="A873" i="15" s="1"/>
  <c r="A874" i="15" s="1"/>
  <c r="A875" i="15" s="1"/>
  <c r="E830" i="15" l="1"/>
  <c r="A805" i="15"/>
  <c r="A806" i="15" s="1"/>
  <c r="A807" i="15" s="1"/>
  <c r="A808" i="15" s="1"/>
  <c r="A809" i="15" s="1"/>
  <c r="A810" i="15" s="1"/>
  <c r="A811" i="15" s="1"/>
  <c r="A812" i="15" s="1"/>
  <c r="A813" i="15" s="1"/>
  <c r="A814" i="15" s="1"/>
  <c r="A815" i="15" s="1"/>
  <c r="A816" i="15" s="1"/>
  <c r="A817" i="15" s="1"/>
  <c r="A818" i="15" s="1"/>
  <c r="A819" i="15" s="1"/>
  <c r="A820" i="15" s="1"/>
  <c r="A821" i="15" s="1"/>
  <c r="A822" i="15" s="1"/>
  <c r="A823" i="15" s="1"/>
  <c r="A824" i="15" s="1"/>
  <c r="A825" i="15" s="1"/>
  <c r="A826" i="15" s="1"/>
  <c r="A827" i="15" s="1"/>
  <c r="A828" i="15" s="1"/>
  <c r="E791" i="15"/>
  <c r="A752" i="15"/>
  <c r="A753" i="15" s="1"/>
  <c r="A754" i="15" s="1"/>
  <c r="A755" i="15" s="1"/>
  <c r="A756" i="15" s="1"/>
  <c r="A757" i="15" s="1"/>
  <c r="A758" i="15" s="1"/>
  <c r="A759" i="15" s="1"/>
  <c r="A760" i="15" s="1"/>
  <c r="A761" i="15" s="1"/>
  <c r="A762" i="15" s="1"/>
  <c r="A763" i="15" s="1"/>
  <c r="A764" i="15" s="1"/>
  <c r="A765" i="15" s="1"/>
  <c r="A766" i="15" s="1"/>
  <c r="A767" i="15" s="1"/>
  <c r="A768" i="15" s="1"/>
  <c r="A769" i="15" s="1"/>
  <c r="A770" i="15" s="1"/>
  <c r="E724" i="15"/>
  <c r="A699" i="15"/>
  <c r="A700" i="15" s="1"/>
  <c r="A701" i="15" s="1"/>
  <c r="A702" i="15" s="1"/>
  <c r="A703" i="15" s="1"/>
  <c r="A704" i="15" s="1"/>
  <c r="A705" i="15" s="1"/>
  <c r="A706" i="15" s="1"/>
  <c r="A707" i="15" s="1"/>
  <c r="A708" i="15" s="1"/>
  <c r="A709" i="15" s="1"/>
  <c r="A710" i="15" s="1"/>
  <c r="A711" i="15" s="1"/>
  <c r="A712" i="15" s="1"/>
  <c r="A713" i="15" s="1"/>
  <c r="A714" i="15" s="1"/>
  <c r="A715" i="15" s="1"/>
  <c r="A716" i="15" s="1"/>
  <c r="A717" i="15" s="1"/>
  <c r="A718" i="15" s="1"/>
  <c r="A719" i="15" s="1"/>
  <c r="A720" i="15" s="1"/>
  <c r="A721" i="15" s="1"/>
  <c r="A722" i="15" s="1"/>
  <c r="E664" i="15"/>
  <c r="A646" i="15"/>
  <c r="A647" i="15" s="1"/>
  <c r="A648" i="15" s="1"/>
  <c r="A649" i="15" s="1"/>
  <c r="A650" i="15" s="1"/>
  <c r="A651" i="15" s="1"/>
  <c r="A652" i="15" s="1"/>
  <c r="A653" i="15" s="1"/>
  <c r="A654" i="15" s="1"/>
  <c r="A655" i="15" s="1"/>
  <c r="A656" i="15" s="1"/>
  <c r="A657" i="15" s="1"/>
  <c r="A658" i="15" s="1"/>
  <c r="A659" i="15" s="1"/>
  <c r="A660" i="15" s="1"/>
  <c r="A661" i="15" s="1"/>
  <c r="A662" i="15" s="1"/>
  <c r="A593" i="15"/>
  <c r="A594" i="15" s="1"/>
  <c r="A595" i="15" s="1"/>
  <c r="A596" i="15" s="1"/>
  <c r="A597" i="15" s="1"/>
  <c r="A598" i="15" s="1"/>
  <c r="A599" i="15" s="1"/>
  <c r="A600" i="15" s="1"/>
  <c r="A601" i="15" s="1"/>
  <c r="A602" i="15" s="1"/>
  <c r="A603" i="15" s="1"/>
  <c r="A604" i="15" s="1"/>
  <c r="A605" i="15" s="1"/>
  <c r="A606" i="15" s="1"/>
  <c r="A607" i="15" s="1"/>
  <c r="A608" i="15" s="1"/>
  <c r="A609" i="15" s="1"/>
  <c r="A610" i="15" s="1"/>
  <c r="E612" i="15"/>
  <c r="E582" i="15"/>
  <c r="A540" i="15"/>
  <c r="A541" i="15" s="1"/>
  <c r="A542" i="15" s="1"/>
  <c r="A543" i="15" s="1"/>
  <c r="A544" i="15" s="1"/>
  <c r="A545" i="15" s="1"/>
  <c r="A546" i="15" s="1"/>
  <c r="A547" i="15" s="1"/>
  <c r="A548" i="15" s="1"/>
  <c r="A549" i="15" s="1"/>
  <c r="A550" i="15" s="1"/>
  <c r="A551" i="15" s="1"/>
  <c r="A552" i="15" s="1"/>
  <c r="A553" i="15" s="1"/>
  <c r="A554" i="15" s="1"/>
  <c r="A555" i="15" s="1"/>
  <c r="A556" i="15" s="1"/>
  <c r="A557" i="15" s="1"/>
  <c r="A558" i="15" s="1"/>
  <c r="A559" i="15" s="1"/>
  <c r="A560" i="15" s="1"/>
  <c r="A561" i="15" s="1"/>
  <c r="A562" i="15" s="1"/>
  <c r="A563" i="15" s="1"/>
  <c r="A564" i="15" s="1"/>
  <c r="A565" i="15" s="1"/>
  <c r="A566" i="15" s="1"/>
  <c r="A567" i="15" s="1"/>
  <c r="A568" i="15" s="1"/>
  <c r="A569" i="15" s="1"/>
  <c r="A570" i="15" s="1"/>
  <c r="A571" i="15" s="1"/>
  <c r="A572" i="15" s="1"/>
  <c r="A573" i="15" s="1"/>
  <c r="A574" i="15" s="1"/>
  <c r="A575" i="15" s="1"/>
  <c r="A576" i="15" s="1"/>
  <c r="A577" i="15" s="1"/>
  <c r="A578" i="15" s="1"/>
  <c r="A579" i="15" s="1"/>
  <c r="A580" i="15" s="1"/>
  <c r="A581" i="15" s="1"/>
  <c r="A771" i="15" l="1"/>
  <c r="A772" i="15" s="1"/>
  <c r="A773" i="15" s="1"/>
  <c r="A774" i="15" s="1"/>
  <c r="A775" i="15" s="1"/>
  <c r="A776" i="15" s="1"/>
  <c r="A777" i="15" s="1"/>
  <c r="A778" i="15" s="1"/>
  <c r="A779" i="15" s="1"/>
  <c r="A780" i="15" s="1"/>
  <c r="A781" i="15" s="1"/>
  <c r="A782" i="15" s="1"/>
  <c r="A783" i="15" s="1"/>
  <c r="A784" i="15" s="1"/>
  <c r="A785" i="15" s="1"/>
  <c r="A786" i="15" s="1"/>
  <c r="A787" i="15" s="1"/>
  <c r="A788" i="15" s="1"/>
  <c r="A789" i="15" s="1"/>
  <c r="E483" i="15"/>
  <c r="A434" i="15"/>
  <c r="A435" i="15" s="1"/>
  <c r="A436" i="15" s="1"/>
  <c r="A437" i="15" s="1"/>
  <c r="A438" i="15" s="1"/>
  <c r="A439" i="15" s="1"/>
  <c r="A440" i="15" s="1"/>
  <c r="A441" i="15" s="1"/>
  <c r="A442" i="15" s="1"/>
  <c r="A443" i="15" s="1"/>
  <c r="A444" i="15" s="1"/>
  <c r="A445" i="15" s="1"/>
  <c r="A446" i="15" s="1"/>
  <c r="A447" i="15" s="1"/>
  <c r="A448" i="15" s="1"/>
  <c r="A449" i="15" s="1"/>
  <c r="A450" i="15" s="1"/>
  <c r="A451" i="15" s="1"/>
  <c r="A452" i="15" s="1"/>
  <c r="A453" i="15" s="1"/>
  <c r="A454" i="15" s="1"/>
  <c r="A455" i="15" s="1"/>
  <c r="A456" i="15" s="1"/>
  <c r="A457" i="15" s="1"/>
  <c r="A458" i="15" s="1"/>
  <c r="A459" i="15" s="1"/>
  <c r="A460" i="15" s="1"/>
  <c r="A461" i="15" s="1"/>
  <c r="A462" i="15" s="1"/>
  <c r="A463" i="15" s="1"/>
  <c r="A464" i="15" s="1"/>
  <c r="A465" i="15" s="1"/>
  <c r="A466" i="15" s="1"/>
  <c r="A467" i="15" s="1"/>
  <c r="A468" i="15" s="1"/>
  <c r="A469" i="15" s="1"/>
  <c r="A470" i="15" s="1"/>
  <c r="A471" i="15" s="1"/>
  <c r="A472" i="15" s="1"/>
  <c r="A473" i="15" s="1"/>
  <c r="A474" i="15" s="1"/>
  <c r="A475" i="15" s="1"/>
  <c r="A476" i="15" s="1"/>
  <c r="A477" i="15" s="1"/>
  <c r="A478" i="15" s="1"/>
  <c r="A479" i="15" s="1"/>
  <c r="A480" i="15" s="1"/>
  <c r="A481" i="15" s="1"/>
  <c r="E421" i="15"/>
  <c r="A381" i="15"/>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404" i="15" s="1"/>
  <c r="A405" i="15" s="1"/>
  <c r="A406" i="15" s="1"/>
  <c r="A407" i="15" s="1"/>
  <c r="A408" i="15" s="1"/>
  <c r="A409" i="15" s="1"/>
  <c r="A410" i="15" s="1"/>
  <c r="A411" i="15" s="1"/>
  <c r="A412" i="15" s="1"/>
  <c r="A413" i="15" s="1"/>
  <c r="A414" i="15" s="1"/>
  <c r="A415" i="15" s="1"/>
  <c r="A416" i="15" s="1"/>
  <c r="A417" i="15" s="1"/>
  <c r="A418" i="15" s="1"/>
  <c r="A419" i="15" s="1"/>
  <c r="E348" i="15"/>
  <c r="A328" i="15"/>
  <c r="A329" i="15" s="1"/>
  <c r="A330" i="15" s="1"/>
  <c r="A331" i="15" s="1"/>
  <c r="A332" i="15" s="1"/>
  <c r="A333" i="15" s="1"/>
  <c r="A334" i="15" s="1"/>
  <c r="A335" i="15" s="1"/>
  <c r="A336" i="15" s="1"/>
  <c r="A337" i="15" s="1"/>
  <c r="A338" i="15" s="1"/>
  <c r="A339" i="15" s="1"/>
  <c r="A340" i="15" s="1"/>
  <c r="A341" i="15" s="1"/>
  <c r="A342" i="15" s="1"/>
  <c r="A343" i="15" s="1"/>
  <c r="A344" i="15" s="1"/>
  <c r="A345" i="15" s="1"/>
  <c r="A346" i="15" s="1"/>
  <c r="E304" i="15"/>
  <c r="A275" i="15"/>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E219" i="15"/>
  <c r="A169" i="15"/>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E112" i="15" l="1"/>
  <c r="A63" i="15"/>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G21" i="20" l="1"/>
  <c r="F21" i="20"/>
  <c r="G401" i="19"/>
  <c r="G402" i="19" s="1"/>
  <c r="G507" i="19" s="1"/>
  <c r="G508" i="19" s="1"/>
  <c r="G620" i="19" s="1"/>
  <c r="G621" i="19" s="1"/>
  <c r="H401" i="19" l="1"/>
  <c r="H402" i="19" s="1"/>
  <c r="H507" i="19" s="1"/>
  <c r="H508" i="19" s="1"/>
  <c r="H620" i="19" s="1"/>
  <c r="H621" i="19" s="1"/>
  <c r="H18" i="17"/>
  <c r="G18" i="17"/>
  <c r="D18" i="17"/>
  <c r="I15" i="17"/>
  <c r="I12" i="17"/>
  <c r="E24" i="15"/>
  <c r="I13" i="17" s="1"/>
  <c r="A10" i="15"/>
  <c r="A11" i="15" s="1"/>
  <c r="A12" i="15" s="1"/>
  <c r="A13" i="15" s="1"/>
  <c r="A14" i="15" s="1"/>
  <c r="A15" i="15" s="1"/>
  <c r="A16" i="15" s="1"/>
  <c r="A17" i="15" s="1"/>
  <c r="A18" i="15" s="1"/>
  <c r="A19" i="15" s="1"/>
  <c r="A20" i="15" s="1"/>
  <c r="A21" i="15" s="1"/>
  <c r="A22" i="15" s="1"/>
  <c r="E14" i="14"/>
  <c r="E18" i="17" l="1"/>
  <c r="I14" i="17"/>
  <c r="I18" i="17" s="1"/>
  <c r="F18" i="17"/>
  <c r="G16" i="10" l="1"/>
  <c r="I92" i="1" l="1"/>
  <c r="E11" i="10" l="1"/>
  <c r="E12" i="10" s="1"/>
  <c r="E13" i="10" s="1"/>
  <c r="E15" i="10" s="1"/>
  <c r="F559" i="10" l="1"/>
  <c r="F561" i="10"/>
  <c r="F509" i="10" l="1"/>
  <c r="F511" i="10"/>
  <c r="F359" i="10" l="1"/>
  <c r="F361" i="10"/>
  <c r="F259" i="10" l="1"/>
  <c r="G13" i="10" l="1"/>
  <c r="F18" i="10"/>
  <c r="G18" i="10" l="1"/>
  <c r="F411" i="10" l="1"/>
  <c r="F409" i="10"/>
  <c r="F461" i="10" l="1"/>
  <c r="F459" i="10"/>
  <c r="F60" i="10" l="1"/>
  <c r="F260" i="10" l="1"/>
  <c r="F360" i="10" l="1"/>
  <c r="F410" i="10" l="1"/>
  <c r="G362" i="10"/>
  <c r="F365" i="10"/>
  <c r="G365" i="10" l="1"/>
  <c r="F460" i="10"/>
  <c r="F417" i="10"/>
  <c r="G412" i="10"/>
  <c r="G417" i="10" s="1"/>
  <c r="F510" i="10" l="1"/>
  <c r="F467" i="10"/>
  <c r="G462" i="10"/>
  <c r="G467" i="10" s="1"/>
  <c r="G512" i="10" l="1"/>
  <c r="G514" i="10" s="1"/>
  <c r="F514" i="10"/>
  <c r="F560" i="10"/>
  <c r="G562" i="10" l="1"/>
  <c r="G564" i="10" s="1"/>
  <c r="F564" i="10"/>
  <c r="F311" i="10" l="1"/>
  <c r="F310" i="10"/>
  <c r="F309" i="10"/>
  <c r="F316" i="10" l="1"/>
  <c r="G312" i="10"/>
  <c r="G316" i="10" s="1"/>
  <c r="E16" i="10" l="1"/>
  <c r="F59" i="10" l="1"/>
  <c r="G117" i="10" l="1"/>
  <c r="F111" i="10" l="1"/>
  <c r="F61" i="10"/>
  <c r="F66" i="10" l="1"/>
  <c r="F117" i="10"/>
  <c r="G62" i="10"/>
  <c r="G66" i="10" s="1"/>
  <c r="F161" i="10"/>
  <c r="G162" i="10" l="1"/>
  <c r="G166" i="10" s="1"/>
  <c r="F166" i="10"/>
  <c r="F261" i="10" l="1"/>
  <c r="F211" i="10"/>
  <c r="G212" i="10" l="1"/>
  <c r="G216" i="10" s="1"/>
  <c r="F216" i="10"/>
  <c r="G262" i="10"/>
  <c r="G266" i="10" s="1"/>
  <c r="F266" i="10"/>
  <c r="E143" i="5" l="1"/>
  <c r="E144" i="5" l="1"/>
  <c r="G144" i="5" l="1"/>
  <c r="F76" i="5"/>
  <c r="F365" i="5"/>
  <c r="E164" i="5"/>
  <c r="F164" i="5"/>
  <c r="E365" i="5" l="1"/>
  <c r="F519" i="5"/>
  <c r="E76" i="5"/>
  <c r="E427" i="5" l="1"/>
  <c r="E519" i="5"/>
  <c r="F683" i="5" l="1"/>
  <c r="F792" i="5" l="1"/>
  <c r="E683" i="5"/>
  <c r="E792" i="5" l="1"/>
  <c r="E277" i="5" l="1"/>
  <c r="F445" i="26" l="1"/>
  <c r="E495" i="26"/>
  <c r="F495" i="26" l="1"/>
  <c r="F591" i="5" l="1"/>
  <c r="E591" i="5"/>
  <c r="F427" i="5" l="1"/>
  <c r="E191" i="26" l="1"/>
  <c r="E295" i="26"/>
  <c r="F191" i="26" l="1"/>
  <c r="E396" i="26"/>
  <c r="E40" i="26"/>
  <c r="E246" i="26"/>
  <c r="E90" i="26"/>
  <c r="F295" i="26" l="1"/>
  <c r="F40" i="26"/>
  <c r="F396" i="26"/>
  <c r="F246" i="26"/>
  <c r="F140" i="26"/>
  <c r="F90" i="26"/>
  <c r="E347" i="26"/>
  <c r="F347"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G1185" authorId="0" shapeId="0" xr:uid="{84DA2B55-1022-4ED6-B566-7FC2E68B494D}">
      <text>
        <r>
          <rPr>
            <b/>
            <sz val="9"/>
            <color indexed="81"/>
            <rFont val="Tahoma"/>
            <family val="2"/>
          </rPr>
          <t>acer:</t>
        </r>
        <r>
          <rPr>
            <sz val="9"/>
            <color indexed="81"/>
            <rFont val="Tahoma"/>
            <family val="2"/>
          </rPr>
          <t xml:space="preserve">
dijurnal kembali JU bahan kimia + biaya transfer</t>
        </r>
      </text>
    </comment>
  </commentList>
</comments>
</file>

<file path=xl/sharedStrings.xml><?xml version="1.0" encoding="utf-8"?>
<sst xmlns="http://schemas.openxmlformats.org/spreadsheetml/2006/main" count="20444" uniqueCount="5667">
  <si>
    <t>PERUSAHAAN DAERAH AIR MINUM</t>
  </si>
  <si>
    <t>KABUPATEN SERUYAN</t>
  </si>
  <si>
    <t>BULAN JANUARI 2012</t>
  </si>
  <si>
    <t>Tgl</t>
  </si>
  <si>
    <t>Voucer</t>
  </si>
  <si>
    <t>Uraian</t>
  </si>
  <si>
    <t>Cek/Giro</t>
  </si>
  <si>
    <t xml:space="preserve">No. </t>
  </si>
  <si>
    <t>No.</t>
  </si>
  <si>
    <t>Kas/Bank</t>
  </si>
  <si>
    <t>KREDIT</t>
  </si>
  <si>
    <t>Utang Usaha</t>
  </si>
  <si>
    <t>TGL</t>
  </si>
  <si>
    <t>URAIAN</t>
  </si>
  <si>
    <t>PERKIRAAN DI KREDIT</t>
  </si>
  <si>
    <t>JUMLAH</t>
  </si>
  <si>
    <t>Jalan : Soekarno-Hatta No. Telp (0538) 2706777  Fax (0538) 21815</t>
  </si>
  <si>
    <t>DAFTAR UTANG VOUCER YANG HARUS DIBAYAR (DUVHD)</t>
  </si>
  <si>
    <t>VOUCER</t>
  </si>
  <si>
    <t>DIBAYAR</t>
  </si>
  <si>
    <t>PERKIRAAN DI DEBET</t>
  </si>
  <si>
    <t>NO</t>
  </si>
  <si>
    <t>CEK/GIRO NO.</t>
  </si>
  <si>
    <t>UTANG</t>
  </si>
  <si>
    <t xml:space="preserve">PERSEDIAN </t>
  </si>
  <si>
    <t xml:space="preserve">BAHAN </t>
  </si>
  <si>
    <t>UANG MUKA</t>
  </si>
  <si>
    <t>BOP</t>
  </si>
  <si>
    <t>BIAYA UMUM &amp; ADM</t>
  </si>
  <si>
    <t>RUPA-RUPA</t>
  </si>
  <si>
    <t>USAHA</t>
  </si>
  <si>
    <t>NON USAHA</t>
  </si>
  <si>
    <t>BHN. KIMIA</t>
  </si>
  <si>
    <t>INSTALASI</t>
  </si>
  <si>
    <t>KERJA</t>
  </si>
  <si>
    <t>SUMBER</t>
  </si>
  <si>
    <t>PENGOLAHAN</t>
  </si>
  <si>
    <t>DISTRIBUSI</t>
  </si>
  <si>
    <t>B. KANTOR</t>
  </si>
  <si>
    <t>B. HUB.PEL</t>
  </si>
  <si>
    <t>KD. PERKIRAAN</t>
  </si>
  <si>
    <t>(50.01.00)</t>
  </si>
  <si>
    <t>(50.02.00)</t>
  </si>
  <si>
    <t>(15.00.01)</t>
  </si>
  <si>
    <t>(41.02.00)</t>
  </si>
  <si>
    <t>(16.02.00)</t>
  </si>
  <si>
    <t>(91.01.00)</t>
  </si>
  <si>
    <t>(92.01.00)</t>
  </si>
  <si>
    <t>(93.01.00)</t>
  </si>
  <si>
    <t>(96.02.00)</t>
  </si>
  <si>
    <t>(96.03.00)</t>
  </si>
  <si>
    <t>Akum. Penyusutan Ins. S. Air</t>
  </si>
  <si>
    <t>Akum. Penyusutan Ins. Pompa</t>
  </si>
  <si>
    <t>Akum. Penyusutan Ins. P. Air</t>
  </si>
  <si>
    <t>Akum. Penyusutan Ins. Trandist</t>
  </si>
  <si>
    <t>No</t>
  </si>
  <si>
    <t>Ref.</t>
  </si>
  <si>
    <t>Debet</t>
  </si>
  <si>
    <t>Kredit</t>
  </si>
  <si>
    <t>Kas</t>
  </si>
  <si>
    <t>JOURNAL PEMBALIK</t>
  </si>
  <si>
    <t>Persediaan Bahan Kimia</t>
  </si>
  <si>
    <t>Beban Operasi Pengolahan Air (Tawas)</t>
  </si>
  <si>
    <t>Beban Operasi Pengolahan Air (Kaporit)</t>
  </si>
  <si>
    <t>Beban Operasi Pengolahan Air (Soda Ash)</t>
  </si>
  <si>
    <t>JOURNAL PENYESUAIAN (JP)</t>
  </si>
  <si>
    <t>JP 'Jan</t>
  </si>
  <si>
    <t>JP 'FEB</t>
  </si>
  <si>
    <t>JP 'MAR</t>
  </si>
  <si>
    <t>JP 'APRIL</t>
  </si>
  <si>
    <t>JP 'MEI</t>
  </si>
  <si>
    <t>JP 'JUNI</t>
  </si>
  <si>
    <t>JP ' juli</t>
  </si>
  <si>
    <t>JP ' Agust</t>
  </si>
  <si>
    <t>JP ' Sep</t>
  </si>
  <si>
    <t>JP ' Okt</t>
  </si>
  <si>
    <t>JP ' Nov</t>
  </si>
  <si>
    <t xml:space="preserve">JOURNAL BAYAR KAS </t>
  </si>
  <si>
    <t>Beban ATK &amp; Barang Cetakkan</t>
  </si>
  <si>
    <t>Piutang Non Air</t>
  </si>
  <si>
    <t>Beban Non usaha (B. Bank)</t>
  </si>
  <si>
    <t>Pendapatan Non Usaha (Jasa Giro)</t>
  </si>
  <si>
    <t>Persediaan ATK</t>
  </si>
  <si>
    <t>1 Juli 15</t>
  </si>
  <si>
    <t>1 Agustus 15</t>
  </si>
  <si>
    <t>1 Sep 15</t>
  </si>
  <si>
    <t>1 Okt 15</t>
  </si>
  <si>
    <t>1 Nov 15</t>
  </si>
  <si>
    <t>1 Des 15</t>
  </si>
  <si>
    <t>METER</t>
  </si>
  <si>
    <t>DEBET</t>
  </si>
  <si>
    <t>NO. BUKTI</t>
  </si>
  <si>
    <t xml:space="preserve">PERUSAHAAN DAERAH AIR MINUM </t>
  </si>
  <si>
    <t>31 Jan</t>
  </si>
  <si>
    <t>Beban Amortisasi Aktiva Tidak Berwujud</t>
  </si>
  <si>
    <t>Akum. Amortisasi Aktiva Tidak berwujud</t>
  </si>
  <si>
    <t>NAMA PELANGGAN</t>
  </si>
  <si>
    <t>NO. PELANGGAN</t>
  </si>
  <si>
    <t>BUKTI PENERIMAAN TAGIHAN REKENING NON AIR</t>
  </si>
  <si>
    <t>BULAN : JANUARI 2018</t>
  </si>
  <si>
    <t>Kasi. Pembukuan</t>
  </si>
  <si>
    <t>BUKTI PENERIMAAN DENDA</t>
  </si>
  <si>
    <t>BPTDN/01/I/2018</t>
  </si>
  <si>
    <t>BUKTI KAS MASUK</t>
  </si>
  <si>
    <t>PENERIMAAN</t>
  </si>
  <si>
    <t xml:space="preserve">TAGIHAN </t>
  </si>
  <si>
    <t>TAGIHAN</t>
  </si>
  <si>
    <t xml:space="preserve">DENDA </t>
  </si>
  <si>
    <t xml:space="preserve">ANGSURAN </t>
  </si>
  <si>
    <t>DANA</t>
  </si>
  <si>
    <t xml:space="preserve">REKENING </t>
  </si>
  <si>
    <t>REKENING</t>
  </si>
  <si>
    <t xml:space="preserve">PIUTANG </t>
  </si>
  <si>
    <t>AIR</t>
  </si>
  <si>
    <t>NON AIR</t>
  </si>
  <si>
    <t>KARYAWAN</t>
  </si>
  <si>
    <t>Penerimaan Rek Air &amp; Adm</t>
  </si>
  <si>
    <t>JOURNAL REKENING AIR (JRA)</t>
  </si>
  <si>
    <t>BULAN : FEBRUARI 2018</t>
  </si>
  <si>
    <t>BULAN : MARET 2018</t>
  </si>
  <si>
    <t>BULAN : APRIL 2018</t>
  </si>
  <si>
    <t>Rafiah</t>
  </si>
  <si>
    <t>Hj. Nurlaila A</t>
  </si>
  <si>
    <t>Eko Budi S</t>
  </si>
  <si>
    <t>Titin Yuli Susanti</t>
  </si>
  <si>
    <t>Irsyad Munawar, ST</t>
  </si>
  <si>
    <t>Sudirman</t>
  </si>
  <si>
    <t>000408</t>
  </si>
  <si>
    <t>000802</t>
  </si>
  <si>
    <t>000942</t>
  </si>
  <si>
    <t>000966</t>
  </si>
  <si>
    <t>000969</t>
  </si>
  <si>
    <t>001430</t>
  </si>
  <si>
    <t>Kuala Pembuang, 02 Januari  2018</t>
  </si>
  <si>
    <t>Norhanisah</t>
  </si>
  <si>
    <t>Heri</t>
  </si>
  <si>
    <t>Raden Kartono, S. Pd</t>
  </si>
  <si>
    <t>Suriansyah</t>
  </si>
  <si>
    <t>H. Muhammad Hanafie</t>
  </si>
  <si>
    <t>Agus Wakidjo</t>
  </si>
  <si>
    <t>Wahana</t>
  </si>
  <si>
    <t>Norhayati</t>
  </si>
  <si>
    <t>001491</t>
  </si>
  <si>
    <t>001658</t>
  </si>
  <si>
    <t>001809</t>
  </si>
  <si>
    <t>001820</t>
  </si>
  <si>
    <t>002055</t>
  </si>
  <si>
    <t>002381</t>
  </si>
  <si>
    <t>002452</t>
  </si>
  <si>
    <t>002542</t>
  </si>
  <si>
    <t>BPTDN/02/I/2018</t>
  </si>
  <si>
    <t>Kuala Pembuang, 03 Januari  2018</t>
  </si>
  <si>
    <t>Nur Aiti</t>
  </si>
  <si>
    <t>Suriyadi</t>
  </si>
  <si>
    <t>Koesnan AS</t>
  </si>
  <si>
    <t>Bandu</t>
  </si>
  <si>
    <t>Roby Kurniawan</t>
  </si>
  <si>
    <t>Susilawati</t>
  </si>
  <si>
    <t>000134</t>
  </si>
  <si>
    <t>000203</t>
  </si>
  <si>
    <t>000318</t>
  </si>
  <si>
    <t>000345</t>
  </si>
  <si>
    <t>000425</t>
  </si>
  <si>
    <t>000712</t>
  </si>
  <si>
    <t>000735</t>
  </si>
  <si>
    <t>000745</t>
  </si>
  <si>
    <t>000872</t>
  </si>
  <si>
    <t>000925</t>
  </si>
  <si>
    <t>000935</t>
  </si>
  <si>
    <t>001009</t>
  </si>
  <si>
    <t>H. Ahmad Dehen</t>
  </si>
  <si>
    <t>Mujibur Rahman</t>
  </si>
  <si>
    <t>Indra Gunawi</t>
  </si>
  <si>
    <t>H. Sutriasmono</t>
  </si>
  <si>
    <t>Muliannor</t>
  </si>
  <si>
    <t>Kejari VI</t>
  </si>
  <si>
    <t>M. Fitriansyah</t>
  </si>
  <si>
    <t>Juliansyah A</t>
  </si>
  <si>
    <t>Juliansyah B</t>
  </si>
  <si>
    <t>Suyono</t>
  </si>
  <si>
    <t>Muliyan</t>
  </si>
  <si>
    <t>Apronika Hadi</t>
  </si>
  <si>
    <t>Heriyadi</t>
  </si>
  <si>
    <t>Eny Mariana</t>
  </si>
  <si>
    <t>Herliyani</t>
  </si>
  <si>
    <t>001105</t>
  </si>
  <si>
    <t>001111</t>
  </si>
  <si>
    <t>001112</t>
  </si>
  <si>
    <t>001217</t>
  </si>
  <si>
    <t>001265</t>
  </si>
  <si>
    <t>001294</t>
  </si>
  <si>
    <t>001470</t>
  </si>
  <si>
    <t>001519</t>
  </si>
  <si>
    <t>001424</t>
  </si>
  <si>
    <t>001584</t>
  </si>
  <si>
    <t>001762</t>
  </si>
  <si>
    <t>001810</t>
  </si>
  <si>
    <t>001870</t>
  </si>
  <si>
    <t>001890</t>
  </si>
  <si>
    <t>001550</t>
  </si>
  <si>
    <t>002128</t>
  </si>
  <si>
    <t>002192</t>
  </si>
  <si>
    <t>002219</t>
  </si>
  <si>
    <t>Ahmad Yunani</t>
  </si>
  <si>
    <t>Dahlia</t>
  </si>
  <si>
    <t>M. Zaenal Arifin</t>
  </si>
  <si>
    <t>Suhartono</t>
  </si>
  <si>
    <t>Wairan</t>
  </si>
  <si>
    <t>Noraida</t>
  </si>
  <si>
    <t>Mega Mustika</t>
  </si>
  <si>
    <t>Sandin</t>
  </si>
  <si>
    <t>Anwar Rasid</t>
  </si>
  <si>
    <t>Ruslianto II</t>
  </si>
  <si>
    <t>Hj. Rusnah</t>
  </si>
  <si>
    <t>Heri Yadi</t>
  </si>
  <si>
    <t>Basri</t>
  </si>
  <si>
    <t>Akhmadiyanur</t>
  </si>
  <si>
    <t>Ahmad Zain</t>
  </si>
  <si>
    <t>Meri</t>
  </si>
  <si>
    <t>Etik Suwarni</t>
  </si>
  <si>
    <t>Fitriany</t>
  </si>
  <si>
    <t>Ricardo Barius</t>
  </si>
  <si>
    <t>Jainudin</t>
  </si>
  <si>
    <t>002268</t>
  </si>
  <si>
    <t>002446</t>
  </si>
  <si>
    <t>002458</t>
  </si>
  <si>
    <t>002492</t>
  </si>
  <si>
    <t>002513</t>
  </si>
  <si>
    <t>002567</t>
  </si>
  <si>
    <t>002612</t>
  </si>
  <si>
    <t>002661</t>
  </si>
  <si>
    <t>002688</t>
  </si>
  <si>
    <t>002689</t>
  </si>
  <si>
    <t>002803</t>
  </si>
  <si>
    <t>002815</t>
  </si>
  <si>
    <t>002817</t>
  </si>
  <si>
    <t>002822</t>
  </si>
  <si>
    <t>002846</t>
  </si>
  <si>
    <t>002872</t>
  </si>
  <si>
    <t>002907</t>
  </si>
  <si>
    <t>002922</t>
  </si>
  <si>
    <t>002937</t>
  </si>
  <si>
    <t>Irma Sari</t>
  </si>
  <si>
    <t>Murni Arliani</t>
  </si>
  <si>
    <t>Abdul Hadi</t>
  </si>
  <si>
    <t>Jailani</t>
  </si>
  <si>
    <t>Mursidah</t>
  </si>
  <si>
    <t>Karlina</t>
  </si>
  <si>
    <t>Iwan Juwarto</t>
  </si>
  <si>
    <t>BPTDN/03/I/2018</t>
  </si>
  <si>
    <t>Kuala Pembuang, 04 Januari  2018</t>
  </si>
  <si>
    <t>A. Asnad Hf</t>
  </si>
  <si>
    <t>Taufik Amirullah</t>
  </si>
  <si>
    <t>H. Suryadi</t>
  </si>
  <si>
    <t>Uda Ali</t>
  </si>
  <si>
    <t>Sukarnadi</t>
  </si>
  <si>
    <t>Anang Yusrani</t>
  </si>
  <si>
    <t>000133</t>
  </si>
  <si>
    <t>000233</t>
  </si>
  <si>
    <t>000237</t>
  </si>
  <si>
    <t>000250</t>
  </si>
  <si>
    <t>000294</t>
  </si>
  <si>
    <t>000358</t>
  </si>
  <si>
    <t>000493</t>
  </si>
  <si>
    <t>000582</t>
  </si>
  <si>
    <t>000650</t>
  </si>
  <si>
    <t>000680</t>
  </si>
  <si>
    <t>000755</t>
  </si>
  <si>
    <t>000888</t>
  </si>
  <si>
    <t>000898</t>
  </si>
  <si>
    <t>000900</t>
  </si>
  <si>
    <t>Eka Damayanti</t>
  </si>
  <si>
    <t>Supardi</t>
  </si>
  <si>
    <t>Andi Aswita A</t>
  </si>
  <si>
    <t>Darwis, S. Pt</t>
  </si>
  <si>
    <t>Mardiono</t>
  </si>
  <si>
    <t>Mas Ud</t>
  </si>
  <si>
    <t>Lamiang</t>
  </si>
  <si>
    <t>Eva Norpadiah</t>
  </si>
  <si>
    <t>Amat</t>
  </si>
  <si>
    <t>Tuwo</t>
  </si>
  <si>
    <t>Suliyani</t>
  </si>
  <si>
    <t>Heriyanto C</t>
  </si>
  <si>
    <t>Utomo G</t>
  </si>
  <si>
    <t>Markasan</t>
  </si>
  <si>
    <t>Fahrani</t>
  </si>
  <si>
    <t>Timan Sugio</t>
  </si>
  <si>
    <t>M. Yusup</t>
  </si>
  <si>
    <t>Ir. Tarwidi Tamasyaputra</t>
  </si>
  <si>
    <t>Iskandar Ahwiar</t>
  </si>
  <si>
    <t>000937</t>
  </si>
  <si>
    <t>000940</t>
  </si>
  <si>
    <t>000947</t>
  </si>
  <si>
    <t>001023</t>
  </si>
  <si>
    <t>001095</t>
  </si>
  <si>
    <t>001107</t>
  </si>
  <si>
    <t>001133</t>
  </si>
  <si>
    <t>001151</t>
  </si>
  <si>
    <t>001165</t>
  </si>
  <si>
    <t>001226</t>
  </si>
  <si>
    <t>001227</t>
  </si>
  <si>
    <t>001453</t>
  </si>
  <si>
    <t>001498</t>
  </si>
  <si>
    <t>001533</t>
  </si>
  <si>
    <t>001689</t>
  </si>
  <si>
    <t>001755</t>
  </si>
  <si>
    <t>001756</t>
  </si>
  <si>
    <t>001811</t>
  </si>
  <si>
    <t>001821</t>
  </si>
  <si>
    <t>001857</t>
  </si>
  <si>
    <t>001858</t>
  </si>
  <si>
    <t>001869</t>
  </si>
  <si>
    <t>001954</t>
  </si>
  <si>
    <t>002027</t>
  </si>
  <si>
    <t>Abbas Sugianto C</t>
  </si>
  <si>
    <t>Emeli Susana Triana B</t>
  </si>
  <si>
    <t>Muhammad Arsyad, S. Sos</t>
  </si>
  <si>
    <t>Suhaimi</t>
  </si>
  <si>
    <t>Rohana</t>
  </si>
  <si>
    <t>Bambang Murdianto</t>
  </si>
  <si>
    <t>Kawi</t>
  </si>
  <si>
    <t>SDN Pematang Limau</t>
  </si>
  <si>
    <t>Wasin</t>
  </si>
  <si>
    <t>Marniah</t>
  </si>
  <si>
    <t>Asiah</t>
  </si>
  <si>
    <t>Mirhanudin</t>
  </si>
  <si>
    <t>Widiastuty C</t>
  </si>
  <si>
    <t>Heru Wijaya</t>
  </si>
  <si>
    <t>Madhonen</t>
  </si>
  <si>
    <t>Romadhon</t>
  </si>
  <si>
    <t>Mulyani</t>
  </si>
  <si>
    <t>Sugianto</t>
  </si>
  <si>
    <t>Amrullah</t>
  </si>
  <si>
    <t>Abdul Mukti</t>
  </si>
  <si>
    <t>002035</t>
  </si>
  <si>
    <t>002501</t>
  </si>
  <si>
    <t>002532</t>
  </si>
  <si>
    <t>002568</t>
  </si>
  <si>
    <t>002575</t>
  </si>
  <si>
    <t>002577</t>
  </si>
  <si>
    <t>002609</t>
  </si>
  <si>
    <t>002631</t>
  </si>
  <si>
    <t>002780</t>
  </si>
  <si>
    <t>002784</t>
  </si>
  <si>
    <t>002841</t>
  </si>
  <si>
    <t>002842</t>
  </si>
  <si>
    <t>Bianto, S. Pd</t>
  </si>
  <si>
    <t>Hj. Dariyani</t>
  </si>
  <si>
    <t>Liyanti</t>
  </si>
  <si>
    <t>Saiful Darahim</t>
  </si>
  <si>
    <t>BPTDN/04/I/2018</t>
  </si>
  <si>
    <t>Kuala Pembuang, 05 Januari  2018</t>
  </si>
  <si>
    <t>Anang Mukri</t>
  </si>
  <si>
    <t>H. Asnad HA</t>
  </si>
  <si>
    <t>Raden s</t>
  </si>
  <si>
    <t>H. Khairil Anwar</t>
  </si>
  <si>
    <t>Ahmadin</t>
  </si>
  <si>
    <t>Rachmad</t>
  </si>
  <si>
    <t>Siti Rahmah</t>
  </si>
  <si>
    <t>000036</t>
  </si>
  <si>
    <t>000058</t>
  </si>
  <si>
    <t>000138</t>
  </si>
  <si>
    <t>000207</t>
  </si>
  <si>
    <t>000284</t>
  </si>
  <si>
    <t>000494</t>
  </si>
  <si>
    <t>000642</t>
  </si>
  <si>
    <t>000652</t>
  </si>
  <si>
    <t>000761</t>
  </si>
  <si>
    <t>001118</t>
  </si>
  <si>
    <t>001207</t>
  </si>
  <si>
    <t>001221</t>
  </si>
  <si>
    <t>001480</t>
  </si>
  <si>
    <t>001544</t>
  </si>
  <si>
    <t>001552</t>
  </si>
  <si>
    <t>001570</t>
  </si>
  <si>
    <t>Ribut Riwayanto</t>
  </si>
  <si>
    <t>I Gusti Ayu Swasti I</t>
  </si>
  <si>
    <t>Hairil Anwar, SE</t>
  </si>
  <si>
    <t>Muthmainnah</t>
  </si>
  <si>
    <t>H. Matlim A</t>
  </si>
  <si>
    <t>Arsiah</t>
  </si>
  <si>
    <t>Effendyansyah</t>
  </si>
  <si>
    <t>Nur Jasmani</t>
  </si>
  <si>
    <t>Ihar</t>
  </si>
  <si>
    <t>Sri Wahyu Setia M, SE</t>
  </si>
  <si>
    <t>Helfiana</t>
  </si>
  <si>
    <t>Bambang Kiswanto</t>
  </si>
  <si>
    <t>Ariyan</t>
  </si>
  <si>
    <t>Indera</t>
  </si>
  <si>
    <t>Saihasbah</t>
  </si>
  <si>
    <t>Murjani</t>
  </si>
  <si>
    <t>Alek</t>
  </si>
  <si>
    <t>Saidun</t>
  </si>
  <si>
    <t>001777</t>
  </si>
  <si>
    <t>001996</t>
  </si>
  <si>
    <t>002213</t>
  </si>
  <si>
    <t>002341</t>
  </si>
  <si>
    <t>002451</t>
  </si>
  <si>
    <t>002459</t>
  </si>
  <si>
    <t>002556</t>
  </si>
  <si>
    <t>002623</t>
  </si>
  <si>
    <t>002678</t>
  </si>
  <si>
    <t>002679</t>
  </si>
  <si>
    <t>002868</t>
  </si>
  <si>
    <t>002934</t>
  </si>
  <si>
    <t>002996</t>
  </si>
  <si>
    <t>Wiwik Ati</t>
  </si>
  <si>
    <t>Murdani, HS</t>
  </si>
  <si>
    <t>Rusliadi Djau</t>
  </si>
  <si>
    <t>Rahmadia</t>
  </si>
  <si>
    <t>BPTDN/05/I/2018</t>
  </si>
  <si>
    <t>Kuala Pembuang, 06 Januari  2018</t>
  </si>
  <si>
    <t>Ananda Stela Natasha E</t>
  </si>
  <si>
    <t>Sri Mawarni</t>
  </si>
  <si>
    <t>000306</t>
  </si>
  <si>
    <t>000564</t>
  </si>
  <si>
    <t>000970</t>
  </si>
  <si>
    <t>000973</t>
  </si>
  <si>
    <t>001075</t>
  </si>
  <si>
    <t>tatang Endriasmoro</t>
  </si>
  <si>
    <t>Anang Kustar</t>
  </si>
  <si>
    <t>Anwar Sanusi</t>
  </si>
  <si>
    <t>Deni Gunawan, Amd</t>
  </si>
  <si>
    <t>Iwan</t>
  </si>
  <si>
    <t>Zainal Abidin</t>
  </si>
  <si>
    <t>001303</t>
  </si>
  <si>
    <t>001501</t>
  </si>
  <si>
    <t>001836</t>
  </si>
  <si>
    <t>002148</t>
  </si>
  <si>
    <t>002178</t>
  </si>
  <si>
    <t>002225</t>
  </si>
  <si>
    <t>002294</t>
  </si>
  <si>
    <t>002442</t>
  </si>
  <si>
    <t>002443</t>
  </si>
  <si>
    <t>M. Yadi</t>
  </si>
  <si>
    <t>Hatmah</t>
  </si>
  <si>
    <t>Risnawati</t>
  </si>
  <si>
    <t>Ir. ILLIAS A</t>
  </si>
  <si>
    <t>Ir. Ilias B</t>
  </si>
  <si>
    <t>Ir. Ilias C</t>
  </si>
  <si>
    <t>Ir. Ilias D</t>
  </si>
  <si>
    <t>002444</t>
  </si>
  <si>
    <t>002524</t>
  </si>
  <si>
    <t>002531</t>
  </si>
  <si>
    <t>002720</t>
  </si>
  <si>
    <t>002895</t>
  </si>
  <si>
    <t>Saniati</t>
  </si>
  <si>
    <t>Ramli</t>
  </si>
  <si>
    <t>Isnawati</t>
  </si>
  <si>
    <t>Latri</t>
  </si>
  <si>
    <t>BPTDN/06/I/2018</t>
  </si>
  <si>
    <t>Kuala Pembuang, 08 Januari  2018</t>
  </si>
  <si>
    <t>Rosari Rosmanto</t>
  </si>
  <si>
    <t>Abd Siman</t>
  </si>
  <si>
    <t>Kejari II</t>
  </si>
  <si>
    <t>Estiwiyanti</t>
  </si>
  <si>
    <t>Sijanianto</t>
  </si>
  <si>
    <t>000084</t>
  </si>
  <si>
    <t>000280</t>
  </si>
  <si>
    <t>000479</t>
  </si>
  <si>
    <t>000581</t>
  </si>
  <si>
    <t>000587</t>
  </si>
  <si>
    <t>000592</t>
  </si>
  <si>
    <t>000649</t>
  </si>
  <si>
    <t>000681</t>
  </si>
  <si>
    <t>000706</t>
  </si>
  <si>
    <t>000708</t>
  </si>
  <si>
    <t>000891</t>
  </si>
  <si>
    <t>001152</t>
  </si>
  <si>
    <t>Masnawati</t>
  </si>
  <si>
    <t>Nemi Hewu</t>
  </si>
  <si>
    <t>Masrusi</t>
  </si>
  <si>
    <t>Pdt. Besel Jarias, S. Th, M. Si A</t>
  </si>
  <si>
    <t>Kejari VII</t>
  </si>
  <si>
    <t>Ktr. PERINDAGKOP</t>
  </si>
  <si>
    <t>Muhammad Riza, S. Sos</t>
  </si>
  <si>
    <t>H. Abdul Lalo H. R</t>
  </si>
  <si>
    <t>Rusmayati</t>
  </si>
  <si>
    <t>Nordin, SE</t>
  </si>
  <si>
    <t>Sugiyanto</t>
  </si>
  <si>
    <t>Tahmid</t>
  </si>
  <si>
    <t>Zauhari Rakhman</t>
  </si>
  <si>
    <t>Kaspul</t>
  </si>
  <si>
    <t>Andianto HA</t>
  </si>
  <si>
    <t>Samsyiah</t>
  </si>
  <si>
    <t>001157</t>
  </si>
  <si>
    <t>001159</t>
  </si>
  <si>
    <t>001283</t>
  </si>
  <si>
    <t>001286</t>
  </si>
  <si>
    <t>001293</t>
  </si>
  <si>
    <t>001325</t>
  </si>
  <si>
    <t>001416</t>
  </si>
  <si>
    <t>001515</t>
  </si>
  <si>
    <t>001537</t>
  </si>
  <si>
    <t>001694</t>
  </si>
  <si>
    <t>001885</t>
  </si>
  <si>
    <t>001887</t>
  </si>
  <si>
    <t>001888</t>
  </si>
  <si>
    <t>001990</t>
  </si>
  <si>
    <t>002042</t>
  </si>
  <si>
    <t>002065</t>
  </si>
  <si>
    <t>Ahmad Husairi</t>
  </si>
  <si>
    <t>Jadmiko</t>
  </si>
  <si>
    <t>Abdul Muin</t>
  </si>
  <si>
    <t>M. Sasdiannur</t>
  </si>
  <si>
    <t>Diah Kristenningrum</t>
  </si>
  <si>
    <t>Ahmad Supian</t>
  </si>
  <si>
    <t>Muhammad Imron Shalih</t>
  </si>
  <si>
    <t>Hariadi Bin H. Gapuri</t>
  </si>
  <si>
    <t>Suherman</t>
  </si>
  <si>
    <t>Diah Kristieningrum A</t>
  </si>
  <si>
    <t>Diah Kristieningrum B</t>
  </si>
  <si>
    <t>Tiur sirait</t>
  </si>
  <si>
    <t>Kurbana</t>
  </si>
  <si>
    <t>Dahlianti</t>
  </si>
  <si>
    <t>Maysarah</t>
  </si>
  <si>
    <t>002124</t>
  </si>
  <si>
    <t>002131</t>
  </si>
  <si>
    <t>002161</t>
  </si>
  <si>
    <t>002166</t>
  </si>
  <si>
    <t>002167</t>
  </si>
  <si>
    <t>002229</t>
  </si>
  <si>
    <t>002391</t>
  </si>
  <si>
    <t>002403</t>
  </si>
  <si>
    <t>002490</t>
  </si>
  <si>
    <t>002329</t>
  </si>
  <si>
    <t>002696</t>
  </si>
  <si>
    <t>002962</t>
  </si>
  <si>
    <t>Iskandar</t>
  </si>
  <si>
    <t>Muhammad Z</t>
  </si>
  <si>
    <t>Lawiyah Candra Ida Nor L</t>
  </si>
  <si>
    <t>Anang Alus</t>
  </si>
  <si>
    <t>BPTDN/07/I/2018</t>
  </si>
  <si>
    <t>Kuala Pembuang, 09 Januari  2018</t>
  </si>
  <si>
    <t>H. Matlim</t>
  </si>
  <si>
    <t>Syaipul Anwar</t>
  </si>
  <si>
    <t>Ardiansyah</t>
  </si>
  <si>
    <t>H. Arman</t>
  </si>
  <si>
    <t>Anang Karani</t>
  </si>
  <si>
    <t>Noor Cahaya</t>
  </si>
  <si>
    <t>000037</t>
  </si>
  <si>
    <t>000092</t>
  </si>
  <si>
    <t>000125</t>
  </si>
  <si>
    <t>000173</t>
  </si>
  <si>
    <t>000204</t>
  </si>
  <si>
    <t>000355</t>
  </si>
  <si>
    <t>000403</t>
  </si>
  <si>
    <t>000407</t>
  </si>
  <si>
    <t>000628</t>
  </si>
  <si>
    <t>000727</t>
  </si>
  <si>
    <t>000764</t>
  </si>
  <si>
    <t>000858</t>
  </si>
  <si>
    <t>000881</t>
  </si>
  <si>
    <t>Ibrahim Aji</t>
  </si>
  <si>
    <t>Atui</t>
  </si>
  <si>
    <t>Sri Mastutik</t>
  </si>
  <si>
    <t>Nilus Ahmad Fattah</t>
  </si>
  <si>
    <t>Sukarno</t>
  </si>
  <si>
    <t>Taufik Rahman, ST</t>
  </si>
  <si>
    <t>M. Jonet</t>
  </si>
  <si>
    <t>Sri Wati</t>
  </si>
  <si>
    <t>000774</t>
  </si>
  <si>
    <t>Budi Ihsan</t>
  </si>
  <si>
    <t>Rumdis Kabag I</t>
  </si>
  <si>
    <t>Sugian</t>
  </si>
  <si>
    <t>Septedi Ananta C</t>
  </si>
  <si>
    <t>HM. Aini Z</t>
  </si>
  <si>
    <t>Abidinsyah</t>
  </si>
  <si>
    <t>Jumiatun</t>
  </si>
  <si>
    <t>Isliyanti, A. Md Kep</t>
  </si>
  <si>
    <t>Sholikatun Nihayah</t>
  </si>
  <si>
    <t>000920</t>
  </si>
  <si>
    <t>001003</t>
  </si>
  <si>
    <t>001065</t>
  </si>
  <si>
    <t>001132</t>
  </si>
  <si>
    <t>001197</t>
  </si>
  <si>
    <t>001262</t>
  </si>
  <si>
    <t>001274</t>
  </si>
  <si>
    <t>001355</t>
  </si>
  <si>
    <t>001368</t>
  </si>
  <si>
    <t>001475</t>
  </si>
  <si>
    <t>Sitah</t>
  </si>
  <si>
    <t>Taniah</t>
  </si>
  <si>
    <t>Sri Dewi Nuryati</t>
  </si>
  <si>
    <t>Amirudin</t>
  </si>
  <si>
    <t>Al Kasah</t>
  </si>
  <si>
    <t>Maslina</t>
  </si>
  <si>
    <t>Ardi</t>
  </si>
  <si>
    <t>Khotipah</t>
  </si>
  <si>
    <t>Mira Sukamawti</t>
  </si>
  <si>
    <t>Norliana</t>
  </si>
  <si>
    <t>001505</t>
  </si>
  <si>
    <t>001514</t>
  </si>
  <si>
    <t>001560</t>
  </si>
  <si>
    <t>001592</t>
  </si>
  <si>
    <t>001637</t>
  </si>
  <si>
    <t>001676</t>
  </si>
  <si>
    <t>001743</t>
  </si>
  <si>
    <t>001754</t>
  </si>
  <si>
    <t>001726</t>
  </si>
  <si>
    <t>001995</t>
  </si>
  <si>
    <t>001812</t>
  </si>
  <si>
    <t>001999</t>
  </si>
  <si>
    <t>002108</t>
  </si>
  <si>
    <t>002120</t>
  </si>
  <si>
    <t>002153</t>
  </si>
  <si>
    <t>002191</t>
  </si>
  <si>
    <t>002224</t>
  </si>
  <si>
    <t>002393</t>
  </si>
  <si>
    <t>Nurmuhamad</t>
  </si>
  <si>
    <t>Muhammad Effendi</t>
  </si>
  <si>
    <t>Endang</t>
  </si>
  <si>
    <t>Nurhasanah</t>
  </si>
  <si>
    <t>Epi</t>
  </si>
  <si>
    <t>Nurhayati</t>
  </si>
  <si>
    <t>Iskandar AH Wior</t>
  </si>
  <si>
    <t>Ida Farida</t>
  </si>
  <si>
    <t>Usmanipol</t>
  </si>
  <si>
    <t>M. Nur Akmal Hidayat</t>
  </si>
  <si>
    <t>Sri Susilawati</t>
  </si>
  <si>
    <t>Suwarji</t>
  </si>
  <si>
    <t>Erni</t>
  </si>
  <si>
    <t>Muminah</t>
  </si>
  <si>
    <t>Riki Wira Saputra</t>
  </si>
  <si>
    <t>Eko Purwanto</t>
  </si>
  <si>
    <t>002415</t>
  </si>
  <si>
    <t>002536</t>
  </si>
  <si>
    <t>002550</t>
  </si>
  <si>
    <t>002562</t>
  </si>
  <si>
    <t>002578</t>
  </si>
  <si>
    <t>002655</t>
  </si>
  <si>
    <t>002975</t>
  </si>
  <si>
    <t>BPTDN/08/I/2018</t>
  </si>
  <si>
    <t>Kuala Pembuang, 10 Januari  2018</t>
  </si>
  <si>
    <t>Wartono</t>
  </si>
  <si>
    <t>Poniman</t>
  </si>
  <si>
    <t>H. Asnad HC</t>
  </si>
  <si>
    <t>Murie</t>
  </si>
  <si>
    <t>H. Mulyadi H</t>
  </si>
  <si>
    <t>Ahmad Bin Padli</t>
  </si>
  <si>
    <t>Zainal Aripin</t>
  </si>
  <si>
    <t>Hj. Sumarni Badius</t>
  </si>
  <si>
    <t>000060</t>
  </si>
  <si>
    <t>000061</t>
  </si>
  <si>
    <t>000076</t>
  </si>
  <si>
    <t>000090</t>
  </si>
  <si>
    <t>000108</t>
  </si>
  <si>
    <t>000174</t>
  </si>
  <si>
    <t>000177</t>
  </si>
  <si>
    <t>000198</t>
  </si>
  <si>
    <t>000231</t>
  </si>
  <si>
    <t>000356</t>
  </si>
  <si>
    <t>000359</t>
  </si>
  <si>
    <t>000391</t>
  </si>
  <si>
    <t>000490</t>
  </si>
  <si>
    <t>000495</t>
  </si>
  <si>
    <t>000560</t>
  </si>
  <si>
    <t>H. Darlen A</t>
  </si>
  <si>
    <t>Mira Yani</t>
  </si>
  <si>
    <t>Siti Nursida</t>
  </si>
  <si>
    <t>Rusmini / Iyan</t>
  </si>
  <si>
    <t>H. Darlen B</t>
  </si>
  <si>
    <t>A. Sudarji</t>
  </si>
  <si>
    <t>Adehan, SE</t>
  </si>
  <si>
    <t>Rusdi Hidayat, S. Sos</t>
  </si>
  <si>
    <t>H. Abd. Majid A</t>
  </si>
  <si>
    <t>Kantor Kec. Seruyan Hilir</t>
  </si>
  <si>
    <t>Utomo F</t>
  </si>
  <si>
    <t>Norliyantie</t>
  </si>
  <si>
    <t>Eka Yulianti A</t>
  </si>
  <si>
    <t>Rijali Hadi, S. Pd</t>
  </si>
  <si>
    <t>Noriyah</t>
  </si>
  <si>
    <t>M. Adim</t>
  </si>
  <si>
    <t>000736</t>
  </si>
  <si>
    <t>000831</t>
  </si>
  <si>
    <t>000848</t>
  </si>
  <si>
    <t>000885</t>
  </si>
  <si>
    <t>001094</t>
  </si>
  <si>
    <t>001173</t>
  </si>
  <si>
    <t>001258</t>
  </si>
  <si>
    <t>001271</t>
  </si>
  <si>
    <t>001458</t>
  </si>
  <si>
    <t>001466</t>
  </si>
  <si>
    <t>001526</t>
  </si>
  <si>
    <t>001527</t>
  </si>
  <si>
    <t>001805</t>
  </si>
  <si>
    <t>001825</t>
  </si>
  <si>
    <t>001826</t>
  </si>
  <si>
    <t>001838</t>
  </si>
  <si>
    <t>001881</t>
  </si>
  <si>
    <t>002169</t>
  </si>
  <si>
    <t>002170</t>
  </si>
  <si>
    <t>002180</t>
  </si>
  <si>
    <t>002183</t>
  </si>
  <si>
    <t>Almat Fitri Hartoni</t>
  </si>
  <si>
    <t>Dody Refany</t>
  </si>
  <si>
    <t>Rudi</t>
  </si>
  <si>
    <t>Sri Widiyawati</t>
  </si>
  <si>
    <t>Suratman</t>
  </si>
  <si>
    <t>Misnah</t>
  </si>
  <si>
    <t>Yadi</t>
  </si>
  <si>
    <t>Mujianto</t>
  </si>
  <si>
    <t>H. Ramli</t>
  </si>
  <si>
    <t>Sofia Indriyati</t>
  </si>
  <si>
    <t>Ratna</t>
  </si>
  <si>
    <t>Suwanto</t>
  </si>
  <si>
    <t>Indra Setia Budi</t>
  </si>
  <si>
    <t>Ayi Destriyani</t>
  </si>
  <si>
    <t>Hanafi</t>
  </si>
  <si>
    <t>EFENDI KARAMU</t>
  </si>
  <si>
    <t>Sunarlan</t>
  </si>
  <si>
    <t>002200</t>
  </si>
  <si>
    <t>002227</t>
  </si>
  <si>
    <t>002272</t>
  </si>
  <si>
    <t>002290</t>
  </si>
  <si>
    <t>002295</t>
  </si>
  <si>
    <t>002935</t>
  </si>
  <si>
    <t>003013</t>
  </si>
  <si>
    <t>BPTDN/09/I/2018</t>
  </si>
  <si>
    <t>Kuala Pembuang, 11 Januari  2018</t>
  </si>
  <si>
    <t>Norlia</t>
  </si>
  <si>
    <t>Iskandar Julkarnain</t>
  </si>
  <si>
    <t>Rose Anugerahni</t>
  </si>
  <si>
    <t>000520</t>
  </si>
  <si>
    <t>000609</t>
  </si>
  <si>
    <t>000729</t>
  </si>
  <si>
    <t>000779</t>
  </si>
  <si>
    <t>001004</t>
  </si>
  <si>
    <t>001123</t>
  </si>
  <si>
    <t>001239</t>
  </si>
  <si>
    <t>001556</t>
  </si>
  <si>
    <t>001582</t>
  </si>
  <si>
    <t>Dian Andini</t>
  </si>
  <si>
    <t>Rumdis Kabag II</t>
  </si>
  <si>
    <t>Salim</t>
  </si>
  <si>
    <t>Drs. Pincianto</t>
  </si>
  <si>
    <t>Samiatun</t>
  </si>
  <si>
    <t>Hartani</t>
  </si>
  <si>
    <t>Endar suminah</t>
  </si>
  <si>
    <t>Janius Gafur</t>
  </si>
  <si>
    <t>Mahdalena</t>
  </si>
  <si>
    <t>Lisnawati</t>
  </si>
  <si>
    <t>Kasrani</t>
  </si>
  <si>
    <t>001585</t>
  </si>
  <si>
    <t>001647</t>
  </si>
  <si>
    <t>001652</t>
  </si>
  <si>
    <t>002013</t>
  </si>
  <si>
    <t>002364</t>
  </si>
  <si>
    <t>002596</t>
  </si>
  <si>
    <t>002635</t>
  </si>
  <si>
    <t>002909</t>
  </si>
  <si>
    <t>002910</t>
  </si>
  <si>
    <t>002998</t>
  </si>
  <si>
    <t>Rahman</t>
  </si>
  <si>
    <t>Misnawati</t>
  </si>
  <si>
    <t>Badriansyah</t>
  </si>
  <si>
    <t>Abdul Slamet</t>
  </si>
  <si>
    <t>Gatot Dedi Setiawan</t>
  </si>
  <si>
    <t>BPTDN/10I/2018</t>
  </si>
  <si>
    <t>Kuala Pembuang, 12 Januari  2018</t>
  </si>
  <si>
    <t>H. Asnat Hijazi</t>
  </si>
  <si>
    <t>Maryanah</t>
  </si>
  <si>
    <t>Abd Rahman</t>
  </si>
  <si>
    <t>Ruspandi</t>
  </si>
  <si>
    <t>Arfah/Udin</t>
  </si>
  <si>
    <t>Nastomo</t>
  </si>
  <si>
    <t>000151</t>
  </si>
  <si>
    <t>000199</t>
  </si>
  <si>
    <t>000235</t>
  </si>
  <si>
    <t>000291</t>
  </si>
  <si>
    <t>000340</t>
  </si>
  <si>
    <t>000836</t>
  </si>
  <si>
    <t>001129</t>
  </si>
  <si>
    <t>001179</t>
  </si>
  <si>
    <t>001426</t>
  </si>
  <si>
    <t>001775</t>
  </si>
  <si>
    <t>001850</t>
  </si>
  <si>
    <t>001856</t>
  </si>
  <si>
    <t>002138</t>
  </si>
  <si>
    <t>002172</t>
  </si>
  <si>
    <t>002264</t>
  </si>
  <si>
    <t>002319</t>
  </si>
  <si>
    <t>Said Nor Loso</t>
  </si>
  <si>
    <t>Siti Mutmainah A</t>
  </si>
  <si>
    <t>Herli</t>
  </si>
  <si>
    <t>Mislawati</t>
  </si>
  <si>
    <t>Suliansyah</t>
  </si>
  <si>
    <t>Maharsi</t>
  </si>
  <si>
    <t>Karmilawati</t>
  </si>
  <si>
    <t>Sylviana Cong, SE</t>
  </si>
  <si>
    <t>Liyah</t>
  </si>
  <si>
    <t>Erik Wahyuda</t>
  </si>
  <si>
    <t>Arliani IV</t>
  </si>
  <si>
    <t>002239</t>
  </si>
  <si>
    <t>Mahlan</t>
  </si>
  <si>
    <t>002898</t>
  </si>
  <si>
    <t>BPTDN/11/I/2018</t>
  </si>
  <si>
    <t>Kuala Pembuang, 13 Januari  2018</t>
  </si>
  <si>
    <t>Wahyu Prasetyo</t>
  </si>
  <si>
    <t>Sadeli</t>
  </si>
  <si>
    <t>Solpia Sabri</t>
  </si>
  <si>
    <t>Asbidin</t>
  </si>
  <si>
    <t>Asmuni</t>
  </si>
  <si>
    <t>000393</t>
  </si>
  <si>
    <t>000463</t>
  </si>
  <si>
    <t>000518</t>
  </si>
  <si>
    <t>000541</t>
  </si>
  <si>
    <t>000606</t>
  </si>
  <si>
    <t>001016</t>
  </si>
  <si>
    <t>001142</t>
  </si>
  <si>
    <t>001162</t>
  </si>
  <si>
    <t>001312</t>
  </si>
  <si>
    <t>001359</t>
  </si>
  <si>
    <t>001417</t>
  </si>
  <si>
    <t>001788</t>
  </si>
  <si>
    <t>Mursin</t>
  </si>
  <si>
    <t>Dian Priatno</t>
  </si>
  <si>
    <t>Agus Suroso</t>
  </si>
  <si>
    <t>Janajang Ardi Nugroho</t>
  </si>
  <si>
    <t>Hadi Santoso</t>
  </si>
  <si>
    <t>Hadi Santoso B</t>
  </si>
  <si>
    <t>H. Abdul Salam</t>
  </si>
  <si>
    <t>Anang Fahrurozi</t>
  </si>
  <si>
    <t>Hadi Santoso C</t>
  </si>
  <si>
    <t>Enoy</t>
  </si>
  <si>
    <t>Linda</t>
  </si>
  <si>
    <t>Arsiah/Ais</t>
  </si>
  <si>
    <t>Misnawati A</t>
  </si>
  <si>
    <t>Rudiyanto</t>
  </si>
  <si>
    <t>Ruri Aliakbar</t>
  </si>
  <si>
    <t>M. Elly Adinata</t>
  </si>
  <si>
    <t>Eni Wodarsih</t>
  </si>
  <si>
    <t>001806</t>
  </si>
  <si>
    <t>001951</t>
  </si>
  <si>
    <t>002019</t>
  </si>
  <si>
    <t>002121</t>
  </si>
  <si>
    <t>002129</t>
  </si>
  <si>
    <t>002347</t>
  </si>
  <si>
    <t>002454</t>
  </si>
  <si>
    <t>002510</t>
  </si>
  <si>
    <t>002617</t>
  </si>
  <si>
    <t>002642</t>
  </si>
  <si>
    <t>00274</t>
  </si>
  <si>
    <t>002809</t>
  </si>
  <si>
    <t>002899</t>
  </si>
  <si>
    <t>Sumarni</t>
  </si>
  <si>
    <t>BPTDN/12/I/2018</t>
  </si>
  <si>
    <t>Kuala Pembuang, 15 Januari  2018</t>
  </si>
  <si>
    <t>Ferri</t>
  </si>
  <si>
    <t>Arifin Sobirin</t>
  </si>
  <si>
    <t>Abdul Hakim</t>
  </si>
  <si>
    <t>Rukamto</t>
  </si>
  <si>
    <t>000137</t>
  </si>
  <si>
    <t>000364</t>
  </si>
  <si>
    <t>000420</t>
  </si>
  <si>
    <t>000431</t>
  </si>
  <si>
    <t>000604</t>
  </si>
  <si>
    <t>000803</t>
  </si>
  <si>
    <t>000819</t>
  </si>
  <si>
    <t>000865</t>
  </si>
  <si>
    <t>000909</t>
  </si>
  <si>
    <t>000929</t>
  </si>
  <si>
    <t>001005</t>
  </si>
  <si>
    <t>001063</t>
  </si>
  <si>
    <t>001213</t>
  </si>
  <si>
    <t>001244</t>
  </si>
  <si>
    <t>Asad Sundari</t>
  </si>
  <si>
    <t>Hj. Nurlaila B</t>
  </si>
  <si>
    <t>Sarono</t>
  </si>
  <si>
    <t>ladi B</t>
  </si>
  <si>
    <t>Kantor Kades Persil Raya</t>
  </si>
  <si>
    <t>Mustain Ariyanto</t>
  </si>
  <si>
    <t>Wiktor, SE, MM</t>
  </si>
  <si>
    <t>Abdul Rahim</t>
  </si>
  <si>
    <t>Minarni</t>
  </si>
  <si>
    <t>Dra. Masitah D</t>
  </si>
  <si>
    <t>H. Anang Rusli</t>
  </si>
  <si>
    <t>Anang Sahrani</t>
  </si>
  <si>
    <t>Hadriansyah</t>
  </si>
  <si>
    <t>Anang Harjo</t>
  </si>
  <si>
    <t>Rudi Hartono</t>
  </si>
  <si>
    <t>Rukamto B</t>
  </si>
  <si>
    <t>Siti Murni</t>
  </si>
  <si>
    <t>Alpisah</t>
  </si>
  <si>
    <t xml:space="preserve">Hj. Nurlaila </t>
  </si>
  <si>
    <t>001289</t>
  </si>
  <si>
    <t>001378</t>
  </si>
  <si>
    <t>001496</t>
  </si>
  <si>
    <t>001571</t>
  </si>
  <si>
    <t>Ardiansyah B</t>
  </si>
  <si>
    <t>001573</t>
  </si>
  <si>
    <t>001611</t>
  </si>
  <si>
    <t>001638</t>
  </si>
  <si>
    <t>001719</t>
  </si>
  <si>
    <t>001769</t>
  </si>
  <si>
    <t>001773</t>
  </si>
  <si>
    <t>M. Yusuf</t>
  </si>
  <si>
    <t>Wahyudi</t>
  </si>
  <si>
    <t>Udin I</t>
  </si>
  <si>
    <t>M. Rafi'i</t>
  </si>
  <si>
    <t>Andrianto Puji Suro</t>
  </si>
  <si>
    <t>Neston Adilo Lombongadil</t>
  </si>
  <si>
    <t>Adam Malik</t>
  </si>
  <si>
    <t>Ktr. Kades Sei Undang</t>
  </si>
  <si>
    <t>Wakhidin Syafik</t>
  </si>
  <si>
    <t>001817</t>
  </si>
  <si>
    <t>001879</t>
  </si>
  <si>
    <t>001880</t>
  </si>
  <si>
    <t>001895</t>
  </si>
  <si>
    <t>002016</t>
  </si>
  <si>
    <t>002049</t>
  </si>
  <si>
    <t>002072</t>
  </si>
  <si>
    <t>002126</t>
  </si>
  <si>
    <t>002275</t>
  </si>
  <si>
    <t>002401</t>
  </si>
  <si>
    <t>002456</t>
  </si>
  <si>
    <t>002633</t>
  </si>
  <si>
    <t>002714</t>
  </si>
  <si>
    <t>002728</t>
  </si>
  <si>
    <t>002901</t>
  </si>
  <si>
    <t>Rahimah</t>
  </si>
  <si>
    <t>Misnari</t>
  </si>
  <si>
    <t>Abdul Muthalib</t>
  </si>
  <si>
    <t>Narti</t>
  </si>
  <si>
    <t>Hairul</t>
  </si>
  <si>
    <t>Sahminin</t>
  </si>
  <si>
    <t>BPTDN/13/I/2018</t>
  </si>
  <si>
    <t>Kuala Pembuang, 16 Januari  2018</t>
  </si>
  <si>
    <t>Hj. Siti Rahmah, ST</t>
  </si>
  <si>
    <t>Suharmin</t>
  </si>
  <si>
    <t>Birum Mawatda</t>
  </si>
  <si>
    <t>A. Majid</t>
  </si>
  <si>
    <t>000067</t>
  </si>
  <si>
    <t>000293</t>
  </si>
  <si>
    <t>000309</t>
  </si>
  <si>
    <t>000362</t>
  </si>
  <si>
    <t>000374</t>
  </si>
  <si>
    <t>000410</t>
  </si>
  <si>
    <t>000852</t>
  </si>
  <si>
    <t>000883</t>
  </si>
  <si>
    <t>000980</t>
  </si>
  <si>
    <t>Arsinah KH</t>
  </si>
  <si>
    <t>Hari Mulyadi</t>
  </si>
  <si>
    <t>H. Abd Majid B</t>
  </si>
  <si>
    <t>Milawati</t>
  </si>
  <si>
    <t>Abdi Wahyudi</t>
  </si>
  <si>
    <t>M. Arifin</t>
  </si>
  <si>
    <t>Ujiansyah</t>
  </si>
  <si>
    <t>M. Sarimudin</t>
  </si>
  <si>
    <t>Ahmad Bahtiar</t>
  </si>
  <si>
    <t>H. Athar</t>
  </si>
  <si>
    <t>Nurul Hidayah</t>
  </si>
  <si>
    <t>001406</t>
  </si>
  <si>
    <t>001575</t>
  </si>
  <si>
    <t>001602</t>
  </si>
  <si>
    <t>001620</t>
  </si>
  <si>
    <t>001696</t>
  </si>
  <si>
    <t>001721</t>
  </si>
  <si>
    <t>001740</t>
  </si>
  <si>
    <t>001761</t>
  </si>
  <si>
    <t>001763</t>
  </si>
  <si>
    <t>001771</t>
  </si>
  <si>
    <t>002197</t>
  </si>
  <si>
    <t>002250</t>
  </si>
  <si>
    <t>002699</t>
  </si>
  <si>
    <t>Jainal</t>
  </si>
  <si>
    <t>Muhamad Syahrudin</t>
  </si>
  <si>
    <t>Chafidon Noor</t>
  </si>
  <si>
    <t>Suryadi</t>
  </si>
  <si>
    <t>Misnali</t>
  </si>
  <si>
    <t>Sri Ayu Ningtyas</t>
  </si>
  <si>
    <t>M. Taufik</t>
  </si>
  <si>
    <t>Helis Mariani</t>
  </si>
  <si>
    <t>Muslimah</t>
  </si>
  <si>
    <t>Nurdin</t>
  </si>
  <si>
    <t>002762</t>
  </si>
  <si>
    <t>002896</t>
  </si>
  <si>
    <t>002985</t>
  </si>
  <si>
    <t>BPTDN/14/I/2018</t>
  </si>
  <si>
    <t>Kuala Pembuang, 17 Januari  2018</t>
  </si>
  <si>
    <t>Bambang Jaya</t>
  </si>
  <si>
    <t>Hj. Masnun</t>
  </si>
  <si>
    <t>TK Tunas Mekar</t>
  </si>
  <si>
    <t>Nuas Rupuk</t>
  </si>
  <si>
    <t>000064</t>
  </si>
  <si>
    <t>000379</t>
  </si>
  <si>
    <t>000462</t>
  </si>
  <si>
    <t>000524</t>
  </si>
  <si>
    <t>000864</t>
  </si>
  <si>
    <t>001090</t>
  </si>
  <si>
    <t>001218</t>
  </si>
  <si>
    <t>001280</t>
  </si>
  <si>
    <t>001290</t>
  </si>
  <si>
    <t>001315</t>
  </si>
  <si>
    <t>Rudiansyah</t>
  </si>
  <si>
    <t>Utomo B</t>
  </si>
  <si>
    <t>Liliyana Dewiyati</t>
  </si>
  <si>
    <t>Novi Norsanti</t>
  </si>
  <si>
    <t>Darleansyah</t>
  </si>
  <si>
    <t>Ariyanto/Ferry</t>
  </si>
  <si>
    <t>Ahmad Suryani</t>
  </si>
  <si>
    <t>Jani</t>
  </si>
  <si>
    <t>001702</t>
  </si>
  <si>
    <t>001718</t>
  </si>
  <si>
    <t>001834</t>
  </si>
  <si>
    <t>002101</t>
  </si>
  <si>
    <t>002182</t>
  </si>
  <si>
    <t>002632</t>
  </si>
  <si>
    <t>002644</t>
  </si>
  <si>
    <t>002828</t>
  </si>
  <si>
    <t>Yayuk Megawati</t>
  </si>
  <si>
    <t>Isma Wartina B</t>
  </si>
  <si>
    <t>Muhamad Jamalludin</t>
  </si>
  <si>
    <t>Denny Ojoy Kumaunang</t>
  </si>
  <si>
    <t>Ernawati</t>
  </si>
  <si>
    <t>Muhammad Ilmi</t>
  </si>
  <si>
    <t>002983</t>
  </si>
  <si>
    <t>BPTDN/15/I/2018</t>
  </si>
  <si>
    <t>Kuala Pembuang, 18 Januari  2018</t>
  </si>
  <si>
    <t>Sugianur Ruska</t>
  </si>
  <si>
    <t>Langgar Az. Zaitun</t>
  </si>
  <si>
    <t>Titok Kurdias</t>
  </si>
  <si>
    <t>Doni Taufan</t>
  </si>
  <si>
    <t>Maria O</t>
  </si>
  <si>
    <t>Burhanudin</t>
  </si>
  <si>
    <t>000081</t>
  </si>
  <si>
    <t>000416</t>
  </si>
  <si>
    <t>000786</t>
  </si>
  <si>
    <t>000801</t>
  </si>
  <si>
    <t>000813</t>
  </si>
  <si>
    <t>000822</t>
  </si>
  <si>
    <t>001357</t>
  </si>
  <si>
    <t>001452</t>
  </si>
  <si>
    <t>001572</t>
  </si>
  <si>
    <t>001619</t>
  </si>
  <si>
    <t>001627</t>
  </si>
  <si>
    <t>001661</t>
  </si>
  <si>
    <t>001679</t>
  </si>
  <si>
    <t>001814</t>
  </si>
  <si>
    <t>001891</t>
  </si>
  <si>
    <t>001906</t>
  </si>
  <si>
    <t>001907</t>
  </si>
  <si>
    <t>001947</t>
  </si>
  <si>
    <t>Hadi Santoso A</t>
  </si>
  <si>
    <t>Abbas Sugianto B</t>
  </si>
  <si>
    <t>Siti Masniah</t>
  </si>
  <si>
    <t>Fitri</t>
  </si>
  <si>
    <t>Rahmat Zibua</t>
  </si>
  <si>
    <t>M. Arsyad</t>
  </si>
  <si>
    <t>Surianso</t>
  </si>
  <si>
    <t>Rusiana</t>
  </si>
  <si>
    <t>Lamsar</t>
  </si>
  <si>
    <t>Darpolan</t>
  </si>
  <si>
    <t>Pathurahman</t>
  </si>
  <si>
    <t>Norida</t>
  </si>
  <si>
    <t>Syahruni</t>
  </si>
  <si>
    <t>Siti Hanisah</t>
  </si>
  <si>
    <t>Ir. Ilias</t>
  </si>
  <si>
    <t>Karsinah</t>
  </si>
  <si>
    <t>Yanto</t>
  </si>
  <si>
    <t>002080</t>
  </si>
  <si>
    <t>002352</t>
  </si>
  <si>
    <t>002356</t>
  </si>
  <si>
    <t>002400</t>
  </si>
  <si>
    <t>002441</t>
  </si>
  <si>
    <t>002576</t>
  </si>
  <si>
    <t>002719</t>
  </si>
  <si>
    <t>002724</t>
  </si>
  <si>
    <t>Suhaimi, SP</t>
  </si>
  <si>
    <t>Samsudin</t>
  </si>
  <si>
    <t>Ahmad Mugni</t>
  </si>
  <si>
    <t>002313</t>
  </si>
  <si>
    <t>BPTDN/16/I/2018</t>
  </si>
  <si>
    <t>Kuala Pembuang, 19 Januari  2018</t>
  </si>
  <si>
    <t>Varia Hadi Sucipto</t>
  </si>
  <si>
    <t>Jumiati</t>
  </si>
  <si>
    <t>Nursamsiah</t>
  </si>
  <si>
    <t>000020</t>
  </si>
  <si>
    <t>000201</t>
  </si>
  <si>
    <t>000365</t>
  </si>
  <si>
    <t>000540</t>
  </si>
  <si>
    <t>000310</t>
  </si>
  <si>
    <t>000546</t>
  </si>
  <si>
    <t>000655</t>
  </si>
  <si>
    <t>000763</t>
  </si>
  <si>
    <t>000814</t>
  </si>
  <si>
    <t>Fraidianto. S. Tjoa A</t>
  </si>
  <si>
    <t>Thosin</t>
  </si>
  <si>
    <t>Tintin Marlina</t>
  </si>
  <si>
    <t>Djohansyah</t>
  </si>
  <si>
    <t>Muliansyah</t>
  </si>
  <si>
    <t>Sarmawan</t>
  </si>
  <si>
    <t>Jubaidah</t>
  </si>
  <si>
    <t>Manto</t>
  </si>
  <si>
    <t>Esti Astuti</t>
  </si>
  <si>
    <t>Harsosilo</t>
  </si>
  <si>
    <t>001256</t>
  </si>
  <si>
    <t>001270</t>
  </si>
  <si>
    <t>001273</t>
  </si>
  <si>
    <t>001483</t>
  </si>
  <si>
    <t>001576</t>
  </si>
  <si>
    <t>001798</t>
  </si>
  <si>
    <t>001819</t>
  </si>
  <si>
    <t>001854</t>
  </si>
  <si>
    <t>002093</t>
  </si>
  <si>
    <t>002135</t>
  </si>
  <si>
    <t>002146</t>
  </si>
  <si>
    <t>002464</t>
  </si>
  <si>
    <t>Nurul Salamah</t>
  </si>
  <si>
    <t>TK. Noor Raudah</t>
  </si>
  <si>
    <t>Ida Dwi Wulandari</t>
  </si>
  <si>
    <t>A. Atong / Arnian</t>
  </si>
  <si>
    <t>Asnad Zukhairi</t>
  </si>
  <si>
    <t>Suhar Ariyanto</t>
  </si>
  <si>
    <t>002470</t>
  </si>
  <si>
    <t>002917</t>
  </si>
  <si>
    <t>002944</t>
  </si>
  <si>
    <t>BPTDN/17/I/2018</t>
  </si>
  <si>
    <t>Kuala Pembuang, 20 Januari  2018</t>
  </si>
  <si>
    <t>Hairudi</t>
  </si>
  <si>
    <t>Darmani</t>
  </si>
  <si>
    <t>Abdul Rahman</t>
  </si>
  <si>
    <t>000180</t>
  </si>
  <si>
    <t>000427</t>
  </si>
  <si>
    <t>000944</t>
  </si>
  <si>
    <t>001297</t>
  </si>
  <si>
    <t>001606</t>
  </si>
  <si>
    <t>001701</t>
  </si>
  <si>
    <t>001733</t>
  </si>
  <si>
    <t>H. Anang Maskuni F</t>
  </si>
  <si>
    <t>Anwari</t>
  </si>
  <si>
    <t>Nuryanah</t>
  </si>
  <si>
    <t>Nanang AC</t>
  </si>
  <si>
    <t>Sumanto</t>
  </si>
  <si>
    <t>Benny Gusti Widodo</t>
  </si>
  <si>
    <t>Berrie</t>
  </si>
  <si>
    <t>Arif Kurniawan</t>
  </si>
  <si>
    <t>Saipul</t>
  </si>
  <si>
    <t>Alan Nuari</t>
  </si>
  <si>
    <t>Hamnah</t>
  </si>
  <si>
    <t>Rahmat, S. Pt</t>
  </si>
  <si>
    <t>0002056</t>
  </si>
  <si>
    <t>002437</t>
  </si>
  <si>
    <t>002586</t>
  </si>
  <si>
    <t>002735</t>
  </si>
  <si>
    <t>002851</t>
  </si>
  <si>
    <t>002855</t>
  </si>
  <si>
    <t>002856</t>
  </si>
  <si>
    <t>002873</t>
  </si>
  <si>
    <t>BPTDN/18/I/2018</t>
  </si>
  <si>
    <t>Kuala Pembuang, 22 Januari  2018</t>
  </si>
  <si>
    <t>H.A Rahman</t>
  </si>
  <si>
    <t>H. Junaidi</t>
  </si>
  <si>
    <t>Perak Kumara</t>
  </si>
  <si>
    <t>H. Tata</t>
  </si>
  <si>
    <t>Hendri Udi Nirwan</t>
  </si>
  <si>
    <t>Syukrani, SP</t>
  </si>
  <si>
    <t>000106</t>
  </si>
  <si>
    <t>000107</t>
  </si>
  <si>
    <t>000223</t>
  </si>
  <si>
    <t>000230</t>
  </si>
  <si>
    <t>000239</t>
  </si>
  <si>
    <t>000241</t>
  </si>
  <si>
    <t>000285</t>
  </si>
  <si>
    <t>000670</t>
  </si>
  <si>
    <t>000725</t>
  </si>
  <si>
    <t>001316</t>
  </si>
  <si>
    <t>001495</t>
  </si>
  <si>
    <t>001555</t>
  </si>
  <si>
    <t>001662</t>
  </si>
  <si>
    <t>001663</t>
  </si>
  <si>
    <t>Fraidianto S. Tjoa A</t>
  </si>
  <si>
    <t>Ktr Dinas Kesbang</t>
  </si>
  <si>
    <t>M. Gultom</t>
  </si>
  <si>
    <t>Heribardy, S. Hut</t>
  </si>
  <si>
    <t>M. Jafar</t>
  </si>
  <si>
    <t>M. Arsad</t>
  </si>
  <si>
    <t>Rusni</t>
  </si>
  <si>
    <t>Asradin</t>
  </si>
  <si>
    <t>Burhan D</t>
  </si>
  <si>
    <t>Zainul Abidn, ST</t>
  </si>
  <si>
    <t>Anisa</t>
  </si>
  <si>
    <t>Romi</t>
  </si>
  <si>
    <t>Asmita</t>
  </si>
  <si>
    <t>001782</t>
  </si>
  <si>
    <t>001873</t>
  </si>
  <si>
    <t>002230</t>
  </si>
  <si>
    <t>002300</t>
  </si>
  <si>
    <t>002481</t>
  </si>
  <si>
    <t>002615</t>
  </si>
  <si>
    <t>002658</t>
  </si>
  <si>
    <t>Sumiyati</t>
  </si>
  <si>
    <t>002939</t>
  </si>
  <si>
    <t>Herliana</t>
  </si>
  <si>
    <t>BPTDN/19/I/2018</t>
  </si>
  <si>
    <t>Kuala Pembuang, 23 Januari  2018</t>
  </si>
  <si>
    <t>Raudatul Adawiyah</t>
  </si>
  <si>
    <t>Yusmansyah</t>
  </si>
  <si>
    <t>SAT TAHTI POLRES Seruyan</t>
  </si>
  <si>
    <t>Kantor POLRES</t>
  </si>
  <si>
    <t>Narkam</t>
  </si>
  <si>
    <t>Junaidi</t>
  </si>
  <si>
    <t>Herwati</t>
  </si>
  <si>
    <t>Asep Ahmad Hidayat</t>
  </si>
  <si>
    <t>Imus</t>
  </si>
  <si>
    <t>Edi Anton</t>
  </si>
  <si>
    <t>Hasbi As Sidiq</t>
  </si>
  <si>
    <t>000129</t>
  </si>
  <si>
    <t>000319</t>
  </si>
  <si>
    <t>000392</t>
  </si>
  <si>
    <t>000577</t>
  </si>
  <si>
    <t>000860</t>
  </si>
  <si>
    <t>000871</t>
  </si>
  <si>
    <t>001261</t>
  </si>
  <si>
    <t>001841</t>
  </si>
  <si>
    <t>002032</t>
  </si>
  <si>
    <t>002105</t>
  </si>
  <si>
    <t>002884</t>
  </si>
  <si>
    <t>002967</t>
  </si>
  <si>
    <t>H. Rusliadi</t>
  </si>
  <si>
    <t>Sumiati/Asnawi</t>
  </si>
  <si>
    <t>Andreas Wahyudi</t>
  </si>
  <si>
    <t>M. Yamani, ST</t>
  </si>
  <si>
    <t>Zainudin A</t>
  </si>
  <si>
    <t>HM. Murjikinsyah H</t>
  </si>
  <si>
    <t>HM. Murjikinsyah I</t>
  </si>
  <si>
    <t>M. Halikinnoor</t>
  </si>
  <si>
    <t>Ismaniah</t>
  </si>
  <si>
    <t>Wawan Herianto</t>
  </si>
  <si>
    <t>M. Fahruraji, S. Pi</t>
  </si>
  <si>
    <t>Bambang Riswanto</t>
  </si>
  <si>
    <t>Salafudin</t>
  </si>
  <si>
    <t>000146</t>
  </si>
  <si>
    <t>000264</t>
  </si>
  <si>
    <t>000442</t>
  </si>
  <si>
    <t>000580</t>
  </si>
  <si>
    <t>000601</t>
  </si>
  <si>
    <t>000612</t>
  </si>
  <si>
    <t>000613</t>
  </si>
  <si>
    <t>000693</t>
  </si>
  <si>
    <t>000694</t>
  </si>
  <si>
    <t>000696</t>
  </si>
  <si>
    <t>000698</t>
  </si>
  <si>
    <t>000731</t>
  </si>
  <si>
    <t>000874</t>
  </si>
  <si>
    <t>000901</t>
  </si>
  <si>
    <t>000905</t>
  </si>
  <si>
    <t>000941</t>
  </si>
  <si>
    <t>001041</t>
  </si>
  <si>
    <t>001051</t>
  </si>
  <si>
    <t>001059</t>
  </si>
  <si>
    <t>001166</t>
  </si>
  <si>
    <t>001181</t>
  </si>
  <si>
    <t>001275</t>
  </si>
  <si>
    <t>001387</t>
  </si>
  <si>
    <t>001531</t>
  </si>
  <si>
    <t>001813</t>
  </si>
  <si>
    <t>001944</t>
  </si>
  <si>
    <t>001956</t>
  </si>
  <si>
    <t>002066</t>
  </si>
  <si>
    <t>002086</t>
  </si>
  <si>
    <t>002218</t>
  </si>
  <si>
    <t>002284</t>
  </si>
  <si>
    <t>002339</t>
  </si>
  <si>
    <t>002348</t>
  </si>
  <si>
    <t>002450</t>
  </si>
  <si>
    <t>002522</t>
  </si>
  <si>
    <t>002588</t>
  </si>
  <si>
    <t>002598</t>
  </si>
  <si>
    <t>002618</t>
  </si>
  <si>
    <t>002739</t>
  </si>
  <si>
    <t>002806</t>
  </si>
  <si>
    <t>Nonong</t>
  </si>
  <si>
    <t>Emeli Susana Triana A</t>
  </si>
  <si>
    <t>Kusmiran</t>
  </si>
  <si>
    <t>Anang Kadir A</t>
  </si>
  <si>
    <t>Supiansyah</t>
  </si>
  <si>
    <t>Ruslianto</t>
  </si>
  <si>
    <t>Apah</t>
  </si>
  <si>
    <t>Siti Mutmainah C</t>
  </si>
  <si>
    <t>Anang Kusumayadi</t>
  </si>
  <si>
    <t>Zainudin B</t>
  </si>
  <si>
    <t>Anisyah</t>
  </si>
  <si>
    <t>Budiman</t>
  </si>
  <si>
    <t>Suhardi</t>
  </si>
  <si>
    <t>Sulistyorini</t>
  </si>
  <si>
    <t>Syamsudinnoor</t>
  </si>
  <si>
    <t>Pri Ramli</t>
  </si>
  <si>
    <t>Galuh</t>
  </si>
  <si>
    <t>Yuliana</t>
  </si>
  <si>
    <t>Mahalijah</t>
  </si>
  <si>
    <t>Mulyadi, S. Pd</t>
  </si>
  <si>
    <t>Rumdis BPKAD I</t>
  </si>
  <si>
    <t>Masyati</t>
  </si>
  <si>
    <t>Dewi Susanti</t>
  </si>
  <si>
    <t>Suparman</t>
  </si>
  <si>
    <t>002854</t>
  </si>
  <si>
    <t>002897</t>
  </si>
  <si>
    <t>002900</t>
  </si>
  <si>
    <t>002960</t>
  </si>
  <si>
    <t>002961</t>
  </si>
  <si>
    <t>002968</t>
  </si>
  <si>
    <t>Arbaenah</t>
  </si>
  <si>
    <t>Asrifah</t>
  </si>
  <si>
    <t>Marsinah</t>
  </si>
  <si>
    <t>Sadimah</t>
  </si>
  <si>
    <t>Sawidah</t>
  </si>
  <si>
    <t>BPTDN/20/I/2018</t>
  </si>
  <si>
    <t>Said Ahmad</t>
  </si>
  <si>
    <t>Ir. Pieter Manginte</t>
  </si>
  <si>
    <t>Abdurrahman Fajari</t>
  </si>
  <si>
    <t>Jubai Idah/Ataw</t>
  </si>
  <si>
    <t>Dra. Masitah A</t>
  </si>
  <si>
    <t>Dra. Masitah B</t>
  </si>
  <si>
    <t>Dra. Masitah C</t>
  </si>
  <si>
    <t>Ihsanudin</t>
  </si>
  <si>
    <t>Hj. Maryana</t>
  </si>
  <si>
    <t>Budi</t>
  </si>
  <si>
    <t>Saniah B</t>
  </si>
  <si>
    <t>Ali Rahman</t>
  </si>
  <si>
    <t>H. Katdri</t>
  </si>
  <si>
    <t>000292</t>
  </si>
  <si>
    <t>000528</t>
  </si>
  <si>
    <t>000968</t>
  </si>
  <si>
    <t>001046</t>
  </si>
  <si>
    <t>001240</t>
  </si>
  <si>
    <t>001242</t>
  </si>
  <si>
    <t>001243</t>
  </si>
  <si>
    <t>001485</t>
  </si>
  <si>
    <t>001486</t>
  </si>
  <si>
    <t>001487</t>
  </si>
  <si>
    <t>001500</t>
  </si>
  <si>
    <t>001535</t>
  </si>
  <si>
    <t>001664</t>
  </si>
  <si>
    <t>001697</t>
  </si>
  <si>
    <t>002196</t>
  </si>
  <si>
    <t>002281</t>
  </si>
  <si>
    <t>002715</t>
  </si>
  <si>
    <t>002802</t>
  </si>
  <si>
    <t>002805</t>
  </si>
  <si>
    <t>002877</t>
  </si>
  <si>
    <t>002893</t>
  </si>
  <si>
    <t>002942</t>
  </si>
  <si>
    <t>002974</t>
  </si>
  <si>
    <t>Budi Rahman, SIP</t>
  </si>
  <si>
    <t>M. Gendol</t>
  </si>
  <si>
    <t>Mariana</t>
  </si>
  <si>
    <t>M. Nurdiansyah</t>
  </si>
  <si>
    <t>Siti Islamiah</t>
  </si>
  <si>
    <t>Mahidin</t>
  </si>
  <si>
    <t>Hadi Yanor</t>
  </si>
  <si>
    <t>Siti Saimah</t>
  </si>
  <si>
    <t>BPTDN/21/I/2018</t>
  </si>
  <si>
    <t>Kuala Pembuang, 24 Januari  2018</t>
  </si>
  <si>
    <t>Kuala Pembuang, 25 Januari  2018</t>
  </si>
  <si>
    <t>HA. Mulyadi</t>
  </si>
  <si>
    <t>Sri Susanti</t>
  </si>
  <si>
    <t>Yunita Priyana</t>
  </si>
  <si>
    <t>Pujiati</t>
  </si>
  <si>
    <t>Muhammad Subahan</t>
  </si>
  <si>
    <t>000144</t>
  </si>
  <si>
    <t>001048</t>
  </si>
  <si>
    <t>001304</t>
  </si>
  <si>
    <t>002026</t>
  </si>
  <si>
    <t>002202</t>
  </si>
  <si>
    <t>002424</t>
  </si>
  <si>
    <t>002652</t>
  </si>
  <si>
    <t>BPTDN/22/I/2018</t>
  </si>
  <si>
    <t>Kuala Pembuang, 27 Januari  2018</t>
  </si>
  <si>
    <t>Kuala Pembuang, 26 Januari  2018</t>
  </si>
  <si>
    <t>Hj. Tristianti B</t>
  </si>
  <si>
    <t>Said Hasan</t>
  </si>
  <si>
    <t>Molyani</t>
  </si>
  <si>
    <t>Mulyadi/ Ilam</t>
  </si>
  <si>
    <t>Denni Basuki Rahmant</t>
  </si>
  <si>
    <t>Adyanto Eko Prasetyo</t>
  </si>
  <si>
    <t>Warno Joes</t>
  </si>
  <si>
    <t>M. Syahliannoor</t>
  </si>
  <si>
    <t>Sodikin</t>
  </si>
  <si>
    <t>000570</t>
  </si>
  <si>
    <t>000794</t>
  </si>
  <si>
    <t>000965</t>
  </si>
  <si>
    <t>001983</t>
  </si>
  <si>
    <t>002083</t>
  </si>
  <si>
    <t>002119</t>
  </si>
  <si>
    <t>002184</t>
  </si>
  <si>
    <t>002957</t>
  </si>
  <si>
    <t>002970</t>
  </si>
  <si>
    <t>BPTDN/23/I/2018</t>
  </si>
  <si>
    <t>BPTDN/24/I/2018</t>
  </si>
  <si>
    <t>Kuala Pembuang, 29 Januari  2018</t>
  </si>
  <si>
    <t>H. Syamsudin</t>
  </si>
  <si>
    <t>Syamsuri</t>
  </si>
  <si>
    <t>Fauzan</t>
  </si>
  <si>
    <t>Uhar</t>
  </si>
  <si>
    <t>Barak Polwan Seruyan II</t>
  </si>
  <si>
    <t>H. Matlim C</t>
  </si>
  <si>
    <t>Masa Onah</t>
  </si>
  <si>
    <t>Eka Yulianti B</t>
  </si>
  <si>
    <t>M. Ridwan</t>
  </si>
  <si>
    <t>Asmari</t>
  </si>
  <si>
    <t>Nirwana</t>
  </si>
  <si>
    <t>000024</t>
  </si>
  <si>
    <t>000135</t>
  </si>
  <si>
    <t>000226</t>
  </si>
  <si>
    <t>000328</t>
  </si>
  <si>
    <t>000470</t>
  </si>
  <si>
    <t>001223</t>
  </si>
  <si>
    <t>001235</t>
  </si>
  <si>
    <t>001259</t>
  </si>
  <si>
    <t>001263</t>
  </si>
  <si>
    <t>001614</t>
  </si>
  <si>
    <t>001815</t>
  </si>
  <si>
    <t>001816</t>
  </si>
  <si>
    <t>Suparlin</t>
  </si>
  <si>
    <t>Budiansyah</t>
  </si>
  <si>
    <t>Arliani II</t>
  </si>
  <si>
    <t>Syarifah Elmyah</t>
  </si>
  <si>
    <t>Anwar</t>
  </si>
  <si>
    <t>HERIYANSYAH</t>
  </si>
  <si>
    <t>001863</t>
  </si>
  <si>
    <t>002116</t>
  </si>
  <si>
    <t>002317</t>
  </si>
  <si>
    <t>002591</t>
  </si>
  <si>
    <t>002965</t>
  </si>
  <si>
    <t>003005</t>
  </si>
  <si>
    <t>BPTDN/25/I/2018</t>
  </si>
  <si>
    <t>Kuala Pembuang, 30 Januari  2018</t>
  </si>
  <si>
    <t>Fitriah</t>
  </si>
  <si>
    <t>Sri Idawati, Min</t>
  </si>
  <si>
    <t>Siti Arumiyati</t>
  </si>
  <si>
    <t>Ayu</t>
  </si>
  <si>
    <t>Arif Habibillah</t>
  </si>
  <si>
    <t>Zainal Ardiansyah</t>
  </si>
  <si>
    <t>000404</t>
  </si>
  <si>
    <t>000489</t>
  </si>
  <si>
    <t>001650</t>
  </si>
  <si>
    <t>002103</t>
  </si>
  <si>
    <t>002363</t>
  </si>
  <si>
    <t>002423</t>
  </si>
  <si>
    <t>002871</t>
  </si>
  <si>
    <t>BPTDN/26/I/2018</t>
  </si>
  <si>
    <t>Kuala Pembuang, 31 Januari  2018</t>
  </si>
  <si>
    <t>H. Bukeransyah Effendy</t>
  </si>
  <si>
    <t>Bukeransyah Eff</t>
  </si>
  <si>
    <t>Hasan Basri</t>
  </si>
  <si>
    <t>Sugiono/Muhiri</t>
  </si>
  <si>
    <t>H. Bukransyah E</t>
  </si>
  <si>
    <t>H. Bukransyah Effendi</t>
  </si>
  <si>
    <t>Marlina</t>
  </si>
  <si>
    <t>Maulidinnor HAS</t>
  </si>
  <si>
    <t>Bupirahman</t>
  </si>
  <si>
    <t>Hj. Rusnah B</t>
  </si>
  <si>
    <t>Indra Jaya</t>
  </si>
  <si>
    <t>Erma Susilo</t>
  </si>
  <si>
    <t>Bayu Nugraha</t>
  </si>
  <si>
    <t>000115</t>
  </si>
  <si>
    <t>000162</t>
  </si>
  <si>
    <t>000166</t>
  </si>
  <si>
    <t>000370</t>
  </si>
  <si>
    <t>000390</t>
  </si>
  <si>
    <t>000584</t>
  </si>
  <si>
    <t>000707</t>
  </si>
  <si>
    <t>000747</t>
  </si>
  <si>
    <t>001057</t>
  </si>
  <si>
    <t>002048</t>
  </si>
  <si>
    <t>002050</t>
  </si>
  <si>
    <t>002149</t>
  </si>
  <si>
    <t>002189</t>
  </si>
  <si>
    <t>002278</t>
  </si>
  <si>
    <t>002316</t>
  </si>
  <si>
    <t>002324</t>
  </si>
  <si>
    <t>002489</t>
  </si>
  <si>
    <t>002493</t>
  </si>
  <si>
    <t>002495</t>
  </si>
  <si>
    <t>002497</t>
  </si>
  <si>
    <t>002764</t>
  </si>
  <si>
    <t>003022</t>
  </si>
  <si>
    <t>003023</t>
  </si>
  <si>
    <t>003024</t>
  </si>
  <si>
    <t>003025</t>
  </si>
  <si>
    <t>Edi Supian, S. Pd</t>
  </si>
  <si>
    <t>Mega Ayu Lestari</t>
  </si>
  <si>
    <t>Mahda Emilia</t>
  </si>
  <si>
    <t>Hj. Rusnah I</t>
  </si>
  <si>
    <t>Bupi Rahman</t>
  </si>
  <si>
    <t>HJ. RUSNAH A.I</t>
  </si>
  <si>
    <t>HJ. RUSNAH B.II</t>
  </si>
  <si>
    <t>HJ. RUSNAH C.III</t>
  </si>
  <si>
    <t>HJ. RUSNAH D.IV</t>
  </si>
  <si>
    <t>BPTDN/01/II/2018</t>
  </si>
  <si>
    <t>Kuala Pembuang, 01 Februari  2018</t>
  </si>
  <si>
    <t>Reinal K. Sihete</t>
  </si>
  <si>
    <t>Ali Sadikin</t>
  </si>
  <si>
    <t>Nikawati</t>
  </si>
  <si>
    <t>000101</t>
  </si>
  <si>
    <t>000709</t>
  </si>
  <si>
    <t>000912</t>
  </si>
  <si>
    <t>000958</t>
  </si>
  <si>
    <t>001361</t>
  </si>
  <si>
    <t>Irwan Prasasti</t>
  </si>
  <si>
    <t>Sadiah Rusdianti</t>
  </si>
  <si>
    <t>Kadriansyah</t>
  </si>
  <si>
    <t>Akhmad Ramdani</t>
  </si>
  <si>
    <t>Ice S. Pd. K</t>
  </si>
  <si>
    <t>Zainal Alpiansyah</t>
  </si>
  <si>
    <t>Ugin Setyorini</t>
  </si>
  <si>
    <t>002259</t>
  </si>
  <si>
    <t>002326</t>
  </si>
  <si>
    <t>002425</t>
  </si>
  <si>
    <t>002469</t>
  </si>
  <si>
    <t>002638</t>
  </si>
  <si>
    <t>002943</t>
  </si>
  <si>
    <t>Subilal</t>
  </si>
  <si>
    <t>BPTDN/02/II/2018</t>
  </si>
  <si>
    <t>Kuala Pembuang, 02 Februari  2018</t>
  </si>
  <si>
    <t>H. Bahtiar Lubis</t>
  </si>
  <si>
    <t>Hengky</t>
  </si>
  <si>
    <t>A. Soeharto</t>
  </si>
  <si>
    <t>000839</t>
  </si>
  <si>
    <t>000897</t>
  </si>
  <si>
    <t>001054</t>
  </si>
  <si>
    <t>002094</t>
  </si>
  <si>
    <t>002261</t>
  </si>
  <si>
    <t>002274</t>
  </si>
  <si>
    <t>002707</t>
  </si>
  <si>
    <t>Asep Suganda</t>
  </si>
  <si>
    <t>Hadi Yansyah</t>
  </si>
  <si>
    <t>Muh Indra Fajar</t>
  </si>
  <si>
    <t>Iyas</t>
  </si>
  <si>
    <t>BPTDN/03/II/2018</t>
  </si>
  <si>
    <t>Kuala Pembuang, 03 Februari  2018</t>
  </si>
  <si>
    <t>Harta Aji</t>
  </si>
  <si>
    <t>Harjanto F</t>
  </si>
  <si>
    <t>Didik Nurhadi Prayitno</t>
  </si>
  <si>
    <t>Irwan Siswanto</t>
  </si>
  <si>
    <t>Ilunawati</t>
  </si>
  <si>
    <t>Paguyuban Wargo MK (PWMK)</t>
  </si>
  <si>
    <t>Sumiati</t>
  </si>
  <si>
    <t>000452</t>
  </si>
  <si>
    <t>000785</t>
  </si>
  <si>
    <t>001038</t>
  </si>
  <si>
    <t>001163</t>
  </si>
  <si>
    <t>002140</t>
  </si>
  <si>
    <t>002297</t>
  </si>
  <si>
    <t>002593</t>
  </si>
  <si>
    <t>002702</t>
  </si>
  <si>
    <t>002703</t>
  </si>
  <si>
    <t>002705</t>
  </si>
  <si>
    <t>002995</t>
  </si>
  <si>
    <t>Dewi</t>
  </si>
  <si>
    <t>A. Jailani</t>
  </si>
  <si>
    <t>Norzanah</t>
  </si>
  <si>
    <t>Muhammad Rafi'i</t>
  </si>
  <si>
    <t>001340</t>
  </si>
  <si>
    <t>Warsino</t>
  </si>
  <si>
    <t>Tidak Ada Transaksi Penerimaan Rek. Air</t>
  </si>
  <si>
    <t>BPTDN/04/II/2018</t>
  </si>
  <si>
    <t>Kuala Pembuang, 05 Februari  2018</t>
  </si>
  <si>
    <t>Tidak Ada Transaksi</t>
  </si>
  <si>
    <t>BPTDN/05/II/2018</t>
  </si>
  <si>
    <t>Kuala Pembuang, 06 Februari  2018</t>
  </si>
  <si>
    <t>Arnila/Masnah</t>
  </si>
  <si>
    <t>Andi</t>
  </si>
  <si>
    <t>Handoko RIS B</t>
  </si>
  <si>
    <t>Syahril</t>
  </si>
  <si>
    <t>000260</t>
  </si>
  <si>
    <t>000424</t>
  </si>
  <si>
    <t>000443</t>
  </si>
  <si>
    <t>000624</t>
  </si>
  <si>
    <t>000663</t>
  </si>
  <si>
    <t>000664</t>
  </si>
  <si>
    <t>000665</t>
  </si>
  <si>
    <t>000673</t>
  </si>
  <si>
    <t>000688</t>
  </si>
  <si>
    <t>001007</t>
  </si>
  <si>
    <t>001020</t>
  </si>
  <si>
    <t>001022</t>
  </si>
  <si>
    <t>001068</t>
  </si>
  <si>
    <t>Ktr Dinas Pertanian II</t>
  </si>
  <si>
    <t>Ktr Dinas Pertanian I</t>
  </si>
  <si>
    <t>Ktr Dinas Pertanian III</t>
  </si>
  <si>
    <t>Ktr Kejari</t>
  </si>
  <si>
    <t>Adi Nur Fajar, S. Pd</t>
  </si>
  <si>
    <t>Kantor PUSKESWAN</t>
  </si>
  <si>
    <t>Heriyanto</t>
  </si>
  <si>
    <t>Heriyanto B</t>
  </si>
  <si>
    <t>Kantor BKPP</t>
  </si>
  <si>
    <t>Neston Adilo L</t>
  </si>
  <si>
    <t>Rusbandi</t>
  </si>
  <si>
    <t>Hadi Zatmino</t>
  </si>
  <si>
    <t>Jainah</t>
  </si>
  <si>
    <t>Meril Qomar B</t>
  </si>
  <si>
    <t>Ngadimin</t>
  </si>
  <si>
    <t>Nur Latifah Qadar, S. Pi</t>
  </si>
  <si>
    <t>Samsu Rahmad</t>
  </si>
  <si>
    <t>001122</t>
  </si>
  <si>
    <t>001338</t>
  </si>
  <si>
    <t>001364</t>
  </si>
  <si>
    <t>001649</t>
  </si>
  <si>
    <t>001672</t>
  </si>
  <si>
    <t>001720</t>
  </si>
  <si>
    <t>001730</t>
  </si>
  <si>
    <t>001912</t>
  </si>
  <si>
    <t>001914</t>
  </si>
  <si>
    <t>002002</t>
  </si>
  <si>
    <t>002043</t>
  </si>
  <si>
    <t>002088</t>
  </si>
  <si>
    <t>002378</t>
  </si>
  <si>
    <t>002385</t>
  </si>
  <si>
    <t>Darlan K</t>
  </si>
  <si>
    <t>Harjito</t>
  </si>
  <si>
    <t>Rusnah</t>
  </si>
  <si>
    <t>M. Rosyid Ridho</t>
  </si>
  <si>
    <t>Dayat</t>
  </si>
  <si>
    <t>Bahransyah</t>
  </si>
  <si>
    <t>Supeno</t>
  </si>
  <si>
    <t>Marioto</t>
  </si>
  <si>
    <t>YOPI KISWANTO II</t>
  </si>
  <si>
    <t>YOPI KISWANTO III</t>
  </si>
  <si>
    <t>YOPI KISWANTO IV</t>
  </si>
  <si>
    <t>NOVITA WIJAYANTI</t>
  </si>
  <si>
    <t>002563</t>
  </si>
  <si>
    <t>002634</t>
  </si>
  <si>
    <t>002754</t>
  </si>
  <si>
    <t>002827</t>
  </si>
  <si>
    <t>002966</t>
  </si>
  <si>
    <t>003027</t>
  </si>
  <si>
    <t>003028</t>
  </si>
  <si>
    <t>003029</t>
  </si>
  <si>
    <t>003054</t>
  </si>
  <si>
    <t>BPTDN/06/II/2018</t>
  </si>
  <si>
    <t>Kuala Pembuang, 07 Februari  2018</t>
  </si>
  <si>
    <t>BPTDN/07/II/2018</t>
  </si>
  <si>
    <t>Kuala Pembuang, 08 Februari  2018</t>
  </si>
  <si>
    <t>BPTDN/08/II/2018</t>
  </si>
  <si>
    <t>Kuala Pembuang, 09 Februari  2018</t>
  </si>
  <si>
    <t>Tjong Tjoe Lien</t>
  </si>
  <si>
    <t>H. Mulyadi / Amanah</t>
  </si>
  <si>
    <t>Charuni</t>
  </si>
  <si>
    <t>H. Hijazi</t>
  </si>
  <si>
    <t>Ramlah</t>
  </si>
  <si>
    <t>M. Andi Muslim</t>
  </si>
  <si>
    <t>000017</t>
  </si>
  <si>
    <t>000029</t>
  </si>
  <si>
    <t>000056</t>
  </si>
  <si>
    <t>000216</t>
  </si>
  <si>
    <t>000219</t>
  </si>
  <si>
    <t>000276</t>
  </si>
  <si>
    <t>000287</t>
  </si>
  <si>
    <t>000333</t>
  </si>
  <si>
    <t>000542</t>
  </si>
  <si>
    <t>000562</t>
  </si>
  <si>
    <t>000651</t>
  </si>
  <si>
    <t>000790</t>
  </si>
  <si>
    <t>Asnan</t>
  </si>
  <si>
    <t>Djunaidi</t>
  </si>
  <si>
    <t>Syahrani</t>
  </si>
  <si>
    <t>Budi Suyanto</t>
  </si>
  <si>
    <t>Murjiah</t>
  </si>
  <si>
    <t>Kantor BAPPEDA</t>
  </si>
  <si>
    <t>Sri Hartati, A. Ma</t>
  </si>
  <si>
    <t>Ria Khairiah, SH</t>
  </si>
  <si>
    <t>Subiyanto</t>
  </si>
  <si>
    <t>Jumbri B</t>
  </si>
  <si>
    <t>Bahriannur</t>
  </si>
  <si>
    <t>Supriyanto</t>
  </si>
  <si>
    <t>001001</t>
  </si>
  <si>
    <t>001140</t>
  </si>
  <si>
    <t>001318</t>
  </si>
  <si>
    <t>001352</t>
  </si>
  <si>
    <t>001532</t>
  </si>
  <si>
    <t>001565</t>
  </si>
  <si>
    <t>001779</t>
  </si>
  <si>
    <t>001878</t>
  </si>
  <si>
    <t>Siti Fatimah</t>
  </si>
  <si>
    <t>002025</t>
  </si>
  <si>
    <t>002145</t>
  </si>
  <si>
    <t>002243</t>
  </si>
  <si>
    <t>002206</t>
  </si>
  <si>
    <t>Nur Amien</t>
  </si>
  <si>
    <t>H. Gafuri</t>
  </si>
  <si>
    <t>Baliya</t>
  </si>
  <si>
    <t>Trisihanto Gabianto</t>
  </si>
  <si>
    <t>Anang Suriansyah</t>
  </si>
  <si>
    <t>Tati</t>
  </si>
  <si>
    <t>Muhammad Halidi H</t>
  </si>
  <si>
    <t>Drs. H. Achyar J. Haris</t>
  </si>
  <si>
    <t>002434</t>
  </si>
  <si>
    <t>002504</t>
  </si>
  <si>
    <t>002569</t>
  </si>
  <si>
    <t>002583</t>
  </si>
  <si>
    <t>002832</t>
  </si>
  <si>
    <t>002837</t>
  </si>
  <si>
    <t>Zainudin HS</t>
  </si>
  <si>
    <t>Syahrudin</t>
  </si>
  <si>
    <t>M. Yudah</t>
  </si>
  <si>
    <t>Nanang Supriatim</t>
  </si>
  <si>
    <t>Supinah</t>
  </si>
  <si>
    <t>000059</t>
  </si>
  <si>
    <t>000095</t>
  </si>
  <si>
    <t>000118</t>
  </si>
  <si>
    <t>000136</t>
  </si>
  <si>
    <t>000176</t>
  </si>
  <si>
    <t>000396</t>
  </si>
  <si>
    <t>000481</t>
  </si>
  <si>
    <t>000483</t>
  </si>
  <si>
    <t>000782</t>
  </si>
  <si>
    <t>000484</t>
  </si>
  <si>
    <t>000863</t>
  </si>
  <si>
    <t>000934</t>
  </si>
  <si>
    <t>001106</t>
  </si>
  <si>
    <t>001114</t>
  </si>
  <si>
    <t>M. Aini B</t>
  </si>
  <si>
    <t>Defi</t>
  </si>
  <si>
    <t>Jeffri</t>
  </si>
  <si>
    <t>Harjanto C</t>
  </si>
  <si>
    <t>Harsandi</t>
  </si>
  <si>
    <t>Bulhadi</t>
  </si>
  <si>
    <t>M. Supriadi</t>
  </si>
  <si>
    <t>Abdul Azis</t>
  </si>
  <si>
    <t>Syariffaini B</t>
  </si>
  <si>
    <t>M. Ali</t>
  </si>
  <si>
    <t>Isa</t>
  </si>
  <si>
    <t>Iyansyah</t>
  </si>
  <si>
    <t>001120</t>
  </si>
  <si>
    <t>001233</t>
  </si>
  <si>
    <t>001276</t>
  </si>
  <si>
    <t>001484</t>
  </si>
  <si>
    <t>001499</t>
  </si>
  <si>
    <t>001673</t>
  </si>
  <si>
    <t>002109</t>
  </si>
  <si>
    <t>002368</t>
  </si>
  <si>
    <t>002535</t>
  </si>
  <si>
    <t>002572</t>
  </si>
  <si>
    <t>002573</t>
  </si>
  <si>
    <t>002574</t>
  </si>
  <si>
    <t>002660</t>
  </si>
  <si>
    <t>002682</t>
  </si>
  <si>
    <t>002690</t>
  </si>
  <si>
    <t>002700</t>
  </si>
  <si>
    <t>Endi Sopyandi</t>
  </si>
  <si>
    <t>Syamsul arifin</t>
  </si>
  <si>
    <t>Sumari</t>
  </si>
  <si>
    <t>Hadi Purwanto</t>
  </si>
  <si>
    <t>Mat Thosin</t>
  </si>
  <si>
    <t>Rini Wahyuni</t>
  </si>
  <si>
    <t>M. Nu'Man</t>
  </si>
  <si>
    <t>Sariwaty</t>
  </si>
  <si>
    <t>Gandariah</t>
  </si>
  <si>
    <t>Krisna Sanjaya</t>
  </si>
  <si>
    <t>SELAMET MULYONO</t>
  </si>
  <si>
    <t>002940</t>
  </si>
  <si>
    <t>003012</t>
  </si>
  <si>
    <t>M. Said</t>
  </si>
  <si>
    <t>Drs. Zarkasi</t>
  </si>
  <si>
    <t>000149</t>
  </si>
  <si>
    <t>000492</t>
  </si>
  <si>
    <t>001017</t>
  </si>
  <si>
    <t>001042</t>
  </si>
  <si>
    <t>001442</t>
  </si>
  <si>
    <t>001794</t>
  </si>
  <si>
    <t>001803</t>
  </si>
  <si>
    <t>001818</t>
  </si>
  <si>
    <t>Sumarno</t>
  </si>
  <si>
    <t>Gazali Rahman, S. Hut</t>
  </si>
  <si>
    <t>Suliadi</t>
  </si>
  <si>
    <t>Kantor Pertanahan</t>
  </si>
  <si>
    <t>H. Syarwani</t>
  </si>
  <si>
    <t>Ipansyah</t>
  </si>
  <si>
    <t>Eka Aprilia</t>
  </si>
  <si>
    <t>Roland</t>
  </si>
  <si>
    <t>Anang Kasim</t>
  </si>
  <si>
    <t>Venina Septiani</t>
  </si>
  <si>
    <t>Rasidi</t>
  </si>
  <si>
    <t>002073</t>
  </si>
  <si>
    <t>002260</t>
  </si>
  <si>
    <t>002440</t>
  </si>
  <si>
    <t>002465</t>
  </si>
  <si>
    <t>002601</t>
  </si>
  <si>
    <t>002811</t>
  </si>
  <si>
    <t>BPTDN/09/II/2018</t>
  </si>
  <si>
    <t>Kuala Pembuang, 10 Februari  2018</t>
  </si>
  <si>
    <t>Kursani B</t>
  </si>
  <si>
    <t>Johan B</t>
  </si>
  <si>
    <t>ALESCHA</t>
  </si>
  <si>
    <t>Tan Andi P</t>
  </si>
  <si>
    <t>000274</t>
  </si>
  <si>
    <t>000448</t>
  </si>
  <si>
    <t>000449</t>
  </si>
  <si>
    <t>000567</t>
  </si>
  <si>
    <t>000963</t>
  </si>
  <si>
    <t>001015</t>
  </si>
  <si>
    <t>001643</t>
  </si>
  <si>
    <t>Kurita, Am.d</t>
  </si>
  <si>
    <t>Elpi</t>
  </si>
  <si>
    <t>Simanto, SE</t>
  </si>
  <si>
    <t>Syahruddin Noor, SPMP</t>
  </si>
  <si>
    <t>Risna</t>
  </si>
  <si>
    <t>Joko Purwanto</t>
  </si>
  <si>
    <t>Adi</t>
  </si>
  <si>
    <t>Abdi Siahaan</t>
  </si>
  <si>
    <t>001751</t>
  </si>
  <si>
    <t>002015</t>
  </si>
  <si>
    <t>002411</t>
  </si>
  <si>
    <t>002607</t>
  </si>
  <si>
    <t>002650</t>
  </si>
  <si>
    <t>002866</t>
  </si>
  <si>
    <t>BPTDN/10/II/2018</t>
  </si>
  <si>
    <t>Kuala Pembuang, 12 Februari  2018</t>
  </si>
  <si>
    <t>ANANG SYAHRANI</t>
  </si>
  <si>
    <t>H. Aliansyah Gufron</t>
  </si>
  <si>
    <t>Rina Ningsih</t>
  </si>
  <si>
    <t>Nurul Fitri</t>
  </si>
  <si>
    <t>000001</t>
  </si>
  <si>
    <t>000169</t>
  </si>
  <si>
    <t>000271</t>
  </si>
  <si>
    <t>000308</t>
  </si>
  <si>
    <t>000439</t>
  </si>
  <si>
    <t>000515</t>
  </si>
  <si>
    <t>000677</t>
  </si>
  <si>
    <t>000926</t>
  </si>
  <si>
    <t>000957</t>
  </si>
  <si>
    <t>001000</t>
  </si>
  <si>
    <t>001035</t>
  </si>
  <si>
    <t>Anita O</t>
  </si>
  <si>
    <t>Amir Biqi A</t>
  </si>
  <si>
    <t>Amir Biqi B</t>
  </si>
  <si>
    <t>Langgar Noor Iman</t>
  </si>
  <si>
    <t>M. Syahlan</t>
  </si>
  <si>
    <t>Kantor DISPENDA</t>
  </si>
  <si>
    <t>Yuliani</t>
  </si>
  <si>
    <t>Ika Septiana Sari</t>
  </si>
  <si>
    <t>Suhairi</t>
  </si>
  <si>
    <t>Amir Biqi</t>
  </si>
  <si>
    <t>Barsiah</t>
  </si>
  <si>
    <t>Sugianor</t>
  </si>
  <si>
    <t>Budianoor</t>
  </si>
  <si>
    <t>001161</t>
  </si>
  <si>
    <t>001269</t>
  </si>
  <si>
    <t>001292</t>
  </si>
  <si>
    <t>001341</t>
  </si>
  <si>
    <t>001459</t>
  </si>
  <si>
    <t>001411</t>
  </si>
  <si>
    <t>001488</t>
  </si>
  <si>
    <t>001538</t>
  </si>
  <si>
    <t>001580</t>
  </si>
  <si>
    <t>001623</t>
  </si>
  <si>
    <t>001642</t>
  </si>
  <si>
    <t>001705</t>
  </si>
  <si>
    <t>001781</t>
  </si>
  <si>
    <t>001893</t>
  </si>
  <si>
    <t>M. Adim B</t>
  </si>
  <si>
    <t>Armin</t>
  </si>
  <si>
    <t>Hj. Sri Ningsih</t>
  </si>
  <si>
    <t>Bono Suhendra</t>
  </si>
  <si>
    <t>Mahmudah, S. Hut</t>
  </si>
  <si>
    <t>Surian</t>
  </si>
  <si>
    <t>Sumanti</t>
  </si>
  <si>
    <t>Akhiri Awantoro</t>
  </si>
  <si>
    <t>Krisno SD, ST</t>
  </si>
  <si>
    <t>Edi Saputra</t>
  </si>
  <si>
    <t>Lienda Yuliana, SH</t>
  </si>
  <si>
    <t>Yurina Sholihatina</t>
  </si>
  <si>
    <t>Darmawati</t>
  </si>
  <si>
    <t>Muhammad Nur Kamali, ST</t>
  </si>
  <si>
    <t>Parminto</t>
  </si>
  <si>
    <t>Sakinah Pati Madya</t>
  </si>
  <si>
    <t>001937</t>
  </si>
  <si>
    <t>001961</t>
  </si>
  <si>
    <t>001975</t>
  </si>
  <si>
    <t>002059</t>
  </si>
  <si>
    <t>002061</t>
  </si>
  <si>
    <t>002062</t>
  </si>
  <si>
    <t>002064</t>
  </si>
  <si>
    <t>002136</t>
  </si>
  <si>
    <t>002198</t>
  </si>
  <si>
    <t>002296</t>
  </si>
  <si>
    <t>002406</t>
  </si>
  <si>
    <t>002560</t>
  </si>
  <si>
    <t>002630</t>
  </si>
  <si>
    <t>002697</t>
  </si>
  <si>
    <t>002727</t>
  </si>
  <si>
    <t>002746</t>
  </si>
  <si>
    <t>002887</t>
  </si>
  <si>
    <t>Saidah</t>
  </si>
  <si>
    <t>Yani Ambar Wati</t>
  </si>
  <si>
    <t>Suliyem</t>
  </si>
  <si>
    <t>Ibat</t>
  </si>
  <si>
    <t>Faridah</t>
  </si>
  <si>
    <t>Mulyono</t>
  </si>
  <si>
    <t>Riduansyah</t>
  </si>
  <si>
    <t>Musliani</t>
  </si>
  <si>
    <t>002978</t>
  </si>
  <si>
    <t>BPTDN/11/II/2018</t>
  </si>
  <si>
    <t>Kuala Pembuang, 13 Februari  2018</t>
  </si>
  <si>
    <t>Farida B/Tuhas B</t>
  </si>
  <si>
    <t>Wati Darsani</t>
  </si>
  <si>
    <t>000327</t>
  </si>
  <si>
    <t>000383</t>
  </si>
  <si>
    <t>000856</t>
  </si>
  <si>
    <t>001153</t>
  </si>
  <si>
    <t>001228</t>
  </si>
  <si>
    <t>001343</t>
  </si>
  <si>
    <t>001625</t>
  </si>
  <si>
    <t>001683</t>
  </si>
  <si>
    <t>001693</t>
  </si>
  <si>
    <t>002005</t>
  </si>
  <si>
    <t>002141</t>
  </si>
  <si>
    <t>002173</t>
  </si>
  <si>
    <t>Kani</t>
  </si>
  <si>
    <t>Apriana Ahmad, S. Pd</t>
  </si>
  <si>
    <t>Monalisa</t>
  </si>
  <si>
    <t>Herlin Pritiwi</t>
  </si>
  <si>
    <t>Kantor Dinas Sosial</t>
  </si>
  <si>
    <t>Ahmad Munir A</t>
  </si>
  <si>
    <t>Deman Hereyawan</t>
  </si>
  <si>
    <t>Ahmad Sudirwan</t>
  </si>
  <si>
    <t>Jumani</t>
  </si>
  <si>
    <t>Sudarman C</t>
  </si>
  <si>
    <t>Ijum</t>
  </si>
  <si>
    <t>Galuh Mardiana</t>
  </si>
  <si>
    <t>Zulkifli</t>
  </si>
  <si>
    <t>Stevanda Ince Luturmas</t>
  </si>
  <si>
    <t>Andri Adi Kusumah</t>
  </si>
  <si>
    <t>YOPI KISWANTO I</t>
  </si>
  <si>
    <t>002212</t>
  </si>
  <si>
    <t>002255</t>
  </si>
  <si>
    <t>002372</t>
  </si>
  <si>
    <t>002471</t>
  </si>
  <si>
    <t>002640</t>
  </si>
  <si>
    <t>002654</t>
  </si>
  <si>
    <t>002976</t>
  </si>
  <si>
    <t>002993</t>
  </si>
  <si>
    <t>003026</t>
  </si>
  <si>
    <t>BPTDN/12/II/2018</t>
  </si>
  <si>
    <t>Kuala Pembuang, 14 Februari  2018</t>
  </si>
  <si>
    <t>Salamah</t>
  </si>
  <si>
    <t>Ruspandiannor</t>
  </si>
  <si>
    <t>Ruspandian Noor</t>
  </si>
  <si>
    <t>000083</t>
  </si>
  <si>
    <t>000394</t>
  </si>
  <si>
    <t>000740</t>
  </si>
  <si>
    <t>Rujab Ka. Kesehatan</t>
  </si>
  <si>
    <t>000466</t>
  </si>
  <si>
    <t>Rumdis Ass. 3 Sekda</t>
  </si>
  <si>
    <t>Ktr Dinas P dan K</t>
  </si>
  <si>
    <t>Kusnadi</t>
  </si>
  <si>
    <t>Mutia Farida</t>
  </si>
  <si>
    <t>Indah Fitri Salawiyah</t>
  </si>
  <si>
    <t>000829</t>
  </si>
  <si>
    <t>000882</t>
  </si>
  <si>
    <t>001174</t>
  </si>
  <si>
    <t>001190</t>
  </si>
  <si>
    <t>001320</t>
  </si>
  <si>
    <t>001356</t>
  </si>
  <si>
    <t>001473</t>
  </si>
  <si>
    <t>001558</t>
  </si>
  <si>
    <t>001644</t>
  </si>
  <si>
    <t>001770</t>
  </si>
  <si>
    <t>001989</t>
  </si>
  <si>
    <t>002099</t>
  </si>
  <si>
    <t>002201</t>
  </si>
  <si>
    <t>002328</t>
  </si>
  <si>
    <t>002366</t>
  </si>
  <si>
    <t>002370</t>
  </si>
  <si>
    <t>002461</t>
  </si>
  <si>
    <t>Rudi Hartono II</t>
  </si>
  <si>
    <t>Kantor SATPAS</t>
  </si>
  <si>
    <t>Dedi Yansah</t>
  </si>
  <si>
    <t>Zainuri</t>
  </si>
  <si>
    <t>Sri Ernawati</t>
  </si>
  <si>
    <t>Nanang Karyadi</t>
  </si>
  <si>
    <t>Muhammad Yusuf</t>
  </si>
  <si>
    <t>Noni</t>
  </si>
  <si>
    <t>Donny Eko Nugroho</t>
  </si>
  <si>
    <t>Lilis Sarlina</t>
  </si>
  <si>
    <t>002760</t>
  </si>
  <si>
    <t>BPTDN/13/II/2018</t>
  </si>
  <si>
    <t>Kuala Pembuang, 15 Februari  2018</t>
  </si>
  <si>
    <t>Heri Sutrisno</t>
  </si>
  <si>
    <t>Drs. Mansyur Ibrahim SH, MM</t>
  </si>
  <si>
    <t>000028</t>
  </si>
  <si>
    <t>000195</t>
  </si>
  <si>
    <t>000206</t>
  </si>
  <si>
    <t>000600</t>
  </si>
  <si>
    <t>000629</t>
  </si>
  <si>
    <t>000749</t>
  </si>
  <si>
    <t>000751</t>
  </si>
  <si>
    <t>000927</t>
  </si>
  <si>
    <t>001037</t>
  </si>
  <si>
    <t>001389</t>
  </si>
  <si>
    <t>001892</t>
  </si>
  <si>
    <t>Jamal Abdul Nasir, SE</t>
  </si>
  <si>
    <t>Sri Pujiati</t>
  </si>
  <si>
    <t>Fauji</t>
  </si>
  <si>
    <t>Muhamad Ariyani</t>
  </si>
  <si>
    <t>H. Abdul Azis</t>
  </si>
  <si>
    <t>Sahrani</t>
  </si>
  <si>
    <t>Irwansyah</t>
  </si>
  <si>
    <t>Donny Dj. L, ST, MT</t>
  </si>
  <si>
    <t>Fatkan</t>
  </si>
  <si>
    <t>Sondy Agam</t>
  </si>
  <si>
    <t>Saripullah</t>
  </si>
  <si>
    <t>Ernawan Kusuma Wijaya</t>
  </si>
  <si>
    <t>Hanif Mufassirin</t>
  </si>
  <si>
    <t>Novaris Anianto</t>
  </si>
  <si>
    <t>Hadriyansyah</t>
  </si>
  <si>
    <t>Samsul Bahri</t>
  </si>
  <si>
    <t>001922</t>
  </si>
  <si>
    <t>001976</t>
  </si>
  <si>
    <t>002077</t>
  </si>
  <si>
    <t>002315</t>
  </si>
  <si>
    <t>002335</t>
  </si>
  <si>
    <t>002422</t>
  </si>
  <si>
    <t>002480</t>
  </si>
  <si>
    <t>002523</t>
  </si>
  <si>
    <t>002534</t>
  </si>
  <si>
    <t>002628</t>
  </si>
  <si>
    <t>002693</t>
  </si>
  <si>
    <t>002708</t>
  </si>
  <si>
    <t>002864</t>
  </si>
  <si>
    <t>003009</t>
  </si>
  <si>
    <t>Maulida</t>
  </si>
  <si>
    <t>Aya</t>
  </si>
  <si>
    <t>Suhada</t>
  </si>
  <si>
    <t>YANNUR</t>
  </si>
  <si>
    <t>BPTDN/14/II/2018</t>
  </si>
  <si>
    <t>Kuala Pembuang, 17 Februari  2018</t>
  </si>
  <si>
    <t>Tukiman</t>
  </si>
  <si>
    <t>Uminah</t>
  </si>
  <si>
    <t>Herlina</t>
  </si>
  <si>
    <t>000805</t>
  </si>
  <si>
    <t>000956</t>
  </si>
  <si>
    <t>001028</t>
  </si>
  <si>
    <t>001668</t>
  </si>
  <si>
    <t>Eke Jemi Rusita</t>
  </si>
  <si>
    <t>Husin Efendi</t>
  </si>
  <si>
    <t>Suhadah</t>
  </si>
  <si>
    <t>002741</t>
  </si>
  <si>
    <t>002774</t>
  </si>
  <si>
    <t>002808</t>
  </si>
  <si>
    <t>003031</t>
  </si>
  <si>
    <t>003039</t>
  </si>
  <si>
    <t>BPTDN/15/II/2018</t>
  </si>
  <si>
    <t>Kuala Pembuang, 19 Februari  2018</t>
  </si>
  <si>
    <t>Rahmad/Paguyuban</t>
  </si>
  <si>
    <t>000158</t>
  </si>
  <si>
    <t>Kampe</t>
  </si>
  <si>
    <t>A. Arnila</t>
  </si>
  <si>
    <t>Hj. Mufaridah</t>
  </si>
  <si>
    <t xml:space="preserve">M. Taufik </t>
  </si>
  <si>
    <t>Norwahidah</t>
  </si>
  <si>
    <t>Muridan</t>
  </si>
  <si>
    <t>Daniel Parlindungan M</t>
  </si>
  <si>
    <t>000334</t>
  </si>
  <si>
    <t>000417</t>
  </si>
  <si>
    <t>000508</t>
  </si>
  <si>
    <t>000516</t>
  </si>
  <si>
    <t>000588</t>
  </si>
  <si>
    <t>000701</t>
  </si>
  <si>
    <t>000746</t>
  </si>
  <si>
    <t>000913</t>
  </si>
  <si>
    <t>000914</t>
  </si>
  <si>
    <t>000975</t>
  </si>
  <si>
    <t>000989</t>
  </si>
  <si>
    <t>H. Rajali, SH. MH</t>
  </si>
  <si>
    <t>Darmadiansyah</t>
  </si>
  <si>
    <t>Suhar arianto</t>
  </si>
  <si>
    <t>H. Basirun</t>
  </si>
  <si>
    <t>Mushola Darussalam</t>
  </si>
  <si>
    <t>Kamto</t>
  </si>
  <si>
    <t>Heri Purwanto</t>
  </si>
  <si>
    <t>Harni</t>
  </si>
  <si>
    <t>001420</t>
  </si>
  <si>
    <t>001631</t>
  </si>
  <si>
    <t>001786</t>
  </si>
  <si>
    <t>001835</t>
  </si>
  <si>
    <t>001867</t>
  </si>
  <si>
    <t>001877</t>
  </si>
  <si>
    <t>001894</t>
  </si>
  <si>
    <t>001986</t>
  </si>
  <si>
    <t>002117</t>
  </si>
  <si>
    <t>002204</t>
  </si>
  <si>
    <t>Murni</t>
  </si>
  <si>
    <t>Salanin</t>
  </si>
  <si>
    <t>Aluwi</t>
  </si>
  <si>
    <t>Miskani</t>
  </si>
  <si>
    <t>Bahrul Ilmi</t>
  </si>
  <si>
    <t>Nur Siah</t>
  </si>
  <si>
    <t>M. Abdul Airsan</t>
  </si>
  <si>
    <t>Agus Yuda Wijaya</t>
  </si>
  <si>
    <t>Ani Jurahmi</t>
  </si>
  <si>
    <t>Aulia Setiawati</t>
  </si>
  <si>
    <t>002234</t>
  </si>
  <si>
    <t>002417</t>
  </si>
  <si>
    <t>002487</t>
  </si>
  <si>
    <t>002668</t>
  </si>
  <si>
    <t>002743</t>
  </si>
  <si>
    <t>002999</t>
  </si>
  <si>
    <t>Ari Arianto</t>
  </si>
  <si>
    <t>Holik</t>
  </si>
  <si>
    <t>BPTDN/16/II/2018</t>
  </si>
  <si>
    <t>Kuala Pembuang, 20 Februari  2018</t>
  </si>
  <si>
    <t>Irus</t>
  </si>
  <si>
    <t>Ekky Diara Ulfa</t>
  </si>
  <si>
    <t>000111</t>
  </si>
  <si>
    <t>000123</t>
  </si>
  <si>
    <t>000368</t>
  </si>
  <si>
    <t>000487</t>
  </si>
  <si>
    <t>000810</t>
  </si>
  <si>
    <t>000824</t>
  </si>
  <si>
    <t>Andi M. Arsyad</t>
  </si>
  <si>
    <t>Zainal</t>
  </si>
  <si>
    <t>Rasidi S</t>
  </si>
  <si>
    <t>Dana Wardani</t>
  </si>
  <si>
    <t>Panti Asuhan Hj. Maskacil</t>
  </si>
  <si>
    <t>000499</t>
  </si>
  <si>
    <t>Mira</t>
  </si>
  <si>
    <t>Jurin M</t>
  </si>
  <si>
    <t>Sukariono</t>
  </si>
  <si>
    <t>Sadrin</t>
  </si>
  <si>
    <t>Munir</t>
  </si>
  <si>
    <t>Abd. Fuad</t>
  </si>
  <si>
    <t>Surianata</t>
  </si>
  <si>
    <t>000843</t>
  </si>
  <si>
    <t>000867</t>
  </si>
  <si>
    <t>000904</t>
  </si>
  <si>
    <t>000954</t>
  </si>
  <si>
    <t>001121</t>
  </si>
  <si>
    <t>001128</t>
  </si>
  <si>
    <t>001237</t>
  </si>
  <si>
    <t>001423</t>
  </si>
  <si>
    <t>001517</t>
  </si>
  <si>
    <t>001588</t>
  </si>
  <si>
    <t>001616</t>
  </si>
  <si>
    <t>001717</t>
  </si>
  <si>
    <t>001833</t>
  </si>
  <si>
    <t>Sandiyo</t>
  </si>
  <si>
    <t>Sanang</t>
  </si>
  <si>
    <t>Margiantoni</t>
  </si>
  <si>
    <t>Karyadi</t>
  </si>
  <si>
    <t>Mahputra</t>
  </si>
  <si>
    <t>Jaini J</t>
  </si>
  <si>
    <t>Ahmad Yani</t>
  </si>
  <si>
    <t>Andi Purwanto</t>
  </si>
  <si>
    <t>Megawati/A. Suryani</t>
  </si>
  <si>
    <t>Nanang Hairani</t>
  </si>
  <si>
    <t>Sudaryono</t>
  </si>
  <si>
    <t>Neli Purwani Resmiati</t>
  </si>
  <si>
    <t>Sii Nursidah</t>
  </si>
  <si>
    <t>M. Zaini</t>
  </si>
  <si>
    <t>Mahdiatun Nazemi</t>
  </si>
  <si>
    <t>001875</t>
  </si>
  <si>
    <t>001876</t>
  </si>
  <si>
    <t>001960</t>
  </si>
  <si>
    <t>002289</t>
  </si>
  <si>
    <t>002302</t>
  </si>
  <si>
    <t>002384</t>
  </si>
  <si>
    <t>002390</t>
  </si>
  <si>
    <t>002399</t>
  </si>
  <si>
    <t>002407</t>
  </si>
  <si>
    <t>002438</t>
  </si>
  <si>
    <t>002706</t>
  </si>
  <si>
    <t>002862</t>
  </si>
  <si>
    <t>002888</t>
  </si>
  <si>
    <t>002923</t>
  </si>
  <si>
    <t>Anting</t>
  </si>
  <si>
    <t>Rosida</t>
  </si>
  <si>
    <t>Sutristiya Apri R</t>
  </si>
  <si>
    <t>BPTDN/17/II/2018</t>
  </si>
  <si>
    <t>Kuala Pembuang, 21 Februari  2018</t>
  </si>
  <si>
    <t>H. Hasanudin</t>
  </si>
  <si>
    <t>Rosean Fauzi, S.E</t>
  </si>
  <si>
    <t>Subhan Haaz</t>
  </si>
  <si>
    <t>A. Kadir Z</t>
  </si>
  <si>
    <t>Bahrudin</t>
  </si>
  <si>
    <t>Nur aiti</t>
  </si>
  <si>
    <t>Wahdah</t>
  </si>
  <si>
    <t>M. Busairi</t>
  </si>
  <si>
    <t>Syahlan</t>
  </si>
  <si>
    <t>Ladi</t>
  </si>
  <si>
    <t>Mulyadi</t>
  </si>
  <si>
    <t>Raihanor</t>
  </si>
  <si>
    <t>Tatang Endriasmoro</t>
  </si>
  <si>
    <t>Hartono</t>
  </si>
  <si>
    <t>Faridah S</t>
  </si>
  <si>
    <t>Irma Susanti</t>
  </si>
  <si>
    <t>Multiansyah</t>
  </si>
  <si>
    <t>Rahmani, A. Md</t>
  </si>
  <si>
    <t>Sigit Soegiharto</t>
  </si>
  <si>
    <t>000013</t>
  </si>
  <si>
    <t>000041</t>
  </si>
  <si>
    <t>000082</t>
  </si>
  <si>
    <t>000085</t>
  </si>
  <si>
    <t>000102</t>
  </si>
  <si>
    <t>000150</t>
  </si>
  <si>
    <t>000268</t>
  </si>
  <si>
    <t>000500</t>
  </si>
  <si>
    <t>000507</t>
  </si>
  <si>
    <t>000760</t>
  </si>
  <si>
    <t>000825</t>
  </si>
  <si>
    <t>000943</t>
  </si>
  <si>
    <t>001053</t>
  </si>
  <si>
    <t>001187</t>
  </si>
  <si>
    <t>001208</t>
  </si>
  <si>
    <t>001212</t>
  </si>
  <si>
    <t>001255</t>
  </si>
  <si>
    <t>001278</t>
  </si>
  <si>
    <t>Dina Mariana</t>
  </si>
  <si>
    <t>H. Achmad Ruswandi</t>
  </si>
  <si>
    <t>Ngadeni A</t>
  </si>
  <si>
    <t>Niyah B</t>
  </si>
  <si>
    <t>Hamlan</t>
  </si>
  <si>
    <t>Tajib B</t>
  </si>
  <si>
    <t>Mulyan</t>
  </si>
  <si>
    <t>Asmawati</t>
  </si>
  <si>
    <t>Muhammad Tabrani</t>
  </si>
  <si>
    <t>Sudarman A</t>
  </si>
  <si>
    <t>Supriyansyah</t>
  </si>
  <si>
    <t>Abdullah Sani</t>
  </si>
  <si>
    <t>Yeti Sulianti</t>
  </si>
  <si>
    <t>001326</t>
  </si>
  <si>
    <t>001328</t>
  </si>
  <si>
    <t>001400</t>
  </si>
  <si>
    <t>001422</t>
  </si>
  <si>
    <t>001549</t>
  </si>
  <si>
    <t>001598</t>
  </si>
  <si>
    <t>001691</t>
  </si>
  <si>
    <t>001790</t>
  </si>
  <si>
    <t>002017</t>
  </si>
  <si>
    <t>002046</t>
  </si>
  <si>
    <t>002210</t>
  </si>
  <si>
    <t>002371</t>
  </si>
  <si>
    <t>002665</t>
  </si>
  <si>
    <t>002613</t>
  </si>
  <si>
    <t>Syahroni</t>
  </si>
  <si>
    <t>002710</t>
  </si>
  <si>
    <t>002725</t>
  </si>
  <si>
    <t>002883</t>
  </si>
  <si>
    <t>003019</t>
  </si>
  <si>
    <t>Raini</t>
  </si>
  <si>
    <t>ABDUL WAHAB</t>
  </si>
  <si>
    <t>BPTDN/18/II/2018</t>
  </si>
  <si>
    <t>Kuala Pembuang, 22 Februari  2018</t>
  </si>
  <si>
    <t>Subhansyah</t>
  </si>
  <si>
    <t>Antol</t>
  </si>
  <si>
    <t>Ahmad Syaifullah</t>
  </si>
  <si>
    <t>HM. Bahasa</t>
  </si>
  <si>
    <t>Handoko RIS A</t>
  </si>
  <si>
    <t>Sukransyah</t>
  </si>
  <si>
    <t>Ktr. DISHUBKOMINFO</t>
  </si>
  <si>
    <t>Rio Joko Susilo</t>
  </si>
  <si>
    <t>000032</t>
  </si>
  <si>
    <t>000482</t>
  </si>
  <si>
    <t>000498</t>
  </si>
  <si>
    <t>000505</t>
  </si>
  <si>
    <t>000653</t>
  </si>
  <si>
    <t>000830</t>
  </si>
  <si>
    <t>000893</t>
  </si>
  <si>
    <t>001432</t>
  </si>
  <si>
    <t>001630</t>
  </si>
  <si>
    <t>Siti Rukiah</t>
  </si>
  <si>
    <t>Bahrani</t>
  </si>
  <si>
    <t>Sunarti</t>
  </si>
  <si>
    <t>Nurul Hasanah</t>
  </si>
  <si>
    <t>Enik Kartinawati</t>
  </si>
  <si>
    <t>002266</t>
  </si>
  <si>
    <t>002323</t>
  </si>
  <si>
    <t>002515</t>
  </si>
  <si>
    <t>002770</t>
  </si>
  <si>
    <t>002914</t>
  </si>
  <si>
    <t>BPTDN/19/II/2018</t>
  </si>
  <si>
    <t>Kuala Pembuang, 23 Februari  2018</t>
  </si>
  <si>
    <t>Ambrin</t>
  </si>
  <si>
    <t>Amirul M</t>
  </si>
  <si>
    <t>Muharini</t>
  </si>
  <si>
    <t>Maryoso</t>
  </si>
  <si>
    <t>Hordin</t>
  </si>
  <si>
    <t>Yudhi Siswanto</t>
  </si>
  <si>
    <t>Kantor Satpol PP</t>
  </si>
  <si>
    <t>Khalis Prasetyawati S.</t>
  </si>
  <si>
    <t>Armani</t>
  </si>
  <si>
    <t>Sulaiman</t>
  </si>
  <si>
    <t>Sulastri</t>
  </si>
  <si>
    <t>000104</t>
  </si>
  <si>
    <t>000845</t>
  </si>
  <si>
    <t>000990</t>
  </si>
  <si>
    <t>001404</t>
  </si>
  <si>
    <t>001859</t>
  </si>
  <si>
    <t>002134</t>
  </si>
  <si>
    <t>002237</t>
  </si>
  <si>
    <t>002251</t>
  </si>
  <si>
    <t>002346</t>
  </si>
  <si>
    <t>002852</t>
  </si>
  <si>
    <t>002876</t>
  </si>
  <si>
    <t>002912</t>
  </si>
  <si>
    <t>BPTDN/20/II/2018</t>
  </si>
  <si>
    <t>Kuala Pembuang, 24 Februari  2018</t>
  </si>
  <si>
    <t>TK Pembina</t>
  </si>
  <si>
    <t>Nusi</t>
  </si>
  <si>
    <t>Tri Arisusilo B</t>
  </si>
  <si>
    <t>Ari Afrizal</t>
  </si>
  <si>
    <t>Chandralela</t>
  </si>
  <si>
    <t>000246</t>
  </si>
  <si>
    <t>000685</t>
  </si>
  <si>
    <t>001060</t>
  </si>
  <si>
    <t>001478</t>
  </si>
  <si>
    <t>002084</t>
  </si>
  <si>
    <t>002418</t>
  </si>
  <si>
    <t>002738</t>
  </si>
  <si>
    <t>BPTDN/21/II/2018</t>
  </si>
  <si>
    <t>Kuala Pembuang, 26 Februari  2018</t>
  </si>
  <si>
    <t>Seni</t>
  </si>
  <si>
    <t>Herni</t>
  </si>
  <si>
    <t>Nasrun</t>
  </si>
  <si>
    <t>Janjang Ardi Nugroho</t>
  </si>
  <si>
    <t>Rahmah</t>
  </si>
  <si>
    <t>Idras Purwoko, SH</t>
  </si>
  <si>
    <t>Arbin Dedy Maulana, SP</t>
  </si>
  <si>
    <t>000132</t>
  </si>
  <si>
    <t>000315</t>
  </si>
  <si>
    <t>001170</t>
  </si>
  <si>
    <t>001327</t>
  </si>
  <si>
    <t>001419</t>
  </si>
  <si>
    <t>002143</t>
  </si>
  <si>
    <t>002712</t>
  </si>
  <si>
    <t>BPTDN/22/II/2018</t>
  </si>
  <si>
    <t>Kuala Pembuang, 27 Februari  2018</t>
  </si>
  <si>
    <t xml:space="preserve">Diyanto </t>
  </si>
  <si>
    <t>Suharmi</t>
  </si>
  <si>
    <t>Ibramsyah</t>
  </si>
  <si>
    <t>Kantor BKD</t>
  </si>
  <si>
    <t>Jonnly</t>
  </si>
  <si>
    <t>Kantor Kelurahan KP II</t>
  </si>
  <si>
    <t>David Christian Tjong</t>
  </si>
  <si>
    <t>000002</t>
  </si>
  <si>
    <t>000055</t>
  </si>
  <si>
    <t>000089</t>
  </si>
  <si>
    <t>000464</t>
  </si>
  <si>
    <t>000720</t>
  </si>
  <si>
    <t>000757</t>
  </si>
  <si>
    <t>000916</t>
  </si>
  <si>
    <t>001342</t>
  </si>
  <si>
    <t>Edi</t>
  </si>
  <si>
    <t>Iskandar Safari</t>
  </si>
  <si>
    <t>Ruslianto B</t>
  </si>
  <si>
    <t>Norani Inda Yanti</t>
  </si>
  <si>
    <t>Ruslianto C</t>
  </si>
  <si>
    <t>RAHADYAN SAMBODO WIDYAKTI</t>
  </si>
  <si>
    <t>Syahbudin</t>
  </si>
  <si>
    <t>Margiantony</t>
  </si>
  <si>
    <t>Devi Angraeni</t>
  </si>
  <si>
    <t>Akhmad Mujiono</t>
  </si>
  <si>
    <t>Benah</t>
  </si>
  <si>
    <t>001421</t>
  </si>
  <si>
    <t>001497</t>
  </si>
  <si>
    <t>001586</t>
  </si>
  <si>
    <t>001919</t>
  </si>
  <si>
    <t>002299</t>
  </si>
  <si>
    <t>002397</t>
  </si>
  <si>
    <t>002445</t>
  </si>
  <si>
    <t>002595</t>
  </si>
  <si>
    <t>002610</t>
  </si>
  <si>
    <t>002626</t>
  </si>
  <si>
    <t>002641</t>
  </si>
  <si>
    <t>002701</t>
  </si>
  <si>
    <t>BPTDN/23/II/2018</t>
  </si>
  <si>
    <t>Kuala Pembuang, 28 Februari  2018</t>
  </si>
  <si>
    <t>Arsyat</t>
  </si>
  <si>
    <t>Samblan</t>
  </si>
  <si>
    <t>Widodo</t>
  </si>
  <si>
    <t>Hadi santoso A</t>
  </si>
  <si>
    <t>Alpian</t>
  </si>
  <si>
    <t>Juharto</t>
  </si>
  <si>
    <t>MUHAMAD RUSDIANNUR</t>
  </si>
  <si>
    <t>Rumdis BPKAD II</t>
  </si>
  <si>
    <t>Supiyannoor</t>
  </si>
  <si>
    <t>000007</t>
  </si>
  <si>
    <t>000194</t>
  </si>
  <si>
    <t>000197</t>
  </si>
  <si>
    <t>000633</t>
  </si>
  <si>
    <t>001489</t>
  </si>
  <si>
    <t>001562</t>
  </si>
  <si>
    <t>002282</t>
  </si>
  <si>
    <t>002330</t>
  </si>
  <si>
    <t>002543</t>
  </si>
  <si>
    <t>002564</t>
  </si>
  <si>
    <t>002599</t>
  </si>
  <si>
    <t>002969</t>
  </si>
  <si>
    <t>BPTDN/01/III/2018</t>
  </si>
  <si>
    <t>Kuala Pembuang, 01 Maret  2018</t>
  </si>
  <si>
    <t>Ati</t>
  </si>
  <si>
    <t>Jamilah</t>
  </si>
  <si>
    <t>Isliyanti, Amd Kep</t>
  </si>
  <si>
    <t>Siti Norjumianti</t>
  </si>
  <si>
    <t>000413</t>
  </si>
  <si>
    <t>000589</t>
  </si>
  <si>
    <t>001429</t>
  </si>
  <si>
    <t>001439</t>
  </si>
  <si>
    <t>Hairudin</t>
  </si>
  <si>
    <t>Nindra Karma</t>
  </si>
  <si>
    <t>Arif Prasetya S</t>
  </si>
  <si>
    <t>Andrian Hidayat</t>
  </si>
  <si>
    <t>Padlansyah</t>
  </si>
  <si>
    <t>Daham</t>
  </si>
  <si>
    <t>sri Susilawati</t>
  </si>
  <si>
    <t>Erni Mariani</t>
  </si>
  <si>
    <t>Lia Puspita Dewi</t>
  </si>
  <si>
    <t>001927</t>
  </si>
  <si>
    <t>002069</t>
  </si>
  <si>
    <t>002078</t>
  </si>
  <si>
    <t>002154</t>
  </si>
  <si>
    <t>002157</t>
  </si>
  <si>
    <t>002309</t>
  </si>
  <si>
    <t>002539</t>
  </si>
  <si>
    <t>002772</t>
  </si>
  <si>
    <t>002889</t>
  </si>
  <si>
    <t>BPTDN/02/III/2018</t>
  </si>
  <si>
    <t>Kuala Pembuang, 02 Maret  2018</t>
  </si>
  <si>
    <t xml:space="preserve">Estiwiyanti </t>
  </si>
  <si>
    <t>001052</t>
  </si>
  <si>
    <t>Haryadi, S. Sos</t>
  </si>
  <si>
    <t>Ahmadi, SE</t>
  </si>
  <si>
    <t>Salmiah</t>
  </si>
  <si>
    <t>Asie Yuliastuti, S. Pd</t>
  </si>
  <si>
    <t>Juliansyah</t>
  </si>
  <si>
    <t>Armansyah</t>
  </si>
  <si>
    <t>Ahmad Nur</t>
  </si>
  <si>
    <t>001146</t>
  </si>
  <si>
    <t>001241</t>
  </si>
  <si>
    <t>001354</t>
  </si>
  <si>
    <t>001436</t>
  </si>
  <si>
    <t>001732</t>
  </si>
  <si>
    <t>001759</t>
  </si>
  <si>
    <t>001980</t>
  </si>
  <si>
    <t>002063</t>
  </si>
  <si>
    <t>002244</t>
  </si>
  <si>
    <t>002799</t>
  </si>
  <si>
    <t>Heri Suwarna</t>
  </si>
  <si>
    <t>Hendro Rahmadani</t>
  </si>
  <si>
    <t>BPTDN/03/III/2018</t>
  </si>
  <si>
    <t>Kuala Pembuang, 03 Maret  2018</t>
  </si>
  <si>
    <t>Anita R.</t>
  </si>
  <si>
    <t>Sri Katminah</t>
  </si>
  <si>
    <t>langgar Az. Zaitun</t>
  </si>
  <si>
    <t>Muhammad Khairudin</t>
  </si>
  <si>
    <t>000068</t>
  </si>
  <si>
    <t>000323</t>
  </si>
  <si>
    <t>000421</t>
  </si>
  <si>
    <t>000430</t>
  </si>
  <si>
    <t>Kantor DPKPP</t>
  </si>
  <si>
    <t>000646</t>
  </si>
  <si>
    <t>001268</t>
  </si>
  <si>
    <t>001279</t>
  </si>
  <si>
    <t>Harmanto</t>
  </si>
  <si>
    <t>Andreas Hari Murti NB</t>
  </si>
  <si>
    <t>Agung Setiawan</t>
  </si>
  <si>
    <t>Imis</t>
  </si>
  <si>
    <t>Noor Mini</t>
  </si>
  <si>
    <t>Kantor BLH</t>
  </si>
  <si>
    <t>Suhar</t>
  </si>
  <si>
    <t>Syamsurijal</t>
  </si>
  <si>
    <t>001409</t>
  </si>
  <si>
    <t>001536</t>
  </si>
  <si>
    <t>002022</t>
  </si>
  <si>
    <t>002100</t>
  </si>
  <si>
    <t>002139</t>
  </si>
  <si>
    <t>Raihadi</t>
  </si>
  <si>
    <t>Siswanto</t>
  </si>
  <si>
    <t>A. Karmila</t>
  </si>
  <si>
    <t>Mahyunan</t>
  </si>
  <si>
    <t>Ahmad Martono</t>
  </si>
  <si>
    <t>Suprapto</t>
  </si>
  <si>
    <t>002262</t>
  </si>
  <si>
    <t>002337</t>
  </si>
  <si>
    <t>002413</t>
  </si>
  <si>
    <t>002561</t>
  </si>
  <si>
    <t>002685</t>
  </si>
  <si>
    <t>002848</t>
  </si>
  <si>
    <t>002860</t>
  </si>
  <si>
    <t>003001</t>
  </si>
  <si>
    <t>Hadran</t>
  </si>
  <si>
    <t>BPTDN/04/III/2018</t>
  </si>
  <si>
    <t>Kuala Pembuang, 05 Maret  2018</t>
  </si>
  <si>
    <t>Megantoro</t>
  </si>
  <si>
    <t>H. Yohanes</t>
  </si>
  <si>
    <t>Faridah / Johan</t>
  </si>
  <si>
    <t>000140</t>
  </si>
  <si>
    <t>000227</t>
  </si>
  <si>
    <t>000366</t>
  </si>
  <si>
    <t>000583</t>
  </si>
  <si>
    <t>Joni</t>
  </si>
  <si>
    <t>Mahmudah</t>
  </si>
  <si>
    <t>Ardianto</t>
  </si>
  <si>
    <t>Jarkasi</t>
  </si>
  <si>
    <t>Bambang Sutrisno</t>
  </si>
  <si>
    <t>001362</t>
  </si>
  <si>
    <t>001547</t>
  </si>
  <si>
    <t>001722</t>
  </si>
  <si>
    <t>001725</t>
  </si>
  <si>
    <t>002338</t>
  </si>
  <si>
    <t>Mulyadi/Ilam</t>
  </si>
  <si>
    <t>Samsul Anwar</t>
  </si>
  <si>
    <t>Nordin</t>
  </si>
  <si>
    <t>Romansyah</t>
  </si>
  <si>
    <t>Komariah</t>
  </si>
  <si>
    <t>Salian</t>
  </si>
  <si>
    <t>TASLIM</t>
  </si>
  <si>
    <t>SOEYAMTO</t>
  </si>
  <si>
    <t>002767</t>
  </si>
  <si>
    <t>002777</t>
  </si>
  <si>
    <t>002839</t>
  </si>
  <si>
    <t>002913</t>
  </si>
  <si>
    <t>003016</t>
  </si>
  <si>
    <t>003059</t>
  </si>
  <si>
    <t>BPTDN/05/III/2018</t>
  </si>
  <si>
    <t>Kuala Pembuang, 06 Maret  2018</t>
  </si>
  <si>
    <t>Masrun</t>
  </si>
  <si>
    <t>H. Syahrani</t>
  </si>
  <si>
    <t>Salapuddin Ansyari</t>
  </si>
  <si>
    <t>000035</t>
  </si>
  <si>
    <t>000126</t>
  </si>
  <si>
    <t>000386</t>
  </si>
  <si>
    <t>000491</t>
  </si>
  <si>
    <t>000521</t>
  </si>
  <si>
    <t>000884</t>
  </si>
  <si>
    <t>001040</t>
  </si>
  <si>
    <t>A. Efendi</t>
  </si>
  <si>
    <t>Hj. Tristanti B</t>
  </si>
  <si>
    <t>Budi Setiawan, SE</t>
  </si>
  <si>
    <t>Masrifah</t>
  </si>
  <si>
    <t>Jamaludin, SP</t>
  </si>
  <si>
    <t>Darem</t>
  </si>
  <si>
    <t>Totok, SH</t>
  </si>
  <si>
    <t>Hendra</t>
  </si>
  <si>
    <t>Abdul Malik, SE</t>
  </si>
  <si>
    <t>Saripin</t>
  </si>
  <si>
    <t>001085</t>
  </si>
  <si>
    <t>001204</t>
  </si>
  <si>
    <t>001230</t>
  </si>
  <si>
    <t>001314</t>
  </si>
  <si>
    <t>001385</t>
  </si>
  <si>
    <t>001410</t>
  </si>
  <si>
    <t>001539</t>
  </si>
  <si>
    <t>002382</t>
  </si>
  <si>
    <t>002589</t>
  </si>
  <si>
    <t>Dedy Hidayat</t>
  </si>
  <si>
    <t>Seipol</t>
  </si>
  <si>
    <t>Asmudin</t>
  </si>
  <si>
    <t>Kahfi</t>
  </si>
  <si>
    <t>002829</t>
  </si>
  <si>
    <t>002733</t>
  </si>
  <si>
    <t>BPTDN/06/III/2018</t>
  </si>
  <si>
    <t>Kuala Pembuang, 07 Maret  2018</t>
  </si>
  <si>
    <t>Ngadeni</t>
  </si>
  <si>
    <t>Didik Hariatmaja</t>
  </si>
  <si>
    <t>Rustam M</t>
  </si>
  <si>
    <t>000446</t>
  </si>
  <si>
    <t>000485</t>
  </si>
  <si>
    <t>000627</t>
  </si>
  <si>
    <t>001182</t>
  </si>
  <si>
    <t>001214</t>
  </si>
  <si>
    <t>001216</t>
  </si>
  <si>
    <t>001245</t>
  </si>
  <si>
    <t>001252</t>
  </si>
  <si>
    <t>001295</t>
  </si>
  <si>
    <t>001339</t>
  </si>
  <si>
    <t>001345</t>
  </si>
  <si>
    <t>Siti Mutmainah D</t>
  </si>
  <si>
    <t>Julianti</t>
  </si>
  <si>
    <t>Marfuah, SE</t>
  </si>
  <si>
    <t>Hj. Mislah</t>
  </si>
  <si>
    <t>Arbayah</t>
  </si>
  <si>
    <t>Megawati</t>
  </si>
  <si>
    <t>Pos Kes Des Sei Undang</t>
  </si>
  <si>
    <t>H. Anang Maskuni</t>
  </si>
  <si>
    <t>Pustu Sei Mitak</t>
  </si>
  <si>
    <t>PUSKESMAS KP I</t>
  </si>
  <si>
    <t>Pustu Pematang Limau</t>
  </si>
  <si>
    <t>PUSTU SEI UNDANG</t>
  </si>
  <si>
    <t>Nonong B</t>
  </si>
  <si>
    <t>Pos Kes Des</t>
  </si>
  <si>
    <t>Tito Riandy</t>
  </si>
  <si>
    <t>Sasmita, SP</t>
  </si>
  <si>
    <t>001346</t>
  </si>
  <si>
    <t>001363</t>
  </si>
  <si>
    <t>001390</t>
  </si>
  <si>
    <t>001479</t>
  </si>
  <si>
    <t>001745</t>
  </si>
  <si>
    <t>001800</t>
  </si>
  <si>
    <t>001930</t>
  </si>
  <si>
    <t>001973</t>
  </si>
  <si>
    <t>002038</t>
  </si>
  <si>
    <t>002306</t>
  </si>
  <si>
    <t>002358</t>
  </si>
  <si>
    <t>TK Noor Hidayah</t>
  </si>
  <si>
    <t>Ariani</t>
  </si>
  <si>
    <t>BPTDN/07/III/2018</t>
  </si>
  <si>
    <t>Kuala Pembuang, 08 Maret  2018</t>
  </si>
  <si>
    <t>Amin Suhaimi</t>
  </si>
  <si>
    <t>Marjoko</t>
  </si>
  <si>
    <t>Hendra Anang</t>
  </si>
  <si>
    <t>H. Junaid M</t>
  </si>
  <si>
    <t>000161</t>
  </si>
  <si>
    <t>000202</t>
  </si>
  <si>
    <t>000222</t>
  </si>
  <si>
    <t>000532</t>
  </si>
  <si>
    <t>000552</t>
  </si>
  <si>
    <t>000682</t>
  </si>
  <si>
    <t>000737</t>
  </si>
  <si>
    <t>000936</t>
  </si>
  <si>
    <t>001119</t>
  </si>
  <si>
    <t>001492</t>
  </si>
  <si>
    <t>001511</t>
  </si>
  <si>
    <t>Bambang S</t>
  </si>
  <si>
    <t>Mahlikul</t>
  </si>
  <si>
    <t>Pandu suyoto</t>
  </si>
  <si>
    <t>Agus</t>
  </si>
  <si>
    <t>Asmi</t>
  </si>
  <si>
    <t>Wardah</t>
  </si>
  <si>
    <t>Anang Dirjo</t>
  </si>
  <si>
    <t>Mochamad Yamin</t>
  </si>
  <si>
    <t>Muhammad Abdiannoor</t>
  </si>
  <si>
    <t>Gilang/M. Subahan</t>
  </si>
  <si>
    <t>001952</t>
  </si>
  <si>
    <t>002791</t>
  </si>
  <si>
    <t>002830</t>
  </si>
  <si>
    <t>Iwan Juwarno</t>
  </si>
  <si>
    <t>BPTDN/08/III/2018</t>
  </si>
  <si>
    <t>Kuala Pembuang, 09 Maret  2018</t>
  </si>
  <si>
    <t>Rusmini</t>
  </si>
  <si>
    <t>Lilis Surianti</t>
  </si>
  <si>
    <t>Koharudin</t>
  </si>
  <si>
    <t>Mulia</t>
  </si>
  <si>
    <t>Siti Mutmainah</t>
  </si>
  <si>
    <t>000389</t>
  </si>
  <si>
    <t>000398</t>
  </si>
  <si>
    <t>000543</t>
  </si>
  <si>
    <t>000545</t>
  </si>
  <si>
    <t>001403</t>
  </si>
  <si>
    <t>001548</t>
  </si>
  <si>
    <t>001967</t>
  </si>
  <si>
    <t>002067</t>
  </si>
  <si>
    <t>Rusdi</t>
  </si>
  <si>
    <t>Muchdar</t>
  </si>
  <si>
    <t>Aspol Barak Dalmas</t>
  </si>
  <si>
    <t>M. Fitriyansyah</t>
  </si>
  <si>
    <t>002280</t>
  </si>
  <si>
    <t>002468</t>
  </si>
  <si>
    <t>002476</t>
  </si>
  <si>
    <t>Mira Handayani</t>
  </si>
  <si>
    <t>Husaini, S. Hi</t>
  </si>
  <si>
    <t>Kantor BPBD</t>
  </si>
  <si>
    <t>002621</t>
  </si>
  <si>
    <t>BPTDN/09/III/2018</t>
  </si>
  <si>
    <t>Kuala Pembuang, 10 Maret  2018</t>
  </si>
  <si>
    <t>Sadar Yani</t>
  </si>
  <si>
    <t>Mariati</t>
  </si>
  <si>
    <t>Tommy Firmansyah</t>
  </si>
  <si>
    <t>Ary Dadan Riskianriadi</t>
  </si>
  <si>
    <t>000321</t>
  </si>
  <si>
    <t>000514</t>
  </si>
  <si>
    <t>000820</t>
  </si>
  <si>
    <t>001168</t>
  </si>
  <si>
    <t>001178</t>
  </si>
  <si>
    <t>001349</t>
  </si>
  <si>
    <t>001435</t>
  </si>
  <si>
    <t>001568</t>
  </si>
  <si>
    <t>001597</t>
  </si>
  <si>
    <t>001764</t>
  </si>
  <si>
    <t>002085</t>
  </si>
  <si>
    <t>002343</t>
  </si>
  <si>
    <t>Saleh</t>
  </si>
  <si>
    <t>Shaleh</t>
  </si>
  <si>
    <t>Ismail</t>
  </si>
  <si>
    <t>Maimunah</t>
  </si>
  <si>
    <t>Lawiyah Candra IN</t>
  </si>
  <si>
    <t>Parta</t>
  </si>
  <si>
    <t>Nursam Siam</t>
  </si>
  <si>
    <t>Tuti Maidani</t>
  </si>
  <si>
    <t>Noor Hasan</t>
  </si>
  <si>
    <t>002351</t>
  </si>
  <si>
    <t>002377</t>
  </si>
  <si>
    <t>002548</t>
  </si>
  <si>
    <t>002847</t>
  </si>
  <si>
    <t>BPTDN/10/III/2018</t>
  </si>
  <si>
    <t>Kuala Pembuang, 12 Maret  2018</t>
  </si>
  <si>
    <t>SMUN</t>
  </si>
  <si>
    <t>Rusmini/Iyan</t>
  </si>
  <si>
    <t>000312</t>
  </si>
  <si>
    <t>000948</t>
  </si>
  <si>
    <t>000979</t>
  </si>
  <si>
    <t>001029</t>
  </si>
  <si>
    <t>001072</t>
  </si>
  <si>
    <t>001225</t>
  </si>
  <si>
    <t>Rina Budiyarti</t>
  </si>
  <si>
    <t>Budianto</t>
  </si>
  <si>
    <t>Nanang</t>
  </si>
  <si>
    <t>Eko Harjanto</t>
  </si>
  <si>
    <t>Sunandar Sayidinsyah</t>
  </si>
  <si>
    <t>Hairanoor</t>
  </si>
  <si>
    <t>M. AL.Mutalib</t>
  </si>
  <si>
    <t>Ahmat Saukani</t>
  </si>
  <si>
    <t>Saidi Shabara</t>
  </si>
  <si>
    <t>Sarah</t>
  </si>
  <si>
    <t>Siti Murn</t>
  </si>
  <si>
    <t>001398</t>
  </si>
  <si>
    <t>001464</t>
  </si>
  <si>
    <t>001446</t>
  </si>
  <si>
    <t>001671</t>
  </si>
  <si>
    <t>001710</t>
  </si>
  <si>
    <t>001713</t>
  </si>
  <si>
    <t>001787</t>
  </si>
  <si>
    <t>001974</t>
  </si>
  <si>
    <t>002000</t>
  </si>
  <si>
    <t>002053</t>
  </si>
  <si>
    <t>002428</t>
  </si>
  <si>
    <t>Khusnul Hatimah</t>
  </si>
  <si>
    <t>Idah</t>
  </si>
  <si>
    <t>Pipin Monika Sari</t>
  </si>
  <si>
    <t>Muhammad Saiful</t>
  </si>
  <si>
    <t>Udin</t>
  </si>
  <si>
    <t>Adriana Mapau</t>
  </si>
  <si>
    <t>Yuniarti</t>
  </si>
  <si>
    <t>AFIRUS FEBIAN</t>
  </si>
  <si>
    <t>002432</t>
  </si>
  <si>
    <t>002482</t>
  </si>
  <si>
    <t>002882</t>
  </si>
  <si>
    <t>003060</t>
  </si>
  <si>
    <t>BPTDN/11/III/2018</t>
  </si>
  <si>
    <t>Kuala Pembuang, 13 Maret  2018</t>
  </si>
  <si>
    <t>Jumawal</t>
  </si>
  <si>
    <t>Andi Aswita B</t>
  </si>
  <si>
    <t>Ambo Saka</t>
  </si>
  <si>
    <t>000380</t>
  </si>
  <si>
    <t>000436</t>
  </si>
  <si>
    <t>000654</t>
  </si>
  <si>
    <t>000657</t>
  </si>
  <si>
    <t>Riseh</t>
  </si>
  <si>
    <t>001433</t>
  </si>
  <si>
    <t>001780</t>
  </si>
  <si>
    <t>001837</t>
  </si>
  <si>
    <t>Hj. Bahriah</t>
  </si>
  <si>
    <t>Mustapa Kamal Pasa</t>
  </si>
  <si>
    <t>Maslan</t>
  </si>
  <si>
    <t>Sariffudin</t>
  </si>
  <si>
    <t>Santi</t>
  </si>
  <si>
    <t>Parissa Sawasti, RN</t>
  </si>
  <si>
    <t>Piau Sandoa</t>
  </si>
  <si>
    <t>002236</t>
  </si>
  <si>
    <t>002245</t>
  </si>
  <si>
    <t>002362</t>
  </si>
  <si>
    <t>002389</t>
  </si>
  <si>
    <t>002505</t>
  </si>
  <si>
    <t>002587</t>
  </si>
  <si>
    <t>Ali Tugiantono</t>
  </si>
  <si>
    <t>002258</t>
  </si>
  <si>
    <t>BPTDN/12/III/2018</t>
  </si>
  <si>
    <t>Kuala Pembuang, 14 Maret  2018</t>
  </si>
  <si>
    <t>Sales Jani</t>
  </si>
  <si>
    <t>Taufik Kurafhman, S. Pi</t>
  </si>
  <si>
    <t>000062</t>
  </si>
  <si>
    <t>000644</t>
  </si>
  <si>
    <t>000787</t>
  </si>
  <si>
    <t>001219</t>
  </si>
  <si>
    <t>001418</t>
  </si>
  <si>
    <t>001554</t>
  </si>
  <si>
    <t>001660</t>
  </si>
  <si>
    <t>001752</t>
  </si>
  <si>
    <t>001982</t>
  </si>
  <si>
    <t>Riyanto</t>
  </si>
  <si>
    <t>H. Sutrisno</t>
  </si>
  <si>
    <t>Salmin</t>
  </si>
  <si>
    <t>Romani</t>
  </si>
  <si>
    <t>Hartin Sumarni, SP</t>
  </si>
  <si>
    <t>Arliani</t>
  </si>
  <si>
    <t>BPTDN/13/III/2018</t>
  </si>
  <si>
    <t>Kuala Pembuang, 15 Maret  2018</t>
  </si>
  <si>
    <t>Ktr Dinas PU</t>
  </si>
  <si>
    <t>Ktr Dinas Banwasda</t>
  </si>
  <si>
    <t>Darwis S. Pt</t>
  </si>
  <si>
    <t>000662</t>
  </si>
  <si>
    <t>000666</t>
  </si>
  <si>
    <t>000791</t>
  </si>
  <si>
    <t>000823</t>
  </si>
  <si>
    <t>000892</t>
  </si>
  <si>
    <t>001034</t>
  </si>
  <si>
    <t>001044</t>
  </si>
  <si>
    <t>001348</t>
  </si>
  <si>
    <t>001377</t>
  </si>
  <si>
    <t>Sutopo Yuwono</t>
  </si>
  <si>
    <t>Ktr. BPPKB</t>
  </si>
  <si>
    <t>Drs. Edy Riswan</t>
  </si>
  <si>
    <t>Syarif Faini D</t>
  </si>
  <si>
    <t>Ismiranto, MPH</t>
  </si>
  <si>
    <t>Ali</t>
  </si>
  <si>
    <t>Siti Raudah</t>
  </si>
  <si>
    <t>Darmadi</t>
  </si>
  <si>
    <t>001579</t>
  </si>
  <si>
    <t>002361</t>
  </si>
  <si>
    <t>IR. ILYAS</t>
  </si>
  <si>
    <t>003018</t>
  </si>
  <si>
    <t>BPTDN/14/III/2018</t>
  </si>
  <si>
    <t>Kuala Pembuang, 16 Maret  2018</t>
  </si>
  <si>
    <t>Kejari I</t>
  </si>
  <si>
    <t>Ali Imbran</t>
  </si>
  <si>
    <t>M. Ramdiansyah</t>
  </si>
  <si>
    <t>000478</t>
  </si>
  <si>
    <t>000510</t>
  </si>
  <si>
    <t>000511</t>
  </si>
  <si>
    <t>000684</t>
  </si>
  <si>
    <t>000726</t>
  </si>
  <si>
    <t>001193</t>
  </si>
  <si>
    <t>Kasmadiansyah A</t>
  </si>
  <si>
    <t>Azizah</t>
  </si>
  <si>
    <t>Kejari VIII</t>
  </si>
  <si>
    <t>Roy Poltak Asina S. S.E</t>
  </si>
  <si>
    <t>001561</t>
  </si>
  <si>
    <t>001635</t>
  </si>
  <si>
    <t>002506</t>
  </si>
  <si>
    <t>002721</t>
  </si>
  <si>
    <t>002756</t>
  </si>
  <si>
    <t>002904</t>
  </si>
  <si>
    <t>002928</t>
  </si>
  <si>
    <t>002744</t>
  </si>
  <si>
    <t>Arie Yannur</t>
  </si>
  <si>
    <t>Latifah</t>
  </si>
  <si>
    <t>Hadiyanto</t>
  </si>
  <si>
    <t>Johani</t>
  </si>
  <si>
    <t>Agus Aprianto</t>
  </si>
  <si>
    <t>Samsul</t>
  </si>
  <si>
    <t>BPTDN/15/III/2018</t>
  </si>
  <si>
    <t>Kuala Pembuang, 19 Maret  2018</t>
  </si>
  <si>
    <t>000096</t>
  </si>
  <si>
    <t>000496</t>
  </si>
  <si>
    <t>000692</t>
  </si>
  <si>
    <t>000796</t>
  </si>
  <si>
    <t>Tedy Iskandar M</t>
  </si>
  <si>
    <t>Hatuti Arianti</t>
  </si>
  <si>
    <t>Badraini</t>
  </si>
  <si>
    <t>Alus</t>
  </si>
  <si>
    <t>Supatmi</t>
  </si>
  <si>
    <t>Murniana</t>
  </si>
  <si>
    <t>Endang Marlina</t>
  </si>
  <si>
    <t>000997</t>
  </si>
  <si>
    <t>001055</t>
  </si>
  <si>
    <t>001097</t>
  </si>
  <si>
    <t>001108</t>
  </si>
  <si>
    <t>001306</t>
  </si>
  <si>
    <t>001425</t>
  </si>
  <si>
    <t>001542</t>
  </si>
  <si>
    <t>001583</t>
  </si>
  <si>
    <t>001828</t>
  </si>
  <si>
    <t>001829</t>
  </si>
  <si>
    <t>001840</t>
  </si>
  <si>
    <t>001866</t>
  </si>
  <si>
    <t>Adriani</t>
  </si>
  <si>
    <t>Suryani A</t>
  </si>
  <si>
    <t>Syahwi</t>
  </si>
  <si>
    <t>Suhartini</t>
  </si>
  <si>
    <t>Norpiah</t>
  </si>
  <si>
    <t>Bustaniah</t>
  </si>
  <si>
    <t>Darmento</t>
  </si>
  <si>
    <t>Masjid Al Inayah</t>
  </si>
  <si>
    <t>Zainul Abidin, ST</t>
  </si>
  <si>
    <t>Kadir</t>
  </si>
  <si>
    <t>Supriyatno</t>
  </si>
  <si>
    <t>002107</t>
  </si>
  <si>
    <t>002499</t>
  </si>
  <si>
    <t>002538</t>
  </si>
  <si>
    <t>002557</t>
  </si>
  <si>
    <t>002663</t>
  </si>
  <si>
    <t>002771</t>
  </si>
  <si>
    <t>002775</t>
  </si>
  <si>
    <t>002776</t>
  </si>
  <si>
    <t>Nor Fatimah</t>
  </si>
  <si>
    <t>Muhamad Nor Jayadi</t>
  </si>
  <si>
    <t>Badriannoor</t>
  </si>
  <si>
    <t>Istikomah</t>
  </si>
  <si>
    <t>Hasbullah</t>
  </si>
  <si>
    <t>Ilyas</t>
  </si>
  <si>
    <t>SAHBIDIN</t>
  </si>
  <si>
    <t>SAHRULWANTO</t>
  </si>
  <si>
    <t>003007</t>
  </si>
  <si>
    <t>003021</t>
  </si>
  <si>
    <t>BPTDN/16/III/2018</t>
  </si>
  <si>
    <t>Kuala Pembuang, 20 Maret  2018</t>
  </si>
  <si>
    <t>HA Rusdi</t>
  </si>
  <si>
    <t>000181</t>
  </si>
  <si>
    <t>000384</t>
  </si>
  <si>
    <t>000440</t>
  </si>
  <si>
    <t>000538</t>
  </si>
  <si>
    <t>000578</t>
  </si>
  <si>
    <t>000593</t>
  </si>
  <si>
    <t>Mursid</t>
  </si>
  <si>
    <t>Hananta M.S</t>
  </si>
  <si>
    <t>HM. Murjikinsyah A</t>
  </si>
  <si>
    <t>Karsemiati</t>
  </si>
  <si>
    <t>Aliya</t>
  </si>
  <si>
    <t>Harjanto E</t>
  </si>
  <si>
    <t>Salbiyah</t>
  </si>
  <si>
    <t>Imur</t>
  </si>
  <si>
    <t>000784</t>
  </si>
  <si>
    <t>000946</t>
  </si>
  <si>
    <t>000984</t>
  </si>
  <si>
    <t>001002</t>
  </si>
  <si>
    <t>001131</t>
  </si>
  <si>
    <t>001401</t>
  </si>
  <si>
    <t>001414</t>
  </si>
  <si>
    <t>Kantor DPKAD</t>
  </si>
  <si>
    <t>Septedi Anata B</t>
  </si>
  <si>
    <t>A. Kahar</t>
  </si>
  <si>
    <t>Revi Irahap Winto</t>
  </si>
  <si>
    <t>Bahrudin, ST</t>
  </si>
  <si>
    <t>Joko Supianto</t>
  </si>
  <si>
    <t>Diman A</t>
  </si>
  <si>
    <t>001528</t>
  </si>
  <si>
    <t>001601</t>
  </si>
  <si>
    <t>Yansah</t>
  </si>
  <si>
    <t>001744</t>
  </si>
  <si>
    <t>001830</t>
  </si>
  <si>
    <t>001845</t>
  </si>
  <si>
    <t>H. Muhamad Hanfie</t>
  </si>
  <si>
    <t>Taslimah</t>
  </si>
  <si>
    <t>Arie Dmiyanthie</t>
  </si>
  <si>
    <t>002075</t>
  </si>
  <si>
    <t>002089</t>
  </si>
  <si>
    <t>002098</t>
  </si>
  <si>
    <t>002410</t>
  </si>
  <si>
    <t>002494</t>
  </si>
  <si>
    <t>002546</t>
  </si>
  <si>
    <t>002553</t>
  </si>
  <si>
    <t>002835</t>
  </si>
  <si>
    <t>Hadiatur Rahmadani</t>
  </si>
  <si>
    <t>Matruji</t>
  </si>
  <si>
    <t>Muhidinsyah</t>
  </si>
  <si>
    <t>Pujianti</t>
  </si>
  <si>
    <t>Adie Wirasetyawan</t>
  </si>
  <si>
    <t>BPTDN/17/III/2018</t>
  </si>
  <si>
    <t>Kuala Pembuang, 21 Maret  2018</t>
  </si>
  <si>
    <t>HA. Haima</t>
  </si>
  <si>
    <t>M. Ali A</t>
  </si>
  <si>
    <t>M. Ali E</t>
  </si>
  <si>
    <t>Hadsah</t>
  </si>
  <si>
    <t>000044</t>
  </si>
  <si>
    <t>000503</t>
  </si>
  <si>
    <t>000875</t>
  </si>
  <si>
    <t>000879</t>
  </si>
  <si>
    <t>001284</t>
  </si>
  <si>
    <t>H. Anang Maskuni A</t>
  </si>
  <si>
    <t>H. Anang Maskuni G</t>
  </si>
  <si>
    <t>H. Anang Maskuni I</t>
  </si>
  <si>
    <t>Waris Susanto</t>
  </si>
  <si>
    <t>Abdullah C</t>
  </si>
  <si>
    <t>Hamdan</t>
  </si>
  <si>
    <t>Rimba Setia Wijaya A</t>
  </si>
  <si>
    <t>Haris Budiyanto</t>
  </si>
  <si>
    <t>Heru Ismanto</t>
  </si>
  <si>
    <t>Nurlelawati</t>
  </si>
  <si>
    <t>UPTD PP dan KB</t>
  </si>
  <si>
    <t>001291</t>
  </si>
  <si>
    <t>001298</t>
  </si>
  <si>
    <t>001300</t>
  </si>
  <si>
    <t>001305</t>
  </si>
  <si>
    <t>001373</t>
  </si>
  <si>
    <t>001516</t>
  </si>
  <si>
    <t>001666</t>
  </si>
  <si>
    <t>001849</t>
  </si>
  <si>
    <t>001939</t>
  </si>
  <si>
    <t>002041</t>
  </si>
  <si>
    <t>002188</t>
  </si>
  <si>
    <t>002249</t>
  </si>
  <si>
    <t>002310</t>
  </si>
  <si>
    <t>002405</t>
  </si>
  <si>
    <t>002486</t>
  </si>
  <si>
    <t>002507</t>
  </si>
  <si>
    <t>002605</t>
  </si>
  <si>
    <t>002686</t>
  </si>
  <si>
    <t>002890</t>
  </si>
  <si>
    <t>002906</t>
  </si>
  <si>
    <t>003062</t>
  </si>
  <si>
    <t>Iwansyah/Roti</t>
  </si>
  <si>
    <t>Budi Susilo</t>
  </si>
  <si>
    <t>Sadiman</t>
  </si>
  <si>
    <t>Hani</t>
  </si>
  <si>
    <t>Damin</t>
  </si>
  <si>
    <t>Dayang santi</t>
  </si>
  <si>
    <t>TUMIJAN</t>
  </si>
  <si>
    <t>BPTDN/18/III/2018</t>
  </si>
  <si>
    <t>Kuala Pembuang, 22 Maret  2018</t>
  </si>
  <si>
    <t>Edi suandy/Ikul</t>
  </si>
  <si>
    <t>Yahyatra, Amd</t>
  </si>
  <si>
    <t>Alexander A</t>
  </si>
  <si>
    <t>Alexander B</t>
  </si>
  <si>
    <t>Sri Wibowo</t>
  </si>
  <si>
    <t>Rahmad Saufi, S. Pd</t>
  </si>
  <si>
    <t>Alek Sudiono</t>
  </si>
  <si>
    <t>Ikin</t>
  </si>
  <si>
    <t>Sani</t>
  </si>
  <si>
    <t>000275</t>
  </si>
  <si>
    <t>000594</t>
  </si>
  <si>
    <t>000607</t>
  </si>
  <si>
    <t>000615</t>
  </si>
  <si>
    <t>001641</t>
  </si>
  <si>
    <t>001758</t>
  </si>
  <si>
    <t>001902</t>
  </si>
  <si>
    <t>001903</t>
  </si>
  <si>
    <t>001943</t>
  </si>
  <si>
    <t>001285</t>
  </si>
  <si>
    <t>001992</t>
  </si>
  <si>
    <t>002092</t>
  </si>
  <si>
    <t>002110</t>
  </si>
  <si>
    <t>002559</t>
  </si>
  <si>
    <t>002742</t>
  </si>
  <si>
    <t>002825</t>
  </si>
  <si>
    <t>002929</t>
  </si>
  <si>
    <t>003033</t>
  </si>
  <si>
    <t>Helmi Fauzi</t>
  </si>
  <si>
    <t>Dijah</t>
  </si>
  <si>
    <t>Sayhbud n</t>
  </si>
  <si>
    <t>Mawan</t>
  </si>
  <si>
    <t>Sarji</t>
  </si>
  <si>
    <t>Suswandi</t>
  </si>
  <si>
    <t>BPTDN/19/III/2018</t>
  </si>
  <si>
    <t>Kuala Pembuang, 23 Maret  2018</t>
  </si>
  <si>
    <t>BPTDN/20/III/2018</t>
  </si>
  <si>
    <t>Kuala Pembuang, 24 Maret  2018</t>
  </si>
  <si>
    <t>Makiah/Igos</t>
  </si>
  <si>
    <t>S. Hasim</t>
  </si>
  <si>
    <t>Suyitno</t>
  </si>
  <si>
    <t>Simpen</t>
  </si>
  <si>
    <t>A. Manaf</t>
  </si>
  <si>
    <t>Hj. Norjenah</t>
  </si>
  <si>
    <t>000399</t>
  </si>
  <si>
    <t>000415</t>
  </si>
  <si>
    <t>000778</t>
  </si>
  <si>
    <t>000964</t>
  </si>
  <si>
    <t>001272</t>
  </si>
  <si>
    <t>001509</t>
  </si>
  <si>
    <t>001574</t>
  </si>
  <si>
    <t>001591</t>
  </si>
  <si>
    <t>002321</t>
  </si>
  <si>
    <t>002604</t>
  </si>
  <si>
    <t>002616</t>
  </si>
  <si>
    <t>002647</t>
  </si>
  <si>
    <t>003056</t>
  </si>
  <si>
    <t>Muhammad Hadi Shabara</t>
  </si>
  <si>
    <t>Hatta Amrullah</t>
  </si>
  <si>
    <t>Arliani VI</t>
  </si>
  <si>
    <t>Yuliadi</t>
  </si>
  <si>
    <t>Sulaimar</t>
  </si>
  <si>
    <t>MURSYIDAH, S. PDI</t>
  </si>
  <si>
    <t>Husain</t>
  </si>
  <si>
    <t>Tio Ifan Arisda</t>
  </si>
  <si>
    <t>Kejari III</t>
  </si>
  <si>
    <t>Fahriani</t>
  </si>
  <si>
    <t>Deni Gunawan, A.Md</t>
  </si>
  <si>
    <t>000072</t>
  </si>
  <si>
    <t>000919</t>
  </si>
  <si>
    <t>001012</t>
  </si>
  <si>
    <t>001058</t>
  </si>
  <si>
    <t>001351</t>
  </si>
  <si>
    <t>001370</t>
  </si>
  <si>
    <t>001674</t>
  </si>
  <si>
    <t>Aris</t>
  </si>
  <si>
    <t>Siti Rokayah</t>
  </si>
  <si>
    <t>BPTDN/21/III/2018</t>
  </si>
  <si>
    <t>Arpan Efendi</t>
  </si>
  <si>
    <t>M. Fadlan</t>
  </si>
  <si>
    <t>Agus Suharto</t>
  </si>
  <si>
    <t>WIWIK WIDAYATI</t>
  </si>
  <si>
    <t>Alamat Fitri Hartoni</t>
  </si>
  <si>
    <t>000154</t>
  </si>
  <si>
    <t>000155</t>
  </si>
  <si>
    <t>000806</t>
  </si>
  <si>
    <t>000876</t>
  </si>
  <si>
    <t>000917</t>
  </si>
  <si>
    <t>Kejari X</t>
  </si>
  <si>
    <t>Kardiansyah, SE</t>
  </si>
  <si>
    <t>Farida Marantika</t>
  </si>
  <si>
    <t>Johansyah C</t>
  </si>
  <si>
    <t>001566</t>
  </si>
  <si>
    <t>001645</t>
  </si>
  <si>
    <t>001656</t>
  </si>
  <si>
    <t>001789</t>
  </si>
  <si>
    <t>002130</t>
  </si>
  <si>
    <t>David Dzulkarnain</t>
  </si>
  <si>
    <t>002279</t>
  </si>
  <si>
    <t>Kuala Pembuang, 26 Maret  2018</t>
  </si>
  <si>
    <t>BPTDN/22/III/2018</t>
  </si>
  <si>
    <t>Kuala Pembuang, 27 Maret  2018</t>
  </si>
  <si>
    <t>GT. M. Yusran</t>
  </si>
  <si>
    <t>Marjan</t>
  </si>
  <si>
    <t>Hartatik</t>
  </si>
  <si>
    <t>Rujab. Kabag Ops Polres</t>
  </si>
  <si>
    <t>000016</t>
  </si>
  <si>
    <t>000621</t>
  </si>
  <si>
    <t>000550</t>
  </si>
  <si>
    <t>000844</t>
  </si>
  <si>
    <t>000886</t>
  </si>
  <si>
    <t>001127</t>
  </si>
  <si>
    <t>001158</t>
  </si>
  <si>
    <t>001369</t>
  </si>
  <si>
    <t>001481</t>
  </si>
  <si>
    <t>001593</t>
  </si>
  <si>
    <t>001831</t>
  </si>
  <si>
    <t>Unan</t>
  </si>
  <si>
    <t>Nanik Novita</t>
  </si>
  <si>
    <t>Padlan</t>
  </si>
  <si>
    <t>Mey Liana Wati Lay</t>
  </si>
  <si>
    <t>002314</t>
  </si>
  <si>
    <t>002453</t>
  </si>
  <si>
    <t>002990</t>
  </si>
  <si>
    <t>Bustan</t>
  </si>
  <si>
    <t>Saprudin</t>
  </si>
  <si>
    <t>Aluh</t>
  </si>
  <si>
    <t>BPTDN/23/III/2018</t>
  </si>
  <si>
    <t>Kuala Pembuang, 28 Maret  2018</t>
  </si>
  <si>
    <t>Siti Urifah</t>
  </si>
  <si>
    <t>Juana</t>
  </si>
  <si>
    <t>I Gede Data Widiyatmika</t>
  </si>
  <si>
    <t>Siti Kalsum</t>
  </si>
  <si>
    <t>000273</t>
  </si>
  <si>
    <t>000378</t>
  </si>
  <si>
    <t>000890</t>
  </si>
  <si>
    <t>000939</t>
  </si>
  <si>
    <t>001313</t>
  </si>
  <si>
    <t>001607</t>
  </si>
  <si>
    <t>002271</t>
  </si>
  <si>
    <t>002463</t>
  </si>
  <si>
    <t>002516</t>
  </si>
  <si>
    <t>Nopiman</t>
  </si>
  <si>
    <t>Hj. Norjenah, S. Ag. A</t>
  </si>
  <si>
    <t>Iman Normansyah</t>
  </si>
  <si>
    <t>Eva Teresia Butar B, A. Md</t>
  </si>
  <si>
    <t>Hanisa</t>
  </si>
  <si>
    <t>BPTDN/24/III/2018</t>
  </si>
  <si>
    <t>Kuala Pembuang, 29 Maret  2018</t>
  </si>
  <si>
    <t>Rujab Kadis Pertanian</t>
  </si>
  <si>
    <t>Soeni</t>
  </si>
  <si>
    <t>H. Muamar</t>
  </si>
  <si>
    <t>000052</t>
  </si>
  <si>
    <t>000458</t>
  </si>
  <si>
    <t>000690</t>
  </si>
  <si>
    <t>000750</t>
  </si>
  <si>
    <t>000766</t>
  </si>
  <si>
    <t>000921</t>
  </si>
  <si>
    <t>001125</t>
  </si>
  <si>
    <t>001399</t>
  </si>
  <si>
    <t>001412</t>
  </si>
  <si>
    <t>002151</t>
  </si>
  <si>
    <t>002420</t>
  </si>
  <si>
    <t>002590</t>
  </si>
  <si>
    <t>Imam Sugiarto, SE</t>
  </si>
  <si>
    <t>Hj. Tristianti A</t>
  </si>
  <si>
    <t>Sukiman</t>
  </si>
  <si>
    <t>Ktr. Kades Sei. Undang</t>
  </si>
  <si>
    <t>Mulie</t>
  </si>
  <si>
    <t>Imam Sugiarto</t>
  </si>
  <si>
    <t>Kuala Pembuang, 02 April 2018</t>
  </si>
  <si>
    <t>BPTDN/25/III/2018</t>
  </si>
  <si>
    <t>Kuala Pembuang, 31 Maret  2018</t>
  </si>
  <si>
    <t>BPTDN/01/IV/2018</t>
  </si>
  <si>
    <t>Adim Wijaya</t>
  </si>
  <si>
    <t xml:space="preserve">H. Hasanudin </t>
  </si>
  <si>
    <t>000130</t>
  </si>
  <si>
    <t>000547</t>
  </si>
  <si>
    <t>000614</t>
  </si>
  <si>
    <t>000703</t>
  </si>
  <si>
    <t>000723</t>
  </si>
  <si>
    <t>000827</t>
  </si>
  <si>
    <t>000887</t>
  </si>
  <si>
    <t>001103</t>
  </si>
  <si>
    <t>Edy Susanto</t>
  </si>
  <si>
    <t>HM. Murjikinsyah J</t>
  </si>
  <si>
    <t>Jumiatin</t>
  </si>
  <si>
    <t>Robby Lesmana G</t>
  </si>
  <si>
    <t>Rumdis Ass. 1. Sekda</t>
  </si>
  <si>
    <t>Arbain</t>
  </si>
  <si>
    <t>Maspur Kholis</t>
  </si>
  <si>
    <t>Norlioyant e</t>
  </si>
  <si>
    <t>Ningsih</t>
  </si>
  <si>
    <t>Irfan</t>
  </si>
  <si>
    <t>Sakka</t>
  </si>
  <si>
    <t>001310</t>
  </si>
  <si>
    <t>001609</t>
  </si>
  <si>
    <t>001688</t>
  </si>
  <si>
    <t>Galuh Rusdiana</t>
  </si>
  <si>
    <t>Syahrunah</t>
  </si>
  <si>
    <t>Iga Nyoman SDS</t>
  </si>
  <si>
    <t>001747</t>
  </si>
  <si>
    <t>001991</t>
  </si>
  <si>
    <t>002052</t>
  </si>
  <si>
    <t>002079</t>
  </si>
  <si>
    <t>002147</t>
  </si>
  <si>
    <t>002150</t>
  </si>
  <si>
    <t>002273</t>
  </si>
  <si>
    <t>002353</t>
  </si>
  <si>
    <t>002512</t>
  </si>
  <si>
    <t>Verino</t>
  </si>
  <si>
    <t>Irlianto A Amsyah</t>
  </si>
  <si>
    <t>Zakaria</t>
  </si>
  <si>
    <t>NORTAJALI</t>
  </si>
  <si>
    <t>003065</t>
  </si>
  <si>
    <t>BPTDN/02/IV/2018</t>
  </si>
  <si>
    <t>Ipik G</t>
  </si>
  <si>
    <t>000326</t>
  </si>
  <si>
    <t>000572</t>
  </si>
  <si>
    <t>000656</t>
  </si>
  <si>
    <t>000770</t>
  </si>
  <si>
    <t>000849</t>
  </si>
  <si>
    <t>Abas Sugianto</t>
  </si>
  <si>
    <t>M. Junaidi</t>
  </si>
  <si>
    <t>Bawai Idham</t>
  </si>
  <si>
    <t>H. Suparman</t>
  </si>
  <si>
    <t>Teguh Priyatno</t>
  </si>
  <si>
    <t>Heriyati Arsyad</t>
  </si>
  <si>
    <t>Eka Yulianti</t>
  </si>
  <si>
    <t>Meiril Qomar B</t>
  </si>
  <si>
    <t>001186</t>
  </si>
  <si>
    <t>01208</t>
  </si>
  <si>
    <t>001277</t>
  </si>
  <si>
    <t>001512</t>
  </si>
  <si>
    <t>002336</t>
  </si>
  <si>
    <t>002344</t>
  </si>
  <si>
    <t>Maya</t>
  </si>
  <si>
    <t>Yana</t>
  </si>
  <si>
    <t>YOPI KISMANTO I</t>
  </si>
  <si>
    <t>YOPI KISMANTO II</t>
  </si>
  <si>
    <t>YOPI KISMANTO IV</t>
  </si>
  <si>
    <t>002881</t>
  </si>
  <si>
    <t>Piutang Rek. Air -Beban Tetap</t>
  </si>
  <si>
    <t>Pendapatan  Air -Beban Tetap (Adm&amp;DM)</t>
  </si>
  <si>
    <t>JOURNAL REKENING NON AIR (JRNA)</t>
  </si>
  <si>
    <t>BULAN : JANUARI 2019</t>
  </si>
  <si>
    <t>BULAN : DESEMBER 2019</t>
  </si>
  <si>
    <t>BULAN : NOVEMBER 2019</t>
  </si>
  <si>
    <t>BULAN : OKTOBER 2019</t>
  </si>
  <si>
    <t>BULAN : SEPTEMBER 2019</t>
  </si>
  <si>
    <t>BULAN : AGUSTUS 2019</t>
  </si>
  <si>
    <t>BULAN : JULI 2019</t>
  </si>
  <si>
    <t>BULAN : JUNI 2019</t>
  </si>
  <si>
    <t>BULAN : MEI 2019</t>
  </si>
  <si>
    <t>BULAN : APRIL 2019</t>
  </si>
  <si>
    <t>BULAN : MARET 2019</t>
  </si>
  <si>
    <t>BULAN : FEBRUARI 2019</t>
  </si>
  <si>
    <t>1 Juni 19</t>
  </si>
  <si>
    <t>1 Mei 19</t>
  </si>
  <si>
    <t xml:space="preserve">1 April </t>
  </si>
  <si>
    <t xml:space="preserve">1 Maret </t>
  </si>
  <si>
    <t xml:space="preserve">1 Feb </t>
  </si>
  <si>
    <t xml:space="preserve">1 Jan </t>
  </si>
  <si>
    <t>1 Jan</t>
  </si>
  <si>
    <t>JP '18</t>
  </si>
  <si>
    <t>Iuran BPJS Ketenagakerjaan</t>
  </si>
  <si>
    <t>Pemby. Iuran DAPENMA PAMSI</t>
  </si>
  <si>
    <t>Pemb. Paket Internet</t>
  </si>
  <si>
    <t>Pemb. Bola Lampu</t>
  </si>
  <si>
    <t>Pemby. Dana Representatif Direktur</t>
  </si>
  <si>
    <t>Pemby. Biaya Konsumsi Pegawai</t>
  </si>
  <si>
    <t>30 Sept</t>
  </si>
  <si>
    <t>Pendapatan Non Air ( Assessories SR)</t>
  </si>
  <si>
    <t>Pemb. Materai @6000</t>
  </si>
  <si>
    <t>Pemb. Air Minum Pegawai</t>
  </si>
  <si>
    <t>Pendapatan Non Air (Samb. Baru)</t>
  </si>
  <si>
    <t>JOURNAL KOREKSI</t>
  </si>
  <si>
    <t>Pemby. Keamanan Kantor</t>
  </si>
  <si>
    <t>BULAN : JANUARI 2020</t>
  </si>
  <si>
    <t>Piutang Rek Air - Tempat Ibadah (TI)</t>
  </si>
  <si>
    <t>Piutang Rek Air - Panti Asuhan (PA)</t>
  </si>
  <si>
    <t>Piutang Rek Air - Yayasan Sosial (YS)</t>
  </si>
  <si>
    <t>Piutang Rek Air - Sekolah Negeri &amp; Swasta (S)</t>
  </si>
  <si>
    <t>Piutang Rek Air - Rumah Tangga 1 (R1)</t>
  </si>
  <si>
    <t>Piutang Rek Air - Rumah Tangga 2 (R2)</t>
  </si>
  <si>
    <t>Piutang Rek Air - Rumah Tangga 3 (R3)</t>
  </si>
  <si>
    <t>Piutang Rek Air - Niaga Kecil (NK)</t>
  </si>
  <si>
    <t>Piutang Rek Air - Industri Rumah Tangga</t>
  </si>
  <si>
    <t>Kode           Perkiraan</t>
  </si>
  <si>
    <t>93.02.30</t>
  </si>
  <si>
    <t>93.02.60</t>
  </si>
  <si>
    <t xml:space="preserve">B. Pemeliharaan Tran dist </t>
  </si>
  <si>
    <t>NAMA PERKIRAAN</t>
  </si>
  <si>
    <t>NOMOR    DRD</t>
  </si>
  <si>
    <t>LEMBAR</t>
  </si>
  <si>
    <t>NO. PERK</t>
  </si>
  <si>
    <t>13.01.11</t>
  </si>
  <si>
    <t>13.01.14</t>
  </si>
  <si>
    <t>13.01.15</t>
  </si>
  <si>
    <t>13.01.16</t>
  </si>
  <si>
    <t>13.01.21</t>
  </si>
  <si>
    <t>13.01.22</t>
  </si>
  <si>
    <t>13.01.23</t>
  </si>
  <si>
    <t>13.01.31</t>
  </si>
  <si>
    <t>13.01.32</t>
  </si>
  <si>
    <t>13.01.33</t>
  </si>
  <si>
    <t>13.01.35</t>
  </si>
  <si>
    <t>Piutang Rek Air - Inst Pemerintah kel/Kec/Kab/Kota</t>
  </si>
  <si>
    <t>13.01.36</t>
  </si>
  <si>
    <t>Piutang Rek Air - Pelabuhan</t>
  </si>
  <si>
    <t>13.01.00</t>
  </si>
  <si>
    <t>81..01.10</t>
  </si>
  <si>
    <t>81.01.20</t>
  </si>
  <si>
    <t>81.01.10</t>
  </si>
  <si>
    <t>Pendapatan Air -Harga Air</t>
  </si>
  <si>
    <t>Pendapatan Air-Harga Air</t>
  </si>
  <si>
    <t>81.02.10</t>
  </si>
  <si>
    <t>Pendapatan Non Air- Penggantian Pipa Persil</t>
  </si>
  <si>
    <t>Pendapatan Non Air - Penggantian Meter Rusak</t>
  </si>
  <si>
    <t>Pendapatan Non Air - Samb. Baru</t>
  </si>
  <si>
    <t>81.02.70</t>
  </si>
  <si>
    <t>81.02.80</t>
  </si>
  <si>
    <t>11.01.00</t>
  </si>
  <si>
    <t>96.02.10</t>
  </si>
  <si>
    <t>B. Penyusutan Sumber Air</t>
  </si>
  <si>
    <t>B. Penyusutan Pengolahan air</t>
  </si>
  <si>
    <t>B. Penyusutan Trandist</t>
  </si>
  <si>
    <t>B. Penyusutan Non Pabrik air</t>
  </si>
  <si>
    <t>31.10.10</t>
  </si>
  <si>
    <t>31.10.20</t>
  </si>
  <si>
    <t>31.10.30</t>
  </si>
  <si>
    <t>31.10.40</t>
  </si>
  <si>
    <t>Akum. Penyusutan Bangunan</t>
  </si>
  <si>
    <t>Akum. Penyusutan Peralatan &amp; Perlengkapan</t>
  </si>
  <si>
    <t>Akum. Penyusutan Kendaraan/Alat Angkut</t>
  </si>
  <si>
    <t>Akum. Penyusutan Inventaris/Perabot Kantor</t>
  </si>
  <si>
    <t>31.10.50</t>
  </si>
  <si>
    <t>31.10.60</t>
  </si>
  <si>
    <t>31.10.70</t>
  </si>
  <si>
    <t>31.10.80</t>
  </si>
  <si>
    <t>92.09.00</t>
  </si>
  <si>
    <t>91.09.00</t>
  </si>
  <si>
    <t>93.09.00</t>
  </si>
  <si>
    <t>96.09.00</t>
  </si>
  <si>
    <t>35.01.00</t>
  </si>
  <si>
    <t>Persediaan Bahan Bakar dan Minyak Pelumas</t>
  </si>
  <si>
    <t>15.02.20</t>
  </si>
  <si>
    <t>91.01.20</t>
  </si>
  <si>
    <t>Beban Bank</t>
  </si>
  <si>
    <t>98.02.10</t>
  </si>
  <si>
    <t>Pendapatan Jasa Giro</t>
  </si>
  <si>
    <t>88.01.20</t>
  </si>
  <si>
    <t>Utang Non Usaha</t>
  </si>
  <si>
    <t>50.01.00</t>
  </si>
  <si>
    <t>50.02.00</t>
  </si>
  <si>
    <t>DAFTAR VOUCHER UTANG YANG HARUS DIBAYAR</t>
  </si>
  <si>
    <t>VOUCHER</t>
  </si>
  <si>
    <t xml:space="preserve">DIBAYAR </t>
  </si>
  <si>
    <t>CHEK/B. GIRO</t>
  </si>
  <si>
    <t>BAHAN INSTALASI</t>
  </si>
  <si>
    <t>BIAYA OPRS SUMBER</t>
  </si>
  <si>
    <t>BIAYA OPRS PENGOLAHAN</t>
  </si>
  <si>
    <t>BIAYA OPRS DISTRIBUSI</t>
  </si>
  <si>
    <t>15.01.00</t>
  </si>
  <si>
    <t>41.02.00</t>
  </si>
  <si>
    <t>91.01.00</t>
  </si>
  <si>
    <t>92.01.00</t>
  </si>
  <si>
    <t>93.01.00</t>
  </si>
  <si>
    <t>BULAN JANUARI</t>
  </si>
  <si>
    <t>PERSEDIAAN BAHAN KIMIA</t>
  </si>
  <si>
    <t xml:space="preserve">  </t>
  </si>
  <si>
    <t>JURNAL UMUM</t>
  </si>
  <si>
    <t xml:space="preserve">02 Jan </t>
  </si>
  <si>
    <t>001</t>
  </si>
  <si>
    <t>Pembelian Pengukur Kadar Garam</t>
  </si>
  <si>
    <t>02 Jan</t>
  </si>
  <si>
    <t>Tunai</t>
  </si>
  <si>
    <t>002</t>
  </si>
  <si>
    <t>Pembelian Sylinder 3 Zel</t>
  </si>
  <si>
    <t>003</t>
  </si>
  <si>
    <t>Pembelian Tas Lap top</t>
  </si>
  <si>
    <t>Pembelian Pasir Cor</t>
  </si>
  <si>
    <t>04 Jan</t>
  </si>
  <si>
    <t>004</t>
  </si>
  <si>
    <t>06 jan</t>
  </si>
  <si>
    <t>005</t>
  </si>
  <si>
    <t>Pembelian Terminal, Stiker Braco, Paku</t>
  </si>
  <si>
    <t>006</t>
  </si>
  <si>
    <t>Pemb. Gorden, Tutup Gorden, Tongkat dan Rol Gorden</t>
  </si>
  <si>
    <t>20 Jan</t>
  </si>
  <si>
    <t>SUB. PERK</t>
  </si>
  <si>
    <t>B. PEGAWAI UMUM&amp;ADM (96.01.00)</t>
  </si>
  <si>
    <t>B. KANTOR (96.02.00)</t>
  </si>
  <si>
    <t>B. HUBLANG ( 96.03.00)</t>
  </si>
  <si>
    <t>92.02.90</t>
  </si>
  <si>
    <t>Nama Perkiraan</t>
  </si>
  <si>
    <t>B. Pemeliharaan Pengolahan</t>
  </si>
  <si>
    <t>96.02.90</t>
  </si>
  <si>
    <t>Rupa2 B. Kantor</t>
  </si>
  <si>
    <t>B. Pemeliharaan Trandist lainnya</t>
  </si>
  <si>
    <t>93.02.90</t>
  </si>
  <si>
    <t>007</t>
  </si>
  <si>
    <t>Pemb. Raoundap &amp; Primaxone</t>
  </si>
  <si>
    <t>96.06.50</t>
  </si>
  <si>
    <t>B. Pemeliharaan taman &amp; lapangan</t>
  </si>
  <si>
    <t>B. PENELITIAN &amp; PENGEMBANGAN (96.04.00)</t>
  </si>
  <si>
    <t>B. PEMELIHARAAN (96.06.00)</t>
  </si>
  <si>
    <t>BIAYA UMUM LAINNYA (96.07.00 DAN 96.08.00)</t>
  </si>
  <si>
    <t>22 Jan</t>
  </si>
  <si>
    <t>008</t>
  </si>
  <si>
    <t>Pemeliharaan avanza KH 1407PE</t>
  </si>
  <si>
    <t>96.06.20</t>
  </si>
  <si>
    <t>Pemeliharaan Kendaraan</t>
  </si>
  <si>
    <t>009</t>
  </si>
  <si>
    <t>SPPD ke Sampit An. Ilias dll</t>
  </si>
  <si>
    <t>96.08.30</t>
  </si>
  <si>
    <t>B. Perjalanan Dinas</t>
  </si>
  <si>
    <t>010</t>
  </si>
  <si>
    <t>Pemy. Listrik Bag. Produksi</t>
  </si>
  <si>
    <t>91.01.30</t>
  </si>
  <si>
    <t>B. Listrik PLN Sumber Air</t>
  </si>
  <si>
    <t>011</t>
  </si>
  <si>
    <t>Pemb. Lap Top Acer</t>
  </si>
  <si>
    <t>ASET TETAP</t>
  </si>
  <si>
    <t>31.01.00</t>
  </si>
  <si>
    <t>31.09..20</t>
  </si>
  <si>
    <t>Mesin-mesin kantor</t>
  </si>
  <si>
    <t>012</t>
  </si>
  <si>
    <t>Pemb. 2 unit sepeda motor</t>
  </si>
  <si>
    <t>31.08.00</t>
  </si>
  <si>
    <t>Kendaraan/Alat Pengangkutan</t>
  </si>
  <si>
    <t>013</t>
  </si>
  <si>
    <t>Pemb. Aki Mobil Avanza KH 1179PU</t>
  </si>
  <si>
    <t>014</t>
  </si>
  <si>
    <t>Pemb. Cat &amp; Kuas Utk Pipa Intake</t>
  </si>
  <si>
    <t>91.02.90</t>
  </si>
  <si>
    <t>Pemelih Inst. Sumber lainnya</t>
  </si>
  <si>
    <t>23 Jan</t>
  </si>
  <si>
    <t>015</t>
  </si>
  <si>
    <t>016</t>
  </si>
  <si>
    <t>Pulsa Listrik kantor, Loket dan Gudang</t>
  </si>
  <si>
    <t>96.02.70</t>
  </si>
  <si>
    <t>B. Listrik/Penerangan</t>
  </si>
  <si>
    <t>017</t>
  </si>
  <si>
    <t>Pemby. Rek Telp/HP/Fax</t>
  </si>
  <si>
    <t>96.02.40</t>
  </si>
  <si>
    <t>B. Telepon</t>
  </si>
  <si>
    <t>018</t>
  </si>
  <si>
    <t>Pemb. Sapu Lidi, soklin lantai,tisu,dll</t>
  </si>
  <si>
    <t>019</t>
  </si>
  <si>
    <t>B. ATK dan Fotocopy</t>
  </si>
  <si>
    <t>020</t>
  </si>
  <si>
    <t>Pemb. ATK &amp; B. Fotocopy</t>
  </si>
  <si>
    <t>Pemb. Kertas De Paper (rek)</t>
  </si>
  <si>
    <t>96.02.20</t>
  </si>
  <si>
    <t>Barang2 Cetakkan</t>
  </si>
  <si>
    <t>021</t>
  </si>
  <si>
    <t>24 Jan</t>
  </si>
  <si>
    <t>SPPD A. Rijali,Kardi,Bagus ke Sampit</t>
  </si>
  <si>
    <t>022</t>
  </si>
  <si>
    <t>Pemb. Kabel &amp;terminal</t>
  </si>
  <si>
    <t>023</t>
  </si>
  <si>
    <t>Pemy. SPPD Ilias dan Jawi ke SBY</t>
  </si>
  <si>
    <t>024</t>
  </si>
  <si>
    <t>Pemby. Iuran DPD PERPAMSI Kal-Teng</t>
  </si>
  <si>
    <t>96.08.10</t>
  </si>
  <si>
    <t>B. Iuran Berlangganan</t>
  </si>
  <si>
    <t>025</t>
  </si>
  <si>
    <t>96.01.30</t>
  </si>
  <si>
    <t>Iuran Pensiun</t>
  </si>
  <si>
    <t>026</t>
  </si>
  <si>
    <t>96.08.60</t>
  </si>
  <si>
    <t>B. Asuransi</t>
  </si>
  <si>
    <t>96.08.80</t>
  </si>
  <si>
    <t>Rupa2 B. Umum Lainnya</t>
  </si>
  <si>
    <t>027</t>
  </si>
  <si>
    <t>028</t>
  </si>
  <si>
    <t>029</t>
  </si>
  <si>
    <t>Pemb. Kasur,bantal, dll</t>
  </si>
  <si>
    <t>96.08.81</t>
  </si>
  <si>
    <t>030</t>
  </si>
  <si>
    <t>031</t>
  </si>
  <si>
    <t>032</t>
  </si>
  <si>
    <t>033</t>
  </si>
  <si>
    <t>034</t>
  </si>
  <si>
    <t>035</t>
  </si>
  <si>
    <t>Honorarium Dewas &amp; Sekretariat Dewas</t>
  </si>
  <si>
    <t>96.08.20</t>
  </si>
  <si>
    <t>B. Badan Pengawas</t>
  </si>
  <si>
    <t>Gaji Pegawai Bag. Umum</t>
  </si>
  <si>
    <t>96.01.10</t>
  </si>
  <si>
    <t>B. Pegawai Bagian Umum</t>
  </si>
  <si>
    <t>Gaji Bagian Transist</t>
  </si>
  <si>
    <t>93.01.10</t>
  </si>
  <si>
    <t>B. Pegawai Operasi Trandist</t>
  </si>
  <si>
    <t>Gaji Bagian Produksi</t>
  </si>
  <si>
    <t>92.01.10</t>
  </si>
  <si>
    <t>B. Pegawai Ops. Pengolahan Air</t>
  </si>
  <si>
    <t>B. Asuransi/Keamanan</t>
  </si>
  <si>
    <t>Penghargaan masa Kerja Pegawai</t>
  </si>
  <si>
    <t>036</t>
  </si>
  <si>
    <t>037</t>
  </si>
  <si>
    <t>038</t>
  </si>
  <si>
    <t>039</t>
  </si>
  <si>
    <t>040</t>
  </si>
  <si>
    <t>041</t>
  </si>
  <si>
    <t>042</t>
  </si>
  <si>
    <t>043</t>
  </si>
  <si>
    <t>044</t>
  </si>
  <si>
    <t>Pemby. Langg. majalah PERPAMSI</t>
  </si>
  <si>
    <t>Honorarium Penys. Anggaran</t>
  </si>
  <si>
    <t>27 Jan</t>
  </si>
  <si>
    <t>Pemby. Jasa Pengabdian Direktur</t>
  </si>
  <si>
    <t>Rehap Pintu Ruang Teknik</t>
  </si>
  <si>
    <t>96.06.30</t>
  </si>
  <si>
    <t>Pemeliharaan Bangunan</t>
  </si>
  <si>
    <t>Pemby. Pembuatan Meja Kantor</t>
  </si>
  <si>
    <t>31.09.10</t>
  </si>
  <si>
    <t>Meubelair kantor</t>
  </si>
  <si>
    <t>96.02.60</t>
  </si>
  <si>
    <t>B. Pos Dan Materai</t>
  </si>
  <si>
    <t>Pemb. Pertalite Operasional Mobil</t>
  </si>
  <si>
    <t>045</t>
  </si>
  <si>
    <t>046</t>
  </si>
  <si>
    <t>047</t>
  </si>
  <si>
    <t>048</t>
  </si>
  <si>
    <t>049</t>
  </si>
  <si>
    <t>050</t>
  </si>
  <si>
    <t>051</t>
  </si>
  <si>
    <t>Pemb. Kunci Inggris dan Kunci Pipa</t>
  </si>
  <si>
    <t>93.01.20</t>
  </si>
  <si>
    <t>B. Pemakaian Bahan/Perlengkapan</t>
  </si>
  <si>
    <t>Pemby. Biaya Pembuatan Spanduk</t>
  </si>
  <si>
    <t>Biaya Pemasangan Jaringan Pipa HDPE</t>
  </si>
  <si>
    <t>B. Pemeliharaan Trandist</t>
  </si>
  <si>
    <t>96.03.70</t>
  </si>
  <si>
    <t>B. Promosi</t>
  </si>
  <si>
    <t>96.06.10</t>
  </si>
  <si>
    <t>Pemeliharaan Invent. Kantor</t>
  </si>
  <si>
    <t>Pemeliharaan AC Kantor</t>
  </si>
  <si>
    <t>28 Jan</t>
  </si>
  <si>
    <t>Perpanjaangan STNK</t>
  </si>
  <si>
    <t>Pemb. Sunder F 2-H</t>
  </si>
  <si>
    <t>98.08.80</t>
  </si>
  <si>
    <t>Rupa-rupa Beban Umum lainnya</t>
  </si>
  <si>
    <t>29 Jan</t>
  </si>
  <si>
    <t>31 jan</t>
  </si>
  <si>
    <t>Dibuat Oleh,</t>
  </si>
  <si>
    <t>TRI MURTIANI, S.E</t>
  </si>
  <si>
    <t>JUMLAH (Rp)</t>
  </si>
  <si>
    <t>Pemakaian Bahan Kimia -Tawas</t>
  </si>
  <si>
    <t>Pemakaian Bahan Kimia - Soda Ash</t>
  </si>
  <si>
    <t>Pemakaian Bahan Kimia - Kaporit</t>
  </si>
  <si>
    <t>92.01.20</t>
  </si>
  <si>
    <t>Persediaan Bahan Instalasi</t>
  </si>
  <si>
    <t>15.03.00</t>
  </si>
  <si>
    <t>Pemakaian Bahan Bakar Sumber Air</t>
  </si>
  <si>
    <t>JURNAL PEMAKAIAN BAHAN INSTALASI DAN BAHAN KIMIA</t>
  </si>
  <si>
    <t>TRI MURTIANI, S. E</t>
  </si>
  <si>
    <t>JUMLAH SAMPAI DENGAN BULAN FEBRUARI</t>
  </si>
  <si>
    <t>88.01.10</t>
  </si>
  <si>
    <t>Pendapatan Bunga Deposito</t>
  </si>
  <si>
    <t>Piutang Mitra</t>
  </si>
  <si>
    <t>13.03.00</t>
  </si>
  <si>
    <t>Piutang Rek Air - Industri/Niaga Besar (NB)</t>
  </si>
  <si>
    <t>BULAN FEBRUARI</t>
  </si>
  <si>
    <t>JUMLAH BULAN INI</t>
  </si>
  <si>
    <t>JUMLAH BULAN LALU</t>
  </si>
  <si>
    <t>JUMLAH SAMPAI DENGAN BULAN INI</t>
  </si>
  <si>
    <t>31.05.00</t>
  </si>
  <si>
    <t>JUMLAH SAMPAI DENGAN BULAN LALU</t>
  </si>
  <si>
    <t>09 Feb</t>
  </si>
  <si>
    <t>81.01.30</t>
  </si>
  <si>
    <t>31 Mar</t>
  </si>
  <si>
    <t>BULAN MARET</t>
  </si>
  <si>
    <t>88.01.90</t>
  </si>
  <si>
    <t>50.04.00</t>
  </si>
  <si>
    <t>30 April</t>
  </si>
  <si>
    <t>BULAN APRIL</t>
  </si>
  <si>
    <t>BKU PENGELUARAN</t>
  </si>
  <si>
    <t>31 Mei</t>
  </si>
  <si>
    <t>JUMLAH SAMPAI DENGAN BULAN MARET</t>
  </si>
  <si>
    <t>JUMLAH SAMPAI DENGAN BULAN APRIL</t>
  </si>
  <si>
    <t>30 Juni</t>
  </si>
  <si>
    <t>BULAN MEI</t>
  </si>
  <si>
    <t>BULAN JUNI</t>
  </si>
  <si>
    <t>BULAN JULI</t>
  </si>
  <si>
    <t>BULAN AGUSTUS</t>
  </si>
  <si>
    <t>31 AGUSTUS</t>
  </si>
  <si>
    <t>(Subsidi Selisih Tarif dari PEMDA SERUYAN)</t>
  </si>
  <si>
    <t>01 Agust</t>
  </si>
  <si>
    <t>Pendapatan Subsidi Selisih Tarif</t>
  </si>
  <si>
    <t>BULAN SEPTEMBER</t>
  </si>
  <si>
    <t>BULAN OKTOBER</t>
  </si>
  <si>
    <t>BULAN : JANUARI 2021</t>
  </si>
  <si>
    <r>
      <t>BPTRNA/</t>
    </r>
    <r>
      <rPr>
        <sz val="11"/>
        <rFont val="Calibri"/>
        <family val="2"/>
        <scheme val="minor"/>
      </rPr>
      <t>01</t>
    </r>
    <r>
      <rPr>
        <sz val="11"/>
        <color theme="1"/>
        <rFont val="Calibri"/>
        <family val="2"/>
        <scheme val="minor"/>
      </rPr>
      <t>/I/2021</t>
    </r>
  </si>
  <si>
    <t>Kuala Pembuang, ... Januari 2021</t>
  </si>
  <si>
    <t>BPTRNA/01/I/2021</t>
  </si>
  <si>
    <t>No. KM/01/I/2021</t>
  </si>
  <si>
    <t>BPTRA/01/I/2021</t>
  </si>
  <si>
    <t>Kuala Pembuang, 01 Januari 2021</t>
  </si>
  <si>
    <t>BULAN :  JANUARI 2021</t>
  </si>
  <si>
    <t>No. KM/02/I/2021</t>
  </si>
  <si>
    <t>BPTRA/02/I/2021</t>
  </si>
  <si>
    <t>No. KM/03/I/2021</t>
  </si>
  <si>
    <t>BPTRA/03/I/2021</t>
  </si>
  <si>
    <t>Kuala Pembuang, 03 Januari 2021</t>
  </si>
  <si>
    <t>Kuala Pembuang, 02 Januari 2021</t>
  </si>
  <si>
    <t>No. KM/04/I/2021</t>
  </si>
  <si>
    <t>BPTRA/04/I/2021</t>
  </si>
  <si>
    <t>Kuala Pembuang, 04 Januari 2021</t>
  </si>
  <si>
    <t>No. KM/05/I/2021</t>
  </si>
  <si>
    <t>BPTRA/05/I/2021</t>
  </si>
  <si>
    <t>Kuala Pembuang, 05 Januari 2021</t>
  </si>
  <si>
    <t>Kuala Pembuang, 06 Januari 2021</t>
  </si>
  <si>
    <t>Penerimaan SR Baru 3 SR</t>
  </si>
  <si>
    <t>No. KM/06/I/2021</t>
  </si>
  <si>
    <t>BPTRA/06/I/2021</t>
  </si>
  <si>
    <t>No. KM/07/I/2021</t>
  </si>
  <si>
    <t>BPTRA/07/I/2021</t>
  </si>
  <si>
    <t>Kuala Pembuang, 07 Januari 2021</t>
  </si>
  <si>
    <t>No. KM/08/I/2021</t>
  </si>
  <si>
    <t>BPTRA/08/I/2021</t>
  </si>
  <si>
    <t>Kuala Pembuang, 08 Januari 2021</t>
  </si>
  <si>
    <t>No. KM/09/I/2021</t>
  </si>
  <si>
    <t>BPTRA/09/I/2021</t>
  </si>
  <si>
    <t>Kuala Pembuang, 09 Januari 2021</t>
  </si>
  <si>
    <t>No. KM/10/I/2021</t>
  </si>
  <si>
    <t>BPTRA/10/I/2021</t>
  </si>
  <si>
    <t>Kuala Pembuang, 10 Januari 2021</t>
  </si>
  <si>
    <t>BPTRA/11/I/2021</t>
  </si>
  <si>
    <t>No. KM/11/I/2021</t>
  </si>
  <si>
    <t>Kuala Pembuang, 11 Januari 2021</t>
  </si>
  <si>
    <t>No. KM/12/I/2021</t>
  </si>
  <si>
    <t>BPTRA/12/I/2021</t>
  </si>
  <si>
    <t>Kuala Pembuang, 12 Januari 2021</t>
  </si>
  <si>
    <t>No. KM/13/I/2021</t>
  </si>
  <si>
    <t>BPTRA/13/I/2021</t>
  </si>
  <si>
    <t>Kuala Pembuang, 13 Januari 2021</t>
  </si>
  <si>
    <t>BPTRNA/02/I/2021</t>
  </si>
  <si>
    <t>Penerimaan SR Baru 19 SR</t>
  </si>
  <si>
    <t xml:space="preserve">Penerimaan SR Baru </t>
  </si>
  <si>
    <t>No. KM/14/I/2021</t>
  </si>
  <si>
    <t>BPTRA/14/I/2021</t>
  </si>
  <si>
    <t>Kuala Pembuang, 14 Januari 2021</t>
  </si>
  <si>
    <t>No. KM/15/I/2021</t>
  </si>
  <si>
    <t>BPTRA/15/I/2021</t>
  </si>
  <si>
    <t>Kuala Pembuang, 15 Januari 2021</t>
  </si>
  <si>
    <t>No. KM/16/I/2021</t>
  </si>
  <si>
    <t>BPTRA/16/I/2021</t>
  </si>
  <si>
    <t>Kuala Pembuang, 16 Januari 2021</t>
  </si>
  <si>
    <t>No. KM/17/I/2021</t>
  </si>
  <si>
    <t>BPTRA/17/I/2021</t>
  </si>
  <si>
    <t>Kuala Pembuang, 17 Januari 2021</t>
  </si>
  <si>
    <t>No. KM/18/I/2021</t>
  </si>
  <si>
    <t>BPTRA/18/I/2021</t>
  </si>
  <si>
    <t>Kuala Pembuang, 18 Januari 2021</t>
  </si>
  <si>
    <t>BPTRNA/03/I/2021</t>
  </si>
  <si>
    <t>Penerimaan Balik Nama</t>
  </si>
  <si>
    <t>No. KM/19/I/2021</t>
  </si>
  <si>
    <t>BPTRA/19/I/2021</t>
  </si>
  <si>
    <t>Kuala Pembuang, 19 Januari 2021</t>
  </si>
  <si>
    <t>No. KM/20/I/2021</t>
  </si>
  <si>
    <t>BPTRA/20/I/2021</t>
  </si>
  <si>
    <t>Kuala Pembuang, 20 Januari 2021</t>
  </si>
  <si>
    <t>BPTRNA/04/I/2021</t>
  </si>
  <si>
    <t>Penerimaan SR Baru</t>
  </si>
  <si>
    <t>No. KM/21/I/2021</t>
  </si>
  <si>
    <t>BPTRA/21/I/2021</t>
  </si>
  <si>
    <t>Kuala Pembuang, 21 Januari 2021</t>
  </si>
  <si>
    <t>No. KM/22/I/2021</t>
  </si>
  <si>
    <t>BPTRA/22/I/2021</t>
  </si>
  <si>
    <t>Kuala Pembuang, 22 Januari 2021</t>
  </si>
  <si>
    <t>No. KM/23/I/2021</t>
  </si>
  <si>
    <t>BPTRA/23/I/2021</t>
  </si>
  <si>
    <t>Kuala Pembuang, 23 Januari 2021</t>
  </si>
  <si>
    <t>(Penyesuaian Untuk Penerimaan Rekening Mitra yang sdh di catat di JPK tp Blm disetor oleh Mitra)</t>
  </si>
  <si>
    <t>(Pembayaran Oleh Mitra)</t>
  </si>
  <si>
    <t>Piutang Mitra PT POS</t>
  </si>
  <si>
    <t>Piutang Mitra KOPERASI</t>
  </si>
  <si>
    <t>02 Feb</t>
  </si>
  <si>
    <t>B. Pemeliharaan Tran dist (HANAU)</t>
  </si>
  <si>
    <t>B. Pemeliharaan Tran dist (KARTIKA BHAKTI)</t>
  </si>
  <si>
    <t xml:space="preserve">20 April </t>
  </si>
  <si>
    <r>
      <t>Pendapatan Air -Harga Air (</t>
    </r>
    <r>
      <rPr>
        <b/>
        <sz val="8"/>
        <color theme="1"/>
        <rFont val="Calibri"/>
        <family val="2"/>
        <scheme val="minor"/>
      </rPr>
      <t>KARTIKA BHAKTI</t>
    </r>
    <r>
      <rPr>
        <sz val="8"/>
        <color theme="1"/>
        <rFont val="Calibri"/>
        <family val="2"/>
        <scheme val="minor"/>
      </rPr>
      <t>)</t>
    </r>
  </si>
  <si>
    <r>
      <t>Pendapatan Air -Harga Air (</t>
    </r>
    <r>
      <rPr>
        <b/>
        <sz val="8"/>
        <color theme="1"/>
        <rFont val="Calibri"/>
        <family val="2"/>
        <scheme val="minor"/>
      </rPr>
      <t>HANAU</t>
    </r>
    <r>
      <rPr>
        <sz val="8"/>
        <color theme="1"/>
        <rFont val="Calibri"/>
        <family val="2"/>
        <scheme val="minor"/>
      </rPr>
      <t>)</t>
    </r>
  </si>
  <si>
    <r>
      <t>Piutang Rek. Air -Beban Tetap (</t>
    </r>
    <r>
      <rPr>
        <b/>
        <sz val="8"/>
        <color theme="1"/>
        <rFont val="Calibri"/>
        <family val="2"/>
        <scheme val="minor"/>
      </rPr>
      <t>KARTIKA BHAKTI</t>
    </r>
    <r>
      <rPr>
        <sz val="8"/>
        <color theme="1"/>
        <rFont val="Calibri"/>
        <family val="2"/>
        <scheme val="minor"/>
      </rPr>
      <t>)</t>
    </r>
  </si>
  <si>
    <r>
      <t>Piutang Rek. Air -Beban Tetap (</t>
    </r>
    <r>
      <rPr>
        <b/>
        <sz val="8"/>
        <color theme="1"/>
        <rFont val="Calibri"/>
        <family val="2"/>
        <scheme val="minor"/>
      </rPr>
      <t>HANAU</t>
    </r>
    <r>
      <rPr>
        <sz val="8"/>
        <color theme="1"/>
        <rFont val="Calibri"/>
        <family val="2"/>
        <scheme val="minor"/>
      </rPr>
      <t>)</t>
    </r>
  </si>
  <si>
    <t>01 April</t>
  </si>
  <si>
    <t xml:space="preserve"> </t>
  </si>
  <si>
    <t>Persediaan Bahan Kimia (IKK HANAU)</t>
  </si>
  <si>
    <t>Persediaan Bahan Kimia (IKK K. BHAKTI)</t>
  </si>
  <si>
    <r>
      <t>Persediaan Bahan Kimia (</t>
    </r>
    <r>
      <rPr>
        <b/>
        <sz val="8"/>
        <color theme="1"/>
        <rFont val="Calibri"/>
        <family val="2"/>
        <scheme val="minor"/>
      </rPr>
      <t>IKK HANAU</t>
    </r>
    <r>
      <rPr>
        <sz val="8"/>
        <color theme="1"/>
        <rFont val="Calibri"/>
        <family val="2"/>
        <scheme val="minor"/>
      </rPr>
      <t>)</t>
    </r>
  </si>
  <si>
    <r>
      <t xml:space="preserve">Persediaan Bahan Kimia </t>
    </r>
    <r>
      <rPr>
        <b/>
        <sz val="8"/>
        <color theme="1"/>
        <rFont val="Calibri"/>
        <family val="2"/>
        <scheme val="minor"/>
      </rPr>
      <t>(IKK K. BHAKTI)</t>
    </r>
  </si>
  <si>
    <t>30April</t>
  </si>
  <si>
    <t>01 Mei</t>
  </si>
  <si>
    <t>30 JUNI</t>
  </si>
  <si>
    <t>01 Juni</t>
  </si>
  <si>
    <t>31 JULI</t>
  </si>
  <si>
    <t>Pendapatan Air-Harga Air (IKK HANAU)</t>
  </si>
  <si>
    <t>Pendapatan Air-Harga Air (PUSAT)</t>
  </si>
  <si>
    <t>30 MEI</t>
  </si>
  <si>
    <t>01 Juli</t>
  </si>
  <si>
    <t>31 Juli</t>
  </si>
  <si>
    <t>31 Agust</t>
  </si>
  <si>
    <t>22 SEPT</t>
  </si>
  <si>
    <t>30 SEPT</t>
  </si>
  <si>
    <t>01 Sept</t>
  </si>
  <si>
    <t>31 OKT</t>
  </si>
  <si>
    <t>01 OKT</t>
  </si>
  <si>
    <t>09 OKT</t>
  </si>
  <si>
    <t>31 Okt</t>
  </si>
  <si>
    <t>Piutang Mitra BPD</t>
  </si>
  <si>
    <t>30 NOV</t>
  </si>
  <si>
    <t>01 NOV</t>
  </si>
  <si>
    <t>01 DES</t>
  </si>
  <si>
    <t>31 DES</t>
  </si>
  <si>
    <t>22 DES</t>
  </si>
  <si>
    <r>
      <t>Pendapatan Air -Harga Air (</t>
    </r>
    <r>
      <rPr>
        <b/>
        <sz val="8"/>
        <rFont val="Calibri"/>
        <family val="2"/>
        <scheme val="minor"/>
      </rPr>
      <t>HANAU</t>
    </r>
    <r>
      <rPr>
        <sz val="8"/>
        <rFont val="Calibri"/>
        <family val="2"/>
        <scheme val="minor"/>
      </rPr>
      <t>)</t>
    </r>
  </si>
  <si>
    <t>31 Des</t>
  </si>
  <si>
    <t>13.09.00</t>
  </si>
  <si>
    <t>,</t>
  </si>
  <si>
    <t>31 Januari</t>
  </si>
  <si>
    <t>31 MARET</t>
  </si>
  <si>
    <t>JUMLAH SAMPAI DENGAN BULAN DESEMBER</t>
  </si>
  <si>
    <t>JUMLAH SAMPAI DENGAN BULAN NOVEMBER</t>
  </si>
  <si>
    <t>JUMLAH SAMPAI DENGAN BULAN OKTOBER</t>
  </si>
  <si>
    <t>JUMLAH SAMPAI DENGAN BULAN SEPTEMBER</t>
  </si>
  <si>
    <t>JUMLAH SAMPAI DENGAN BULAN AGUSTUS</t>
  </si>
  <si>
    <t>JUMLAH SAMPAI DENGAN BULAN JULI</t>
  </si>
  <si>
    <t>JUMLAH SAMPAI DENGAN BULAN JUNI</t>
  </si>
  <si>
    <t>JUMLAH SAMPAI DENGAN BULAN MEI</t>
  </si>
  <si>
    <t>28 Feb</t>
  </si>
  <si>
    <t>(LAP. KOREKSI)</t>
  </si>
  <si>
    <t>Piutang Rek Air - Inst. Pemerintah Kel/Kec/Kab/Kota</t>
  </si>
  <si>
    <t>24 Maret</t>
  </si>
  <si>
    <t>Pendapatan Diterima Dimuka</t>
  </si>
  <si>
    <t>(KOREKSI PUSAT)</t>
  </si>
  <si>
    <t>(KOREKSI HANAU)</t>
  </si>
  <si>
    <t>Piutang Mitra PT BANK KALTENG</t>
  </si>
  <si>
    <t>22 JUNI</t>
  </si>
  <si>
    <t>14 JULI</t>
  </si>
  <si>
    <t xml:space="preserve">BULAN JULI </t>
  </si>
  <si>
    <t>Piutang PT Bank Kalteng</t>
  </si>
  <si>
    <t>23 AGUSTUS</t>
  </si>
  <si>
    <t>Pendapatan Air -Harga Air (Pusat)</t>
  </si>
  <si>
    <t>31 Agustus</t>
  </si>
  <si>
    <t>Rupa-Rupa Pendapatan Lainnya</t>
  </si>
  <si>
    <t>22 NOV</t>
  </si>
  <si>
    <t>50.01.01</t>
  </si>
  <si>
    <t>30 Nov</t>
  </si>
  <si>
    <t>Rupa-rupa Biaya Pegawai</t>
  </si>
  <si>
    <t>91.03.00</t>
  </si>
  <si>
    <t>96.01.50</t>
  </si>
  <si>
    <t>Beban Yang Masih Harus Dibayar</t>
  </si>
  <si>
    <t>50.03.00</t>
  </si>
  <si>
    <t>13.04.00</t>
  </si>
  <si>
    <t>PERUSAHAAN UMUM DAERAH AIR MINUM</t>
  </si>
  <si>
    <t>TIRTA SERUYAN</t>
  </si>
  <si>
    <t>Piutang BANK KALTENG</t>
  </si>
  <si>
    <t>Piutang Mitra Koperasi</t>
  </si>
  <si>
    <t>B. Bank</t>
  </si>
  <si>
    <t>10 Juli</t>
  </si>
  <si>
    <t>10 Agust</t>
  </si>
  <si>
    <t>10 Sept</t>
  </si>
  <si>
    <t>10 NOV</t>
  </si>
  <si>
    <t>BULAN NOVEMBER</t>
  </si>
  <si>
    <t>11 Des</t>
  </si>
  <si>
    <t>BULAN DESEMBER</t>
  </si>
  <si>
    <t>Piutang Non Air (Bunga DEPOSITO)</t>
  </si>
  <si>
    <t>Pendapatan Non Usaha (Bunga DEPOSITO)</t>
  </si>
  <si>
    <t xml:space="preserve">31 Des </t>
  </si>
  <si>
    <t>Biaya Air Baku (Pajak Air Permukaan)</t>
  </si>
  <si>
    <t>Kewajiban Imbalan Pasca Kerja</t>
  </si>
  <si>
    <t>50.07.00</t>
  </si>
  <si>
    <t>97.00.00</t>
  </si>
  <si>
    <t>Beban Imbalan Pasca Kerja</t>
  </si>
  <si>
    <t>01</t>
  </si>
  <si>
    <t>02</t>
  </si>
  <si>
    <t>03</t>
  </si>
  <si>
    <t>04</t>
  </si>
  <si>
    <t>05</t>
  </si>
  <si>
    <t>06</t>
  </si>
  <si>
    <t>07</t>
  </si>
  <si>
    <t>08</t>
  </si>
  <si>
    <t>09</t>
  </si>
  <si>
    <t>14</t>
  </si>
  <si>
    <t>81.02.50</t>
  </si>
  <si>
    <t>Pemakaian Bahan Kimia - Magnoflog</t>
  </si>
  <si>
    <t>Persediaan Bahan Kimia - (P. HULU)</t>
  </si>
  <si>
    <t>13 Mar</t>
  </si>
  <si>
    <t xml:space="preserve">10 Mar </t>
  </si>
  <si>
    <t>B. Pemeliharaan Water Meter 0 (HANAU)</t>
  </si>
  <si>
    <t>Kabag. Adm. Keuangan</t>
  </si>
  <si>
    <t>10 April</t>
  </si>
  <si>
    <t>10 Mei</t>
  </si>
  <si>
    <t>28 Mei</t>
  </si>
  <si>
    <t>30 Mei</t>
  </si>
  <si>
    <t>Kabag. Umum &amp; Keuangan</t>
  </si>
  <si>
    <t>10 Juni</t>
  </si>
  <si>
    <t>04 Sept</t>
  </si>
  <si>
    <t>17 Okt</t>
  </si>
  <si>
    <t>10 DES</t>
  </si>
  <si>
    <t>(Defisit Imbalan Pasca Kerja Dapenma Pamsi)</t>
  </si>
  <si>
    <t>(Pendapatan PPn Keluaran karena kompensasi pada PPn Masukan)</t>
  </si>
  <si>
    <t>BULAN : MEI 2025</t>
  </si>
  <si>
    <t>BULAN : APRIL 2025</t>
  </si>
  <si>
    <t>BULAN : MARET 2025</t>
  </si>
  <si>
    <t>BULAN : JUNI 2025</t>
  </si>
  <si>
    <t>BULAN : JULI 2025</t>
  </si>
  <si>
    <t>BULAN : SEPTEMBER 2025</t>
  </si>
  <si>
    <t>BULAN : OKTOBER 2025</t>
  </si>
  <si>
    <t>BULAN : NOVEMBER 2025</t>
  </si>
  <si>
    <t>BULAN : DESEMBER 2025</t>
  </si>
  <si>
    <t>Kabag. Adm &amp; Keuangan</t>
  </si>
  <si>
    <t>BULAN : AGUSTUS 2025</t>
  </si>
  <si>
    <t xml:space="preserve">BULAN JANUARI </t>
  </si>
  <si>
    <t xml:space="preserve">BULAN FEBRUARI </t>
  </si>
  <si>
    <t xml:space="preserve">BULAN APRIL </t>
  </si>
  <si>
    <t xml:space="preserve">BULAN JUNI </t>
  </si>
  <si>
    <t>BULAN NOVEMER</t>
  </si>
  <si>
    <t xml:space="preserve">PERUSAHAAN UMUM DAERAH AIR MINUM </t>
  </si>
  <si>
    <t>JOURNAL PENERIMAAN KAS (JPK)</t>
  </si>
  <si>
    <t>REKENING AIR (RA)</t>
  </si>
  <si>
    <t>KAS/BANK</t>
  </si>
  <si>
    <t>PIUTANG</t>
  </si>
  <si>
    <t>KODE PERK.</t>
  </si>
  <si>
    <t>REK. AIR</t>
  </si>
  <si>
    <t>REK. AIR (ADM&amp; DM)</t>
  </si>
  <si>
    <t>(11.01.00)</t>
  </si>
  <si>
    <t>(13.01.00)</t>
  </si>
  <si>
    <t>Penerimaan Tagihan Rekening Air</t>
  </si>
  <si>
    <t>Pendapatan Rek Air Tangki</t>
  </si>
  <si>
    <t>Jumlah</t>
  </si>
  <si>
    <t>JURNAL PENERIMAAN KAS (JPK)</t>
  </si>
  <si>
    <t>REKENING NON AIR (RNA)</t>
  </si>
  <si>
    <t>PENDAPATAN NON  AIR</t>
  </si>
  <si>
    <t>SR Baru</t>
  </si>
  <si>
    <t>Penyambungan Kembali</t>
  </si>
  <si>
    <t>Denda</t>
  </si>
  <si>
    <t>Meter Air</t>
  </si>
  <si>
    <t>Pipa Persil</t>
  </si>
  <si>
    <t>Non Air Lainnya ( 81.02.90)</t>
  </si>
  <si>
    <t>81.02.40</t>
  </si>
  <si>
    <t>81..02.70</t>
  </si>
  <si>
    <t>Ket.</t>
  </si>
  <si>
    <t xml:space="preserve">Penerimaan dan Pendapatan </t>
  </si>
  <si>
    <t>Balik Nama</t>
  </si>
  <si>
    <t>(Kelebihan setoran loket)</t>
  </si>
  <si>
    <t>Pendapatan lain-lain</t>
  </si>
  <si>
    <t>21 Jan</t>
  </si>
  <si>
    <t>Pemby. Listrik Sumber Air</t>
  </si>
  <si>
    <t>Pemby. Listrik Sumber Air IKK PEMBUANG HULU</t>
  </si>
  <si>
    <t>Pemby. Listrik Sumber Air IKK KARTIKA BHAKTI</t>
  </si>
  <si>
    <t>Pemby. Iuran BPJS Kesehatan</t>
  </si>
  <si>
    <t>Pemb. Materai @10.000</t>
  </si>
  <si>
    <t>Klaim Belanja melalui Kas Kecil Bag. Administrasi Umum</t>
  </si>
  <si>
    <t>10</t>
  </si>
  <si>
    <t>11</t>
  </si>
  <si>
    <t>12</t>
  </si>
  <si>
    <t>13</t>
  </si>
  <si>
    <t>Pemb. BBM utk Operasional Mobil Pick Up KH 8088 PW IKK HANAU</t>
  </si>
  <si>
    <t>15</t>
  </si>
  <si>
    <t>Pemb. Air Minum Pegawai IKK HANAU</t>
  </si>
  <si>
    <t>16</t>
  </si>
  <si>
    <t>Klaim Belanja melalui Kas Kecil IKK PEMBUANG HULU</t>
  </si>
  <si>
    <t>17</t>
  </si>
  <si>
    <t>18</t>
  </si>
  <si>
    <t>19</t>
  </si>
  <si>
    <t>20</t>
  </si>
  <si>
    <t>21</t>
  </si>
  <si>
    <t>22</t>
  </si>
  <si>
    <t>23</t>
  </si>
  <si>
    <t>24</t>
  </si>
  <si>
    <t>25</t>
  </si>
  <si>
    <t>26</t>
  </si>
  <si>
    <t>Pemb. Pulsa Listrik Bagian Loket Pembayaran</t>
  </si>
  <si>
    <t>27</t>
  </si>
  <si>
    <t>28</t>
  </si>
  <si>
    <t>Pemby. Rekening Telepon/HP/Fax</t>
  </si>
  <si>
    <t>29</t>
  </si>
  <si>
    <t>30</t>
  </si>
  <si>
    <t>31</t>
  </si>
  <si>
    <t>32</t>
  </si>
  <si>
    <t>33</t>
  </si>
  <si>
    <t>34</t>
  </si>
  <si>
    <t>Pemb. BBM utk Operasional Avanza KH 1252 PU dan KH 1407 PE</t>
  </si>
  <si>
    <t>35</t>
  </si>
  <si>
    <t>Pemb. Pulsa Listrik Bagian Kantor</t>
  </si>
  <si>
    <t>36</t>
  </si>
  <si>
    <t>37</t>
  </si>
  <si>
    <t>Pemb. BBM Solar utk Operasional Mobil Tangki</t>
  </si>
  <si>
    <t>38</t>
  </si>
  <si>
    <t>39</t>
  </si>
  <si>
    <t>40</t>
  </si>
  <si>
    <t>41</t>
  </si>
  <si>
    <t>42</t>
  </si>
  <si>
    <t>Pemb. Lampu</t>
  </si>
  <si>
    <t>43</t>
  </si>
  <si>
    <t>Pemby. Iuran BPJS Ketenagakerjaan</t>
  </si>
  <si>
    <t>45</t>
  </si>
  <si>
    <t>46</t>
  </si>
  <si>
    <t>Pemby. Biaya Pembersihan Area Sekitar Intake Sungai Mitak</t>
  </si>
  <si>
    <t>47</t>
  </si>
  <si>
    <t>48</t>
  </si>
  <si>
    <t>Pemby. Iuran Anggota DPD PERPAMSI Prov. KalTeng</t>
  </si>
  <si>
    <t>49</t>
  </si>
  <si>
    <t>50</t>
  </si>
  <si>
    <t>51</t>
  </si>
  <si>
    <t>52</t>
  </si>
  <si>
    <t>Pemby. Gaji Direktur dan Pegawai Bagian Umum</t>
  </si>
  <si>
    <t>53</t>
  </si>
  <si>
    <t>54</t>
  </si>
  <si>
    <t>55</t>
  </si>
  <si>
    <t>Pemby. Gaji Pegawai IKK KARTIKA BHAKTI</t>
  </si>
  <si>
    <t>56</t>
  </si>
  <si>
    <t>Pemby. Gaji Pegawai IKK PEMBUANG HULU</t>
  </si>
  <si>
    <t>57</t>
  </si>
  <si>
    <t>Pemby. Biaya Cleaning Service</t>
  </si>
  <si>
    <t>58</t>
  </si>
  <si>
    <t>Pemby. Biaya Penagihan Tunggakan</t>
  </si>
  <si>
    <t>59</t>
  </si>
  <si>
    <t>Pemby. Biaya Keamanan Penjaga Malam Kantor, IKK dan T. Paring</t>
  </si>
  <si>
    <t>60</t>
  </si>
  <si>
    <t>Pemby. Insentif Tambahan Petugas Pelayanan Loket</t>
  </si>
  <si>
    <t>61</t>
  </si>
  <si>
    <t>62</t>
  </si>
  <si>
    <t>63</t>
  </si>
  <si>
    <t>64</t>
  </si>
  <si>
    <t>65</t>
  </si>
  <si>
    <t>Pemb. Air Minum Pegawai IKK KARTIKA BHAKTI</t>
  </si>
  <si>
    <t>97.06.20</t>
  </si>
  <si>
    <t>97.02.90</t>
  </si>
  <si>
    <t>Rupa-Rupa Beban Kantor</t>
  </si>
  <si>
    <t>91.02.20</t>
  </si>
  <si>
    <t>97.01.20</t>
  </si>
  <si>
    <t>B. BPJS Kesehatan Umum &amp; Adm</t>
  </si>
  <si>
    <t>B. BPJS Kesehatan Pengolahan Air</t>
  </si>
  <si>
    <t>B. BPJS Kesehatan Trandist</t>
  </si>
  <si>
    <t>97.02.60</t>
  </si>
  <si>
    <t>B. Pos &amp; Materai</t>
  </si>
  <si>
    <t>Pemeliharaan Instalasi Sumber Lainnya</t>
  </si>
  <si>
    <t>97.06.50</t>
  </si>
  <si>
    <t>Pemeliharaan Taman dan Lapangan</t>
  </si>
  <si>
    <t>97.07.90</t>
  </si>
  <si>
    <t>97.07.40</t>
  </si>
  <si>
    <t>93.01.70</t>
  </si>
  <si>
    <t>Biaya Bahan Bakar</t>
  </si>
  <si>
    <t>Beban Kesejahteraan Karyawan Umum &amp; Adm</t>
  </si>
  <si>
    <t>92.03.90</t>
  </si>
  <si>
    <t>Pemeliharaan Instalasi Pengolahan Lainnya</t>
  </si>
  <si>
    <t>97.06.40</t>
  </si>
  <si>
    <t>Pemeliharaan Instalasi</t>
  </si>
  <si>
    <t>Pemeliharaan Trandist Lainnya</t>
  </si>
  <si>
    <t>91.03.80</t>
  </si>
  <si>
    <t>Pemeliharaan Alat Perpompaan</t>
  </si>
  <si>
    <t>97.02.70</t>
  </si>
  <si>
    <t>97.02.40</t>
  </si>
  <si>
    <t>93.02.20</t>
  </si>
  <si>
    <t>Pemeliharaan Reservoar dan Tangki</t>
  </si>
  <si>
    <t>Pemeliharaan Pipa Transmisi dan Distribusi</t>
  </si>
  <si>
    <t>Rupa-Rupa Beban Umum Lainnya</t>
  </si>
  <si>
    <t>97.02.10</t>
  </si>
  <si>
    <t>B. ATK &amp; Fotocopy</t>
  </si>
  <si>
    <t>97.02.30</t>
  </si>
  <si>
    <t>Perlengkapan Komputer</t>
  </si>
  <si>
    <t>97.02.80</t>
  </si>
  <si>
    <t>Beban Cleaning Service</t>
  </si>
  <si>
    <t>B. BPJS Ketenagakerjaan Umum &amp; Adm</t>
  </si>
  <si>
    <t>B. BPJS Ketenagakerjaan Pengolahan Air</t>
  </si>
  <si>
    <t>97.07.10</t>
  </si>
  <si>
    <t>91.03.90</t>
  </si>
  <si>
    <t>Iuran Dapenma Umum &amp; Adm</t>
  </si>
  <si>
    <t>Iuran Dapenma Pengolahan Air</t>
  </si>
  <si>
    <t>Iuran Dapenma Trandist</t>
  </si>
  <si>
    <t>97.07.30</t>
  </si>
  <si>
    <t>Insentif/Kesejahteraan Karyawan Umum &amp; Adm</t>
  </si>
  <si>
    <t>Insentif/Kesejahteraan Karyawan Pengolahan Air</t>
  </si>
  <si>
    <t>Insentif/Kesejahteraan Karyawan Trandist</t>
  </si>
  <si>
    <t>97.02.50</t>
  </si>
  <si>
    <t>Beban Rapat dan Tamu</t>
  </si>
  <si>
    <t>97.01.10</t>
  </si>
  <si>
    <t>B. Pegawai Bag. Umum</t>
  </si>
  <si>
    <t>B. Pegawai Operasi Pengolahan Air</t>
  </si>
  <si>
    <t>97.03.30</t>
  </si>
  <si>
    <t>Biaya Penagihan Rekening Air</t>
  </si>
  <si>
    <t>97.07.70</t>
  </si>
  <si>
    <t>31.09.00</t>
  </si>
  <si>
    <t>Inventaris/Perabot Kantor</t>
  </si>
  <si>
    <t>B. Kesejahteraan Karyawan Umum &amp; Adm</t>
  </si>
  <si>
    <t xml:space="preserve">B. Pemeliharaan Water Meter 3 (K. BHAKTI) </t>
  </si>
  <si>
    <t>96.00.00</t>
  </si>
  <si>
    <t>B. Harga Pokok Sambungan Baru 5 SR</t>
  </si>
  <si>
    <t>04 Feb</t>
  </si>
  <si>
    <t>Rupa-rupa Beban Kantor</t>
  </si>
  <si>
    <t>Klaim Belanja melalui Kas Kecil Bag. Hubungan Langganan</t>
  </si>
  <si>
    <t>Biaya Hubungan Langganan</t>
  </si>
  <si>
    <t>Pemb. Roundup</t>
  </si>
  <si>
    <t>06 Feb</t>
  </si>
  <si>
    <t>91.04.00</t>
  </si>
  <si>
    <t>B. Air Baku (Pajak Air Permukaan)</t>
  </si>
  <si>
    <t>Pemby. Listrik Sumber Air IKK Pembuang Hulu</t>
  </si>
  <si>
    <t>Pemby. Listrik Sumber Air IKK Kartika Bhakti</t>
  </si>
  <si>
    <t>10 Feb</t>
  </si>
  <si>
    <t>97.07.50</t>
  </si>
  <si>
    <t>11 Feb</t>
  </si>
  <si>
    <t>Klaim Belanja melalui Kas Kecil Bag. Distribusi</t>
  </si>
  <si>
    <t>Klaim Belanja melalui Kas Kecil Bag. Produksi</t>
  </si>
  <si>
    <t>12 Feb</t>
  </si>
  <si>
    <t>97.06.10</t>
  </si>
  <si>
    <t>Pemeliharaan Inventaris Kantor</t>
  </si>
  <si>
    <t>97.01.90</t>
  </si>
  <si>
    <t>97.06.30</t>
  </si>
  <si>
    <t>92.01.40</t>
  </si>
  <si>
    <t>B. Pendidikan dan Latihan Pengolahan Air</t>
  </si>
  <si>
    <t>97.01.40</t>
  </si>
  <si>
    <t>93.01.40</t>
  </si>
  <si>
    <t>B. Pendidikan dan Latihan Trandist</t>
  </si>
  <si>
    <t>18 Feb</t>
  </si>
  <si>
    <t>Persediaan Bahan Operasi Kimia</t>
  </si>
  <si>
    <t>19 Feb</t>
  </si>
  <si>
    <t>91.03.10</t>
  </si>
  <si>
    <t>20 Feb</t>
  </si>
  <si>
    <t>97.03.70</t>
  </si>
  <si>
    <t>24 Feb</t>
  </si>
  <si>
    <t>25 Feb</t>
  </si>
  <si>
    <t>92.03.30</t>
  </si>
  <si>
    <t>Pemeliharaan Instalasi Pompa</t>
  </si>
  <si>
    <t>27 Feb</t>
  </si>
  <si>
    <t>B. BPJS Ketenagakerjaan Trandist</t>
  </si>
  <si>
    <t>Pemby. Honorarium Dewan Pengawas PERUMDAM Tirta Seruyan</t>
  </si>
  <si>
    <t>Pemby. Biaya Konsumsi Pegawai PERUMDAM Tirta Seruyan</t>
  </si>
  <si>
    <t>Pemby. Dana Representatif Direktur PERUMDAM Tirta Seruyan</t>
  </si>
  <si>
    <t>Pemby. Gaji Direktur dan Pegawai Bag. Umum</t>
  </si>
  <si>
    <t>Pemby. Gaji Bagian Trandist</t>
  </si>
  <si>
    <t>Pemby. Biaya Taman dan Lapangan</t>
  </si>
  <si>
    <t>Pemb. ATK &amp; Fotocopy</t>
  </si>
  <si>
    <t>91.03.70</t>
  </si>
  <si>
    <t>Pemeliharaan Alat Pembangkit Tenaga</t>
  </si>
  <si>
    <t>93.01.60</t>
  </si>
  <si>
    <t>Beban Pemakaian Bahan/Perlengkapan</t>
  </si>
  <si>
    <t>Beban Kesejahteraan Karyawan Pengolahan Air</t>
  </si>
  <si>
    <t>Rupa-rupa Beban Umum Lainnya</t>
  </si>
  <si>
    <t>Klaim Belanja melalui Kas Kecil IKK KARTIKA BHAKTI</t>
  </si>
  <si>
    <t>29 Feb 25</t>
  </si>
  <si>
    <t>kapal</t>
  </si>
  <si>
    <t>No. KM/28/II/2025</t>
  </si>
  <si>
    <t>(Biaya Transfer Bank)</t>
  </si>
  <si>
    <t>97.03.80</t>
  </si>
  <si>
    <t>Rupa-rupa Beban Urusan Langganan</t>
  </si>
  <si>
    <t>Beban Air Baku (Pajak Air Permukaan)</t>
  </si>
  <si>
    <t>B. Harga Pokok Sambungan Baru 6 SR</t>
  </si>
  <si>
    <t>03 Mar</t>
  </si>
  <si>
    <t>Pemeliharaan Pipa Trandist</t>
  </si>
  <si>
    <t>91.02.10</t>
  </si>
  <si>
    <t>Pemakaian Bahan Bakar (Solar)</t>
  </si>
  <si>
    <t>04 Mar</t>
  </si>
  <si>
    <t>05 Mar</t>
  </si>
  <si>
    <t>06 Mar</t>
  </si>
  <si>
    <t>11 Mar</t>
  </si>
  <si>
    <t>12 Mar</t>
  </si>
  <si>
    <t>17 Mar</t>
  </si>
  <si>
    <t>Beban Promosi</t>
  </si>
  <si>
    <t>19 Mar</t>
  </si>
  <si>
    <t>Rupa-rupa Beban Kantor Lainnya</t>
  </si>
  <si>
    <t>Beban Pegawai Umum &amp; Adm</t>
  </si>
  <si>
    <t>Beban Pegawai Pengolahan Air</t>
  </si>
  <si>
    <t>Beban Pegawai Trandist</t>
  </si>
  <si>
    <t>93.02.50</t>
  </si>
  <si>
    <t>25 Mar</t>
  </si>
  <si>
    <t>Pemby. Service Mobil Avanza KH 1407 PE</t>
  </si>
  <si>
    <t>Pemb. BBM utk Operasional Kantor dan Bag. Lap. Mobil Pick Up KH 8529 PH</t>
  </si>
  <si>
    <t>26 Mar</t>
  </si>
  <si>
    <t>27 Mar</t>
  </si>
  <si>
    <t>Pemby. Biaya Konsumsi Karyawan PERUMDAM Tirta Seruyan</t>
  </si>
  <si>
    <t>Pemby. Gaji Bagian Produksi</t>
  </si>
  <si>
    <t>97.02.20</t>
  </si>
  <si>
    <t xml:space="preserve">B. Pemeliharaan Water Meter 6 (K. BHAKTI) </t>
  </si>
  <si>
    <t>Pemby. ATK dan Fotocopy</t>
  </si>
  <si>
    <t>Pemb. Tabung Gas 12Kg</t>
  </si>
  <si>
    <t>Klaim Belanja melalui Kas Kecil Bagian Administrasi Umum</t>
  </si>
  <si>
    <t>Klaim Belanja melalui Kas Kecil Bagian Produksi</t>
  </si>
  <si>
    <t>92.02.50</t>
  </si>
  <si>
    <t>Rupa-rupa Beban Pengolahan Air</t>
  </si>
  <si>
    <t>1 Apr 24</t>
  </si>
  <si>
    <t>2 Apr 24</t>
  </si>
  <si>
    <t>3 Apr 24</t>
  </si>
  <si>
    <t>4 Apr 24</t>
  </si>
  <si>
    <t>5 Apr 24</t>
  </si>
  <si>
    <t>6 Apr 24</t>
  </si>
  <si>
    <t>7 Apr 24</t>
  </si>
  <si>
    <t>8 Apr 24</t>
  </si>
  <si>
    <t>9 Apr 24</t>
  </si>
  <si>
    <t>10 Apr 24</t>
  </si>
  <si>
    <t>11 Apr 24</t>
  </si>
  <si>
    <t>12 Apr 24</t>
  </si>
  <si>
    <t>13 Apr 24</t>
  </si>
  <si>
    <t>14 Apr 24</t>
  </si>
  <si>
    <t>15 Apr 24</t>
  </si>
  <si>
    <t>16 Apr 24</t>
  </si>
  <si>
    <t>17 Apr 24</t>
  </si>
  <si>
    <t>18 Apr 24</t>
  </si>
  <si>
    <t>19 Apr 24</t>
  </si>
  <si>
    <t>20 Apr 24</t>
  </si>
  <si>
    <t>21 Apr 24</t>
  </si>
  <si>
    <t>22 Apr 24</t>
  </si>
  <si>
    <t>23 Apr 24</t>
  </si>
  <si>
    <t>24 Apr 24</t>
  </si>
  <si>
    <t>25 Apr 24</t>
  </si>
  <si>
    <t>26 Apr 24</t>
  </si>
  <si>
    <t>27 Apr 24</t>
  </si>
  <si>
    <t>28 Apr 24</t>
  </si>
  <si>
    <t>29 Apr 24</t>
  </si>
  <si>
    <t>30 Apr 24</t>
  </si>
  <si>
    <t>No. KM/01/IV/2025</t>
  </si>
  <si>
    <t>No. KM/02/IV/2025</t>
  </si>
  <si>
    <t>No. KM/03/IV/2025</t>
  </si>
  <si>
    <t>No. KM/04/IV/2025</t>
  </si>
  <si>
    <t>No. KM/05/IV/2025</t>
  </si>
  <si>
    <t>No. KM/06/IV/2025</t>
  </si>
  <si>
    <t>No. KM/07/IV/2025</t>
  </si>
  <si>
    <t>No. KM/08/IV/2025</t>
  </si>
  <si>
    <t>No. KM/09/IV/2025</t>
  </si>
  <si>
    <t>No. KM/10/IV/2025</t>
  </si>
  <si>
    <t>No. KM/11/IV/2025</t>
  </si>
  <si>
    <t>No. KM/12/IV/2025</t>
  </si>
  <si>
    <t>No. KM/13/IV/2025</t>
  </si>
  <si>
    <t>No. KM/14/IV/2025</t>
  </si>
  <si>
    <t>No. KM/15/IV/2025</t>
  </si>
  <si>
    <t>No. KM/16/IV/2025</t>
  </si>
  <si>
    <t>No. KM/17/IV/2025</t>
  </si>
  <si>
    <t>No. KM/18/IV/2025</t>
  </si>
  <si>
    <t>No. KM/19/IV/2025</t>
  </si>
  <si>
    <t>No. KM/20/IV/2025</t>
  </si>
  <si>
    <t>No. KM/21/IV/2025</t>
  </si>
  <si>
    <t>No. KM/22/IV/2025</t>
  </si>
  <si>
    <t>No. KM/23/IV/2025</t>
  </si>
  <si>
    <t>No. KM/24/IV/2025</t>
  </si>
  <si>
    <t>No. KM/25/IV/2025</t>
  </si>
  <si>
    <t>No. KM/26/IV/2025</t>
  </si>
  <si>
    <t>No. KM/27/IV/2025</t>
  </si>
  <si>
    <t>No. KM/28/IV/2025</t>
  </si>
  <si>
    <t>No. KM/29/IV/2025</t>
  </si>
  <si>
    <t>No. KM/30/IV/2025</t>
  </si>
  <si>
    <t>B. Harga Pokok Sambungan Baru 8 SR</t>
  </si>
  <si>
    <t xml:space="preserve">B. Pemeliharaan Water Meter 0 (K. BHAKTI) </t>
  </si>
  <si>
    <t>B. Pemeliharaan Water Meter 38</t>
  </si>
  <si>
    <t>(Pembelian Water Meter blm dilakukan pembayran)</t>
  </si>
  <si>
    <t>17 Mei</t>
  </si>
  <si>
    <t>02 Mei</t>
  </si>
  <si>
    <t>Pemby. Biaya Perpanjangan STNK Mobil Avanza KH 1407 PE</t>
  </si>
  <si>
    <t>Pemb. Cat untuk Ruangan Distribusi</t>
  </si>
  <si>
    <t>Pemb. Bahan-bahan keperluan untuk Ruangan Distribusi</t>
  </si>
  <si>
    <t>Pemb. Karpet untuk Ruangan Distribusi</t>
  </si>
  <si>
    <t>Pemby. Service Mobil Avanza KH 1252 PU</t>
  </si>
  <si>
    <t>Pemb. Kons. Utk. Kegiatan Rapat Pengaruh Abrasi Air Sungai Seruyan terhadap Intake PERUMDAM dan Masyarakat sekitar Intake PERUMDAM</t>
  </si>
  <si>
    <t>05 Mei</t>
  </si>
  <si>
    <t>Klaim Belanja melalui Kas Kecil Bagian Distribusi</t>
  </si>
  <si>
    <t>Pemby. SPPD a.n Radiun, Siti M, &amp; Noor Halis ke IKK PEMBUANG HULU</t>
  </si>
  <si>
    <t>06 Mei</t>
  </si>
  <si>
    <t>Pembayaran Iuran BPJS Kesehatan</t>
  </si>
  <si>
    <t>09 Mei</t>
  </si>
  <si>
    <t>Pemby. Air Permukaan Periode Bulan April 2025</t>
  </si>
  <si>
    <t>Pemby. Biaya Sewa Kelotok utk Penarikan Knedaraan Kelotok Milik PERUMDAM TS</t>
  </si>
  <si>
    <t>91.02.40</t>
  </si>
  <si>
    <t>Rupa-rupa Biaya Operasi Sumber Air</t>
  </si>
  <si>
    <t>Pemb. Stiker Kelengkapan K3 (Keselamatan dan Kesehatan Kerja)</t>
  </si>
  <si>
    <t>14 Mei</t>
  </si>
  <si>
    <t>Pemby. Biaya Kegiatan Inhouse Training RPAM di Sampit</t>
  </si>
  <si>
    <t>Pemby. SPPD a.n M. Shobirin &amp; Bagus PL ke Sampit</t>
  </si>
  <si>
    <t>Pemby. SPPD a.n Hendri S dan Halimah ke Sampit</t>
  </si>
  <si>
    <t>Pemby. SPPD a.n Kardiansyah &amp; Tri Murtiani ke Sampit</t>
  </si>
  <si>
    <t>15 Mei</t>
  </si>
  <si>
    <t>Pemby. Belanja Bahan Habis Pakai (Tawas, Soda Ash, Kaporit &amp; Magnafloc) pada CV. SEJAHTERA</t>
  </si>
  <si>
    <t>Pemb. Kaos Berseloga Cinta Damai pada Pusat Koperasi POLDA KALTENG</t>
  </si>
  <si>
    <t>Pemby. Biaya Pembersihan Area Instalasi Pengolahan Lainnya di IKK KARTIKA BHAKTI</t>
  </si>
  <si>
    <t>19 Mei</t>
  </si>
  <si>
    <t>Pemby. SPPD a.n Hariono dan Agus Saputra ke Kantor Induk Kuala Pembuang</t>
  </si>
  <si>
    <t>20 Mei</t>
  </si>
  <si>
    <t>Pemby. Service Pompa Distribusi IKK PEMBUANG HULU</t>
  </si>
  <si>
    <t>B. Pemeliharaan Instalasi Pompa</t>
  </si>
  <si>
    <t>Pemby.  Rekening Telepon/HP/Fax</t>
  </si>
  <si>
    <t>22 Mei</t>
  </si>
  <si>
    <t>Pemb. Air Minum Pegawai IKK PEMBUANG HULU (HANAU)</t>
  </si>
  <si>
    <t>Pemb. BBM utk Operasional Kantor dan Bag. Lap. Pick Up KH 8529 PH</t>
  </si>
  <si>
    <t>Pemb. Sunlight, Super Pell, Cling Isi Ulang, dll</t>
  </si>
  <si>
    <t>Pemb. Tinta Ori EPSON Hitam 003</t>
  </si>
  <si>
    <t>Pemb. Air Minum, Permen dan Kue utk Kegiatan Evaluasi Kinerja</t>
  </si>
  <si>
    <t>Pemb. Konsumsi utk Kegiatan Webinar Program Pariwara Antikorupsi</t>
  </si>
  <si>
    <t>Pemb. WD-40, Busi, Vanbelt, dll</t>
  </si>
  <si>
    <t>Pemb. Mesin Pompa Air 226 BIT</t>
  </si>
  <si>
    <t>23 Mei</t>
  </si>
  <si>
    <t>Pemb. Bibit dan Pupuk</t>
  </si>
  <si>
    <t>26 Mei</t>
  </si>
  <si>
    <t>Pemb. Kunci Pintu</t>
  </si>
  <si>
    <t>Pemby. Insentif Panitia Pengadaan Belanja Bahan Habis Pakai (Tawas, Soda Ash, Kaporit &amp; Magnafloc)</t>
  </si>
  <si>
    <t>27 Mei</t>
  </si>
  <si>
    <t xml:space="preserve">Pemby. Iuran BPJS Ketenagakerjaan </t>
  </si>
  <si>
    <t>B. BPJS Ketenagakerjaan Pnegolahan Air</t>
  </si>
  <si>
    <t>Pemby. Iuran Anggota Biasa PERPAMSI Bulan Mei 2025</t>
  </si>
  <si>
    <t>Iuran DAPENMA Umum &amp; Adm</t>
  </si>
  <si>
    <t>Iuran DAPENMA Pengolahan Air</t>
  </si>
  <si>
    <t>Iuran DAPENMA Trandist</t>
  </si>
  <si>
    <t>Insentif/kesejahteraan Karyawan Pengolahan Air</t>
  </si>
  <si>
    <t>Insentif/Kesehateraan Karyawan Trandist</t>
  </si>
  <si>
    <t>B. Pegawai Operasi Pengolahan AIr</t>
  </si>
  <si>
    <t>Pemby. Biaya Keamanan Penjaga Malam Kantor Induk, IKK dan T. Paring</t>
  </si>
  <si>
    <t>Pemby. Insnetif Tambahan Petugas Pelayanan Loket</t>
  </si>
  <si>
    <t>Pemby. Insentif Khusus Hari Buruh, Hari Raya Waisak dan Cuti Bersama</t>
  </si>
  <si>
    <t>Pemb. ACCU Mpower 150 Ah 12V CRLA Kering, ACCU GFM (17 Ah 12V), Breaker MCCB NSX 160N 100/125 A 3P</t>
  </si>
  <si>
    <t>Pemb. Kunci Soak, Kunci Ring Pas dan Mesin Alkon Pro Quip 1,5"</t>
  </si>
  <si>
    <t>Pemb. 1 Unit Air Conditioner (AC) 2 PK Daikin</t>
  </si>
  <si>
    <t>Klaim Belanja melalui Kas Kecil Bagian IKK KARTIKA BHAKTI</t>
  </si>
  <si>
    <t>Pemb. Tanah dan Upah Perataan Tanah 10 Rit</t>
  </si>
  <si>
    <t>Pemb. Regulator dan Selang</t>
  </si>
  <si>
    <t>Pemb. Bola Voli dan Kompa Kecil</t>
  </si>
  <si>
    <t>Pemb. Net Voli</t>
  </si>
  <si>
    <t>1 Mei 24</t>
  </si>
  <si>
    <t>2 Mei 24</t>
  </si>
  <si>
    <t>3 Mei 24</t>
  </si>
  <si>
    <t>4 Mei 24</t>
  </si>
  <si>
    <t>5 Mei 24</t>
  </si>
  <si>
    <t>6 Mei 24</t>
  </si>
  <si>
    <t>7 Mei 24</t>
  </si>
  <si>
    <t>8 Mei 24</t>
  </si>
  <si>
    <t>9 Mei 24</t>
  </si>
  <si>
    <t>10 Mei 24</t>
  </si>
  <si>
    <t>11 Mei 24</t>
  </si>
  <si>
    <t>12 Mei 24</t>
  </si>
  <si>
    <t>13 Mei 24</t>
  </si>
  <si>
    <t>14 Mei 24</t>
  </si>
  <si>
    <t>15 Mei 24</t>
  </si>
  <si>
    <t>16 Mei 24</t>
  </si>
  <si>
    <t>17 Mei 24</t>
  </si>
  <si>
    <t>18 Mei 24</t>
  </si>
  <si>
    <t>19 Mei 24</t>
  </si>
  <si>
    <t>20 Mei 24</t>
  </si>
  <si>
    <t>21 Mei 24</t>
  </si>
  <si>
    <t>22 Mei 24</t>
  </si>
  <si>
    <t>23 Mei 24</t>
  </si>
  <si>
    <t>24 Mei 24</t>
  </si>
  <si>
    <t>25 Mei 24</t>
  </si>
  <si>
    <t>26 Mei 24</t>
  </si>
  <si>
    <t>27 Mei 24</t>
  </si>
  <si>
    <t>28 Mei 24</t>
  </si>
  <si>
    <t>29 Mei 24</t>
  </si>
  <si>
    <t>30 Mei 24</t>
  </si>
  <si>
    <t>31 Mei 24</t>
  </si>
  <si>
    <t>No. KM/01/V/2025</t>
  </si>
  <si>
    <t>No. KM/02/V/2025</t>
  </si>
  <si>
    <t>No. KM/03/V/2025</t>
  </si>
  <si>
    <t>No. KM/04/V/2025</t>
  </si>
  <si>
    <t>No. KM/05/V/2025</t>
  </si>
  <si>
    <t>No. KM/06/V/2025</t>
  </si>
  <si>
    <t>No. KM/07/V/2025</t>
  </si>
  <si>
    <t>No. KM/08/V/2025</t>
  </si>
  <si>
    <t>No. KM/09/V/2025</t>
  </si>
  <si>
    <t>No. KM/10/V/2025</t>
  </si>
  <si>
    <t>No. KM/11/V/2025</t>
  </si>
  <si>
    <t>No. KM/12/V/2025</t>
  </si>
  <si>
    <t>No. KM/13/V/2025</t>
  </si>
  <si>
    <t>No. KM/14/V/2025</t>
  </si>
  <si>
    <t>No. KM/15/V/2025</t>
  </si>
  <si>
    <t>No. KM/16/V/2025</t>
  </si>
  <si>
    <t>No. KM/17/V/2025</t>
  </si>
  <si>
    <t>No. KM/18/V/2025</t>
  </si>
  <si>
    <t>No. KM/19/V/2025</t>
  </si>
  <si>
    <t>No. KM/20/V/2025</t>
  </si>
  <si>
    <t>No. KM/21/V/2025</t>
  </si>
  <si>
    <t>No. KM/22/V/2025</t>
  </si>
  <si>
    <t>No. KM/23/V/2025</t>
  </si>
  <si>
    <t>No. KM/24/V/2025</t>
  </si>
  <si>
    <t>No. KM/25/V/2025</t>
  </si>
  <si>
    <t>No. KM/26/V/2025</t>
  </si>
  <si>
    <t>No. KM/27/V/2025</t>
  </si>
  <si>
    <t>No. KM/28/V/2025</t>
  </si>
  <si>
    <t>No. KM/29/V/2025</t>
  </si>
  <si>
    <t>No. KM/30/V/2025</t>
  </si>
  <si>
    <t>No. KM/31/V/2025</t>
  </si>
  <si>
    <t xml:space="preserve">09 Mei </t>
  </si>
  <si>
    <t>Pendapatan Lain-lain</t>
  </si>
  <si>
    <t>88.01.30</t>
  </si>
  <si>
    <t>(Kelebihan Setoran SETDA)</t>
  </si>
  <si>
    <t>Utang USaha</t>
  </si>
  <si>
    <t>(Jurnal Pembalik Pembayaran Atas Utang Bahan Kimia tgl 30 April )</t>
  </si>
  <si>
    <t>B. Pemeliharaan Water Meter 47</t>
  </si>
  <si>
    <t xml:space="preserve">B. Pemeliharaan Water Meter 9 (K. BHAKTI) </t>
  </si>
  <si>
    <t>1 Jun 24</t>
  </si>
  <si>
    <t>2 Jun 24</t>
  </si>
  <si>
    <t>3 Jun 24</t>
  </si>
  <si>
    <t>4 Jun 24</t>
  </si>
  <si>
    <t>5 Jun 24</t>
  </si>
  <si>
    <t>6 Jun 24</t>
  </si>
  <si>
    <t>7 Jun 24</t>
  </si>
  <si>
    <t>8 Jun 24</t>
  </si>
  <si>
    <t>9 Jun 24</t>
  </si>
  <si>
    <t>10 Jun 24</t>
  </si>
  <si>
    <t>11 Jun 24</t>
  </si>
  <si>
    <t>12 Jun 24</t>
  </si>
  <si>
    <t>13 Jun 24</t>
  </si>
  <si>
    <t>14 Jun 24</t>
  </si>
  <si>
    <t>15 Jun 24</t>
  </si>
  <si>
    <t>16 Jun 24</t>
  </si>
  <si>
    <t>17 Jun 24</t>
  </si>
  <si>
    <t>18 Jun 24</t>
  </si>
  <si>
    <t>19 Jun 24</t>
  </si>
  <si>
    <t>20 Jun 24</t>
  </si>
  <si>
    <t>21 Jun 24</t>
  </si>
  <si>
    <t>22 Jun 24</t>
  </si>
  <si>
    <t>23 Jun 24</t>
  </si>
  <si>
    <t>24 Jun 24</t>
  </si>
  <si>
    <t>Pendt. Diterima Dimuka</t>
  </si>
  <si>
    <t>25 Jun 24</t>
  </si>
  <si>
    <t>26 Jun 24</t>
  </si>
  <si>
    <t>27 Jun 24</t>
  </si>
  <si>
    <t>28 Jun 24</t>
  </si>
  <si>
    <t>29 Jun 24</t>
  </si>
  <si>
    <t>30 Jun 24</t>
  </si>
  <si>
    <t>No. KM/01/VI/2025</t>
  </si>
  <si>
    <t>No. KM/02/VI/2025</t>
  </si>
  <si>
    <t>No. KM/03/VI/2025</t>
  </si>
  <si>
    <t>No. KM/04/VI/2025</t>
  </si>
  <si>
    <t>No. KM/05/VI/2025</t>
  </si>
  <si>
    <t>No. KM/06/VI/2025</t>
  </si>
  <si>
    <t>No. KM/07/VI/2025</t>
  </si>
  <si>
    <t>No. KM/08/VI/2025</t>
  </si>
  <si>
    <t>No. KM/09/VI/2025</t>
  </si>
  <si>
    <t>No. KM/10/VI/2025</t>
  </si>
  <si>
    <t>No. KM/11/VI/2025</t>
  </si>
  <si>
    <t>No. KM/12/VI/2025</t>
  </si>
  <si>
    <t>No. KM/13/VI/2025</t>
  </si>
  <si>
    <t>No. KM/14/VI/2025</t>
  </si>
  <si>
    <t>No. KM/15/VI/2025</t>
  </si>
  <si>
    <t>No. KM/16/VI/2025</t>
  </si>
  <si>
    <t>No. KM/17/VI/2025</t>
  </si>
  <si>
    <t>No. KM/18/VI/2025</t>
  </si>
  <si>
    <t>No. KM/19/VI/2025</t>
  </si>
  <si>
    <t>No. KM/20/VI/2025</t>
  </si>
  <si>
    <t>No. KM/21/VI/2025</t>
  </si>
  <si>
    <t>No. KM/22/VI/2025</t>
  </si>
  <si>
    <t>No. KM/23/VI/2025</t>
  </si>
  <si>
    <t>No. KM/24/VI/2025</t>
  </si>
  <si>
    <t>No. KM/25/VI/2025</t>
  </si>
  <si>
    <t>No. KM/26/VI/2025</t>
  </si>
  <si>
    <t>No. KM/27/VI/2025</t>
  </si>
  <si>
    <t>No. KM/28/VI/2025</t>
  </si>
  <si>
    <t>No. KM/29/VI/2025</t>
  </si>
  <si>
    <t>No. KM/30/VI/2025</t>
  </si>
  <si>
    <t xml:space="preserve">Kesalahan input data dari Bank Kalteng setoran Rek Air Loket Ktr Pusat </t>
  </si>
  <si>
    <t>20 Juni</t>
  </si>
  <si>
    <t>B. Pemeliharaan Water Meter 1 (HANAU)</t>
  </si>
  <si>
    <t xml:space="preserve">B. Pemeliharaan Water Meter 2 (K. BHAKTI) </t>
  </si>
  <si>
    <t>B. Pemeliharaan Water Meter 104</t>
  </si>
  <si>
    <t>03 Juni</t>
  </si>
  <si>
    <t>Pemby. SPPD A.n M. Nur Kholis, Hengky MS dan Khusnul SH ke Kuala Pembuang</t>
  </si>
  <si>
    <t>Pemby. SPPD A.n Radiun, Bagus PL dan Sony R ke Palangkaraya</t>
  </si>
  <si>
    <t>Pemby. Service Mobil Pick Up KH 8088 PW IKK HANAU</t>
  </si>
  <si>
    <t>Pemby. Service Mobil Pick Up KH 8529 PH</t>
  </si>
  <si>
    <t>04 Juni</t>
  </si>
  <si>
    <t>B. BPJS Kesehatan &amp; Umum</t>
  </si>
  <si>
    <t>Pemby. PPH Gaji Bulan Mei Tahun 2025</t>
  </si>
  <si>
    <t>Pemby. Insentif Panitia Penyusunan Laporan Kinerja PERUMDAM TS</t>
  </si>
  <si>
    <t>05 Juni</t>
  </si>
  <si>
    <t>Pemby. SPPD A.n Kardiansyah, Bagus PL dan Liza U ke Palangkaraya</t>
  </si>
  <si>
    <t xml:space="preserve">Pemb. Kain Trol 1 Inch </t>
  </si>
  <si>
    <t>Pemby. Iuran TV Kabel Bulan Mei &amp; Juni 2025</t>
  </si>
  <si>
    <t>Pembelian Materai @10.000</t>
  </si>
  <si>
    <t>Pemby. SPPD A.n Riza ES dan Elga ASG ke Pembuang Hulu</t>
  </si>
  <si>
    <t>Pemby. Belanja Pengadaan Ultrasonic Flow Meter Portable PT. PINANGGIH TEKHNIKATAMA INDONESIA</t>
  </si>
  <si>
    <t>31.02.00</t>
  </si>
  <si>
    <t>Aset Tetap Instalasi Sumber Air</t>
  </si>
  <si>
    <t>Pemby. Belanja Water Meter Sambungan Rumah CV. LOKA KARYA</t>
  </si>
  <si>
    <t>11 Juni</t>
  </si>
  <si>
    <t>Pemby. Insentif Panitia PPBJ Belanja Ultrasonic Flow Meter PERUMDAM TS</t>
  </si>
  <si>
    <t>Pemby. Insentif Panitia PPBJ Belanja Water Meter Sambungan Rumah PERUMDAM TS</t>
  </si>
  <si>
    <t>Pemby. SPPD A.n Mahfud S dan Noor Halis ke Pembuang Hulu</t>
  </si>
  <si>
    <t>12 Juni</t>
  </si>
  <si>
    <t>Pemby. Air Permukaan Periode Bulan Mei 2025</t>
  </si>
  <si>
    <t>Pemb. 1 Buah Lemari Kabinet untuk di Ruangan Teknik</t>
  </si>
  <si>
    <t>Pemb. 3 Buah Meja Kerja untuk di Ruangan Distribusi</t>
  </si>
  <si>
    <t>Pemby. Perbaikan CCTV</t>
  </si>
  <si>
    <t>13 Juni</t>
  </si>
  <si>
    <t>Pemby. SPPD A.n Tri M, Sujoko dan Ayu WW ke IKK HANAU</t>
  </si>
  <si>
    <t>Pemb. Pita Printer</t>
  </si>
  <si>
    <t>17 Juni</t>
  </si>
  <si>
    <t>Pemby. SPPD A.n Bunga MD, Lingga EW dan Citra Dewi WMS ke Sampit</t>
  </si>
  <si>
    <t>B. Pendidikan &amp; Latihan Pegawai Bagian Umum &amp; Adm</t>
  </si>
  <si>
    <t>18 Juni</t>
  </si>
  <si>
    <t>Pemb. Alat Semprot Cat</t>
  </si>
  <si>
    <t>Pemby. Pemb. Iklan Publikasi Pemberitaan di Portal Zonakalimantan.com</t>
  </si>
  <si>
    <t>23 Juni</t>
  </si>
  <si>
    <t>Pemb. Roundup dan Solusi</t>
  </si>
  <si>
    <t>Pemb. Pulsa Lisrik Bagian Kantor</t>
  </si>
  <si>
    <t>B. Listrik / Penerangan</t>
  </si>
  <si>
    <t>24 Juni</t>
  </si>
  <si>
    <t>Pemby. Rekening Telelpon/HP/Fax</t>
  </si>
  <si>
    <t>25 Juni</t>
  </si>
  <si>
    <t>Pemby. Konsumsi Paparan/Ekspose terkait Kendala/Permasalahan Rekening Air di Kantor Kejaksaan Negeri Seruyan</t>
  </si>
  <si>
    <t>26 Juni</t>
  </si>
  <si>
    <t>Pemby. Honorarium Dewan Pengawas PERUMDAM TS</t>
  </si>
  <si>
    <t>Pemby. Biaya Konsumsi Pegawai PERUMDAM TS</t>
  </si>
  <si>
    <t>Insnetif/Kesejahteraan Karyawan Pengolahan Air</t>
  </si>
  <si>
    <t>Insnetif/Kesejahteraan Karyawan Trandist</t>
  </si>
  <si>
    <t>Pemby. Dana Representatif Direktur PERUMDAM Tirta S</t>
  </si>
  <si>
    <t>B. Asuransi / Keamanan</t>
  </si>
  <si>
    <t>Pemby. Insentif Tambahan Petugas Loket</t>
  </si>
  <si>
    <t>Pemby. Insentif Khusus Kenaikan Yesus K, Hari Raya Idul Adha, Hari Lahir Pancasila dan Cuti Bersama pada PERUMDAM TS</t>
  </si>
  <si>
    <t>Pemb. Sunlight, SuperPell, Cling Isi Ulang, dll</t>
  </si>
  <si>
    <t>Pemb. Tinta Epson 664</t>
  </si>
  <si>
    <t>Pemb. Bahan-bahan untuk Perbaikan Bagian Distribusi</t>
  </si>
  <si>
    <t>Pemb. Stopkran Ball Valve 1/2"</t>
  </si>
  <si>
    <t>Pemb. Bahan-bahan untuk Pembuatan Lap. Voli</t>
  </si>
  <si>
    <t>Pemb. BBM untuk Operasional Avanza KH 1252 PU dan KH 1407 PE</t>
  </si>
  <si>
    <t>Pemb. BBM untuk Operasional Kantor dan Bag. Lap. Mobil Pick Up KH 8529 PH</t>
  </si>
  <si>
    <t>Pemb. BBM untuk Operasional Mobil Pick Up KH 8088 PW</t>
  </si>
  <si>
    <t>Pemby. Tunjangan Kesejahteraan pada PERUMDAM Tirta S</t>
  </si>
  <si>
    <t>Pemb. BBM Solar untuk Operasional Mobil Tangki</t>
  </si>
  <si>
    <t>Pemby. Pembuatan Selebaran Kenaikan Tarif</t>
  </si>
  <si>
    <t>Rupa-rupa Biaya Langganan</t>
  </si>
  <si>
    <t>Pemby. PPH Gaji Bulan Juni Tahun 2025</t>
  </si>
  <si>
    <t>Pemby. SPPD A.n Tri M, Lulu DH dan Agung S ke Palangkaraya</t>
  </si>
  <si>
    <t>Pemby. SPPD A.n M. Sochibul NK dan Agus S ke Induk PERUMDAM TS</t>
  </si>
  <si>
    <t>Pemby. Biaya Pembersihan Area Instalasi IKK KARTIKA BHAKTI</t>
  </si>
  <si>
    <t>Pemby. Iuran Anggota Biasa PERPAMSI Bulan Juni 2025</t>
  </si>
  <si>
    <t>Penerbitan Buku Cek</t>
  </si>
  <si>
    <t>Persediaan Bahan Intalasi</t>
  </si>
  <si>
    <t>10 juni</t>
  </si>
  <si>
    <t>(Jurnal Pembalik Pembayaran Atas Utang Bahan Instalsi tgl 30 April )</t>
  </si>
  <si>
    <t>balik nama</t>
  </si>
  <si>
    <t>BULAN : JULI 2026</t>
  </si>
  <si>
    <t>22 Juli</t>
  </si>
  <si>
    <t>Aset Tetap - Instalasi trandist Penambahan Jaringan</t>
  </si>
  <si>
    <t>B. Pemeliharaan Water Meter 2 (HANAU)</t>
  </si>
  <si>
    <t>B. Harga Pokok Sambungan Baru 15 SR</t>
  </si>
  <si>
    <t>B. Pemeliharaan Water Meter 57</t>
  </si>
  <si>
    <t>Pemby. Pemb. Karngan Bunga HUT Bhayangkara ke-79 Polres Seruyan Th. 2025</t>
  </si>
  <si>
    <t>03 Juli</t>
  </si>
  <si>
    <t>Klaim Belanja melalui Kas kecil Bag. Administrasi Umum</t>
  </si>
  <si>
    <t>04 Juli</t>
  </si>
  <si>
    <t>Pemby. SPPD A/n Eddy A dan Syahdan ke Tanjung Paring</t>
  </si>
  <si>
    <t>07 Juli</t>
  </si>
  <si>
    <t>Pemby. Biaya STNK Motor KH 6266 PK dan KH 4055 PY</t>
  </si>
  <si>
    <t>Pemb. Tinta Komputer</t>
  </si>
  <si>
    <t>08 Juli</t>
  </si>
  <si>
    <t>Pemby. SPPD A/n Radiun, Kardiansyah, Tri M, Lulu DH ke P.Bun</t>
  </si>
  <si>
    <t>Klaim Belanja melalui Kas kecil Bag. Produksi</t>
  </si>
  <si>
    <t>09 Juli</t>
  </si>
  <si>
    <t>B. BPJS Kesehatan Umum &amp; ADM</t>
  </si>
  <si>
    <t>Pemb. Racun Tanaman</t>
  </si>
  <si>
    <t>Pemby. Air Pemukaan Priode Bulan Juni 2025</t>
  </si>
  <si>
    <t>Pemby. Pemb. Karangan Bunga HUT PERUMDAM Tirta Arut P.Bun</t>
  </si>
  <si>
    <t>14 Juli</t>
  </si>
  <si>
    <t>Pemby. SPPD A/n A. Rijali dan Soni R ke IKK Pembuang Hulu</t>
  </si>
  <si>
    <t>Pemb. Roundup &amp; Racun Solusi</t>
  </si>
  <si>
    <t>15 Juli</t>
  </si>
  <si>
    <t>17 Juli</t>
  </si>
  <si>
    <t>18 Juli</t>
  </si>
  <si>
    <t>Pemby. Keg. Pengecatan Jaringan Pipa Transmisi Intake</t>
  </si>
  <si>
    <t>91.03.60</t>
  </si>
  <si>
    <t>Pemeliharaan Pipa Induk</t>
  </si>
  <si>
    <t>Pemby. Termin I Kontrak Perjanjia Kerjasama Pengurusan SIPA 4 Lokasi PT. Saffalya Mitra Utama</t>
  </si>
  <si>
    <t>97.04.00</t>
  </si>
  <si>
    <t>Beban Penelitian dan Pengembangan</t>
  </si>
  <si>
    <t>Pemby. SPPD A/n Kardiansyah dan Bagu PL ke IKK HANAU</t>
  </si>
  <si>
    <t>Pemb. Material dan Upah Pemasangan Jaringan Pipa Distribusi HDPE 2" &amp; Rehab SR</t>
  </si>
  <si>
    <t>Aset Tetap Instalasi Trandist</t>
  </si>
  <si>
    <t>21 Juli</t>
  </si>
  <si>
    <t>Pemby. Belanja Bahan Habis Pakai (Tawas, Soda Ash, Kaporit, Magnafloc) CV. SEJAHTERA</t>
  </si>
  <si>
    <t>Pemby. Perbaikan Soundsystem</t>
  </si>
  <si>
    <t>Pemby. Uang Harian Bimtek Bidang Air Minum Via Aplikasi Zoom Meeting</t>
  </si>
  <si>
    <t>B. Pendidikan &amp; Latihan Peg. Bag. Umum &amp; Adm</t>
  </si>
  <si>
    <t>Pemb. Kayu Ulin untuk Perbaikan di Jembatan Makmur</t>
  </si>
  <si>
    <t>Pemb. Kayu Ulin 10x10x4 untuk Perbaikan di Jembatan Makmur</t>
  </si>
  <si>
    <t>Pemb. Baut untuk Perbaikan di Jembatan Makmur</t>
  </si>
  <si>
    <t>23 Juli</t>
  </si>
  <si>
    <t>24 Juli</t>
  </si>
  <si>
    <t>Pemb. Service HP Baca Meter</t>
  </si>
  <si>
    <t>28 Juli</t>
  </si>
  <si>
    <t>Pemby. Honorarium Dewan Pengawas PERUMDA Tirta Seruyan</t>
  </si>
  <si>
    <t>Biaya Penagiha Rekening Air</t>
  </si>
  <si>
    <t>Pemby. Gaji Penjaga Malam Kantor, IKK dan Tanjung Paring</t>
  </si>
  <si>
    <t>Pemby. Insentif Khusus Hari Libur Nasional Tahun Baru Hijriyah (1 Muharram 1447 H)</t>
  </si>
  <si>
    <t>29 Juli</t>
  </si>
  <si>
    <t>Pemby. Pajak Bumi dan Bangunan Tahun 2025 PERUMDAM Tirta S Jl. Soekarno Hatta Persil Raya</t>
  </si>
  <si>
    <t>97.07.80</t>
  </si>
  <si>
    <t>Beban Pajak PEMDA/Perizinan</t>
  </si>
  <si>
    <t>Pemby. Iuran Anggota Biasa PERPAMSI Bulan Juli 2025</t>
  </si>
  <si>
    <t>Pemby. PPH Gaji Bulan Juli Tahun 2025</t>
  </si>
  <si>
    <t>Pemb. Tisu, Stella Gantung, SuperPell, dll</t>
  </si>
  <si>
    <t>Pemb. Tabung Gas 12 Kg</t>
  </si>
  <si>
    <t>Pemb. BBM untuk Operasional Kantor dan Bag. Lap Mobil Pick Up KH 8529 PH</t>
  </si>
  <si>
    <t>Pemb. BBM untuk Operasional Mobil Pick Up KH 8088 PW IKK HANAU</t>
  </si>
  <si>
    <t>Pemb. Air Radiator untuk Mesin Genset</t>
  </si>
  <si>
    <t>Pemb. Cat dan Kunci Pintu untuk Pemeliharaan Rumah Jaga di IKK KARTIKA BHAKTI</t>
  </si>
  <si>
    <t>Pemb. Stopkran Gate Valve 1/2" untuk Pemeliharaan SR</t>
  </si>
  <si>
    <t>Pemb. Bahan Perlengkapan Cat untuk Pipa Induk</t>
  </si>
  <si>
    <t>30 Juli</t>
  </si>
  <si>
    <t xml:space="preserve">Pemby. Pembersihan dan Pengurasan Reservoir Kap. 500m3 </t>
  </si>
  <si>
    <t>Pemb. Bambu untuk Pemasangan Umbul-umbul</t>
  </si>
  <si>
    <t>Kabag Adm. &amp; Keuangan</t>
  </si>
  <si>
    <t>Persediaan Bahan Operasi Kimia-Tawas</t>
  </si>
  <si>
    <t>Persediaan Bahan Operasi Kimia-Kaporit</t>
  </si>
  <si>
    <t>Persediaan Bahan Operasi Kimia-Spoda Ash</t>
  </si>
  <si>
    <t>Persediaan Bahan Operasi Kimia-Magnoflog</t>
  </si>
  <si>
    <t>1 Jul 24</t>
  </si>
  <si>
    <t>Pend. Diterima Dimuka</t>
  </si>
  <si>
    <t>Piutang Rek Air - PRT</t>
  </si>
  <si>
    <t>Piutang Rek Air B. Tetap</t>
  </si>
  <si>
    <t>2 Jul 24</t>
  </si>
  <si>
    <t>3 Jul 24</t>
  </si>
  <si>
    <t>4 Jul 24</t>
  </si>
  <si>
    <t>5 Jul 24</t>
  </si>
  <si>
    <t>6 Jul 24</t>
  </si>
  <si>
    <t>7 Jul 24</t>
  </si>
  <si>
    <t>8 Jul 24</t>
  </si>
  <si>
    <t>9 Jul 24</t>
  </si>
  <si>
    <t>10 Jul 24</t>
  </si>
  <si>
    <t>11 Jul 24</t>
  </si>
  <si>
    <t>12 Jul 24</t>
  </si>
  <si>
    <t>13 Jul 24</t>
  </si>
  <si>
    <t>14 Jul 24</t>
  </si>
  <si>
    <t>15 Jul 24</t>
  </si>
  <si>
    <t>16 Jul 24</t>
  </si>
  <si>
    <t>17 Jul 24</t>
  </si>
  <si>
    <t>18 Jul 24</t>
  </si>
  <si>
    <t>19 Jul 24</t>
  </si>
  <si>
    <t>20 Jul 24</t>
  </si>
  <si>
    <t>21 Jul 24</t>
  </si>
  <si>
    <t>22 Jul 24</t>
  </si>
  <si>
    <t>23 Jul 24</t>
  </si>
  <si>
    <t>24 Jul 24</t>
  </si>
  <si>
    <t>25 Jul 24</t>
  </si>
  <si>
    <t>26 Jul 24</t>
  </si>
  <si>
    <t>27 Jul 24</t>
  </si>
  <si>
    <t>28 Jul 24</t>
  </si>
  <si>
    <t>29 Jul 24</t>
  </si>
  <si>
    <t>30 Jul 24</t>
  </si>
  <si>
    <t>31 Jul 24</t>
  </si>
  <si>
    <t>No. KM/01/VII/2025</t>
  </si>
  <si>
    <t>No. KM/02/VII/2025</t>
  </si>
  <si>
    <t>No. KM/03/VII/2025</t>
  </si>
  <si>
    <t>No. KM/04/VII/2025</t>
  </si>
  <si>
    <t>No. KM/05/VII/2025</t>
  </si>
  <si>
    <t>No. KM/06/VII/2025</t>
  </si>
  <si>
    <t>No. KM/07/VII/2025</t>
  </si>
  <si>
    <t>No. KM/08/VII/2025</t>
  </si>
  <si>
    <t>No. KM/09/VII/2025</t>
  </si>
  <si>
    <t>No. KM/10/VII/2025</t>
  </si>
  <si>
    <t>No. KM/11/VII/2025</t>
  </si>
  <si>
    <t>No. KM/12/VII/2025</t>
  </si>
  <si>
    <t>No. KM/13/VII/2025</t>
  </si>
  <si>
    <t>No. KM/14/VII/2025</t>
  </si>
  <si>
    <t>No. KM/15/VII/2025</t>
  </si>
  <si>
    <t>No. KM/16/VII/2025</t>
  </si>
  <si>
    <t>No. KM/17/VII/2025</t>
  </si>
  <si>
    <t>No. KM/18/VII/2025</t>
  </si>
  <si>
    <t>No. KM/19/VII/2025</t>
  </si>
  <si>
    <t>No. KM/20/VII/2025</t>
  </si>
  <si>
    <t>No. KM/21/VII/2025</t>
  </si>
  <si>
    <t>No. KM/22/VII/2025</t>
  </si>
  <si>
    <t>No. KM/23/VII/2025</t>
  </si>
  <si>
    <t>No. KM/24/VII/2025</t>
  </si>
  <si>
    <t>No. KM/25/VII/2025</t>
  </si>
  <si>
    <t>No. KM/26/VII/2025</t>
  </si>
  <si>
    <t>No. KM/27/VII/2025</t>
  </si>
  <si>
    <t>No. KM/28/VII/2025</t>
  </si>
  <si>
    <t>No. KM/29/VII/2025</t>
  </si>
  <si>
    <t>No. KM/30/VII/2025</t>
  </si>
  <si>
    <t>No. KM/31/VII/2025</t>
  </si>
  <si>
    <t>Piutang PT BANK KALTENG</t>
  </si>
  <si>
    <t>(Pembayaran kesalahan input bank tgl 20 juni 2025)</t>
  </si>
  <si>
    <t>(Kelebihan Setyoran Rek Air PEMDA)</t>
  </si>
  <si>
    <t>01 Agt</t>
  </si>
  <si>
    <t>Pemby. SPPD A.n M. Shobirin ke Bekasi</t>
  </si>
  <si>
    <t>Pemby. Kegiatan Pengcatan Pipa Intake Tanjung Paring</t>
  </si>
  <si>
    <t>Pemb. Lampu Sorot</t>
  </si>
  <si>
    <t xml:space="preserve">Pemb. Spanduk HUT Kab. Seruyan ke-23 dan HUT RI ke-80 </t>
  </si>
  <si>
    <t>04 Agt</t>
  </si>
  <si>
    <t>Pemby. SPPD A.n Hariono, S.E dan Hendri S ke Palangkaraya</t>
  </si>
  <si>
    <t>Pemby. Insentif PPBJ Bahan Habis Pakai (Tawas, Soda Ash, Kaporit, Magnafloc)</t>
  </si>
  <si>
    <t>Pemby. SPPD Dalam Kota untuk Pendataan Calon Pelanggan Baru</t>
  </si>
  <si>
    <t>05 Agt</t>
  </si>
  <si>
    <t>Pemby. Pemb. Karangan Bunga HUT Kab. Seruyan ke-23</t>
  </si>
  <si>
    <t>Pemby. Iuran TV Kabel Bulan Juli &amp; Agustus 2025</t>
  </si>
  <si>
    <t>Klaim Belanja melalui Kas Kecil Bag. Hublang</t>
  </si>
  <si>
    <t>07 Agt</t>
  </si>
  <si>
    <t>Pemb. Seragam &amp; Sepatu utk Pawai HUT RI ke-80</t>
  </si>
  <si>
    <t>Pemb. Topi+Bordir utk Pawai HUT RI ke-80</t>
  </si>
  <si>
    <t>97.01.30</t>
  </si>
  <si>
    <t>Beban Pakaian Dinas dan Olahraga</t>
  </si>
  <si>
    <t>Pemby. Pemb. Iklan Ucapan Selamat Hari Jadi ke-23 Kab. Seruyan pada Media Online Zonakalimantan.com</t>
  </si>
  <si>
    <t>08 Agt</t>
  </si>
  <si>
    <t>Pemby. SPPD A.n Tri Murtiani, S.E dan Lulu Decy H, S.T ke Sampit</t>
  </si>
  <si>
    <t>Pemb. Kabel Listrik 50m utk IKK KARTIKA BHAKTI</t>
  </si>
  <si>
    <t>11 Agt</t>
  </si>
  <si>
    <t>Pemb. Celana Training utk Pawai HUT RI ke-80</t>
  </si>
  <si>
    <t>Pemb. Tinta Epson 664 &amp; 003</t>
  </si>
  <si>
    <t>13 Agt</t>
  </si>
  <si>
    <t>Pemby. Air Permukaan Periode Bulan Junli 2025</t>
  </si>
  <si>
    <t>15 Agt</t>
  </si>
  <si>
    <t>Pemby. SPPD A.n Radiun, S.E, Tri Murtiani, S.E dan Munica I ke IKK HANAU</t>
  </si>
  <si>
    <t>19 Agt</t>
  </si>
  <si>
    <t>Pemby. SPDD A.n Kardiansyah, S.E, Bagus PL, A.Md.T dan Sonny R, S.T ke Palangkaraya</t>
  </si>
  <si>
    <t>Pemb. Kain Baju utk Seragam Karyawan PERUMDAM Tirta S</t>
  </si>
  <si>
    <t>B. Pakaian Dinas dan Olahraga Umum &amp; Adm</t>
  </si>
  <si>
    <t>93.01.30</t>
  </si>
  <si>
    <t>B. Pakaian Dinas dan Olahraga Trandist</t>
  </si>
  <si>
    <t>92.01.30</t>
  </si>
  <si>
    <t>B. Pakaian Dinas dan Olahraga Pengolahan Air</t>
  </si>
  <si>
    <t>Pemby. Rekening Telp/HP/Fax</t>
  </si>
  <si>
    <t>20 Agt</t>
  </si>
  <si>
    <t>Biaya Pengiriman Kain Seragam Pawai</t>
  </si>
  <si>
    <t>Pemby. Keg. Pawai Karnaval HUT Seruyan ke-23 &amp; HUT RI ke-80</t>
  </si>
  <si>
    <t>Pemby. Pemb. Mobil Hias HUT RI ke-80</t>
  </si>
  <si>
    <t>25 Agt</t>
  </si>
  <si>
    <t>Pemby. SPPD A.n Radiun, S.E dan Jawi, S.M ke Palangkaraya</t>
  </si>
  <si>
    <t>Pemby. SPDD A.n Joko S, A.Md, dan Jepli A, S.Kom ke IKK HANAU</t>
  </si>
  <si>
    <t>26 Agt</t>
  </si>
  <si>
    <t xml:space="preserve">Pemby. Perbaikan CPU, Laptop, Server dan Printer </t>
  </si>
  <si>
    <t>Pemb. Printer Thermal dan UPS</t>
  </si>
  <si>
    <t>Pemby. Gaji Direktur dan Pegawai Umum</t>
  </si>
  <si>
    <t>Pemby. Honoraroium Dewan Pengawas PERUMDAM Tirta S</t>
  </si>
  <si>
    <t>Pemeliharan Instalasi Sumber Lainnya</t>
  </si>
  <si>
    <t>Pemby. Insentif Khusus Hari Libur Nasional dan Cuti Bersama Proklamasi Kemerdekaan</t>
  </si>
  <si>
    <t>B. Pegawai Bag.Umum</t>
  </si>
  <si>
    <t>Pemb. Tisu, Stella Refill, Sunlight, dll</t>
  </si>
  <si>
    <t xml:space="preserve">Pemb. Lampu </t>
  </si>
  <si>
    <t>Pemb. FlashDisk 16GB</t>
  </si>
  <si>
    <t>Pemb. Peralatan untuk Perbaikan Distribusi</t>
  </si>
  <si>
    <t>Pemb. Stopkran Ball Valve Kitz 1/2"untuk Pemeliharaan SR</t>
  </si>
  <si>
    <t>Pemb. BBM utk Operasional Mobil Pick Up KH 8088 PW</t>
  </si>
  <si>
    <t>Pemby. Biaya Perpanjangan STNK Motor Dinas KH 5060 PY</t>
  </si>
  <si>
    <t>Pemby. Uang Pisah Pegawai Tetap PERUMDAM Tirta Seruyan</t>
  </si>
  <si>
    <t>Pemby. Biaya Pembersihan Area Instalasi Pengolahan Lainnya IKK KARTIKA BHAKTI</t>
  </si>
  <si>
    <t>27 Agt</t>
  </si>
  <si>
    <t>Pemby. Iuran Anggota Biasa PERPAMSI Bulan Agustus 2025</t>
  </si>
  <si>
    <t>Pemby. Pemasangan CCTV di Loket Mulyono dan Bagian Hublang</t>
  </si>
  <si>
    <t>28 Agt</t>
  </si>
  <si>
    <t>Pemby. PPH Gaji Bulan Agustus Tahun 2025</t>
  </si>
  <si>
    <t>29 Agt</t>
  </si>
  <si>
    <t xml:space="preserve">Pemby. PBB 2025 Loket PERUMDAM Gg. Mulyono </t>
  </si>
  <si>
    <t>Beban Pajak PEMDA/Perijinan</t>
  </si>
  <si>
    <t xml:space="preserve">PERUSAHAAN  UMUM DAERAH AIR MINUM </t>
  </si>
  <si>
    <t>1 Agus 24</t>
  </si>
  <si>
    <t>2 Agus 24</t>
  </si>
  <si>
    <t>3 Agus 24</t>
  </si>
  <si>
    <t>4 Agus 24</t>
  </si>
  <si>
    <t>5 Agus 24</t>
  </si>
  <si>
    <t>6 Agus 24</t>
  </si>
  <si>
    <t>7 Agus 24</t>
  </si>
  <si>
    <t>8 Agus 24</t>
  </si>
  <si>
    <t>9 Agus 24</t>
  </si>
  <si>
    <t>10 Agus 24</t>
  </si>
  <si>
    <t>11 Agus 24</t>
  </si>
  <si>
    <t>12 Agus 24</t>
  </si>
  <si>
    <t>13 Agus 24</t>
  </si>
  <si>
    <t>14 Agus 24</t>
  </si>
  <si>
    <t>15 Agus 24</t>
  </si>
  <si>
    <t>16 Agus 24</t>
  </si>
  <si>
    <t>17 Agus 24</t>
  </si>
  <si>
    <t>18 Agus 24</t>
  </si>
  <si>
    <t>19 Agus 24</t>
  </si>
  <si>
    <t>20 Agus 24</t>
  </si>
  <si>
    <t>21 Agus 24</t>
  </si>
  <si>
    <t>22 Agus 24</t>
  </si>
  <si>
    <t>23 Agus 24</t>
  </si>
  <si>
    <t>24 Agus 24</t>
  </si>
  <si>
    <t>25 Agus 24</t>
  </si>
  <si>
    <t>26 Agus 24</t>
  </si>
  <si>
    <t>27 Agus 24</t>
  </si>
  <si>
    <t>28 Agus 24</t>
  </si>
  <si>
    <t>29 Agus 24</t>
  </si>
  <si>
    <t>30 Agus 24</t>
  </si>
  <si>
    <t>31 Agus 24</t>
  </si>
  <si>
    <t>No. KM/01/VIII/2025</t>
  </si>
  <si>
    <t>No. KM/02/VIII/2025</t>
  </si>
  <si>
    <t>No. KM/03/VIII/2025</t>
  </si>
  <si>
    <t>No. KM/04/VIII/2025</t>
  </si>
  <si>
    <t>No. KM/05/VIII/2025</t>
  </si>
  <si>
    <t>No. KM/06/VIII/2025</t>
  </si>
  <si>
    <t>No. KM/07/VIII/2025</t>
  </si>
  <si>
    <t>No. KM/08/VIII/2025</t>
  </si>
  <si>
    <t>No. KM/09/VIII/2025</t>
  </si>
  <si>
    <t>No. KM/10/VIII/2025</t>
  </si>
  <si>
    <t>No. KM/11/VIII/2025</t>
  </si>
  <si>
    <t>No. KM/12/VIII/2025</t>
  </si>
  <si>
    <t>No. KM/13/VIII/2025</t>
  </si>
  <si>
    <t>No. KM/14/VIII/2025</t>
  </si>
  <si>
    <t>No. KM/15/VIII/2025</t>
  </si>
  <si>
    <t>No. KM/16/VIII/2025</t>
  </si>
  <si>
    <t>No. KM/17/VIII/2025</t>
  </si>
  <si>
    <t>No. KM/18/VIII/2025</t>
  </si>
  <si>
    <t>No. KM/19/VIII/2025</t>
  </si>
  <si>
    <t>No. KM/20/VIII/2025</t>
  </si>
  <si>
    <t>No. KM/21/VIII/2025</t>
  </si>
  <si>
    <t>No. KM/22/VIII/2025</t>
  </si>
  <si>
    <t>No. KM/23/VIII/2025</t>
  </si>
  <si>
    <t>No. KM/24/VIII/2025</t>
  </si>
  <si>
    <t>No. KM/25/VIII/2025</t>
  </si>
  <si>
    <t>No. KM/26/VIII/2025</t>
  </si>
  <si>
    <t>No. KM/27/VIII/2025</t>
  </si>
  <si>
    <t>No. KM/28/VIII/2025</t>
  </si>
  <si>
    <t>No. KM/29/VIII/2025</t>
  </si>
  <si>
    <t>No. KM/30/VIII/2025</t>
  </si>
  <si>
    <t>No. KM/31/VIII/2025</t>
  </si>
  <si>
    <t>KAS</t>
  </si>
  <si>
    <t>12 Agust</t>
  </si>
  <si>
    <t>(Pengembalian ke PT POS Kelebihan setor tgl 17 April 2025)</t>
  </si>
  <si>
    <t>B. Harga Pokok Sambungan Baru 9 SR</t>
  </si>
  <si>
    <t>B. Pemeliharaan Water Meter 10 (HANAU)</t>
  </si>
  <si>
    <t>B. Pemeliharaan Water Meter 18</t>
  </si>
  <si>
    <t>26 Sept</t>
  </si>
  <si>
    <t>Biaya Penerbitan Bilyet</t>
  </si>
  <si>
    <t>Pemb. Kue Kotak utk Rapat Pembahasan Masa Jabatan Dewan Pengawas PERUMDAM TS</t>
  </si>
  <si>
    <t>02 Sept</t>
  </si>
  <si>
    <t>Pemby. Pemb. Karangan Bunga Ucapan Hari Lahir Kejaksaan RI</t>
  </si>
  <si>
    <t>03 Sept</t>
  </si>
  <si>
    <t>Pemby. Termin II Kontrak Perjanjian Kerjasama Pengurusan Penerbitan SIPA 4 Lokasi dgn PT. Saffalya Mitra Utama Nomor : 390/PERUMDAM/VII/2025 dan Nomor : 69/SMU/VII/2025</t>
  </si>
  <si>
    <t>Pemby. SPPD A.n Hariono, S.E dan Agus S ke Kuala Pembuang</t>
  </si>
  <si>
    <t>Pemb. Bahan utk Perbaikan Pipa Intake Sei Mitak</t>
  </si>
  <si>
    <t>Pemb. Isi Ulang Oksigen dan Biaya Pengiriman Oksigen</t>
  </si>
  <si>
    <t>Pemby. Uang Pisah Pegawai Kontrak PERUMDAM Tirta S</t>
  </si>
  <si>
    <t>b. Kesejhateraan Karyawan Umum &amp; Adm</t>
  </si>
  <si>
    <t>Pemby. Sewa Kelotok ke Intake Tanjung Paring</t>
  </si>
  <si>
    <t>Pemby. SPPD A.n Kardiansyah, Sujoko, M. Shobirin, A. Rijali, Eddy A, Bagus PL, Zulfan F dan Jepli A ke T. Paring</t>
  </si>
  <si>
    <t>Pemb. Mesin Pompa Shimizu utk IKK PEMBUANG HULU</t>
  </si>
  <si>
    <t>09 Sept</t>
  </si>
  <si>
    <t>B.BPJS Kesehatan Trandist</t>
  </si>
  <si>
    <t>Pemby. SPPD A.n Kardiansyah dan Bagus PL ke PERUMDAM Tirta Mentaya</t>
  </si>
  <si>
    <t>Pemby. SPPD A.n M. Shobirin dan Eddy A ke Sampit</t>
  </si>
  <si>
    <t>Pemb. Kunci Sock, Palu, dll</t>
  </si>
  <si>
    <t>Pemby. Perbaikan Internet Tanjung Paring</t>
  </si>
  <si>
    <t>11 Sept</t>
  </si>
  <si>
    <t>Pemb. Kue Kotak utk Rapat Pembahasan Rancangan Tarif Air Minum PERUMDAM Tirta S</t>
  </si>
  <si>
    <t>15 Sept</t>
  </si>
  <si>
    <t>Pemby. SPPD A.n Hariono, S.E dan Agus S ke Pangkalan Bun</t>
  </si>
  <si>
    <t>16 Sept</t>
  </si>
  <si>
    <t>Pemby. Rehab Intake Sei Mitak</t>
  </si>
  <si>
    <t>Pemeliharaan Bangunan dan Penyempurna Tanah</t>
  </si>
  <si>
    <t>Pemb. Breaker MCCB 100 A 3P</t>
  </si>
  <si>
    <t>Pemb. Kopel Dinamo Pompa Distribusi utk IKK PEMBUANG HULU</t>
  </si>
  <si>
    <t>Pemb. Ban Holer dan Kawat Las utk IKK PEMBUANG HULU</t>
  </si>
  <si>
    <t>17 Sept</t>
  </si>
  <si>
    <t>Pemb. Oli Mesin utk Mobil Avanza KH 1407 PE</t>
  </si>
  <si>
    <t>18 Sept</t>
  </si>
  <si>
    <t>Pemby. Perbaikan dan Kalibrasi Bosh Pump Mesin Genset T. Paring</t>
  </si>
  <si>
    <t>Pemby. SPPD A.n Kardiansyah, dan Eddy A ke Sampit</t>
  </si>
  <si>
    <t>22 Sept</t>
  </si>
  <si>
    <t>Pemby. Service HP Baca Meter</t>
  </si>
  <si>
    <t>Pemby. SPPD A.n Haryanto, S.E dan Drs. Sarwadi ke Pangkalan Bun</t>
  </si>
  <si>
    <t>Pemby. SPPD A.n Radiun, Kardiansyah, Bagus PL ke Pangkalan Bun</t>
  </si>
  <si>
    <t>Pemby. Service Kendaraan Operasional Roda Dua KH 6266 PK</t>
  </si>
  <si>
    <t>Pemb. Pulsa Listrik Bag. Loket Pembayaran</t>
  </si>
  <si>
    <t>50.01.02</t>
  </si>
  <si>
    <t>Pemby. Honorarium Dewan Pengawas PERUMDAM Tirta S</t>
  </si>
  <si>
    <t>Beban Penagihan Rekening Air</t>
  </si>
  <si>
    <t>Pemby. Biaya Penjaga Malam Kantor Induk, IKK dan T. Paring</t>
  </si>
  <si>
    <t>Pemby. Biaya Pembersihan Area Sekitar Intake Sei Mitak</t>
  </si>
  <si>
    <t>Pemby. Insentif Khusus Hari Libur Nasional PERUMDAM Tirta S</t>
  </si>
  <si>
    <t>Pemby. ATK &amp; Fotocopy</t>
  </si>
  <si>
    <t>Pemb. Sunlight, SuperPell, Wipol, dll</t>
  </si>
  <si>
    <t>Pemb. FlashDisk 18GB &amp; Pita Printer</t>
  </si>
  <si>
    <t>Pemb. BBM utk Operasional Mobil Pick Up KH 8529 PH</t>
  </si>
  <si>
    <t>Pemby. SPPD A.n Radiun, Kardiansyah, Lulu DH dan Siti M ke Palangka Raya</t>
  </si>
  <si>
    <t>Pemby. SPPD Diklat Tingkat Madya A.n Hariono dan Sujoko ke Palangka Raya</t>
  </si>
  <si>
    <t>B. Pendidikan &amp; Latihan Umum &amp; Adm</t>
  </si>
  <si>
    <t>B. Pendidikan &amp; Latihan Pengolahan Air</t>
  </si>
  <si>
    <t>Pemby. Biaya Diklat Muda Manajemen Air Minum Tingkat Madya Tahun 2025</t>
  </si>
  <si>
    <t>29 Sept</t>
  </si>
  <si>
    <t>Pemby. Iuran Anggota Biasa PERPAMSI Bulan September 2025</t>
  </si>
  <si>
    <t>Pemby. PPH Gaji Bulan September Tahun 2025</t>
  </si>
  <si>
    <t>Pemby. Perbaikan Jaringan Kantor</t>
  </si>
  <si>
    <t>Pemb. Pompa Shimizu</t>
  </si>
  <si>
    <t>Pemb. SealTape utk Perbaikan Pipa Distribusi</t>
  </si>
  <si>
    <t>Pemby. Air Permukaan Periode Bulan Agustus 2025</t>
  </si>
  <si>
    <t>Pemby. Bahan Pengecatan IPA dan Reservoir Unit IKK KARTIKA BHAKTI</t>
  </si>
  <si>
    <t>92.03.20</t>
  </si>
  <si>
    <t>Pemeliharaan Instalasi Pengolahan Air</t>
  </si>
  <si>
    <t>Pemby. Pengecatan IPA dan Reservoir Unit IKK KARTIKA BHAKTI</t>
  </si>
  <si>
    <t>Pemby. Pengecatan IPA dan Reservoir di Kantor PERUMDAM Tirta S</t>
  </si>
  <si>
    <t>Pemby. Rehab Ruangan Dewan Pengawas PERUMDAM Tirta S</t>
  </si>
  <si>
    <t>Pemby. Rehab Ruangan Direktur dan Ruangan Tamu di Kantor PERUMDAM Tirta S</t>
  </si>
  <si>
    <t>1 Sept 24</t>
  </si>
  <si>
    <t>2 Sept 24</t>
  </si>
  <si>
    <t>3 Sept 24</t>
  </si>
  <si>
    <t>4 Sept 24</t>
  </si>
  <si>
    <t>5 Sept 24</t>
  </si>
  <si>
    <t>6 Sept 24</t>
  </si>
  <si>
    <t>7 Sept 24</t>
  </si>
  <si>
    <t>8 Sept 24</t>
  </si>
  <si>
    <t>9 Sept 24</t>
  </si>
  <si>
    <t>10 Sept 24</t>
  </si>
  <si>
    <t>11 Sept 24</t>
  </si>
  <si>
    <t>12 Sept 24</t>
  </si>
  <si>
    <t>13 Sept 24</t>
  </si>
  <si>
    <t>14 Sept 24</t>
  </si>
  <si>
    <t>15 Sept 24</t>
  </si>
  <si>
    <t>16 Sept 24</t>
  </si>
  <si>
    <t>17 Sept 24</t>
  </si>
  <si>
    <t>18 Sept 24</t>
  </si>
  <si>
    <t>19 Sept 24</t>
  </si>
  <si>
    <t>20 Sept 24</t>
  </si>
  <si>
    <t>21 Sept 24</t>
  </si>
  <si>
    <t>22 Sept 24</t>
  </si>
  <si>
    <t>23 Sept 24</t>
  </si>
  <si>
    <t>24 Sept 24</t>
  </si>
  <si>
    <t>25 Sept 24</t>
  </si>
  <si>
    <t>26 Sept 24</t>
  </si>
  <si>
    <t>27 Sept 24</t>
  </si>
  <si>
    <t>28 Sept 24</t>
  </si>
  <si>
    <t>29 Sept 24</t>
  </si>
  <si>
    <t>30 Sept 24</t>
  </si>
  <si>
    <t>No. KM/01/IX/2025</t>
  </si>
  <si>
    <t>No. KM/02/IX/2025</t>
  </si>
  <si>
    <t>No. KM/03/IX/2025</t>
  </si>
  <si>
    <t>No. KM/04/IX/2025</t>
  </si>
  <si>
    <t>No. KM/05/IX/2025</t>
  </si>
  <si>
    <t>No. KM/06/IX/2025</t>
  </si>
  <si>
    <t>No. KM/07/IX/2025</t>
  </si>
  <si>
    <t>No. KM/08/IX/2025</t>
  </si>
  <si>
    <t>No. KM/09/IX/2025</t>
  </si>
  <si>
    <t>No. KM/10/IX/2025</t>
  </si>
  <si>
    <t>No. KM/11/IX/2025</t>
  </si>
  <si>
    <t>No. KM/12/IX/2025</t>
  </si>
  <si>
    <t>No. KM/13/IX/2025</t>
  </si>
  <si>
    <t>No. KM/14/IX/2025</t>
  </si>
  <si>
    <t>No. KM/15/IX/2025</t>
  </si>
  <si>
    <t>No. KM/16/IX/2025</t>
  </si>
  <si>
    <t>No. KM/17/IX/2025</t>
  </si>
  <si>
    <t>No. KM/18/IX/2025</t>
  </si>
  <si>
    <t>No. KM/19/IX/2025</t>
  </si>
  <si>
    <t>No. KM/20/IX/2025</t>
  </si>
  <si>
    <t>No. KM/21/IX/2025</t>
  </si>
  <si>
    <t>No. KM/22/IX/2025</t>
  </si>
  <si>
    <t>No. KM/23/IX/2025</t>
  </si>
  <si>
    <t>No. KM/24/IX/2025</t>
  </si>
  <si>
    <t>No. KM/25/IX/2025</t>
  </si>
  <si>
    <t>No. KM/26/IX/2025</t>
  </si>
  <si>
    <t>No. KM/27/IX/2025</t>
  </si>
  <si>
    <t>No. KM/28/IX/2025</t>
  </si>
  <si>
    <t>No. KM/29/IX/2025</t>
  </si>
  <si>
    <t>No. KM/30/IX/2025</t>
  </si>
  <si>
    <t xml:space="preserve">01 Sept </t>
  </si>
  <si>
    <t>(Kelebihan setoran Hanau)</t>
  </si>
  <si>
    <t>B. Pemeliharaan Water Meter 11 (HANAU)</t>
  </si>
  <si>
    <t>B. Harga Pokok Sambungan Baru 13 SR</t>
  </si>
  <si>
    <t>1 Okt 24</t>
  </si>
  <si>
    <t>2 Okt 24</t>
  </si>
  <si>
    <t>3 Okt 24</t>
  </si>
  <si>
    <t>4 Okt 24</t>
  </si>
  <si>
    <t>5 Okt 24</t>
  </si>
  <si>
    <t>6 Okt 24</t>
  </si>
  <si>
    <t>7 Okt 24</t>
  </si>
  <si>
    <t>8 Okt 24</t>
  </si>
  <si>
    <t>9 Okt 24</t>
  </si>
  <si>
    <t>10 Okt 24</t>
  </si>
  <si>
    <t>11 Okt 24</t>
  </si>
  <si>
    <t>12 Okt 24</t>
  </si>
  <si>
    <t>13 Okt 24</t>
  </si>
  <si>
    <t>14 Okt 24</t>
  </si>
  <si>
    <t>15 Okt 24</t>
  </si>
  <si>
    <t>16 Okt 24</t>
  </si>
  <si>
    <t>17 Okt 24</t>
  </si>
  <si>
    <t>18 Okt 24</t>
  </si>
  <si>
    <t>19 Okt 24</t>
  </si>
  <si>
    <t>20 Okt 24</t>
  </si>
  <si>
    <t>21 Okt 24</t>
  </si>
  <si>
    <t>22 Okt 24</t>
  </si>
  <si>
    <t>23 Okt 24</t>
  </si>
  <si>
    <t>24 Okt 24</t>
  </si>
  <si>
    <t>25 Okt 24</t>
  </si>
  <si>
    <t>26 Okt 24</t>
  </si>
  <si>
    <t>27 Okt 24</t>
  </si>
  <si>
    <t>28 Okt 24</t>
  </si>
  <si>
    <t>29 Okt 24</t>
  </si>
  <si>
    <t>30 Okt 24</t>
  </si>
  <si>
    <t>31 Okt 24</t>
  </si>
  <si>
    <t>No. KM/01/X/2025</t>
  </si>
  <si>
    <t>No. KM/02/X/2025</t>
  </si>
  <si>
    <t>No. KM/03/X/2025</t>
  </si>
  <si>
    <t>No. KM/04/X/2025</t>
  </si>
  <si>
    <t>No. KM/05/X/2025</t>
  </si>
  <si>
    <t>No. KM/06/X/2025</t>
  </si>
  <si>
    <t>No. KM/07/X/2025</t>
  </si>
  <si>
    <t>No. KM/08/X/2025</t>
  </si>
  <si>
    <t>No. KM/09/X/2025</t>
  </si>
  <si>
    <t>No. KM/10/X/2025</t>
  </si>
  <si>
    <t>No. KM/11/X/2025</t>
  </si>
  <si>
    <t>No. KM/12/X/2025</t>
  </si>
  <si>
    <t>No. KM/13/X/2025</t>
  </si>
  <si>
    <t>No. KM/14/X/2025</t>
  </si>
  <si>
    <t>No. KM/15/X/2025</t>
  </si>
  <si>
    <t>No. KM/16/X/2025</t>
  </si>
  <si>
    <t>No. KM/17/X/2025</t>
  </si>
  <si>
    <t>No. KM/18/X/2025</t>
  </si>
  <si>
    <t>No. KM/19/X/2025</t>
  </si>
  <si>
    <t>No. KM/20/X/2025</t>
  </si>
  <si>
    <t>No. KM/21/X/2025</t>
  </si>
  <si>
    <t>No. KM/22/X/2025</t>
  </si>
  <si>
    <t>No. KM/23/X/2025</t>
  </si>
  <si>
    <t>No. KM/24/X/2025</t>
  </si>
  <si>
    <t>No. KM/25/X/2025</t>
  </si>
  <si>
    <t>No. KM/26/X/2025</t>
  </si>
  <si>
    <t>No. KM/27/X/2025</t>
  </si>
  <si>
    <t>No. KM/28/X/2025</t>
  </si>
  <si>
    <t>No. KM/29/X/2025</t>
  </si>
  <si>
    <t>No. KM/30/X/2025</t>
  </si>
  <si>
    <t>No. KM/31/X/2025</t>
  </si>
  <si>
    <t>Kelebihan Pembayaran rek air PT POS</t>
  </si>
  <si>
    <t>02 Okt</t>
  </si>
  <si>
    <t>10 Okt</t>
  </si>
  <si>
    <t>Pemb. Spanduk Serah Terima Jab. Pjs. Direktur PERUMDAM TS</t>
  </si>
  <si>
    <t>Pemb. Kons. Keg. Serah Terima Jab. Pjs. Direktur PERUMDAM TS</t>
  </si>
  <si>
    <t>13 Okt</t>
  </si>
  <si>
    <t>Pemby. SPPD A.n A. Rijaloi dan Boman LP ke IKK HANAU</t>
  </si>
  <si>
    <t>Klaim  Belanja melalui Kas Kecil Bag. Distribusi</t>
  </si>
  <si>
    <t>Pemby. Biaya Pengecatan Ruangan Bag. Administrasi Umum</t>
  </si>
  <si>
    <t>14 Okt</t>
  </si>
  <si>
    <t>Pemb. 2 Buah HP untuk Administrasi</t>
  </si>
  <si>
    <t>Pemb. 360 Liter Dexlite untuk Persediaan Genset Kantor</t>
  </si>
  <si>
    <t>Pemb. MCB 32A 3P dan Phose Failur Protectif Relay XJ3-D AC 380 utk Intake IKK KB</t>
  </si>
  <si>
    <t>15 Okt</t>
  </si>
  <si>
    <t>Pemby. Iuran BPJS Kesehataan</t>
  </si>
  <si>
    <t>Pemb. 1 Set Whiteboard</t>
  </si>
  <si>
    <t>16 Okt</t>
  </si>
  <si>
    <t>Pemb. Oli untuk Intake IKK KARTIKA BHAKTI</t>
  </si>
  <si>
    <t>Pemby. Biaya Perpanjangan STNK Motor Dinas KH 4920 PY, KH 2148 PJ, KH 2149 PJ, KH 2150 PJ, KH 2151 PJ, KH 2152 PJ, KH 2154 PJ, KH 2155 PJ, KH 2156 PJ, KH 2157 PJ, KH 2158 PJ</t>
  </si>
  <si>
    <t>Pemby. SPPD A.n Bagus Puji L ke Palangka Raya</t>
  </si>
  <si>
    <t>Pemby. Pemeliharaan Mobil Avanza KH 1252 PU</t>
  </si>
  <si>
    <t>20 Okt</t>
  </si>
  <si>
    <t>21 Okt</t>
  </si>
  <si>
    <t>Pemby. Air Permukaan Periode Bulan September 2025</t>
  </si>
  <si>
    <t>Pemby. SPPD A.n Tri Murtiani &amp; Lulu Decy H ke Palangka Raya</t>
  </si>
  <si>
    <t>Pemb. Sepatu Boots</t>
  </si>
  <si>
    <t>27 Okt</t>
  </si>
  <si>
    <t>Pemby. SPPD A.n Afirus F, Tri M, Elga ASG ke Banyuwangi</t>
  </si>
  <si>
    <t>Pemby. Iuran Berlangganan</t>
  </si>
  <si>
    <t>Pemby. Biaya Konsumsi Karyawan PERUMDAM Tirta S</t>
  </si>
  <si>
    <t>Pemby. Gaji Bagian Pengolahan Air</t>
  </si>
  <si>
    <t>Pemby. Dana Representatif Direktur PERUMDAM TS</t>
  </si>
  <si>
    <t>Pemby. Biaya Penjaga Malam Kantor, IKK dan T. Paring</t>
  </si>
  <si>
    <t>Pemb. Tisu, Cling, Nuvo, dll</t>
  </si>
  <si>
    <t xml:space="preserve">Pemb. Tinta Epson 664 &amp; 003 </t>
  </si>
  <si>
    <t>Pemb. Bearing 6309 ZZ dan Paku Tembok utk Intake IKK KB</t>
  </si>
  <si>
    <t>Pemb. BBM utk Operasional Mobil Avanza KH 1407 PE dan KH 1252 PU</t>
  </si>
  <si>
    <t>Pemb. BBM utk Pick Up KH 8529 PH dan Bag. Lapangan</t>
  </si>
  <si>
    <t>Pemb. BBM utk Pick Up KH 8088 PW IKK HANAU</t>
  </si>
  <si>
    <t>B. Kesejahteraan Karyawan Pengolahan Air</t>
  </si>
  <si>
    <t>Pemby. SPPD A.n Agung S dan Hendri S ke Sampit</t>
  </si>
  <si>
    <t>28 Okt</t>
  </si>
  <si>
    <t>Pemby. Biaya Pembersihan Area Instalasi Pengolahan IKK KB</t>
  </si>
  <si>
    <t>Pemby. Biaya Pemindahan Aksesoris</t>
  </si>
  <si>
    <t>93.01.90</t>
  </si>
  <si>
    <t>Rupa-rupa Biaya Operasi</t>
  </si>
  <si>
    <t>29 Okt</t>
  </si>
  <si>
    <t>Pemby. Iuran Anggota Biasa PERPAMSI Bulan Okt 2025</t>
  </si>
  <si>
    <t>09 Okt</t>
  </si>
  <si>
    <t>08 OKT</t>
  </si>
  <si>
    <t>Persediaan Bahan Kimia-Tawas</t>
  </si>
  <si>
    <t>Persediaan Bahan Kimia-Soda Ash</t>
  </si>
  <si>
    <t>Persediaan Bahan Kimia-Kaporit</t>
  </si>
  <si>
    <t>Persediaan Bahan Kimia-Magnoflog</t>
  </si>
  <si>
    <t>15.01.01</t>
  </si>
  <si>
    <t>15.01.02</t>
  </si>
  <si>
    <t>15.01.03</t>
  </si>
  <si>
    <t>(Pembelian Bahan kimia blm dilakukan pembayaran)</t>
  </si>
  <si>
    <t>(Pembelian Assesoris pipa &amp; SR blm dilakukan pembayaran)</t>
  </si>
  <si>
    <t>B. Pemeliharaan Water Meter 49</t>
  </si>
  <si>
    <t xml:space="preserve">B. Pemeliharaan Water Meter 7 (K. BHAKTI) </t>
  </si>
  <si>
    <t>B. Pemeliharaan Water Meter 51</t>
  </si>
  <si>
    <t>03 Nov</t>
  </si>
  <si>
    <t>Pemby. Biaya Pengantaran Pompa Intake</t>
  </si>
  <si>
    <t>Pemby. SPPD A.n Afirus Febian ke Palangka Raya</t>
  </si>
  <si>
    <t>05 Nov</t>
  </si>
  <si>
    <t>07 Nov</t>
  </si>
  <si>
    <t>Pemberian Bantuan Dana utk Pelantikan BATAMAD Seruyan T. 2025</t>
  </si>
  <si>
    <t>10 Nov</t>
  </si>
  <si>
    <t>Pemby. Insentif Panitia PPBJ Belanja Bahan Habis Pakai</t>
  </si>
  <si>
    <t>Ruoa-rupa Beban Umum Lainnya</t>
  </si>
  <si>
    <t>11 Nov</t>
  </si>
  <si>
    <t>Pemby. Iuran Anggota Biasas PERPAMSI November 2025</t>
  </si>
  <si>
    <t>Pemby. SPPD A.n Sujoko dan Boman LP ke IKK HANAU</t>
  </si>
  <si>
    <t>Pemby. SPPD A.n Eddy A dan Syahdan ke IKK HANAU</t>
  </si>
  <si>
    <t>Pemb. Bahan utk Perbaikan Atap IPA</t>
  </si>
  <si>
    <t>Pemby. Biaya Perbaikan Atap IPA</t>
  </si>
  <si>
    <t>12 Nov</t>
  </si>
  <si>
    <t>Pemby. Perbaikan Pompa Intake 18,5 KW</t>
  </si>
  <si>
    <t>13 Nov</t>
  </si>
  <si>
    <t>Pemby. Belanja Pipa dan Aksesoris pada CV. LOKA KARYA</t>
  </si>
  <si>
    <t>Pembelian Kulkas Shartp untuk IKK KARTIKA BHAKTI</t>
  </si>
  <si>
    <t>Pemby. Biaya Uji Kualitas Air pada LABKESDA Kab. Seruyan</t>
  </si>
  <si>
    <t>17 Nov</t>
  </si>
  <si>
    <t>18 Nov</t>
  </si>
  <si>
    <t>Pemb. Snack Box utk Rapat Pembahasan Rancangan PERBUP di Tingkat Eksekutif tentang Struktur Organisasi, Uraian Tugas, Tata Kerja dan Organ PERUMDAM Tirta Seruyan</t>
  </si>
  <si>
    <t>Pemby. Air Permukaan Periode Bulan Oktober 2025</t>
  </si>
  <si>
    <t>19 Nov</t>
  </si>
  <si>
    <t>Pemby. Uang Jasa Pengabdian kepada Pjs. Direktur PERUMDAM Tirta Seruyan</t>
  </si>
  <si>
    <t>20 Nov</t>
  </si>
  <si>
    <t>Pemby. Honorarium Tim Khusus dan SATGAS Terpadu Berdasarkan Perjanjian Kerja Sama antara PERUMDAM Tirta Seruyan dan Kejaksaan Negeri Seruyan No. 25 Tahun 2025 Tanggal 18 Februari 2025</t>
  </si>
  <si>
    <t>Pemb. Spanduk Perjanjian Kerjasama MoU PERUMDAM TS dan Kejari Seruyan</t>
  </si>
  <si>
    <t>Pemb. Konsumsi utk Keg. Perjanjian MoU PERUMDAM TS dan Kejari Seruyan</t>
  </si>
  <si>
    <t>21 Nov</t>
  </si>
  <si>
    <t>Pemby. Biaya Diklat dan SPPD Pel. Manajemen Air Minum Tingkat Muda A.n Afirus Febian ke Jakarta</t>
  </si>
  <si>
    <t>B. Pendidikan dan Latikan Umum &amp; Adm</t>
  </si>
  <si>
    <t>24 Nov</t>
  </si>
  <si>
    <t>Pemby. PPH Gaji Bulan Oktober Tahun 2025</t>
  </si>
  <si>
    <t>25 Nov</t>
  </si>
  <si>
    <t>26 Nov</t>
  </si>
  <si>
    <t>Pemberian Bantuan Solidaritas utk Membasuh Luka PALESTINA</t>
  </si>
  <si>
    <t>27 Nov</t>
  </si>
  <si>
    <t>Pembayaran Iuran DAPENMA PAMSI</t>
  </si>
  <si>
    <t xml:space="preserve">Pemby. BPJS Ketenagakerjaan </t>
  </si>
  <si>
    <t>Pemb. Tisu, Sunlight, Wipol, dll</t>
  </si>
  <si>
    <t>Pembelian Bearing untuk Pompa di IKK HANAU</t>
  </si>
  <si>
    <t xml:space="preserve">Pemeliharaan Instalasi </t>
  </si>
  <si>
    <t>Pemb. Tinta Epson 003</t>
  </si>
  <si>
    <t>Pemb. BBM Dexlite utk Operasional Mobil Tangki</t>
  </si>
  <si>
    <t>Pemb. BBM utk Operasional Avanza KH 1407 PE dan KH 1252 PU</t>
  </si>
  <si>
    <t>Pemb. BBM utk Operasional Kantor dan Pick Up KH 8529 PH</t>
  </si>
  <si>
    <t>Pemb. BBM utk Operasional Pick Up KH 8088 PW IKK HANAU</t>
  </si>
  <si>
    <t>28 Nov</t>
  </si>
  <si>
    <t>Pemby. PPH Gaji Bulan November 2025</t>
  </si>
  <si>
    <t>Pemby. Insentif PPBJ Belanja Pipa dan Aksesoris</t>
  </si>
  <si>
    <t>Pemby. SPPD A.n Haryanto, Afirus Febian, Kardiansyah, Tri Murtiani, Lulu DH, M. Shobirin dan Boman LP ke Banjarbaru</t>
  </si>
  <si>
    <t>B. Pendidikan dan Latihan Umum &amp; Adm</t>
  </si>
  <si>
    <t>Pemby. SPPD A.n Afirus Febian ke Surabaya</t>
  </si>
  <si>
    <t>1 Nov 24</t>
  </si>
  <si>
    <t>2 Nov 24</t>
  </si>
  <si>
    <t>3 Nov 24</t>
  </si>
  <si>
    <t>4 Nov 24</t>
  </si>
  <si>
    <t>5 Nov 24</t>
  </si>
  <si>
    <t>6 Nov 24</t>
  </si>
  <si>
    <t>7 Nov 24</t>
  </si>
  <si>
    <t>8 Nov 24</t>
  </si>
  <si>
    <t>9 Nov 24</t>
  </si>
  <si>
    <t>10 Nov 24</t>
  </si>
  <si>
    <t>11 Nov 24</t>
  </si>
  <si>
    <t>12 Nov 24</t>
  </si>
  <si>
    <t>13 Nov 24</t>
  </si>
  <si>
    <t>14 Nov 24</t>
  </si>
  <si>
    <t>15 Nov 24</t>
  </si>
  <si>
    <t>16 Nov 24</t>
  </si>
  <si>
    <t>17 Nov 24</t>
  </si>
  <si>
    <t>18 Nov 24</t>
  </si>
  <si>
    <t>19 Nov 24</t>
  </si>
  <si>
    <t>20 Nov 24</t>
  </si>
  <si>
    <t>21 Nov 24</t>
  </si>
  <si>
    <t>22 Nov 24</t>
  </si>
  <si>
    <t>23 Nov 24</t>
  </si>
  <si>
    <t>24 Nov 24</t>
  </si>
  <si>
    <t>25 Nov 24</t>
  </si>
  <si>
    <t>26 Nov 24</t>
  </si>
  <si>
    <t>27 Nov 24</t>
  </si>
  <si>
    <t>28 Nov 24</t>
  </si>
  <si>
    <t>29 Nov 24</t>
  </si>
  <si>
    <t>30 Nov 24</t>
  </si>
  <si>
    <t>No. KM/01/XI/2025</t>
  </si>
  <si>
    <t>No. KM/02/XI/2025</t>
  </si>
  <si>
    <t>No. KM/03/XI/2025</t>
  </si>
  <si>
    <t>No. KM/04/XI/2025</t>
  </si>
  <si>
    <t>No. KM/05/XI/2025</t>
  </si>
  <si>
    <t>No. KM/06/XI/2025</t>
  </si>
  <si>
    <t>No. KM/07/XI/2025</t>
  </si>
  <si>
    <t>No. KM/08/XI/2025</t>
  </si>
  <si>
    <t>No. KM/09/XI/2025</t>
  </si>
  <si>
    <t>No. KM/10/XI/2025</t>
  </si>
  <si>
    <t>No. KM/11/XI/2025</t>
  </si>
  <si>
    <t>No. KM/12/XI/2025</t>
  </si>
  <si>
    <t>No. KM/13/XI/2025</t>
  </si>
  <si>
    <t>No. KM/14/XI/2025</t>
  </si>
  <si>
    <t>No. KM/15/XI/2025</t>
  </si>
  <si>
    <t>No. KM/16/XI/2025</t>
  </si>
  <si>
    <t>No. KM/17/XI/2025</t>
  </si>
  <si>
    <t>No. KM/18/XI/2025</t>
  </si>
  <si>
    <t>No. KM/19/XI/2025</t>
  </si>
  <si>
    <t>No. KM/20/XI/2025</t>
  </si>
  <si>
    <t>No. KM/21/XI/2025</t>
  </si>
  <si>
    <t>No. KM/22/XI/2025</t>
  </si>
  <si>
    <t>No. KM/23/XI/2025</t>
  </si>
  <si>
    <t>No. KM/24/XI/2025</t>
  </si>
  <si>
    <t>No. KM/25/XI/2025</t>
  </si>
  <si>
    <t>No. KM/26/XI/2025</t>
  </si>
  <si>
    <t>No. KM/27/XI/2025</t>
  </si>
  <si>
    <t>No. KM/28/XI/2025</t>
  </si>
  <si>
    <t>No. KM/29/XI/2025</t>
  </si>
  <si>
    <t>No. KM/30/XI/2025</t>
  </si>
  <si>
    <t xml:space="preserve">(Penyesuaian Pembayaran Denda Rek DPKD ke biling sistem) </t>
  </si>
  <si>
    <t>03 Nov 25</t>
  </si>
  <si>
    <t>07 NOV 25</t>
  </si>
  <si>
    <t>Pengembalian kelebihan pemabayaran oleh PT POS tgl 02 Okt 2025</t>
  </si>
  <si>
    <t>Piutang MitraFashPay</t>
  </si>
  <si>
    <t>Rupa-rupa pendapatan lainnya</t>
  </si>
  <si>
    <t>Kelebihan setoran IKK Hanau Transaksi LPP tgl 19-27 Nov  '25</t>
  </si>
  <si>
    <t xml:space="preserve">(pembayaran utang bahan kimia dibeli kredit tgl 31 Okt) </t>
  </si>
  <si>
    <t>Pendpatan Denda</t>
  </si>
  <si>
    <t>(Biaya Transfer Bank Bahan Kimia)</t>
  </si>
  <si>
    <t xml:space="preserve">(pembayaran utang ass pipa dibeli kredit tgl 31 Okt) </t>
  </si>
  <si>
    <t>(Biaya Transfer Bank Ass Pipa)</t>
  </si>
  <si>
    <t>1 Des 25</t>
  </si>
  <si>
    <t>2 Des 25</t>
  </si>
  <si>
    <t>3 Des 25</t>
  </si>
  <si>
    <t>4 Des 25</t>
  </si>
  <si>
    <t>5 Des 25</t>
  </si>
  <si>
    <t>6 Des 25</t>
  </si>
  <si>
    <t>7 Des 25</t>
  </si>
  <si>
    <t>8 Des 25</t>
  </si>
  <si>
    <t>9 Des 25</t>
  </si>
  <si>
    <t>10 Des 25</t>
  </si>
  <si>
    <t>11 Des 25</t>
  </si>
  <si>
    <t>12 Des 25</t>
  </si>
  <si>
    <t>13 Des 25</t>
  </si>
  <si>
    <t>14 Des 25</t>
  </si>
  <si>
    <t>15 Des 25</t>
  </si>
  <si>
    <t>16 Des 25</t>
  </si>
  <si>
    <t>17 Des 25</t>
  </si>
  <si>
    <t>18 Des 25</t>
  </si>
  <si>
    <t>19 Des 25</t>
  </si>
  <si>
    <t>20 Des 25</t>
  </si>
  <si>
    <t>21 Des 25</t>
  </si>
  <si>
    <t>22 Des 25</t>
  </si>
  <si>
    <t>23 Des 25</t>
  </si>
  <si>
    <t>24 Des 25</t>
  </si>
  <si>
    <t>25 Des 25</t>
  </si>
  <si>
    <t>26 Des 25</t>
  </si>
  <si>
    <t>27 Des 25</t>
  </si>
  <si>
    <t>28 Des 25</t>
  </si>
  <si>
    <t>29 Des 25</t>
  </si>
  <si>
    <t>30 Des 25</t>
  </si>
  <si>
    <t>31 Des 25</t>
  </si>
  <si>
    <t>No. KM/31/XII/2025</t>
  </si>
  <si>
    <t>No. KM/01/XII/2025</t>
  </si>
  <si>
    <t>No. KM/02/XII/2025</t>
  </si>
  <si>
    <t>No. KM/03/XII/2025</t>
  </si>
  <si>
    <t>No. KM/04/XII/2025</t>
  </si>
  <si>
    <t>No. KM/05/XII/2025</t>
  </si>
  <si>
    <t>No. KM/06/XII/2025</t>
  </si>
  <si>
    <t>No. KM/07/XII/2025</t>
  </si>
  <si>
    <t>No. KM/08/XII/2025</t>
  </si>
  <si>
    <t>No. KM/09/XII/2025</t>
  </si>
  <si>
    <t>No. KM/10/XII/2025</t>
  </si>
  <si>
    <t>No. KM/11/XII/2025</t>
  </si>
  <si>
    <t>No. KM/12/XII/2025</t>
  </si>
  <si>
    <t>No. KM/13/XII/2025</t>
  </si>
  <si>
    <t>No. KM/14/XII/2025</t>
  </si>
  <si>
    <t>No. KM/15/XII/2025</t>
  </si>
  <si>
    <t>No. KM/16/XII/2025</t>
  </si>
  <si>
    <t>No. KM/17/XII/2025</t>
  </si>
  <si>
    <t>No. KM/18/XII/2025</t>
  </si>
  <si>
    <t>No. KM/19/XII/2025</t>
  </si>
  <si>
    <t>No. KM/20/XII/2025</t>
  </si>
  <si>
    <t>No. KM/21/XII/2025</t>
  </si>
  <si>
    <t>No. KM/22/XII/2025</t>
  </si>
  <si>
    <t>No. KM/23/XII/2025</t>
  </si>
  <si>
    <t>No. KM/24/XII/2025</t>
  </si>
  <si>
    <t>No. KM/25/XII/2025</t>
  </si>
  <si>
    <t>No. KM/26/XII/2025</t>
  </si>
  <si>
    <t>No. KM/27/XII/2025</t>
  </si>
  <si>
    <t>No. KM/28/XII/2025</t>
  </si>
  <si>
    <t>No. KM/29/XII/2025</t>
  </si>
  <si>
    <t>No. KM/30/XII/2025</t>
  </si>
  <si>
    <t>23 Des</t>
  </si>
  <si>
    <t>(Pendapatan bunga deposito diperhitungkan sampai 31 Des 2025)</t>
  </si>
  <si>
    <t>(Pajak Air Permukaan Bulan Desember 2025 blm dibayar)</t>
  </si>
  <si>
    <t>Rupa-rupa Beban Pegawai</t>
  </si>
  <si>
    <t>Pendapatan dari denda keterlambatan kontrak Bahan kimia</t>
  </si>
  <si>
    <t>02 Des</t>
  </si>
  <si>
    <t>Klaim Belanja melalui Kas kecil Bag. Hublang</t>
  </si>
  <si>
    <t>03 Des</t>
  </si>
  <si>
    <t>Pemb. Mikrotik untuk Perbaikan Jaringan Internet</t>
  </si>
  <si>
    <t>Pemby. Iuran TV Kabel Bulan Sept-Des 2025</t>
  </si>
  <si>
    <t>04 Des</t>
  </si>
  <si>
    <t>09 Des</t>
  </si>
  <si>
    <t>Klaim Belanja Melalui Kas Kecil Bag. Hublang</t>
  </si>
  <si>
    <t>Pemby. Perbaikan 2 Unit Pompa Intake 18,5KW/25HP dan 1 Unit Pompa Intake 7,5KW/10HP</t>
  </si>
  <si>
    <t>Pemby. Partisipasi Undangan Kehormatan "CAMPURSARI MODERN" di Palangka Raya</t>
  </si>
  <si>
    <t>Pemby. Biaya Investasi untuk 3 Judul Webinar Online yang diselenggarakan oleh Yayasan Pendidikan Tirta Dharma Pamsi</t>
  </si>
  <si>
    <t>Pemb. Perlengkapan Lampu utk Aula Kantor PERUMDAM TS</t>
  </si>
  <si>
    <t>Pemby. Biaya Pemasangan Lampu 5 Titik di Aula Kantor</t>
  </si>
  <si>
    <t>Pemelihraan Instalasi</t>
  </si>
  <si>
    <t>10 Des</t>
  </si>
  <si>
    <t>Pemby. Biaya Perpanjangan STNK Motor Dinas KH 2153 PJ</t>
  </si>
  <si>
    <t>Pemby. Air Permukaan Periode Bulan November 2025</t>
  </si>
  <si>
    <t>Pemby. Biaya Kepesertaan BIMTEK AI dengan LCC Lentera Azzahra Center TERMIN I+PPh 23</t>
  </si>
  <si>
    <t>Pemby. Iuran Anggota Biasa PERPAMSI Bulan Desember 2025</t>
  </si>
  <si>
    <t xml:space="preserve">Pemby. Perbaikan Soundsystem </t>
  </si>
  <si>
    <t>Pemby. Baju Seragam utk Karyawan PERUMDAM TS</t>
  </si>
  <si>
    <t>Pemby. SPPD A.n Tri M, Ayu W dan Bagus PL ke Palangka Raya</t>
  </si>
  <si>
    <t>12 Des</t>
  </si>
  <si>
    <t>Pemb. Doorprize utk Keg. Pekan Olahraga KONI X Gawi Bapakat Fun Run 2025</t>
  </si>
  <si>
    <t>15 Des</t>
  </si>
  <si>
    <t>Pemby. SPPD A.n Hengky MS dan Khusnul SK ke Kuala Pembuang</t>
  </si>
  <si>
    <t>Pemby. Biaya Kepesertaan BIMTEK AI dengan LCC Lentera Azzahra Center TERMIN II + PPh 23</t>
  </si>
  <si>
    <t>Pemb. Ban utk Mobil Pick Up KH 8088 PW IKK HANAU</t>
  </si>
  <si>
    <t>Pemelihraraan Kendaraan</t>
  </si>
  <si>
    <t>Pemb. Terpal utk Pengantaran Bahan Kimia ke IKK HANAU</t>
  </si>
  <si>
    <t>Pemby. Uang Harian BIMTEK AI</t>
  </si>
  <si>
    <t>B. Pend. &amp; Latihan Pegawai Bag. Umum &amp; Adm</t>
  </si>
  <si>
    <t>B. Pend. &amp; Latihan Pegawai Bag. Trandist</t>
  </si>
  <si>
    <t>B. Pend. &amp; Latihan Pegawai Bag. Pengolahan Air</t>
  </si>
  <si>
    <t>Pemby. Retribusi Kebersihan Periode Tahun 2023-2025</t>
  </si>
  <si>
    <t>Pemb. Snack Box utk Keg. Rapat Kerja Tahun 2026 bersama Sekda dan Bag. Ekonomi</t>
  </si>
  <si>
    <t>16 Des</t>
  </si>
  <si>
    <t>Pemby. Pengantaran 2 Unit Pompa Intake dari Sampit ke Kuala Pembuang</t>
  </si>
  <si>
    <t>Pemby. Belanja Pipa dan Aksesoris SR pada CV. LOKA KARYA</t>
  </si>
  <si>
    <t>Pemby. Biaya Investasi Webinar Online tentang Cakupan dan Pendidikan Peningkatan Pelayanan Air Minum yang diselenggarakan oleh Yayasan Tirta Dharma Pamsi</t>
  </si>
  <si>
    <t>17 Des</t>
  </si>
  <si>
    <t>Pemb. 360 Liter Dexlite</t>
  </si>
  <si>
    <t>18 Des</t>
  </si>
  <si>
    <t>Pemby. Uang Harian BIMTEK Online oleh Yayasan Tirta Dharma Pamsi</t>
  </si>
  <si>
    <t>B. Pend. &amp; Latihan Pegawai Bag. Pengolahan Air (IKK HANAU)</t>
  </si>
  <si>
    <t>19 Des</t>
  </si>
  <si>
    <t>Pemby. Upah dan Material utk Pemasangan Jaringan Pipa Dist. HDPE 4" Jl. Ki Hajar Dewantara</t>
  </si>
  <si>
    <t>Pemby. Upah dan Material utk Pemasangan Jaringan Pipa Dist. HDPE 2" Jl. Abadi</t>
  </si>
  <si>
    <t>Pemby. Upah dan Material utk Pemasangan Jaringan Pipa Dist. HDPE 2" Jl. Pematang Buluh</t>
  </si>
  <si>
    <t>Pemby. SPPD A.n Afirus F , Tri M, Lulu DH dan Liza U ke Palangka Raya</t>
  </si>
  <si>
    <t>B. Pend. &amp; Latihan Umum &amp; Adm</t>
  </si>
  <si>
    <t>24 Des</t>
  </si>
  <si>
    <t>Pemby. SPPD A.n Afirus F, Kardiansyah, Bagus PL dan Mahfud S ke IKK HANAU</t>
  </si>
  <si>
    <t>Pemb. Spanduk utk Ucapan Selamat Hari Natal Tahun 2025</t>
  </si>
  <si>
    <t>29 Des</t>
  </si>
  <si>
    <t>Pemby. Biaya Konsumsi Pegawai PERUMDAM Tirta S</t>
  </si>
  <si>
    <t>Beban Rapat &amp; Tamu</t>
  </si>
  <si>
    <t>Pemby. Insentif Khusus Hari Raya Natal</t>
  </si>
  <si>
    <t>Pemb. Stella Gantung, Sunlight, Porstex, dll</t>
  </si>
  <si>
    <t>Pemb. Printer Epson L3210, HP Elitebook 845 dan lenovo Thinkpad L13 Touchscreen</t>
  </si>
  <si>
    <t>Pemb. Pulsa Listrik Bagian Kantor dan Loket Pembayaran</t>
  </si>
  <si>
    <t>Pemby. Biaya Pemeliharaan Genset pada Intake T. Paring</t>
  </si>
  <si>
    <t>Pemb. Bahan-bahan utk Panel Pompa Distribusi</t>
  </si>
  <si>
    <t>Pemby. Fotocopy dan Jilid Spiral</t>
  </si>
  <si>
    <t>Pemby. Biaya Pembersihan Area Instalasi Pengolahan Lainnya di IKK KB</t>
  </si>
  <si>
    <t>Pemby. Cuti Tahunan Pegawai Tetap PERUMDAM TS</t>
  </si>
  <si>
    <t>B. Pegawai Bag. Umum &amp; Adm</t>
  </si>
  <si>
    <t>Pemby. Insentif PPBJ Belanja Pipa &amp; Aksesoris SR</t>
  </si>
  <si>
    <t>Pemby. Perbaikan AC di Kantor PERUMDAM TS</t>
  </si>
  <si>
    <t>Pemb. Bahan utk Perbaikan Tiang Spanduk</t>
  </si>
  <si>
    <t>Pemby. Belanja Bahan Habis Pakai (Tawas, Soda Ash, Kaporit) CV . JIHAN INVESTAMA</t>
  </si>
  <si>
    <t>Pemby. Insentif PPBJ Bahan Habis Pakai (Tawas, Soda Ash, Kaporit)</t>
  </si>
  <si>
    <t>Pemby. Uang Pisah Penjaga Malam T. Paring dan IKK HANAU</t>
  </si>
  <si>
    <t>Pemby. Uang Purna Tugas Pegawai PERUMDAM TS</t>
  </si>
  <si>
    <t>B. Kesejahteraan Karyawan Trandist</t>
  </si>
  <si>
    <t>Pemby. Uang Santunan Pegawai PERUMDAM TS</t>
  </si>
  <si>
    <t>Pemby. Service Radiator Mobil Avanza KH 1407 PE</t>
  </si>
  <si>
    <t>Pemb. Snack Box utk Rapat Evaluasi Akhir TA 2025</t>
  </si>
  <si>
    <t>Persediaan Bahan Operasi Kimia Tawas</t>
  </si>
  <si>
    <t>Persediaan Bahan Operasi Kimia Soda Ash</t>
  </si>
  <si>
    <t>Persediaan Bahan Operasi Kimia Kaporit</t>
  </si>
  <si>
    <t>Persediaan Bahan Operasi Kimia Magnoflog</t>
  </si>
  <si>
    <t>Instalasi Transmisi dan Distribusi (3 jaringan Baru)</t>
  </si>
  <si>
    <t>B. Harga Pokok Sambungan Baru 12 SR</t>
  </si>
  <si>
    <t>B. Pemeliharaan Water Meter 0</t>
  </si>
  <si>
    <t xml:space="preserve">B. Pemeliharaan Water Meter 8 (K. BHAKTI) </t>
  </si>
  <si>
    <t>Akumulasi Penyisihan Piutang Usaha</t>
  </si>
  <si>
    <t>(PPh 21 Pegawai Bulan Desember Terutang )</t>
  </si>
  <si>
    <t>( Koreksi atas biaya tersebut karena insentif dipot pph 21  sehingga atas potongan pajak tsb seharusnya masuk beban PPh 21 )</t>
  </si>
  <si>
    <t>Beban Kesejahteraan Karyawan</t>
  </si>
  <si>
    <t>97.07.20</t>
  </si>
  <si>
    <t>Beban Penyisihan Piutang</t>
  </si>
  <si>
    <t>(Selisih kurrang dari perhitungan akumulasi penyisihan piutang th 2025 dgn tahun 2024)</t>
  </si>
  <si>
    <t>BULAN : JANUARI 2026</t>
  </si>
  <si>
    <t>No. KM/01/I/2026</t>
  </si>
  <si>
    <t>No. KM/02/I/2026</t>
  </si>
  <si>
    <t>No. KM/03/I/2026</t>
  </si>
  <si>
    <t>No. KM/04/I/2026</t>
  </si>
  <si>
    <t>No. KM/05/I/2026</t>
  </si>
  <si>
    <t>No. KM/06/I/2026</t>
  </si>
  <si>
    <t>No. KM/07/I/2026</t>
  </si>
  <si>
    <t>No. KM/08/I/2026</t>
  </si>
  <si>
    <t>No. KM/09/I/2026</t>
  </si>
  <si>
    <t>No. KM/10/I/2026</t>
  </si>
  <si>
    <t>No. KM/11/I/2026</t>
  </si>
  <si>
    <t>No. KM/12/I/2026</t>
  </si>
  <si>
    <t>No. KM/13/I/2026</t>
  </si>
  <si>
    <t>No. KM/14/I/2026</t>
  </si>
  <si>
    <t>No. KM/15/I/2026</t>
  </si>
  <si>
    <t>No. KM/16/I/2026</t>
  </si>
  <si>
    <t>1 Feb 26</t>
  </si>
  <si>
    <t>2 Feb 26</t>
  </si>
  <si>
    <t>3 Feb 26</t>
  </si>
  <si>
    <t>4 Feb 26</t>
  </si>
  <si>
    <t>5 Feb 26</t>
  </si>
  <si>
    <t>6 Feb 26</t>
  </si>
  <si>
    <t>7 Feb 26</t>
  </si>
  <si>
    <t>8 Feb 26</t>
  </si>
  <si>
    <t>9 Feb 26</t>
  </si>
  <si>
    <t>10 Feb 26</t>
  </si>
  <si>
    <t>11 Feb 26</t>
  </si>
  <si>
    <t>12 Feb 26</t>
  </si>
  <si>
    <t>13 Feb 26</t>
  </si>
  <si>
    <t>14 Feb 26</t>
  </si>
  <si>
    <t>15 Feb 26</t>
  </si>
  <si>
    <t>16 Feb 26</t>
  </si>
  <si>
    <t>17 Feb 26</t>
  </si>
  <si>
    <t>18 Feb 26</t>
  </si>
  <si>
    <t>19 Feb 26</t>
  </si>
  <si>
    <t>20 Feb 26</t>
  </si>
  <si>
    <t>21 Feb 26</t>
  </si>
  <si>
    <t>22 Feb 26</t>
  </si>
  <si>
    <t>23 Feb 26</t>
  </si>
  <si>
    <t>24 Feb 26</t>
  </si>
  <si>
    <t>25 Feb 26</t>
  </si>
  <si>
    <t>26 Feb 26</t>
  </si>
  <si>
    <t>27 Feb 26</t>
  </si>
  <si>
    <t>28 Feb 26</t>
  </si>
  <si>
    <t>No. KM/01/II/2026</t>
  </si>
  <si>
    <t>No. KM/02/II/2026</t>
  </si>
  <si>
    <t>No. KM/03/II/2026</t>
  </si>
  <si>
    <t>No. KM/04/II/2026</t>
  </si>
  <si>
    <t>No. KM/05/II/2026</t>
  </si>
  <si>
    <t>No. KM/06/II/2026</t>
  </si>
  <si>
    <t>No. KM/07/II/2026</t>
  </si>
  <si>
    <t>No. KM/08/II/2026</t>
  </si>
  <si>
    <t>No. KM/09/II/2026</t>
  </si>
  <si>
    <t>No. KM/10/II/2026</t>
  </si>
  <si>
    <t>No. KM/11/II/2026</t>
  </si>
  <si>
    <t>No. KM/12/II/2026</t>
  </si>
  <si>
    <t>No. KM/13/II/2026</t>
  </si>
  <si>
    <t>No. KM/14/II/2026</t>
  </si>
  <si>
    <t>No. KM/15/II/2026</t>
  </si>
  <si>
    <t>No. KM/16/II/2026</t>
  </si>
  <si>
    <t>No. KM/17/II/2026</t>
  </si>
  <si>
    <t>No. KM/18/II/2026</t>
  </si>
  <si>
    <t>No. KM/19/II/2026</t>
  </si>
  <si>
    <t>No. KM/20/II/2026</t>
  </si>
  <si>
    <t>No. KM/21/II/2026</t>
  </si>
  <si>
    <t>No. KM/22/II/2026</t>
  </si>
  <si>
    <t>No. KM/23/II/2026</t>
  </si>
  <si>
    <t>No. KM/24/II/2026</t>
  </si>
  <si>
    <t>No. KM/25/II/2026</t>
  </si>
  <si>
    <t>No. KM/26/II/2026</t>
  </si>
  <si>
    <t>No. KM/27/II/2026</t>
  </si>
  <si>
    <t>No. KM/28/II/2026</t>
  </si>
  <si>
    <t>1 Mar 26</t>
  </si>
  <si>
    <t>2 Mar 26</t>
  </si>
  <si>
    <t>3 Mar 26</t>
  </si>
  <si>
    <t>4 Mar 26</t>
  </si>
  <si>
    <t>5 Mar 26</t>
  </si>
  <si>
    <t>6 Mar 26</t>
  </si>
  <si>
    <t>7 Mar 26</t>
  </si>
  <si>
    <t>8 Mar 26</t>
  </si>
  <si>
    <t>9 Mar 26</t>
  </si>
  <si>
    <t>10 Mar 26</t>
  </si>
  <si>
    <t>11 Mar 26</t>
  </si>
  <si>
    <t>12 Mar 26</t>
  </si>
  <si>
    <t>13 Mar 26</t>
  </si>
  <si>
    <t>14 Mar 26</t>
  </si>
  <si>
    <t>15 Mar 26</t>
  </si>
  <si>
    <t>16 Mar 26</t>
  </si>
  <si>
    <t>17 Mar 26</t>
  </si>
  <si>
    <t>18 Mar 26</t>
  </si>
  <si>
    <t>19 Mar 26</t>
  </si>
  <si>
    <t>20 Mar 26</t>
  </si>
  <si>
    <t>21 Mar 26</t>
  </si>
  <si>
    <t>22 Mar 26</t>
  </si>
  <si>
    <t>23 Mar 26</t>
  </si>
  <si>
    <t>24 Mar 26</t>
  </si>
  <si>
    <t>25 Mar 26</t>
  </si>
  <si>
    <t>26 Mar 26</t>
  </si>
  <si>
    <t>27 Mar 26</t>
  </si>
  <si>
    <t>28 Mar 26</t>
  </si>
  <si>
    <t>29 Mar 26</t>
  </si>
  <si>
    <t>30 Mar 26</t>
  </si>
  <si>
    <t>31 Mar 26</t>
  </si>
  <si>
    <t>No. KM/01/III/2026</t>
  </si>
  <si>
    <t>No. KM/02/III/2026</t>
  </si>
  <si>
    <t>No. KM/03/III/2026</t>
  </si>
  <si>
    <t>No. KM/04/III/2026</t>
  </si>
  <si>
    <t>No. KM/05/III/2026</t>
  </si>
  <si>
    <t>No. KM/06/III/2026</t>
  </si>
  <si>
    <t>No. KM/07/III/2026</t>
  </si>
  <si>
    <t>No. KM/08/III/2026</t>
  </si>
  <si>
    <t>No. KM/09/III/2026</t>
  </si>
  <si>
    <t>No. KM/10/III/2026</t>
  </si>
  <si>
    <t>No. KM/11/III/2026</t>
  </si>
  <si>
    <t>No. KM/12/III/2026</t>
  </si>
  <si>
    <t>No. KM/13/III/2026</t>
  </si>
  <si>
    <t>No. KM/14/III/2026</t>
  </si>
  <si>
    <t>No. KM/15/III/2026</t>
  </si>
  <si>
    <t>No. KM/16/III/2026</t>
  </si>
  <si>
    <t>No. KM/17/III/2026</t>
  </si>
  <si>
    <t>No. KM/18/III/2026</t>
  </si>
  <si>
    <t>No. KM/19/III/2026</t>
  </si>
  <si>
    <t>No. KM/20/III/2026</t>
  </si>
  <si>
    <t>No. KM/21/III/2026</t>
  </si>
  <si>
    <t>No. KM/22/III/2026</t>
  </si>
  <si>
    <t>No. KM/23/III/2026</t>
  </si>
  <si>
    <t>No. KM/24/III/2026</t>
  </si>
  <si>
    <t>No. KM/25/III/2026</t>
  </si>
  <si>
    <t>No. KM/26/III/2026</t>
  </si>
  <si>
    <t>No. KM/27/III/2026</t>
  </si>
  <si>
    <t>No. KM/28/III/2026</t>
  </si>
  <si>
    <t>No. KM/29/III/2026</t>
  </si>
  <si>
    <t>No. KM/30/III/2026</t>
  </si>
  <si>
    <t>No. KM/31/III/2026</t>
  </si>
  <si>
    <t>BULAN : FEBRUARI 2026</t>
  </si>
  <si>
    <t>BULAN : MARET 2026</t>
  </si>
  <si>
    <t>05 Jan</t>
  </si>
  <si>
    <t>Pembuatan Spanduk untuk Pemberitahuan Operasional Pelayanan Air 24 Jam di Unit IKK Pembuang Hulu</t>
  </si>
  <si>
    <t>Pemby. Biaya Perpanjangan STNK Mobil PICK UP KH 8088 PW</t>
  </si>
  <si>
    <t>Pembelian Pulsa Listrik Bagian Kantor dan Loket Pembayaran</t>
  </si>
  <si>
    <t>Pembelian Paket Internet Kantor, IKK Kartika Bhakti, IKK Hanau, Tanjung Paring, Mulyono</t>
  </si>
  <si>
    <t>08 Jan</t>
  </si>
  <si>
    <t>Pembelian Pulsa Listrik Bagian Kantor</t>
  </si>
  <si>
    <t>Pembay. Pembuatan Spanduk dan Brosur Kenaikan Tarif</t>
  </si>
  <si>
    <t>12 Jan</t>
  </si>
  <si>
    <t>Klaim Belanja Melalui Kas Kecil IKK Pembuang Hulu.</t>
  </si>
  <si>
    <t>13 Jan</t>
  </si>
  <si>
    <t xml:space="preserve">B. Pos &amp; Materai </t>
  </si>
  <si>
    <t>Pembayaran Pajak Air Permukaan &amp; Biaya Kirim Periode Bulan Desember 2025</t>
  </si>
  <si>
    <t>Pembayaran PPH 21 Gaji Bulan Desember dan Uang Cuti Tahun 2025</t>
  </si>
  <si>
    <t>B. Yang Masih Harus Dibayar</t>
  </si>
  <si>
    <t>14 Jan</t>
  </si>
  <si>
    <t>Pembayaran Listrik Sumber Air</t>
  </si>
  <si>
    <t>Pembayaran Listrik Sumber Air IKK Pembuang Hulu (Hanau)</t>
  </si>
  <si>
    <t>Pembayaran Listrik PLN Sumber Air IKK Kartika Bhakti (Kartika Bhakti)</t>
  </si>
  <si>
    <t xml:space="preserve">B. Listrik PLN Sumber Air </t>
  </si>
  <si>
    <t>B. BPJS Kesehtan Trandist</t>
  </si>
  <si>
    <t>Pembay. Iuan Anggota Biasa PERPAMSI Bulan Januari 2026</t>
  </si>
  <si>
    <t>15 Jan</t>
  </si>
  <si>
    <t>Pemby. Biaya Perpanjangan STNK Motor KH 2251 PI, KH 4995 Pg, dan Mobil Avanza KH 1252 PU</t>
  </si>
  <si>
    <t>Pemby. ATK IKK Pembuang Hulu</t>
  </si>
  <si>
    <t>Pemby. SPPD a.n Hariono dn Hengky Muklis Samitra ke Kuala Pembuang</t>
  </si>
  <si>
    <t>19 Jan</t>
  </si>
  <si>
    <t>Pemby. Perbaikan Pompa Intake 7,5 KW / 10 HP IKK Kartika Bhakti</t>
  </si>
  <si>
    <t>Pemeliharaa Instalasi Pompa</t>
  </si>
  <si>
    <t>Pemby. Biaya Pengantaran Pompa Intake Kota Kuala Pembuang dan IKK Kartika Bhakti</t>
  </si>
  <si>
    <t>Pemby. Service Mobil Pick Up KH 8088 PW (IKK Pembuang Hulu)</t>
  </si>
  <si>
    <t>Pemby. SPPD a.n. Agus Saputra dan Khusnul Siti Hatimah ke Kuala Pembuang</t>
  </si>
  <si>
    <t>Pemby. Pembuatan Karangan Bunga</t>
  </si>
  <si>
    <t>Pemby. Honorarium Tim Penguji dan Sekretariat Pelaksanaan Job Fit di Lingkungan Perusahaan Umum Daerah Air Minum Tirta Seruyan Berdasarkan Keputusan Direktur 71 Tahun 2025 Tanggal 29 Desember 2025</t>
  </si>
  <si>
    <t>Pemby. Biaya Konsumsi dan Perlengkapan untuk Kegiatan Pelaksanaan Job Fit di Lingkungan Perusahaan Umm Daerah Air Minum Tirta Seruyan</t>
  </si>
  <si>
    <t>Klaim Belanja Melalui Kas Kecil Bagian Produksi</t>
  </si>
  <si>
    <t>Pemb. Cangkul untuk Perbaikan Distribusi</t>
  </si>
  <si>
    <t>Pemby. SPPD a.n. Afirus Febian, Tri Murtiani, dan Siti Maisyarah ke Sampit</t>
  </si>
  <si>
    <t>Pemby. SPPD a.n. M. Shobirin, Hendri Setiawan, dan Ayu Widya W. Ke Sampit</t>
  </si>
  <si>
    <t>Pemby. Gaji Bagian Transdist</t>
  </si>
  <si>
    <t>B. Pegawai Operasi Transdist</t>
  </si>
  <si>
    <t>Pemby. Gaji Pegawai IKK Kartika Bhakti</t>
  </si>
  <si>
    <t>Pemby. Gaji Pegawai IKK Pembuang Hulu</t>
  </si>
  <si>
    <t>Pemby. Biaya Konsumsi Berdasarkan Keputusan Direktur Perusahaan Daerah Air Minum Kabupaten Seruyan Nomor: 76 Tahun 2024 Tanggal 23 Desember 2024</t>
  </si>
  <si>
    <t>Insentif / Kesejahteraan Karyawan Umum &amp; Adm</t>
  </si>
  <si>
    <t>Insentif / Kesejahteraan Karyawan Trandist</t>
  </si>
  <si>
    <t>Insentif / Kesejahteraan Karyawan Pengolahan Air</t>
  </si>
  <si>
    <t>Pemby. Honorarium Dewan Pengawas Perusahaan Umum Daerah Air Minum Tirta Seruyan Berdasarkan Keputusan Bupati Nomor : 100.3.3.2/388/2025 Tanggal 17 September 2025</t>
  </si>
  <si>
    <t>Pemby. Dana Representatif Direktur Berdasarkan Keputusan Bupati Seruyan Nomor: 100.3.3.2/704/2024 Tanggal 10 Desember 2024</t>
  </si>
  <si>
    <t>Pemby. Biaya Keamanan Penjaga Malam Kantor Induk, Penjaga Malam IKK Kartika Bhakti dan Penjaga Tanjung Paring</t>
  </si>
  <si>
    <t>Pemeliharaan Biaya Taman dan Lapangan</t>
  </si>
  <si>
    <t>Pemby. Insentif Khusus Hari Raya Natal, Cuti Bersama Natal, Tahun Baru Masehi, dan Isra Miraj pada Perusahaan Umum DaerahAir Minum Tirta Seruyan Nomor : 32 Tahun 2025 Tanggal 19 Maret 2025 dan Nomor : 04 Tahun 2026 Tanggal 05 Januari 2026</t>
  </si>
  <si>
    <t>Pemb. Pita Printer dan Tinta Epson 003</t>
  </si>
  <si>
    <t>Pemb. Tisu, Super Pell, Stella Gantung dll</t>
  </si>
  <si>
    <t>Pemb. Tabung Gas 12 Kg.</t>
  </si>
  <si>
    <t>Pemb. BBM Dexlite Untuk Operasional Mobil Tangki.</t>
  </si>
  <si>
    <t>Pemb. BBM untuk Operasional Avanza KH 1252 PU dan KH 1407 PE Berdasarkan Surat Keputusan Direktur Perusahaan Umum Daerah Air Minum Daerah Air Minum Tirta Seruyan Nomor: 03 Tahun 2026 Tanggal 05 Hjanuari 2026</t>
  </si>
  <si>
    <t>Pemb. BBM untuk Operasional Kantor dan Bagian Lapangan Mobil Pick Up KH 8529 PH Berdasarkan Surat Keputusan Direktur Perusahaan Umum Daerah Air Minum Tirta Seruyan Nomor : 03 Tahun 2026 Tanggal 05 Januari 2026</t>
  </si>
  <si>
    <t>Pemb. BBM untuk Operasional Mobil Pick Up KH 8088 PW IKK Pembuang Hulu Berdasarkan Surat Keputusan Direktur Perusahaan Umum Daerah Air Munum Tirta Seruyan Nomor : 03 Tahun 2026 Tanggal 05 Januari 2026</t>
  </si>
  <si>
    <t>Pemb. Air Minum Pegawai IKK Hanau</t>
  </si>
  <si>
    <t>Pemb. Air Munum Pegawai IKK Kartika Bhakti</t>
  </si>
  <si>
    <t>Pemb. Konsumsi untuk Rapat Pembahasan Rencana Peraturan Bupati di Tingkat Eksekutif, yaitu tentang Organ dan Kepegawaian Perusahaan Umum Daerah Air Minum Tirta Seruyan</t>
  </si>
  <si>
    <t>Pemb. Snack Box untuk Rapat Pembahasan Rancangan Peraturan Bupati di Tingkat Eksekutif, yaitu tentang Organ dan Kepegawaian Perusahaan Umum Daerah Air Minum Tirta Seruyan</t>
  </si>
  <si>
    <t>66</t>
  </si>
  <si>
    <t>50.01.05</t>
  </si>
  <si>
    <t>Iuran Dapenma Pengeloaan Air</t>
  </si>
  <si>
    <t>67</t>
  </si>
  <si>
    <t>Pemby. Iuran Anggota DPD PERPAMSI Provinsi Kaleng Berdasarkan Keputusan Dewan Pengawas Daerah PERPAMSI Nomor : 40/SKEP/DPD/III/2018</t>
  </si>
  <si>
    <t>68</t>
  </si>
  <si>
    <t>B. BPJS Ketenagakerjaan Pengolhan Air</t>
  </si>
  <si>
    <t>69</t>
  </si>
  <si>
    <t>70</t>
  </si>
  <si>
    <t>Pemby. Biaya Pembersihan Area Instalasi Pengolahan L:ainnya di IKK Kartika Bhakti</t>
  </si>
  <si>
    <t>Pemby. PPH Gaji Bulan Januari Tahun 2026</t>
  </si>
  <si>
    <t>72</t>
  </si>
  <si>
    <t>73</t>
  </si>
  <si>
    <t>Klaim Belanja Melalui Kas Kecil Bagian Administrasi Umum</t>
  </si>
  <si>
    <t>28 Februari</t>
  </si>
  <si>
    <t xml:space="preserve">19 Jan </t>
  </si>
  <si>
    <t>(Biaya Admin/Kirim/Transfer)</t>
  </si>
  <si>
    <t xml:space="preserve">(Kelebihan Setoran Rekening Air  PT. Pos) </t>
  </si>
  <si>
    <t>(Pembayaran Kelebihan Setoran PT. Pos atas Kelebihan Setoran Rekening Air pada Tanggal 02 Januari 2026)</t>
  </si>
  <si>
    <t>30 Jan</t>
  </si>
  <si>
    <t>B. Penyusutan Pengolahan Air</t>
  </si>
  <si>
    <t>B. Penyusutan Non Pabrik Air</t>
  </si>
  <si>
    <t>Piutang Mitra Fastpay</t>
  </si>
  <si>
    <t>91.05.00</t>
  </si>
  <si>
    <t>92.05.00</t>
  </si>
  <si>
    <t>93.03.00</t>
  </si>
  <si>
    <t>Piutang Non Air (Bunga Deposito)</t>
  </si>
  <si>
    <t>70.05.00</t>
  </si>
  <si>
    <t>70.04.00</t>
  </si>
  <si>
    <t>Laba ditahan/Akum Kerugian</t>
  </si>
  <si>
    <t>01 Jan</t>
  </si>
  <si>
    <t>Pembayaran SPPD a.n. Agus Purwanto dan Mahfud Sulistio ke Pembuang Hulu.</t>
  </si>
  <si>
    <t>Pembayaran Uang Pisah Pegawai Honorer dan Kontrak Perusahaan Umum Daerah Air Minum</t>
  </si>
  <si>
    <t>B. Kesejahteraan Karyawan Produkai</t>
  </si>
  <si>
    <t xml:space="preserve">Pembelian Pulsa Listrik Bagian Kantor </t>
  </si>
  <si>
    <t>Pembayaran Uang Pisah Penagihan Tunggakan Perumdam Tirta Seruyan.</t>
  </si>
  <si>
    <t>Pembayaran Servis Speaker PERUMDAM Tirta Seruyan.</t>
  </si>
  <si>
    <t>Pembayaran Instalasi Sumber Lainnya</t>
  </si>
  <si>
    <t>Pembayaran Biaya Diklat, Penginapan dan Biaya SPPD Pelatihan dan Sertifikasi Kopetensi Pengadaan Barang/Jasa Pemerintah (PBJP) Level-1 a.n. Afirus Febian, Agung Sulawahyudi, dan Sujoko ke Banjarmasin.</t>
  </si>
  <si>
    <t>Pembelian Charger Laptop.</t>
  </si>
  <si>
    <t>Pembelian Pulsa Listrik Bagian Kantor dan Loket Pembayaran.</t>
  </si>
  <si>
    <t>Pembayaran Rekening Telepon/HP/Fax</t>
  </si>
  <si>
    <t>Pembayaran Service Mobil Avanza KH 1407 PE</t>
  </si>
  <si>
    <t>Pembayaran Biaya Diklat dan Biaya SPPD Bimtek Diwajibkannya Pelaporan Perpajakan Melalui Sistem Aplikasi Cortax serta Per-11/Pj/2025 Mengenai Perhitungan SPT PPh Badan, Orang Pribadi (OP) dan SPT Masa PPN &amp; PPnBM a.n. Afirus Febian, Tri Murtiani, Lulu Decy H, dan Riza Estina S ke Banjarmasin.</t>
  </si>
  <si>
    <t>Pembelian Mesin Potong Rumput Nishikawaplatinum NBC-338</t>
  </si>
  <si>
    <t>Beban Pemakaian Bahan/ Perlengkapan</t>
  </si>
  <si>
    <t>Pembyaran Listrik Sumber Air</t>
  </si>
  <si>
    <t>B. Listrik PLN sumber Air</t>
  </si>
  <si>
    <t>Pembayaran Listrik Sumber Air IKK Pembuang Hulu</t>
  </si>
  <si>
    <t>Pembayaran Listrik Sumber Ait IKK Kartika Bhakti</t>
  </si>
  <si>
    <t>Pembayaran Iuran BPJS Kesehatan Pengolahan Air Pusat, IKK Kartika Bhakti, dan IKK Hanau</t>
  </si>
  <si>
    <t>Pembayaran Jasa Audit Laporan Keuangan Per 31 Desember 2025 Termin I 50% (Lima Puluh Persen) dari Total Jasa Audit, sudah termasuk PPN 12 %, dan PPh 23 2 %</t>
  </si>
  <si>
    <t>B. Jasa Profisesional</t>
  </si>
  <si>
    <t>Pembayaran Iuran Anggota Biasa PERPAMSI Bulan Februari 2026</t>
  </si>
  <si>
    <t>Pembayaran Perbaikan AC + PPH 21 2,5% di Kantor PERUMDAM Tirta Seruyan</t>
  </si>
  <si>
    <t>Pembayaran Biaya Perpanjangan STNK Motor Dinas KH 2252 PI &amp; KH 2253 PI.</t>
  </si>
  <si>
    <t>Pembayaran Pajak Air Permukaan Periode Bulan Januari 2026</t>
  </si>
  <si>
    <t>Pembayaran Perbaikan CCTV Tanjung Paring.</t>
  </si>
  <si>
    <t>Pembayaran Perawatan Server Bagian Loket Kantor</t>
  </si>
  <si>
    <t>Pemeliharaan Intalasi</t>
  </si>
  <si>
    <t>Pembayaran Pembuatan Banner bagian Hubungan Pelanggan.</t>
  </si>
  <si>
    <t>Klaim Belanja Melalui Kas Kecil Bagian Distribusi</t>
  </si>
  <si>
    <t>Pemeliharaan Trandis Lainnya</t>
  </si>
  <si>
    <t>Pembayaran Uji Kualitas Air IKK Pembuang Hulu.</t>
  </si>
  <si>
    <t>Rupa-Rupa Beban Pengolahan Air</t>
  </si>
  <si>
    <t>23 Feb</t>
  </si>
  <si>
    <t>Pembelian Pulsa Listrik Bagian Kantor.</t>
  </si>
  <si>
    <t>Pembayaran Belanja Neon Box pada CV. BINTANG SAMUDRA</t>
  </si>
  <si>
    <t>Inventaris / Perabot Kantor</t>
  </si>
  <si>
    <t>Pembayaran Belanja Water Meter Sambungan Rumah pada CV. LOKA KARYA.</t>
  </si>
  <si>
    <t>Pembayaran Insentif Penyusunan Rencana Kerja dan Anggaran pada Perusahaan Umum Daerah Air Minum Tirta Seruyan Tahun Anggaran 2026 Berdasarkan Keputusan Nomor : 64 Tahun 2025 Tanggal 13 Oktober 2025.</t>
  </si>
  <si>
    <t>Pembayaran SPPD a.n. Afirus Febian, Kardiansyah, dan Bagus Puji Laksono ke Palangkaraya</t>
  </si>
  <si>
    <t>Pembayaran Gaji Direktur dan Pegawai Bagian Umum.</t>
  </si>
  <si>
    <t>Pembayaran Gaji Bagian Trandist</t>
  </si>
  <si>
    <t>Pembayaran Gaji Bagian Produksi</t>
  </si>
  <si>
    <t>Pembayaran Gaji Pegawai IKK Kartika Bhakti</t>
  </si>
  <si>
    <t>Pembayaran Gaji Pegawai IKK Pembuang Hulu</t>
  </si>
  <si>
    <t>Pembayaran Biaya Konsumsi Berdasarkan Keputusan Direktur Perusahaan Daerah Air Minum Kabupaten Seruyan Nomor : 76 Tahun 2024 Tanggal 23 Desember 2024</t>
  </si>
  <si>
    <t>Insentif / Kesejahteraan Pengolahan Air</t>
  </si>
  <si>
    <t>Pembayaran Biaya Konsumsi Berdasarkan Keputusan Direktur Perusahaan Daerah Air Minum Kabupaten Seruyan Nomor : 76 Tahun 2024 Tanggal 23 Desember 2024 (Pusat, Kartika Bhakti, Hanau)</t>
  </si>
  <si>
    <t>Pembayaran Honorarium Dewan Pengawas Perusahaan Umum Daerah Air Minum Tirta Seruyan Berdasarkan Keputusan Bupati Nomor : 100.3.3.2/388/2025 Tanggal 17 September 2025</t>
  </si>
  <si>
    <t>Pembayaran Dana Representatif Direktur Berdasarkan Keputusan Bupati Seruyan Nomor : 100.3.3.2/704/2024 Tanggal 10 Desember 2024</t>
  </si>
  <si>
    <t>Beban Rapat Dan Tamu</t>
  </si>
  <si>
    <t>Pembayaran Iuran DAPENMA PAMSI (Pusat, Kartika Bhakti, Hanau)</t>
  </si>
  <si>
    <t>Pembayaran Iuran Anggota DPD PERPAMSI Provinsi KalTeng Berdasarkan Keputusan Dewan Pengurus Daerah PERPAMSI Nomor : 40/SKEP/DPD/III/2018</t>
  </si>
  <si>
    <t>Pembayaran Iuran BPJS Ketenagakerjaan</t>
  </si>
  <si>
    <t>Pembayaran Iuran BPJS Ketenagakerjaan (Pusat, Kartika Bhakti, Hanau)</t>
  </si>
  <si>
    <t>Pembayaran Biaya Cleaning Service</t>
  </si>
  <si>
    <t>Beban Cleaning Servise</t>
  </si>
  <si>
    <t>Pembayaran Biaya Kemanan Penjaga Malam Kantor Induk, Penjaga Malam IKK Kartika Bhakti dan Penjaga Tanjung Paring (Pusat, Tanjung Paring, Kartika Bhakti)</t>
  </si>
  <si>
    <t>Pembayaran Biaya Taman &amp; Lapangan</t>
  </si>
  <si>
    <t>Pembayaran Insentif Khusus Cuti Bersama Imlek, &amp; Tahun Baru Imlek Pada Perusahaan Umum Daerah Air Minum Tirta Seruyan Nomor : 04 Tahun 2026 Tanggal 05 Januari 2026</t>
  </si>
  <si>
    <t>Pembayaran Insentif Khusus Cuti Bersama Imlek, &amp; Tahun Baru Imlek Pada Perusahaan Umum Daerah Air Minum Tirta Seruyan Nomor : 04 Tahun 2026 Tanggal 05 Januari 2026 (Pusat, Kartika Bhakti, Hanau)</t>
  </si>
  <si>
    <t>Pembayaran ATK dan Fotocopy</t>
  </si>
  <si>
    <t>B. ATK Dan Fotocopy</t>
  </si>
  <si>
    <t>Pembelian Tinta Epson 003 dan 664</t>
  </si>
  <si>
    <t>Pembelian Wipol, Super Pell, Cling dll.</t>
  </si>
  <si>
    <t>Pembelian Air Minum Pegawai</t>
  </si>
  <si>
    <t>Pembelian Konsumsi Kue Kering dan Air Minum untuk Tamu</t>
  </si>
  <si>
    <t>Pembelian Lampu</t>
  </si>
  <si>
    <t>Pembelian BBM Dexlite untuk Operasional Mobil Tangki</t>
  </si>
  <si>
    <t>Pembelian BBM Untuk Operasional  Avanza KH 1252 PU dan KH 1407 PE Berdasarkan Surat Keputusan Direktur Perusahaan Umum Daerah Air Minum Tirta Seruyan Nomor : 30 Tahun 2026 Tanggal 05 Januari 2026</t>
  </si>
  <si>
    <t>Pembelian BBM Untuk Operasional Kantor dan Bagian Lapangan Mobil Pick Up KH 8529 PH Berdasarkan Surat Keputusan Direktur Perusahaan Umum Daerah Air Minum Tirta Seruyan Nomor : 30 Tahun 2026 Tanggal 05 Januari 2026</t>
  </si>
  <si>
    <t>Pembelian BBM untuk Operasional Mobil Pick Up KH 8088 PW IKK Pembuang Hulu Berdasarkan Surat Keputusan Direktur Perusahaan Umum Daerah Air Minum Tirta Seruyan Nomor : 30 Tahun 2026 Tanggal 05 Januari 2026</t>
  </si>
  <si>
    <t>Pembelian Air Minum Pegawai IKK Hanau</t>
  </si>
  <si>
    <t>Pembelian Air Minum Pegawai IKK Kartika Bhakti</t>
  </si>
  <si>
    <t>Pembayaran Biaya Pembersihaan Area Sekitar Intake Sungai Undang</t>
  </si>
  <si>
    <t>Pembayaran Biaya Pembersihan Area Instalasi Pengolahan Lainnya di IKK Kartika Bhakti</t>
  </si>
  <si>
    <t>B. Pemeliharaan Water Meter 12</t>
  </si>
  <si>
    <t>B. Pemeliharaan Water Meter 4 (HANAU)</t>
  </si>
  <si>
    <t>B. Harga Pokok Sambungan Baru 17 SR</t>
  </si>
  <si>
    <t>B. Pemeliharaan Water Meter 76</t>
  </si>
  <si>
    <t>B. Pemeliharaan Water Meter  5 (HANAU)</t>
  </si>
  <si>
    <t>B. Harga Pokok Sambungan Baru 16 SR</t>
  </si>
  <si>
    <t>(Pembelian Water Meter Belum dilakukan pembayaran)</t>
  </si>
  <si>
    <t>92.02.10</t>
  </si>
  <si>
    <t>10 Jan</t>
  </si>
  <si>
    <t xml:space="preserve"> BULAN JANUARI</t>
  </si>
  <si>
    <t>02 Mar</t>
  </si>
  <si>
    <t>Pembayaran SPPD a.n. Afirus Febian, Tri Murtiani, Lulu Decy H, &amp; Mahfud Sulistio ke Palangkaraya</t>
  </si>
  <si>
    <t>Pembelian Paket Internet Kantor, IKK Kartika Bhakti, IKK Hanau, Tanjung Paring, &amp; Mulyono</t>
  </si>
  <si>
    <t>Pemeliharaan Insalasi Pengolahan Lainnya</t>
  </si>
  <si>
    <t>Pembayaran SPPD a.n. Afirus Febian, Kardiansyah, Tri Murtiani &amp; Lulu Decy H. ke Palangkaraya</t>
  </si>
  <si>
    <t>Pemayaran SPPD a.n. Haryanto ke Pembuang Hulu</t>
  </si>
  <si>
    <t>Pemayaran SPPD a.n. Shobirin &amp; Bagus Puji Laksono ke Sampit</t>
  </si>
  <si>
    <t>Klaim Belanja Melalui Kas Kecil Bagian Hubungan Langganan</t>
  </si>
  <si>
    <t>Rupa-Rupa Beban Urusan Langganan</t>
  </si>
  <si>
    <t>Pembayaran Service Mobil Avanza KH 1252 PU</t>
  </si>
  <si>
    <t>Pembelian 3 buah Keyboard</t>
  </si>
  <si>
    <t>09 Mar</t>
  </si>
  <si>
    <t>B. Lisrik/Penerangan</t>
  </si>
  <si>
    <t>10 Mer</t>
  </si>
  <si>
    <t>Pembayaran PPH Gaji Bulan Februari Tahun 2026</t>
  </si>
  <si>
    <t>Rupa-Rupa Biaya Pegawai</t>
  </si>
  <si>
    <t>Pembayaran Pajak Air Permukaan Periode Bulan Februari 2026</t>
  </si>
  <si>
    <t>Pembayaran Listri Sumber Air</t>
  </si>
  <si>
    <t>Pembayaran Tunjangan Hari Raya Tahun 2025 Berdasarka Surat Keputusan Penjabat Direktur Perusahaan Daerah Air Minum Kabupaen Seruyan Nomor: 30 Tahun 2025 Tanggal 17 Maret 2025</t>
  </si>
  <si>
    <t>Pemabyaran Iuran Anggota Biasa PERPAMSI Bulan Februari 2026</t>
  </si>
  <si>
    <t>Pembelian Kertas Rekening</t>
  </si>
  <si>
    <t>Barang-Barang Cetakan</t>
  </si>
  <si>
    <t>Pembelian Stavolt, USB Wifi, &amp; UPS Prolink</t>
  </si>
  <si>
    <t>Pembayaran Perbaikan Komputer &amp; Printer</t>
  </si>
  <si>
    <t>Pembayaran Belanja Bahan Habis Pakai (Tawas, Soda Ash, Kaporit, Magnafloc) pada CV. SEJAHTERA</t>
  </si>
  <si>
    <t>Klaim Belanja Melalui Kas Kecil IKK Kartika Bhakti</t>
  </si>
  <si>
    <t>Klaim Belanja Melalui Kas Kecil IKK Pembuang Hulu</t>
  </si>
  <si>
    <t>Pembuatan Spanduk Untuk Ucapan Selamat Hari Raya Idul Fitri</t>
  </si>
  <si>
    <t>'Beban Promosi</t>
  </si>
  <si>
    <t>Pemabyaran Foto Bersama Pegawai Perumdam Tirta Seruyan</t>
  </si>
  <si>
    <t>'Rupa-Rupa Beban Umum Lainnya</t>
  </si>
  <si>
    <t>Pembelian Air Radiator &amp; Oli Mediteran untuk Gense Tanjung Paring</t>
  </si>
  <si>
    <t>Pembayaran Gaji Direktur dan Pegawai Bagian Umum</t>
  </si>
  <si>
    <t>Pembayaran Gaji Bagian Transdist</t>
  </si>
  <si>
    <t>Insentif / Kesejahteraan Karyawan Transist</t>
  </si>
  <si>
    <t>Insentif / Kesejahteraan Karyawam Pengolahan Air</t>
  </si>
  <si>
    <t xml:space="preserve">Pembayaran Biaya Keamanan Penjaga Malam Kantor Induk, Penjaga Malam IKK Kartika Bhakti dan Penjaga Tanjung Paring </t>
  </si>
  <si>
    <t>Pemabayaran Biaya Taman dan Lapangan</t>
  </si>
  <si>
    <t>Pembayaran Insentif Khusus Cuti Bersama Hari Nyepi, Hari Suci Nyepi, Cuti Bersama Lebaran, &amp; Idul Fitri Pada Perusahaan Umum Daerah Air Minum Tirta Seruyan Nomor : 04 Tahun 2026 Tanggal 05 Janurai 2026</t>
  </si>
  <si>
    <t>Pembelian Pita Printer dan Flasdisk</t>
  </si>
  <si>
    <t>Pembelian Tisu, Wipol, Super Pell dll.</t>
  </si>
  <si>
    <t>Pemeblian Isi Ulang Tabung Gas 12 Gg</t>
  </si>
  <si>
    <t>Pembelian BBM Bagian Lapangan Bagian hublang &amp; Mobil Tangki Berdasarkan Surat Kepuusan Direktur Perusahaan Umum Daerah Air Minum tirta Seruyan Nomor : 37 Tahun 2026 Tanggal 02 Maret 2026</t>
  </si>
  <si>
    <t>Pembelian BBM Untuk Operasional Avanza KH 1252 PU Berdasarkan Surat Kepuusan Direktur Perusahaan Umum Daerah Air Minum tirta Seruyan Nomor : 37 Tahun 2026 Tanggal 02 Maret 2026</t>
  </si>
  <si>
    <t>Pembelian BBM Untuk Operasional Avanza KH 1407 PE &amp; Bagian Lapangan Divisi Humas Berdasarkan Surat Kepuusan Direktur Perusahaan Umum Daerah Air Minum tirta Seruyan Nomor : 37 Tahun 2026 Tanggal 02 Maret 2026</t>
  </si>
  <si>
    <t>Pembelian BBM Bagian Lapangan Teknik Operasional &amp; Mobil Pick Up KH 8529 PH, KH 8088 PW, &amp; Bagian Lapangan Berdasarkan Surat Kepuusan Direktur Perusahaan Umum Daerah Air Minum tirta Seruyan Nomor : 37 Tahun 2026 Tanggal 02 Maret 2026</t>
  </si>
  <si>
    <t>Pembayaran Biaya Pembersihan Area Sekitar Intake Sungai Mitak</t>
  </si>
  <si>
    <t>Pembayaran Biaya Pembersihan Area Sekitar Instalasi Pengolahan Lainnya di IKK Kartika Bhakti</t>
  </si>
  <si>
    <t>Pembelian Pompa Shimitzu 221 BIT &amp; pompa Shimitzu 128 BIT</t>
  </si>
  <si>
    <t>Pembayaran Insenif Panitia Pengadaan Barang dan Jasa dalam Pekerjaan Belanja Water Meter Sambungan Rumah pada Perusahaan Minum Kabupaten Seruyan Berdasarkan Kepuusan Penjabat Direkur Perusahaan Umum Daerah Air Minum Tirta Seruyan Nomor : 17 Tahun 2005 Tanggal 03 Januari 2025</t>
  </si>
  <si>
    <t>Pembelian 540 Liter Dexlite</t>
  </si>
  <si>
    <t>Pemakaian Bahan Bakar</t>
  </si>
  <si>
    <t>Pembayaran Iuran Anggota DPD PERPAMSI Provinsi Kalteng Berdasarkan Keputusan Dewan Pengawas Daerah PERPAMSI Nomor : 40/SKEP/DPD/III/2018</t>
  </si>
  <si>
    <t>30 Mar</t>
  </si>
  <si>
    <t>Pembayaran Biaya Pemeliharaan Genset pada Intake Tanjung Paring</t>
  </si>
  <si>
    <t>Pembayaran Perbaikan Panel Pompa Intake dan Survei awal tanggal 13 Maret 2026 dalam rangka Perbaikan Intake</t>
  </si>
  <si>
    <t>Pembayaran Sewa Kelotok ke Intake Tanjung Paring</t>
  </si>
  <si>
    <t>Rupa-Rupa Biaya Operasi Sumber Air</t>
  </si>
  <si>
    <t>Pembelian Bahan untuk Pembersihan rumput di tanjung paring</t>
  </si>
  <si>
    <t xml:space="preserve">Pemeliharaan Bangunan &amp; Penyempurnaan Tanah </t>
  </si>
  <si>
    <t>Pembelian Bahan-Bahan untuk Pembersihan rumput di Kantor PERUMDAM Tirta Seruyan</t>
  </si>
  <si>
    <t>Pembayaran Biaya Taman dan Lapangan</t>
  </si>
  <si>
    <t>Pembelian Trikel Kaki Tiga 10" unuk IKK Pembuang Hulu</t>
  </si>
  <si>
    <t>Pembayaran Insentif Panitia Pengadaan Barang dan Jasa Dalam Pekerjaan Belanja Bahan Habis Pakai (Tawas, Soda Ash, Kaporit) pada Perusahaan Minum Kabupaten Seruyan Berdasarkan Kepuusan Penjabat Direktur Perusahaan Umum Daerah Air Minum Tirta Seruyan Nomor : 17 Tahun 2025 Tanggal 03 Januari 2025</t>
  </si>
  <si>
    <t>Pembelian Busi, Lem Gasket, Karbu, dll</t>
  </si>
  <si>
    <t>Pembelian Pillow Block Bearing UCF205</t>
  </si>
  <si>
    <t>Klaim Belanja Melalui Kas Kecil Bagian Teknik Operasional</t>
  </si>
  <si>
    <t>Pembayaran Listrik Sumber Air IKK Kartika Bhakti</t>
  </si>
  <si>
    <t>97.09.00</t>
  </si>
  <si>
    <t>Persediaan Bahan Operasi Kimia (Tawas)</t>
  </si>
  <si>
    <t>Persediaan Bahan Operasi Kimia (Soda Ash))</t>
  </si>
  <si>
    <t>Persediaan Bahan Operasi Kimia (Kaporit)</t>
  </si>
  <si>
    <t>Beban Non Usaha (B. Bank)</t>
  </si>
  <si>
    <t>(Kelebihan setoran BPD)</t>
  </si>
  <si>
    <t xml:space="preserve">13 Mar </t>
  </si>
  <si>
    <t>(Kelebihan setoran Festpay)</t>
  </si>
  <si>
    <t>Piutang Festpay</t>
  </si>
  <si>
    <t>Beban Yang Masih Harus Diabyar</t>
  </si>
  <si>
    <t>88.00.10</t>
  </si>
  <si>
    <t>88.00.20</t>
  </si>
  <si>
    <t>98.01.00</t>
  </si>
  <si>
    <t>(Pengembalian Kelebihan Setoran Fastpay atas Kelebihan Setoran Rekening Air pada Tanggal 17 Maret 2026)</t>
  </si>
  <si>
    <t>B. Pemeliharaan Water Meter 8 (HANAU)</t>
  </si>
  <si>
    <t>(Jurnal Pembalik Pembayaran Atas Utang Bahan Kimia tgl 31 Januari )</t>
  </si>
  <si>
    <t>`</t>
  </si>
  <si>
    <t>(Koreksi atas Utang PPH 21 Pegawai Des 25 pada saat transaksi pembay tgl 13 Feb diakui sebagai beban kembali)</t>
  </si>
  <si>
    <t>( Koreksi atas Utang Pajak Air Permukaan Des 25 pada saat transaksi pemby tgl 13 Feb diakui sebagai beban kembali )</t>
  </si>
  <si>
    <t xml:space="preserve">B. Pemeliharaan Water Meter 6 </t>
  </si>
  <si>
    <t>B. Harga Pokok Sambungan Baru 7 SR</t>
  </si>
  <si>
    <t>Laba Tahun Berjalan 2026</t>
  </si>
  <si>
    <t>Rupa- Rupa Beban Kantor</t>
  </si>
  <si>
    <t>BULAN : APRIL 2026</t>
  </si>
  <si>
    <t>02 April</t>
  </si>
  <si>
    <t>15 April</t>
  </si>
  <si>
    <t>(Kelebihan Setoran)</t>
  </si>
  <si>
    <t>Piutang Mitra Festpay</t>
  </si>
  <si>
    <t>07 April</t>
  </si>
  <si>
    <t>(Pengakuan Pendapatan Rek. Air dari BPD)</t>
  </si>
  <si>
    <t>Mengetahui,</t>
  </si>
  <si>
    <t xml:space="preserve">B. Pemeliharaan Water Meter 20 (K. BHAKTI) </t>
  </si>
  <si>
    <t>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</si>
</sst>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quot;Rp&quot;* #,##0_-;\-&quot;Rp&quot;* #,##0_-;_-&quot;Rp&quot;* &quot;-&quot;_-;_-@_-"/>
    <numFmt numFmtId="165" formatCode="_-* #,##0.00_-;\-* #,##0.00_-;_-* &quot;-&quot;??_-;_-@_-"/>
    <numFmt numFmtId="166" formatCode="_(* #,##0_);_(* \(#,##0\);_(* &quot;-&quot;??_);_(@_)"/>
    <numFmt numFmtId="167" formatCode="[$-409]d\-mmm\-yy;@"/>
  </numFmts>
  <fonts count="34" x14ac:knownFonts="1">
    <font>
      <sz val="11"/>
      <color theme="1"/>
      <name val="Calibri"/>
      <family val="2"/>
      <scheme val="minor"/>
    </font>
    <font>
      <sz val="11"/>
      <color theme="1"/>
      <name val="Calibri"/>
      <family val="2"/>
      <scheme val="minor"/>
    </font>
    <font>
      <sz val="8"/>
      <color theme="1"/>
      <name val="Calibri"/>
      <family val="2"/>
      <scheme val="minor"/>
    </font>
    <font>
      <b/>
      <sz val="9"/>
      <color theme="1"/>
      <name val="Calibri"/>
      <family val="2"/>
      <scheme val="minor"/>
    </font>
    <font>
      <b/>
      <sz val="8"/>
      <color theme="1"/>
      <name val="Calibri"/>
      <family val="2"/>
      <scheme val="minor"/>
    </font>
    <font>
      <sz val="8"/>
      <name val="Calibri"/>
      <family val="2"/>
      <scheme val="minor"/>
    </font>
    <font>
      <b/>
      <i/>
      <u/>
      <sz val="8"/>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9"/>
      <color theme="1"/>
      <name val="Calibri"/>
      <family val="2"/>
      <scheme val="minor"/>
    </font>
    <font>
      <b/>
      <i/>
      <u/>
      <sz val="11"/>
      <color theme="1"/>
      <name val="Calibri"/>
      <family val="2"/>
      <scheme val="minor"/>
    </font>
    <font>
      <b/>
      <sz val="8"/>
      <name val="Calibri"/>
      <family val="2"/>
      <scheme val="minor"/>
    </font>
    <font>
      <sz val="8"/>
      <color rgb="FFFF0000"/>
      <name val="Calibri"/>
      <family val="2"/>
      <scheme val="minor"/>
    </font>
    <font>
      <b/>
      <i/>
      <u/>
      <sz val="9"/>
      <color theme="1"/>
      <name val="Calibri"/>
      <family val="2"/>
      <scheme val="minor"/>
    </font>
    <font>
      <b/>
      <i/>
      <sz val="8"/>
      <color theme="1"/>
      <name val="Calibri"/>
      <family val="2"/>
      <scheme val="minor"/>
    </font>
    <font>
      <i/>
      <sz val="11"/>
      <color rgb="FF7F7F7F"/>
      <name val="Calibri"/>
      <family val="2"/>
      <scheme val="minor"/>
    </font>
    <font>
      <b/>
      <i/>
      <u/>
      <sz val="8"/>
      <name val="Calibri"/>
      <family val="2"/>
      <scheme val="minor"/>
    </font>
    <font>
      <sz val="7"/>
      <color theme="1"/>
      <name val="Calibri"/>
      <family val="2"/>
      <scheme val="minor"/>
    </font>
    <font>
      <sz val="8"/>
      <color theme="1"/>
      <name val="Calibri"/>
      <family val="2"/>
      <charset val="1"/>
      <scheme val="minor"/>
    </font>
    <font>
      <sz val="8"/>
      <color theme="0"/>
      <name val="Calibri"/>
      <family val="2"/>
      <scheme val="minor"/>
    </font>
    <font>
      <sz val="8"/>
      <color rgb="FFC00000"/>
      <name val="Calibri"/>
      <family val="2"/>
      <scheme val="minor"/>
    </font>
    <font>
      <sz val="10"/>
      <color theme="1"/>
      <name val="Calibri"/>
      <family val="2"/>
      <charset val="1"/>
      <scheme val="minor"/>
    </font>
    <font>
      <sz val="9"/>
      <color indexed="81"/>
      <name val="Tahoma"/>
      <family val="2"/>
    </font>
    <font>
      <b/>
      <sz val="9"/>
      <color indexed="81"/>
      <name val="Tahoma"/>
      <family val="2"/>
    </font>
    <font>
      <sz val="7"/>
      <color rgb="FFFF0000"/>
      <name val="Calibri"/>
      <family val="2"/>
      <scheme val="minor"/>
    </font>
    <font>
      <b/>
      <sz val="9"/>
      <color rgb="FFFF0000"/>
      <name val="Calibri"/>
      <family val="2"/>
      <scheme val="minor"/>
    </font>
    <font>
      <sz val="8"/>
      <name val="Arial"/>
      <family val="2"/>
    </font>
    <font>
      <b/>
      <sz val="8"/>
      <color rgb="FFFF0000"/>
      <name val="Calibri"/>
      <family val="2"/>
      <scheme val="minor"/>
    </font>
    <font>
      <sz val="6"/>
      <color theme="1"/>
      <name val="Calibri"/>
      <family val="2"/>
      <scheme val="minor"/>
    </font>
    <font>
      <b/>
      <i/>
      <sz val="8"/>
      <name val="Calibri"/>
      <family val="2"/>
      <scheme val="minor"/>
    </font>
    <font>
      <sz val="7"/>
      <name val="Calibri"/>
      <family val="2"/>
      <scheme val="minor"/>
    </font>
    <font>
      <b/>
      <i/>
      <u/>
      <sz val="9"/>
      <name val="Calibri"/>
      <family val="2"/>
      <scheme val="minor"/>
    </font>
  </fonts>
  <fills count="3">
    <fill>
      <patternFill patternType="none"/>
    </fill>
    <fill>
      <patternFill patternType="gray125"/>
    </fill>
    <fill>
      <patternFill patternType="solid">
        <fgColor rgb="FFFFFF00"/>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bottom/>
      <diagonal/>
    </border>
    <border>
      <left/>
      <right style="thin">
        <color auto="1"/>
      </right>
      <top/>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indexed="64"/>
      </bottom>
      <diagonal/>
    </border>
    <border>
      <left style="thin">
        <color auto="1"/>
      </left>
      <right/>
      <top style="thin">
        <color auto="1"/>
      </top>
      <bottom style="thin">
        <color auto="1"/>
      </bottom>
      <diagonal/>
    </border>
    <border>
      <left style="medium">
        <color indexed="64"/>
      </left>
      <right style="thin">
        <color auto="1"/>
      </right>
      <top style="thin">
        <color indexed="64"/>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right style="medium">
        <color auto="1"/>
      </right>
      <top style="thin">
        <color auto="1"/>
      </top>
      <bottom/>
      <diagonal/>
    </border>
    <border>
      <left/>
      <right/>
      <top/>
      <bottom style="thin">
        <color auto="1"/>
      </bottom>
      <diagonal/>
    </border>
    <border>
      <left/>
      <right style="medium">
        <color auto="1"/>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right/>
      <top style="medium">
        <color auto="1"/>
      </top>
      <bottom style="thin">
        <color auto="1"/>
      </bottom>
      <diagonal/>
    </border>
    <border>
      <left/>
      <right/>
      <top/>
      <bottom style="medium">
        <color indexed="64"/>
      </bottom>
      <diagonal/>
    </border>
    <border>
      <left style="thin">
        <color auto="1"/>
      </left>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auto="1"/>
      </right>
      <top/>
      <bottom style="hair">
        <color auto="1"/>
      </bottom>
      <diagonal/>
    </border>
    <border>
      <left/>
      <right style="thin">
        <color auto="1"/>
      </right>
      <top/>
      <bottom style="hair">
        <color auto="1"/>
      </bottom>
      <diagonal/>
    </border>
    <border>
      <left style="medium">
        <color auto="1"/>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top style="medium">
        <color auto="1"/>
      </top>
      <bottom/>
      <diagonal/>
    </border>
    <border>
      <left style="medium">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auto="1"/>
      </right>
      <top/>
      <bottom style="medium">
        <color indexed="64"/>
      </bottom>
      <diagonal/>
    </border>
  </borders>
  <cellStyleXfs count="6">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41" fontId="1" fillId="0" borderId="0" applyFont="0" applyFill="0" applyBorder="0" applyAlignment="0" applyProtection="0"/>
    <xf numFmtId="0" fontId="17" fillId="0" borderId="0" applyNumberFormat="0" applyFill="0" applyBorder="0" applyAlignment="0" applyProtection="0"/>
  </cellStyleXfs>
  <cellXfs count="748">
    <xf numFmtId="0" fontId="0" fillId="0" borderId="0" xfId="0"/>
    <xf numFmtId="0" fontId="2" fillId="0" borderId="0" xfId="0" applyFont="1"/>
    <xf numFmtId="0" fontId="4" fillId="0" borderId="0" xfId="0" applyFont="1" applyAlignment="1">
      <alignment vertical="center"/>
    </xf>
    <xf numFmtId="0" fontId="0" fillId="0" borderId="0" xfId="0" applyAlignment="1">
      <alignment horizontal="center"/>
    </xf>
    <xf numFmtId="0" fontId="2" fillId="0" borderId="14" xfId="0" applyFont="1" applyBorder="1"/>
    <xf numFmtId="0" fontId="2" fillId="0" borderId="1" xfId="0" applyFont="1" applyBorder="1"/>
    <xf numFmtId="0" fontId="2" fillId="0" borderId="9" xfId="0" applyFont="1" applyBorder="1" applyAlignment="1">
      <alignment horizontal="center"/>
    </xf>
    <xf numFmtId="0" fontId="2" fillId="0" borderId="18" xfId="0" applyFont="1" applyBorder="1"/>
    <xf numFmtId="0" fontId="2" fillId="0" borderId="17" xfId="0" applyFont="1" applyBorder="1"/>
    <xf numFmtId="0" fontId="4" fillId="0" borderId="0" xfId="0" applyFont="1"/>
    <xf numFmtId="0" fontId="2" fillId="0" borderId="6" xfId="0" applyFont="1" applyBorder="1" applyAlignment="1">
      <alignment horizontal="center"/>
    </xf>
    <xf numFmtId="0" fontId="2" fillId="0" borderId="12" xfId="0" applyFont="1" applyBorder="1" applyAlignment="1">
      <alignment horizontal="center"/>
    </xf>
    <xf numFmtId="0" fontId="2" fillId="0" borderId="13" xfId="0" applyFont="1" applyBorder="1"/>
    <xf numFmtId="0" fontId="2" fillId="0" borderId="15" xfId="0" applyFont="1" applyBorder="1"/>
    <xf numFmtId="0" fontId="2" fillId="0" borderId="16" xfId="0" applyFont="1" applyBorder="1"/>
    <xf numFmtId="0" fontId="2" fillId="0" borderId="2" xfId="0" applyFont="1" applyBorder="1"/>
    <xf numFmtId="0" fontId="2" fillId="0" borderId="19" xfId="0" applyFont="1" applyBorder="1"/>
    <xf numFmtId="0" fontId="2" fillId="0" borderId="0" xfId="0" applyFont="1" applyAlignment="1">
      <alignment horizontal="left"/>
    </xf>
    <xf numFmtId="0" fontId="4" fillId="0" borderId="0" xfId="0" applyFont="1" applyAlignment="1">
      <alignment horizontal="center"/>
    </xf>
    <xf numFmtId="0" fontId="2" fillId="0" borderId="0" xfId="0" applyFont="1" applyAlignment="1">
      <alignment horizontal="center"/>
    </xf>
    <xf numFmtId="3" fontId="2" fillId="0" borderId="0" xfId="0" applyNumberFormat="1" applyFont="1" applyAlignment="1">
      <alignment horizontal="right"/>
    </xf>
    <xf numFmtId="3" fontId="2" fillId="0" borderId="0" xfId="0" applyNumberFormat="1" applyFont="1" applyAlignment="1">
      <alignment horizontal="left"/>
    </xf>
    <xf numFmtId="3" fontId="2" fillId="0" borderId="0" xfId="0" applyNumberFormat="1" applyFont="1" applyAlignment="1">
      <alignment horizontal="center"/>
    </xf>
    <xf numFmtId="0" fontId="4" fillId="0" borderId="0" xfId="0" applyFont="1" applyAlignment="1">
      <alignment vertical="top"/>
    </xf>
    <xf numFmtId="0" fontId="4" fillId="0" borderId="6" xfId="0" applyFont="1" applyBorder="1" applyAlignment="1">
      <alignment vertical="center"/>
    </xf>
    <xf numFmtId="0" fontId="4" fillId="0" borderId="10" xfId="0" applyFont="1" applyBorder="1" applyAlignment="1">
      <alignment horizontal="center" vertical="center"/>
    </xf>
    <xf numFmtId="15" fontId="2" fillId="0" borderId="5" xfId="0" applyNumberFormat="1" applyFont="1" applyBorder="1" applyAlignment="1">
      <alignment horizontal="center"/>
    </xf>
    <xf numFmtId="0" fontId="2" fillId="0" borderId="6" xfId="0" applyFont="1" applyBorder="1" applyAlignment="1">
      <alignment horizontal="left"/>
    </xf>
    <xf numFmtId="3" fontId="2" fillId="0" borderId="6" xfId="0" applyNumberFormat="1" applyFont="1" applyBorder="1" applyAlignment="1">
      <alignment horizontal="right"/>
    </xf>
    <xf numFmtId="3" fontId="2" fillId="0" borderId="10" xfId="0" applyNumberFormat="1" applyFont="1" applyBorder="1" applyAlignment="1">
      <alignment horizontal="right"/>
    </xf>
    <xf numFmtId="0" fontId="2" fillId="0" borderId="5" xfId="0" applyFont="1" applyBorder="1" applyAlignment="1">
      <alignment horizontal="center"/>
    </xf>
    <xf numFmtId="0" fontId="2" fillId="0" borderId="6" xfId="0" applyFont="1" applyBorder="1"/>
    <xf numFmtId="0" fontId="2" fillId="0" borderId="10" xfId="0" applyFont="1" applyBorder="1"/>
    <xf numFmtId="0" fontId="4" fillId="0" borderId="20" xfId="0" applyFont="1" applyBorder="1" applyAlignment="1">
      <alignment horizontal="center" vertical="center"/>
    </xf>
    <xf numFmtId="0" fontId="4" fillId="0" borderId="4" xfId="0" applyFont="1" applyBorder="1" applyAlignment="1">
      <alignment horizontal="center"/>
    </xf>
    <xf numFmtId="0" fontId="4" fillId="0" borderId="3" xfId="0" applyFont="1" applyBorder="1" applyAlignment="1">
      <alignment horizontal="center"/>
    </xf>
    <xf numFmtId="0" fontId="4" fillId="0" borderId="21" xfId="0" applyFont="1" applyBorder="1" applyAlignment="1">
      <alignment vertical="center"/>
    </xf>
    <xf numFmtId="0" fontId="2" fillId="0" borderId="21" xfId="0" applyFont="1" applyBorder="1" applyAlignment="1">
      <alignment horizontal="left"/>
    </xf>
    <xf numFmtId="0" fontId="2" fillId="0" borderId="21" xfId="0" applyFont="1" applyBorder="1"/>
    <xf numFmtId="0" fontId="4" fillId="0" borderId="8" xfId="0" applyFont="1" applyBorder="1" applyAlignment="1">
      <alignment vertical="center"/>
    </xf>
    <xf numFmtId="0" fontId="2" fillId="0" borderId="11" xfId="0" applyFont="1" applyBorder="1" applyAlignment="1">
      <alignment horizontal="left"/>
    </xf>
    <xf numFmtId="0" fontId="2" fillId="0" borderId="11" xfId="0" applyFont="1" applyBorder="1"/>
    <xf numFmtId="0" fontId="4" fillId="0" borderId="5" xfId="0" applyFont="1" applyBorder="1" applyAlignment="1">
      <alignment horizontal="center" vertical="center"/>
    </xf>
    <xf numFmtId="3" fontId="2" fillId="0" borderId="6" xfId="0" applyNumberFormat="1" applyFont="1" applyBorder="1" applyAlignment="1">
      <alignment horizontal="left"/>
    </xf>
    <xf numFmtId="3" fontId="2" fillId="0" borderId="11" xfId="0" applyNumberFormat="1" applyFont="1" applyBorder="1" applyAlignment="1">
      <alignment horizontal="left"/>
    </xf>
    <xf numFmtId="41" fontId="2" fillId="0" borderId="10" xfId="0" applyNumberFormat="1" applyFont="1" applyBorder="1"/>
    <xf numFmtId="166" fontId="4" fillId="0" borderId="0" xfId="1" applyNumberFormat="1" applyFont="1" applyFill="1" applyBorder="1"/>
    <xf numFmtId="166" fontId="2" fillId="0" borderId="0" xfId="1" applyNumberFormat="1" applyFont="1" applyFill="1" applyBorder="1"/>
    <xf numFmtId="3" fontId="3" fillId="0" borderId="23" xfId="0" applyNumberFormat="1" applyFont="1" applyBorder="1"/>
    <xf numFmtId="0" fontId="3" fillId="0" borderId="0" xfId="0" applyFont="1" applyAlignment="1">
      <alignment horizontal="left"/>
    </xf>
    <xf numFmtId="0" fontId="4" fillId="0" borderId="0" xfId="0" applyFont="1" applyAlignment="1">
      <alignment horizontal="left"/>
    </xf>
    <xf numFmtId="3" fontId="2" fillId="0" borderId="21" xfId="0" applyNumberFormat="1" applyFont="1" applyBorder="1" applyAlignment="1">
      <alignment horizontal="left"/>
    </xf>
    <xf numFmtId="0" fontId="4" fillId="0" borderId="11" xfId="0" applyFont="1" applyBorder="1" applyAlignment="1">
      <alignment vertical="center"/>
    </xf>
    <xf numFmtId="0" fontId="4" fillId="0" borderId="4" xfId="0" applyFont="1" applyBorder="1" applyAlignment="1">
      <alignment horizontal="center" vertical="center"/>
    </xf>
    <xf numFmtId="14" fontId="2" fillId="0" borderId="6" xfId="0" applyNumberFormat="1" applyFont="1" applyBorder="1" applyAlignment="1">
      <alignment vertical="center"/>
    </xf>
    <xf numFmtId="0" fontId="2" fillId="0" borderId="11" xfId="0" applyFont="1" applyBorder="1" applyAlignment="1">
      <alignment vertical="center"/>
    </xf>
    <xf numFmtId="0" fontId="4" fillId="0" borderId="6" xfId="0" applyFont="1" applyBorder="1" applyAlignment="1">
      <alignment horizontal="center" vertical="center"/>
    </xf>
    <xf numFmtId="3" fontId="2" fillId="0" borderId="10" xfId="0" applyNumberFormat="1" applyFont="1" applyBorder="1" applyAlignment="1">
      <alignment horizontal="right" vertical="center"/>
    </xf>
    <xf numFmtId="14" fontId="2" fillId="0" borderId="6" xfId="0" quotePrefix="1" applyNumberFormat="1" applyFont="1" applyBorder="1" applyAlignment="1">
      <alignment vertical="center"/>
    </xf>
    <xf numFmtId="14" fontId="2" fillId="0" borderId="6" xfId="0" quotePrefix="1" applyNumberFormat="1" applyFont="1" applyBorder="1" applyAlignment="1">
      <alignment horizontal="center" vertical="center"/>
    </xf>
    <xf numFmtId="0" fontId="2" fillId="0" borderId="9" xfId="0" applyFont="1" applyBorder="1"/>
    <xf numFmtId="0" fontId="2" fillId="0" borderId="6" xfId="0" quotePrefix="1" applyFont="1" applyBorder="1" applyAlignment="1">
      <alignment horizontal="center" vertical="center"/>
    </xf>
    <xf numFmtId="0" fontId="2" fillId="0" borderId="11" xfId="0" applyFont="1" applyBorder="1" applyAlignment="1">
      <alignment horizontal="left" vertical="center"/>
    </xf>
    <xf numFmtId="0" fontId="2" fillId="0" borderId="11" xfId="0" applyFont="1" applyBorder="1" applyAlignment="1">
      <alignment horizontal="center" vertical="center"/>
    </xf>
    <xf numFmtId="0" fontId="2" fillId="0" borderId="6" xfId="0" applyFont="1" applyBorder="1" applyAlignment="1">
      <alignment horizontal="center" vertical="center"/>
    </xf>
    <xf numFmtId="0" fontId="2" fillId="0" borderId="21" xfId="0" applyFont="1" applyBorder="1" applyAlignment="1">
      <alignment horizontal="left" vertical="center"/>
    </xf>
    <xf numFmtId="0" fontId="2" fillId="0" borderId="21" xfId="0" applyFont="1" applyBorder="1" applyAlignment="1">
      <alignment horizontal="center" vertical="center"/>
    </xf>
    <xf numFmtId="0" fontId="2" fillId="0" borderId="21" xfId="0" applyFont="1" applyBorder="1" applyAlignment="1">
      <alignment vertical="center"/>
    </xf>
    <xf numFmtId="0" fontId="2" fillId="0" borderId="6" xfId="0" applyFont="1" applyBorder="1" applyAlignment="1">
      <alignment vertical="center"/>
    </xf>
    <xf numFmtId="14" fontId="2" fillId="0" borderId="6" xfId="0" applyNumberFormat="1" applyFont="1" applyBorder="1" applyAlignment="1">
      <alignment horizontal="center"/>
    </xf>
    <xf numFmtId="166" fontId="2" fillId="0" borderId="0" xfId="1" applyNumberFormat="1" applyFont="1"/>
    <xf numFmtId="3" fontId="5" fillId="0" borderId="6" xfId="0" applyNumberFormat="1" applyFont="1" applyBorder="1" applyAlignment="1">
      <alignment horizontal="right"/>
    </xf>
    <xf numFmtId="0" fontId="2" fillId="0" borderId="6" xfId="0" quotePrefix="1" applyFont="1" applyBorder="1" applyAlignment="1">
      <alignment horizontal="center"/>
    </xf>
    <xf numFmtId="41" fontId="2" fillId="0" borderId="0" xfId="2" applyFont="1"/>
    <xf numFmtId="167" fontId="4" fillId="0" borderId="6" xfId="0" applyNumberFormat="1" applyFont="1" applyBorder="1" applyAlignment="1">
      <alignment horizontal="center" vertical="center"/>
    </xf>
    <xf numFmtId="43" fontId="4" fillId="0" borderId="0" xfId="2" applyNumberFormat="1" applyFont="1" applyFill="1" applyBorder="1"/>
    <xf numFmtId="43" fontId="2" fillId="0" borderId="0" xfId="2" applyNumberFormat="1" applyFont="1" applyFill="1" applyBorder="1"/>
    <xf numFmtId="43" fontId="4" fillId="0" borderId="3" xfId="2" applyNumberFormat="1" applyFont="1" applyFill="1" applyBorder="1" applyAlignment="1">
      <alignment horizontal="center"/>
    </xf>
    <xf numFmtId="43" fontId="2" fillId="0" borderId="10" xfId="2" applyNumberFormat="1" applyFont="1" applyFill="1" applyBorder="1" applyAlignment="1">
      <alignment horizontal="center"/>
    </xf>
    <xf numFmtId="43" fontId="2" fillId="0" borderId="10" xfId="2" applyNumberFormat="1" applyFont="1" applyFill="1" applyBorder="1" applyAlignment="1">
      <alignment horizontal="center" vertical="center"/>
    </xf>
    <xf numFmtId="43" fontId="4" fillId="0" borderId="10" xfId="2" applyNumberFormat="1" applyFont="1" applyFill="1" applyBorder="1" applyAlignment="1">
      <alignment horizontal="center" vertical="center"/>
    </xf>
    <xf numFmtId="43" fontId="2" fillId="0" borderId="10" xfId="2" applyNumberFormat="1" applyFont="1" applyFill="1" applyBorder="1" applyAlignment="1">
      <alignment horizontal="right"/>
    </xf>
    <xf numFmtId="43" fontId="2" fillId="0" borderId="6" xfId="0" applyNumberFormat="1" applyFont="1" applyBorder="1" applyAlignment="1">
      <alignment horizontal="right"/>
    </xf>
    <xf numFmtId="43" fontId="0" fillId="0" borderId="0" xfId="2" applyNumberFormat="1" applyFont="1" applyFill="1"/>
    <xf numFmtId="43" fontId="4" fillId="0" borderId="0" xfId="0" applyNumberFormat="1" applyFont="1"/>
    <xf numFmtId="43" fontId="2" fillId="0" borderId="0" xfId="0" applyNumberFormat="1" applyFont="1"/>
    <xf numFmtId="43" fontId="4" fillId="0" borderId="4" xfId="0" applyNumberFormat="1" applyFont="1" applyBorder="1" applyAlignment="1">
      <alignment horizontal="center"/>
    </xf>
    <xf numFmtId="43" fontId="2" fillId="0" borderId="6" xfId="0" applyNumberFormat="1" applyFont="1" applyBorder="1" applyAlignment="1">
      <alignment horizontal="center"/>
    </xf>
    <xf numFmtId="43" fontId="2" fillId="0" borderId="6" xfId="2" applyNumberFormat="1" applyFont="1" applyFill="1" applyBorder="1" applyAlignment="1">
      <alignment horizontal="center"/>
    </xf>
    <xf numFmtId="43" fontId="0" fillId="0" borderId="0" xfId="0" applyNumberFormat="1"/>
    <xf numFmtId="166" fontId="2" fillId="0" borderId="9" xfId="1" applyNumberFormat="1" applyFont="1" applyFill="1" applyBorder="1"/>
    <xf numFmtId="0" fontId="2" fillId="0" borderId="0" xfId="0" quotePrefix="1" applyFont="1" applyAlignment="1">
      <alignment horizontal="center" vertical="center"/>
    </xf>
    <xf numFmtId="0" fontId="2" fillId="0" borderId="6" xfId="0" quotePrefix="1" applyFont="1" applyBorder="1"/>
    <xf numFmtId="43" fontId="4" fillId="0" borderId="18" xfId="1" applyFont="1" applyFill="1" applyBorder="1"/>
    <xf numFmtId="43" fontId="4" fillId="0" borderId="1" xfId="1" applyFont="1" applyFill="1" applyBorder="1"/>
    <xf numFmtId="0" fontId="2" fillId="0" borderId="0" xfId="0" applyFont="1" applyAlignment="1">
      <alignment horizontal="left" vertical="center"/>
    </xf>
    <xf numFmtId="0" fontId="3" fillId="0" borderId="0" xfId="0" applyFont="1" applyAlignment="1">
      <alignment horizontal="center" vertical="center"/>
    </xf>
    <xf numFmtId="43" fontId="3" fillId="0" borderId="0" xfId="0" applyNumberFormat="1" applyFont="1"/>
    <xf numFmtId="3" fontId="0" fillId="0" borderId="0" xfId="0" applyNumberFormat="1"/>
    <xf numFmtId="0" fontId="0" fillId="0" borderId="6" xfId="0" applyBorder="1" applyAlignment="1">
      <alignment horizontal="center"/>
    </xf>
    <xf numFmtId="0" fontId="0" fillId="0" borderId="14" xfId="0" applyBorder="1" applyAlignment="1">
      <alignment horizontal="center"/>
    </xf>
    <xf numFmtId="0" fontId="0" fillId="0" borderId="14" xfId="0" applyBorder="1"/>
    <xf numFmtId="0" fontId="0" fillId="0" borderId="9" xfId="0" applyBorder="1" applyAlignment="1">
      <alignment horizontal="center"/>
    </xf>
    <xf numFmtId="0" fontId="2" fillId="0" borderId="29" xfId="0" applyFont="1" applyBorder="1" applyAlignment="1">
      <alignment horizontal="center"/>
    </xf>
    <xf numFmtId="43" fontId="2" fillId="0" borderId="30" xfId="2" applyNumberFormat="1" applyFont="1" applyFill="1" applyBorder="1" applyAlignment="1">
      <alignment horizontal="right"/>
    </xf>
    <xf numFmtId="43" fontId="3" fillId="0" borderId="18" xfId="0" applyNumberFormat="1" applyFont="1" applyBorder="1"/>
    <xf numFmtId="43" fontId="3" fillId="0" borderId="19" xfId="0" applyNumberFormat="1" applyFont="1" applyBorder="1"/>
    <xf numFmtId="166" fontId="2" fillId="0" borderId="6" xfId="1" applyNumberFormat="1" applyFont="1" applyFill="1" applyBorder="1"/>
    <xf numFmtId="0" fontId="1" fillId="0" borderId="0" xfId="3" applyAlignment="1">
      <alignment horizontal="left"/>
    </xf>
    <xf numFmtId="0" fontId="1" fillId="0" borderId="0" xfId="3"/>
    <xf numFmtId="0" fontId="1" fillId="0" borderId="0" xfId="3" applyAlignment="1">
      <alignment horizontal="center"/>
    </xf>
    <xf numFmtId="0" fontId="1" fillId="0" borderId="0" xfId="3" applyAlignment="1">
      <alignment horizontal="centerContinuous"/>
    </xf>
    <xf numFmtId="0" fontId="1" fillId="0" borderId="20" xfId="3" applyBorder="1" applyAlignment="1">
      <alignment horizontal="center"/>
    </xf>
    <xf numFmtId="0" fontId="1" fillId="0" borderId="4" xfId="3" applyBorder="1" applyAlignment="1">
      <alignment horizontal="center"/>
    </xf>
    <xf numFmtId="0" fontId="1" fillId="0" borderId="3" xfId="3" applyBorder="1" applyAlignment="1">
      <alignment horizontal="center"/>
    </xf>
    <xf numFmtId="0" fontId="1" fillId="0" borderId="16" xfId="3" applyBorder="1" applyAlignment="1">
      <alignment horizontal="center"/>
    </xf>
    <xf numFmtId="0" fontId="1" fillId="0" borderId="1" xfId="3" applyBorder="1" applyAlignment="1">
      <alignment horizontal="left"/>
    </xf>
    <xf numFmtId="4" fontId="1" fillId="0" borderId="1" xfId="3" quotePrefix="1" applyNumberFormat="1" applyBorder="1" applyAlignment="1">
      <alignment horizontal="center"/>
    </xf>
    <xf numFmtId="0" fontId="1" fillId="0" borderId="1" xfId="3" quotePrefix="1" applyBorder="1" applyAlignment="1">
      <alignment horizontal="center"/>
    </xf>
    <xf numFmtId="3" fontId="1" fillId="0" borderId="2" xfId="3" applyNumberFormat="1" applyBorder="1"/>
    <xf numFmtId="0" fontId="1" fillId="0" borderId="17" xfId="3" applyBorder="1" applyAlignment="1">
      <alignment horizontal="center"/>
    </xf>
    <xf numFmtId="3" fontId="7" fillId="0" borderId="19" xfId="3" applyNumberFormat="1" applyFont="1" applyBorder="1"/>
    <xf numFmtId="0" fontId="0" fillId="0" borderId="0" xfId="3" applyFont="1" applyAlignment="1">
      <alignment horizontal="centerContinuous"/>
    </xf>
    <xf numFmtId="0" fontId="0" fillId="0" borderId="0" xfId="3" applyFont="1" applyAlignment="1">
      <alignment horizontal="left"/>
    </xf>
    <xf numFmtId="0" fontId="0" fillId="0" borderId="0" xfId="3" applyFont="1"/>
    <xf numFmtId="0" fontId="8" fillId="0" borderId="0" xfId="3" applyFont="1" applyAlignment="1">
      <alignment horizontal="left"/>
    </xf>
    <xf numFmtId="0" fontId="8" fillId="0" borderId="0" xfId="3" applyFont="1"/>
    <xf numFmtId="0" fontId="8" fillId="0" borderId="0" xfId="3" applyFont="1" applyAlignment="1">
      <alignment horizontal="centerContinuous"/>
    </xf>
    <xf numFmtId="0" fontId="8" fillId="0" borderId="20" xfId="3" applyFont="1" applyBorder="1" applyAlignment="1">
      <alignment horizontal="center"/>
    </xf>
    <xf numFmtId="0" fontId="8" fillId="0" borderId="4" xfId="3" applyFont="1" applyBorder="1" applyAlignment="1">
      <alignment horizontal="center"/>
    </xf>
    <xf numFmtId="0" fontId="8" fillId="0" borderId="3" xfId="3" applyFont="1" applyBorder="1" applyAlignment="1">
      <alignment horizontal="center"/>
    </xf>
    <xf numFmtId="0" fontId="8" fillId="0" borderId="13" xfId="3" applyFont="1" applyBorder="1" applyAlignment="1">
      <alignment horizontal="center"/>
    </xf>
    <xf numFmtId="0" fontId="8" fillId="0" borderId="14" xfId="3" applyFont="1" applyBorder="1" applyAlignment="1">
      <alignment horizontal="left"/>
    </xf>
    <xf numFmtId="0" fontId="8" fillId="0" borderId="14" xfId="3" quotePrefix="1" applyFont="1" applyBorder="1" applyAlignment="1">
      <alignment horizontal="center"/>
    </xf>
    <xf numFmtId="0" fontId="8" fillId="0" borderId="14" xfId="3" applyFont="1" applyBorder="1" applyAlignment="1">
      <alignment horizontal="center"/>
    </xf>
    <xf numFmtId="41" fontId="8" fillId="0" borderId="15" xfId="2" applyFont="1" applyBorder="1" applyAlignment="1">
      <alignment horizontal="right"/>
    </xf>
    <xf numFmtId="0" fontId="8" fillId="0" borderId="5" xfId="3" applyFont="1" applyBorder="1" applyAlignment="1">
      <alignment horizontal="center"/>
    </xf>
    <xf numFmtId="41" fontId="8" fillId="0" borderId="10" xfId="2" applyFont="1" applyBorder="1" applyAlignment="1">
      <alignment horizontal="right"/>
    </xf>
    <xf numFmtId="0" fontId="8" fillId="0" borderId="17" xfId="3" applyFont="1" applyBorder="1" applyAlignment="1">
      <alignment horizontal="center"/>
    </xf>
    <xf numFmtId="0" fontId="9" fillId="0" borderId="32" xfId="3" applyFont="1" applyBorder="1" applyAlignment="1">
      <alignment horizontal="center"/>
    </xf>
    <xf numFmtId="0" fontId="9" fillId="0" borderId="33" xfId="3" applyFont="1" applyBorder="1" applyAlignment="1">
      <alignment horizontal="center"/>
    </xf>
    <xf numFmtId="0" fontId="9" fillId="0" borderId="34" xfId="3" applyFont="1" applyBorder="1" applyAlignment="1">
      <alignment horizontal="center"/>
    </xf>
    <xf numFmtId="3" fontId="9" fillId="0" borderId="19" xfId="3" applyNumberFormat="1" applyFont="1" applyBorder="1"/>
    <xf numFmtId="0" fontId="8" fillId="0" borderId="0" xfId="0" applyFont="1"/>
    <xf numFmtId="0" fontId="1" fillId="0" borderId="0" xfId="0" applyFont="1"/>
    <xf numFmtId="0" fontId="7" fillId="0" borderId="0" xfId="3" applyFont="1" applyAlignment="1">
      <alignment horizontal="center"/>
    </xf>
    <xf numFmtId="3" fontId="7" fillId="0" borderId="0" xfId="3" applyNumberFormat="1" applyFont="1"/>
    <xf numFmtId="0" fontId="0" fillId="0" borderId="13" xfId="0" applyBorder="1" applyAlignment="1">
      <alignment horizontal="center"/>
    </xf>
    <xf numFmtId="3" fontId="0" fillId="0" borderId="14" xfId="0" applyNumberFormat="1" applyBorder="1"/>
    <xf numFmtId="3" fontId="0" fillId="0" borderId="35" xfId="0" applyNumberFormat="1" applyBorder="1"/>
    <xf numFmtId="41" fontId="0" fillId="0" borderId="15" xfId="2" applyFont="1" applyBorder="1"/>
    <xf numFmtId="0" fontId="0" fillId="0" borderId="16" xfId="0" applyBorder="1" applyAlignment="1">
      <alignment horizontal="center"/>
    </xf>
    <xf numFmtId="0" fontId="0" fillId="0" borderId="1" xfId="0" applyBorder="1"/>
    <xf numFmtId="3" fontId="0" fillId="0" borderId="1" xfId="0" applyNumberFormat="1" applyBorder="1"/>
    <xf numFmtId="0" fontId="0" fillId="0" borderId="27" xfId="0" applyBorder="1"/>
    <xf numFmtId="0" fontId="0" fillId="0" borderId="16" xfId="0" applyBorder="1"/>
    <xf numFmtId="41" fontId="0" fillId="0" borderId="2" xfId="2" applyFont="1" applyBorder="1"/>
    <xf numFmtId="0" fontId="0" fillId="0" borderId="28" xfId="0" applyBorder="1"/>
    <xf numFmtId="0" fontId="0" fillId="0" borderId="9" xfId="0" applyBorder="1"/>
    <xf numFmtId="0" fontId="0" fillId="0" borderId="22" xfId="0" applyBorder="1"/>
    <xf numFmtId="41" fontId="0" fillId="0" borderId="7" xfId="2" applyFont="1" applyBorder="1"/>
    <xf numFmtId="0" fontId="7" fillId="0" borderId="17" xfId="0" applyFont="1" applyBorder="1"/>
    <xf numFmtId="0" fontId="7" fillId="0" borderId="18" xfId="0" applyFont="1" applyBorder="1"/>
    <xf numFmtId="3" fontId="7" fillId="0" borderId="18" xfId="0" applyNumberFormat="1" applyFont="1" applyBorder="1"/>
    <xf numFmtId="41" fontId="7" fillId="0" borderId="19" xfId="2" applyFont="1" applyBorder="1" applyAlignment="1"/>
    <xf numFmtId="0" fontId="2" fillId="0" borderId="8" xfId="0" applyFont="1" applyBorder="1" applyAlignment="1">
      <alignment horizontal="center" vertical="center"/>
    </xf>
    <xf numFmtId="0" fontId="0" fillId="0" borderId="1" xfId="3" applyFont="1" applyBorder="1" applyAlignment="1">
      <alignment horizontal="left"/>
    </xf>
    <xf numFmtId="4" fontId="0" fillId="0" borderId="1" xfId="3" quotePrefix="1" applyNumberFormat="1" applyFont="1" applyBorder="1" applyAlignment="1">
      <alignment horizontal="center"/>
    </xf>
    <xf numFmtId="14" fontId="2" fillId="0" borderId="6" xfId="0" quotePrefix="1" applyNumberFormat="1" applyFont="1" applyBorder="1" applyAlignment="1">
      <alignment horizontal="center"/>
    </xf>
    <xf numFmtId="0" fontId="1" fillId="0" borderId="28" xfId="3" applyBorder="1" applyAlignment="1">
      <alignment horizontal="center"/>
    </xf>
    <xf numFmtId="0" fontId="1" fillId="0" borderId="8" xfId="3" quotePrefix="1" applyBorder="1" applyAlignment="1">
      <alignment horizontal="center"/>
    </xf>
    <xf numFmtId="3" fontId="1" fillId="0" borderId="7" xfId="3" applyNumberFormat="1" applyBorder="1"/>
    <xf numFmtId="3" fontId="0" fillId="0" borderId="2" xfId="3" applyNumberFormat="1" applyFont="1" applyBorder="1"/>
    <xf numFmtId="0" fontId="4" fillId="0" borderId="6" xfId="0" applyFont="1" applyBorder="1"/>
    <xf numFmtId="3" fontId="0" fillId="0" borderId="7" xfId="3" applyNumberFormat="1" applyFont="1" applyBorder="1"/>
    <xf numFmtId="41" fontId="0" fillId="0" borderId="14" xfId="2" applyFont="1" applyBorder="1"/>
    <xf numFmtId="0" fontId="4" fillId="0" borderId="11" xfId="0" applyFont="1" applyBorder="1"/>
    <xf numFmtId="0" fontId="8" fillId="0" borderId="0" xfId="3" applyFont="1" applyAlignment="1">
      <alignment horizontal="center"/>
    </xf>
    <xf numFmtId="41" fontId="2" fillId="0" borderId="0" xfId="2" applyFont="1" applyFill="1" applyBorder="1"/>
    <xf numFmtId="41" fontId="4" fillId="0" borderId="0" xfId="2" applyFont="1"/>
    <xf numFmtId="43" fontId="4" fillId="0" borderId="6" xfId="0" applyNumberFormat="1" applyFont="1" applyBorder="1" applyAlignment="1">
      <alignment horizontal="center"/>
    </xf>
    <xf numFmtId="43" fontId="4" fillId="0" borderId="10" xfId="2" applyNumberFormat="1" applyFont="1" applyFill="1" applyBorder="1" applyAlignment="1">
      <alignment horizontal="center"/>
    </xf>
    <xf numFmtId="3" fontId="6" fillId="0" borderId="21" xfId="0" applyNumberFormat="1" applyFont="1" applyBorder="1" applyAlignment="1">
      <alignment horizontal="left"/>
    </xf>
    <xf numFmtId="167" fontId="4" fillId="0" borderId="6" xfId="0" quotePrefix="1" applyNumberFormat="1" applyFont="1" applyBorder="1" applyAlignment="1">
      <alignment horizontal="center" vertical="center"/>
    </xf>
    <xf numFmtId="0" fontId="4" fillId="0" borderId="4" xfId="0" applyFont="1" applyBorder="1" applyAlignment="1">
      <alignment horizontal="center" vertical="center" wrapText="1"/>
    </xf>
    <xf numFmtId="0" fontId="2" fillId="0" borderId="21" xfId="0" applyFont="1" applyBorder="1" applyAlignment="1">
      <alignment horizontal="center"/>
    </xf>
    <xf numFmtId="14" fontId="2" fillId="0" borderId="21" xfId="0" applyNumberFormat="1" applyFont="1" applyBorder="1" applyAlignment="1">
      <alignment horizontal="center"/>
    </xf>
    <xf numFmtId="0" fontId="2" fillId="0" borderId="21" xfId="0" quotePrefix="1" applyFont="1" applyBorder="1" applyAlignment="1">
      <alignment horizontal="center"/>
    </xf>
    <xf numFmtId="0" fontId="2" fillId="0" borderId="22" xfId="0" applyFont="1" applyBorder="1" applyAlignment="1">
      <alignment horizontal="left" vertical="center"/>
    </xf>
    <xf numFmtId="0" fontId="2" fillId="0" borderId="21" xfId="0" quotePrefix="1" applyFont="1" applyBorder="1" applyAlignment="1">
      <alignment horizontal="center" vertical="center"/>
    </xf>
    <xf numFmtId="0" fontId="4" fillId="0" borderId="41" xfId="0" applyFont="1" applyBorder="1" applyAlignment="1">
      <alignment vertical="center"/>
    </xf>
    <xf numFmtId="0" fontId="4" fillId="0" borderId="8" xfId="0" applyFont="1" applyBorder="1" applyAlignment="1">
      <alignment horizontal="center" vertical="center" wrapText="1"/>
    </xf>
    <xf numFmtId="0" fontId="4" fillId="0" borderId="41" xfId="0" applyFont="1" applyBorder="1" applyAlignment="1">
      <alignment horizontal="center" vertical="center" wrapText="1"/>
    </xf>
    <xf numFmtId="0" fontId="9" fillId="0" borderId="4"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2" fillId="0" borderId="0" xfId="0" applyFont="1" applyAlignment="1">
      <alignment vertical="center"/>
    </xf>
    <xf numFmtId="0" fontId="0" fillId="0" borderId="21" xfId="0" applyBorder="1"/>
    <xf numFmtId="14" fontId="2" fillId="0" borderId="21" xfId="0" quotePrefix="1" applyNumberFormat="1" applyFont="1" applyBorder="1" applyAlignment="1">
      <alignment horizontal="center"/>
    </xf>
    <xf numFmtId="43" fontId="4" fillId="0" borderId="4" xfId="0" applyNumberFormat="1" applyFont="1" applyBorder="1" applyAlignment="1">
      <alignment horizontal="center" vertical="center"/>
    </xf>
    <xf numFmtId="43" fontId="4" fillId="0" borderId="3" xfId="2" applyNumberFormat="1" applyFont="1" applyFill="1" applyBorder="1" applyAlignment="1">
      <alignment horizontal="center" vertical="center"/>
    </xf>
    <xf numFmtId="41" fontId="4" fillId="0" borderId="1" xfId="2" applyFont="1" applyBorder="1" applyAlignment="1">
      <alignment vertical="center"/>
    </xf>
    <xf numFmtId="0" fontId="2" fillId="0" borderId="9" xfId="0" quotePrefix="1" applyFont="1" applyBorder="1"/>
    <xf numFmtId="41" fontId="4" fillId="0" borderId="0" xfId="2" applyFont="1" applyAlignment="1">
      <alignment horizontal="center"/>
    </xf>
    <xf numFmtId="41" fontId="4" fillId="0" borderId="40" xfId="2" applyFont="1" applyBorder="1" applyAlignment="1">
      <alignment horizontal="center"/>
    </xf>
    <xf numFmtId="41" fontId="4" fillId="0" borderId="1" xfId="2" applyFont="1" applyBorder="1" applyAlignment="1">
      <alignment horizontal="center" vertical="center"/>
    </xf>
    <xf numFmtId="41" fontId="4" fillId="0" borderId="14" xfId="2" applyFont="1" applyBorder="1" applyAlignment="1">
      <alignment horizontal="center"/>
    </xf>
    <xf numFmtId="41" fontId="2" fillId="0" borderId="9" xfId="2" applyFont="1" applyBorder="1"/>
    <xf numFmtId="41" fontId="2" fillId="0" borderId="6" xfId="2" applyFont="1" applyBorder="1"/>
    <xf numFmtId="41" fontId="4" fillId="0" borderId="1" xfId="2" applyFont="1" applyBorder="1" applyAlignment="1">
      <alignment horizontal="center" vertical="center" wrapText="1"/>
    </xf>
    <xf numFmtId="0" fontId="2" fillId="0" borderId="9" xfId="0" quotePrefix="1" applyFont="1" applyBorder="1" applyAlignment="1">
      <alignment horizontal="center"/>
    </xf>
    <xf numFmtId="15" fontId="2" fillId="0" borderId="22" xfId="0" applyNumberFormat="1" applyFont="1" applyBorder="1"/>
    <xf numFmtId="0" fontId="2" fillId="0" borderId="8" xfId="0" applyFont="1" applyBorder="1"/>
    <xf numFmtId="166" fontId="4" fillId="0" borderId="6" xfId="1" applyNumberFormat="1" applyFont="1" applyFill="1" applyBorder="1"/>
    <xf numFmtId="0" fontId="2" fillId="0" borderId="35" xfId="0" applyFont="1" applyBorder="1" applyAlignment="1">
      <alignment horizontal="left"/>
    </xf>
    <xf numFmtId="0" fontId="4" fillId="0" borderId="41" xfId="0" applyFont="1" applyBorder="1" applyAlignment="1">
      <alignment horizontal="center" vertical="center"/>
    </xf>
    <xf numFmtId="41" fontId="2" fillId="0" borderId="6" xfId="2" applyFont="1" applyFill="1" applyBorder="1" applyAlignment="1">
      <alignment horizontal="center" vertical="center"/>
    </xf>
    <xf numFmtId="41" fontId="2" fillId="0" borderId="10" xfId="2" applyFont="1" applyFill="1" applyBorder="1" applyAlignment="1">
      <alignment horizontal="center"/>
    </xf>
    <xf numFmtId="41" fontId="2" fillId="0" borderId="6" xfId="2" applyFont="1" applyFill="1" applyBorder="1" applyAlignment="1">
      <alignment horizontal="center"/>
    </xf>
    <xf numFmtId="41" fontId="4" fillId="0" borderId="0" xfId="2" applyFont="1" applyFill="1" applyBorder="1"/>
    <xf numFmtId="41" fontId="4" fillId="0" borderId="4" xfId="2" applyFont="1" applyFill="1" applyBorder="1" applyAlignment="1">
      <alignment horizontal="center" vertical="center"/>
    </xf>
    <xf numFmtId="41" fontId="4" fillId="0" borderId="3" xfId="2" applyFont="1" applyFill="1" applyBorder="1" applyAlignment="1">
      <alignment horizontal="center" vertical="center"/>
    </xf>
    <xf numFmtId="41" fontId="4" fillId="0" borderId="6" xfId="2" applyFont="1" applyFill="1" applyBorder="1" applyAlignment="1">
      <alignment horizontal="center"/>
    </xf>
    <xf numFmtId="41" fontId="4" fillId="0" borderId="10" xfId="2" applyFont="1" applyFill="1" applyBorder="1" applyAlignment="1">
      <alignment horizontal="center"/>
    </xf>
    <xf numFmtId="41" fontId="3" fillId="0" borderId="18" xfId="2" applyFont="1" applyFill="1" applyBorder="1"/>
    <xf numFmtId="41" fontId="3" fillId="0" borderId="19" xfId="2" applyFont="1" applyFill="1" applyBorder="1"/>
    <xf numFmtId="41" fontId="3" fillId="0" borderId="0" xfId="2" applyFont="1" applyFill="1" applyBorder="1"/>
    <xf numFmtId="41" fontId="0" fillId="0" borderId="0" xfId="2" applyFont="1" applyFill="1"/>
    <xf numFmtId="41" fontId="3" fillId="0" borderId="1" xfId="2" applyFont="1" applyFill="1" applyBorder="1"/>
    <xf numFmtId="41" fontId="3" fillId="0" borderId="2" xfId="2" applyFont="1" applyFill="1" applyBorder="1"/>
    <xf numFmtId="0" fontId="4" fillId="0" borderId="11" xfId="0" applyFont="1" applyBorder="1" applyAlignment="1">
      <alignment horizontal="center" vertical="center" wrapText="1"/>
    </xf>
    <xf numFmtId="0" fontId="4" fillId="0" borderId="6" xfId="0" quotePrefix="1" applyFont="1" applyBorder="1" applyAlignment="1">
      <alignment horizontal="center" vertical="center"/>
    </xf>
    <xf numFmtId="43" fontId="2" fillId="0" borderId="10" xfId="0" applyNumberFormat="1" applyFont="1" applyBorder="1" applyAlignment="1">
      <alignment horizontal="right"/>
    </xf>
    <xf numFmtId="0" fontId="9" fillId="0" borderId="0" xfId="0" applyFont="1"/>
    <xf numFmtId="43" fontId="4" fillId="0" borderId="0" xfId="1" applyFont="1" applyFill="1" applyBorder="1"/>
    <xf numFmtId="41" fontId="2" fillId="0" borderId="9" xfId="2" applyFont="1" applyFill="1" applyBorder="1" applyAlignment="1">
      <alignment horizontal="center"/>
    </xf>
    <xf numFmtId="41" fontId="2" fillId="0" borderId="9" xfId="2" applyFont="1" applyFill="1" applyBorder="1"/>
    <xf numFmtId="41" fontId="2" fillId="0" borderId="6" xfId="2" applyFont="1" applyFill="1" applyBorder="1"/>
    <xf numFmtId="41" fontId="5" fillId="0" borderId="6" xfId="2" applyFont="1" applyFill="1" applyBorder="1"/>
    <xf numFmtId="0" fontId="6" fillId="0" borderId="21" xfId="0" applyFont="1" applyBorder="1" applyAlignment="1">
      <alignment horizontal="left" vertical="center"/>
    </xf>
    <xf numFmtId="0" fontId="4" fillId="0" borderId="0" xfId="0" applyFont="1" applyAlignment="1">
      <alignment horizontal="center" vertical="center"/>
    </xf>
    <xf numFmtId="0" fontId="4" fillId="2" borderId="6" xfId="0" quotePrefix="1" applyFont="1" applyFill="1" applyBorder="1" applyAlignment="1">
      <alignment horizontal="center" vertical="center"/>
    </xf>
    <xf numFmtId="0" fontId="4" fillId="2" borderId="0" xfId="0" applyFont="1" applyFill="1" applyAlignment="1">
      <alignment horizontal="center" vertical="center"/>
    </xf>
    <xf numFmtId="0" fontId="2" fillId="2" borderId="21" xfId="0" quotePrefix="1" applyFont="1" applyFill="1" applyBorder="1" applyAlignment="1">
      <alignment horizontal="center" vertical="center"/>
    </xf>
    <xf numFmtId="3" fontId="2" fillId="2" borderId="21" xfId="0" applyNumberFormat="1" applyFont="1" applyFill="1" applyBorder="1" applyAlignment="1">
      <alignment horizontal="left"/>
    </xf>
    <xf numFmtId="0" fontId="2" fillId="2" borderId="11" xfId="0" applyFont="1" applyFill="1" applyBorder="1" applyAlignment="1">
      <alignment vertical="center"/>
    </xf>
    <xf numFmtId="0" fontId="2" fillId="2" borderId="6" xfId="0" applyFont="1" applyFill="1" applyBorder="1" applyAlignment="1">
      <alignment horizontal="center" vertical="center"/>
    </xf>
    <xf numFmtId="41" fontId="2" fillId="2" borderId="6" xfId="2" applyFont="1" applyFill="1" applyBorder="1" applyAlignment="1">
      <alignment horizontal="center"/>
    </xf>
    <xf numFmtId="41" fontId="2" fillId="2" borderId="10" xfId="2" applyFont="1" applyFill="1" applyBorder="1" applyAlignment="1">
      <alignment horizontal="center"/>
    </xf>
    <xf numFmtId="0" fontId="4" fillId="2" borderId="6" xfId="0" applyFont="1" applyFill="1" applyBorder="1" applyAlignment="1">
      <alignment horizontal="center" vertical="center"/>
    </xf>
    <xf numFmtId="0" fontId="2" fillId="2" borderId="21" xfId="0" applyFont="1" applyFill="1" applyBorder="1" applyAlignment="1">
      <alignment horizontal="center" vertical="center"/>
    </xf>
    <xf numFmtId="0" fontId="0" fillId="2" borderId="21" xfId="0" applyFill="1" applyBorder="1"/>
    <xf numFmtId="0" fontId="2" fillId="2" borderId="0" xfId="0" applyFont="1" applyFill="1" applyAlignment="1">
      <alignment vertical="center"/>
    </xf>
    <xf numFmtId="41" fontId="0" fillId="0" borderId="0" xfId="2" applyFont="1"/>
    <xf numFmtId="41" fontId="2" fillId="0" borderId="0" xfId="0" applyNumberFormat="1" applyFont="1"/>
    <xf numFmtId="4" fontId="0" fillId="0" borderId="0" xfId="0" applyNumberFormat="1"/>
    <xf numFmtId="0" fontId="9" fillId="0" borderId="21" xfId="0" applyFont="1" applyBorder="1" applyAlignment="1">
      <alignment horizontal="center" vertical="center"/>
    </xf>
    <xf numFmtId="0" fontId="9" fillId="0" borderId="21" xfId="0" applyFont="1" applyBorder="1" applyAlignment="1">
      <alignment horizontal="center" vertical="center" wrapText="1"/>
    </xf>
    <xf numFmtId="0" fontId="9" fillId="0" borderId="11" xfId="0" applyFont="1" applyBorder="1" applyAlignment="1">
      <alignment horizontal="center" vertical="center" wrapText="1"/>
    </xf>
    <xf numFmtId="43" fontId="4" fillId="0" borderId="6" xfId="0" applyNumberFormat="1" applyFont="1" applyBorder="1" applyAlignment="1">
      <alignment horizontal="center" vertical="center"/>
    </xf>
    <xf numFmtId="0" fontId="11" fillId="0" borderId="0" xfId="0" applyFont="1"/>
    <xf numFmtId="0" fontId="2" fillId="2" borderId="21" xfId="0" applyFont="1" applyFill="1" applyBorder="1" applyAlignment="1">
      <alignment vertical="center"/>
    </xf>
    <xf numFmtId="0" fontId="2" fillId="2" borderId="0" xfId="0" applyFont="1" applyFill="1" applyAlignment="1">
      <alignment horizontal="center" vertical="center"/>
    </xf>
    <xf numFmtId="16" fontId="2" fillId="0" borderId="6" xfId="0" quotePrefix="1" applyNumberFormat="1" applyFont="1" applyBorder="1" applyAlignment="1">
      <alignment horizontal="center"/>
    </xf>
    <xf numFmtId="1" fontId="2" fillId="0" borderId="6" xfId="2" applyNumberFormat="1" applyFont="1" applyFill="1" applyBorder="1"/>
    <xf numFmtId="0" fontId="2" fillId="0" borderId="6" xfId="2" applyNumberFormat="1" applyFont="1" applyFill="1" applyBorder="1"/>
    <xf numFmtId="1" fontId="2" fillId="0" borderId="9" xfId="2" applyNumberFormat="1" applyFont="1" applyFill="1" applyBorder="1"/>
    <xf numFmtId="1" fontId="2" fillId="0" borderId="6" xfId="0" applyNumberFormat="1" applyFont="1" applyBorder="1"/>
    <xf numFmtId="1" fontId="5" fillId="0" borderId="6" xfId="2" applyNumberFormat="1" applyFont="1" applyFill="1" applyBorder="1"/>
    <xf numFmtId="41" fontId="0" fillId="0" borderId="0" xfId="0" applyNumberFormat="1"/>
    <xf numFmtId="41" fontId="11" fillId="0" borderId="0" xfId="2" applyFont="1" applyFill="1"/>
    <xf numFmtId="41" fontId="2" fillId="0" borderId="0" xfId="2" applyFont="1" applyFill="1"/>
    <xf numFmtId="165" fontId="4" fillId="0" borderId="0" xfId="0" applyNumberFormat="1" applyFont="1"/>
    <xf numFmtId="43" fontId="2" fillId="0" borderId="30" xfId="2" applyNumberFormat="1" applyFont="1" applyFill="1" applyBorder="1" applyAlignment="1">
      <alignment horizontal="center"/>
    </xf>
    <xf numFmtId="0" fontId="6" fillId="0" borderId="21" xfId="0" applyFont="1" applyBorder="1" applyAlignment="1">
      <alignment horizontal="left" vertical="center" wrapText="1"/>
    </xf>
    <xf numFmtId="0" fontId="6" fillId="0" borderId="11" xfId="0" applyFont="1" applyBorder="1" applyAlignment="1">
      <alignment horizontal="left" vertical="center" wrapText="1"/>
    </xf>
    <xf numFmtId="41" fontId="0" fillId="0" borderId="0" xfId="2" applyFont="1" applyFill="1" applyBorder="1"/>
    <xf numFmtId="0" fontId="2" fillId="0" borderId="0" xfId="0" applyFont="1" applyAlignment="1">
      <alignment horizontal="center" vertical="center"/>
    </xf>
    <xf numFmtId="41" fontId="2" fillId="0" borderId="0" xfId="2" applyFont="1" applyFill="1" applyBorder="1" applyAlignment="1">
      <alignment horizontal="center"/>
    </xf>
    <xf numFmtId="41" fontId="2" fillId="0" borderId="6" xfId="2" quotePrefix="1" applyFont="1" applyFill="1" applyBorder="1" applyAlignment="1">
      <alignment horizontal="center"/>
    </xf>
    <xf numFmtId="1" fontId="2" fillId="0" borderId="9" xfId="0" applyNumberFormat="1" applyFont="1" applyBorder="1"/>
    <xf numFmtId="0" fontId="2" fillId="2" borderId="21" xfId="0" applyFont="1" applyFill="1" applyBorder="1" applyAlignment="1">
      <alignment horizontal="left" vertical="center"/>
    </xf>
    <xf numFmtId="0" fontId="2" fillId="2" borderId="11" xfId="0" applyFont="1" applyFill="1" applyBorder="1" applyAlignment="1">
      <alignment horizontal="left" vertical="center"/>
    </xf>
    <xf numFmtId="43" fontId="2" fillId="2" borderId="6" xfId="2" applyNumberFormat="1" applyFont="1" applyFill="1" applyBorder="1" applyAlignment="1">
      <alignment horizontal="center"/>
    </xf>
    <xf numFmtId="43" fontId="2" fillId="2" borderId="10" xfId="2" applyNumberFormat="1" applyFont="1" applyFill="1" applyBorder="1" applyAlignment="1">
      <alignment horizontal="center"/>
    </xf>
    <xf numFmtId="0" fontId="6" fillId="2" borderId="21" xfId="0" applyFont="1" applyFill="1" applyBorder="1" applyAlignment="1">
      <alignment horizontal="left" vertical="center"/>
    </xf>
    <xf numFmtId="0" fontId="9" fillId="2" borderId="21" xfId="0" applyFont="1" applyFill="1" applyBorder="1" applyAlignment="1">
      <alignment horizontal="center" vertical="center"/>
    </xf>
    <xf numFmtId="0" fontId="9" fillId="2" borderId="21" xfId="0" applyFont="1" applyFill="1" applyBorder="1" applyAlignment="1">
      <alignment horizontal="center" vertical="center" wrapText="1"/>
    </xf>
    <xf numFmtId="0" fontId="9" fillId="2" borderId="11" xfId="0" applyFont="1" applyFill="1" applyBorder="1" applyAlignment="1">
      <alignment horizontal="center" vertical="center" wrapText="1"/>
    </xf>
    <xf numFmtId="43" fontId="4" fillId="2" borderId="6" xfId="0" applyNumberFormat="1" applyFont="1" applyFill="1" applyBorder="1" applyAlignment="1">
      <alignment horizontal="center" vertical="center"/>
    </xf>
    <xf numFmtId="43" fontId="4" fillId="2" borderId="10" xfId="2" applyNumberFormat="1" applyFont="1" applyFill="1" applyBorder="1" applyAlignment="1">
      <alignment horizontal="center" vertical="center"/>
    </xf>
    <xf numFmtId="0" fontId="5" fillId="0" borderId="6" xfId="0" quotePrefix="1" applyFont="1" applyBorder="1" applyAlignment="1">
      <alignment horizontal="center" vertical="center"/>
    </xf>
    <xf numFmtId="0" fontId="5" fillId="0" borderId="21" xfId="0" quotePrefix="1" applyFont="1" applyBorder="1" applyAlignment="1">
      <alignment horizontal="center" vertical="center"/>
    </xf>
    <xf numFmtId="0" fontId="5" fillId="0" borderId="21" xfId="0" applyFont="1" applyBorder="1" applyAlignment="1">
      <alignment vertical="center"/>
    </xf>
    <xf numFmtId="0" fontId="5" fillId="0" borderId="11" xfId="0" applyFont="1" applyBorder="1" applyAlignment="1">
      <alignment vertical="center"/>
    </xf>
    <xf numFmtId="41" fontId="5" fillId="0" borderId="10" xfId="2" applyFont="1" applyFill="1" applyBorder="1" applyAlignment="1">
      <alignment horizontal="center"/>
    </xf>
    <xf numFmtId="0" fontId="5" fillId="0" borderId="6" xfId="0" applyFont="1" applyBorder="1" applyAlignment="1">
      <alignment horizontal="center" vertical="center"/>
    </xf>
    <xf numFmtId="0" fontId="5" fillId="0" borderId="21" xfId="0" applyFont="1" applyBorder="1" applyAlignment="1">
      <alignment horizontal="center" vertical="center"/>
    </xf>
    <xf numFmtId="3" fontId="5" fillId="0" borderId="21" xfId="0" applyNumberFormat="1" applyFont="1" applyBorder="1" applyAlignment="1">
      <alignment horizontal="left"/>
    </xf>
    <xf numFmtId="41" fontId="3" fillId="0" borderId="18" xfId="2" applyFont="1" applyFill="1" applyBorder="1" applyAlignment="1">
      <alignment vertical="center"/>
    </xf>
    <xf numFmtId="41" fontId="3" fillId="0" borderId="19" xfId="2" applyFont="1" applyFill="1" applyBorder="1" applyAlignment="1">
      <alignment vertical="center"/>
    </xf>
    <xf numFmtId="41" fontId="2" fillId="0" borderId="6" xfId="2" applyFont="1" applyFill="1" applyBorder="1" applyAlignment="1">
      <alignment vertical="center"/>
    </xf>
    <xf numFmtId="43" fontId="4" fillId="0" borderId="18" xfId="1" applyFont="1" applyFill="1" applyBorder="1" applyAlignment="1">
      <alignment vertical="center"/>
    </xf>
    <xf numFmtId="41" fontId="4" fillId="0" borderId="0" xfId="0" applyNumberFormat="1" applyFont="1"/>
    <xf numFmtId="0" fontId="11" fillId="0" borderId="0" xfId="0" applyFont="1" applyAlignment="1">
      <alignment horizontal="center"/>
    </xf>
    <xf numFmtId="0" fontId="8" fillId="0" borderId="0" xfId="0" applyFont="1" applyAlignment="1">
      <alignment horizontal="center"/>
    </xf>
    <xf numFmtId="0" fontId="4" fillId="0" borderId="9" xfId="0" applyFont="1" applyBorder="1" applyAlignment="1">
      <alignment horizontal="center" vertical="center"/>
    </xf>
    <xf numFmtId="0" fontId="4" fillId="0" borderId="14" xfId="0" applyFont="1" applyBorder="1" applyAlignment="1">
      <alignment horizontal="center" vertical="center"/>
    </xf>
    <xf numFmtId="166" fontId="8" fillId="0" borderId="0" xfId="1" applyNumberFormat="1" applyFont="1" applyFill="1" applyBorder="1" applyAlignment="1">
      <alignment horizontal="center"/>
    </xf>
    <xf numFmtId="166" fontId="9" fillId="0" borderId="0" xfId="1" applyNumberFormat="1" applyFont="1" applyFill="1" applyBorder="1" applyAlignment="1">
      <alignment horizontal="center"/>
    </xf>
    <xf numFmtId="0" fontId="4" fillId="0" borderId="1" xfId="0" applyFont="1" applyBorder="1" applyAlignment="1">
      <alignment horizontal="center" vertical="center"/>
    </xf>
    <xf numFmtId="0" fontId="9" fillId="0" borderId="0" xfId="0" applyFont="1" applyAlignment="1">
      <alignment horizontal="center"/>
    </xf>
    <xf numFmtId="0" fontId="4" fillId="0" borderId="21" xfId="0" applyFont="1" applyBorder="1" applyAlignment="1">
      <alignment horizontal="left" vertical="center"/>
    </xf>
    <xf numFmtId="0" fontId="12" fillId="2" borderId="21" xfId="0" applyFont="1" applyFill="1" applyBorder="1"/>
    <xf numFmtId="3" fontId="2" fillId="2" borderId="0" xfId="0" applyNumberFormat="1" applyFont="1" applyFill="1" applyAlignment="1">
      <alignment horizontal="left"/>
    </xf>
    <xf numFmtId="43" fontId="2" fillId="0" borderId="6" xfId="0" applyNumberFormat="1" applyFont="1" applyBorder="1" applyAlignment="1">
      <alignment horizontal="center" vertical="center"/>
    </xf>
    <xf numFmtId="0" fontId="4" fillId="2" borderId="21" xfId="0" applyFont="1" applyFill="1" applyBorder="1" applyAlignment="1">
      <alignment horizontal="center" vertical="center" wrapText="1"/>
    </xf>
    <xf numFmtId="0" fontId="4" fillId="2" borderId="11" xfId="0" applyFont="1" applyFill="1" applyBorder="1" applyAlignment="1">
      <alignment horizontal="center" vertical="center" wrapText="1"/>
    </xf>
    <xf numFmtId="41" fontId="4" fillId="2" borderId="6" xfId="2" applyFont="1" applyFill="1" applyBorder="1" applyAlignment="1">
      <alignment horizontal="center"/>
    </xf>
    <xf numFmtId="41" fontId="4" fillId="2" borderId="10" xfId="2" applyFont="1" applyFill="1" applyBorder="1" applyAlignment="1">
      <alignment horizontal="center"/>
    </xf>
    <xf numFmtId="41" fontId="3" fillId="0" borderId="0" xfId="0" applyNumberFormat="1" applyFont="1" applyAlignment="1">
      <alignment horizontal="left"/>
    </xf>
    <xf numFmtId="41" fontId="3" fillId="0" borderId="25" xfId="2" applyFont="1" applyBorder="1" applyAlignment="1">
      <alignment horizontal="center" vertical="center"/>
    </xf>
    <xf numFmtId="0" fontId="11" fillId="0" borderId="5" xfId="0" quotePrefix="1" applyFont="1" applyBorder="1" applyAlignment="1">
      <alignment horizontal="center"/>
    </xf>
    <xf numFmtId="0" fontId="11" fillId="0" borderId="21" xfId="0" applyFont="1" applyBorder="1" applyAlignment="1">
      <alignment horizontal="left"/>
    </xf>
    <xf numFmtId="0" fontId="11" fillId="0" borderId="0" xfId="0" applyFont="1" applyAlignment="1">
      <alignment horizontal="left"/>
    </xf>
    <xf numFmtId="3" fontId="11" fillId="0" borderId="10" xfId="0" applyNumberFormat="1" applyFont="1" applyBorder="1" applyAlignment="1">
      <alignment horizontal="right"/>
    </xf>
    <xf numFmtId="0" fontId="11" fillId="0" borderId="5" xfId="0" applyFont="1" applyBorder="1" applyAlignment="1">
      <alignment horizontal="center"/>
    </xf>
    <xf numFmtId="0" fontId="11" fillId="0" borderId="6" xfId="0" applyFont="1" applyBorder="1"/>
    <xf numFmtId="41" fontId="11" fillId="0" borderId="0" xfId="2" applyFont="1" applyBorder="1" applyAlignment="1">
      <alignment horizontal="left"/>
    </xf>
    <xf numFmtId="0" fontId="3" fillId="0" borderId="0" xfId="0" applyFont="1" applyAlignment="1">
      <alignment horizontal="center"/>
    </xf>
    <xf numFmtId="0" fontId="11" fillId="0" borderId="6" xfId="0" applyFont="1" applyBorder="1" applyAlignment="1">
      <alignment horizontal="center"/>
    </xf>
    <xf numFmtId="0" fontId="3" fillId="0" borderId="0" xfId="0" applyFont="1"/>
    <xf numFmtId="41" fontId="3" fillId="0" borderId="0" xfId="2" applyFont="1"/>
    <xf numFmtId="41" fontId="11" fillId="0" borderId="0" xfId="2" applyFont="1"/>
    <xf numFmtId="0" fontId="3" fillId="0" borderId="5" xfId="0" applyFont="1" applyBorder="1" applyAlignment="1">
      <alignment horizontal="center" vertical="center"/>
    </xf>
    <xf numFmtId="0" fontId="3" fillId="0" borderId="6" xfId="0" applyFont="1" applyBorder="1" applyAlignment="1">
      <alignment vertical="center"/>
    </xf>
    <xf numFmtId="0" fontId="3" fillId="0" borderId="21" xfId="0" applyFont="1" applyBorder="1" applyAlignment="1">
      <alignment vertical="center"/>
    </xf>
    <xf numFmtId="0" fontId="3" fillId="0" borderId="31" xfId="0" applyFont="1" applyBorder="1" applyAlignment="1">
      <alignment vertical="center"/>
    </xf>
    <xf numFmtId="0" fontId="3" fillId="0" borderId="10" xfId="0" applyFont="1" applyBorder="1" applyAlignment="1">
      <alignment horizontal="center" vertical="center"/>
    </xf>
    <xf numFmtId="0" fontId="3" fillId="0" borderId="4" xfId="0" applyFont="1" applyBorder="1" applyAlignment="1">
      <alignment horizontal="center" vertical="center"/>
    </xf>
    <xf numFmtId="43" fontId="3" fillId="0" borderId="4" xfId="0" applyNumberFormat="1" applyFont="1" applyBorder="1" applyAlignment="1">
      <alignment horizontal="center" vertical="center"/>
    </xf>
    <xf numFmtId="43" fontId="3" fillId="0" borderId="3" xfId="2" applyNumberFormat="1" applyFont="1" applyFill="1" applyBorder="1" applyAlignment="1">
      <alignment horizontal="center" vertical="center"/>
    </xf>
    <xf numFmtId="41" fontId="3" fillId="0" borderId="11" xfId="2" applyFont="1" applyBorder="1" applyAlignment="1">
      <alignment vertical="center"/>
    </xf>
    <xf numFmtId="0" fontId="15" fillId="0" borderId="21" xfId="0" applyFont="1" applyBorder="1" applyAlignment="1">
      <alignment horizontal="left"/>
    </xf>
    <xf numFmtId="41" fontId="11" fillId="0" borderId="45" xfId="2" applyFont="1" applyBorder="1" applyAlignment="1">
      <alignment horizontal="left"/>
    </xf>
    <xf numFmtId="0" fontId="11" fillId="0" borderId="12" xfId="0" applyFont="1" applyBorder="1"/>
    <xf numFmtId="0" fontId="2" fillId="0" borderId="11" xfId="0" applyFont="1" applyBorder="1" applyAlignment="1">
      <alignment horizontal="left" vertical="center" wrapText="1"/>
    </xf>
    <xf numFmtId="0" fontId="2" fillId="0" borderId="21" xfId="0" applyFont="1" applyBorder="1" applyAlignment="1">
      <alignment horizontal="left" vertical="center" wrapText="1"/>
    </xf>
    <xf numFmtId="0" fontId="17" fillId="0" borderId="6" xfId="5" applyBorder="1"/>
    <xf numFmtId="0" fontId="2" fillId="0" borderId="6" xfId="0" applyFont="1" applyBorder="1" applyAlignment="1">
      <alignment horizontal="left" vertical="center"/>
    </xf>
    <xf numFmtId="43" fontId="2" fillId="0" borderId="11" xfId="2" applyNumberFormat="1" applyFont="1" applyFill="1" applyBorder="1" applyAlignment="1">
      <alignment horizontal="center"/>
    </xf>
    <xf numFmtId="0" fontId="15" fillId="0" borderId="0" xfId="0" applyFont="1" applyAlignment="1">
      <alignment horizontal="left"/>
    </xf>
    <xf numFmtId="0" fontId="14" fillId="0" borderId="21" xfId="0" applyFont="1" applyBorder="1" applyAlignment="1">
      <alignment horizontal="left"/>
    </xf>
    <xf numFmtId="0" fontId="14" fillId="0" borderId="11" xfId="0" applyFont="1" applyBorder="1" applyAlignment="1">
      <alignment horizontal="left"/>
    </xf>
    <xf numFmtId="0" fontId="5" fillId="0" borderId="21" xfId="0" applyFont="1" applyBorder="1" applyAlignment="1">
      <alignment horizontal="left"/>
    </xf>
    <xf numFmtId="0" fontId="5" fillId="0" borderId="11" xfId="0" applyFont="1" applyBorder="1" applyAlignment="1">
      <alignment horizontal="left"/>
    </xf>
    <xf numFmtId="0" fontId="18" fillId="0" borderId="21" xfId="0" applyFont="1" applyBorder="1" applyAlignment="1">
      <alignment horizontal="left"/>
    </xf>
    <xf numFmtId="0" fontId="3" fillId="0" borderId="6" xfId="0" applyFont="1" applyBorder="1" applyAlignment="1">
      <alignment horizontal="center" vertical="center"/>
    </xf>
    <xf numFmtId="41" fontId="11" fillId="0" borderId="6" xfId="2" applyFont="1" applyBorder="1"/>
    <xf numFmtId="0" fontId="15" fillId="0" borderId="21" xfId="0" applyFont="1" applyBorder="1" applyAlignment="1">
      <alignment horizontal="center" wrapText="1"/>
    </xf>
    <xf numFmtId="0" fontId="15" fillId="0" borderId="0" xfId="0" applyFont="1" applyAlignment="1">
      <alignment horizontal="center" wrapText="1"/>
    </xf>
    <xf numFmtId="41" fontId="14" fillId="0" borderId="0" xfId="0" applyNumberFormat="1" applyFont="1"/>
    <xf numFmtId="41" fontId="14" fillId="0" borderId="0" xfId="2" applyFont="1"/>
    <xf numFmtId="0" fontId="0" fillId="0" borderId="6" xfId="0" applyBorder="1"/>
    <xf numFmtId="0" fontId="16" fillId="0" borderId="21" xfId="0" applyFont="1" applyBorder="1" applyAlignment="1">
      <alignment horizontal="left" vertical="center"/>
    </xf>
    <xf numFmtId="43" fontId="0" fillId="0" borderId="29" xfId="0" applyNumberFormat="1" applyBorder="1"/>
    <xf numFmtId="16" fontId="2" fillId="0" borderId="9" xfId="0" quotePrefix="1" applyNumberFormat="1" applyFont="1" applyBorder="1" applyAlignment="1">
      <alignment horizontal="center"/>
    </xf>
    <xf numFmtId="43" fontId="0" fillId="0" borderId="0" xfId="2" applyNumberFormat="1" applyFont="1" applyFill="1" applyBorder="1"/>
    <xf numFmtId="0" fontId="2" fillId="0" borderId="0" xfId="0" applyFont="1" applyAlignment="1">
      <alignment horizontal="left" vertical="center" wrapText="1"/>
    </xf>
    <xf numFmtId="43" fontId="2" fillId="0" borderId="0" xfId="2" applyNumberFormat="1" applyFont="1" applyFill="1" applyBorder="1" applyAlignment="1">
      <alignment horizontal="center"/>
    </xf>
    <xf numFmtId="0" fontId="6" fillId="0" borderId="0" xfId="0" applyFont="1" applyAlignment="1">
      <alignment horizontal="left" vertical="center"/>
    </xf>
    <xf numFmtId="0" fontId="6" fillId="0" borderId="0" xfId="0" applyFont="1" applyAlignment="1">
      <alignment horizontal="left" vertical="center" wrapText="1"/>
    </xf>
    <xf numFmtId="0" fontId="2" fillId="0" borderId="0" xfId="3" applyFont="1"/>
    <xf numFmtId="0" fontId="2" fillId="0" borderId="1" xfId="3" applyFont="1" applyBorder="1" applyAlignment="1">
      <alignment horizontal="center" vertical="center"/>
    </xf>
    <xf numFmtId="0" fontId="2" fillId="0" borderId="9" xfId="3" applyFont="1" applyBorder="1" applyAlignment="1">
      <alignment horizontal="center"/>
    </xf>
    <xf numFmtId="0" fontId="2" fillId="0" borderId="6" xfId="3" applyFont="1" applyBorder="1" applyAlignment="1">
      <alignment horizontal="center" vertical="center"/>
    </xf>
    <xf numFmtId="0" fontId="2" fillId="0" borderId="6" xfId="3" applyFont="1" applyBorder="1" applyAlignment="1">
      <alignment horizontal="center"/>
    </xf>
    <xf numFmtId="0" fontId="2" fillId="0" borderId="14" xfId="3" applyFont="1" applyBorder="1" applyAlignment="1">
      <alignment horizontal="center"/>
    </xf>
    <xf numFmtId="0" fontId="2" fillId="0" borderId="6" xfId="3" applyFont="1" applyBorder="1"/>
    <xf numFmtId="0" fontId="2" fillId="0" borderId="21" xfId="3" applyFont="1" applyBorder="1" applyAlignment="1">
      <alignment horizontal="center"/>
    </xf>
    <xf numFmtId="41" fontId="2" fillId="0" borderId="46" xfId="4" applyFont="1" applyBorder="1"/>
    <xf numFmtId="41" fontId="2" fillId="0" borderId="47" xfId="4" applyFont="1" applyBorder="1"/>
    <xf numFmtId="0" fontId="2" fillId="0" borderId="48" xfId="3" applyFont="1" applyBorder="1"/>
    <xf numFmtId="15" fontId="2" fillId="0" borderId="49" xfId="3" applyNumberFormat="1" applyFont="1" applyBorder="1" applyAlignment="1">
      <alignment horizontal="center"/>
    </xf>
    <xf numFmtId="3" fontId="2" fillId="0" borderId="50" xfId="3" applyNumberFormat="1" applyFont="1" applyBorder="1" applyAlignment="1">
      <alignment horizontal="center"/>
    </xf>
    <xf numFmtId="0" fontId="2" fillId="0" borderId="50" xfId="3" applyFont="1" applyBorder="1"/>
    <xf numFmtId="3" fontId="2" fillId="0" borderId="50" xfId="3" applyNumberFormat="1" applyFont="1" applyBorder="1"/>
    <xf numFmtId="3" fontId="2" fillId="0" borderId="51" xfId="3" applyNumberFormat="1" applyFont="1" applyBorder="1"/>
    <xf numFmtId="41" fontId="2" fillId="0" borderId="51" xfId="4" applyFont="1" applyBorder="1"/>
    <xf numFmtId="41" fontId="2" fillId="0" borderId="50" xfId="4" applyFont="1" applyBorder="1"/>
    <xf numFmtId="0" fontId="2" fillId="0" borderId="52" xfId="3" applyFont="1" applyBorder="1"/>
    <xf numFmtId="41" fontId="2" fillId="0" borderId="50" xfId="3" applyNumberFormat="1" applyFont="1" applyBorder="1" applyAlignment="1">
      <alignment horizontal="center"/>
    </xf>
    <xf numFmtId="3" fontId="2" fillId="0" borderId="51" xfId="3" applyNumberFormat="1" applyFont="1" applyBorder="1" applyAlignment="1">
      <alignment horizontal="center"/>
    </xf>
    <xf numFmtId="3" fontId="2" fillId="0" borderId="52" xfId="3" applyNumberFormat="1" applyFont="1" applyBorder="1"/>
    <xf numFmtId="0" fontId="2" fillId="0" borderId="50" xfId="3" applyFont="1" applyBorder="1" applyAlignment="1">
      <alignment horizontal="center"/>
    </xf>
    <xf numFmtId="41" fontId="2" fillId="0" borderId="53" xfId="4" applyFont="1" applyBorder="1"/>
    <xf numFmtId="41" fontId="2" fillId="0" borderId="54" xfId="4" applyFont="1" applyBorder="1"/>
    <xf numFmtId="0" fontId="2" fillId="0" borderId="55" xfId="3" applyFont="1" applyBorder="1"/>
    <xf numFmtId="15" fontId="2" fillId="0" borderId="50" xfId="3" applyNumberFormat="1" applyFont="1" applyBorder="1" applyAlignment="1">
      <alignment horizontal="center"/>
    </xf>
    <xf numFmtId="3" fontId="2" fillId="0" borderId="6" xfId="3" applyNumberFormat="1" applyFont="1" applyBorder="1"/>
    <xf numFmtId="3" fontId="2" fillId="0" borderId="21" xfId="3" applyNumberFormat="1" applyFont="1" applyBorder="1"/>
    <xf numFmtId="0" fontId="2" fillId="0" borderId="18" xfId="3" applyFont="1" applyBorder="1" applyAlignment="1">
      <alignment horizontal="center"/>
    </xf>
    <xf numFmtId="0" fontId="2" fillId="0" borderId="18" xfId="3" applyFont="1" applyBorder="1"/>
    <xf numFmtId="3" fontId="2" fillId="0" borderId="18" xfId="3" applyNumberFormat="1" applyFont="1" applyBorder="1"/>
    <xf numFmtId="3" fontId="2" fillId="0" borderId="0" xfId="3" applyNumberFormat="1" applyFont="1"/>
    <xf numFmtId="0" fontId="8" fillId="0" borderId="1" xfId="3" applyFont="1" applyBorder="1" applyAlignment="1">
      <alignment horizontal="center" vertical="center"/>
    </xf>
    <xf numFmtId="0" fontId="8" fillId="0" borderId="1" xfId="3" applyFont="1" applyBorder="1" applyAlignment="1">
      <alignment horizontal="center"/>
    </xf>
    <xf numFmtId="0" fontId="8" fillId="0" borderId="9" xfId="3" applyFont="1" applyBorder="1" applyAlignment="1">
      <alignment horizontal="center" vertical="center"/>
    </xf>
    <xf numFmtId="0" fontId="8" fillId="0" borderId="9" xfId="3" applyFont="1" applyBorder="1" applyAlignment="1">
      <alignment horizontal="center" vertical="center" wrapText="1"/>
    </xf>
    <xf numFmtId="41" fontId="8" fillId="0" borderId="9" xfId="4" applyFont="1" applyBorder="1" applyAlignment="1">
      <alignment horizontal="center" vertical="center"/>
    </xf>
    <xf numFmtId="41" fontId="8" fillId="0" borderId="1" xfId="4" applyFont="1" applyBorder="1" applyAlignment="1">
      <alignment horizontal="center" vertical="center"/>
    </xf>
    <xf numFmtId="41" fontId="8" fillId="0" borderId="1" xfId="4" applyFont="1" applyBorder="1" applyAlignment="1">
      <alignment horizontal="center"/>
    </xf>
    <xf numFmtId="0" fontId="1" fillId="0" borderId="6" xfId="3" applyBorder="1" applyAlignment="1">
      <alignment horizontal="center" vertical="center"/>
    </xf>
    <xf numFmtId="0" fontId="1" fillId="0" borderId="6" xfId="3" applyBorder="1"/>
    <xf numFmtId="0" fontId="2" fillId="0" borderId="56" xfId="3" applyFont="1" applyBorder="1" applyAlignment="1">
      <alignment horizontal="center"/>
    </xf>
    <xf numFmtId="0" fontId="1" fillId="0" borderId="56" xfId="3" applyBorder="1" applyAlignment="1">
      <alignment horizontal="center"/>
    </xf>
    <xf numFmtId="41" fontId="2" fillId="0" borderId="56" xfId="4" applyFont="1" applyBorder="1"/>
    <xf numFmtId="0" fontId="2" fillId="0" borderId="56" xfId="3" applyFont="1" applyBorder="1"/>
    <xf numFmtId="0" fontId="2" fillId="0" borderId="47" xfId="3" applyFont="1" applyBorder="1"/>
    <xf numFmtId="0" fontId="2" fillId="0" borderId="50" xfId="3" applyFont="1" applyBorder="1" applyAlignment="1">
      <alignment horizontal="center" vertical="center"/>
    </xf>
    <xf numFmtId="3" fontId="11" fillId="0" borderId="56" xfId="3" applyNumberFormat="1" applyFont="1" applyBorder="1" applyAlignment="1">
      <alignment horizontal="right"/>
    </xf>
    <xf numFmtId="166" fontId="2" fillId="0" borderId="50" xfId="1" applyNumberFormat="1" applyFont="1" applyBorder="1"/>
    <xf numFmtId="3" fontId="11" fillId="0" borderId="50" xfId="3" applyNumberFormat="1" applyFont="1" applyBorder="1" applyAlignment="1">
      <alignment horizontal="right"/>
    </xf>
    <xf numFmtId="41" fontId="2" fillId="0" borderId="50" xfId="3" applyNumberFormat="1" applyFont="1" applyBorder="1" applyAlignment="1">
      <alignment horizontal="center" vertical="top"/>
    </xf>
    <xf numFmtId="41" fontId="2" fillId="0" borderId="50" xfId="2" applyFont="1" applyBorder="1"/>
    <xf numFmtId="41" fontId="2" fillId="0" borderId="54" xfId="2" applyFont="1" applyBorder="1"/>
    <xf numFmtId="3" fontId="2" fillId="0" borderId="54" xfId="3" applyNumberFormat="1" applyFont="1" applyBorder="1"/>
    <xf numFmtId="0" fontId="2" fillId="0" borderId="54" xfId="3" applyFont="1" applyBorder="1"/>
    <xf numFmtId="0" fontId="8" fillId="0" borderId="0" xfId="0" applyFont="1" applyAlignment="1">
      <alignment horizontal="left"/>
    </xf>
    <xf numFmtId="41" fontId="2" fillId="0" borderId="6" xfId="0" applyNumberFormat="1" applyFont="1" applyBorder="1"/>
    <xf numFmtId="41" fontId="2" fillId="0" borderId="6" xfId="0" applyNumberFormat="1" applyFont="1" applyBorder="1" applyAlignment="1">
      <alignment vertical="center"/>
    </xf>
    <xf numFmtId="0" fontId="2" fillId="0" borderId="6" xfId="0" applyFont="1" applyBorder="1" applyAlignment="1">
      <alignment vertical="center" wrapText="1"/>
    </xf>
    <xf numFmtId="41" fontId="3" fillId="0" borderId="34" xfId="0" applyNumberFormat="1" applyFont="1" applyBorder="1" applyAlignment="1">
      <alignment horizontal="center" vertical="center"/>
    </xf>
    <xf numFmtId="41" fontId="4" fillId="0" borderId="0" xfId="0" applyNumberFormat="1" applyFont="1" applyAlignment="1">
      <alignment horizontal="center" vertical="center"/>
    </xf>
    <xf numFmtId="41" fontId="11" fillId="0" borderId="0" xfId="0" applyNumberFormat="1" applyFont="1"/>
    <xf numFmtId="41" fontId="3" fillId="0" borderId="1" xfId="0" applyNumberFormat="1" applyFont="1" applyBorder="1" applyAlignment="1">
      <alignment horizontal="center" vertical="center"/>
    </xf>
    <xf numFmtId="41" fontId="3" fillId="0" borderId="18" xfId="0" applyNumberFormat="1" applyFont="1" applyBorder="1" applyAlignment="1">
      <alignment horizontal="center" vertical="center"/>
    </xf>
    <xf numFmtId="0" fontId="14" fillId="0" borderId="0" xfId="0" applyFont="1"/>
    <xf numFmtId="0" fontId="14" fillId="0" borderId="0" xfId="0" applyFont="1" applyAlignment="1">
      <alignment horizontal="right"/>
    </xf>
    <xf numFmtId="41" fontId="2" fillId="0" borderId="0" xfId="0" applyNumberFormat="1" applyFont="1" applyAlignment="1">
      <alignment horizontal="center"/>
    </xf>
    <xf numFmtId="43" fontId="14" fillId="0" borderId="0" xfId="0" applyNumberFormat="1" applyFont="1"/>
    <xf numFmtId="41" fontId="3" fillId="0" borderId="0" xfId="0" applyNumberFormat="1" applyFont="1" applyAlignment="1">
      <alignment horizontal="center" vertical="center"/>
    </xf>
    <xf numFmtId="0" fontId="11" fillId="0" borderId="0" xfId="0" applyFont="1" applyAlignment="1">
      <alignment horizontal="right" vertical="center"/>
    </xf>
    <xf numFmtId="41" fontId="11" fillId="0" borderId="0" xfId="0" applyNumberFormat="1" applyFont="1" applyAlignment="1">
      <alignment horizontal="center" vertical="center"/>
    </xf>
    <xf numFmtId="43" fontId="11" fillId="0" borderId="0" xfId="0" applyNumberFormat="1" applyFont="1"/>
    <xf numFmtId="15" fontId="2" fillId="0" borderId="49" xfId="3" quotePrefix="1" applyNumberFormat="1" applyFont="1" applyBorder="1" applyAlignment="1">
      <alignment horizontal="center"/>
    </xf>
    <xf numFmtId="41" fontId="21" fillId="0" borderId="0" xfId="2" applyFont="1"/>
    <xf numFmtId="0" fontId="21" fillId="0" borderId="0" xfId="0" applyFont="1"/>
    <xf numFmtId="41" fontId="5" fillId="0" borderId="0" xfId="2" applyFont="1"/>
    <xf numFmtId="0" fontId="5" fillId="0" borderId="0" xfId="0" applyFont="1"/>
    <xf numFmtId="3" fontId="2" fillId="0" borderId="51" xfId="0" applyNumberFormat="1" applyFont="1" applyBorder="1" applyAlignment="1">
      <alignment horizontal="center"/>
    </xf>
    <xf numFmtId="41" fontId="2" fillId="0" borderId="52" xfId="4" applyFont="1" applyBorder="1"/>
    <xf numFmtId="41" fontId="20" fillId="0" borderId="0" xfId="2" applyFont="1"/>
    <xf numFmtId="15" fontId="2" fillId="0" borderId="50" xfId="3" quotePrefix="1" applyNumberFormat="1" applyFont="1" applyBorder="1" applyAlignment="1">
      <alignment horizontal="center"/>
    </xf>
    <xf numFmtId="0" fontId="0" fillId="0" borderId="0" xfId="0" applyAlignment="1">
      <alignment wrapText="1"/>
    </xf>
    <xf numFmtId="3" fontId="2" fillId="0" borderId="56" xfId="3" applyNumberFormat="1" applyFont="1" applyBorder="1" applyAlignment="1">
      <alignment horizontal="center"/>
    </xf>
    <xf numFmtId="41" fontId="2" fillId="0" borderId="50" xfId="4" applyFont="1" applyFill="1" applyBorder="1"/>
    <xf numFmtId="166" fontId="2" fillId="0" borderId="50" xfId="1" applyNumberFormat="1" applyFont="1" applyFill="1" applyBorder="1"/>
    <xf numFmtId="41" fontId="2" fillId="0" borderId="54" xfId="4" applyFont="1" applyFill="1" applyBorder="1"/>
    <xf numFmtId="41" fontId="2" fillId="0" borderId="56" xfId="2" applyFont="1" applyBorder="1" applyAlignment="1">
      <alignment horizontal="center"/>
    </xf>
    <xf numFmtId="41" fontId="11" fillId="0" borderId="56" xfId="2" applyFont="1" applyBorder="1" applyAlignment="1">
      <alignment horizontal="right"/>
    </xf>
    <xf numFmtId="41" fontId="11" fillId="0" borderId="50" xfId="2" applyFont="1" applyBorder="1" applyAlignment="1">
      <alignment horizontal="right"/>
    </xf>
    <xf numFmtId="3" fontId="2" fillId="0" borderId="0" xfId="0" applyNumberFormat="1" applyFont="1"/>
    <xf numFmtId="41" fontId="2" fillId="0" borderId="0" xfId="2" applyFont="1" applyAlignment="1">
      <alignment horizontal="left"/>
    </xf>
    <xf numFmtId="41" fontId="3" fillId="0" borderId="0" xfId="2" applyFont="1" applyAlignment="1">
      <alignment horizontal="left"/>
    </xf>
    <xf numFmtId="41" fontId="5" fillId="0" borderId="50" xfId="4" applyFont="1" applyBorder="1"/>
    <xf numFmtId="41" fontId="22" fillId="0" borderId="52" xfId="4" applyFont="1" applyBorder="1"/>
    <xf numFmtId="41" fontId="1" fillId="0" borderId="51" xfId="4" applyFont="1" applyBorder="1"/>
    <xf numFmtId="41" fontId="2" fillId="0" borderId="56" xfId="4" applyFont="1" applyFill="1" applyBorder="1"/>
    <xf numFmtId="41" fontId="1" fillId="0" borderId="0" xfId="2" applyFont="1"/>
    <xf numFmtId="41" fontId="26" fillId="0" borderId="0" xfId="2" applyFont="1"/>
    <xf numFmtId="41" fontId="2" fillId="0" borderId="56" xfId="2" applyFont="1" applyBorder="1"/>
    <xf numFmtId="0" fontId="2" fillId="0" borderId="0" xfId="0" quotePrefix="1" applyFont="1" applyAlignment="1">
      <alignment horizontal="center"/>
    </xf>
    <xf numFmtId="41" fontId="5" fillId="0" borderId="0" xfId="2" applyFont="1" applyFill="1" applyBorder="1"/>
    <xf numFmtId="41" fontId="2" fillId="0" borderId="0" xfId="2" applyFont="1" applyAlignment="1">
      <alignment horizontal="center" wrapText="1"/>
    </xf>
    <xf numFmtId="0" fontId="2" fillId="0" borderId="0" xfId="3" applyFont="1" applyAlignment="1">
      <alignment horizontal="center"/>
    </xf>
    <xf numFmtId="41" fontId="22" fillId="0" borderId="50" xfId="4" applyFont="1" applyBorder="1"/>
    <xf numFmtId="41" fontId="5" fillId="0" borderId="52" xfId="4" applyFont="1" applyBorder="1"/>
    <xf numFmtId="41" fontId="2" fillId="0" borderId="0" xfId="2" applyFont="1" applyBorder="1" applyAlignment="1">
      <alignment horizontal="center" wrapText="1"/>
    </xf>
    <xf numFmtId="41" fontId="2" fillId="0" borderId="51" xfId="2" applyFont="1" applyBorder="1"/>
    <xf numFmtId="0" fontId="2" fillId="0" borderId="57" xfId="0" applyFont="1" applyBorder="1"/>
    <xf numFmtId="15" fontId="2" fillId="0" borderId="58" xfId="3" quotePrefix="1" applyNumberFormat="1" applyFont="1" applyBorder="1" applyAlignment="1">
      <alignment horizontal="center"/>
    </xf>
    <xf numFmtId="0" fontId="2" fillId="0" borderId="54" xfId="3" applyFont="1" applyBorder="1" applyAlignment="1">
      <alignment horizontal="center"/>
    </xf>
    <xf numFmtId="3" fontId="8" fillId="0" borderId="0" xfId="3" applyNumberFormat="1" applyFont="1"/>
    <xf numFmtId="0" fontId="20" fillId="0" borderId="0" xfId="0" applyFont="1"/>
    <xf numFmtId="0" fontId="16" fillId="0" borderId="6" xfId="0" applyFont="1" applyBorder="1" applyAlignment="1">
      <alignment horizontal="left" vertical="center"/>
    </xf>
    <xf numFmtId="41" fontId="2" fillId="0" borderId="52" xfId="3" applyNumberFormat="1" applyFont="1" applyBorder="1"/>
    <xf numFmtId="15" fontId="2" fillId="0" borderId="59" xfId="3" quotePrefix="1" applyNumberFormat="1" applyFont="1" applyBorder="1" applyAlignment="1">
      <alignment horizontal="center"/>
    </xf>
    <xf numFmtId="0" fontId="2" fillId="0" borderId="59" xfId="3" applyFont="1" applyBorder="1" applyAlignment="1">
      <alignment horizontal="center"/>
    </xf>
    <xf numFmtId="0" fontId="2" fillId="0" borderId="59" xfId="3" applyFont="1" applyBorder="1"/>
    <xf numFmtId="3" fontId="2" fillId="0" borderId="59" xfId="3" applyNumberFormat="1" applyFont="1" applyBorder="1"/>
    <xf numFmtId="41" fontId="5" fillId="0" borderId="52" xfId="2" applyFont="1" applyBorder="1"/>
    <xf numFmtId="41" fontId="2" fillId="0" borderId="55" xfId="2" applyFont="1" applyBorder="1"/>
    <xf numFmtId="166" fontId="2" fillId="0" borderId="56" xfId="1" applyNumberFormat="1" applyFont="1" applyBorder="1" applyAlignment="1">
      <alignment horizontal="center"/>
    </xf>
    <xf numFmtId="166" fontId="2" fillId="0" borderId="54" xfId="1" applyNumberFormat="1" applyFont="1" applyFill="1" applyBorder="1"/>
    <xf numFmtId="3" fontId="11" fillId="0" borderId="0" xfId="0" applyNumberFormat="1" applyFont="1"/>
    <xf numFmtId="41" fontId="27" fillId="0" borderId="0" xfId="0" applyNumberFormat="1" applyFont="1" applyAlignment="1">
      <alignment horizontal="center" vertical="center"/>
    </xf>
    <xf numFmtId="0" fontId="27" fillId="0" borderId="0" xfId="0" applyFont="1" applyAlignment="1">
      <alignment horizontal="center" vertical="center"/>
    </xf>
    <xf numFmtId="41" fontId="5" fillId="0" borderId="0" xfId="0" applyNumberFormat="1" applyFont="1"/>
    <xf numFmtId="41" fontId="2" fillId="0" borderId="52" xfId="2" applyFont="1" applyBorder="1"/>
    <xf numFmtId="166" fontId="11" fillId="0" borderId="56" xfId="1" applyNumberFormat="1" applyFont="1" applyBorder="1" applyAlignment="1">
      <alignment horizontal="right"/>
    </xf>
    <xf numFmtId="166" fontId="11" fillId="0" borderId="50" xfId="1" applyNumberFormat="1" applyFont="1" applyFill="1" applyBorder="1" applyAlignment="1">
      <alignment horizontal="right"/>
    </xf>
    <xf numFmtId="166" fontId="2" fillId="0" borderId="54" xfId="1" applyNumberFormat="1" applyFont="1" applyBorder="1"/>
    <xf numFmtId="0" fontId="19" fillId="0" borderId="54" xfId="3" applyFont="1" applyBorder="1"/>
    <xf numFmtId="165" fontId="28" fillId="0" borderId="0" xfId="4" applyNumberFormat="1" applyFont="1"/>
    <xf numFmtId="166" fontId="2" fillId="0" borderId="56" xfId="1" applyNumberFormat="1" applyFont="1" applyFill="1" applyBorder="1" applyAlignment="1">
      <alignment horizontal="center"/>
    </xf>
    <xf numFmtId="166" fontId="0" fillId="0" borderId="0" xfId="0" applyNumberFormat="1"/>
    <xf numFmtId="13" fontId="2" fillId="0" borderId="6" xfId="2" applyNumberFormat="1" applyFont="1" applyFill="1" applyBorder="1" applyAlignment="1">
      <alignment horizontal="center"/>
    </xf>
    <xf numFmtId="41" fontId="11" fillId="0" borderId="0" xfId="0" applyNumberFormat="1" applyFont="1" applyAlignment="1">
      <alignment horizontal="left"/>
    </xf>
    <xf numFmtId="0" fontId="29" fillId="0" borderId="0" xfId="0" applyFont="1" applyAlignment="1">
      <alignment horizontal="center" wrapText="1"/>
    </xf>
    <xf numFmtId="41" fontId="14" fillId="0" borderId="0" xfId="0" applyNumberFormat="1" applyFont="1" applyAlignment="1">
      <alignment horizontal="left" vertical="center"/>
    </xf>
    <xf numFmtId="41" fontId="14" fillId="0" borderId="50" xfId="4" applyFont="1" applyBorder="1"/>
    <xf numFmtId="166" fontId="8" fillId="0" borderId="0" xfId="3" applyNumberFormat="1" applyFont="1"/>
    <xf numFmtId="0" fontId="2" fillId="0" borderId="11"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1" xfId="0" applyFont="1" applyBorder="1" applyAlignment="1">
      <alignment horizontal="left" vertical="center" wrapText="1"/>
    </xf>
    <xf numFmtId="0" fontId="11" fillId="0" borderId="21" xfId="0" quotePrefix="1" applyFont="1" applyBorder="1" applyAlignment="1">
      <alignment horizontal="center" vertical="center"/>
    </xf>
    <xf numFmtId="0" fontId="11" fillId="0" borderId="21" xfId="0" applyFont="1" applyBorder="1" applyAlignment="1">
      <alignment horizontal="left" vertical="center"/>
    </xf>
    <xf numFmtId="0" fontId="11" fillId="0" borderId="11" xfId="0" applyFont="1" applyBorder="1" applyAlignment="1">
      <alignment horizontal="center" vertical="center"/>
    </xf>
    <xf numFmtId="43" fontId="11" fillId="0" borderId="6" xfId="0" applyNumberFormat="1" applyFont="1" applyBorder="1" applyAlignment="1">
      <alignment horizontal="center" vertical="center"/>
    </xf>
    <xf numFmtId="0" fontId="30" fillId="0" borderId="0" xfId="0" applyFont="1"/>
    <xf numFmtId="0" fontId="3" fillId="0" borderId="60" xfId="0" applyFont="1" applyBorder="1" applyAlignment="1">
      <alignment horizontal="center" vertical="center"/>
    </xf>
    <xf numFmtId="0" fontId="3" fillId="0" borderId="21" xfId="0" applyFont="1" applyBorder="1" applyAlignment="1">
      <alignment horizontal="center" vertical="center"/>
    </xf>
    <xf numFmtId="166" fontId="4" fillId="0" borderId="0" xfId="1" applyNumberFormat="1" applyFont="1" applyFill="1" applyBorder="1" applyAlignment="1">
      <alignment horizontal="center" vertical="center"/>
    </xf>
    <xf numFmtId="1" fontId="5" fillId="0" borderId="11" xfId="2" applyNumberFormat="1" applyFont="1" applyFill="1" applyBorder="1"/>
    <xf numFmtId="0" fontId="2" fillId="0" borderId="14" xfId="0" applyFont="1" applyBorder="1" applyAlignment="1">
      <alignment horizontal="center"/>
    </xf>
    <xf numFmtId="41" fontId="2" fillId="0" borderId="14" xfId="2" applyFont="1" applyFill="1" applyBorder="1" applyAlignment="1">
      <alignment horizontal="center"/>
    </xf>
    <xf numFmtId="0" fontId="0" fillId="0" borderId="0" xfId="0" quotePrefix="1"/>
    <xf numFmtId="0" fontId="6" fillId="0" borderId="21" xfId="0" applyFont="1" applyBorder="1" applyAlignment="1">
      <alignment horizontal="left"/>
    </xf>
    <xf numFmtId="0" fontId="31" fillId="0" borderId="21" xfId="0" applyFont="1" applyBorder="1" applyAlignment="1">
      <alignment horizontal="left"/>
    </xf>
    <xf numFmtId="0" fontId="32" fillId="0" borderId="0" xfId="0" applyFont="1" applyAlignment="1">
      <alignment horizontal="center" vertical="center"/>
    </xf>
    <xf numFmtId="0" fontId="32" fillId="0" borderId="0" xfId="0" applyFont="1" applyAlignment="1">
      <alignment horizontal="left" vertical="center"/>
    </xf>
    <xf numFmtId="0" fontId="32" fillId="0" borderId="0" xfId="0" applyFont="1" applyAlignment="1">
      <alignment vertical="center"/>
    </xf>
    <xf numFmtId="41" fontId="11" fillId="0" borderId="0" xfId="2" applyFont="1" applyBorder="1"/>
    <xf numFmtId="41" fontId="2" fillId="0" borderId="21" xfId="2" applyFont="1" applyBorder="1" applyAlignment="1">
      <alignment horizontal="center" wrapText="1"/>
    </xf>
    <xf numFmtId="0" fontId="16" fillId="0" borderId="21" xfId="0" applyFont="1" applyBorder="1"/>
    <xf numFmtId="3" fontId="16" fillId="0" borderId="21" xfId="0" applyNumberFormat="1" applyFont="1" applyBorder="1" applyAlignment="1">
      <alignment horizontal="left"/>
    </xf>
    <xf numFmtId="0" fontId="16" fillId="0" borderId="21" xfId="0" applyFont="1" applyBorder="1" applyAlignment="1">
      <alignment horizontal="left" vertical="center" wrapText="1"/>
    </xf>
    <xf numFmtId="0" fontId="16" fillId="0" borderId="11" xfId="0" applyFont="1" applyBorder="1" applyAlignment="1">
      <alignment horizontal="left" vertical="center" wrapText="1"/>
    </xf>
    <xf numFmtId="16" fontId="2" fillId="0" borderId="6" xfId="0" quotePrefix="1" applyNumberFormat="1" applyFont="1" applyBorder="1" applyAlignment="1">
      <alignment horizontal="center" vertical="center"/>
    </xf>
    <xf numFmtId="0" fontId="2" fillId="0" borderId="21" xfId="0" applyFont="1" applyBorder="1" applyAlignment="1">
      <alignment horizontal="center"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0" fontId="2" fillId="0" borderId="21" xfId="0" applyFont="1" applyBorder="1" applyAlignment="1">
      <alignment horizontal="left" vertical="top"/>
    </xf>
    <xf numFmtId="0" fontId="2" fillId="0" borderId="0" xfId="0" applyFont="1" applyAlignment="1">
      <alignment horizontal="left" vertical="top" wrapText="1"/>
    </xf>
    <xf numFmtId="164" fontId="2" fillId="0" borderId="0" xfId="0" applyNumberFormat="1" applyFont="1"/>
    <xf numFmtId="0" fontId="2" fillId="0" borderId="0" xfId="0" quotePrefix="1" applyFont="1"/>
    <xf numFmtId="0" fontId="4" fillId="0" borderId="11" xfId="0" applyFont="1" applyBorder="1" applyAlignment="1">
      <alignment horizontal="left" vertical="center" wrapText="1"/>
    </xf>
    <xf numFmtId="166" fontId="0" fillId="0" borderId="0" xfId="1" applyNumberFormat="1" applyFont="1"/>
    <xf numFmtId="43" fontId="0" fillId="0" borderId="6" xfId="0" applyNumberFormat="1" applyBorder="1"/>
    <xf numFmtId="0" fontId="0" fillId="0" borderId="11" xfId="0" applyBorder="1"/>
    <xf numFmtId="0" fontId="2" fillId="0" borderId="39" xfId="0" applyFont="1" applyBorder="1" applyAlignment="1">
      <alignment horizontal="left"/>
    </xf>
    <xf numFmtId="43" fontId="11" fillId="0" borderId="6" xfId="0" applyNumberFormat="1" applyFont="1" applyBorder="1"/>
    <xf numFmtId="43" fontId="11" fillId="0" borderId="14" xfId="0" applyNumberFormat="1" applyFont="1" applyBorder="1"/>
    <xf numFmtId="0" fontId="8" fillId="0" borderId="11" xfId="0" applyFont="1" applyBorder="1" applyAlignment="1">
      <alignment horizontal="center" vertical="center" wrapText="1"/>
    </xf>
    <xf numFmtId="0" fontId="2" fillId="0" borderId="21" xfId="0" applyFont="1" applyBorder="1" applyAlignment="1">
      <alignment vertical="center" wrapText="1"/>
    </xf>
    <xf numFmtId="0" fontId="2" fillId="0" borderId="11" xfId="0" applyFont="1" applyBorder="1" applyAlignment="1">
      <alignment vertical="center" wrapText="1"/>
    </xf>
    <xf numFmtId="0" fontId="2" fillId="0" borderId="14" xfId="0" applyFont="1" applyBorder="1" applyAlignment="1">
      <alignment horizontal="center" vertical="center"/>
    </xf>
    <xf numFmtId="16" fontId="2" fillId="0" borderId="6" xfId="0" applyNumberFormat="1" applyFont="1" applyBorder="1" applyAlignment="1">
      <alignment horizontal="center" vertical="center"/>
    </xf>
    <xf numFmtId="16" fontId="11" fillId="0" borderId="5" xfId="0" applyNumberFormat="1" applyFont="1" applyBorder="1" applyAlignment="1">
      <alignment horizontal="center"/>
    </xf>
    <xf numFmtId="16" fontId="11" fillId="0" borderId="5" xfId="0" quotePrefix="1" applyNumberFormat="1" applyFont="1" applyBorder="1" applyAlignment="1">
      <alignment horizontal="center"/>
    </xf>
    <xf numFmtId="0" fontId="11" fillId="0" borderId="61" xfId="0" applyFont="1" applyBorder="1" applyAlignment="1">
      <alignment horizontal="center"/>
    </xf>
    <xf numFmtId="0" fontId="11" fillId="0" borderId="12" xfId="0" applyFont="1" applyBorder="1" applyAlignment="1">
      <alignment horizontal="center"/>
    </xf>
    <xf numFmtId="0" fontId="11" fillId="0" borderId="62" xfId="0" applyFont="1" applyBorder="1" applyAlignment="1">
      <alignment horizontal="left"/>
    </xf>
    <xf numFmtId="0" fontId="11" fillId="0" borderId="45" xfId="0" applyFont="1" applyBorder="1" applyAlignment="1">
      <alignment horizontal="left"/>
    </xf>
    <xf numFmtId="3" fontId="11" fillId="0" borderId="63" xfId="0" applyNumberFormat="1" applyFont="1" applyBorder="1" applyAlignment="1">
      <alignment horizontal="right"/>
    </xf>
    <xf numFmtId="166" fontId="11" fillId="0" borderId="6" xfId="1" applyNumberFormat="1" applyFont="1" applyBorder="1"/>
    <xf numFmtId="0" fontId="4" fillId="0" borderId="27" xfId="0" applyFont="1" applyBorder="1" applyAlignment="1">
      <alignment horizontal="center" vertical="center"/>
    </xf>
    <xf numFmtId="0" fontId="4" fillId="0" borderId="26" xfId="0" applyFont="1" applyBorder="1" applyAlignment="1">
      <alignment horizontal="center" vertical="center"/>
    </xf>
    <xf numFmtId="0" fontId="2" fillId="0" borderId="27" xfId="0" applyFont="1" applyBorder="1" applyAlignment="1">
      <alignment horizontal="center"/>
    </xf>
    <xf numFmtId="0" fontId="2" fillId="0" borderId="40" xfId="0" applyFont="1" applyBorder="1" applyAlignment="1">
      <alignment horizontal="center"/>
    </xf>
    <xf numFmtId="0" fontId="2" fillId="0" borderId="26" xfId="0" applyFont="1" applyBorder="1" applyAlignment="1">
      <alignment horizontal="center"/>
    </xf>
    <xf numFmtId="166" fontId="2" fillId="0" borderId="52" xfId="1" applyNumberFormat="1" applyFont="1" applyBorder="1"/>
    <xf numFmtId="0" fontId="2" fillId="0" borderId="0" xfId="0" applyFont="1" applyAlignment="1">
      <alignment vertical="center" wrapText="1"/>
    </xf>
    <xf numFmtId="0" fontId="23" fillId="0" borderId="21" xfId="0" applyFont="1" applyBorder="1" applyAlignment="1">
      <alignment wrapText="1"/>
    </xf>
    <xf numFmtId="0" fontId="0" fillId="0" borderId="0" xfId="3" applyFont="1" applyAlignment="1">
      <alignment horizontal="center"/>
    </xf>
    <xf numFmtId="0" fontId="1" fillId="0" borderId="0" xfId="3" applyAlignment="1">
      <alignment horizontal="center"/>
    </xf>
    <xf numFmtId="0" fontId="7" fillId="0" borderId="32" xfId="3" applyFont="1" applyBorder="1" applyAlignment="1">
      <alignment horizontal="center"/>
    </xf>
    <xf numFmtId="0" fontId="7" fillId="0" borderId="33" xfId="3" applyFont="1" applyBorder="1" applyAlignment="1">
      <alignment horizontal="center"/>
    </xf>
    <xf numFmtId="0" fontId="7" fillId="0" borderId="34" xfId="3" applyFont="1" applyBorder="1" applyAlignment="1">
      <alignment horizontal="center"/>
    </xf>
    <xf numFmtId="0" fontId="0" fillId="0" borderId="22" xfId="3" applyFont="1" applyBorder="1" applyAlignment="1">
      <alignment horizontal="center" vertical="center"/>
    </xf>
    <xf numFmtId="0" fontId="1" fillId="0" borderId="31" xfId="3" applyBorder="1" applyAlignment="1">
      <alignment horizontal="center" vertical="center"/>
    </xf>
    <xf numFmtId="0" fontId="1" fillId="0" borderId="36" xfId="3" applyBorder="1" applyAlignment="1">
      <alignment horizontal="center" vertical="center"/>
    </xf>
    <xf numFmtId="0" fontId="1" fillId="0" borderId="35" xfId="3" applyBorder="1" applyAlignment="1">
      <alignment horizontal="center" vertical="center"/>
    </xf>
    <xf numFmtId="0" fontId="1" fillId="0" borderId="37" xfId="3" applyBorder="1" applyAlignment="1">
      <alignment horizontal="center" vertical="center"/>
    </xf>
    <xf numFmtId="0" fontId="1" fillId="0" borderId="38" xfId="3" applyBorder="1" applyAlignment="1">
      <alignment horizontal="center" vertical="center"/>
    </xf>
    <xf numFmtId="0" fontId="8" fillId="0" borderId="0" xfId="3" applyFont="1" applyAlignment="1">
      <alignment horizontal="center"/>
    </xf>
    <xf numFmtId="0" fontId="0" fillId="0" borderId="31" xfId="3" applyFont="1" applyBorder="1" applyAlignment="1">
      <alignment horizontal="center" vertical="center"/>
    </xf>
    <xf numFmtId="0" fontId="0" fillId="0" borderId="36" xfId="3" applyFont="1" applyBorder="1" applyAlignment="1">
      <alignment horizontal="center" vertical="center"/>
    </xf>
    <xf numFmtId="0" fontId="0" fillId="0" borderId="35" xfId="3" applyFont="1" applyBorder="1" applyAlignment="1">
      <alignment horizontal="center" vertical="center"/>
    </xf>
    <xf numFmtId="0" fontId="0" fillId="0" borderId="37" xfId="3" applyFont="1" applyBorder="1" applyAlignment="1">
      <alignment horizontal="center" vertical="center"/>
    </xf>
    <xf numFmtId="0" fontId="0" fillId="0" borderId="38" xfId="3" applyFont="1" applyBorder="1" applyAlignment="1">
      <alignment horizontal="center" vertical="center"/>
    </xf>
    <xf numFmtId="0" fontId="12" fillId="0" borderId="22" xfId="3" applyFont="1" applyBorder="1" applyAlignment="1">
      <alignment horizontal="center" vertical="center"/>
    </xf>
    <xf numFmtId="0" fontId="12" fillId="0" borderId="31" xfId="3" applyFont="1" applyBorder="1" applyAlignment="1">
      <alignment horizontal="center" vertical="center"/>
    </xf>
    <xf numFmtId="0" fontId="12" fillId="0" borderId="36" xfId="3" applyFont="1" applyBorder="1" applyAlignment="1">
      <alignment horizontal="center" vertical="center"/>
    </xf>
    <xf numFmtId="0" fontId="12" fillId="0" borderId="35" xfId="3" applyFont="1" applyBorder="1" applyAlignment="1">
      <alignment horizontal="center" vertical="center"/>
    </xf>
    <xf numFmtId="0" fontId="12" fillId="0" borderId="37" xfId="3" applyFont="1" applyBorder="1" applyAlignment="1">
      <alignment horizontal="center" vertical="center"/>
    </xf>
    <xf numFmtId="0" fontId="12" fillId="0" borderId="38" xfId="3" applyFont="1" applyBorder="1" applyAlignment="1">
      <alignment horizontal="center" vertical="center"/>
    </xf>
    <xf numFmtId="0" fontId="0" fillId="0" borderId="0" xfId="0" applyAlignment="1">
      <alignment horizontal="center"/>
    </xf>
    <xf numFmtId="0" fontId="0" fillId="0" borderId="20" xfId="0" applyBorder="1" applyAlignment="1">
      <alignment horizontal="center" vertical="center"/>
    </xf>
    <xf numFmtId="0" fontId="0" fillId="0" borderId="16"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3" fontId="0" fillId="0" borderId="27" xfId="0" applyNumberFormat="1" applyBorder="1" applyAlignment="1">
      <alignment horizontal="center"/>
    </xf>
    <xf numFmtId="3" fontId="0" fillId="0" borderId="40" xfId="0" applyNumberFormat="1" applyBorder="1" applyAlignment="1">
      <alignment horizontal="center"/>
    </xf>
    <xf numFmtId="3" fontId="0" fillId="0" borderId="26" xfId="0" applyNumberFormat="1" applyBorder="1" applyAlignment="1">
      <alignment horizontal="center"/>
    </xf>
    <xf numFmtId="0" fontId="2" fillId="0" borderId="0" xfId="3" applyFont="1" applyAlignment="1">
      <alignment horizontal="center"/>
    </xf>
    <xf numFmtId="0" fontId="2" fillId="0" borderId="1" xfId="3" applyFont="1" applyBorder="1" applyAlignment="1">
      <alignment horizontal="center" vertical="center"/>
    </xf>
    <xf numFmtId="0" fontId="2" fillId="0" borderId="27" xfId="3" applyFont="1" applyBorder="1" applyAlignment="1">
      <alignment horizontal="center" vertical="center"/>
    </xf>
    <xf numFmtId="0" fontId="2" fillId="0" borderId="26" xfId="3" applyFont="1" applyBorder="1" applyAlignment="1">
      <alignment horizontal="center" vertical="center"/>
    </xf>
    <xf numFmtId="41" fontId="2" fillId="0" borderId="27" xfId="4" applyFont="1" applyBorder="1" applyAlignment="1">
      <alignment horizontal="center"/>
    </xf>
    <xf numFmtId="41" fontId="2" fillId="0" borderId="40" xfId="4" applyFont="1" applyBorder="1" applyAlignment="1">
      <alignment horizontal="center"/>
    </xf>
    <xf numFmtId="41" fontId="2" fillId="0" borderId="26" xfId="4" applyFont="1" applyBorder="1" applyAlignment="1">
      <alignment horizontal="center"/>
    </xf>
    <xf numFmtId="0" fontId="2" fillId="0" borderId="9" xfId="3" applyFont="1" applyBorder="1" applyAlignment="1">
      <alignment horizontal="center" vertical="center"/>
    </xf>
    <xf numFmtId="0" fontId="2" fillId="0" borderId="6" xfId="3" applyFont="1" applyBorder="1" applyAlignment="1">
      <alignment horizontal="center" vertical="center"/>
    </xf>
    <xf numFmtId="41" fontId="2" fillId="0" borderId="9" xfId="4" applyFont="1" applyBorder="1" applyAlignment="1">
      <alignment horizontal="center" vertical="center"/>
    </xf>
    <xf numFmtId="41" fontId="2" fillId="0" borderId="6" xfId="4" applyFont="1" applyBorder="1" applyAlignment="1">
      <alignment horizontal="center" vertical="center"/>
    </xf>
    <xf numFmtId="41" fontId="2" fillId="0" borderId="14" xfId="4" applyFont="1" applyBorder="1" applyAlignment="1">
      <alignment horizontal="center" vertical="center"/>
    </xf>
    <xf numFmtId="0" fontId="2" fillId="0" borderId="14" xfId="3" applyFont="1" applyBorder="1" applyAlignment="1">
      <alignment horizontal="center" vertical="center"/>
    </xf>
    <xf numFmtId="41" fontId="2" fillId="0" borderId="21" xfId="2" applyFont="1" applyBorder="1" applyAlignment="1">
      <alignment horizontal="center" wrapText="1"/>
    </xf>
    <xf numFmtId="41" fontId="2" fillId="0" borderId="0" xfId="2" applyFont="1" applyAlignment="1">
      <alignment horizontal="center" wrapText="1"/>
    </xf>
    <xf numFmtId="0" fontId="2" fillId="0" borderId="0" xfId="0" applyFont="1" applyAlignment="1">
      <alignment horizontal="center" wrapText="1"/>
    </xf>
    <xf numFmtId="0" fontId="2" fillId="0" borderId="21" xfId="0" applyFont="1" applyBorder="1" applyAlignment="1">
      <alignment horizontal="center"/>
    </xf>
    <xf numFmtId="0" fontId="2" fillId="0" borderId="0" xfId="0" applyFont="1" applyAlignment="1">
      <alignment horizontal="center"/>
    </xf>
    <xf numFmtId="0" fontId="8" fillId="0" borderId="1" xfId="3" applyFont="1" applyBorder="1" applyAlignment="1">
      <alignment horizontal="center" vertical="center"/>
    </xf>
    <xf numFmtId="0" fontId="8" fillId="0" borderId="40" xfId="3" applyFont="1" applyBorder="1" applyAlignment="1">
      <alignment horizontal="center"/>
    </xf>
    <xf numFmtId="0" fontId="8" fillId="0" borderId="26" xfId="3" applyFont="1" applyBorder="1" applyAlignment="1">
      <alignment horizontal="center"/>
    </xf>
    <xf numFmtId="0" fontId="8" fillId="0" borderId="9" xfId="3" applyFont="1" applyBorder="1" applyAlignment="1">
      <alignment horizontal="center" vertical="center"/>
    </xf>
    <xf numFmtId="0" fontId="8" fillId="0" borderId="6" xfId="3" applyFont="1" applyBorder="1" applyAlignment="1">
      <alignment horizontal="center" vertical="center"/>
    </xf>
    <xf numFmtId="0" fontId="8" fillId="0" borderId="37" xfId="3" applyFont="1" applyBorder="1" applyAlignment="1">
      <alignment horizontal="center" vertical="center"/>
    </xf>
    <xf numFmtId="0" fontId="8" fillId="0" borderId="39" xfId="3" applyFont="1" applyBorder="1" applyAlignment="1">
      <alignment horizontal="center" vertical="center"/>
    </xf>
    <xf numFmtId="0" fontId="8" fillId="0" borderId="27" xfId="3" applyFont="1" applyBorder="1" applyAlignment="1">
      <alignment horizontal="center" vertical="center"/>
    </xf>
    <xf numFmtId="0" fontId="8" fillId="0" borderId="26" xfId="3" applyFont="1" applyBorder="1" applyAlignment="1">
      <alignment horizontal="center" vertical="center"/>
    </xf>
    <xf numFmtId="0" fontId="23" fillId="0" borderId="0" xfId="0" applyFont="1" applyAlignment="1">
      <alignment horizontal="center" wrapText="1"/>
    </xf>
    <xf numFmtId="0" fontId="6" fillId="0" borderId="21" xfId="0" applyFont="1" applyBorder="1" applyAlignment="1">
      <alignment horizontal="left" vertical="center" wrapText="1"/>
    </xf>
    <xf numFmtId="0" fontId="6" fillId="0" borderId="11" xfId="0" applyFont="1" applyBorder="1" applyAlignment="1">
      <alignment horizontal="left" vertical="center" wrapText="1"/>
    </xf>
    <xf numFmtId="0" fontId="9" fillId="0" borderId="4" xfId="0" applyFont="1" applyBorder="1" applyAlignment="1">
      <alignment horizontal="center" vertical="center" wrapText="1"/>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4" fillId="0" borderId="0" xfId="0" applyFont="1" applyAlignment="1">
      <alignment horizontal="center" vertical="center"/>
    </xf>
    <xf numFmtId="0" fontId="2" fillId="0" borderId="21" xfId="0" applyFont="1" applyBorder="1" applyAlignment="1">
      <alignment horizontal="left" vertical="center" wrapText="1"/>
    </xf>
    <xf numFmtId="0" fontId="2" fillId="0" borderId="11" xfId="0" applyFont="1" applyBorder="1" applyAlignment="1">
      <alignment horizontal="left" vertical="center" wrapText="1"/>
    </xf>
    <xf numFmtId="0" fontId="6" fillId="0" borderId="21" xfId="0" applyFont="1" applyBorder="1" applyAlignment="1">
      <alignment horizontal="center" vertical="center" wrapText="1"/>
    </xf>
    <xf numFmtId="0" fontId="6" fillId="0" borderId="11" xfId="0" applyFont="1" applyBorder="1" applyAlignment="1">
      <alignment horizontal="center" vertical="center" wrapText="1"/>
    </xf>
    <xf numFmtId="0" fontId="16" fillId="0" borderId="21" xfId="0" applyFont="1" applyBorder="1" applyAlignment="1">
      <alignment horizontal="left" vertical="center" wrapText="1"/>
    </xf>
    <xf numFmtId="0" fontId="16" fillId="0" borderId="11" xfId="0" applyFont="1" applyBorder="1" applyAlignment="1">
      <alignment horizontal="left" vertical="center" wrapText="1"/>
    </xf>
    <xf numFmtId="0" fontId="4" fillId="0" borderId="21" xfId="0" applyFont="1" applyBorder="1" applyAlignment="1">
      <alignment horizontal="left" vertical="center" wrapText="1"/>
    </xf>
    <xf numFmtId="0" fontId="4" fillId="0" borderId="11" xfId="0" applyFont="1" applyBorder="1" applyAlignment="1">
      <alignment horizontal="left" vertical="center" wrapText="1"/>
    </xf>
    <xf numFmtId="0" fontId="9" fillId="0" borderId="41" xfId="0" applyFont="1" applyBorder="1" applyAlignment="1">
      <alignment horizontal="center" vertical="center" wrapText="1"/>
    </xf>
    <xf numFmtId="0" fontId="9" fillId="0" borderId="42" xfId="0" applyFont="1" applyBorder="1" applyAlignment="1">
      <alignment horizontal="center" vertical="center" wrapText="1"/>
    </xf>
    <xf numFmtId="0" fontId="3" fillId="0" borderId="1" xfId="0" applyFont="1" applyBorder="1" applyAlignment="1">
      <alignment horizontal="center" vertical="center"/>
    </xf>
    <xf numFmtId="0" fontId="3" fillId="0" borderId="18" xfId="0" applyFont="1" applyBorder="1" applyAlignment="1">
      <alignment horizontal="center" vertical="center"/>
    </xf>
    <xf numFmtId="0" fontId="3" fillId="0" borderId="0" xfId="0" applyFont="1" applyAlignment="1">
      <alignment horizontal="center" vertical="center"/>
    </xf>
    <xf numFmtId="0" fontId="11" fillId="0" borderId="0" xfId="0" applyFont="1" applyAlignment="1">
      <alignment horizontal="center" vertical="center"/>
    </xf>
    <xf numFmtId="0" fontId="3" fillId="0" borderId="27" xfId="0" applyFont="1" applyBorder="1" applyAlignment="1">
      <alignment horizontal="center" vertical="center"/>
    </xf>
    <xf numFmtId="0" fontId="3" fillId="0" borderId="40" xfId="0" applyFont="1" applyBorder="1" applyAlignment="1">
      <alignment horizontal="center" vertical="center"/>
    </xf>
    <xf numFmtId="0" fontId="3" fillId="0" borderId="26" xfId="0" applyFont="1" applyBorder="1" applyAlignment="1">
      <alignment horizontal="center" vertical="center"/>
    </xf>
    <xf numFmtId="0" fontId="4" fillId="0" borderId="4" xfId="0" applyFont="1" applyBorder="1" applyAlignment="1">
      <alignment horizontal="center" vertical="center"/>
    </xf>
    <xf numFmtId="0" fontId="4" fillId="0" borderId="27" xfId="0" applyFont="1" applyBorder="1" applyAlignment="1">
      <alignment horizontal="center" vertical="center"/>
    </xf>
    <xf numFmtId="0" fontId="4" fillId="0" borderId="40" xfId="0" applyFont="1" applyBorder="1" applyAlignment="1">
      <alignment horizontal="center" vertical="center"/>
    </xf>
    <xf numFmtId="0" fontId="4" fillId="0" borderId="26" xfId="0" applyFont="1" applyBorder="1" applyAlignment="1">
      <alignment horizontal="center" vertical="center"/>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4" xfId="0" applyFont="1" applyBorder="1" applyAlignment="1">
      <alignment horizontal="center" vertical="center" wrapText="1"/>
    </xf>
    <xf numFmtId="41" fontId="4" fillId="0" borderId="27" xfId="2" applyFont="1" applyBorder="1" applyAlignment="1">
      <alignment horizontal="center" vertical="center"/>
    </xf>
    <xf numFmtId="41" fontId="4" fillId="0" borderId="26" xfId="2" applyFont="1" applyBorder="1" applyAlignment="1">
      <alignment horizontal="center" vertical="center"/>
    </xf>
    <xf numFmtId="41" fontId="4" fillId="0" borderId="27" xfId="2" applyFont="1" applyBorder="1" applyAlignment="1">
      <alignment horizontal="center" vertical="center" wrapText="1"/>
    </xf>
    <xf numFmtId="41" fontId="4" fillId="0" borderId="40" xfId="2" applyFont="1" applyBorder="1" applyAlignment="1">
      <alignment horizontal="center" vertical="center" wrapText="1"/>
    </xf>
    <xf numFmtId="41" fontId="4" fillId="0" borderId="26" xfId="2" applyFont="1" applyBorder="1" applyAlignment="1">
      <alignment horizontal="center" vertical="center" wrapText="1"/>
    </xf>
    <xf numFmtId="41" fontId="4" fillId="0" borderId="27" xfId="2" applyFont="1" applyBorder="1" applyAlignment="1">
      <alignment horizontal="center"/>
    </xf>
    <xf numFmtId="41" fontId="4" fillId="0" borderId="40" xfId="2" applyFont="1" applyBorder="1" applyAlignment="1">
      <alignment horizontal="center"/>
    </xf>
    <xf numFmtId="41" fontId="4" fillId="0" borderId="26" xfId="2" applyFont="1" applyBorder="1" applyAlignment="1">
      <alignment horizontal="center"/>
    </xf>
    <xf numFmtId="41" fontId="4" fillId="0" borderId="40" xfId="2" applyFont="1" applyBorder="1" applyAlignment="1">
      <alignment horizontal="center" vertical="center"/>
    </xf>
    <xf numFmtId="0" fontId="4" fillId="0" borderId="0" xfId="0" applyFont="1" applyAlignment="1">
      <alignment horizontal="center"/>
    </xf>
    <xf numFmtId="0" fontId="4" fillId="0" borderId="27" xfId="0" applyFont="1" applyBorder="1" applyAlignment="1">
      <alignment horizontal="center"/>
    </xf>
    <xf numFmtId="0" fontId="4" fillId="0" borderId="26" xfId="0" applyFont="1" applyBorder="1" applyAlignment="1">
      <alignment horizontal="center"/>
    </xf>
    <xf numFmtId="0" fontId="4" fillId="0" borderId="9" xfId="0" applyFont="1" applyBorder="1" applyAlignment="1">
      <alignment horizontal="center" vertical="center"/>
    </xf>
    <xf numFmtId="0" fontId="4" fillId="0" borderId="6" xfId="0" applyFont="1" applyBorder="1" applyAlignment="1">
      <alignment horizontal="center" vertical="center"/>
    </xf>
    <xf numFmtId="0" fontId="4" fillId="0" borderId="14" xfId="0" applyFont="1" applyBorder="1" applyAlignment="1">
      <alignment horizontal="center" vertical="center"/>
    </xf>
    <xf numFmtId="41" fontId="4" fillId="0" borderId="22" xfId="2" applyFont="1" applyBorder="1" applyAlignment="1">
      <alignment horizontal="center" vertical="center" wrapText="1"/>
    </xf>
    <xf numFmtId="41" fontId="4" fillId="0" borderId="31" xfId="2" applyFont="1" applyBorder="1" applyAlignment="1">
      <alignment horizontal="center" vertical="center" wrapText="1"/>
    </xf>
    <xf numFmtId="41" fontId="4" fillId="0" borderId="8" xfId="2" applyFont="1" applyBorder="1" applyAlignment="1">
      <alignment horizontal="center" vertical="center" wrapText="1"/>
    </xf>
    <xf numFmtId="0" fontId="29" fillId="0" borderId="0" xfId="0" applyFont="1" applyAlignment="1">
      <alignment horizontal="center" wrapText="1"/>
    </xf>
    <xf numFmtId="0" fontId="8" fillId="0" borderId="0" xfId="0" applyFont="1" applyAlignment="1">
      <alignment horizontal="center"/>
    </xf>
    <xf numFmtId="0" fontId="4" fillId="0" borderId="27"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26" xfId="0" applyFont="1" applyBorder="1" applyAlignment="1">
      <alignment horizontal="center" vertical="center" wrapText="1"/>
    </xf>
    <xf numFmtId="0" fontId="11" fillId="0" borderId="0" xfId="0" applyFont="1" applyAlignment="1">
      <alignment horizontal="center"/>
    </xf>
    <xf numFmtId="41" fontId="3" fillId="0" borderId="1" xfId="0" applyNumberFormat="1" applyFont="1" applyBorder="1" applyAlignment="1">
      <alignment horizontal="center" vertical="center"/>
    </xf>
    <xf numFmtId="41" fontId="3" fillId="0" borderId="18" xfId="0" applyNumberFormat="1" applyFont="1" applyBorder="1" applyAlignment="1">
      <alignment horizontal="center" vertical="center"/>
    </xf>
    <xf numFmtId="41" fontId="3" fillId="0" borderId="0" xfId="0" applyNumberFormat="1" applyFont="1" applyAlignment="1">
      <alignment horizontal="center" vertical="center"/>
    </xf>
    <xf numFmtId="41" fontId="3" fillId="0" borderId="32" xfId="0" applyNumberFormat="1" applyFont="1" applyBorder="1" applyAlignment="1">
      <alignment horizontal="center" vertical="center"/>
    </xf>
    <xf numFmtId="41" fontId="3" fillId="0" borderId="34" xfId="0" applyNumberFormat="1" applyFont="1" applyBorder="1" applyAlignment="1">
      <alignment horizontal="center" vertical="center"/>
    </xf>
    <xf numFmtId="41" fontId="3" fillId="0" borderId="27" xfId="0" applyNumberFormat="1" applyFont="1" applyBorder="1" applyAlignment="1">
      <alignment horizontal="center" vertical="center"/>
    </xf>
    <xf numFmtId="41" fontId="3" fillId="0" borderId="26" xfId="0" applyNumberFormat="1" applyFont="1" applyBorder="1" applyAlignment="1">
      <alignment horizontal="center" vertical="center"/>
    </xf>
    <xf numFmtId="0" fontId="4" fillId="0" borderId="0" xfId="0" applyFont="1" applyAlignment="1">
      <alignment horizontal="center" vertical="center" wrapText="1"/>
    </xf>
    <xf numFmtId="166" fontId="9" fillId="0" borderId="0" xfId="1" applyNumberFormat="1" applyFont="1" applyFill="1" applyBorder="1" applyAlignment="1">
      <alignment horizontal="center"/>
    </xf>
    <xf numFmtId="0" fontId="4" fillId="0" borderId="1" xfId="0" applyFont="1" applyBorder="1" applyAlignment="1">
      <alignment horizontal="center" vertical="center"/>
    </xf>
    <xf numFmtId="0" fontId="2" fillId="0" borderId="27" xfId="0" applyFont="1" applyBorder="1" applyAlignment="1">
      <alignment horizontal="center"/>
    </xf>
    <xf numFmtId="0" fontId="2" fillId="0" borderId="40" xfId="0" applyFont="1" applyBorder="1" applyAlignment="1">
      <alignment horizontal="center"/>
    </xf>
    <xf numFmtId="0" fontId="2" fillId="0" borderId="26" xfId="0" applyFont="1" applyBorder="1" applyAlignment="1">
      <alignment horizontal="center"/>
    </xf>
    <xf numFmtId="0" fontId="2" fillId="0" borderId="32" xfId="0" applyFont="1" applyBorder="1" applyAlignment="1">
      <alignment horizontal="center"/>
    </xf>
    <xf numFmtId="0" fontId="2" fillId="0" borderId="33" xfId="0" applyFont="1" applyBorder="1" applyAlignment="1">
      <alignment horizontal="center"/>
    </xf>
    <xf numFmtId="0" fontId="2" fillId="0" borderId="34" xfId="0" applyFont="1" applyBorder="1" applyAlignment="1">
      <alignment horizontal="center"/>
    </xf>
    <xf numFmtId="166" fontId="8" fillId="0" borderId="0" xfId="1" applyNumberFormat="1" applyFont="1" applyFill="1" applyBorder="1" applyAlignment="1">
      <alignment horizontal="center"/>
    </xf>
    <xf numFmtId="0" fontId="9" fillId="0" borderId="0" xfId="0" applyFont="1" applyAlignment="1">
      <alignment horizontal="center"/>
    </xf>
    <xf numFmtId="0" fontId="4" fillId="2" borderId="0" xfId="0" applyFont="1" applyFill="1" applyAlignment="1">
      <alignment horizontal="center" vertical="center"/>
    </xf>
    <xf numFmtId="0" fontId="4" fillId="2" borderId="26" xfId="0" applyFont="1" applyFill="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166" fontId="2" fillId="0" borderId="0" xfId="1" applyNumberFormat="1" applyFont="1" applyFill="1" applyBorder="1" applyAlignment="1">
      <alignment horizontal="center"/>
    </xf>
    <xf numFmtId="0" fontId="4" fillId="0" borderId="43" xfId="0" applyFont="1" applyBorder="1" applyAlignment="1">
      <alignment horizontal="center" vertical="center"/>
    </xf>
    <xf numFmtId="0" fontId="3" fillId="0" borderId="41"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42" xfId="0" applyFont="1" applyBorder="1" applyAlignment="1">
      <alignment horizontal="center" vertical="center" wrapText="1"/>
    </xf>
    <xf numFmtId="0" fontId="33" fillId="0" borderId="21" xfId="0" applyFont="1" applyBorder="1" applyAlignment="1">
      <alignment horizontal="left" wrapText="1"/>
    </xf>
    <xf numFmtId="0" fontId="33" fillId="0" borderId="0" xfId="0" applyFont="1" applyAlignment="1">
      <alignment horizontal="left" wrapText="1"/>
    </xf>
    <xf numFmtId="0" fontId="33" fillId="0" borderId="11" xfId="0" applyFont="1" applyBorder="1" applyAlignment="1">
      <alignment horizontal="left" wrapText="1"/>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3" fillId="0" borderId="21" xfId="0" applyFont="1" applyBorder="1" applyAlignment="1">
      <alignment horizontal="center" wrapText="1"/>
    </xf>
    <xf numFmtId="0" fontId="33" fillId="0" borderId="0" xfId="0" applyFont="1" applyAlignment="1">
      <alignment horizontal="center" wrapText="1"/>
    </xf>
    <xf numFmtId="0" fontId="33" fillId="0" borderId="11" xfId="0" applyFont="1" applyBorder="1" applyAlignment="1">
      <alignment horizontal="center" wrapText="1"/>
    </xf>
    <xf numFmtId="0" fontId="15" fillId="0" borderId="21" xfId="0" applyFont="1" applyBorder="1" applyAlignment="1">
      <alignment horizontal="center" wrapText="1"/>
    </xf>
    <xf numFmtId="0" fontId="15" fillId="0" borderId="0" xfId="0" applyFont="1" applyAlignment="1">
      <alignment horizontal="center" wrapText="1"/>
    </xf>
    <xf numFmtId="0" fontId="15" fillId="0" borderId="11" xfId="0" applyFont="1" applyBorder="1" applyAlignment="1">
      <alignment horizont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vertical="center"/>
    </xf>
    <xf numFmtId="0" fontId="2" fillId="0" borderId="18" xfId="0" applyFont="1" applyBorder="1" applyAlignment="1">
      <alignment horizontal="center" vertical="center"/>
    </xf>
    <xf numFmtId="0" fontId="2" fillId="0" borderId="2"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xf>
    <xf numFmtId="0" fontId="2" fillId="0" borderId="4" xfId="0" applyFont="1" applyBorder="1" applyAlignment="1">
      <alignment horizontal="center"/>
    </xf>
    <xf numFmtId="0" fontId="2" fillId="0" borderId="4" xfId="0" applyFont="1" applyBorder="1" applyAlignment="1">
      <alignment horizontal="center" vertical="center"/>
    </xf>
    <xf numFmtId="0" fontId="2" fillId="0" borderId="3" xfId="0" applyFont="1" applyBorder="1" applyAlignment="1">
      <alignment horizont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3" fontId="2" fillId="0" borderId="18" xfId="3" applyNumberFormat="1" applyFont="1" applyFill="1" applyBorder="1"/>
    <xf numFmtId="3" fontId="2" fillId="0" borderId="0" xfId="3" applyNumberFormat="1" applyFont="1" applyFill="1"/>
    <xf numFmtId="41" fontId="2" fillId="0" borderId="14" xfId="2" applyFont="1" applyFill="1" applyBorder="1"/>
    <xf numFmtId="41" fontId="2" fillId="0" borderId="0" xfId="2" applyFont="1" applyFill="1" applyAlignment="1">
      <alignment horizontal="left"/>
    </xf>
    <xf numFmtId="3" fontId="2" fillId="0" borderId="0" xfId="0" applyNumberFormat="1" applyFont="1" applyFill="1" applyAlignment="1">
      <alignment horizontal="right"/>
    </xf>
  </cellXfs>
  <cellStyles count="6">
    <cellStyle name="Comma" xfId="1" builtinId="3"/>
    <cellStyle name="Comma [0]" xfId="2" builtinId="6"/>
    <cellStyle name="Comma [0] 4" xfId="4" xr:uid="{CA6B03EA-E60E-4886-B8DE-EE7A9544A8F6}"/>
    <cellStyle name="Explanatory Text" xfId="5" builtinId="53"/>
    <cellStyle name="Normal" xfId="0" builtinId="0"/>
    <cellStyle name="Normal 2" xfId="3" xr:uid="{00000000-0005-0000-0000-000003000000}"/>
  </cellStyles>
  <dxfs count="0"/>
  <tableStyles count="0" defaultTableStyle="TableStyleMedium9" defaultPivotStyle="PivotStyleLight16"/>
  <colors>
    <mruColors>
      <color rgb="FFFF99FF"/>
      <color rgb="FFCC99FF"/>
      <color rgb="FF99FFCC"/>
      <color rgb="FFFF99CC"/>
      <color rgb="FFCCFF99"/>
      <color rgb="FFFF66CC"/>
      <color rgb="FFFFFFFF"/>
      <color rgb="FFEDFEB8"/>
      <color rgb="FFCCECFF"/>
      <color rgb="FF365D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lvina%20-%202026\Rekap%20Data%20Keuangan%202026\Jurnal%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JURNAL%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PTRNA"/>
      <sheetName val="BKM"/>
      <sheetName val="JPK. RA"/>
      <sheetName val="JPK.RNA"/>
    </sheetNames>
    <sheetDataSet>
      <sheetData sheetId="0"/>
      <sheetData sheetId="1">
        <row r="18">
          <cell r="D18">
            <v>0</v>
          </cell>
        </row>
        <row r="567">
          <cell r="I567" t="str">
            <v>No. KM/17/I/2026</v>
          </cell>
        </row>
        <row r="602">
          <cell r="I602" t="str">
            <v>No. KM/18/I/2026</v>
          </cell>
        </row>
        <row r="637">
          <cell r="I637" t="str">
            <v>No. KM/19/I/2026</v>
          </cell>
        </row>
        <row r="672">
          <cell r="I672" t="str">
            <v>No. KM/20/I/2026</v>
          </cell>
        </row>
        <row r="707">
          <cell r="I707" t="str">
            <v>No. KM/21/I/2026</v>
          </cell>
        </row>
        <row r="742">
          <cell r="I742" t="str">
            <v>No. KM/22/I/2026</v>
          </cell>
        </row>
        <row r="777">
          <cell r="I777" t="str">
            <v>No. KM/23/I/2026</v>
          </cell>
        </row>
        <row r="812">
          <cell r="I812" t="str">
            <v>No. KM/24/I/2026</v>
          </cell>
        </row>
        <row r="847">
          <cell r="I847" t="str">
            <v>No. KM/25/I/2026</v>
          </cell>
        </row>
        <row r="882">
          <cell r="I882" t="str">
            <v>No. KM/26/I/2026</v>
          </cell>
        </row>
        <row r="917">
          <cell r="I917" t="str">
            <v>No. KM/27/I/2026</v>
          </cell>
        </row>
        <row r="952">
          <cell r="I952" t="str">
            <v>No. KM/28/I/2026</v>
          </cell>
        </row>
        <row r="987">
          <cell r="I987" t="str">
            <v>No. KM/29/I/2026</v>
          </cell>
        </row>
        <row r="1022">
          <cell r="I1022" t="str">
            <v>No. KM/30/I/2026</v>
          </cell>
        </row>
        <row r="1057">
          <cell r="I1057" t="str">
            <v>No. KM/31/I/2026</v>
          </cell>
        </row>
      </sheetData>
      <sheetData sheetId="2">
        <row r="45">
          <cell r="D45">
            <v>484958175</v>
          </cell>
        </row>
      </sheetData>
      <sheetData sheetId="3">
        <row r="43">
          <cell r="D43">
            <v>40123300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PTRNA"/>
      <sheetName val="BKM"/>
      <sheetName val="JPK. RA"/>
      <sheetName val="JPK.RNA"/>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54"/>
  <sheetViews>
    <sheetView view="pageLayout" topLeftCell="A48" zoomScale="78" zoomScaleNormal="79" zoomScalePageLayoutView="78" workbookViewId="0">
      <selection activeCell="B62" sqref="B62"/>
    </sheetView>
  </sheetViews>
  <sheetFormatPr defaultRowHeight="15" x14ac:dyDescent="0.25"/>
  <cols>
    <col min="1" max="1" width="5.85546875" customWidth="1"/>
    <col min="2" max="2" width="39" customWidth="1"/>
    <col min="3" max="3" width="14.5703125" customWidth="1"/>
    <col min="4" max="4" width="11.140625" customWidth="1"/>
    <col min="5" max="5" width="19.140625" customWidth="1"/>
  </cols>
  <sheetData>
    <row r="1" spans="1:5" x14ac:dyDescent="0.25">
      <c r="A1" s="108" t="s">
        <v>0</v>
      </c>
      <c r="B1" s="109"/>
      <c r="C1" s="110"/>
      <c r="D1" s="109"/>
      <c r="E1" s="109"/>
    </row>
    <row r="2" spans="1:5" x14ac:dyDescent="0.25">
      <c r="A2" s="108" t="s">
        <v>1</v>
      </c>
      <c r="B2" s="109"/>
      <c r="C2" s="110"/>
      <c r="D2" s="109"/>
      <c r="E2" s="109"/>
    </row>
    <row r="3" spans="1:5" x14ac:dyDescent="0.25">
      <c r="A3" s="108"/>
      <c r="B3" s="109"/>
      <c r="C3" s="110"/>
      <c r="D3" s="109"/>
      <c r="E3" s="109"/>
    </row>
    <row r="4" spans="1:5" x14ac:dyDescent="0.25">
      <c r="A4" s="122" t="s">
        <v>98</v>
      </c>
      <c r="B4" s="111"/>
      <c r="C4" s="111"/>
      <c r="D4" s="111"/>
      <c r="E4" s="111"/>
    </row>
    <row r="5" spans="1:5" x14ac:dyDescent="0.25">
      <c r="A5" s="575" t="s">
        <v>3584</v>
      </c>
      <c r="B5" s="576"/>
      <c r="C5" s="576"/>
      <c r="D5" s="576"/>
      <c r="E5" s="576"/>
    </row>
    <row r="6" spans="1:5" x14ac:dyDescent="0.25">
      <c r="A6" s="111"/>
      <c r="B6" s="111"/>
      <c r="C6" s="111"/>
      <c r="D6" s="111"/>
      <c r="E6" s="111"/>
    </row>
    <row r="7" spans="1:5" ht="15.75" thickBot="1" x14ac:dyDescent="0.3">
      <c r="A7" s="109"/>
      <c r="B7" s="109"/>
      <c r="C7" s="110"/>
      <c r="D7" s="109"/>
      <c r="E7" s="124" t="s">
        <v>3585</v>
      </c>
    </row>
    <row r="8" spans="1:5" x14ac:dyDescent="0.25">
      <c r="A8" s="112" t="s">
        <v>21</v>
      </c>
      <c r="B8" s="113" t="s">
        <v>96</v>
      </c>
      <c r="C8" s="113" t="s">
        <v>97</v>
      </c>
      <c r="D8" s="113" t="s">
        <v>91</v>
      </c>
      <c r="E8" s="114" t="s">
        <v>15</v>
      </c>
    </row>
    <row r="9" spans="1:5" x14ac:dyDescent="0.25">
      <c r="A9" s="115">
        <v>1</v>
      </c>
      <c r="B9" s="116"/>
      <c r="C9" s="117"/>
      <c r="D9" s="118"/>
      <c r="E9" s="119"/>
    </row>
    <row r="10" spans="1:5" x14ac:dyDescent="0.25">
      <c r="A10" s="115">
        <v>2</v>
      </c>
      <c r="B10" s="580" t="s">
        <v>1556</v>
      </c>
      <c r="C10" s="581"/>
      <c r="D10" s="581"/>
      <c r="E10" s="582"/>
    </row>
    <row r="11" spans="1:5" x14ac:dyDescent="0.25">
      <c r="A11" s="115">
        <v>3</v>
      </c>
      <c r="B11" s="583"/>
      <c r="C11" s="584"/>
      <c r="D11" s="584"/>
      <c r="E11" s="585"/>
    </row>
    <row r="12" spans="1:5" x14ac:dyDescent="0.25">
      <c r="A12" s="115">
        <v>4</v>
      </c>
      <c r="B12" s="116"/>
      <c r="C12" s="117"/>
      <c r="D12" s="118"/>
      <c r="E12" s="119"/>
    </row>
    <row r="13" spans="1:5" x14ac:dyDescent="0.25">
      <c r="A13" s="115"/>
      <c r="B13" s="116"/>
      <c r="C13" s="117"/>
      <c r="D13" s="118"/>
      <c r="E13" s="119"/>
    </row>
    <row r="14" spans="1:5" ht="15.75" thickBot="1" x14ac:dyDescent="0.3">
      <c r="A14" s="120"/>
      <c r="B14" s="577" t="s">
        <v>15</v>
      </c>
      <c r="C14" s="578"/>
      <c r="D14" s="579"/>
      <c r="E14" s="121">
        <f>SUM(E9:E13)</f>
        <v>0</v>
      </c>
    </row>
    <row r="15" spans="1:5" x14ac:dyDescent="0.25">
      <c r="A15" s="109"/>
      <c r="B15" s="109"/>
      <c r="C15" s="110"/>
      <c r="D15" s="109"/>
      <c r="E15" s="109"/>
    </row>
    <row r="16" spans="1:5" x14ac:dyDescent="0.25">
      <c r="A16" s="109"/>
      <c r="B16" s="109"/>
      <c r="C16" s="110"/>
      <c r="D16" s="123" t="s">
        <v>3586</v>
      </c>
      <c r="E16" s="109"/>
    </row>
    <row r="17" spans="1:5" x14ac:dyDescent="0.25">
      <c r="A17" s="109"/>
      <c r="B17" s="109"/>
      <c r="C17" s="110"/>
      <c r="D17" s="123" t="s">
        <v>100</v>
      </c>
      <c r="E17" s="109"/>
    </row>
    <row r="54" spans="1:5" x14ac:dyDescent="0.25">
      <c r="A54" s="109"/>
      <c r="B54" s="109"/>
      <c r="C54" s="110"/>
      <c r="D54" s="123"/>
      <c r="E54" s="109"/>
    </row>
  </sheetData>
  <mergeCells count="3">
    <mergeCell ref="A5:E5"/>
    <mergeCell ref="B14:D14"/>
    <mergeCell ref="B10:E11"/>
  </mergeCells>
  <pageMargins left="0.70866141732283472" right="0.70866141732283472" top="0.74803149606299213" bottom="0.74803149606299213" header="0.31496062992125984" footer="0.31496062992125984"/>
  <pageSetup paperSize="9" scale="95"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79"/>
  <sheetViews>
    <sheetView showWhiteSpace="0" view="pageLayout" topLeftCell="A156" zoomScale="80" zoomScaleNormal="79" zoomScalePageLayoutView="80" workbookViewId="0">
      <selection activeCell="D179" sqref="D179"/>
    </sheetView>
  </sheetViews>
  <sheetFormatPr defaultRowHeight="15" x14ac:dyDescent="0.25"/>
  <cols>
    <col min="1" max="1" width="5.85546875" customWidth="1"/>
    <col min="2" max="2" width="34.140625" customWidth="1"/>
    <col min="3" max="3" width="14.5703125" customWidth="1"/>
    <col min="4" max="4" width="15.5703125" customWidth="1"/>
    <col min="5" max="5" width="19.140625" customWidth="1"/>
  </cols>
  <sheetData>
    <row r="1" spans="1:5" x14ac:dyDescent="0.25">
      <c r="A1" s="125" t="s">
        <v>0</v>
      </c>
      <c r="B1" s="126"/>
      <c r="C1" s="177"/>
      <c r="D1" s="126"/>
      <c r="E1" s="126"/>
    </row>
    <row r="2" spans="1:5" x14ac:dyDescent="0.25">
      <c r="A2" s="125" t="s">
        <v>1</v>
      </c>
      <c r="B2" s="126"/>
      <c r="C2" s="177"/>
      <c r="D2" s="126"/>
      <c r="E2" s="126"/>
    </row>
    <row r="3" spans="1:5" x14ac:dyDescent="0.25">
      <c r="A3" s="125"/>
      <c r="B3" s="126"/>
      <c r="C3" s="177"/>
      <c r="D3" s="126"/>
      <c r="E3" s="126"/>
    </row>
    <row r="4" spans="1:5" x14ac:dyDescent="0.25">
      <c r="A4" s="127" t="s">
        <v>98</v>
      </c>
      <c r="B4" s="127"/>
      <c r="C4" s="127"/>
      <c r="D4" s="127"/>
      <c r="E4" s="127"/>
    </row>
    <row r="5" spans="1:5" x14ac:dyDescent="0.25">
      <c r="A5" s="586" t="s">
        <v>3584</v>
      </c>
      <c r="B5" s="586"/>
      <c r="C5" s="586"/>
      <c r="D5" s="586"/>
      <c r="E5" s="586"/>
    </row>
    <row r="6" spans="1:5" x14ac:dyDescent="0.25">
      <c r="A6" s="127"/>
      <c r="B6" s="127"/>
      <c r="C6" s="127"/>
      <c r="D6" s="127"/>
      <c r="E6" s="127"/>
    </row>
    <row r="7" spans="1:5" ht="15.75" thickBot="1" x14ac:dyDescent="0.3">
      <c r="A7" s="126"/>
      <c r="B7" s="126"/>
      <c r="C7" s="177"/>
      <c r="D7" s="126"/>
      <c r="E7" s="126" t="s">
        <v>3587</v>
      </c>
    </row>
    <row r="8" spans="1:5" x14ac:dyDescent="0.25">
      <c r="A8" s="128" t="s">
        <v>21</v>
      </c>
      <c r="B8" s="129" t="s">
        <v>96</v>
      </c>
      <c r="C8" s="129" t="s">
        <v>97</v>
      </c>
      <c r="D8" s="129" t="s">
        <v>91</v>
      </c>
      <c r="E8" s="130" t="s">
        <v>15</v>
      </c>
    </row>
    <row r="9" spans="1:5" x14ac:dyDescent="0.25">
      <c r="A9" s="131">
        <v>1</v>
      </c>
      <c r="B9" s="132" t="s">
        <v>3605</v>
      </c>
      <c r="C9" s="133"/>
      <c r="D9" s="134"/>
      <c r="E9" s="135">
        <f>875000*3</f>
        <v>2625000</v>
      </c>
    </row>
    <row r="10" spans="1:5" x14ac:dyDescent="0.25">
      <c r="A10" s="131">
        <f>A9+1</f>
        <v>2</v>
      </c>
      <c r="B10" s="132"/>
      <c r="C10" s="133"/>
      <c r="D10" s="134"/>
      <c r="E10" s="135"/>
    </row>
    <row r="11" spans="1:5" x14ac:dyDescent="0.25">
      <c r="A11" s="131">
        <f t="shared" ref="A11:A15" si="0">A10+1</f>
        <v>3</v>
      </c>
      <c r="B11" s="132"/>
      <c r="C11" s="133"/>
      <c r="D11" s="134"/>
      <c r="E11" s="135"/>
    </row>
    <row r="12" spans="1:5" x14ac:dyDescent="0.25">
      <c r="A12" s="131">
        <f t="shared" si="0"/>
        <v>4</v>
      </c>
      <c r="B12" s="132"/>
      <c r="C12" s="133"/>
      <c r="D12" s="134"/>
      <c r="E12" s="135"/>
    </row>
    <row r="13" spans="1:5" x14ac:dyDescent="0.25">
      <c r="A13" s="131">
        <f t="shared" si="0"/>
        <v>5</v>
      </c>
      <c r="B13" s="132"/>
      <c r="C13" s="133"/>
      <c r="D13" s="134"/>
      <c r="E13" s="135"/>
    </row>
    <row r="14" spans="1:5" x14ac:dyDescent="0.25">
      <c r="A14" s="131">
        <f t="shared" si="0"/>
        <v>6</v>
      </c>
      <c r="B14" s="132"/>
      <c r="C14" s="133"/>
      <c r="D14" s="134"/>
      <c r="E14" s="135"/>
    </row>
    <row r="15" spans="1:5" x14ac:dyDescent="0.25">
      <c r="A15" s="131">
        <f t="shared" si="0"/>
        <v>7</v>
      </c>
      <c r="B15" s="132"/>
      <c r="C15" s="133"/>
      <c r="D15" s="134"/>
      <c r="E15" s="135"/>
    </row>
    <row r="16" spans="1:5" x14ac:dyDescent="0.25">
      <c r="A16" s="136"/>
      <c r="B16" s="132"/>
      <c r="C16" s="133"/>
      <c r="D16" s="134"/>
      <c r="E16" s="137"/>
    </row>
    <row r="17" spans="1:5" ht="15.75" thickBot="1" x14ac:dyDescent="0.3">
      <c r="A17" s="138"/>
      <c r="B17" s="139" t="s">
        <v>15</v>
      </c>
      <c r="C17" s="140"/>
      <c r="D17" s="141"/>
      <c r="E17" s="142">
        <f>SUM(E9:E15)</f>
        <v>2625000</v>
      </c>
    </row>
    <row r="18" spans="1:5" x14ac:dyDescent="0.25">
      <c r="A18" s="126"/>
      <c r="B18" s="126"/>
      <c r="C18" s="177"/>
      <c r="E18" s="126"/>
    </row>
    <row r="19" spans="1:5" x14ac:dyDescent="0.25">
      <c r="A19" s="143"/>
      <c r="B19" s="143"/>
      <c r="C19" s="143"/>
      <c r="D19" s="125" t="s">
        <v>3604</v>
      </c>
      <c r="E19" s="143"/>
    </row>
    <row r="20" spans="1:5" x14ac:dyDescent="0.25">
      <c r="A20" s="143"/>
      <c r="B20" s="143"/>
      <c r="C20" s="143"/>
      <c r="D20" s="143"/>
      <c r="E20" s="143"/>
    </row>
    <row r="54" spans="1:5" x14ac:dyDescent="0.25">
      <c r="A54" s="125" t="s">
        <v>0</v>
      </c>
      <c r="B54" s="126"/>
      <c r="C54" s="177"/>
      <c r="D54" s="126"/>
      <c r="E54" s="126"/>
    </row>
    <row r="55" spans="1:5" x14ac:dyDescent="0.25">
      <c r="A55" s="125" t="s">
        <v>1</v>
      </c>
      <c r="B55" s="126"/>
      <c r="C55" s="177"/>
      <c r="D55" s="126"/>
      <c r="E55" s="126"/>
    </row>
    <row r="56" spans="1:5" x14ac:dyDescent="0.25">
      <c r="A56" s="125"/>
      <c r="B56" s="126"/>
      <c r="C56" s="177"/>
      <c r="D56" s="126"/>
      <c r="E56" s="126"/>
    </row>
    <row r="57" spans="1:5" x14ac:dyDescent="0.25">
      <c r="A57" s="127" t="s">
        <v>98</v>
      </c>
      <c r="B57" s="127"/>
      <c r="C57" s="127"/>
      <c r="D57" s="127"/>
      <c r="E57" s="127"/>
    </row>
    <row r="58" spans="1:5" x14ac:dyDescent="0.25">
      <c r="A58" s="586" t="s">
        <v>3584</v>
      </c>
      <c r="B58" s="586"/>
      <c r="C58" s="586"/>
      <c r="D58" s="586"/>
      <c r="E58" s="586"/>
    </row>
    <row r="59" spans="1:5" x14ac:dyDescent="0.25">
      <c r="A59" s="127"/>
      <c r="B59" s="127"/>
      <c r="C59" s="127"/>
      <c r="D59" s="127"/>
      <c r="E59" s="127"/>
    </row>
    <row r="60" spans="1:5" ht="15.75" thickBot="1" x14ac:dyDescent="0.3">
      <c r="A60" s="126"/>
      <c r="B60" s="126"/>
      <c r="C60" s="177"/>
      <c r="D60" s="126"/>
      <c r="E60" s="126" t="s">
        <v>3629</v>
      </c>
    </row>
    <row r="61" spans="1:5" x14ac:dyDescent="0.25">
      <c r="A61" s="128" t="s">
        <v>21</v>
      </c>
      <c r="B61" s="129" t="s">
        <v>96</v>
      </c>
      <c r="C61" s="129" t="s">
        <v>97</v>
      </c>
      <c r="D61" s="129" t="s">
        <v>91</v>
      </c>
      <c r="E61" s="130" t="s">
        <v>15</v>
      </c>
    </row>
    <row r="62" spans="1:5" x14ac:dyDescent="0.25">
      <c r="A62" s="131">
        <v>1</v>
      </c>
      <c r="B62" s="132" t="s">
        <v>3630</v>
      </c>
      <c r="C62" s="133"/>
      <c r="D62" s="134"/>
      <c r="E62" s="135">
        <f>19*875000</f>
        <v>16625000</v>
      </c>
    </row>
    <row r="63" spans="1:5" x14ac:dyDescent="0.25">
      <c r="A63" s="131">
        <f>A62+1</f>
        <v>2</v>
      </c>
      <c r="B63" s="132"/>
      <c r="C63" s="133"/>
      <c r="D63" s="134"/>
      <c r="E63" s="135"/>
    </row>
    <row r="64" spans="1:5" x14ac:dyDescent="0.25">
      <c r="A64" s="131">
        <f t="shared" ref="A64:A68" si="1">A63+1</f>
        <v>3</v>
      </c>
      <c r="B64" s="132"/>
      <c r="C64" s="133"/>
      <c r="D64" s="134"/>
      <c r="E64" s="135"/>
    </row>
    <row r="65" spans="1:5" x14ac:dyDescent="0.25">
      <c r="A65" s="131">
        <f t="shared" si="1"/>
        <v>4</v>
      </c>
      <c r="B65" s="132"/>
      <c r="C65" s="133"/>
      <c r="D65" s="134"/>
      <c r="E65" s="135"/>
    </row>
    <row r="66" spans="1:5" x14ac:dyDescent="0.25">
      <c r="A66" s="131">
        <f t="shared" si="1"/>
        <v>5</v>
      </c>
      <c r="B66" s="132"/>
      <c r="C66" s="133"/>
      <c r="D66" s="134"/>
      <c r="E66" s="135"/>
    </row>
    <row r="67" spans="1:5" x14ac:dyDescent="0.25">
      <c r="A67" s="131">
        <f t="shared" si="1"/>
        <v>6</v>
      </c>
      <c r="B67" s="132"/>
      <c r="C67" s="133"/>
      <c r="D67" s="134"/>
      <c r="E67" s="135"/>
    </row>
    <row r="68" spans="1:5" x14ac:dyDescent="0.25">
      <c r="A68" s="131">
        <f t="shared" si="1"/>
        <v>7</v>
      </c>
      <c r="B68" s="132"/>
      <c r="C68" s="133"/>
      <c r="D68" s="134"/>
      <c r="E68" s="135"/>
    </row>
    <row r="69" spans="1:5" x14ac:dyDescent="0.25">
      <c r="A69" s="136"/>
      <c r="B69" s="132"/>
      <c r="C69" s="133"/>
      <c r="D69" s="134"/>
      <c r="E69" s="137"/>
    </row>
    <row r="70" spans="1:5" ht="15.75" thickBot="1" x14ac:dyDescent="0.3">
      <c r="A70" s="138"/>
      <c r="B70" s="139" t="s">
        <v>15</v>
      </c>
      <c r="C70" s="140"/>
      <c r="D70" s="141"/>
      <c r="E70" s="142">
        <f>SUM(E62:E68)</f>
        <v>16625000</v>
      </c>
    </row>
    <row r="71" spans="1:5" x14ac:dyDescent="0.25">
      <c r="A71" s="126"/>
      <c r="B71" s="126"/>
      <c r="C71" s="177"/>
      <c r="E71" s="126"/>
    </row>
    <row r="72" spans="1:5" x14ac:dyDescent="0.25">
      <c r="A72" s="143"/>
      <c r="B72" s="143"/>
      <c r="C72" s="143"/>
      <c r="D72" s="125" t="s">
        <v>3625</v>
      </c>
      <c r="E72" s="143"/>
    </row>
    <row r="73" spans="1:5" x14ac:dyDescent="0.25">
      <c r="A73" s="143"/>
      <c r="B73" s="143"/>
      <c r="C73" s="143"/>
      <c r="D73" s="143"/>
      <c r="E73" s="143"/>
    </row>
    <row r="107" spans="1:5" x14ac:dyDescent="0.25">
      <c r="A107" s="125" t="s">
        <v>0</v>
      </c>
      <c r="B107" s="126"/>
      <c r="C107" s="177"/>
      <c r="D107" s="126"/>
      <c r="E107" s="126"/>
    </row>
    <row r="108" spans="1:5" x14ac:dyDescent="0.25">
      <c r="A108" s="125" t="s">
        <v>1</v>
      </c>
      <c r="B108" s="126"/>
      <c r="C108" s="177"/>
      <c r="D108" s="126"/>
      <c r="E108" s="126"/>
    </row>
    <row r="109" spans="1:5" x14ac:dyDescent="0.25">
      <c r="A109" s="125"/>
      <c r="B109" s="126"/>
      <c r="C109" s="177"/>
      <c r="D109" s="126"/>
      <c r="E109" s="126"/>
    </row>
    <row r="110" spans="1:5" x14ac:dyDescent="0.25">
      <c r="A110" s="127" t="s">
        <v>98</v>
      </c>
      <c r="B110" s="127"/>
      <c r="C110" s="127"/>
      <c r="D110" s="127"/>
      <c r="E110" s="127"/>
    </row>
    <row r="111" spans="1:5" x14ac:dyDescent="0.25">
      <c r="A111" s="586" t="s">
        <v>3584</v>
      </c>
      <c r="B111" s="586"/>
      <c r="C111" s="586"/>
      <c r="D111" s="586"/>
      <c r="E111" s="586"/>
    </row>
    <row r="112" spans="1:5" x14ac:dyDescent="0.25">
      <c r="A112" s="127"/>
      <c r="B112" s="127"/>
      <c r="C112" s="127"/>
      <c r="D112" s="127"/>
      <c r="E112" s="127"/>
    </row>
    <row r="113" spans="1:5" ht="15.75" thickBot="1" x14ac:dyDescent="0.3">
      <c r="A113" s="126"/>
      <c r="B113" s="126"/>
      <c r="C113" s="177"/>
      <c r="D113" s="126"/>
      <c r="E113" s="126" t="s">
        <v>3647</v>
      </c>
    </row>
    <row r="114" spans="1:5" x14ac:dyDescent="0.25">
      <c r="A114" s="128" t="s">
        <v>21</v>
      </c>
      <c r="B114" s="129" t="s">
        <v>96</v>
      </c>
      <c r="C114" s="129" t="s">
        <v>97</v>
      </c>
      <c r="D114" s="129" t="s">
        <v>91</v>
      </c>
      <c r="E114" s="130" t="s">
        <v>15</v>
      </c>
    </row>
    <row r="115" spans="1:5" x14ac:dyDescent="0.25">
      <c r="A115" s="131">
        <v>1</v>
      </c>
      <c r="B115" s="132" t="s">
        <v>3648</v>
      </c>
      <c r="C115" s="133"/>
      <c r="D115" s="134"/>
      <c r="E115" s="135">
        <v>100000</v>
      </c>
    </row>
    <row r="116" spans="1:5" x14ac:dyDescent="0.25">
      <c r="A116" s="131">
        <f>A115+1</f>
        <v>2</v>
      </c>
      <c r="B116" s="132"/>
      <c r="C116" s="133"/>
      <c r="D116" s="134"/>
      <c r="E116" s="135"/>
    </row>
    <row r="117" spans="1:5" x14ac:dyDescent="0.25">
      <c r="A117" s="131">
        <f t="shared" ref="A117:A121" si="2">A116+1</f>
        <v>3</v>
      </c>
      <c r="B117" s="132"/>
      <c r="C117" s="133"/>
      <c r="D117" s="134"/>
      <c r="E117" s="135"/>
    </row>
    <row r="118" spans="1:5" x14ac:dyDescent="0.25">
      <c r="A118" s="131">
        <f t="shared" si="2"/>
        <v>4</v>
      </c>
      <c r="B118" s="132"/>
      <c r="C118" s="133"/>
      <c r="D118" s="134"/>
      <c r="E118" s="135"/>
    </row>
    <row r="119" spans="1:5" x14ac:dyDescent="0.25">
      <c r="A119" s="131">
        <f t="shared" si="2"/>
        <v>5</v>
      </c>
      <c r="B119" s="132"/>
      <c r="C119" s="133"/>
      <c r="D119" s="134"/>
      <c r="E119" s="135"/>
    </row>
    <row r="120" spans="1:5" x14ac:dyDescent="0.25">
      <c r="A120" s="131">
        <f t="shared" si="2"/>
        <v>6</v>
      </c>
      <c r="B120" s="132"/>
      <c r="C120" s="133"/>
      <c r="D120" s="134"/>
      <c r="E120" s="135"/>
    </row>
    <row r="121" spans="1:5" x14ac:dyDescent="0.25">
      <c r="A121" s="131">
        <f t="shared" si="2"/>
        <v>7</v>
      </c>
      <c r="B121" s="132"/>
      <c r="C121" s="133"/>
      <c r="D121" s="134"/>
      <c r="E121" s="135"/>
    </row>
    <row r="122" spans="1:5" x14ac:dyDescent="0.25">
      <c r="A122" s="136"/>
      <c r="B122" s="132"/>
      <c r="C122" s="133"/>
      <c r="D122" s="134"/>
      <c r="E122" s="137"/>
    </row>
    <row r="123" spans="1:5" ht="15.75" thickBot="1" x14ac:dyDescent="0.3">
      <c r="A123" s="138"/>
      <c r="B123" s="139" t="s">
        <v>15</v>
      </c>
      <c r="C123" s="140"/>
      <c r="D123" s="141"/>
      <c r="E123" s="142">
        <f>SUM(E115:E121)</f>
        <v>100000</v>
      </c>
    </row>
    <row r="124" spans="1:5" x14ac:dyDescent="0.25">
      <c r="A124" s="126"/>
      <c r="B124" s="126"/>
      <c r="C124" s="177"/>
      <c r="E124" s="126"/>
    </row>
    <row r="125" spans="1:5" x14ac:dyDescent="0.25">
      <c r="A125" s="143"/>
      <c r="B125" s="143"/>
      <c r="C125" s="143"/>
      <c r="D125" s="125" t="s">
        <v>3634</v>
      </c>
      <c r="E125" s="143"/>
    </row>
    <row r="126" spans="1:5" x14ac:dyDescent="0.25">
      <c r="A126" s="143"/>
      <c r="B126" s="143"/>
      <c r="C126" s="143"/>
      <c r="D126" s="143"/>
      <c r="E126" s="143"/>
    </row>
    <row r="160" spans="1:5" x14ac:dyDescent="0.25">
      <c r="A160" s="125" t="s">
        <v>0</v>
      </c>
      <c r="B160" s="126"/>
      <c r="C160" s="177"/>
      <c r="D160" s="126"/>
      <c r="E160" s="126"/>
    </row>
    <row r="161" spans="1:5" x14ac:dyDescent="0.25">
      <c r="A161" s="125" t="s">
        <v>1</v>
      </c>
      <c r="B161" s="126"/>
      <c r="C161" s="177"/>
      <c r="D161" s="126"/>
      <c r="E161" s="126"/>
    </row>
    <row r="162" spans="1:5" x14ac:dyDescent="0.25">
      <c r="A162" s="125"/>
      <c r="B162" s="126"/>
      <c r="C162" s="177"/>
      <c r="D162" s="126"/>
      <c r="E162" s="126"/>
    </row>
    <row r="163" spans="1:5" x14ac:dyDescent="0.25">
      <c r="A163" s="127" t="s">
        <v>98</v>
      </c>
      <c r="B163" s="127"/>
      <c r="C163" s="127"/>
      <c r="D163" s="127"/>
      <c r="E163" s="127"/>
    </row>
    <row r="164" spans="1:5" x14ac:dyDescent="0.25">
      <c r="A164" s="586" t="s">
        <v>3584</v>
      </c>
      <c r="B164" s="586"/>
      <c r="C164" s="586"/>
      <c r="D164" s="586"/>
      <c r="E164" s="586"/>
    </row>
    <row r="165" spans="1:5" x14ac:dyDescent="0.25">
      <c r="A165" s="127"/>
      <c r="B165" s="127"/>
      <c r="C165" s="127"/>
      <c r="D165" s="127"/>
      <c r="E165" s="127"/>
    </row>
    <row r="166" spans="1:5" ht="15.75" thickBot="1" x14ac:dyDescent="0.3">
      <c r="A166" s="126"/>
      <c r="B166" s="126"/>
      <c r="C166" s="177"/>
      <c r="D166" s="126"/>
      <c r="E166" s="126" t="s">
        <v>3655</v>
      </c>
    </row>
    <row r="167" spans="1:5" x14ac:dyDescent="0.25">
      <c r="A167" s="128" t="s">
        <v>21</v>
      </c>
      <c r="B167" s="129" t="s">
        <v>96</v>
      </c>
      <c r="C167" s="129" t="s">
        <v>97</v>
      </c>
      <c r="D167" s="129" t="s">
        <v>91</v>
      </c>
      <c r="E167" s="130" t="s">
        <v>15</v>
      </c>
    </row>
    <row r="168" spans="1:5" x14ac:dyDescent="0.25">
      <c r="A168" s="131">
        <v>1</v>
      </c>
      <c r="B168" s="132" t="s">
        <v>3648</v>
      </c>
      <c r="C168" s="133"/>
      <c r="D168" s="134"/>
      <c r="E168" s="135">
        <v>875000</v>
      </c>
    </row>
    <row r="169" spans="1:5" x14ac:dyDescent="0.25">
      <c r="A169" s="131">
        <f>A168+1</f>
        <v>2</v>
      </c>
      <c r="B169" s="132"/>
      <c r="C169" s="133"/>
      <c r="D169" s="134"/>
      <c r="E169" s="135"/>
    </row>
    <row r="170" spans="1:5" x14ac:dyDescent="0.25">
      <c r="A170" s="131">
        <f t="shared" ref="A170:A174" si="3">A169+1</f>
        <v>3</v>
      </c>
      <c r="B170" s="132"/>
      <c r="C170" s="133"/>
      <c r="D170" s="134"/>
      <c r="E170" s="135"/>
    </row>
    <row r="171" spans="1:5" x14ac:dyDescent="0.25">
      <c r="A171" s="131">
        <f t="shared" si="3"/>
        <v>4</v>
      </c>
      <c r="B171" s="132"/>
      <c r="C171" s="133"/>
      <c r="D171" s="134"/>
      <c r="E171" s="135"/>
    </row>
    <row r="172" spans="1:5" x14ac:dyDescent="0.25">
      <c r="A172" s="131">
        <f t="shared" si="3"/>
        <v>5</v>
      </c>
      <c r="B172" s="132"/>
      <c r="C172" s="133"/>
      <c r="D172" s="134"/>
      <c r="E172" s="135"/>
    </row>
    <row r="173" spans="1:5" x14ac:dyDescent="0.25">
      <c r="A173" s="131">
        <f t="shared" si="3"/>
        <v>6</v>
      </c>
      <c r="B173" s="132"/>
      <c r="C173" s="133"/>
      <c r="D173" s="134"/>
      <c r="E173" s="135"/>
    </row>
    <row r="174" spans="1:5" x14ac:dyDescent="0.25">
      <c r="A174" s="131">
        <f t="shared" si="3"/>
        <v>7</v>
      </c>
      <c r="B174" s="132"/>
      <c r="C174" s="133"/>
      <c r="D174" s="134"/>
      <c r="E174" s="135"/>
    </row>
    <row r="175" spans="1:5" x14ac:dyDescent="0.25">
      <c r="A175" s="136"/>
      <c r="B175" s="132"/>
      <c r="C175" s="133"/>
      <c r="D175" s="134"/>
      <c r="E175" s="137"/>
    </row>
    <row r="176" spans="1:5" ht="15.75" thickBot="1" x14ac:dyDescent="0.3">
      <c r="A176" s="138"/>
      <c r="B176" s="139" t="s">
        <v>15</v>
      </c>
      <c r="C176" s="140"/>
      <c r="D176" s="141"/>
      <c r="E176" s="142">
        <f>SUM(E168:E174)</f>
        <v>875000</v>
      </c>
    </row>
    <row r="177" spans="1:5" x14ac:dyDescent="0.25">
      <c r="A177" s="126"/>
      <c r="B177" s="126"/>
      <c r="C177" s="177"/>
      <c r="E177" s="126"/>
    </row>
    <row r="178" spans="1:5" x14ac:dyDescent="0.25">
      <c r="A178" s="143"/>
      <c r="B178" s="143"/>
      <c r="C178" s="143"/>
      <c r="D178" s="125" t="s">
        <v>3651</v>
      </c>
      <c r="E178" s="143"/>
    </row>
    <row r="179" spans="1:5" x14ac:dyDescent="0.25">
      <c r="A179" s="143"/>
      <c r="B179" s="143"/>
      <c r="C179" s="143"/>
      <c r="D179" s="143"/>
      <c r="E179" s="143"/>
    </row>
  </sheetData>
  <mergeCells count="4">
    <mergeCell ref="A5:E5"/>
    <mergeCell ref="A58:E58"/>
    <mergeCell ref="A111:E111"/>
    <mergeCell ref="A164:E164"/>
  </mergeCells>
  <pageMargins left="0.70866141732283472" right="0.70866141732283472" top="0.74803149606299213" bottom="0.74803149606299213" header="0.31496062992125984" footer="0.31496062992125984"/>
  <pageSetup paperSize="9" scale="95"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4398"/>
  <sheetViews>
    <sheetView showWhiteSpace="0" view="pageLayout" topLeftCell="A4376" zoomScale="78" zoomScaleNormal="79" zoomScalePageLayoutView="78" workbookViewId="0">
      <selection activeCell="B4390" sqref="B4390"/>
    </sheetView>
  </sheetViews>
  <sheetFormatPr defaultRowHeight="15" x14ac:dyDescent="0.25"/>
  <cols>
    <col min="1" max="1" width="5.85546875" customWidth="1"/>
    <col min="2" max="2" width="39" customWidth="1"/>
    <col min="3" max="3" width="14.5703125" customWidth="1"/>
    <col min="4" max="4" width="11.140625" customWidth="1"/>
    <col min="5" max="5" width="19.140625" customWidth="1"/>
    <col min="7" max="7" width="23.140625" customWidth="1"/>
  </cols>
  <sheetData>
    <row r="1" spans="1:5" x14ac:dyDescent="0.25">
      <c r="A1" s="108" t="s">
        <v>0</v>
      </c>
      <c r="B1" s="144"/>
      <c r="C1" s="144"/>
      <c r="D1" s="144"/>
      <c r="E1" s="144"/>
    </row>
    <row r="2" spans="1:5" x14ac:dyDescent="0.25">
      <c r="A2" s="108" t="s">
        <v>1</v>
      </c>
      <c r="B2" s="109"/>
      <c r="C2" s="110"/>
      <c r="D2" s="109"/>
      <c r="E2" s="109"/>
    </row>
    <row r="3" spans="1:5" x14ac:dyDescent="0.25">
      <c r="A3" s="108"/>
      <c r="B3" s="109"/>
      <c r="C3" s="110"/>
      <c r="D3" s="109"/>
      <c r="E3" s="109"/>
    </row>
    <row r="4" spans="1:5" x14ac:dyDescent="0.25">
      <c r="A4" s="111" t="s">
        <v>101</v>
      </c>
      <c r="B4" s="111"/>
      <c r="C4" s="111"/>
      <c r="D4" s="111"/>
      <c r="E4" s="111"/>
    </row>
    <row r="5" spans="1:5" x14ac:dyDescent="0.25">
      <c r="A5" s="575" t="s">
        <v>99</v>
      </c>
      <c r="B5" s="576"/>
      <c r="C5" s="576"/>
      <c r="D5" s="576"/>
      <c r="E5" s="576"/>
    </row>
    <row r="6" spans="1:5" x14ac:dyDescent="0.25">
      <c r="A6" s="110"/>
      <c r="B6" s="110"/>
      <c r="C6" s="110"/>
      <c r="D6" s="110"/>
      <c r="E6" s="110"/>
    </row>
    <row r="7" spans="1:5" ht="15.75" thickBot="1" x14ac:dyDescent="0.3">
      <c r="A7" s="109"/>
      <c r="B7" s="109"/>
      <c r="C7" s="110"/>
      <c r="D7" s="109"/>
      <c r="E7" s="124" t="s">
        <v>102</v>
      </c>
    </row>
    <row r="8" spans="1:5" x14ac:dyDescent="0.25">
      <c r="A8" s="112" t="s">
        <v>21</v>
      </c>
      <c r="B8" s="113" t="s">
        <v>96</v>
      </c>
      <c r="C8" s="113" t="s">
        <v>97</v>
      </c>
      <c r="D8" s="113" t="s">
        <v>91</v>
      </c>
      <c r="E8" s="114" t="s">
        <v>15</v>
      </c>
    </row>
    <row r="9" spans="1:5" x14ac:dyDescent="0.25">
      <c r="A9" s="115">
        <v>1</v>
      </c>
      <c r="B9" s="166" t="s">
        <v>121</v>
      </c>
      <c r="C9" s="167" t="s">
        <v>127</v>
      </c>
      <c r="D9" s="118"/>
      <c r="E9" s="119">
        <v>50000</v>
      </c>
    </row>
    <row r="10" spans="1:5" x14ac:dyDescent="0.25">
      <c r="A10" s="115">
        <f>A9+1</f>
        <v>2</v>
      </c>
      <c r="B10" s="166" t="s">
        <v>122</v>
      </c>
      <c r="C10" s="167" t="s">
        <v>128</v>
      </c>
      <c r="D10" s="118"/>
      <c r="E10" s="119">
        <v>12500</v>
      </c>
    </row>
    <row r="11" spans="1:5" x14ac:dyDescent="0.25">
      <c r="A11" s="115">
        <f t="shared" ref="A11:A22" si="0">A10+1</f>
        <v>3</v>
      </c>
      <c r="B11" s="166" t="s">
        <v>123</v>
      </c>
      <c r="C11" s="167" t="s">
        <v>129</v>
      </c>
      <c r="D11" s="118"/>
      <c r="E11" s="119">
        <v>5000</v>
      </c>
    </row>
    <row r="12" spans="1:5" x14ac:dyDescent="0.25">
      <c r="A12" s="115">
        <f t="shared" si="0"/>
        <v>4</v>
      </c>
      <c r="B12" s="166" t="s">
        <v>124</v>
      </c>
      <c r="C12" s="167" t="s">
        <v>130</v>
      </c>
      <c r="D12" s="118"/>
      <c r="E12" s="119">
        <v>42500</v>
      </c>
    </row>
    <row r="13" spans="1:5" x14ac:dyDescent="0.25">
      <c r="A13" s="115">
        <f t="shared" si="0"/>
        <v>5</v>
      </c>
      <c r="B13" s="166" t="s">
        <v>125</v>
      </c>
      <c r="C13" s="167" t="s">
        <v>131</v>
      </c>
      <c r="D13" s="118"/>
      <c r="E13" s="119">
        <v>42500</v>
      </c>
    </row>
    <row r="14" spans="1:5" x14ac:dyDescent="0.25">
      <c r="A14" s="115">
        <f t="shared" si="0"/>
        <v>6</v>
      </c>
      <c r="B14" s="166" t="s">
        <v>126</v>
      </c>
      <c r="C14" s="167" t="s">
        <v>132</v>
      </c>
      <c r="D14" s="118"/>
      <c r="E14" s="119">
        <v>12500</v>
      </c>
    </row>
    <row r="15" spans="1:5" x14ac:dyDescent="0.25">
      <c r="A15" s="115">
        <f t="shared" si="0"/>
        <v>7</v>
      </c>
      <c r="B15" s="166" t="s">
        <v>134</v>
      </c>
      <c r="C15" s="167" t="s">
        <v>142</v>
      </c>
      <c r="D15" s="118"/>
      <c r="E15" s="119">
        <v>32500</v>
      </c>
    </row>
    <row r="16" spans="1:5" x14ac:dyDescent="0.25">
      <c r="A16" s="115">
        <f t="shared" si="0"/>
        <v>8</v>
      </c>
      <c r="B16" s="166" t="s">
        <v>135</v>
      </c>
      <c r="C16" s="167" t="s">
        <v>143</v>
      </c>
      <c r="D16" s="118"/>
      <c r="E16" s="119">
        <v>17500</v>
      </c>
    </row>
    <row r="17" spans="1:5" x14ac:dyDescent="0.25">
      <c r="A17" s="115">
        <f t="shared" si="0"/>
        <v>9</v>
      </c>
      <c r="B17" s="166" t="s">
        <v>136</v>
      </c>
      <c r="C17" s="167" t="s">
        <v>144</v>
      </c>
      <c r="D17" s="118"/>
      <c r="E17" s="119">
        <v>5000</v>
      </c>
    </row>
    <row r="18" spans="1:5" x14ac:dyDescent="0.25">
      <c r="A18" s="115">
        <f t="shared" si="0"/>
        <v>10</v>
      </c>
      <c r="B18" s="166" t="s">
        <v>137</v>
      </c>
      <c r="C18" s="167" t="s">
        <v>145</v>
      </c>
      <c r="D18" s="118"/>
      <c r="E18" s="119">
        <v>5000</v>
      </c>
    </row>
    <row r="19" spans="1:5" x14ac:dyDescent="0.25">
      <c r="A19" s="115">
        <f t="shared" si="0"/>
        <v>11</v>
      </c>
      <c r="B19" s="166" t="s">
        <v>138</v>
      </c>
      <c r="C19" s="167" t="s">
        <v>146</v>
      </c>
      <c r="D19" s="118"/>
      <c r="E19" s="119">
        <v>12500</v>
      </c>
    </row>
    <row r="20" spans="1:5" x14ac:dyDescent="0.25">
      <c r="A20" s="115">
        <f t="shared" si="0"/>
        <v>12</v>
      </c>
      <c r="B20" s="166" t="s">
        <v>139</v>
      </c>
      <c r="C20" s="167" t="s">
        <v>147</v>
      </c>
      <c r="D20" s="118"/>
      <c r="E20" s="119">
        <v>5000</v>
      </c>
    </row>
    <row r="21" spans="1:5" x14ac:dyDescent="0.25">
      <c r="A21" s="115">
        <f t="shared" si="0"/>
        <v>13</v>
      </c>
      <c r="B21" s="166" t="s">
        <v>140</v>
      </c>
      <c r="C21" s="167" t="s">
        <v>148</v>
      </c>
      <c r="D21" s="118"/>
      <c r="E21" s="119">
        <v>5000</v>
      </c>
    </row>
    <row r="22" spans="1:5" x14ac:dyDescent="0.25">
      <c r="A22" s="115">
        <f t="shared" si="0"/>
        <v>14</v>
      </c>
      <c r="B22" s="166" t="s">
        <v>141</v>
      </c>
      <c r="C22" s="167" t="s">
        <v>149</v>
      </c>
      <c r="D22" s="118"/>
      <c r="E22" s="119">
        <v>5000</v>
      </c>
    </row>
    <row r="23" spans="1:5" x14ac:dyDescent="0.25">
      <c r="A23" s="115"/>
      <c r="B23" s="116"/>
      <c r="C23" s="117"/>
      <c r="D23" s="118"/>
      <c r="E23" s="119"/>
    </row>
    <row r="24" spans="1:5" ht="15.75" thickBot="1" x14ac:dyDescent="0.3">
      <c r="A24" s="120"/>
      <c r="B24" s="577" t="s">
        <v>15</v>
      </c>
      <c r="C24" s="578"/>
      <c r="D24" s="579"/>
      <c r="E24" s="121">
        <f>SUM(E9:E23)</f>
        <v>252500</v>
      </c>
    </row>
    <row r="25" spans="1:5" x14ac:dyDescent="0.25">
      <c r="A25" s="110"/>
      <c r="B25" s="145"/>
      <c r="C25" s="145"/>
      <c r="D25" s="144"/>
      <c r="E25" s="146"/>
    </row>
    <row r="26" spans="1:5" x14ac:dyDescent="0.25">
      <c r="A26" s="109"/>
      <c r="B26" s="109"/>
      <c r="C26" s="110"/>
      <c r="D26" s="123" t="s">
        <v>133</v>
      </c>
      <c r="E26" s="109"/>
    </row>
    <row r="27" spans="1:5" x14ac:dyDescent="0.25">
      <c r="A27" s="144"/>
      <c r="B27" s="144"/>
      <c r="C27" s="144"/>
      <c r="D27" s="123" t="s">
        <v>100</v>
      </c>
      <c r="E27" s="144"/>
    </row>
    <row r="28" spans="1:5" x14ac:dyDescent="0.25">
      <c r="A28" s="144"/>
      <c r="B28" s="144"/>
      <c r="C28" s="144"/>
      <c r="D28" s="144"/>
      <c r="E28" s="144"/>
    </row>
    <row r="29" spans="1:5" x14ac:dyDescent="0.25">
      <c r="A29" s="144"/>
      <c r="B29" s="144"/>
      <c r="C29" s="144"/>
      <c r="D29" s="144"/>
      <c r="E29" s="144"/>
    </row>
    <row r="30" spans="1:5" x14ac:dyDescent="0.25">
      <c r="A30" s="144"/>
      <c r="B30" s="144"/>
      <c r="C30" s="144"/>
      <c r="D30" s="144"/>
      <c r="E30" s="144"/>
    </row>
    <row r="31" spans="1:5" x14ac:dyDescent="0.25">
      <c r="A31" s="144"/>
      <c r="B31" s="144"/>
      <c r="C31" s="144"/>
      <c r="D31" s="144"/>
      <c r="E31" s="144"/>
    </row>
    <row r="32" spans="1:5" x14ac:dyDescent="0.25">
      <c r="A32" s="144"/>
      <c r="B32" s="144"/>
      <c r="C32" s="144"/>
      <c r="D32" s="144"/>
      <c r="E32" s="144"/>
    </row>
    <row r="54" spans="1:5" x14ac:dyDescent="0.25">
      <c r="A54" s="108" t="s">
        <v>0</v>
      </c>
      <c r="B54" s="144"/>
      <c r="C54" s="144"/>
      <c r="D54" s="144"/>
      <c r="E54" s="144"/>
    </row>
    <row r="55" spans="1:5" x14ac:dyDescent="0.25">
      <c r="A55" s="108" t="s">
        <v>1</v>
      </c>
      <c r="B55" s="109"/>
      <c r="C55" s="110"/>
      <c r="D55" s="109"/>
      <c r="E55" s="109"/>
    </row>
    <row r="56" spans="1:5" x14ac:dyDescent="0.25">
      <c r="A56" s="108"/>
      <c r="B56" s="109"/>
      <c r="C56" s="110"/>
      <c r="D56" s="109"/>
      <c r="E56" s="109"/>
    </row>
    <row r="57" spans="1:5" x14ac:dyDescent="0.25">
      <c r="A57" s="111" t="s">
        <v>101</v>
      </c>
      <c r="B57" s="111"/>
      <c r="C57" s="111"/>
      <c r="D57" s="111"/>
      <c r="E57" s="111"/>
    </row>
    <row r="58" spans="1:5" x14ac:dyDescent="0.25">
      <c r="A58" s="575" t="s">
        <v>99</v>
      </c>
      <c r="B58" s="576"/>
      <c r="C58" s="576"/>
      <c r="D58" s="576"/>
      <c r="E58" s="576"/>
    </row>
    <row r="59" spans="1:5" x14ac:dyDescent="0.25">
      <c r="A59" s="110"/>
      <c r="B59" s="110"/>
      <c r="C59" s="110"/>
      <c r="D59" s="110"/>
      <c r="E59" s="110"/>
    </row>
    <row r="60" spans="1:5" ht="15.75" thickBot="1" x14ac:dyDescent="0.3">
      <c r="A60" s="109"/>
      <c r="B60" s="109"/>
      <c r="C60" s="110"/>
      <c r="D60" s="109"/>
      <c r="E60" s="124" t="s">
        <v>150</v>
      </c>
    </row>
    <row r="61" spans="1:5" x14ac:dyDescent="0.25">
      <c r="A61" s="112" t="s">
        <v>21</v>
      </c>
      <c r="B61" s="113" t="s">
        <v>96</v>
      </c>
      <c r="C61" s="113" t="s">
        <v>97</v>
      </c>
      <c r="D61" s="113" t="s">
        <v>91</v>
      </c>
      <c r="E61" s="114" t="s">
        <v>15</v>
      </c>
    </row>
    <row r="62" spans="1:5" x14ac:dyDescent="0.25">
      <c r="A62" s="115">
        <v>1</v>
      </c>
      <c r="B62" s="166" t="s">
        <v>152</v>
      </c>
      <c r="C62" s="167" t="s">
        <v>158</v>
      </c>
      <c r="D62" s="118"/>
      <c r="E62" s="119">
        <v>12500</v>
      </c>
    </row>
    <row r="63" spans="1:5" x14ac:dyDescent="0.25">
      <c r="A63" s="115">
        <f>A62+1</f>
        <v>2</v>
      </c>
      <c r="B63" s="166" t="s">
        <v>153</v>
      </c>
      <c r="C63" s="167" t="s">
        <v>159</v>
      </c>
      <c r="D63" s="118"/>
      <c r="E63" s="119">
        <v>5000</v>
      </c>
    </row>
    <row r="64" spans="1:5" x14ac:dyDescent="0.25">
      <c r="A64" s="115">
        <f t="shared" ref="A64:A110" si="1">A63+1</f>
        <v>3</v>
      </c>
      <c r="B64" s="166" t="s">
        <v>154</v>
      </c>
      <c r="C64" s="167" t="s">
        <v>160</v>
      </c>
      <c r="D64" s="118"/>
      <c r="E64" s="119">
        <v>5000</v>
      </c>
    </row>
    <row r="65" spans="1:5" x14ac:dyDescent="0.25">
      <c r="A65" s="115">
        <f t="shared" si="1"/>
        <v>4</v>
      </c>
      <c r="B65" s="166" t="s">
        <v>155</v>
      </c>
      <c r="C65" s="167" t="s">
        <v>161</v>
      </c>
      <c r="D65" s="118"/>
      <c r="E65" s="119">
        <v>5000</v>
      </c>
    </row>
    <row r="66" spans="1:5" x14ac:dyDescent="0.25">
      <c r="A66" s="115">
        <f t="shared" si="1"/>
        <v>5</v>
      </c>
      <c r="B66" s="166" t="s">
        <v>156</v>
      </c>
      <c r="C66" s="167" t="s">
        <v>162</v>
      </c>
      <c r="D66" s="118"/>
      <c r="E66" s="119">
        <v>22500</v>
      </c>
    </row>
    <row r="67" spans="1:5" x14ac:dyDescent="0.25">
      <c r="A67" s="115">
        <f t="shared" si="1"/>
        <v>6</v>
      </c>
      <c r="B67" s="166" t="s">
        <v>157</v>
      </c>
      <c r="C67" s="167" t="s">
        <v>163</v>
      </c>
      <c r="D67" s="118"/>
      <c r="E67" s="119">
        <v>42500</v>
      </c>
    </row>
    <row r="68" spans="1:5" x14ac:dyDescent="0.25">
      <c r="A68" s="115">
        <f t="shared" si="1"/>
        <v>7</v>
      </c>
      <c r="B68" s="166" t="s">
        <v>170</v>
      </c>
      <c r="C68" s="167" t="s">
        <v>164</v>
      </c>
      <c r="D68" s="118"/>
      <c r="E68" s="119">
        <v>22500</v>
      </c>
    </row>
    <row r="69" spans="1:5" x14ac:dyDescent="0.25">
      <c r="A69" s="115">
        <f t="shared" si="1"/>
        <v>8</v>
      </c>
      <c r="B69" s="166" t="s">
        <v>171</v>
      </c>
      <c r="C69" s="167" t="s">
        <v>165</v>
      </c>
      <c r="D69" s="118"/>
      <c r="E69" s="119">
        <v>47500</v>
      </c>
    </row>
    <row r="70" spans="1:5" x14ac:dyDescent="0.25">
      <c r="A70" s="115">
        <f t="shared" si="1"/>
        <v>9</v>
      </c>
      <c r="B70" s="166" t="s">
        <v>172</v>
      </c>
      <c r="C70" s="167" t="s">
        <v>166</v>
      </c>
      <c r="D70" s="118"/>
      <c r="E70" s="119">
        <v>52500</v>
      </c>
    </row>
    <row r="71" spans="1:5" x14ac:dyDescent="0.25">
      <c r="A71" s="115">
        <f t="shared" si="1"/>
        <v>10</v>
      </c>
      <c r="B71" s="166" t="s">
        <v>173</v>
      </c>
      <c r="C71" s="167" t="s">
        <v>167</v>
      </c>
      <c r="D71" s="118"/>
      <c r="E71" s="119">
        <v>62500</v>
      </c>
    </row>
    <row r="72" spans="1:5" x14ac:dyDescent="0.25">
      <c r="A72" s="115">
        <f t="shared" si="1"/>
        <v>11</v>
      </c>
      <c r="B72" s="166" t="s">
        <v>174</v>
      </c>
      <c r="C72" s="167" t="s">
        <v>168</v>
      </c>
      <c r="D72" s="118"/>
      <c r="E72" s="119">
        <v>5000</v>
      </c>
    </row>
    <row r="73" spans="1:5" x14ac:dyDescent="0.25">
      <c r="A73" s="115">
        <f t="shared" si="1"/>
        <v>12</v>
      </c>
      <c r="B73" s="166" t="s">
        <v>175</v>
      </c>
      <c r="C73" s="167" t="s">
        <v>169</v>
      </c>
      <c r="D73" s="118"/>
      <c r="E73" s="119">
        <v>62500</v>
      </c>
    </row>
    <row r="74" spans="1:5" x14ac:dyDescent="0.25">
      <c r="A74" s="115">
        <f t="shared" si="1"/>
        <v>13</v>
      </c>
      <c r="B74" s="166" t="s">
        <v>176</v>
      </c>
      <c r="C74" s="167" t="s">
        <v>185</v>
      </c>
      <c r="D74" s="118"/>
      <c r="E74" s="119">
        <v>12500</v>
      </c>
    </row>
    <row r="75" spans="1:5" x14ac:dyDescent="0.25">
      <c r="A75" s="115">
        <f t="shared" si="1"/>
        <v>14</v>
      </c>
      <c r="B75" s="166" t="s">
        <v>177</v>
      </c>
      <c r="C75" s="167" t="s">
        <v>186</v>
      </c>
      <c r="D75" s="118"/>
      <c r="E75" s="119">
        <v>22500</v>
      </c>
    </row>
    <row r="76" spans="1:5" x14ac:dyDescent="0.25">
      <c r="A76" s="115">
        <f t="shared" si="1"/>
        <v>15</v>
      </c>
      <c r="B76" s="166" t="s">
        <v>178</v>
      </c>
      <c r="C76" s="167" t="s">
        <v>187</v>
      </c>
      <c r="D76" s="118"/>
      <c r="E76" s="119">
        <v>22500</v>
      </c>
    </row>
    <row r="77" spans="1:5" x14ac:dyDescent="0.25">
      <c r="A77" s="115">
        <f t="shared" si="1"/>
        <v>16</v>
      </c>
      <c r="B77" s="166" t="s">
        <v>179</v>
      </c>
      <c r="C77" s="167" t="s">
        <v>188</v>
      </c>
      <c r="D77" s="118"/>
      <c r="E77" s="119">
        <v>12500</v>
      </c>
    </row>
    <row r="78" spans="1:5" x14ac:dyDescent="0.25">
      <c r="A78" s="115">
        <f t="shared" si="1"/>
        <v>17</v>
      </c>
      <c r="B78" s="166" t="s">
        <v>180</v>
      </c>
      <c r="C78" s="167" t="s">
        <v>189</v>
      </c>
      <c r="D78" s="118"/>
      <c r="E78" s="119">
        <v>22500</v>
      </c>
    </row>
    <row r="79" spans="1:5" x14ac:dyDescent="0.25">
      <c r="A79" s="115">
        <f t="shared" si="1"/>
        <v>18</v>
      </c>
      <c r="B79" s="166" t="s">
        <v>181</v>
      </c>
      <c r="C79" s="167" t="s">
        <v>190</v>
      </c>
      <c r="D79" s="118"/>
      <c r="E79" s="119">
        <v>52500</v>
      </c>
    </row>
    <row r="80" spans="1:5" x14ac:dyDescent="0.25">
      <c r="A80" s="115">
        <f t="shared" si="1"/>
        <v>19</v>
      </c>
      <c r="B80" s="166" t="s">
        <v>182</v>
      </c>
      <c r="C80" s="167" t="s">
        <v>193</v>
      </c>
      <c r="D80" s="118"/>
      <c r="E80" s="119">
        <v>5000</v>
      </c>
    </row>
    <row r="81" spans="1:5" x14ac:dyDescent="0.25">
      <c r="A81" s="115">
        <f t="shared" si="1"/>
        <v>20</v>
      </c>
      <c r="B81" s="166" t="s">
        <v>183</v>
      </c>
      <c r="C81" s="167" t="s">
        <v>191</v>
      </c>
      <c r="D81" s="118"/>
      <c r="E81" s="119">
        <v>12500</v>
      </c>
    </row>
    <row r="82" spans="1:5" x14ac:dyDescent="0.25">
      <c r="A82" s="115">
        <f t="shared" si="1"/>
        <v>21</v>
      </c>
      <c r="B82" s="166" t="s">
        <v>184</v>
      </c>
      <c r="C82" s="167" t="s">
        <v>192</v>
      </c>
      <c r="D82" s="118"/>
      <c r="E82" s="119">
        <v>42500</v>
      </c>
    </row>
    <row r="83" spans="1:5" x14ac:dyDescent="0.25">
      <c r="A83" s="115">
        <f t="shared" si="1"/>
        <v>22</v>
      </c>
      <c r="B83" s="166" t="s">
        <v>203</v>
      </c>
      <c r="C83" s="167" t="s">
        <v>199</v>
      </c>
      <c r="D83" s="118"/>
      <c r="E83" s="119">
        <v>5000</v>
      </c>
    </row>
    <row r="84" spans="1:5" x14ac:dyDescent="0.25">
      <c r="A84" s="115">
        <f t="shared" si="1"/>
        <v>23</v>
      </c>
      <c r="B84" s="166" t="s">
        <v>204</v>
      </c>
      <c r="C84" s="167" t="s">
        <v>194</v>
      </c>
      <c r="D84" s="118"/>
      <c r="E84" s="119">
        <v>5000</v>
      </c>
    </row>
    <row r="85" spans="1:5" x14ac:dyDescent="0.25">
      <c r="A85" s="115">
        <f t="shared" si="1"/>
        <v>24</v>
      </c>
      <c r="B85" s="166" t="s">
        <v>205</v>
      </c>
      <c r="C85" s="167" t="s">
        <v>195</v>
      </c>
      <c r="D85" s="118"/>
      <c r="E85" s="119">
        <v>5000</v>
      </c>
    </row>
    <row r="86" spans="1:5" x14ac:dyDescent="0.25">
      <c r="A86" s="115">
        <f t="shared" si="1"/>
        <v>25</v>
      </c>
      <c r="B86" s="166" t="s">
        <v>206</v>
      </c>
      <c r="C86" s="167" t="s">
        <v>196</v>
      </c>
      <c r="D86" s="118"/>
      <c r="E86" s="119">
        <v>72500</v>
      </c>
    </row>
    <row r="87" spans="1:5" x14ac:dyDescent="0.25">
      <c r="A87" s="115">
        <f t="shared" si="1"/>
        <v>26</v>
      </c>
      <c r="B87" s="166" t="s">
        <v>207</v>
      </c>
      <c r="C87" s="167" t="s">
        <v>197</v>
      </c>
      <c r="D87" s="118"/>
      <c r="E87" s="119">
        <v>12500</v>
      </c>
    </row>
    <row r="88" spans="1:5" x14ac:dyDescent="0.25">
      <c r="A88" s="115">
        <f t="shared" si="1"/>
        <v>27</v>
      </c>
      <c r="B88" s="166" t="s">
        <v>208</v>
      </c>
      <c r="C88" s="167" t="s">
        <v>198</v>
      </c>
      <c r="D88" s="118"/>
      <c r="E88" s="119">
        <v>5000</v>
      </c>
    </row>
    <row r="89" spans="1:5" x14ac:dyDescent="0.25">
      <c r="A89" s="115">
        <f t="shared" si="1"/>
        <v>28</v>
      </c>
      <c r="B89" s="166" t="s">
        <v>137</v>
      </c>
      <c r="C89" s="167" t="s">
        <v>200</v>
      </c>
      <c r="D89" s="118"/>
      <c r="E89" s="119">
        <v>12500</v>
      </c>
    </row>
    <row r="90" spans="1:5" x14ac:dyDescent="0.25">
      <c r="A90" s="115">
        <f t="shared" si="1"/>
        <v>29</v>
      </c>
      <c r="B90" s="166" t="s">
        <v>209</v>
      </c>
      <c r="C90" s="167" t="s">
        <v>201</v>
      </c>
      <c r="D90" s="118"/>
      <c r="E90" s="119">
        <v>5000</v>
      </c>
    </row>
    <row r="91" spans="1:5" x14ac:dyDescent="0.25">
      <c r="A91" s="115">
        <f t="shared" si="1"/>
        <v>30</v>
      </c>
      <c r="B91" s="166" t="s">
        <v>210</v>
      </c>
      <c r="C91" s="167" t="s">
        <v>202</v>
      </c>
      <c r="D91" s="118"/>
      <c r="E91" s="119">
        <v>5000</v>
      </c>
    </row>
    <row r="92" spans="1:5" x14ac:dyDescent="0.25">
      <c r="A92" s="115">
        <f t="shared" si="1"/>
        <v>31</v>
      </c>
      <c r="B92" s="166" t="s">
        <v>211</v>
      </c>
      <c r="C92" s="167" t="s">
        <v>223</v>
      </c>
      <c r="D92" s="118"/>
      <c r="E92" s="119">
        <v>12500</v>
      </c>
    </row>
    <row r="93" spans="1:5" x14ac:dyDescent="0.25">
      <c r="A93" s="115">
        <f t="shared" si="1"/>
        <v>32</v>
      </c>
      <c r="B93" s="166" t="s">
        <v>212</v>
      </c>
      <c r="C93" s="167" t="s">
        <v>224</v>
      </c>
      <c r="D93" s="118"/>
      <c r="E93" s="119">
        <v>12500</v>
      </c>
    </row>
    <row r="94" spans="1:5" x14ac:dyDescent="0.25">
      <c r="A94" s="115">
        <f t="shared" si="1"/>
        <v>33</v>
      </c>
      <c r="B94" s="166" t="s">
        <v>213</v>
      </c>
      <c r="C94" s="167" t="s">
        <v>225</v>
      </c>
      <c r="D94" s="118"/>
      <c r="E94" s="119">
        <v>22500</v>
      </c>
    </row>
    <row r="95" spans="1:5" x14ac:dyDescent="0.25">
      <c r="A95" s="115">
        <f t="shared" si="1"/>
        <v>34</v>
      </c>
      <c r="B95" s="166" t="s">
        <v>214</v>
      </c>
      <c r="C95" s="167" t="s">
        <v>226</v>
      </c>
      <c r="D95" s="118"/>
      <c r="E95" s="119">
        <v>5000</v>
      </c>
    </row>
    <row r="96" spans="1:5" x14ac:dyDescent="0.25">
      <c r="A96" s="115">
        <f t="shared" si="1"/>
        <v>35</v>
      </c>
      <c r="B96" s="166" t="s">
        <v>215</v>
      </c>
      <c r="C96" s="167" t="s">
        <v>227</v>
      </c>
      <c r="D96" s="118"/>
      <c r="E96" s="119">
        <v>5000</v>
      </c>
    </row>
    <row r="97" spans="1:5" x14ac:dyDescent="0.25">
      <c r="A97" s="115">
        <f t="shared" si="1"/>
        <v>36</v>
      </c>
      <c r="B97" s="166" t="s">
        <v>216</v>
      </c>
      <c r="C97" s="167" t="s">
        <v>228</v>
      </c>
      <c r="D97" s="118"/>
      <c r="E97" s="119">
        <v>12500</v>
      </c>
    </row>
    <row r="98" spans="1:5" x14ac:dyDescent="0.25">
      <c r="A98" s="115">
        <f t="shared" si="1"/>
        <v>37</v>
      </c>
      <c r="B98" s="166" t="s">
        <v>217</v>
      </c>
      <c r="C98" s="167" t="s">
        <v>229</v>
      </c>
      <c r="D98" s="118"/>
      <c r="E98" s="119">
        <v>5000</v>
      </c>
    </row>
    <row r="99" spans="1:5" x14ac:dyDescent="0.25">
      <c r="A99" s="115">
        <f t="shared" si="1"/>
        <v>38</v>
      </c>
      <c r="B99" s="166" t="s">
        <v>218</v>
      </c>
      <c r="C99" s="167" t="s">
        <v>230</v>
      </c>
      <c r="D99" s="118"/>
      <c r="E99" s="119">
        <v>5000</v>
      </c>
    </row>
    <row r="100" spans="1:5" x14ac:dyDescent="0.25">
      <c r="A100" s="115">
        <f t="shared" si="1"/>
        <v>39</v>
      </c>
      <c r="B100" s="166" t="s">
        <v>219</v>
      </c>
      <c r="C100" s="167" t="s">
        <v>231</v>
      </c>
      <c r="D100" s="118"/>
      <c r="E100" s="119">
        <v>5000</v>
      </c>
    </row>
    <row r="101" spans="1:5" x14ac:dyDescent="0.25">
      <c r="A101" s="115">
        <f t="shared" si="1"/>
        <v>40</v>
      </c>
      <c r="B101" s="166" t="s">
        <v>220</v>
      </c>
      <c r="C101" s="167" t="s">
        <v>232</v>
      </c>
      <c r="D101" s="118"/>
      <c r="E101" s="119">
        <v>12500</v>
      </c>
    </row>
    <row r="102" spans="1:5" x14ac:dyDescent="0.25">
      <c r="A102" s="115">
        <f t="shared" si="1"/>
        <v>41</v>
      </c>
      <c r="B102" s="166" t="s">
        <v>221</v>
      </c>
      <c r="C102" s="167" t="s">
        <v>233</v>
      </c>
      <c r="D102" s="118"/>
      <c r="E102" s="119">
        <v>5000</v>
      </c>
    </row>
    <row r="103" spans="1:5" x14ac:dyDescent="0.25">
      <c r="A103" s="115">
        <f t="shared" si="1"/>
        <v>42</v>
      </c>
      <c r="B103" s="166" t="s">
        <v>222</v>
      </c>
      <c r="C103" s="167" t="s">
        <v>234</v>
      </c>
      <c r="D103" s="118"/>
      <c r="E103" s="119">
        <v>5000</v>
      </c>
    </row>
    <row r="104" spans="1:5" x14ac:dyDescent="0.25">
      <c r="A104" s="115">
        <f t="shared" si="1"/>
        <v>43</v>
      </c>
      <c r="B104" s="166" t="s">
        <v>242</v>
      </c>
      <c r="C104" s="167" t="s">
        <v>235</v>
      </c>
      <c r="D104" s="118"/>
      <c r="E104" s="119">
        <v>12500</v>
      </c>
    </row>
    <row r="105" spans="1:5" x14ac:dyDescent="0.25">
      <c r="A105" s="115">
        <f t="shared" si="1"/>
        <v>44</v>
      </c>
      <c r="B105" s="166" t="s">
        <v>243</v>
      </c>
      <c r="C105" s="167" t="s">
        <v>236</v>
      </c>
      <c r="D105" s="118"/>
      <c r="E105" s="119">
        <v>12500</v>
      </c>
    </row>
    <row r="106" spans="1:5" x14ac:dyDescent="0.25">
      <c r="A106" s="115">
        <f t="shared" si="1"/>
        <v>45</v>
      </c>
      <c r="B106" s="166" t="s">
        <v>244</v>
      </c>
      <c r="C106" s="167" t="s">
        <v>237</v>
      </c>
      <c r="D106" s="118"/>
      <c r="E106" s="119">
        <v>5000</v>
      </c>
    </row>
    <row r="107" spans="1:5" x14ac:dyDescent="0.25">
      <c r="A107" s="115">
        <f t="shared" si="1"/>
        <v>46</v>
      </c>
      <c r="B107" s="166" t="s">
        <v>245</v>
      </c>
      <c r="C107" s="167" t="s">
        <v>238</v>
      </c>
      <c r="D107" s="118"/>
      <c r="E107" s="119">
        <v>5000</v>
      </c>
    </row>
    <row r="108" spans="1:5" x14ac:dyDescent="0.25">
      <c r="A108" s="115">
        <f t="shared" si="1"/>
        <v>47</v>
      </c>
      <c r="B108" s="166" t="s">
        <v>246</v>
      </c>
      <c r="C108" s="167" t="s">
        <v>239</v>
      </c>
      <c r="D108" s="118"/>
      <c r="E108" s="119">
        <v>5000</v>
      </c>
    </row>
    <row r="109" spans="1:5" x14ac:dyDescent="0.25">
      <c r="A109" s="115">
        <f t="shared" si="1"/>
        <v>48</v>
      </c>
      <c r="B109" s="166" t="s">
        <v>247</v>
      </c>
      <c r="C109" s="167" t="s">
        <v>240</v>
      </c>
      <c r="D109" s="118"/>
      <c r="E109" s="119">
        <v>5000</v>
      </c>
    </row>
    <row r="110" spans="1:5" x14ac:dyDescent="0.25">
      <c r="A110" s="115">
        <f t="shared" si="1"/>
        <v>49</v>
      </c>
      <c r="B110" s="166" t="s">
        <v>248</v>
      </c>
      <c r="C110" s="167" t="s">
        <v>241</v>
      </c>
      <c r="D110" s="118"/>
      <c r="E110" s="119">
        <v>5000</v>
      </c>
    </row>
    <row r="111" spans="1:5" x14ac:dyDescent="0.25">
      <c r="A111" s="115"/>
      <c r="B111" s="116"/>
      <c r="C111" s="117"/>
      <c r="D111" s="118"/>
      <c r="E111" s="119"/>
    </row>
    <row r="112" spans="1:5" ht="15.75" thickBot="1" x14ac:dyDescent="0.3">
      <c r="A112" s="120"/>
      <c r="B112" s="577" t="s">
        <v>15</v>
      </c>
      <c r="C112" s="578"/>
      <c r="D112" s="579"/>
      <c r="E112" s="121">
        <f>SUM(E62:E111)</f>
        <v>835000</v>
      </c>
    </row>
    <row r="113" spans="1:5" x14ac:dyDescent="0.25">
      <c r="A113" s="110"/>
      <c r="B113" s="145"/>
      <c r="C113" s="145"/>
      <c r="D113" s="144"/>
      <c r="E113" s="146"/>
    </row>
    <row r="114" spans="1:5" x14ac:dyDescent="0.25">
      <c r="A114" s="109"/>
      <c r="B114" s="109"/>
      <c r="C114" s="110"/>
      <c r="D114" s="123" t="s">
        <v>151</v>
      </c>
      <c r="E114" s="109"/>
    </row>
    <row r="115" spans="1:5" x14ac:dyDescent="0.25">
      <c r="A115" s="144"/>
      <c r="B115" s="144"/>
      <c r="C115" s="144"/>
      <c r="D115" s="123" t="s">
        <v>100</v>
      </c>
      <c r="E115" s="144"/>
    </row>
    <row r="160" spans="1:5" x14ac:dyDescent="0.25">
      <c r="A160" s="108" t="s">
        <v>0</v>
      </c>
      <c r="B160" s="144"/>
      <c r="C160" s="144"/>
      <c r="D160" s="144"/>
      <c r="E160" s="144"/>
    </row>
    <row r="161" spans="1:5" x14ac:dyDescent="0.25">
      <c r="A161" s="108" t="s">
        <v>1</v>
      </c>
      <c r="B161" s="109"/>
      <c r="C161" s="110"/>
      <c r="D161" s="109"/>
      <c r="E161" s="109"/>
    </row>
    <row r="162" spans="1:5" x14ac:dyDescent="0.25">
      <c r="A162" s="108"/>
      <c r="B162" s="109"/>
      <c r="C162" s="110"/>
      <c r="D162" s="109"/>
      <c r="E162" s="109"/>
    </row>
    <row r="163" spans="1:5" x14ac:dyDescent="0.25">
      <c r="A163" s="111" t="s">
        <v>101</v>
      </c>
      <c r="B163" s="111"/>
      <c r="C163" s="111"/>
      <c r="D163" s="111"/>
      <c r="E163" s="111"/>
    </row>
    <row r="164" spans="1:5" x14ac:dyDescent="0.25">
      <c r="A164" s="575" t="s">
        <v>99</v>
      </c>
      <c r="B164" s="576"/>
      <c r="C164" s="576"/>
      <c r="D164" s="576"/>
      <c r="E164" s="576"/>
    </row>
    <row r="165" spans="1:5" x14ac:dyDescent="0.25">
      <c r="A165" s="110"/>
      <c r="B165" s="110"/>
      <c r="C165" s="110"/>
      <c r="D165" s="110"/>
      <c r="E165" s="110"/>
    </row>
    <row r="166" spans="1:5" ht="15.75" thickBot="1" x14ac:dyDescent="0.3">
      <c r="A166" s="109"/>
      <c r="B166" s="109"/>
      <c r="C166" s="110"/>
      <c r="D166" s="109"/>
      <c r="E166" s="124" t="s">
        <v>249</v>
      </c>
    </row>
    <row r="167" spans="1:5" x14ac:dyDescent="0.25">
      <c r="A167" s="112" t="s">
        <v>21</v>
      </c>
      <c r="B167" s="113" t="s">
        <v>96</v>
      </c>
      <c r="C167" s="113" t="s">
        <v>97</v>
      </c>
      <c r="D167" s="113" t="s">
        <v>91</v>
      </c>
      <c r="E167" s="114" t="s">
        <v>15</v>
      </c>
    </row>
    <row r="168" spans="1:5" x14ac:dyDescent="0.25">
      <c r="A168" s="115">
        <v>1</v>
      </c>
      <c r="B168" s="166" t="s">
        <v>251</v>
      </c>
      <c r="C168" s="167" t="s">
        <v>257</v>
      </c>
      <c r="D168" s="118"/>
      <c r="E168" s="119">
        <v>12500</v>
      </c>
    </row>
    <row r="169" spans="1:5" x14ac:dyDescent="0.25">
      <c r="A169" s="115">
        <f>A168+1</f>
        <v>2</v>
      </c>
      <c r="B169" s="166" t="s">
        <v>252</v>
      </c>
      <c r="C169" s="167" t="s">
        <v>258</v>
      </c>
      <c r="D169" s="118"/>
      <c r="E169" s="119">
        <v>40000</v>
      </c>
    </row>
    <row r="170" spans="1:5" x14ac:dyDescent="0.25">
      <c r="A170" s="115">
        <f t="shared" ref="A170:A217" si="2">A169+1</f>
        <v>3</v>
      </c>
      <c r="B170" s="166" t="s">
        <v>253</v>
      </c>
      <c r="C170" s="167" t="s">
        <v>259</v>
      </c>
      <c r="D170" s="118"/>
      <c r="E170" s="119">
        <v>5000</v>
      </c>
    </row>
    <row r="171" spans="1:5" x14ac:dyDescent="0.25">
      <c r="A171" s="115">
        <f t="shared" si="2"/>
        <v>4</v>
      </c>
      <c r="B171" s="166" t="s">
        <v>254</v>
      </c>
      <c r="C171" s="167" t="s">
        <v>260</v>
      </c>
      <c r="D171" s="118"/>
      <c r="E171" s="119">
        <v>27500</v>
      </c>
    </row>
    <row r="172" spans="1:5" x14ac:dyDescent="0.25">
      <c r="A172" s="115">
        <f t="shared" si="2"/>
        <v>5</v>
      </c>
      <c r="B172" s="166" t="s">
        <v>255</v>
      </c>
      <c r="C172" s="167" t="s">
        <v>261</v>
      </c>
      <c r="D172" s="118"/>
      <c r="E172" s="119">
        <v>52500</v>
      </c>
    </row>
    <row r="173" spans="1:5" x14ac:dyDescent="0.25">
      <c r="A173" s="115">
        <f t="shared" si="2"/>
        <v>6</v>
      </c>
      <c r="B173" s="166" t="s">
        <v>256</v>
      </c>
      <c r="C173" s="167" t="s">
        <v>262</v>
      </c>
      <c r="D173" s="118"/>
      <c r="E173" s="119">
        <v>42500</v>
      </c>
    </row>
    <row r="174" spans="1:5" x14ac:dyDescent="0.25">
      <c r="A174" s="115">
        <f t="shared" si="2"/>
        <v>7</v>
      </c>
      <c r="B174" s="166" t="s">
        <v>271</v>
      </c>
      <c r="C174" s="167" t="s">
        <v>263</v>
      </c>
      <c r="D174" s="118"/>
      <c r="E174" s="119">
        <v>52500</v>
      </c>
    </row>
    <row r="175" spans="1:5" x14ac:dyDescent="0.25">
      <c r="A175" s="115">
        <f t="shared" si="2"/>
        <v>8</v>
      </c>
      <c r="B175" s="166" t="s">
        <v>272</v>
      </c>
      <c r="C175" s="167" t="s">
        <v>264</v>
      </c>
      <c r="D175" s="118"/>
      <c r="E175" s="119">
        <v>12500</v>
      </c>
    </row>
    <row r="176" spans="1:5" x14ac:dyDescent="0.25">
      <c r="A176" s="115">
        <f t="shared" si="2"/>
        <v>9</v>
      </c>
      <c r="B176" s="166" t="s">
        <v>273</v>
      </c>
      <c r="C176" s="167" t="s">
        <v>265</v>
      </c>
      <c r="D176" s="118"/>
      <c r="E176" s="119">
        <v>5000</v>
      </c>
    </row>
    <row r="177" spans="1:5" x14ac:dyDescent="0.25">
      <c r="A177" s="115">
        <f t="shared" si="2"/>
        <v>10</v>
      </c>
      <c r="B177" s="166" t="s">
        <v>274</v>
      </c>
      <c r="C177" s="167" t="s">
        <v>266</v>
      </c>
      <c r="D177" s="118"/>
      <c r="E177" s="119">
        <v>5000</v>
      </c>
    </row>
    <row r="178" spans="1:5" x14ac:dyDescent="0.25">
      <c r="A178" s="115">
        <f t="shared" si="2"/>
        <v>11</v>
      </c>
      <c r="B178" s="166" t="s">
        <v>275</v>
      </c>
      <c r="C178" s="167" t="s">
        <v>267</v>
      </c>
      <c r="D178" s="118"/>
      <c r="E178" s="119">
        <v>32500</v>
      </c>
    </row>
    <row r="179" spans="1:5" x14ac:dyDescent="0.25">
      <c r="A179" s="115">
        <f t="shared" si="2"/>
        <v>12</v>
      </c>
      <c r="B179" s="166" t="s">
        <v>276</v>
      </c>
      <c r="C179" s="167" t="s">
        <v>268</v>
      </c>
      <c r="D179" s="118"/>
      <c r="E179" s="119">
        <v>72500</v>
      </c>
    </row>
    <row r="180" spans="1:5" x14ac:dyDescent="0.25">
      <c r="A180" s="115">
        <f t="shared" si="2"/>
        <v>13</v>
      </c>
      <c r="B180" s="166" t="s">
        <v>277</v>
      </c>
      <c r="C180" s="167" t="s">
        <v>269</v>
      </c>
      <c r="D180" s="118"/>
      <c r="E180" s="119">
        <v>12500</v>
      </c>
    </row>
    <row r="181" spans="1:5" x14ac:dyDescent="0.25">
      <c r="A181" s="115">
        <f t="shared" si="2"/>
        <v>14</v>
      </c>
      <c r="B181" s="166" t="s">
        <v>278</v>
      </c>
      <c r="C181" s="167" t="s">
        <v>270</v>
      </c>
      <c r="D181" s="118"/>
      <c r="E181" s="119">
        <v>32500</v>
      </c>
    </row>
    <row r="182" spans="1:5" x14ac:dyDescent="0.25">
      <c r="A182" s="115">
        <f t="shared" si="2"/>
        <v>15</v>
      </c>
      <c r="B182" s="166" t="s">
        <v>279</v>
      </c>
      <c r="C182" s="167" t="s">
        <v>290</v>
      </c>
      <c r="D182" s="118"/>
      <c r="E182" s="119">
        <v>22500</v>
      </c>
    </row>
    <row r="183" spans="1:5" x14ac:dyDescent="0.25">
      <c r="A183" s="115">
        <f t="shared" si="2"/>
        <v>16</v>
      </c>
      <c r="B183" s="166" t="s">
        <v>280</v>
      </c>
      <c r="C183" s="167" t="s">
        <v>291</v>
      </c>
      <c r="D183" s="118"/>
      <c r="E183" s="119">
        <v>12500</v>
      </c>
    </row>
    <row r="184" spans="1:5" x14ac:dyDescent="0.25">
      <c r="A184" s="115">
        <f t="shared" si="2"/>
        <v>17</v>
      </c>
      <c r="B184" s="166" t="s">
        <v>281</v>
      </c>
      <c r="C184" s="167" t="s">
        <v>292</v>
      </c>
      <c r="D184" s="118"/>
      <c r="E184" s="119">
        <v>5000</v>
      </c>
    </row>
    <row r="185" spans="1:5" x14ac:dyDescent="0.25">
      <c r="A185" s="115">
        <f t="shared" si="2"/>
        <v>18</v>
      </c>
      <c r="B185" s="166" t="s">
        <v>282</v>
      </c>
      <c r="C185" s="167" t="s">
        <v>293</v>
      </c>
      <c r="D185" s="118"/>
      <c r="E185" s="119">
        <v>12500</v>
      </c>
    </row>
    <row r="186" spans="1:5" x14ac:dyDescent="0.25">
      <c r="A186" s="115">
        <f t="shared" si="2"/>
        <v>19</v>
      </c>
      <c r="B186" s="166" t="s">
        <v>283</v>
      </c>
      <c r="C186" s="167" t="s">
        <v>294</v>
      </c>
      <c r="D186" s="118"/>
      <c r="E186" s="119">
        <v>52500</v>
      </c>
    </row>
    <row r="187" spans="1:5" x14ac:dyDescent="0.25">
      <c r="A187" s="115">
        <f t="shared" si="2"/>
        <v>20</v>
      </c>
      <c r="B187" s="166" t="s">
        <v>284</v>
      </c>
      <c r="C187" s="167" t="s">
        <v>295</v>
      </c>
      <c r="D187" s="118"/>
      <c r="E187" s="119">
        <v>22500</v>
      </c>
    </row>
    <row r="188" spans="1:5" x14ac:dyDescent="0.25">
      <c r="A188" s="115">
        <f t="shared" si="2"/>
        <v>21</v>
      </c>
      <c r="B188" s="166" t="s">
        <v>285</v>
      </c>
      <c r="C188" s="167" t="s">
        <v>296</v>
      </c>
      <c r="D188" s="118"/>
      <c r="E188" s="119">
        <v>20000</v>
      </c>
    </row>
    <row r="189" spans="1:5" x14ac:dyDescent="0.25">
      <c r="A189" s="115">
        <f t="shared" si="2"/>
        <v>22</v>
      </c>
      <c r="B189" s="166" t="s">
        <v>286</v>
      </c>
      <c r="C189" s="167" t="s">
        <v>297</v>
      </c>
      <c r="D189" s="118"/>
      <c r="E189" s="119">
        <v>12500</v>
      </c>
    </row>
    <row r="190" spans="1:5" x14ac:dyDescent="0.25">
      <c r="A190" s="115">
        <f t="shared" si="2"/>
        <v>23</v>
      </c>
      <c r="B190" s="166" t="s">
        <v>287</v>
      </c>
      <c r="C190" s="167" t="s">
        <v>298</v>
      </c>
      <c r="D190" s="118"/>
      <c r="E190" s="119">
        <v>32500</v>
      </c>
    </row>
    <row r="191" spans="1:5" x14ac:dyDescent="0.25">
      <c r="A191" s="115">
        <f t="shared" si="2"/>
        <v>24</v>
      </c>
      <c r="B191" s="166" t="s">
        <v>288</v>
      </c>
      <c r="C191" s="167" t="s">
        <v>299</v>
      </c>
      <c r="D191" s="118"/>
      <c r="E191" s="119">
        <v>12500</v>
      </c>
    </row>
    <row r="192" spans="1:5" x14ac:dyDescent="0.25">
      <c r="A192" s="115">
        <f t="shared" si="2"/>
        <v>25</v>
      </c>
      <c r="B192" s="166" t="s">
        <v>289</v>
      </c>
      <c r="C192" s="167" t="s">
        <v>300</v>
      </c>
      <c r="D192" s="118"/>
      <c r="E192" s="119">
        <v>37500</v>
      </c>
    </row>
    <row r="193" spans="1:5" x14ac:dyDescent="0.25">
      <c r="A193" s="115">
        <f t="shared" si="2"/>
        <v>26</v>
      </c>
      <c r="B193" s="166" t="s">
        <v>314</v>
      </c>
      <c r="C193" s="167" t="s">
        <v>301</v>
      </c>
      <c r="D193" s="118"/>
      <c r="E193" s="119">
        <v>5000</v>
      </c>
    </row>
    <row r="194" spans="1:5" x14ac:dyDescent="0.25">
      <c r="A194" s="115">
        <f t="shared" si="2"/>
        <v>27</v>
      </c>
      <c r="B194" s="166" t="s">
        <v>315</v>
      </c>
      <c r="C194" s="167" t="s">
        <v>302</v>
      </c>
      <c r="D194" s="118"/>
      <c r="E194" s="119">
        <v>5000</v>
      </c>
    </row>
    <row r="195" spans="1:5" x14ac:dyDescent="0.25">
      <c r="A195" s="115">
        <f t="shared" si="2"/>
        <v>28</v>
      </c>
      <c r="B195" s="166" t="s">
        <v>316</v>
      </c>
      <c r="C195" s="167" t="s">
        <v>303</v>
      </c>
      <c r="D195" s="118"/>
      <c r="E195" s="119">
        <v>22500</v>
      </c>
    </row>
    <row r="196" spans="1:5" x14ac:dyDescent="0.25">
      <c r="A196" s="115">
        <f t="shared" si="2"/>
        <v>29</v>
      </c>
      <c r="B196" s="166" t="s">
        <v>317</v>
      </c>
      <c r="C196" s="167" t="s">
        <v>304</v>
      </c>
      <c r="D196" s="118"/>
      <c r="E196" s="119">
        <v>5000</v>
      </c>
    </row>
    <row r="197" spans="1:5" x14ac:dyDescent="0.25">
      <c r="A197" s="115">
        <f t="shared" si="2"/>
        <v>30</v>
      </c>
      <c r="B197" s="166" t="s">
        <v>318</v>
      </c>
      <c r="C197" s="167" t="s">
        <v>305</v>
      </c>
      <c r="D197" s="118"/>
      <c r="E197" s="119">
        <v>20000</v>
      </c>
    </row>
    <row r="198" spans="1:5" x14ac:dyDescent="0.25">
      <c r="A198" s="115">
        <f t="shared" si="2"/>
        <v>31</v>
      </c>
      <c r="B198" s="166" t="s">
        <v>319</v>
      </c>
      <c r="C198" s="167" t="s">
        <v>306</v>
      </c>
      <c r="D198" s="118"/>
      <c r="E198" s="119">
        <v>5000</v>
      </c>
    </row>
    <row r="199" spans="1:5" x14ac:dyDescent="0.25">
      <c r="A199" s="115">
        <f t="shared" si="2"/>
        <v>32</v>
      </c>
      <c r="B199" s="166" t="s">
        <v>320</v>
      </c>
      <c r="C199" s="167" t="s">
        <v>307</v>
      </c>
      <c r="D199" s="118"/>
      <c r="E199" s="119">
        <v>12500</v>
      </c>
    </row>
    <row r="200" spans="1:5" x14ac:dyDescent="0.25">
      <c r="A200" s="115">
        <f t="shared" si="2"/>
        <v>33</v>
      </c>
      <c r="B200" s="166" t="s">
        <v>321</v>
      </c>
      <c r="C200" s="167" t="s">
        <v>308</v>
      </c>
      <c r="D200" s="118"/>
      <c r="E200" s="119">
        <v>5000</v>
      </c>
    </row>
    <row r="201" spans="1:5" x14ac:dyDescent="0.25">
      <c r="A201" s="115">
        <f t="shared" si="2"/>
        <v>34</v>
      </c>
      <c r="B201" s="166" t="s">
        <v>322</v>
      </c>
      <c r="C201" s="167" t="s">
        <v>309</v>
      </c>
      <c r="D201" s="118"/>
      <c r="E201" s="119">
        <v>5000</v>
      </c>
    </row>
    <row r="202" spans="1:5" x14ac:dyDescent="0.25">
      <c r="A202" s="115">
        <f t="shared" si="2"/>
        <v>35</v>
      </c>
      <c r="B202" s="166" t="s">
        <v>323</v>
      </c>
      <c r="C202" s="167" t="s">
        <v>310</v>
      </c>
      <c r="D202" s="118"/>
      <c r="E202" s="119">
        <v>5000</v>
      </c>
    </row>
    <row r="203" spans="1:5" x14ac:dyDescent="0.25">
      <c r="A203" s="115">
        <f t="shared" si="2"/>
        <v>36</v>
      </c>
      <c r="B203" s="166" t="s">
        <v>324</v>
      </c>
      <c r="C203" s="167" t="s">
        <v>311</v>
      </c>
      <c r="D203" s="118"/>
      <c r="E203" s="119">
        <v>5000</v>
      </c>
    </row>
    <row r="204" spans="1:5" x14ac:dyDescent="0.25">
      <c r="A204" s="115">
        <f t="shared" si="2"/>
        <v>37</v>
      </c>
      <c r="B204" s="166" t="s">
        <v>325</v>
      </c>
      <c r="C204" s="167" t="s">
        <v>312</v>
      </c>
      <c r="D204" s="118"/>
      <c r="E204" s="119">
        <v>5000</v>
      </c>
    </row>
    <row r="205" spans="1:5" x14ac:dyDescent="0.25">
      <c r="A205" s="115">
        <f t="shared" si="2"/>
        <v>38</v>
      </c>
      <c r="B205" s="166" t="s">
        <v>326</v>
      </c>
      <c r="C205" s="167" t="s">
        <v>313</v>
      </c>
      <c r="D205" s="118"/>
      <c r="E205" s="119">
        <v>5000</v>
      </c>
    </row>
    <row r="206" spans="1:5" x14ac:dyDescent="0.25">
      <c r="A206" s="115">
        <f t="shared" si="2"/>
        <v>39</v>
      </c>
      <c r="B206" s="166" t="s">
        <v>327</v>
      </c>
      <c r="C206" s="167" t="s">
        <v>334</v>
      </c>
      <c r="D206" s="118"/>
      <c r="E206" s="119">
        <v>12500</v>
      </c>
    </row>
    <row r="207" spans="1:5" x14ac:dyDescent="0.25">
      <c r="A207" s="115">
        <f t="shared" si="2"/>
        <v>40</v>
      </c>
      <c r="B207" s="166" t="s">
        <v>328</v>
      </c>
      <c r="C207" s="167" t="s">
        <v>335</v>
      </c>
      <c r="D207" s="118"/>
      <c r="E207" s="119">
        <v>5000</v>
      </c>
    </row>
    <row r="208" spans="1:5" x14ac:dyDescent="0.25">
      <c r="A208" s="115">
        <f t="shared" si="2"/>
        <v>41</v>
      </c>
      <c r="B208" s="166" t="s">
        <v>329</v>
      </c>
      <c r="C208" s="167" t="s">
        <v>336</v>
      </c>
      <c r="D208" s="118"/>
      <c r="E208" s="119">
        <v>5000</v>
      </c>
    </row>
    <row r="209" spans="1:5" x14ac:dyDescent="0.25">
      <c r="A209" s="115">
        <f t="shared" si="2"/>
        <v>42</v>
      </c>
      <c r="B209" s="166" t="s">
        <v>319</v>
      </c>
      <c r="C209" s="167" t="s">
        <v>337</v>
      </c>
      <c r="D209" s="118"/>
      <c r="E209" s="119">
        <v>5000</v>
      </c>
    </row>
    <row r="210" spans="1:5" x14ac:dyDescent="0.25">
      <c r="A210" s="115">
        <f t="shared" si="2"/>
        <v>43</v>
      </c>
      <c r="B210" s="166" t="s">
        <v>330</v>
      </c>
      <c r="C210" s="167" t="s">
        <v>338</v>
      </c>
      <c r="D210" s="118"/>
      <c r="E210" s="119">
        <v>5000</v>
      </c>
    </row>
    <row r="211" spans="1:5" x14ac:dyDescent="0.25">
      <c r="A211" s="115">
        <f t="shared" si="2"/>
        <v>44</v>
      </c>
      <c r="B211" s="166" t="s">
        <v>331</v>
      </c>
      <c r="C211" s="167" t="s">
        <v>339</v>
      </c>
      <c r="D211" s="118"/>
      <c r="E211" s="119">
        <v>12500</v>
      </c>
    </row>
    <row r="212" spans="1:5" x14ac:dyDescent="0.25">
      <c r="A212" s="115">
        <f t="shared" si="2"/>
        <v>45</v>
      </c>
      <c r="B212" s="166" t="s">
        <v>332</v>
      </c>
      <c r="C212" s="167" t="s">
        <v>340</v>
      </c>
      <c r="D212" s="118"/>
      <c r="E212" s="119">
        <v>5000</v>
      </c>
    </row>
    <row r="213" spans="1:5" x14ac:dyDescent="0.25">
      <c r="A213" s="115">
        <f t="shared" si="2"/>
        <v>46</v>
      </c>
      <c r="B213" s="166" t="s">
        <v>333</v>
      </c>
      <c r="C213" s="167" t="s">
        <v>341</v>
      </c>
      <c r="D213" s="118"/>
      <c r="E213" s="119">
        <v>5000</v>
      </c>
    </row>
    <row r="214" spans="1:5" x14ac:dyDescent="0.25">
      <c r="A214" s="115">
        <f t="shared" si="2"/>
        <v>47</v>
      </c>
      <c r="B214" s="166" t="s">
        <v>346</v>
      </c>
      <c r="C214" s="167" t="s">
        <v>342</v>
      </c>
      <c r="D214" s="118"/>
      <c r="E214" s="119">
        <v>5000</v>
      </c>
    </row>
    <row r="215" spans="1:5" x14ac:dyDescent="0.25">
      <c r="A215" s="115">
        <f t="shared" si="2"/>
        <v>48</v>
      </c>
      <c r="B215" s="166" t="s">
        <v>347</v>
      </c>
      <c r="C215" s="167" t="s">
        <v>343</v>
      </c>
      <c r="D215" s="118"/>
      <c r="E215" s="119">
        <v>12500</v>
      </c>
    </row>
    <row r="216" spans="1:5" x14ac:dyDescent="0.25">
      <c r="A216" s="115">
        <f t="shared" si="2"/>
        <v>49</v>
      </c>
      <c r="B216" s="166" t="s">
        <v>348</v>
      </c>
      <c r="C216" s="167" t="s">
        <v>344</v>
      </c>
      <c r="D216" s="118"/>
      <c r="E216" s="119">
        <v>5000</v>
      </c>
    </row>
    <row r="217" spans="1:5" x14ac:dyDescent="0.25">
      <c r="A217" s="115">
        <f t="shared" si="2"/>
        <v>50</v>
      </c>
      <c r="B217" s="166" t="s">
        <v>349</v>
      </c>
      <c r="C217" s="167" t="s">
        <v>345</v>
      </c>
      <c r="D217" s="118"/>
      <c r="E217" s="119">
        <v>5000</v>
      </c>
    </row>
    <row r="218" spans="1:5" x14ac:dyDescent="0.25">
      <c r="A218" s="115"/>
      <c r="B218" s="116"/>
      <c r="C218" s="117"/>
      <c r="D218" s="118"/>
      <c r="E218" s="119"/>
    </row>
    <row r="219" spans="1:5" ht="15.75" thickBot="1" x14ac:dyDescent="0.3">
      <c r="A219" s="120"/>
      <c r="B219" s="577" t="s">
        <v>15</v>
      </c>
      <c r="C219" s="578"/>
      <c r="D219" s="579"/>
      <c r="E219" s="121">
        <f>SUM(E168:E218)</f>
        <v>835000</v>
      </c>
    </row>
    <row r="220" spans="1:5" x14ac:dyDescent="0.25">
      <c r="A220" s="110"/>
      <c r="B220" s="145"/>
      <c r="C220" s="145"/>
      <c r="D220" s="144"/>
      <c r="E220" s="146"/>
    </row>
    <row r="221" spans="1:5" x14ac:dyDescent="0.25">
      <c r="A221" s="109"/>
      <c r="B221" s="109"/>
      <c r="C221" s="110"/>
      <c r="D221" s="123" t="s">
        <v>250</v>
      </c>
      <c r="E221" s="109"/>
    </row>
    <row r="222" spans="1:5" x14ac:dyDescent="0.25">
      <c r="A222" s="144"/>
      <c r="B222" s="144"/>
      <c r="C222" s="144"/>
      <c r="D222" s="123" t="s">
        <v>100</v>
      </c>
      <c r="E222" s="144"/>
    </row>
    <row r="266" spans="1:5" x14ac:dyDescent="0.25">
      <c r="A266" s="108" t="s">
        <v>0</v>
      </c>
      <c r="B266" s="144"/>
      <c r="C266" s="144"/>
      <c r="D266" s="144"/>
      <c r="E266" s="144"/>
    </row>
    <row r="267" spans="1:5" x14ac:dyDescent="0.25">
      <c r="A267" s="108" t="s">
        <v>1</v>
      </c>
      <c r="B267" s="109"/>
      <c r="C267" s="110"/>
      <c r="D267" s="109"/>
      <c r="E267" s="109"/>
    </row>
    <row r="268" spans="1:5" x14ac:dyDescent="0.25">
      <c r="A268" s="108"/>
      <c r="B268" s="109"/>
      <c r="C268" s="110"/>
      <c r="D268" s="109"/>
      <c r="E268" s="109"/>
    </row>
    <row r="269" spans="1:5" x14ac:dyDescent="0.25">
      <c r="A269" s="111" t="s">
        <v>101</v>
      </c>
      <c r="B269" s="111"/>
      <c r="C269" s="111"/>
      <c r="D269" s="111"/>
      <c r="E269" s="111"/>
    </row>
    <row r="270" spans="1:5" x14ac:dyDescent="0.25">
      <c r="A270" s="575" t="s">
        <v>99</v>
      </c>
      <c r="B270" s="576"/>
      <c r="C270" s="576"/>
      <c r="D270" s="576"/>
      <c r="E270" s="576"/>
    </row>
    <row r="271" spans="1:5" x14ac:dyDescent="0.25">
      <c r="A271" s="110"/>
      <c r="B271" s="110"/>
      <c r="C271" s="110"/>
      <c r="D271" s="110"/>
      <c r="E271" s="110"/>
    </row>
    <row r="272" spans="1:5" ht="15.75" thickBot="1" x14ac:dyDescent="0.3">
      <c r="A272" s="109"/>
      <c r="B272" s="109"/>
      <c r="C272" s="110"/>
      <c r="D272" s="109"/>
      <c r="E272" s="124" t="s">
        <v>350</v>
      </c>
    </row>
    <row r="273" spans="1:5" x14ac:dyDescent="0.25">
      <c r="A273" s="112" t="s">
        <v>21</v>
      </c>
      <c r="B273" s="113" t="s">
        <v>96</v>
      </c>
      <c r="C273" s="113" t="s">
        <v>97</v>
      </c>
      <c r="D273" s="113" t="s">
        <v>91</v>
      </c>
      <c r="E273" s="114" t="s">
        <v>15</v>
      </c>
    </row>
    <row r="274" spans="1:5" x14ac:dyDescent="0.25">
      <c r="A274" s="115">
        <v>1</v>
      </c>
      <c r="B274" s="166" t="s">
        <v>352</v>
      </c>
      <c r="C274" s="167" t="s">
        <v>359</v>
      </c>
      <c r="D274" s="118"/>
      <c r="E274" s="119">
        <v>30000</v>
      </c>
    </row>
    <row r="275" spans="1:5" x14ac:dyDescent="0.25">
      <c r="A275" s="115">
        <f>A274+1</f>
        <v>2</v>
      </c>
      <c r="B275" s="166" t="s">
        <v>353</v>
      </c>
      <c r="C275" s="167" t="s">
        <v>360</v>
      </c>
      <c r="D275" s="118"/>
      <c r="E275" s="119">
        <v>30000</v>
      </c>
    </row>
    <row r="276" spans="1:5" x14ac:dyDescent="0.25">
      <c r="A276" s="115">
        <f t="shared" ref="A276:A302" si="3">A275+1</f>
        <v>3</v>
      </c>
      <c r="B276" s="166" t="s">
        <v>354</v>
      </c>
      <c r="C276" s="167" t="s">
        <v>361</v>
      </c>
      <c r="D276" s="118"/>
      <c r="E276" s="119">
        <v>5000</v>
      </c>
    </row>
    <row r="277" spans="1:5" x14ac:dyDescent="0.25">
      <c r="A277" s="115">
        <f t="shared" si="3"/>
        <v>4</v>
      </c>
      <c r="B277" s="166" t="s">
        <v>355</v>
      </c>
      <c r="C277" s="167" t="s">
        <v>362</v>
      </c>
      <c r="D277" s="118"/>
      <c r="E277" s="119">
        <v>12500</v>
      </c>
    </row>
    <row r="278" spans="1:5" x14ac:dyDescent="0.25">
      <c r="A278" s="115">
        <f t="shared" si="3"/>
        <v>5</v>
      </c>
      <c r="B278" s="166" t="s">
        <v>356</v>
      </c>
      <c r="C278" s="167" t="s">
        <v>363</v>
      </c>
      <c r="D278" s="118"/>
      <c r="E278" s="119">
        <v>5000</v>
      </c>
    </row>
    <row r="279" spans="1:5" x14ac:dyDescent="0.25">
      <c r="A279" s="115">
        <f t="shared" si="3"/>
        <v>6</v>
      </c>
      <c r="B279" s="166" t="s">
        <v>357</v>
      </c>
      <c r="C279" s="167" t="s">
        <v>364</v>
      </c>
      <c r="D279" s="118"/>
      <c r="E279" s="119">
        <v>5000</v>
      </c>
    </row>
    <row r="280" spans="1:5" x14ac:dyDescent="0.25">
      <c r="A280" s="115">
        <f t="shared" si="3"/>
        <v>7</v>
      </c>
      <c r="B280" s="166" t="s">
        <v>358</v>
      </c>
      <c r="C280" s="167" t="s">
        <v>365</v>
      </c>
      <c r="D280" s="118"/>
      <c r="E280" s="119">
        <v>5000</v>
      </c>
    </row>
    <row r="281" spans="1:5" x14ac:dyDescent="0.25">
      <c r="A281" s="115">
        <f t="shared" si="3"/>
        <v>8</v>
      </c>
      <c r="B281" s="166" t="s">
        <v>375</v>
      </c>
      <c r="C281" s="167" t="s">
        <v>366</v>
      </c>
      <c r="D281" s="118"/>
      <c r="E281" s="119">
        <v>5000</v>
      </c>
    </row>
    <row r="282" spans="1:5" x14ac:dyDescent="0.25">
      <c r="A282" s="115">
        <f t="shared" si="3"/>
        <v>9</v>
      </c>
      <c r="B282" s="166" t="s">
        <v>376</v>
      </c>
      <c r="C282" s="167" t="s">
        <v>367</v>
      </c>
      <c r="D282" s="118"/>
      <c r="E282" s="119">
        <v>22500</v>
      </c>
    </row>
    <row r="283" spans="1:5" x14ac:dyDescent="0.25">
      <c r="A283" s="115">
        <f t="shared" si="3"/>
        <v>10</v>
      </c>
      <c r="B283" s="166" t="s">
        <v>377</v>
      </c>
      <c r="C283" s="167" t="s">
        <v>368</v>
      </c>
      <c r="D283" s="118"/>
      <c r="E283" s="119">
        <v>50000</v>
      </c>
    </row>
    <row r="284" spans="1:5" x14ac:dyDescent="0.25">
      <c r="A284" s="115">
        <f t="shared" si="3"/>
        <v>11</v>
      </c>
      <c r="B284" s="166" t="s">
        <v>378</v>
      </c>
      <c r="C284" s="167" t="s">
        <v>369</v>
      </c>
      <c r="D284" s="118"/>
      <c r="E284" s="119">
        <v>5000</v>
      </c>
    </row>
    <row r="285" spans="1:5" x14ac:dyDescent="0.25">
      <c r="A285" s="115">
        <f t="shared" si="3"/>
        <v>12</v>
      </c>
      <c r="B285" s="166" t="s">
        <v>379</v>
      </c>
      <c r="C285" s="167" t="s">
        <v>370</v>
      </c>
      <c r="D285" s="118"/>
      <c r="E285" s="119">
        <v>5000</v>
      </c>
    </row>
    <row r="286" spans="1:5" x14ac:dyDescent="0.25">
      <c r="A286" s="115">
        <f t="shared" si="3"/>
        <v>13</v>
      </c>
      <c r="B286" s="166" t="s">
        <v>380</v>
      </c>
      <c r="C286" s="167" t="s">
        <v>371</v>
      </c>
      <c r="D286" s="118"/>
      <c r="E286" s="119">
        <v>5000</v>
      </c>
    </row>
    <row r="287" spans="1:5" x14ac:dyDescent="0.25">
      <c r="A287" s="115">
        <f t="shared" si="3"/>
        <v>14</v>
      </c>
      <c r="B287" s="166" t="s">
        <v>381</v>
      </c>
      <c r="C287" s="167" t="s">
        <v>372</v>
      </c>
      <c r="D287" s="118"/>
      <c r="E287" s="119">
        <v>5000</v>
      </c>
    </row>
    <row r="288" spans="1:5" x14ac:dyDescent="0.25">
      <c r="A288" s="115">
        <f t="shared" si="3"/>
        <v>15</v>
      </c>
      <c r="B288" s="166" t="s">
        <v>382</v>
      </c>
      <c r="C288" s="167" t="s">
        <v>373</v>
      </c>
      <c r="D288" s="118"/>
      <c r="E288" s="119">
        <v>12500</v>
      </c>
    </row>
    <row r="289" spans="1:5" x14ac:dyDescent="0.25">
      <c r="A289" s="115">
        <f t="shared" si="3"/>
        <v>16</v>
      </c>
      <c r="B289" s="166" t="s">
        <v>383</v>
      </c>
      <c r="C289" s="167" t="s">
        <v>374</v>
      </c>
      <c r="D289" s="118"/>
      <c r="E289" s="119">
        <v>5000</v>
      </c>
    </row>
    <row r="290" spans="1:5" x14ac:dyDescent="0.25">
      <c r="A290" s="115">
        <f t="shared" si="3"/>
        <v>17</v>
      </c>
      <c r="B290" s="166" t="s">
        <v>384</v>
      </c>
      <c r="C290" s="167" t="s">
        <v>393</v>
      </c>
      <c r="D290" s="118"/>
      <c r="E290" s="119">
        <v>12500</v>
      </c>
    </row>
    <row r="291" spans="1:5" x14ac:dyDescent="0.25">
      <c r="A291" s="115">
        <f t="shared" si="3"/>
        <v>18</v>
      </c>
      <c r="B291" s="166" t="s">
        <v>385</v>
      </c>
      <c r="C291" s="167" t="s">
        <v>394</v>
      </c>
      <c r="D291" s="118"/>
      <c r="E291" s="119">
        <v>32500</v>
      </c>
    </row>
    <row r="292" spans="1:5" x14ac:dyDescent="0.25">
      <c r="A292" s="115">
        <f t="shared" si="3"/>
        <v>19</v>
      </c>
      <c r="B292" s="166" t="s">
        <v>386</v>
      </c>
      <c r="C292" s="167" t="s">
        <v>395</v>
      </c>
      <c r="D292" s="118"/>
      <c r="E292" s="119">
        <v>5000</v>
      </c>
    </row>
    <row r="293" spans="1:5" x14ac:dyDescent="0.25">
      <c r="A293" s="115">
        <f t="shared" si="3"/>
        <v>20</v>
      </c>
      <c r="B293" s="166" t="s">
        <v>387</v>
      </c>
      <c r="C293" s="167" t="s">
        <v>396</v>
      </c>
      <c r="D293" s="118"/>
      <c r="E293" s="119">
        <v>22500</v>
      </c>
    </row>
    <row r="294" spans="1:5" x14ac:dyDescent="0.25">
      <c r="A294" s="115">
        <f t="shared" si="3"/>
        <v>21</v>
      </c>
      <c r="B294" s="166" t="s">
        <v>388</v>
      </c>
      <c r="C294" s="167" t="s">
        <v>397</v>
      </c>
      <c r="D294" s="118"/>
      <c r="E294" s="119">
        <v>22500</v>
      </c>
    </row>
    <row r="295" spans="1:5" x14ac:dyDescent="0.25">
      <c r="A295" s="115">
        <f t="shared" si="3"/>
        <v>22</v>
      </c>
      <c r="B295" s="166" t="s">
        <v>389</v>
      </c>
      <c r="C295" s="167" t="s">
        <v>398</v>
      </c>
      <c r="D295" s="118"/>
      <c r="E295" s="119">
        <v>22500</v>
      </c>
    </row>
    <row r="296" spans="1:5" x14ac:dyDescent="0.25">
      <c r="A296" s="115">
        <f t="shared" si="3"/>
        <v>23</v>
      </c>
      <c r="B296" s="166" t="s">
        <v>390</v>
      </c>
      <c r="C296" s="167" t="s">
        <v>399</v>
      </c>
      <c r="D296" s="118"/>
      <c r="E296" s="119">
        <v>5000</v>
      </c>
    </row>
    <row r="297" spans="1:5" x14ac:dyDescent="0.25">
      <c r="A297" s="115">
        <f t="shared" si="3"/>
        <v>24</v>
      </c>
      <c r="B297" s="166" t="s">
        <v>391</v>
      </c>
      <c r="C297" s="167" t="s">
        <v>400</v>
      </c>
      <c r="D297" s="118"/>
      <c r="E297" s="119">
        <v>5000</v>
      </c>
    </row>
    <row r="298" spans="1:5" x14ac:dyDescent="0.25">
      <c r="A298" s="115">
        <f t="shared" si="3"/>
        <v>25</v>
      </c>
      <c r="B298" s="166" t="s">
        <v>392</v>
      </c>
      <c r="C298" s="167" t="s">
        <v>401</v>
      </c>
      <c r="D298" s="118"/>
      <c r="E298" s="119">
        <v>12500</v>
      </c>
    </row>
    <row r="299" spans="1:5" x14ac:dyDescent="0.25">
      <c r="A299" s="115">
        <f t="shared" si="3"/>
        <v>26</v>
      </c>
      <c r="B299" s="166" t="s">
        <v>406</v>
      </c>
      <c r="C299" s="167" t="s">
        <v>402</v>
      </c>
      <c r="D299" s="118"/>
      <c r="E299" s="119">
        <v>7500</v>
      </c>
    </row>
    <row r="300" spans="1:5" x14ac:dyDescent="0.25">
      <c r="A300" s="115">
        <f t="shared" si="3"/>
        <v>27</v>
      </c>
      <c r="B300" s="166" t="s">
        <v>407</v>
      </c>
      <c r="C300" s="167" t="s">
        <v>403</v>
      </c>
      <c r="D300" s="118"/>
      <c r="E300" s="119">
        <v>5000</v>
      </c>
    </row>
    <row r="301" spans="1:5" x14ac:dyDescent="0.25">
      <c r="A301" s="115">
        <f t="shared" si="3"/>
        <v>28</v>
      </c>
      <c r="B301" s="166" t="s">
        <v>408</v>
      </c>
      <c r="C301" s="167" t="s">
        <v>404</v>
      </c>
      <c r="D301" s="118"/>
      <c r="E301" s="119">
        <v>12500</v>
      </c>
    </row>
    <row r="302" spans="1:5" x14ac:dyDescent="0.25">
      <c r="A302" s="115">
        <f t="shared" si="3"/>
        <v>29</v>
      </c>
      <c r="B302" s="166" t="s">
        <v>409</v>
      </c>
      <c r="C302" s="167" t="s">
        <v>405</v>
      </c>
      <c r="D302" s="118"/>
      <c r="E302" s="119">
        <v>12500</v>
      </c>
    </row>
    <row r="303" spans="1:5" x14ac:dyDescent="0.25">
      <c r="A303" s="115"/>
      <c r="B303" s="116"/>
      <c r="C303" s="117"/>
      <c r="D303" s="118"/>
      <c r="E303" s="119"/>
    </row>
    <row r="304" spans="1:5" ht="15.75" thickBot="1" x14ac:dyDescent="0.3">
      <c r="A304" s="120"/>
      <c r="B304" s="577" t="s">
        <v>15</v>
      </c>
      <c r="C304" s="578"/>
      <c r="D304" s="579"/>
      <c r="E304" s="121">
        <f>SUM(E274:E303)</f>
        <v>385000</v>
      </c>
    </row>
    <row r="305" spans="1:5" x14ac:dyDescent="0.25">
      <c r="A305" s="110"/>
      <c r="B305" s="145"/>
      <c r="C305" s="145"/>
      <c r="D305" s="144"/>
      <c r="E305" s="146"/>
    </row>
    <row r="306" spans="1:5" x14ac:dyDescent="0.25">
      <c r="A306" s="109"/>
      <c r="B306" s="109"/>
      <c r="C306" s="110"/>
      <c r="D306" s="123" t="s">
        <v>351</v>
      </c>
      <c r="E306" s="109"/>
    </row>
    <row r="307" spans="1:5" x14ac:dyDescent="0.25">
      <c r="A307" s="144"/>
      <c r="B307" s="144"/>
      <c r="C307" s="144"/>
      <c r="D307" s="123" t="s">
        <v>100</v>
      </c>
      <c r="E307" s="144"/>
    </row>
    <row r="319" spans="1:5" x14ac:dyDescent="0.25">
      <c r="A319" s="108" t="s">
        <v>0</v>
      </c>
      <c r="B319" s="144"/>
      <c r="C319" s="144"/>
      <c r="D319" s="144"/>
      <c r="E319" s="144"/>
    </row>
    <row r="320" spans="1:5" x14ac:dyDescent="0.25">
      <c r="A320" s="108" t="s">
        <v>1</v>
      </c>
      <c r="B320" s="109"/>
      <c r="C320" s="110"/>
      <c r="D320" s="109"/>
      <c r="E320" s="109"/>
    </row>
    <row r="321" spans="1:5" x14ac:dyDescent="0.25">
      <c r="A321" s="108"/>
      <c r="B321" s="109"/>
      <c r="C321" s="110"/>
      <c r="D321" s="109"/>
      <c r="E321" s="109"/>
    </row>
    <row r="322" spans="1:5" x14ac:dyDescent="0.25">
      <c r="A322" s="111" t="s">
        <v>101</v>
      </c>
      <c r="B322" s="111"/>
      <c r="C322" s="111"/>
      <c r="D322" s="111"/>
      <c r="E322" s="111"/>
    </row>
    <row r="323" spans="1:5" x14ac:dyDescent="0.25">
      <c r="A323" s="575" t="s">
        <v>99</v>
      </c>
      <c r="B323" s="576"/>
      <c r="C323" s="576"/>
      <c r="D323" s="576"/>
      <c r="E323" s="576"/>
    </row>
    <row r="324" spans="1:5" x14ac:dyDescent="0.25">
      <c r="A324" s="110"/>
      <c r="B324" s="110"/>
      <c r="C324" s="110"/>
      <c r="D324" s="110"/>
      <c r="E324" s="110"/>
    </row>
    <row r="325" spans="1:5" ht="15.75" thickBot="1" x14ac:dyDescent="0.3">
      <c r="A325" s="109"/>
      <c r="B325" s="109"/>
      <c r="C325" s="110"/>
      <c r="D325" s="109"/>
      <c r="E325" s="124" t="s">
        <v>410</v>
      </c>
    </row>
    <row r="326" spans="1:5" x14ac:dyDescent="0.25">
      <c r="A326" s="112" t="s">
        <v>21</v>
      </c>
      <c r="B326" s="113" t="s">
        <v>96</v>
      </c>
      <c r="C326" s="113" t="s">
        <v>97</v>
      </c>
      <c r="D326" s="113" t="s">
        <v>91</v>
      </c>
      <c r="E326" s="114" t="s">
        <v>15</v>
      </c>
    </row>
    <row r="327" spans="1:5" x14ac:dyDescent="0.25">
      <c r="A327" s="115">
        <v>1</v>
      </c>
      <c r="B327" s="166" t="s">
        <v>412</v>
      </c>
      <c r="C327" s="167" t="s">
        <v>414</v>
      </c>
      <c r="D327" s="118"/>
      <c r="E327" s="119">
        <v>5000</v>
      </c>
    </row>
    <row r="328" spans="1:5" x14ac:dyDescent="0.25">
      <c r="A328" s="115">
        <f>A327+1</f>
        <v>2</v>
      </c>
      <c r="B328" s="166" t="s">
        <v>413</v>
      </c>
      <c r="C328" s="167" t="s">
        <v>415</v>
      </c>
      <c r="D328" s="118"/>
      <c r="E328" s="119">
        <v>32500</v>
      </c>
    </row>
    <row r="329" spans="1:5" x14ac:dyDescent="0.25">
      <c r="A329" s="115">
        <f t="shared" ref="A329:A346" si="4">A328+1</f>
        <v>3</v>
      </c>
      <c r="B329" s="166" t="s">
        <v>419</v>
      </c>
      <c r="C329" s="167" t="s">
        <v>416</v>
      </c>
      <c r="D329" s="118"/>
      <c r="E329" s="119">
        <v>12500</v>
      </c>
    </row>
    <row r="330" spans="1:5" x14ac:dyDescent="0.25">
      <c r="A330" s="115">
        <f t="shared" si="4"/>
        <v>4</v>
      </c>
      <c r="B330" s="166" t="s">
        <v>420</v>
      </c>
      <c r="C330" s="167" t="s">
        <v>417</v>
      </c>
      <c r="D330" s="118"/>
      <c r="E330" s="119">
        <v>12500</v>
      </c>
    </row>
    <row r="331" spans="1:5" x14ac:dyDescent="0.25">
      <c r="A331" s="115">
        <f t="shared" si="4"/>
        <v>5</v>
      </c>
      <c r="B331" s="166" t="s">
        <v>421</v>
      </c>
      <c r="C331" s="167" t="s">
        <v>418</v>
      </c>
      <c r="D331" s="118"/>
      <c r="E331" s="119">
        <v>5000</v>
      </c>
    </row>
    <row r="332" spans="1:5" x14ac:dyDescent="0.25">
      <c r="A332" s="115">
        <f t="shared" si="4"/>
        <v>6</v>
      </c>
      <c r="B332" s="166" t="s">
        <v>422</v>
      </c>
      <c r="C332" s="167" t="s">
        <v>425</v>
      </c>
      <c r="D332" s="118"/>
      <c r="E332" s="119">
        <v>22500</v>
      </c>
    </row>
    <row r="333" spans="1:5" x14ac:dyDescent="0.25">
      <c r="A333" s="115">
        <f t="shared" si="4"/>
        <v>7</v>
      </c>
      <c r="B333" s="166" t="s">
        <v>423</v>
      </c>
      <c r="C333" s="167" t="s">
        <v>426</v>
      </c>
      <c r="D333" s="118"/>
      <c r="E333" s="119">
        <v>5000</v>
      </c>
    </row>
    <row r="334" spans="1:5" x14ac:dyDescent="0.25">
      <c r="A334" s="115">
        <f t="shared" si="4"/>
        <v>8</v>
      </c>
      <c r="B334" s="166" t="s">
        <v>424</v>
      </c>
      <c r="C334" s="167" t="s">
        <v>427</v>
      </c>
      <c r="D334" s="118"/>
      <c r="E334" s="119">
        <v>42500</v>
      </c>
    </row>
    <row r="335" spans="1:5" x14ac:dyDescent="0.25">
      <c r="A335" s="115">
        <f t="shared" si="4"/>
        <v>9</v>
      </c>
      <c r="B335" s="166" t="s">
        <v>434</v>
      </c>
      <c r="C335" s="167" t="s">
        <v>428</v>
      </c>
      <c r="D335" s="118"/>
      <c r="E335" s="119">
        <v>92500</v>
      </c>
    </row>
    <row r="336" spans="1:5" x14ac:dyDescent="0.25">
      <c r="A336" s="115">
        <f t="shared" si="4"/>
        <v>10</v>
      </c>
      <c r="B336" s="166" t="s">
        <v>435</v>
      </c>
      <c r="C336" s="167" t="s">
        <v>429</v>
      </c>
      <c r="D336" s="118"/>
      <c r="E336" s="119">
        <v>12500</v>
      </c>
    </row>
    <row r="337" spans="1:5" x14ac:dyDescent="0.25">
      <c r="A337" s="115">
        <f t="shared" si="4"/>
        <v>11</v>
      </c>
      <c r="B337" s="166" t="s">
        <v>436</v>
      </c>
      <c r="C337" s="167" t="s">
        <v>430</v>
      </c>
      <c r="D337" s="118"/>
      <c r="E337" s="119">
        <v>12500</v>
      </c>
    </row>
    <row r="338" spans="1:5" x14ac:dyDescent="0.25">
      <c r="A338" s="115">
        <f t="shared" si="4"/>
        <v>12</v>
      </c>
      <c r="B338" s="166" t="s">
        <v>437</v>
      </c>
      <c r="C338" s="167" t="s">
        <v>431</v>
      </c>
      <c r="D338" s="118"/>
      <c r="E338" s="119">
        <v>22500</v>
      </c>
    </row>
    <row r="339" spans="1:5" x14ac:dyDescent="0.25">
      <c r="A339" s="115">
        <f t="shared" si="4"/>
        <v>13</v>
      </c>
      <c r="B339" s="166" t="s">
        <v>438</v>
      </c>
      <c r="C339" s="167" t="s">
        <v>432</v>
      </c>
      <c r="D339" s="118"/>
      <c r="E339" s="119">
        <v>12500</v>
      </c>
    </row>
    <row r="340" spans="1:5" x14ac:dyDescent="0.25">
      <c r="A340" s="115">
        <f t="shared" si="4"/>
        <v>14</v>
      </c>
      <c r="B340" s="166" t="s">
        <v>439</v>
      </c>
      <c r="C340" s="167" t="s">
        <v>433</v>
      </c>
      <c r="D340" s="118"/>
      <c r="E340" s="119">
        <v>12500</v>
      </c>
    </row>
    <row r="341" spans="1:5" x14ac:dyDescent="0.25">
      <c r="A341" s="115">
        <f t="shared" si="4"/>
        <v>15</v>
      </c>
      <c r="B341" s="166" t="s">
        <v>440</v>
      </c>
      <c r="C341" s="167" t="s">
        <v>441</v>
      </c>
      <c r="D341" s="118"/>
      <c r="E341" s="119">
        <v>12500</v>
      </c>
    </row>
    <row r="342" spans="1:5" x14ac:dyDescent="0.25">
      <c r="A342" s="115">
        <f t="shared" si="4"/>
        <v>16</v>
      </c>
      <c r="B342" s="166" t="s">
        <v>446</v>
      </c>
      <c r="C342" s="167" t="s">
        <v>442</v>
      </c>
      <c r="D342" s="118"/>
      <c r="E342" s="119">
        <v>5000</v>
      </c>
    </row>
    <row r="343" spans="1:5" x14ac:dyDescent="0.25">
      <c r="A343" s="115">
        <f t="shared" si="4"/>
        <v>17</v>
      </c>
      <c r="B343" s="166" t="s">
        <v>447</v>
      </c>
      <c r="C343" s="167" t="s">
        <v>443</v>
      </c>
      <c r="D343" s="118"/>
      <c r="E343" s="119">
        <v>12500</v>
      </c>
    </row>
    <row r="344" spans="1:5" x14ac:dyDescent="0.25">
      <c r="A344" s="115">
        <f t="shared" si="4"/>
        <v>18</v>
      </c>
      <c r="B344" s="166" t="s">
        <v>406</v>
      </c>
      <c r="C344" s="167" t="s">
        <v>402</v>
      </c>
      <c r="D344" s="118"/>
      <c r="E344" s="119">
        <v>5000</v>
      </c>
    </row>
    <row r="345" spans="1:5" x14ac:dyDescent="0.25">
      <c r="A345" s="115">
        <f t="shared" si="4"/>
        <v>19</v>
      </c>
      <c r="B345" s="166" t="s">
        <v>448</v>
      </c>
      <c r="C345" s="167" t="s">
        <v>444</v>
      </c>
      <c r="D345" s="118"/>
      <c r="E345" s="119">
        <v>5000</v>
      </c>
    </row>
    <row r="346" spans="1:5" x14ac:dyDescent="0.25">
      <c r="A346" s="115">
        <f t="shared" si="4"/>
        <v>20</v>
      </c>
      <c r="B346" s="166" t="s">
        <v>449</v>
      </c>
      <c r="C346" s="167" t="s">
        <v>445</v>
      </c>
      <c r="D346" s="118"/>
      <c r="E346" s="119">
        <v>12500</v>
      </c>
    </row>
    <row r="347" spans="1:5" x14ac:dyDescent="0.25">
      <c r="A347" s="115"/>
      <c r="B347" s="116"/>
      <c r="C347" s="117"/>
      <c r="D347" s="118"/>
      <c r="E347" s="119"/>
    </row>
    <row r="348" spans="1:5" ht="15.75" thickBot="1" x14ac:dyDescent="0.3">
      <c r="A348" s="120"/>
      <c r="B348" s="577" t="s">
        <v>15</v>
      </c>
      <c r="C348" s="578"/>
      <c r="D348" s="579"/>
      <c r="E348" s="121">
        <f>SUM(E327:E347)</f>
        <v>355000</v>
      </c>
    </row>
    <row r="349" spans="1:5" x14ac:dyDescent="0.25">
      <c r="A349" s="110"/>
      <c r="B349" s="145"/>
      <c r="C349" s="145"/>
      <c r="D349" s="144"/>
      <c r="E349" s="146"/>
    </row>
    <row r="350" spans="1:5" x14ac:dyDescent="0.25">
      <c r="A350" s="109"/>
      <c r="B350" s="109"/>
      <c r="C350" s="110"/>
      <c r="D350" s="123" t="s">
        <v>411</v>
      </c>
      <c r="E350" s="109"/>
    </row>
    <row r="351" spans="1:5" x14ac:dyDescent="0.25">
      <c r="A351" s="144"/>
      <c r="B351" s="144"/>
      <c r="C351" s="144"/>
      <c r="D351" s="123" t="s">
        <v>100</v>
      </c>
      <c r="E351" s="144"/>
    </row>
    <row r="372" spans="1:5" x14ac:dyDescent="0.25">
      <c r="A372" s="108" t="s">
        <v>0</v>
      </c>
      <c r="B372" s="144"/>
      <c r="C372" s="144"/>
      <c r="D372" s="144"/>
      <c r="E372" s="144"/>
    </row>
    <row r="373" spans="1:5" x14ac:dyDescent="0.25">
      <c r="A373" s="108" t="s">
        <v>1</v>
      </c>
      <c r="B373" s="109"/>
      <c r="C373" s="110"/>
      <c r="D373" s="109"/>
      <c r="E373" s="109"/>
    </row>
    <row r="374" spans="1:5" x14ac:dyDescent="0.25">
      <c r="A374" s="108"/>
      <c r="B374" s="109"/>
      <c r="C374" s="110"/>
      <c r="D374" s="109"/>
      <c r="E374" s="109"/>
    </row>
    <row r="375" spans="1:5" x14ac:dyDescent="0.25">
      <c r="A375" s="111" t="s">
        <v>101</v>
      </c>
      <c r="B375" s="111"/>
      <c r="C375" s="111"/>
      <c r="D375" s="111"/>
      <c r="E375" s="111"/>
    </row>
    <row r="376" spans="1:5" x14ac:dyDescent="0.25">
      <c r="A376" s="575" t="s">
        <v>99</v>
      </c>
      <c r="B376" s="576"/>
      <c r="C376" s="576"/>
      <c r="D376" s="576"/>
      <c r="E376" s="576"/>
    </row>
    <row r="377" spans="1:5" x14ac:dyDescent="0.25">
      <c r="A377" s="110"/>
      <c r="B377" s="110"/>
      <c r="C377" s="110"/>
      <c r="D377" s="110"/>
      <c r="E377" s="110"/>
    </row>
    <row r="378" spans="1:5" ht="15.75" thickBot="1" x14ac:dyDescent="0.3">
      <c r="A378" s="109"/>
      <c r="B378" s="109"/>
      <c r="C378" s="110"/>
      <c r="D378" s="109"/>
      <c r="E378" s="124" t="s">
        <v>450</v>
      </c>
    </row>
    <row r="379" spans="1:5" x14ac:dyDescent="0.25">
      <c r="A379" s="112" t="s">
        <v>21</v>
      </c>
      <c r="B379" s="113" t="s">
        <v>96</v>
      </c>
      <c r="C379" s="113" t="s">
        <v>97</v>
      </c>
      <c r="D379" s="113" t="s">
        <v>91</v>
      </c>
      <c r="E379" s="114" t="s">
        <v>15</v>
      </c>
    </row>
    <row r="380" spans="1:5" x14ac:dyDescent="0.25">
      <c r="A380" s="115">
        <v>1</v>
      </c>
      <c r="B380" s="166" t="s">
        <v>452</v>
      </c>
      <c r="C380" s="167" t="s">
        <v>457</v>
      </c>
      <c r="D380" s="118"/>
      <c r="E380" s="119">
        <v>5000</v>
      </c>
    </row>
    <row r="381" spans="1:5" x14ac:dyDescent="0.25">
      <c r="A381" s="115">
        <f>A380+1</f>
        <v>2</v>
      </c>
      <c r="B381" s="166" t="s">
        <v>453</v>
      </c>
      <c r="C381" s="167" t="s">
        <v>458</v>
      </c>
      <c r="D381" s="118"/>
      <c r="E381" s="119">
        <v>17500</v>
      </c>
    </row>
    <row r="382" spans="1:5" x14ac:dyDescent="0.25">
      <c r="A382" s="115">
        <f t="shared" ref="A382:A419" si="5">A381+1</f>
        <v>3</v>
      </c>
      <c r="B382" s="166" t="s">
        <v>454</v>
      </c>
      <c r="C382" s="167" t="s">
        <v>459</v>
      </c>
      <c r="D382" s="118"/>
      <c r="E382" s="119">
        <v>5000</v>
      </c>
    </row>
    <row r="383" spans="1:5" x14ac:dyDescent="0.25">
      <c r="A383" s="115">
        <f t="shared" si="5"/>
        <v>4</v>
      </c>
      <c r="B383" s="166" t="s">
        <v>455</v>
      </c>
      <c r="C383" s="167" t="s">
        <v>460</v>
      </c>
      <c r="D383" s="118"/>
      <c r="E383" s="119">
        <v>5000</v>
      </c>
    </row>
    <row r="384" spans="1:5" x14ac:dyDescent="0.25">
      <c r="A384" s="115">
        <f t="shared" si="5"/>
        <v>5</v>
      </c>
      <c r="B384" s="166" t="s">
        <v>456</v>
      </c>
      <c r="C384" s="167" t="s">
        <v>461</v>
      </c>
      <c r="D384" s="118"/>
      <c r="E384" s="119">
        <v>50000</v>
      </c>
    </row>
    <row r="385" spans="1:5" x14ac:dyDescent="0.25">
      <c r="A385" s="115">
        <f t="shared" si="5"/>
        <v>6</v>
      </c>
      <c r="B385" s="166" t="s">
        <v>469</v>
      </c>
      <c r="C385" s="167" t="s">
        <v>462</v>
      </c>
      <c r="D385" s="118"/>
      <c r="E385" s="119">
        <v>5000</v>
      </c>
    </row>
    <row r="386" spans="1:5" x14ac:dyDescent="0.25">
      <c r="A386" s="115">
        <f t="shared" si="5"/>
        <v>7</v>
      </c>
      <c r="B386" s="166" t="s">
        <v>470</v>
      </c>
      <c r="C386" s="167" t="s">
        <v>463</v>
      </c>
      <c r="D386" s="118"/>
      <c r="E386" s="119">
        <v>5000</v>
      </c>
    </row>
    <row r="387" spans="1:5" x14ac:dyDescent="0.25">
      <c r="A387" s="115">
        <f t="shared" si="5"/>
        <v>8</v>
      </c>
      <c r="B387" s="166" t="s">
        <v>471</v>
      </c>
      <c r="C387" s="167" t="s">
        <v>464</v>
      </c>
      <c r="D387" s="118"/>
      <c r="E387" s="119">
        <v>12500</v>
      </c>
    </row>
    <row r="388" spans="1:5" x14ac:dyDescent="0.25">
      <c r="A388" s="115">
        <f t="shared" si="5"/>
        <v>9</v>
      </c>
      <c r="B388" s="166" t="s">
        <v>472</v>
      </c>
      <c r="C388" s="167" t="s">
        <v>465</v>
      </c>
      <c r="D388" s="118"/>
      <c r="E388" s="119">
        <v>5000</v>
      </c>
    </row>
    <row r="389" spans="1:5" x14ac:dyDescent="0.25">
      <c r="A389" s="115">
        <f t="shared" si="5"/>
        <v>10</v>
      </c>
      <c r="B389" s="166" t="s">
        <v>473</v>
      </c>
      <c r="C389" s="167" t="s">
        <v>466</v>
      </c>
      <c r="D389" s="118"/>
      <c r="E389" s="119">
        <v>5000</v>
      </c>
    </row>
    <row r="390" spans="1:5" x14ac:dyDescent="0.25">
      <c r="A390" s="115">
        <f t="shared" si="5"/>
        <v>11</v>
      </c>
      <c r="B390" s="166" t="s">
        <v>474</v>
      </c>
      <c r="C390" s="167" t="s">
        <v>467</v>
      </c>
      <c r="D390" s="118"/>
      <c r="E390" s="119">
        <v>22500</v>
      </c>
    </row>
    <row r="391" spans="1:5" x14ac:dyDescent="0.25">
      <c r="A391" s="115">
        <f t="shared" si="5"/>
        <v>12</v>
      </c>
      <c r="B391" s="166" t="s">
        <v>475</v>
      </c>
      <c r="C391" s="167" t="s">
        <v>468</v>
      </c>
      <c r="D391" s="118"/>
      <c r="E391" s="119">
        <v>5000</v>
      </c>
    </row>
    <row r="392" spans="1:5" x14ac:dyDescent="0.25">
      <c r="A392" s="115">
        <f t="shared" si="5"/>
        <v>13</v>
      </c>
      <c r="B392" s="166" t="s">
        <v>476</v>
      </c>
      <c r="C392" s="167" t="s">
        <v>485</v>
      </c>
      <c r="D392" s="118"/>
      <c r="E392" s="119">
        <v>5000</v>
      </c>
    </row>
    <row r="393" spans="1:5" x14ac:dyDescent="0.25">
      <c r="A393" s="115">
        <f t="shared" si="5"/>
        <v>14</v>
      </c>
      <c r="B393" s="166" t="s">
        <v>477</v>
      </c>
      <c r="C393" s="167" t="s">
        <v>486</v>
      </c>
      <c r="D393" s="118"/>
      <c r="E393" s="119">
        <v>22500</v>
      </c>
    </row>
    <row r="394" spans="1:5" x14ac:dyDescent="0.25">
      <c r="A394" s="115">
        <f t="shared" si="5"/>
        <v>15</v>
      </c>
      <c r="B394" s="166" t="s">
        <v>478</v>
      </c>
      <c r="C394" s="167" t="s">
        <v>487</v>
      </c>
      <c r="D394" s="118"/>
      <c r="E394" s="119">
        <v>12500</v>
      </c>
    </row>
    <row r="395" spans="1:5" x14ac:dyDescent="0.25">
      <c r="A395" s="115">
        <f t="shared" si="5"/>
        <v>16</v>
      </c>
      <c r="B395" s="166" t="s">
        <v>479</v>
      </c>
      <c r="C395" s="167" t="s">
        <v>488</v>
      </c>
      <c r="D395" s="118"/>
      <c r="E395" s="119">
        <v>12500</v>
      </c>
    </row>
    <row r="396" spans="1:5" x14ac:dyDescent="0.25">
      <c r="A396" s="115">
        <f t="shared" si="5"/>
        <v>17</v>
      </c>
      <c r="B396" s="166" t="s">
        <v>480</v>
      </c>
      <c r="C396" s="167" t="s">
        <v>489</v>
      </c>
      <c r="D396" s="118"/>
      <c r="E396" s="119">
        <v>5000</v>
      </c>
    </row>
    <row r="397" spans="1:5" x14ac:dyDescent="0.25">
      <c r="A397" s="115">
        <f t="shared" si="5"/>
        <v>18</v>
      </c>
      <c r="B397" s="166" t="s">
        <v>481</v>
      </c>
      <c r="C397" s="167" t="s">
        <v>490</v>
      </c>
      <c r="D397" s="118"/>
      <c r="E397" s="119">
        <v>5000</v>
      </c>
    </row>
    <row r="398" spans="1:5" x14ac:dyDescent="0.25">
      <c r="A398" s="115">
        <f t="shared" si="5"/>
        <v>19</v>
      </c>
      <c r="B398" s="166" t="s">
        <v>482</v>
      </c>
      <c r="C398" s="167" t="s">
        <v>491</v>
      </c>
      <c r="D398" s="118"/>
      <c r="E398" s="119">
        <v>12500</v>
      </c>
    </row>
    <row r="399" spans="1:5" x14ac:dyDescent="0.25">
      <c r="A399" s="115">
        <f t="shared" si="5"/>
        <v>20</v>
      </c>
      <c r="B399" s="166" t="s">
        <v>483</v>
      </c>
      <c r="C399" s="167" t="s">
        <v>492</v>
      </c>
      <c r="D399" s="118"/>
      <c r="E399" s="119">
        <v>12500</v>
      </c>
    </row>
    <row r="400" spans="1:5" x14ac:dyDescent="0.25">
      <c r="A400" s="115">
        <f t="shared" si="5"/>
        <v>21</v>
      </c>
      <c r="B400" s="166" t="s">
        <v>484</v>
      </c>
      <c r="C400" s="167" t="s">
        <v>493</v>
      </c>
      <c r="D400" s="118"/>
      <c r="E400" s="119">
        <v>20000</v>
      </c>
    </row>
    <row r="401" spans="1:5" x14ac:dyDescent="0.25">
      <c r="A401" s="115">
        <f t="shared" si="5"/>
        <v>22</v>
      </c>
      <c r="B401" s="166" t="s">
        <v>501</v>
      </c>
      <c r="C401" s="167" t="s">
        <v>494</v>
      </c>
      <c r="D401" s="118"/>
      <c r="E401" s="119">
        <v>5000</v>
      </c>
    </row>
    <row r="402" spans="1:5" x14ac:dyDescent="0.25">
      <c r="A402" s="115">
        <f t="shared" si="5"/>
        <v>23</v>
      </c>
      <c r="B402" s="166" t="s">
        <v>502</v>
      </c>
      <c r="C402" s="167" t="s">
        <v>495</v>
      </c>
      <c r="D402" s="118"/>
      <c r="E402" s="119">
        <v>5000</v>
      </c>
    </row>
    <row r="403" spans="1:5" x14ac:dyDescent="0.25">
      <c r="A403" s="115">
        <f t="shared" si="5"/>
        <v>24</v>
      </c>
      <c r="B403" s="166" t="s">
        <v>503</v>
      </c>
      <c r="C403" s="167" t="s">
        <v>496</v>
      </c>
      <c r="D403" s="118"/>
      <c r="E403" s="119">
        <v>12500</v>
      </c>
    </row>
    <row r="404" spans="1:5" x14ac:dyDescent="0.25">
      <c r="A404" s="115">
        <f t="shared" si="5"/>
        <v>25</v>
      </c>
      <c r="B404" s="166" t="s">
        <v>504</v>
      </c>
      <c r="C404" s="167" t="s">
        <v>497</v>
      </c>
      <c r="D404" s="118"/>
      <c r="E404" s="119">
        <v>17500</v>
      </c>
    </row>
    <row r="405" spans="1:5" x14ac:dyDescent="0.25">
      <c r="A405" s="115">
        <f t="shared" si="5"/>
        <v>26</v>
      </c>
      <c r="B405" s="166" t="s">
        <v>505</v>
      </c>
      <c r="C405" s="167" t="s">
        <v>498</v>
      </c>
      <c r="D405" s="118"/>
      <c r="E405" s="119">
        <v>97500</v>
      </c>
    </row>
    <row r="406" spans="1:5" x14ac:dyDescent="0.25">
      <c r="A406" s="115">
        <f t="shared" si="5"/>
        <v>27</v>
      </c>
      <c r="B406" s="166" t="s">
        <v>506</v>
      </c>
      <c r="C406" s="167" t="s">
        <v>499</v>
      </c>
      <c r="D406" s="118"/>
      <c r="E406" s="119">
        <v>5000</v>
      </c>
    </row>
    <row r="407" spans="1:5" x14ac:dyDescent="0.25">
      <c r="A407" s="115">
        <f t="shared" si="5"/>
        <v>28</v>
      </c>
      <c r="B407" s="166" t="s">
        <v>507</v>
      </c>
      <c r="C407" s="167" t="s">
        <v>500</v>
      </c>
      <c r="D407" s="118"/>
      <c r="E407" s="119">
        <v>42500</v>
      </c>
    </row>
    <row r="408" spans="1:5" x14ac:dyDescent="0.25">
      <c r="A408" s="115">
        <f t="shared" si="5"/>
        <v>29</v>
      </c>
      <c r="B408" s="166" t="s">
        <v>508</v>
      </c>
      <c r="C408" s="167" t="s">
        <v>516</v>
      </c>
      <c r="D408" s="118"/>
      <c r="E408" s="119">
        <v>42500</v>
      </c>
    </row>
    <row r="409" spans="1:5" x14ac:dyDescent="0.25">
      <c r="A409" s="115">
        <f t="shared" si="5"/>
        <v>30</v>
      </c>
      <c r="B409" s="166" t="s">
        <v>509</v>
      </c>
      <c r="C409" s="167" t="s">
        <v>517</v>
      </c>
      <c r="D409" s="118"/>
      <c r="E409" s="119">
        <v>5000</v>
      </c>
    </row>
    <row r="410" spans="1:5" x14ac:dyDescent="0.25">
      <c r="A410" s="115">
        <f t="shared" si="5"/>
        <v>31</v>
      </c>
      <c r="B410" s="166" t="s">
        <v>510</v>
      </c>
      <c r="C410" s="167" t="s">
        <v>518</v>
      </c>
      <c r="D410" s="118"/>
      <c r="E410" s="119">
        <v>50000</v>
      </c>
    </row>
    <row r="411" spans="1:5" x14ac:dyDescent="0.25">
      <c r="A411" s="115">
        <f t="shared" si="5"/>
        <v>32</v>
      </c>
      <c r="B411" s="166" t="s">
        <v>511</v>
      </c>
      <c r="C411" s="167" t="s">
        <v>519</v>
      </c>
      <c r="D411" s="118"/>
      <c r="E411" s="119">
        <v>30000</v>
      </c>
    </row>
    <row r="412" spans="1:5" x14ac:dyDescent="0.25">
      <c r="A412" s="115">
        <f t="shared" si="5"/>
        <v>33</v>
      </c>
      <c r="B412" s="166" t="s">
        <v>512</v>
      </c>
      <c r="C412" s="167" t="s">
        <v>520</v>
      </c>
      <c r="D412" s="118"/>
      <c r="E412" s="119">
        <v>22500</v>
      </c>
    </row>
    <row r="413" spans="1:5" x14ac:dyDescent="0.25">
      <c r="A413" s="115">
        <f t="shared" si="5"/>
        <v>34</v>
      </c>
      <c r="B413" s="166" t="s">
        <v>513</v>
      </c>
      <c r="C413" s="167" t="s">
        <v>521</v>
      </c>
      <c r="D413" s="118"/>
      <c r="E413" s="119">
        <v>12500</v>
      </c>
    </row>
    <row r="414" spans="1:5" x14ac:dyDescent="0.25">
      <c r="A414" s="115">
        <f t="shared" si="5"/>
        <v>35</v>
      </c>
      <c r="B414" s="166" t="s">
        <v>514</v>
      </c>
      <c r="C414" s="167" t="s">
        <v>522</v>
      </c>
      <c r="D414" s="118"/>
      <c r="E414" s="119">
        <v>12500</v>
      </c>
    </row>
    <row r="415" spans="1:5" x14ac:dyDescent="0.25">
      <c r="A415" s="115">
        <f t="shared" si="5"/>
        <v>36</v>
      </c>
      <c r="B415" s="166" t="s">
        <v>515</v>
      </c>
      <c r="C415" s="167" t="s">
        <v>523</v>
      </c>
      <c r="D415" s="118"/>
      <c r="E415" s="119">
        <v>42500</v>
      </c>
    </row>
    <row r="416" spans="1:5" x14ac:dyDescent="0.25">
      <c r="A416" s="115">
        <f t="shared" si="5"/>
        <v>37</v>
      </c>
      <c r="B416" s="166" t="s">
        <v>528</v>
      </c>
      <c r="C416" s="167" t="s">
        <v>524</v>
      </c>
      <c r="D416" s="118"/>
      <c r="E416" s="119">
        <v>12500</v>
      </c>
    </row>
    <row r="417" spans="1:5" x14ac:dyDescent="0.25">
      <c r="A417" s="115">
        <f t="shared" si="5"/>
        <v>38</v>
      </c>
      <c r="B417" s="166" t="s">
        <v>529</v>
      </c>
      <c r="C417" s="167" t="s">
        <v>525</v>
      </c>
      <c r="D417" s="118"/>
      <c r="E417" s="119">
        <v>5000</v>
      </c>
    </row>
    <row r="418" spans="1:5" x14ac:dyDescent="0.25">
      <c r="A418" s="115">
        <f t="shared" si="5"/>
        <v>39</v>
      </c>
      <c r="B418" s="166" t="s">
        <v>530</v>
      </c>
      <c r="C418" s="167" t="s">
        <v>526</v>
      </c>
      <c r="D418" s="118"/>
      <c r="E418" s="119">
        <v>5000</v>
      </c>
    </row>
    <row r="419" spans="1:5" x14ac:dyDescent="0.25">
      <c r="A419" s="115">
        <f t="shared" si="5"/>
        <v>40</v>
      </c>
      <c r="B419" s="166" t="s">
        <v>531</v>
      </c>
      <c r="C419" s="167" t="s">
        <v>527</v>
      </c>
      <c r="D419" s="118"/>
      <c r="E419" s="119">
        <v>12500</v>
      </c>
    </row>
    <row r="420" spans="1:5" x14ac:dyDescent="0.25">
      <c r="A420" s="115"/>
      <c r="B420" s="116"/>
      <c r="C420" s="117"/>
      <c r="D420" s="118"/>
      <c r="E420" s="119"/>
    </row>
    <row r="421" spans="1:5" ht="15.75" thickBot="1" x14ac:dyDescent="0.3">
      <c r="A421" s="120"/>
      <c r="B421" s="577" t="s">
        <v>15</v>
      </c>
      <c r="C421" s="578"/>
      <c r="D421" s="579"/>
      <c r="E421" s="121">
        <f>SUM(E380:E420)</f>
        <v>687500</v>
      </c>
    </row>
    <row r="422" spans="1:5" x14ac:dyDescent="0.25">
      <c r="A422" s="110"/>
      <c r="B422" s="145"/>
      <c r="C422" s="145"/>
      <c r="D422" s="144"/>
      <c r="E422" s="146"/>
    </row>
    <row r="423" spans="1:5" x14ac:dyDescent="0.25">
      <c r="A423" s="109"/>
      <c r="B423" s="109"/>
      <c r="C423" s="110"/>
      <c r="D423" s="123" t="s">
        <v>451</v>
      </c>
      <c r="E423" s="109"/>
    </row>
    <row r="424" spans="1:5" x14ac:dyDescent="0.25">
      <c r="A424" s="144"/>
      <c r="B424" s="144"/>
      <c r="C424" s="144"/>
      <c r="D424" s="123" t="s">
        <v>100</v>
      </c>
      <c r="E424" s="144"/>
    </row>
    <row r="425" spans="1:5" x14ac:dyDescent="0.25">
      <c r="A425" s="108" t="s">
        <v>0</v>
      </c>
      <c r="B425" s="144"/>
      <c r="C425" s="144"/>
      <c r="D425" s="144"/>
      <c r="E425" s="144"/>
    </row>
    <row r="426" spans="1:5" x14ac:dyDescent="0.25">
      <c r="A426" s="108" t="s">
        <v>1</v>
      </c>
      <c r="B426" s="109"/>
      <c r="C426" s="110"/>
      <c r="D426" s="109"/>
      <c r="E426" s="109"/>
    </row>
    <row r="427" spans="1:5" x14ac:dyDescent="0.25">
      <c r="A427" s="108"/>
      <c r="B427" s="109"/>
      <c r="C427" s="110"/>
      <c r="D427" s="109"/>
      <c r="E427" s="109"/>
    </row>
    <row r="428" spans="1:5" x14ac:dyDescent="0.25">
      <c r="A428" s="111" t="s">
        <v>101</v>
      </c>
      <c r="B428" s="111"/>
      <c r="C428" s="111"/>
      <c r="D428" s="111"/>
      <c r="E428" s="111"/>
    </row>
    <row r="429" spans="1:5" x14ac:dyDescent="0.25">
      <c r="A429" s="575" t="s">
        <v>99</v>
      </c>
      <c r="B429" s="576"/>
      <c r="C429" s="576"/>
      <c r="D429" s="576"/>
      <c r="E429" s="576"/>
    </row>
    <row r="430" spans="1:5" x14ac:dyDescent="0.25">
      <c r="A430" s="110"/>
      <c r="B430" s="110"/>
      <c r="C430" s="110"/>
      <c r="D430" s="110"/>
      <c r="E430" s="110"/>
    </row>
    <row r="431" spans="1:5" ht="15.75" thickBot="1" x14ac:dyDescent="0.3">
      <c r="A431" s="109"/>
      <c r="B431" s="109"/>
      <c r="C431" s="110"/>
      <c r="D431" s="109"/>
      <c r="E431" s="124" t="s">
        <v>532</v>
      </c>
    </row>
    <row r="432" spans="1:5" x14ac:dyDescent="0.25">
      <c r="A432" s="112" t="s">
        <v>21</v>
      </c>
      <c r="B432" s="113" t="s">
        <v>96</v>
      </c>
      <c r="C432" s="113" t="s">
        <v>97</v>
      </c>
      <c r="D432" s="113" t="s">
        <v>91</v>
      </c>
      <c r="E432" s="114" t="s">
        <v>15</v>
      </c>
    </row>
    <row r="433" spans="1:5" x14ac:dyDescent="0.25">
      <c r="A433" s="115">
        <v>1</v>
      </c>
      <c r="B433" s="166" t="s">
        <v>534</v>
      </c>
      <c r="C433" s="167" t="s">
        <v>540</v>
      </c>
      <c r="D433" s="118"/>
      <c r="E433" s="119">
        <v>5000</v>
      </c>
    </row>
    <row r="434" spans="1:5" x14ac:dyDescent="0.25">
      <c r="A434" s="115">
        <f>A433+1</f>
        <v>2</v>
      </c>
      <c r="B434" s="166" t="s">
        <v>535</v>
      </c>
      <c r="C434" s="167" t="s">
        <v>541</v>
      </c>
      <c r="D434" s="118"/>
      <c r="E434" s="119">
        <v>5000</v>
      </c>
    </row>
    <row r="435" spans="1:5" x14ac:dyDescent="0.25">
      <c r="A435" s="115">
        <f t="shared" ref="A435:A481" si="6">A434+1</f>
        <v>3</v>
      </c>
      <c r="B435" s="166" t="s">
        <v>536</v>
      </c>
      <c r="C435" s="167" t="s">
        <v>542</v>
      </c>
      <c r="D435" s="118"/>
      <c r="E435" s="119">
        <v>30000</v>
      </c>
    </row>
    <row r="436" spans="1:5" x14ac:dyDescent="0.25">
      <c r="A436" s="115">
        <f t="shared" si="6"/>
        <v>4</v>
      </c>
      <c r="B436" s="166" t="s">
        <v>537</v>
      </c>
      <c r="C436" s="167" t="s">
        <v>543</v>
      </c>
      <c r="D436" s="118"/>
      <c r="E436" s="119">
        <v>5000</v>
      </c>
    </row>
    <row r="437" spans="1:5" x14ac:dyDescent="0.25">
      <c r="A437" s="115">
        <f t="shared" si="6"/>
        <v>5</v>
      </c>
      <c r="B437" s="166" t="s">
        <v>538</v>
      </c>
      <c r="C437" s="167" t="s">
        <v>544</v>
      </c>
      <c r="D437" s="118"/>
      <c r="E437" s="119">
        <v>32500</v>
      </c>
    </row>
    <row r="438" spans="1:5" x14ac:dyDescent="0.25">
      <c r="A438" s="115">
        <f t="shared" si="6"/>
        <v>6</v>
      </c>
      <c r="B438" s="166" t="s">
        <v>539</v>
      </c>
      <c r="C438" s="167" t="s">
        <v>545</v>
      </c>
      <c r="D438" s="118"/>
      <c r="E438" s="119">
        <v>5000</v>
      </c>
    </row>
    <row r="439" spans="1:5" x14ac:dyDescent="0.25">
      <c r="A439" s="115">
        <f t="shared" si="6"/>
        <v>7</v>
      </c>
      <c r="B439" s="166" t="s">
        <v>553</v>
      </c>
      <c r="C439" s="167" t="s">
        <v>546</v>
      </c>
      <c r="D439" s="118"/>
      <c r="E439" s="119">
        <v>12500</v>
      </c>
    </row>
    <row r="440" spans="1:5" x14ac:dyDescent="0.25">
      <c r="A440" s="115">
        <f t="shared" si="6"/>
        <v>8</v>
      </c>
      <c r="B440" s="166" t="s">
        <v>554</v>
      </c>
      <c r="C440" s="167" t="s">
        <v>547</v>
      </c>
      <c r="D440" s="118"/>
      <c r="E440" s="119">
        <v>12500</v>
      </c>
    </row>
    <row r="441" spans="1:5" x14ac:dyDescent="0.25">
      <c r="A441" s="115">
        <f t="shared" si="6"/>
        <v>9</v>
      </c>
      <c r="B441" s="166" t="s">
        <v>555</v>
      </c>
      <c r="C441" s="167" t="s">
        <v>548</v>
      </c>
      <c r="D441" s="118"/>
      <c r="E441" s="119">
        <v>5000</v>
      </c>
    </row>
    <row r="442" spans="1:5" x14ac:dyDescent="0.25">
      <c r="A442" s="115">
        <f t="shared" si="6"/>
        <v>10</v>
      </c>
      <c r="B442" s="166" t="s">
        <v>556</v>
      </c>
      <c r="C442" s="167" t="s">
        <v>549</v>
      </c>
      <c r="D442" s="118"/>
      <c r="E442" s="119">
        <v>52500</v>
      </c>
    </row>
    <row r="443" spans="1:5" x14ac:dyDescent="0.25">
      <c r="A443" s="115">
        <f t="shared" si="6"/>
        <v>11</v>
      </c>
      <c r="B443" s="166" t="s">
        <v>557</v>
      </c>
      <c r="C443" s="167" t="s">
        <v>550</v>
      </c>
      <c r="D443" s="118"/>
      <c r="E443" s="119">
        <v>22500</v>
      </c>
    </row>
    <row r="444" spans="1:5" x14ac:dyDescent="0.25">
      <c r="A444" s="115">
        <f t="shared" si="6"/>
        <v>12</v>
      </c>
      <c r="B444" s="166" t="s">
        <v>558</v>
      </c>
      <c r="C444" s="167" t="s">
        <v>561</v>
      </c>
      <c r="D444" s="118"/>
      <c r="E444" s="119">
        <v>5000</v>
      </c>
    </row>
    <row r="445" spans="1:5" x14ac:dyDescent="0.25">
      <c r="A445" s="115">
        <f t="shared" si="6"/>
        <v>13</v>
      </c>
      <c r="B445" s="166" t="s">
        <v>559</v>
      </c>
      <c r="C445" s="167" t="s">
        <v>551</v>
      </c>
      <c r="D445" s="118"/>
      <c r="E445" s="119">
        <v>12500</v>
      </c>
    </row>
    <row r="446" spans="1:5" x14ac:dyDescent="0.25">
      <c r="A446" s="115">
        <f t="shared" si="6"/>
        <v>14</v>
      </c>
      <c r="B446" s="166" t="s">
        <v>560</v>
      </c>
      <c r="C446" s="167" t="s">
        <v>552</v>
      </c>
      <c r="D446" s="118"/>
      <c r="E446" s="119">
        <v>42500</v>
      </c>
    </row>
    <row r="447" spans="1:5" x14ac:dyDescent="0.25">
      <c r="A447" s="115">
        <f t="shared" si="6"/>
        <v>15</v>
      </c>
      <c r="B447" s="166" t="s">
        <v>562</v>
      </c>
      <c r="C447" s="167" t="s">
        <v>571</v>
      </c>
      <c r="D447" s="118"/>
      <c r="E447" s="119">
        <v>22500</v>
      </c>
    </row>
    <row r="448" spans="1:5" x14ac:dyDescent="0.25">
      <c r="A448" s="115">
        <f t="shared" si="6"/>
        <v>16</v>
      </c>
      <c r="B448" s="166" t="s">
        <v>563</v>
      </c>
      <c r="C448" s="167" t="s">
        <v>572</v>
      </c>
      <c r="D448" s="118"/>
      <c r="E448" s="119">
        <v>62500</v>
      </c>
    </row>
    <row r="449" spans="1:5" x14ac:dyDescent="0.25">
      <c r="A449" s="115">
        <f t="shared" si="6"/>
        <v>17</v>
      </c>
      <c r="B449" s="166" t="s">
        <v>564</v>
      </c>
      <c r="C449" s="167" t="s">
        <v>573</v>
      </c>
      <c r="D449" s="118"/>
      <c r="E449" s="119">
        <v>5000</v>
      </c>
    </row>
    <row r="450" spans="1:5" x14ac:dyDescent="0.25">
      <c r="A450" s="115">
        <f t="shared" si="6"/>
        <v>18</v>
      </c>
      <c r="B450" s="166" t="s">
        <v>565</v>
      </c>
      <c r="C450" s="167" t="s">
        <v>574</v>
      </c>
      <c r="D450" s="118"/>
      <c r="E450" s="119">
        <v>12500</v>
      </c>
    </row>
    <row r="451" spans="1:5" x14ac:dyDescent="0.25">
      <c r="A451" s="115">
        <f t="shared" si="6"/>
        <v>19</v>
      </c>
      <c r="B451" s="166" t="s">
        <v>566</v>
      </c>
      <c r="C451" s="167" t="s">
        <v>575</v>
      </c>
      <c r="D451" s="118"/>
      <c r="E451" s="119">
        <v>5000</v>
      </c>
    </row>
    <row r="452" spans="1:5" x14ac:dyDescent="0.25">
      <c r="A452" s="115">
        <f t="shared" si="6"/>
        <v>20</v>
      </c>
      <c r="B452" s="166" t="s">
        <v>567</v>
      </c>
      <c r="C452" s="167" t="s">
        <v>576</v>
      </c>
      <c r="D452" s="118"/>
      <c r="E452" s="119">
        <v>12500</v>
      </c>
    </row>
    <row r="453" spans="1:5" x14ac:dyDescent="0.25">
      <c r="A453" s="115">
        <f t="shared" si="6"/>
        <v>21</v>
      </c>
      <c r="B453" s="166" t="s">
        <v>568</v>
      </c>
      <c r="C453" s="167" t="s">
        <v>577</v>
      </c>
      <c r="D453" s="118"/>
      <c r="E453" s="119">
        <v>12500</v>
      </c>
    </row>
    <row r="454" spans="1:5" x14ac:dyDescent="0.25">
      <c r="A454" s="115">
        <f t="shared" si="6"/>
        <v>22</v>
      </c>
      <c r="B454" s="166" t="s">
        <v>569</v>
      </c>
      <c r="C454" s="167" t="s">
        <v>578</v>
      </c>
      <c r="D454" s="118"/>
      <c r="E454" s="119">
        <v>5000</v>
      </c>
    </row>
    <row r="455" spans="1:5" x14ac:dyDescent="0.25">
      <c r="A455" s="115">
        <f t="shared" si="6"/>
        <v>23</v>
      </c>
      <c r="B455" s="166" t="s">
        <v>581</v>
      </c>
      <c r="C455" s="167" t="s">
        <v>579</v>
      </c>
      <c r="D455" s="118"/>
      <c r="E455" s="119">
        <v>20000</v>
      </c>
    </row>
    <row r="456" spans="1:5" x14ac:dyDescent="0.25">
      <c r="A456" s="115">
        <f t="shared" si="6"/>
        <v>24</v>
      </c>
      <c r="B456" s="166" t="s">
        <v>570</v>
      </c>
      <c r="C456" s="167" t="s">
        <v>580</v>
      </c>
      <c r="D456" s="118"/>
      <c r="E456" s="119">
        <v>5000</v>
      </c>
    </row>
    <row r="457" spans="1:5" x14ac:dyDescent="0.25">
      <c r="A457" s="115">
        <f t="shared" si="6"/>
        <v>25</v>
      </c>
      <c r="B457" s="166" t="s">
        <v>582</v>
      </c>
      <c r="C457" s="167" t="s">
        <v>591</v>
      </c>
      <c r="D457" s="118"/>
      <c r="E457" s="119">
        <v>5000</v>
      </c>
    </row>
    <row r="458" spans="1:5" x14ac:dyDescent="0.25">
      <c r="A458" s="115">
        <f t="shared" si="6"/>
        <v>26</v>
      </c>
      <c r="B458" s="166" t="s">
        <v>583</v>
      </c>
      <c r="C458" s="167" t="s">
        <v>592</v>
      </c>
      <c r="D458" s="118"/>
      <c r="E458" s="119">
        <v>40000</v>
      </c>
    </row>
    <row r="459" spans="1:5" x14ac:dyDescent="0.25">
      <c r="A459" s="115">
        <f t="shared" si="6"/>
        <v>27</v>
      </c>
      <c r="B459" s="166" t="s">
        <v>584</v>
      </c>
      <c r="C459" s="167" t="s">
        <v>593</v>
      </c>
      <c r="D459" s="118"/>
      <c r="E459" s="119">
        <v>22500</v>
      </c>
    </row>
    <row r="460" spans="1:5" x14ac:dyDescent="0.25">
      <c r="A460" s="115">
        <f t="shared" si="6"/>
        <v>28</v>
      </c>
      <c r="B460" s="166" t="s">
        <v>585</v>
      </c>
      <c r="C460" s="167" t="s">
        <v>594</v>
      </c>
      <c r="D460" s="118"/>
      <c r="E460" s="119">
        <v>5000</v>
      </c>
    </row>
    <row r="461" spans="1:5" x14ac:dyDescent="0.25">
      <c r="A461" s="115">
        <f t="shared" si="6"/>
        <v>29</v>
      </c>
      <c r="B461" s="166" t="s">
        <v>586</v>
      </c>
      <c r="C461" s="167" t="s">
        <v>595</v>
      </c>
      <c r="D461" s="118"/>
      <c r="E461" s="119">
        <v>5000</v>
      </c>
    </row>
    <row r="462" spans="1:5" x14ac:dyDescent="0.25">
      <c r="A462" s="115">
        <f t="shared" si="6"/>
        <v>30</v>
      </c>
      <c r="B462" s="166" t="s">
        <v>587</v>
      </c>
      <c r="C462" s="167" t="s">
        <v>596</v>
      </c>
      <c r="D462" s="118"/>
      <c r="E462" s="119">
        <v>32500</v>
      </c>
    </row>
    <row r="463" spans="1:5" x14ac:dyDescent="0.25">
      <c r="A463" s="115">
        <f t="shared" si="6"/>
        <v>31</v>
      </c>
      <c r="B463" s="166" t="s">
        <v>588</v>
      </c>
      <c r="C463" s="167" t="s">
        <v>599</v>
      </c>
      <c r="D463" s="118"/>
      <c r="E463" s="119">
        <v>27500</v>
      </c>
    </row>
    <row r="464" spans="1:5" x14ac:dyDescent="0.25">
      <c r="A464" s="115">
        <f t="shared" si="6"/>
        <v>32</v>
      </c>
      <c r="B464" s="166" t="s">
        <v>589</v>
      </c>
      <c r="C464" s="167" t="s">
        <v>597</v>
      </c>
      <c r="D464" s="118"/>
      <c r="E464" s="119">
        <v>12500</v>
      </c>
    </row>
    <row r="465" spans="1:5" x14ac:dyDescent="0.25">
      <c r="A465" s="115">
        <f t="shared" si="6"/>
        <v>33</v>
      </c>
      <c r="B465" s="166" t="s">
        <v>590</v>
      </c>
      <c r="C465" s="167" t="s">
        <v>598</v>
      </c>
      <c r="D465" s="118"/>
      <c r="E465" s="119">
        <v>52500</v>
      </c>
    </row>
    <row r="466" spans="1:5" x14ac:dyDescent="0.25">
      <c r="A466" s="115">
        <f t="shared" si="6"/>
        <v>34</v>
      </c>
      <c r="B466" s="166" t="s">
        <v>609</v>
      </c>
      <c r="C466" s="167" t="s">
        <v>601</v>
      </c>
      <c r="D466" s="118"/>
      <c r="E466" s="119">
        <v>5000</v>
      </c>
    </row>
    <row r="467" spans="1:5" x14ac:dyDescent="0.25">
      <c r="A467" s="115">
        <f t="shared" si="6"/>
        <v>35</v>
      </c>
      <c r="B467" s="166" t="s">
        <v>610</v>
      </c>
      <c r="C467" s="167" t="s">
        <v>600</v>
      </c>
      <c r="D467" s="118"/>
      <c r="E467" s="119">
        <v>12500</v>
      </c>
    </row>
    <row r="468" spans="1:5" x14ac:dyDescent="0.25">
      <c r="A468" s="115">
        <f t="shared" si="6"/>
        <v>36</v>
      </c>
      <c r="B468" s="166" t="s">
        <v>611</v>
      </c>
      <c r="C468" s="167" t="s">
        <v>602</v>
      </c>
      <c r="D468" s="118"/>
      <c r="E468" s="119">
        <v>22500</v>
      </c>
    </row>
    <row r="469" spans="1:5" x14ac:dyDescent="0.25">
      <c r="A469" s="115">
        <f t="shared" si="6"/>
        <v>37</v>
      </c>
      <c r="B469" s="166" t="s">
        <v>612</v>
      </c>
      <c r="C469" s="167" t="s">
        <v>603</v>
      </c>
      <c r="D469" s="118"/>
      <c r="E469" s="119">
        <v>20000</v>
      </c>
    </row>
    <row r="470" spans="1:5" x14ac:dyDescent="0.25">
      <c r="A470" s="115">
        <f t="shared" si="6"/>
        <v>38</v>
      </c>
      <c r="B470" s="166" t="s">
        <v>613</v>
      </c>
      <c r="C470" s="167" t="s">
        <v>604</v>
      </c>
      <c r="D470" s="118"/>
      <c r="E470" s="119">
        <v>5000</v>
      </c>
    </row>
    <row r="471" spans="1:5" x14ac:dyDescent="0.25">
      <c r="A471" s="115">
        <f t="shared" si="6"/>
        <v>39</v>
      </c>
      <c r="B471" s="166" t="s">
        <v>614</v>
      </c>
      <c r="C471" s="167" t="s">
        <v>605</v>
      </c>
      <c r="D471" s="118"/>
      <c r="E471" s="119">
        <v>5000</v>
      </c>
    </row>
    <row r="472" spans="1:5" x14ac:dyDescent="0.25">
      <c r="A472" s="115">
        <f t="shared" si="6"/>
        <v>40</v>
      </c>
      <c r="B472" s="166" t="s">
        <v>615</v>
      </c>
      <c r="C472" s="167" t="s">
        <v>606</v>
      </c>
      <c r="D472" s="118"/>
      <c r="E472" s="119">
        <v>5000</v>
      </c>
    </row>
    <row r="473" spans="1:5" x14ac:dyDescent="0.25">
      <c r="A473" s="115">
        <f t="shared" si="6"/>
        <v>41</v>
      </c>
      <c r="B473" s="166" t="s">
        <v>616</v>
      </c>
      <c r="C473" s="167" t="s">
        <v>607</v>
      </c>
      <c r="D473" s="118"/>
      <c r="E473" s="119">
        <v>5000</v>
      </c>
    </row>
    <row r="474" spans="1:5" x14ac:dyDescent="0.25">
      <c r="A474" s="115">
        <f t="shared" si="6"/>
        <v>42</v>
      </c>
      <c r="B474" s="166" t="s">
        <v>617</v>
      </c>
      <c r="C474" s="167" t="s">
        <v>608</v>
      </c>
      <c r="D474" s="118"/>
      <c r="E474" s="119">
        <v>5000</v>
      </c>
    </row>
    <row r="475" spans="1:5" x14ac:dyDescent="0.25">
      <c r="A475" s="115">
        <f t="shared" si="6"/>
        <v>43</v>
      </c>
      <c r="B475" s="166" t="s">
        <v>618</v>
      </c>
      <c r="C475" s="167" t="s">
        <v>625</v>
      </c>
      <c r="D475" s="118"/>
      <c r="E475" s="119">
        <v>5000</v>
      </c>
    </row>
    <row r="476" spans="1:5" x14ac:dyDescent="0.25">
      <c r="A476" s="115">
        <f t="shared" si="6"/>
        <v>44</v>
      </c>
      <c r="B476" s="166" t="s">
        <v>619</v>
      </c>
      <c r="C476" s="167" t="s">
        <v>626</v>
      </c>
      <c r="D476" s="118"/>
      <c r="E476" s="119">
        <v>5000</v>
      </c>
    </row>
    <row r="477" spans="1:5" x14ac:dyDescent="0.25">
      <c r="A477" s="115">
        <f t="shared" si="6"/>
        <v>45</v>
      </c>
      <c r="B477" s="166" t="s">
        <v>620</v>
      </c>
      <c r="C477" s="167" t="s">
        <v>627</v>
      </c>
      <c r="D477" s="118"/>
      <c r="E477" s="119">
        <v>5000</v>
      </c>
    </row>
    <row r="478" spans="1:5" x14ac:dyDescent="0.25">
      <c r="A478" s="115">
        <f t="shared" si="6"/>
        <v>46</v>
      </c>
      <c r="B478" s="166" t="s">
        <v>621</v>
      </c>
      <c r="C478" s="167" t="s">
        <v>628</v>
      </c>
      <c r="D478" s="118"/>
      <c r="E478" s="119">
        <v>12500</v>
      </c>
    </row>
    <row r="479" spans="1:5" x14ac:dyDescent="0.25">
      <c r="A479" s="115">
        <f t="shared" si="6"/>
        <v>47</v>
      </c>
      <c r="B479" s="166" t="s">
        <v>622</v>
      </c>
      <c r="C479" s="167" t="s">
        <v>629</v>
      </c>
      <c r="D479" s="118"/>
      <c r="E479" s="119">
        <v>12500</v>
      </c>
    </row>
    <row r="480" spans="1:5" x14ac:dyDescent="0.25">
      <c r="A480" s="115">
        <f t="shared" si="6"/>
        <v>48</v>
      </c>
      <c r="B480" s="166" t="s">
        <v>623</v>
      </c>
      <c r="C480" s="167" t="s">
        <v>630</v>
      </c>
      <c r="D480" s="118"/>
      <c r="E480" s="119">
        <v>5000</v>
      </c>
    </row>
    <row r="481" spans="1:5" x14ac:dyDescent="0.25">
      <c r="A481" s="115">
        <f t="shared" si="6"/>
        <v>49</v>
      </c>
      <c r="B481" s="166" t="s">
        <v>624</v>
      </c>
      <c r="C481" s="167" t="s">
        <v>631</v>
      </c>
      <c r="D481" s="118"/>
      <c r="E481" s="119">
        <v>5000</v>
      </c>
    </row>
    <row r="482" spans="1:5" x14ac:dyDescent="0.25">
      <c r="A482" s="115"/>
      <c r="B482" s="116"/>
      <c r="C482" s="117"/>
      <c r="D482" s="118"/>
      <c r="E482" s="119"/>
    </row>
    <row r="483" spans="1:5" ht="15.75" thickBot="1" x14ac:dyDescent="0.3">
      <c r="A483" s="120"/>
      <c r="B483" s="577" t="s">
        <v>15</v>
      </c>
      <c r="C483" s="578"/>
      <c r="D483" s="579"/>
      <c r="E483" s="121">
        <f>SUM(E433:E482)</f>
        <v>747500</v>
      </c>
    </row>
    <row r="484" spans="1:5" x14ac:dyDescent="0.25">
      <c r="A484" s="110"/>
      <c r="B484" s="145"/>
      <c r="C484" s="145"/>
      <c r="D484" s="144"/>
      <c r="E484" s="146"/>
    </row>
    <row r="485" spans="1:5" x14ac:dyDescent="0.25">
      <c r="A485" s="109"/>
      <c r="B485" s="109"/>
      <c r="C485" s="110"/>
      <c r="D485" s="123" t="s">
        <v>533</v>
      </c>
      <c r="E485" s="109"/>
    </row>
    <row r="486" spans="1:5" x14ac:dyDescent="0.25">
      <c r="A486" s="144"/>
      <c r="B486" s="144"/>
      <c r="C486" s="144"/>
      <c r="D486" s="123" t="s">
        <v>100</v>
      </c>
      <c r="E486" s="144"/>
    </row>
    <row r="531" spans="1:5" x14ac:dyDescent="0.25">
      <c r="A531" s="108" t="s">
        <v>0</v>
      </c>
      <c r="B531" s="144"/>
      <c r="C531" s="144"/>
      <c r="D531" s="144"/>
      <c r="E531" s="144"/>
    </row>
    <row r="532" spans="1:5" x14ac:dyDescent="0.25">
      <c r="A532" s="108" t="s">
        <v>1</v>
      </c>
      <c r="B532" s="109"/>
      <c r="C532" s="110"/>
      <c r="D532" s="109"/>
      <c r="E532" s="109"/>
    </row>
    <row r="533" spans="1:5" x14ac:dyDescent="0.25">
      <c r="A533" s="108"/>
      <c r="B533" s="109"/>
      <c r="C533" s="110"/>
      <c r="D533" s="109"/>
      <c r="E533" s="109"/>
    </row>
    <row r="534" spans="1:5" x14ac:dyDescent="0.25">
      <c r="A534" s="111" t="s">
        <v>101</v>
      </c>
      <c r="B534" s="111"/>
      <c r="C534" s="111"/>
      <c r="D534" s="111"/>
      <c r="E534" s="111"/>
    </row>
    <row r="535" spans="1:5" x14ac:dyDescent="0.25">
      <c r="A535" s="575" t="s">
        <v>99</v>
      </c>
      <c r="B535" s="576"/>
      <c r="C535" s="576"/>
      <c r="D535" s="576"/>
      <c r="E535" s="576"/>
    </row>
    <row r="536" spans="1:5" x14ac:dyDescent="0.25">
      <c r="A536" s="110"/>
      <c r="B536" s="110"/>
      <c r="C536" s="110"/>
      <c r="D536" s="110"/>
      <c r="E536" s="110"/>
    </row>
    <row r="537" spans="1:5" ht="15.75" thickBot="1" x14ac:dyDescent="0.3">
      <c r="A537" s="109"/>
      <c r="B537" s="109"/>
      <c r="C537" s="110"/>
      <c r="D537" s="109"/>
      <c r="E537" s="124" t="s">
        <v>632</v>
      </c>
    </row>
    <row r="538" spans="1:5" x14ac:dyDescent="0.25">
      <c r="A538" s="112" t="s">
        <v>21</v>
      </c>
      <c r="B538" s="113" t="s">
        <v>96</v>
      </c>
      <c r="C538" s="113" t="s">
        <v>97</v>
      </c>
      <c r="D538" s="113" t="s">
        <v>91</v>
      </c>
      <c r="E538" s="114" t="s">
        <v>15</v>
      </c>
    </row>
    <row r="539" spans="1:5" x14ac:dyDescent="0.25">
      <c r="A539" s="115">
        <v>1</v>
      </c>
      <c r="B539" s="166" t="s">
        <v>634</v>
      </c>
      <c r="C539" s="167" t="s">
        <v>642</v>
      </c>
      <c r="D539" s="118"/>
      <c r="E539" s="119">
        <v>52500</v>
      </c>
    </row>
    <row r="540" spans="1:5" x14ac:dyDescent="0.25">
      <c r="A540" s="115">
        <f>A539+1</f>
        <v>2</v>
      </c>
      <c r="B540" s="166" t="s">
        <v>635</v>
      </c>
      <c r="C540" s="167" t="s">
        <v>643</v>
      </c>
      <c r="D540" s="118"/>
      <c r="E540" s="119">
        <v>12500</v>
      </c>
    </row>
    <row r="541" spans="1:5" x14ac:dyDescent="0.25">
      <c r="A541" s="115">
        <f t="shared" ref="A541:A581" si="7">A540+1</f>
        <v>3</v>
      </c>
      <c r="B541" s="166" t="s">
        <v>636</v>
      </c>
      <c r="C541" s="167" t="s">
        <v>644</v>
      </c>
      <c r="D541" s="118"/>
      <c r="E541" s="119">
        <v>5000</v>
      </c>
    </row>
    <row r="542" spans="1:5" x14ac:dyDescent="0.25">
      <c r="A542" s="115">
        <f t="shared" si="7"/>
        <v>4</v>
      </c>
      <c r="B542" s="166" t="s">
        <v>637</v>
      </c>
      <c r="C542" s="167" t="s">
        <v>645</v>
      </c>
      <c r="D542" s="118"/>
      <c r="E542" s="119">
        <v>12500</v>
      </c>
    </row>
    <row r="543" spans="1:5" x14ac:dyDescent="0.25">
      <c r="A543" s="115">
        <f t="shared" si="7"/>
        <v>5</v>
      </c>
      <c r="B543" s="166" t="s">
        <v>638</v>
      </c>
      <c r="C543" s="167" t="s">
        <v>646</v>
      </c>
      <c r="D543" s="118"/>
      <c r="E543" s="119">
        <v>12500</v>
      </c>
    </row>
    <row r="544" spans="1:5" x14ac:dyDescent="0.25">
      <c r="A544" s="115">
        <f t="shared" si="7"/>
        <v>6</v>
      </c>
      <c r="B544" s="166" t="s">
        <v>639</v>
      </c>
      <c r="C544" s="167" t="s">
        <v>647</v>
      </c>
      <c r="D544" s="118"/>
      <c r="E544" s="119">
        <v>5000</v>
      </c>
    </row>
    <row r="545" spans="1:5" x14ac:dyDescent="0.25">
      <c r="A545" s="115">
        <f t="shared" si="7"/>
        <v>7</v>
      </c>
      <c r="B545" s="166" t="s">
        <v>640</v>
      </c>
      <c r="C545" s="167" t="s">
        <v>648</v>
      </c>
      <c r="D545" s="118"/>
      <c r="E545" s="119">
        <v>12500</v>
      </c>
    </row>
    <row r="546" spans="1:5" x14ac:dyDescent="0.25">
      <c r="A546" s="115">
        <f t="shared" si="7"/>
        <v>8</v>
      </c>
      <c r="B546" s="166" t="s">
        <v>641</v>
      </c>
      <c r="C546" s="167" t="s">
        <v>649</v>
      </c>
      <c r="D546" s="118"/>
      <c r="E546" s="119">
        <v>5000</v>
      </c>
    </row>
    <row r="547" spans="1:5" x14ac:dyDescent="0.25">
      <c r="A547" s="115">
        <f t="shared" si="7"/>
        <v>9</v>
      </c>
      <c r="B547" s="166" t="s">
        <v>657</v>
      </c>
      <c r="C547" s="167" t="s">
        <v>650</v>
      </c>
      <c r="D547" s="118"/>
      <c r="E547" s="119">
        <v>62500</v>
      </c>
    </row>
    <row r="548" spans="1:5" x14ac:dyDescent="0.25">
      <c r="A548" s="115">
        <f t="shared" si="7"/>
        <v>10</v>
      </c>
      <c r="B548" s="166" t="s">
        <v>658</v>
      </c>
      <c r="C548" s="167" t="s">
        <v>651</v>
      </c>
      <c r="D548" s="118"/>
      <c r="E548" s="119">
        <v>5000</v>
      </c>
    </row>
    <row r="549" spans="1:5" x14ac:dyDescent="0.25">
      <c r="A549" s="115">
        <f t="shared" si="7"/>
        <v>11</v>
      </c>
      <c r="B549" s="166" t="s">
        <v>659</v>
      </c>
      <c r="C549" s="167" t="s">
        <v>652</v>
      </c>
      <c r="D549" s="118"/>
      <c r="E549" s="119">
        <v>37500</v>
      </c>
    </row>
    <row r="550" spans="1:5" x14ac:dyDescent="0.25">
      <c r="A550" s="115">
        <f t="shared" si="7"/>
        <v>12</v>
      </c>
      <c r="B550" s="166" t="s">
        <v>660</v>
      </c>
      <c r="C550" s="167" t="s">
        <v>653</v>
      </c>
      <c r="D550" s="118"/>
      <c r="E550" s="119">
        <v>5000</v>
      </c>
    </row>
    <row r="551" spans="1:5" x14ac:dyDescent="0.25">
      <c r="A551" s="115">
        <f t="shared" si="7"/>
        <v>13</v>
      </c>
      <c r="B551" s="166" t="s">
        <v>661</v>
      </c>
      <c r="C551" s="167" t="s">
        <v>654</v>
      </c>
      <c r="D551" s="118"/>
      <c r="E551" s="119">
        <v>62500</v>
      </c>
    </row>
    <row r="552" spans="1:5" x14ac:dyDescent="0.25">
      <c r="A552" s="115">
        <f t="shared" si="7"/>
        <v>14</v>
      </c>
      <c r="B552" s="166" t="s">
        <v>662</v>
      </c>
      <c r="C552" s="167" t="s">
        <v>655</v>
      </c>
      <c r="D552" s="118"/>
      <c r="E552" s="119">
        <v>62500</v>
      </c>
    </row>
    <row r="553" spans="1:5" x14ac:dyDescent="0.25">
      <c r="A553" s="115">
        <f t="shared" si="7"/>
        <v>15</v>
      </c>
      <c r="B553" s="166" t="s">
        <v>663</v>
      </c>
      <c r="C553" s="167" t="s">
        <v>656</v>
      </c>
      <c r="D553" s="118"/>
      <c r="E553" s="119">
        <v>12500</v>
      </c>
    </row>
    <row r="554" spans="1:5" x14ac:dyDescent="0.25">
      <c r="A554" s="115">
        <f t="shared" si="7"/>
        <v>16</v>
      </c>
      <c r="B554" s="166" t="s">
        <v>664</v>
      </c>
      <c r="C554" s="167" t="s">
        <v>673</v>
      </c>
      <c r="D554" s="118"/>
      <c r="E554" s="119">
        <v>5000</v>
      </c>
    </row>
    <row r="555" spans="1:5" x14ac:dyDescent="0.25">
      <c r="A555" s="115">
        <f t="shared" si="7"/>
        <v>17</v>
      </c>
      <c r="B555" s="166" t="s">
        <v>662</v>
      </c>
      <c r="C555" s="167" t="s">
        <v>674</v>
      </c>
      <c r="D555" s="118"/>
      <c r="E555" s="119">
        <v>62500</v>
      </c>
    </row>
    <row r="556" spans="1:5" x14ac:dyDescent="0.25">
      <c r="A556" s="115">
        <f t="shared" si="7"/>
        <v>18</v>
      </c>
      <c r="B556" s="166" t="s">
        <v>665</v>
      </c>
      <c r="C556" s="167" t="s">
        <v>675</v>
      </c>
      <c r="D556" s="118"/>
      <c r="E556" s="119">
        <v>5000</v>
      </c>
    </row>
    <row r="557" spans="1:5" x14ac:dyDescent="0.25">
      <c r="A557" s="115">
        <f t="shared" si="7"/>
        <v>19</v>
      </c>
      <c r="B557" s="166" t="s">
        <v>666</v>
      </c>
      <c r="C557" s="167" t="s">
        <v>676</v>
      </c>
      <c r="D557" s="118"/>
      <c r="E557" s="119">
        <v>5000</v>
      </c>
    </row>
    <row r="558" spans="1:5" x14ac:dyDescent="0.25">
      <c r="A558" s="115">
        <f t="shared" si="7"/>
        <v>20</v>
      </c>
      <c r="B558" s="166" t="s">
        <v>667</v>
      </c>
      <c r="C558" s="167" t="s">
        <v>677</v>
      </c>
      <c r="D558" s="118"/>
      <c r="E558" s="119">
        <v>52500</v>
      </c>
    </row>
    <row r="559" spans="1:5" x14ac:dyDescent="0.25">
      <c r="A559" s="115">
        <f t="shared" si="7"/>
        <v>21</v>
      </c>
      <c r="B559" s="166" t="s">
        <v>668</v>
      </c>
      <c r="C559" s="167" t="s">
        <v>678</v>
      </c>
      <c r="D559" s="118"/>
      <c r="E559" s="119">
        <v>5000</v>
      </c>
    </row>
    <row r="560" spans="1:5" x14ac:dyDescent="0.25">
      <c r="A560" s="115">
        <f t="shared" si="7"/>
        <v>22</v>
      </c>
      <c r="B560" s="166" t="s">
        <v>669</v>
      </c>
      <c r="C560" s="167" t="s">
        <v>679</v>
      </c>
      <c r="D560" s="118"/>
      <c r="E560" s="119">
        <v>5000</v>
      </c>
    </row>
    <row r="561" spans="1:5" x14ac:dyDescent="0.25">
      <c r="A561" s="115">
        <f t="shared" si="7"/>
        <v>23</v>
      </c>
      <c r="B561" s="166" t="s">
        <v>670</v>
      </c>
      <c r="C561" s="167" t="s">
        <v>680</v>
      </c>
      <c r="D561" s="118"/>
      <c r="E561" s="119">
        <v>5000</v>
      </c>
    </row>
    <row r="562" spans="1:5" x14ac:dyDescent="0.25">
      <c r="A562" s="115">
        <f t="shared" si="7"/>
        <v>24</v>
      </c>
      <c r="B562" s="166" t="s">
        <v>671</v>
      </c>
      <c r="C562" s="167" t="s">
        <v>681</v>
      </c>
      <c r="D562" s="118"/>
      <c r="E562" s="119">
        <v>20000</v>
      </c>
    </row>
    <row r="563" spans="1:5" x14ac:dyDescent="0.25">
      <c r="A563" s="115">
        <f t="shared" si="7"/>
        <v>25</v>
      </c>
      <c r="B563" s="166" t="s">
        <v>672</v>
      </c>
      <c r="C563" s="167" t="s">
        <v>682</v>
      </c>
      <c r="D563" s="118"/>
      <c r="E563" s="119">
        <v>12500</v>
      </c>
    </row>
    <row r="564" spans="1:5" x14ac:dyDescent="0.25">
      <c r="A564" s="115">
        <f t="shared" si="7"/>
        <v>26</v>
      </c>
      <c r="B564" s="166" t="s">
        <v>694</v>
      </c>
      <c r="C564" s="167" t="s">
        <v>683</v>
      </c>
      <c r="D564" s="118"/>
      <c r="E564" s="119">
        <v>12500</v>
      </c>
    </row>
    <row r="565" spans="1:5" x14ac:dyDescent="0.25">
      <c r="A565" s="115">
        <f t="shared" si="7"/>
        <v>27</v>
      </c>
      <c r="B565" s="166" t="s">
        <v>695</v>
      </c>
      <c r="C565" s="167" t="s">
        <v>684</v>
      </c>
      <c r="D565" s="118"/>
      <c r="E565" s="119">
        <v>12500</v>
      </c>
    </row>
    <row r="566" spans="1:5" x14ac:dyDescent="0.25">
      <c r="A566" s="115">
        <f t="shared" si="7"/>
        <v>28</v>
      </c>
      <c r="B566" s="166" t="s">
        <v>696</v>
      </c>
      <c r="C566" s="167" t="s">
        <v>685</v>
      </c>
      <c r="D566" s="118"/>
      <c r="E566" s="119">
        <v>52500</v>
      </c>
    </row>
    <row r="567" spans="1:5" x14ac:dyDescent="0.25">
      <c r="A567" s="115">
        <f t="shared" si="7"/>
        <v>29</v>
      </c>
      <c r="B567" s="166" t="s">
        <v>659</v>
      </c>
      <c r="C567" s="167" t="s">
        <v>686</v>
      </c>
      <c r="D567" s="118"/>
      <c r="E567" s="119">
        <v>12500</v>
      </c>
    </row>
    <row r="568" spans="1:5" x14ac:dyDescent="0.25">
      <c r="A568" s="115">
        <f t="shared" si="7"/>
        <v>30</v>
      </c>
      <c r="B568" s="166" t="s">
        <v>697</v>
      </c>
      <c r="C568" s="167" t="s">
        <v>687</v>
      </c>
      <c r="D568" s="118"/>
      <c r="E568" s="119">
        <v>50000</v>
      </c>
    </row>
    <row r="569" spans="1:5" x14ac:dyDescent="0.25">
      <c r="A569" s="115">
        <f t="shared" si="7"/>
        <v>31</v>
      </c>
      <c r="B569" s="166" t="s">
        <v>698</v>
      </c>
      <c r="C569" s="167" t="s">
        <v>688</v>
      </c>
      <c r="D569" s="118"/>
      <c r="E569" s="119">
        <v>12500</v>
      </c>
    </row>
    <row r="570" spans="1:5" x14ac:dyDescent="0.25">
      <c r="A570" s="115">
        <f t="shared" si="7"/>
        <v>32</v>
      </c>
      <c r="B570" s="166" t="s">
        <v>701</v>
      </c>
      <c r="C570" s="167" t="s">
        <v>689</v>
      </c>
      <c r="D570" s="118"/>
      <c r="E570" s="119">
        <v>5000</v>
      </c>
    </row>
    <row r="571" spans="1:5" x14ac:dyDescent="0.25">
      <c r="A571" s="115">
        <f t="shared" si="7"/>
        <v>33</v>
      </c>
      <c r="B571" s="166" t="s">
        <v>699</v>
      </c>
      <c r="C571" s="167" t="s">
        <v>690</v>
      </c>
      <c r="D571" s="118"/>
      <c r="E571" s="119">
        <v>5000</v>
      </c>
    </row>
    <row r="572" spans="1:5" x14ac:dyDescent="0.25">
      <c r="A572" s="115">
        <f t="shared" si="7"/>
        <v>34</v>
      </c>
      <c r="B572" s="166" t="s">
        <v>700</v>
      </c>
      <c r="C572" s="167" t="s">
        <v>691</v>
      </c>
      <c r="D572" s="118"/>
      <c r="E572" s="119">
        <v>5000</v>
      </c>
    </row>
    <row r="573" spans="1:5" x14ac:dyDescent="0.25">
      <c r="A573" s="115">
        <f t="shared" si="7"/>
        <v>35</v>
      </c>
      <c r="B573" s="166" t="s">
        <v>703</v>
      </c>
      <c r="C573" s="167" t="s">
        <v>692</v>
      </c>
      <c r="D573" s="118"/>
      <c r="E573" s="119">
        <v>5000</v>
      </c>
    </row>
    <row r="574" spans="1:5" x14ac:dyDescent="0.25">
      <c r="A574" s="115">
        <f t="shared" si="7"/>
        <v>36</v>
      </c>
      <c r="B574" s="166" t="s">
        <v>702</v>
      </c>
      <c r="C574" s="167" t="s">
        <v>693</v>
      </c>
      <c r="D574" s="118"/>
      <c r="E574" s="119">
        <v>5000</v>
      </c>
    </row>
    <row r="575" spans="1:5" x14ac:dyDescent="0.25">
      <c r="A575" s="115">
        <f t="shared" si="7"/>
        <v>37</v>
      </c>
      <c r="B575" s="166" t="s">
        <v>704</v>
      </c>
      <c r="C575" s="167" t="s">
        <v>711</v>
      </c>
      <c r="D575" s="118"/>
      <c r="E575" s="119">
        <v>5000</v>
      </c>
    </row>
    <row r="576" spans="1:5" x14ac:dyDescent="0.25">
      <c r="A576" s="115">
        <f t="shared" si="7"/>
        <v>38</v>
      </c>
      <c r="B576" s="166" t="s">
        <v>705</v>
      </c>
      <c r="C576" s="167" t="s">
        <v>712</v>
      </c>
      <c r="D576" s="118"/>
      <c r="E576" s="119">
        <v>12500</v>
      </c>
    </row>
    <row r="577" spans="1:5" x14ac:dyDescent="0.25">
      <c r="A577" s="115">
        <f t="shared" si="7"/>
        <v>39</v>
      </c>
      <c r="B577" s="166" t="s">
        <v>706</v>
      </c>
      <c r="C577" s="167" t="s">
        <v>713</v>
      </c>
      <c r="D577" s="118"/>
      <c r="E577" s="119">
        <v>12500</v>
      </c>
    </row>
    <row r="578" spans="1:5" x14ac:dyDescent="0.25">
      <c r="A578" s="115">
        <f t="shared" si="7"/>
        <v>40</v>
      </c>
      <c r="B578" s="166" t="s">
        <v>707</v>
      </c>
      <c r="C578" s="167" t="s">
        <v>714</v>
      </c>
      <c r="D578" s="118"/>
      <c r="E578" s="119">
        <v>22500</v>
      </c>
    </row>
    <row r="579" spans="1:5" x14ac:dyDescent="0.25">
      <c r="A579" s="115">
        <f t="shared" si="7"/>
        <v>41</v>
      </c>
      <c r="B579" s="166" t="s">
        <v>708</v>
      </c>
      <c r="C579" s="167" t="s">
        <v>715</v>
      </c>
      <c r="D579" s="118"/>
      <c r="E579" s="119">
        <v>5000</v>
      </c>
    </row>
    <row r="580" spans="1:5" x14ac:dyDescent="0.25">
      <c r="A580" s="115">
        <f t="shared" si="7"/>
        <v>42</v>
      </c>
      <c r="B580" s="166" t="s">
        <v>710</v>
      </c>
      <c r="C580" s="167" t="s">
        <v>716</v>
      </c>
      <c r="D580" s="118"/>
      <c r="E580" s="119">
        <v>5000</v>
      </c>
    </row>
    <row r="581" spans="1:5" x14ac:dyDescent="0.25">
      <c r="A581" s="115">
        <f t="shared" si="7"/>
        <v>43</v>
      </c>
      <c r="B581" s="166" t="s">
        <v>709</v>
      </c>
      <c r="C581" s="167" t="s">
        <v>717</v>
      </c>
      <c r="D581" s="118"/>
      <c r="E581" s="119">
        <v>5000</v>
      </c>
    </row>
    <row r="582" spans="1:5" ht="15.75" thickBot="1" x14ac:dyDescent="0.3">
      <c r="A582" s="120"/>
      <c r="B582" s="577" t="s">
        <v>15</v>
      </c>
      <c r="C582" s="578"/>
      <c r="D582" s="579"/>
      <c r="E582" s="121">
        <f>SUM(E539:E581)</f>
        <v>787500</v>
      </c>
    </row>
    <row r="583" spans="1:5" x14ac:dyDescent="0.25">
      <c r="A583" s="110"/>
      <c r="B583" s="145"/>
      <c r="C583" s="145"/>
      <c r="D583" s="123" t="s">
        <v>633</v>
      </c>
      <c r="E583" s="146"/>
    </row>
    <row r="584" spans="1:5" x14ac:dyDescent="0.25">
      <c r="A584" s="108" t="s">
        <v>0</v>
      </c>
      <c r="B584" s="144"/>
      <c r="C584" s="144"/>
      <c r="D584" s="144"/>
      <c r="E584" s="144"/>
    </row>
    <row r="585" spans="1:5" x14ac:dyDescent="0.25">
      <c r="A585" s="108" t="s">
        <v>1</v>
      </c>
      <c r="B585" s="109"/>
      <c r="C585" s="110"/>
      <c r="D585" s="109"/>
      <c r="E585" s="109"/>
    </row>
    <row r="586" spans="1:5" x14ac:dyDescent="0.25">
      <c r="A586" s="108"/>
      <c r="B586" s="109"/>
      <c r="C586" s="110"/>
      <c r="D586" s="109"/>
      <c r="E586" s="109"/>
    </row>
    <row r="587" spans="1:5" x14ac:dyDescent="0.25">
      <c r="A587" s="111" t="s">
        <v>101</v>
      </c>
      <c r="B587" s="111"/>
      <c r="C587" s="111"/>
      <c r="D587" s="111"/>
      <c r="E587" s="111"/>
    </row>
    <row r="588" spans="1:5" x14ac:dyDescent="0.25">
      <c r="A588" s="575" t="s">
        <v>99</v>
      </c>
      <c r="B588" s="576"/>
      <c r="C588" s="576"/>
      <c r="D588" s="576"/>
      <c r="E588" s="576"/>
    </row>
    <row r="589" spans="1:5" x14ac:dyDescent="0.25">
      <c r="A589" s="110"/>
      <c r="B589" s="110"/>
      <c r="C589" s="110"/>
      <c r="D589" s="110"/>
      <c r="E589" s="110"/>
    </row>
    <row r="590" spans="1:5" ht="15.75" thickBot="1" x14ac:dyDescent="0.3">
      <c r="A590" s="109"/>
      <c r="B590" s="109"/>
      <c r="C590" s="110"/>
      <c r="D590" s="109"/>
      <c r="E590" s="124" t="s">
        <v>718</v>
      </c>
    </row>
    <row r="591" spans="1:5" x14ac:dyDescent="0.25">
      <c r="A591" s="112" t="s">
        <v>21</v>
      </c>
      <c r="B591" s="113" t="s">
        <v>96</v>
      </c>
      <c r="C591" s="113" t="s">
        <v>97</v>
      </c>
      <c r="D591" s="113" t="s">
        <v>91</v>
      </c>
      <c r="E591" s="114" t="s">
        <v>15</v>
      </c>
    </row>
    <row r="592" spans="1:5" x14ac:dyDescent="0.25">
      <c r="A592" s="115">
        <v>1</v>
      </c>
      <c r="B592" s="166" t="s">
        <v>720</v>
      </c>
      <c r="C592" s="167" t="s">
        <v>723</v>
      </c>
      <c r="D592" s="118"/>
      <c r="E592" s="119">
        <v>30000</v>
      </c>
    </row>
    <row r="593" spans="1:5" x14ac:dyDescent="0.25">
      <c r="A593" s="115">
        <f>A592+1</f>
        <v>2</v>
      </c>
      <c r="B593" s="166" t="s">
        <v>721</v>
      </c>
      <c r="C593" s="167" t="s">
        <v>724</v>
      </c>
      <c r="D593" s="118"/>
      <c r="E593" s="119">
        <v>12500</v>
      </c>
    </row>
    <row r="594" spans="1:5" x14ac:dyDescent="0.25">
      <c r="A594" s="115">
        <f t="shared" ref="A594:A610" si="8">A593+1</f>
        <v>3</v>
      </c>
      <c r="B594" s="166" t="s">
        <v>722</v>
      </c>
      <c r="C594" s="167" t="s">
        <v>725</v>
      </c>
      <c r="D594" s="118"/>
      <c r="E594" s="119">
        <v>52500</v>
      </c>
    </row>
    <row r="595" spans="1:5" x14ac:dyDescent="0.25">
      <c r="A595" s="115">
        <f t="shared" si="8"/>
        <v>4</v>
      </c>
      <c r="B595" s="166" t="s">
        <v>732</v>
      </c>
      <c r="C595" s="167" t="s">
        <v>726</v>
      </c>
      <c r="D595" s="118"/>
      <c r="E595" s="119">
        <v>52500</v>
      </c>
    </row>
    <row r="596" spans="1:5" x14ac:dyDescent="0.25">
      <c r="A596" s="115">
        <f t="shared" si="8"/>
        <v>5</v>
      </c>
      <c r="B596" s="166" t="s">
        <v>733</v>
      </c>
      <c r="C596" s="167" t="s">
        <v>727</v>
      </c>
      <c r="D596" s="118"/>
      <c r="E596" s="119">
        <v>5000</v>
      </c>
    </row>
    <row r="597" spans="1:5" x14ac:dyDescent="0.25">
      <c r="A597" s="115">
        <f t="shared" si="8"/>
        <v>6</v>
      </c>
      <c r="B597" s="166" t="s">
        <v>734</v>
      </c>
      <c r="C597" s="167" t="s">
        <v>728</v>
      </c>
      <c r="D597" s="118"/>
      <c r="E597" s="119">
        <v>32500</v>
      </c>
    </row>
    <row r="598" spans="1:5" x14ac:dyDescent="0.25">
      <c r="A598" s="115">
        <f t="shared" si="8"/>
        <v>7</v>
      </c>
      <c r="B598" s="166" t="s">
        <v>735</v>
      </c>
      <c r="C598" s="167" t="s">
        <v>729</v>
      </c>
      <c r="D598" s="118"/>
      <c r="E598" s="119">
        <v>52500</v>
      </c>
    </row>
    <row r="599" spans="1:5" x14ac:dyDescent="0.25">
      <c r="A599" s="115">
        <f t="shared" si="8"/>
        <v>8</v>
      </c>
      <c r="B599" s="166" t="s">
        <v>736</v>
      </c>
      <c r="C599" s="167" t="s">
        <v>730</v>
      </c>
      <c r="D599" s="118"/>
      <c r="E599" s="119">
        <v>12500</v>
      </c>
    </row>
    <row r="600" spans="1:5" x14ac:dyDescent="0.25">
      <c r="A600" s="115">
        <f t="shared" si="8"/>
        <v>9</v>
      </c>
      <c r="B600" s="166" t="s">
        <v>737</v>
      </c>
      <c r="C600" s="167" t="s">
        <v>731</v>
      </c>
      <c r="D600" s="118"/>
      <c r="E600" s="119">
        <v>5000</v>
      </c>
    </row>
    <row r="601" spans="1:5" x14ac:dyDescent="0.25">
      <c r="A601" s="115">
        <f t="shared" si="8"/>
        <v>10</v>
      </c>
      <c r="B601" s="166" t="s">
        <v>738</v>
      </c>
      <c r="C601" s="167" t="s">
        <v>743</v>
      </c>
      <c r="D601" s="118"/>
      <c r="E601" s="119">
        <v>22500</v>
      </c>
    </row>
    <row r="602" spans="1:5" x14ac:dyDescent="0.25">
      <c r="A602" s="115">
        <f t="shared" si="8"/>
        <v>11</v>
      </c>
      <c r="B602" s="166" t="s">
        <v>739</v>
      </c>
      <c r="C602" s="167" t="s">
        <v>744</v>
      </c>
      <c r="D602" s="118"/>
      <c r="E602" s="119">
        <v>102500</v>
      </c>
    </row>
    <row r="603" spans="1:5" x14ac:dyDescent="0.25">
      <c r="A603" s="115">
        <f t="shared" si="8"/>
        <v>12</v>
      </c>
      <c r="B603" s="166" t="s">
        <v>740</v>
      </c>
      <c r="C603" s="167" t="s">
        <v>745</v>
      </c>
      <c r="D603" s="118"/>
      <c r="E603" s="119">
        <v>12500</v>
      </c>
    </row>
    <row r="604" spans="1:5" x14ac:dyDescent="0.25">
      <c r="A604" s="115">
        <f t="shared" si="8"/>
        <v>13</v>
      </c>
      <c r="B604" s="166" t="s">
        <v>741</v>
      </c>
      <c r="C604" s="167" t="s">
        <v>746</v>
      </c>
      <c r="D604" s="118"/>
      <c r="E604" s="119">
        <v>52500</v>
      </c>
    </row>
    <row r="605" spans="1:5" x14ac:dyDescent="0.25">
      <c r="A605" s="115">
        <f t="shared" si="8"/>
        <v>14</v>
      </c>
      <c r="B605" s="166" t="s">
        <v>742</v>
      </c>
      <c r="C605" s="167" t="s">
        <v>747</v>
      </c>
      <c r="D605" s="118"/>
      <c r="E605" s="119">
        <v>5000</v>
      </c>
    </row>
    <row r="606" spans="1:5" x14ac:dyDescent="0.25">
      <c r="A606" s="115">
        <f t="shared" si="8"/>
        <v>15</v>
      </c>
      <c r="B606" s="166" t="s">
        <v>753</v>
      </c>
      <c r="C606" s="167" t="s">
        <v>748</v>
      </c>
      <c r="D606" s="118"/>
      <c r="E606" s="119">
        <v>5000</v>
      </c>
    </row>
    <row r="607" spans="1:5" x14ac:dyDescent="0.25">
      <c r="A607" s="115">
        <f t="shared" si="8"/>
        <v>16</v>
      </c>
      <c r="B607" s="166" t="s">
        <v>754</v>
      </c>
      <c r="C607" s="167" t="s">
        <v>749</v>
      </c>
      <c r="D607" s="118"/>
      <c r="E607" s="119">
        <v>12500</v>
      </c>
    </row>
    <row r="608" spans="1:5" x14ac:dyDescent="0.25">
      <c r="A608" s="115">
        <f t="shared" si="8"/>
        <v>17</v>
      </c>
      <c r="B608" s="166" t="s">
        <v>755</v>
      </c>
      <c r="C608" s="167" t="s">
        <v>750</v>
      </c>
      <c r="D608" s="118"/>
      <c r="E608" s="119">
        <v>5000</v>
      </c>
    </row>
    <row r="609" spans="1:5" x14ac:dyDescent="0.25">
      <c r="A609" s="115">
        <f t="shared" si="8"/>
        <v>18</v>
      </c>
      <c r="B609" s="166" t="s">
        <v>756</v>
      </c>
      <c r="C609" s="167" t="s">
        <v>751</v>
      </c>
      <c r="D609" s="118"/>
      <c r="E609" s="119">
        <v>5000</v>
      </c>
    </row>
    <row r="610" spans="1:5" x14ac:dyDescent="0.25">
      <c r="A610" s="115">
        <f t="shared" si="8"/>
        <v>19</v>
      </c>
      <c r="B610" s="166" t="s">
        <v>757</v>
      </c>
      <c r="C610" s="167" t="s">
        <v>752</v>
      </c>
      <c r="D610" s="118"/>
      <c r="E610" s="119">
        <v>5000</v>
      </c>
    </row>
    <row r="611" spans="1:5" x14ac:dyDescent="0.25">
      <c r="A611" s="115"/>
      <c r="B611" s="166"/>
      <c r="C611" s="167"/>
      <c r="D611" s="118"/>
      <c r="E611" s="119"/>
    </row>
    <row r="612" spans="1:5" ht="15.75" thickBot="1" x14ac:dyDescent="0.3">
      <c r="A612" s="120"/>
      <c r="B612" s="577" t="s">
        <v>15</v>
      </c>
      <c r="C612" s="578"/>
      <c r="D612" s="579"/>
      <c r="E612" s="121">
        <f>SUM(E592:E611)</f>
        <v>482500</v>
      </c>
    </row>
    <row r="613" spans="1:5" x14ac:dyDescent="0.25">
      <c r="A613" s="110"/>
      <c r="B613" s="145"/>
      <c r="C613" s="145"/>
      <c r="E613" s="146"/>
    </row>
    <row r="614" spans="1:5" x14ac:dyDescent="0.25">
      <c r="A614" s="109"/>
      <c r="B614" s="109"/>
      <c r="C614" s="110"/>
      <c r="D614" s="123" t="s">
        <v>719</v>
      </c>
      <c r="E614" s="109"/>
    </row>
    <row r="615" spans="1:5" x14ac:dyDescent="0.25">
      <c r="D615" s="123" t="s">
        <v>100</v>
      </c>
    </row>
    <row r="637" spans="1:5" x14ac:dyDescent="0.25">
      <c r="A637" s="108" t="s">
        <v>0</v>
      </c>
      <c r="B637" s="144"/>
      <c r="C637" s="144"/>
      <c r="D637" s="144"/>
      <c r="E637" s="144"/>
    </row>
    <row r="638" spans="1:5" x14ac:dyDescent="0.25">
      <c r="A638" s="108" t="s">
        <v>1</v>
      </c>
      <c r="B638" s="109"/>
      <c r="C638" s="110"/>
      <c r="D638" s="109"/>
      <c r="E638" s="109"/>
    </row>
    <row r="639" spans="1:5" x14ac:dyDescent="0.25">
      <c r="A639" s="108"/>
      <c r="B639" s="109"/>
      <c r="C639" s="110"/>
      <c r="D639" s="109"/>
      <c r="E639" s="109"/>
    </row>
    <row r="640" spans="1:5" x14ac:dyDescent="0.25">
      <c r="A640" s="111" t="s">
        <v>101</v>
      </c>
      <c r="B640" s="111"/>
      <c r="C640" s="111"/>
      <c r="D640" s="111"/>
      <c r="E640" s="111"/>
    </row>
    <row r="641" spans="1:5" x14ac:dyDescent="0.25">
      <c r="A641" s="575" t="s">
        <v>99</v>
      </c>
      <c r="B641" s="576"/>
      <c r="C641" s="576"/>
      <c r="D641" s="576"/>
      <c r="E641" s="576"/>
    </row>
    <row r="642" spans="1:5" x14ac:dyDescent="0.25">
      <c r="A642" s="110"/>
      <c r="B642" s="110"/>
      <c r="C642" s="110"/>
      <c r="D642" s="110"/>
      <c r="E642" s="110"/>
    </row>
    <row r="643" spans="1:5" ht="15.75" thickBot="1" x14ac:dyDescent="0.3">
      <c r="A643" s="109"/>
      <c r="B643" s="109"/>
      <c r="C643" s="110"/>
      <c r="D643" s="109"/>
      <c r="E643" s="124" t="s">
        <v>758</v>
      </c>
    </row>
    <row r="644" spans="1:5" x14ac:dyDescent="0.25">
      <c r="A644" s="112" t="s">
        <v>21</v>
      </c>
      <c r="B644" s="113" t="s">
        <v>96</v>
      </c>
      <c r="C644" s="113" t="s">
        <v>97</v>
      </c>
      <c r="D644" s="113" t="s">
        <v>91</v>
      </c>
      <c r="E644" s="114" t="s">
        <v>15</v>
      </c>
    </row>
    <row r="645" spans="1:5" x14ac:dyDescent="0.25">
      <c r="A645" s="115">
        <v>1</v>
      </c>
      <c r="B645" s="166" t="s">
        <v>760</v>
      </c>
      <c r="C645" s="167" t="s">
        <v>766</v>
      </c>
      <c r="D645" s="118"/>
      <c r="E645" s="119">
        <v>12500</v>
      </c>
    </row>
    <row r="646" spans="1:5" x14ac:dyDescent="0.25">
      <c r="A646" s="115">
        <f>A645+1</f>
        <v>2</v>
      </c>
      <c r="B646" s="166" t="s">
        <v>761</v>
      </c>
      <c r="C646" s="167" t="s">
        <v>767</v>
      </c>
      <c r="D646" s="118"/>
      <c r="E646" s="119">
        <v>5000</v>
      </c>
    </row>
    <row r="647" spans="1:5" x14ac:dyDescent="0.25">
      <c r="A647" s="115">
        <f t="shared" ref="A647:A662" si="9">A646+1</f>
        <v>3</v>
      </c>
      <c r="B647" s="166" t="s">
        <v>762</v>
      </c>
      <c r="C647" s="167" t="s">
        <v>768</v>
      </c>
      <c r="D647" s="118"/>
      <c r="E647" s="119">
        <v>5000</v>
      </c>
    </row>
    <row r="648" spans="1:5" x14ac:dyDescent="0.25">
      <c r="A648" s="115">
        <f t="shared" si="9"/>
        <v>4</v>
      </c>
      <c r="B648" s="166" t="s">
        <v>763</v>
      </c>
      <c r="C648" s="167" t="s">
        <v>769</v>
      </c>
      <c r="D648" s="118"/>
      <c r="E648" s="119">
        <v>5000</v>
      </c>
    </row>
    <row r="649" spans="1:5" x14ac:dyDescent="0.25">
      <c r="A649" s="115">
        <f t="shared" si="9"/>
        <v>5</v>
      </c>
      <c r="B649" s="166" t="s">
        <v>764</v>
      </c>
      <c r="C649" s="167" t="s">
        <v>770</v>
      </c>
      <c r="D649" s="118"/>
      <c r="E649" s="119">
        <v>42500</v>
      </c>
    </row>
    <row r="650" spans="1:5" x14ac:dyDescent="0.25">
      <c r="A650" s="115">
        <f t="shared" si="9"/>
        <v>6</v>
      </c>
      <c r="B650" s="166" t="s">
        <v>765</v>
      </c>
      <c r="C650" s="167" t="s">
        <v>771</v>
      </c>
      <c r="D650" s="118"/>
      <c r="E650" s="119">
        <v>30000</v>
      </c>
    </row>
    <row r="651" spans="1:5" x14ac:dyDescent="0.25">
      <c r="A651" s="115">
        <f t="shared" si="9"/>
        <v>7</v>
      </c>
      <c r="B651" s="166" t="s">
        <v>782</v>
      </c>
      <c r="C651" s="167" t="s">
        <v>772</v>
      </c>
      <c r="D651" s="118"/>
      <c r="E651" s="119">
        <v>5000</v>
      </c>
    </row>
    <row r="652" spans="1:5" x14ac:dyDescent="0.25">
      <c r="A652" s="115">
        <f t="shared" si="9"/>
        <v>8</v>
      </c>
      <c r="B652" s="166" t="s">
        <v>783</v>
      </c>
      <c r="C652" s="167" t="s">
        <v>773</v>
      </c>
      <c r="D652" s="118"/>
      <c r="E652" s="119">
        <v>5000</v>
      </c>
    </row>
    <row r="653" spans="1:5" x14ac:dyDescent="0.25">
      <c r="A653" s="115">
        <f t="shared" si="9"/>
        <v>9</v>
      </c>
      <c r="B653" s="166" t="s">
        <v>784</v>
      </c>
      <c r="C653" s="167" t="s">
        <v>774</v>
      </c>
      <c r="D653" s="118"/>
      <c r="E653" s="119">
        <v>5000</v>
      </c>
    </row>
    <row r="654" spans="1:5" x14ac:dyDescent="0.25">
      <c r="A654" s="115">
        <f t="shared" si="9"/>
        <v>10</v>
      </c>
      <c r="B654" s="166" t="s">
        <v>785</v>
      </c>
      <c r="C654" s="167" t="s">
        <v>775</v>
      </c>
      <c r="D654" s="118"/>
      <c r="E654" s="119">
        <v>10000</v>
      </c>
    </row>
    <row r="655" spans="1:5" x14ac:dyDescent="0.25">
      <c r="A655" s="115">
        <f t="shared" si="9"/>
        <v>11</v>
      </c>
      <c r="B655" s="166" t="s">
        <v>786</v>
      </c>
      <c r="C655" s="167" t="s">
        <v>776</v>
      </c>
      <c r="D655" s="118"/>
      <c r="E655" s="119">
        <v>12500</v>
      </c>
    </row>
    <row r="656" spans="1:5" x14ac:dyDescent="0.25">
      <c r="A656" s="115">
        <f t="shared" si="9"/>
        <v>12</v>
      </c>
      <c r="B656" s="166" t="s">
        <v>787</v>
      </c>
      <c r="C656" s="167" t="s">
        <v>777</v>
      </c>
      <c r="D656" s="118"/>
      <c r="E656" s="119">
        <v>5000</v>
      </c>
    </row>
    <row r="657" spans="1:5" x14ac:dyDescent="0.25">
      <c r="A657" s="115">
        <f t="shared" si="9"/>
        <v>13</v>
      </c>
      <c r="B657" s="166" t="s">
        <v>788</v>
      </c>
      <c r="C657" s="167" t="s">
        <v>778</v>
      </c>
      <c r="D657" s="118"/>
      <c r="E657" s="119">
        <v>12500</v>
      </c>
    </row>
    <row r="658" spans="1:5" x14ac:dyDescent="0.25">
      <c r="A658" s="115">
        <f t="shared" si="9"/>
        <v>14</v>
      </c>
      <c r="B658" s="166" t="s">
        <v>789</v>
      </c>
      <c r="C658" s="167" t="s">
        <v>779</v>
      </c>
      <c r="D658" s="118"/>
      <c r="E658" s="119">
        <v>30000</v>
      </c>
    </row>
    <row r="659" spans="1:5" x14ac:dyDescent="0.25">
      <c r="A659" s="115">
        <f t="shared" si="9"/>
        <v>15</v>
      </c>
      <c r="B659" s="166" t="s">
        <v>790</v>
      </c>
      <c r="C659" s="167" t="s">
        <v>793</v>
      </c>
      <c r="D659" s="118"/>
      <c r="E659" s="119">
        <v>5000</v>
      </c>
    </row>
    <row r="660" spans="1:5" x14ac:dyDescent="0.25">
      <c r="A660" s="115">
        <f t="shared" si="9"/>
        <v>16</v>
      </c>
      <c r="B660" s="166" t="s">
        <v>791</v>
      </c>
      <c r="C660" s="167" t="s">
        <v>780</v>
      </c>
      <c r="D660" s="118"/>
      <c r="E660" s="119">
        <v>22500</v>
      </c>
    </row>
    <row r="661" spans="1:5" x14ac:dyDescent="0.25">
      <c r="A661" s="115">
        <f t="shared" si="9"/>
        <v>17</v>
      </c>
      <c r="B661" s="166" t="s">
        <v>792</v>
      </c>
      <c r="C661" s="167" t="s">
        <v>781</v>
      </c>
      <c r="D661" s="118"/>
      <c r="E661" s="119">
        <v>5000</v>
      </c>
    </row>
    <row r="662" spans="1:5" x14ac:dyDescent="0.25">
      <c r="A662" s="115">
        <f t="shared" si="9"/>
        <v>18</v>
      </c>
      <c r="B662" s="166" t="s">
        <v>794</v>
      </c>
      <c r="C662" s="167" t="s">
        <v>795</v>
      </c>
      <c r="D662" s="118"/>
      <c r="E662" s="119">
        <v>12500</v>
      </c>
    </row>
    <row r="663" spans="1:5" x14ac:dyDescent="0.25">
      <c r="A663" s="115"/>
      <c r="B663" s="166"/>
      <c r="C663" s="167"/>
      <c r="D663" s="118"/>
      <c r="E663" s="119"/>
    </row>
    <row r="664" spans="1:5" ht="15.75" thickBot="1" x14ac:dyDescent="0.3">
      <c r="A664" s="120"/>
      <c r="B664" s="577" t="s">
        <v>15</v>
      </c>
      <c r="C664" s="578"/>
      <c r="D664" s="579"/>
      <c r="E664" s="121">
        <f>SUM(E645:E663)</f>
        <v>230000</v>
      </c>
    </row>
    <row r="665" spans="1:5" x14ac:dyDescent="0.25">
      <c r="A665" s="110"/>
      <c r="B665" s="145"/>
      <c r="C665" s="145"/>
      <c r="E665" s="146"/>
    </row>
    <row r="666" spans="1:5" x14ac:dyDescent="0.25">
      <c r="A666" s="109"/>
      <c r="B666" s="109"/>
      <c r="C666" s="110"/>
      <c r="D666" s="123" t="s">
        <v>759</v>
      </c>
      <c r="E666" s="109"/>
    </row>
    <row r="667" spans="1:5" x14ac:dyDescent="0.25">
      <c r="D667" s="123" t="s">
        <v>100</v>
      </c>
    </row>
    <row r="690" spans="1:5" x14ac:dyDescent="0.25">
      <c r="A690" s="108" t="s">
        <v>0</v>
      </c>
      <c r="B690" s="144"/>
      <c r="C690" s="144"/>
      <c r="D690" s="144"/>
      <c r="E690" s="144"/>
    </row>
    <row r="691" spans="1:5" x14ac:dyDescent="0.25">
      <c r="A691" s="108" t="s">
        <v>1</v>
      </c>
      <c r="B691" s="109"/>
      <c r="C691" s="110"/>
      <c r="D691" s="109"/>
      <c r="E691" s="109"/>
    </row>
    <row r="692" spans="1:5" x14ac:dyDescent="0.25">
      <c r="A692" s="108"/>
      <c r="B692" s="109"/>
      <c r="C692" s="110"/>
      <c r="D692" s="109"/>
      <c r="E692" s="109"/>
    </row>
    <row r="693" spans="1:5" x14ac:dyDescent="0.25">
      <c r="A693" s="111" t="s">
        <v>101</v>
      </c>
      <c r="B693" s="111"/>
      <c r="C693" s="111"/>
      <c r="D693" s="111"/>
      <c r="E693" s="111"/>
    </row>
    <row r="694" spans="1:5" x14ac:dyDescent="0.25">
      <c r="A694" s="575" t="s">
        <v>99</v>
      </c>
      <c r="B694" s="576"/>
      <c r="C694" s="576"/>
      <c r="D694" s="576"/>
      <c r="E694" s="576"/>
    </row>
    <row r="695" spans="1:5" x14ac:dyDescent="0.25">
      <c r="A695" s="110"/>
      <c r="B695" s="110"/>
      <c r="C695" s="110"/>
      <c r="D695" s="110"/>
      <c r="E695" s="110"/>
    </row>
    <row r="696" spans="1:5" ht="15.75" thickBot="1" x14ac:dyDescent="0.3">
      <c r="A696" s="109"/>
      <c r="B696" s="109"/>
      <c r="C696" s="110"/>
      <c r="D696" s="109"/>
      <c r="E696" s="124" t="s">
        <v>796</v>
      </c>
    </row>
    <row r="697" spans="1:5" x14ac:dyDescent="0.25">
      <c r="A697" s="112" t="s">
        <v>21</v>
      </c>
      <c r="B697" s="113" t="s">
        <v>96</v>
      </c>
      <c r="C697" s="113" t="s">
        <v>97</v>
      </c>
      <c r="D697" s="113" t="s">
        <v>91</v>
      </c>
      <c r="E697" s="114" t="s">
        <v>15</v>
      </c>
    </row>
    <row r="698" spans="1:5" x14ac:dyDescent="0.25">
      <c r="A698" s="115">
        <v>1</v>
      </c>
      <c r="B698" s="166" t="s">
        <v>798</v>
      </c>
      <c r="C698" s="167" t="s">
        <v>803</v>
      </c>
      <c r="D698" s="118"/>
      <c r="E698" s="119">
        <v>22500</v>
      </c>
    </row>
    <row r="699" spans="1:5" x14ac:dyDescent="0.25">
      <c r="A699" s="115">
        <f>A698+1</f>
        <v>2</v>
      </c>
      <c r="B699" s="166" t="s">
        <v>799</v>
      </c>
      <c r="C699" s="167" t="s">
        <v>804</v>
      </c>
      <c r="D699" s="118"/>
      <c r="E699" s="119">
        <v>7500</v>
      </c>
    </row>
    <row r="700" spans="1:5" x14ac:dyDescent="0.25">
      <c r="A700" s="115">
        <f t="shared" ref="A700:A722" si="10">A699+1</f>
        <v>3</v>
      </c>
      <c r="B700" s="166" t="s">
        <v>800</v>
      </c>
      <c r="C700" s="167" t="s">
        <v>805</v>
      </c>
      <c r="D700" s="118"/>
      <c r="E700" s="119">
        <v>37500</v>
      </c>
    </row>
    <row r="701" spans="1:5" x14ac:dyDescent="0.25">
      <c r="A701" s="115">
        <f t="shared" si="10"/>
        <v>4</v>
      </c>
      <c r="B701" s="166" t="s">
        <v>801</v>
      </c>
      <c r="C701" s="167" t="s">
        <v>806</v>
      </c>
      <c r="D701" s="118"/>
      <c r="E701" s="119">
        <v>12500</v>
      </c>
    </row>
    <row r="702" spans="1:5" x14ac:dyDescent="0.25">
      <c r="A702" s="115">
        <f t="shared" si="10"/>
        <v>5</v>
      </c>
      <c r="B702" s="166" t="s">
        <v>802</v>
      </c>
      <c r="C702" s="167" t="s">
        <v>807</v>
      </c>
      <c r="D702" s="118"/>
      <c r="E702" s="119">
        <v>42500</v>
      </c>
    </row>
    <row r="703" spans="1:5" x14ac:dyDescent="0.25">
      <c r="A703" s="115">
        <f t="shared" si="10"/>
        <v>6</v>
      </c>
      <c r="B703" s="166" t="s">
        <v>815</v>
      </c>
      <c r="C703" s="167" t="s">
        <v>808</v>
      </c>
      <c r="D703" s="118"/>
      <c r="E703" s="119">
        <v>5000</v>
      </c>
    </row>
    <row r="704" spans="1:5" x14ac:dyDescent="0.25">
      <c r="A704" s="115">
        <f t="shared" si="10"/>
        <v>7</v>
      </c>
      <c r="B704" s="166" t="s">
        <v>816</v>
      </c>
      <c r="C704" s="167" t="s">
        <v>809</v>
      </c>
      <c r="D704" s="118"/>
      <c r="E704" s="119">
        <v>12500</v>
      </c>
    </row>
    <row r="705" spans="1:5" x14ac:dyDescent="0.25">
      <c r="A705" s="115">
        <f t="shared" si="10"/>
        <v>8</v>
      </c>
      <c r="B705" s="166" t="s">
        <v>817</v>
      </c>
      <c r="C705" s="167" t="s">
        <v>810</v>
      </c>
      <c r="D705" s="118"/>
      <c r="E705" s="119">
        <v>32500</v>
      </c>
    </row>
    <row r="706" spans="1:5" x14ac:dyDescent="0.25">
      <c r="A706" s="115">
        <f t="shared" si="10"/>
        <v>9</v>
      </c>
      <c r="B706" s="166" t="s">
        <v>818</v>
      </c>
      <c r="C706" s="167" t="s">
        <v>811</v>
      </c>
      <c r="D706" s="118"/>
      <c r="E706" s="119">
        <v>142500</v>
      </c>
    </row>
    <row r="707" spans="1:5" x14ac:dyDescent="0.25">
      <c r="A707" s="115">
        <f t="shared" si="10"/>
        <v>10</v>
      </c>
      <c r="B707" s="166" t="s">
        <v>820</v>
      </c>
      <c r="C707" s="167" t="s">
        <v>812</v>
      </c>
      <c r="D707" s="118"/>
      <c r="E707" s="119">
        <v>22500</v>
      </c>
    </row>
    <row r="708" spans="1:5" x14ac:dyDescent="0.25">
      <c r="A708" s="115">
        <f t="shared" si="10"/>
        <v>11</v>
      </c>
      <c r="B708" s="166" t="s">
        <v>819</v>
      </c>
      <c r="C708" s="167" t="s">
        <v>813</v>
      </c>
      <c r="D708" s="118"/>
      <c r="E708" s="119">
        <v>22500</v>
      </c>
    </row>
    <row r="709" spans="1:5" x14ac:dyDescent="0.25">
      <c r="A709" s="115">
        <f t="shared" si="10"/>
        <v>12</v>
      </c>
      <c r="B709" s="166" t="s">
        <v>754</v>
      </c>
      <c r="C709" s="167" t="s">
        <v>814</v>
      </c>
      <c r="D709" s="118"/>
      <c r="E709" s="119">
        <v>5000</v>
      </c>
    </row>
    <row r="710" spans="1:5" x14ac:dyDescent="0.25">
      <c r="A710" s="115">
        <f t="shared" si="10"/>
        <v>13</v>
      </c>
      <c r="B710" s="166" t="s">
        <v>821</v>
      </c>
      <c r="C710" s="167" t="s">
        <v>832</v>
      </c>
      <c r="D710" s="118"/>
      <c r="E710" s="119">
        <v>52500</v>
      </c>
    </row>
    <row r="711" spans="1:5" x14ac:dyDescent="0.25">
      <c r="A711" s="115">
        <f t="shared" si="10"/>
        <v>14</v>
      </c>
      <c r="B711" s="166" t="s">
        <v>822</v>
      </c>
      <c r="C711" s="167" t="s">
        <v>833</v>
      </c>
      <c r="D711" s="118"/>
      <c r="E711" s="119">
        <v>5000</v>
      </c>
    </row>
    <row r="712" spans="1:5" x14ac:dyDescent="0.25">
      <c r="A712" s="115">
        <f t="shared" si="10"/>
        <v>15</v>
      </c>
      <c r="B712" s="166" t="s">
        <v>823</v>
      </c>
      <c r="C712" s="167" t="s">
        <v>834</v>
      </c>
      <c r="D712" s="118"/>
      <c r="E712" s="119">
        <v>22500</v>
      </c>
    </row>
    <row r="713" spans="1:5" x14ac:dyDescent="0.25">
      <c r="A713" s="115">
        <f t="shared" si="10"/>
        <v>16</v>
      </c>
      <c r="B713" s="166" t="s">
        <v>385</v>
      </c>
      <c r="C713" s="167" t="s">
        <v>835</v>
      </c>
      <c r="D713" s="118"/>
      <c r="E713" s="119">
        <v>32500</v>
      </c>
    </row>
    <row r="714" spans="1:5" x14ac:dyDescent="0.25">
      <c r="A714" s="115">
        <f t="shared" si="10"/>
        <v>17</v>
      </c>
      <c r="B714" s="166" t="s">
        <v>824</v>
      </c>
      <c r="C714" s="167" t="s">
        <v>836</v>
      </c>
      <c r="D714" s="118"/>
      <c r="E714" s="119">
        <v>47500</v>
      </c>
    </row>
    <row r="715" spans="1:5" x14ac:dyDescent="0.25">
      <c r="A715" s="115">
        <f t="shared" si="10"/>
        <v>18</v>
      </c>
      <c r="B715" s="166" t="s">
        <v>825</v>
      </c>
      <c r="C715" s="167" t="s">
        <v>837</v>
      </c>
      <c r="D715" s="118"/>
      <c r="E715" s="119">
        <v>17500</v>
      </c>
    </row>
    <row r="716" spans="1:5" x14ac:dyDescent="0.25">
      <c r="A716" s="115">
        <f t="shared" si="10"/>
        <v>19</v>
      </c>
      <c r="B716" s="166" t="s">
        <v>826</v>
      </c>
      <c r="C716" s="167" t="s">
        <v>838</v>
      </c>
      <c r="D716" s="118"/>
      <c r="E716" s="119">
        <v>5000</v>
      </c>
    </row>
    <row r="717" spans="1:5" x14ac:dyDescent="0.25">
      <c r="A717" s="115">
        <f t="shared" si="10"/>
        <v>20</v>
      </c>
      <c r="B717" s="166" t="s">
        <v>827</v>
      </c>
      <c r="C717" s="167" t="s">
        <v>839</v>
      </c>
      <c r="D717" s="118"/>
      <c r="E717" s="119">
        <v>5000</v>
      </c>
    </row>
    <row r="718" spans="1:5" x14ac:dyDescent="0.25">
      <c r="A718" s="115">
        <f t="shared" si="10"/>
        <v>21</v>
      </c>
      <c r="B718" s="166" t="s">
        <v>828</v>
      </c>
      <c r="C718" s="167" t="s">
        <v>840</v>
      </c>
      <c r="D718" s="118"/>
      <c r="E718" s="119">
        <v>5000</v>
      </c>
    </row>
    <row r="719" spans="1:5" x14ac:dyDescent="0.25">
      <c r="A719" s="115">
        <f t="shared" si="10"/>
        <v>22</v>
      </c>
      <c r="B719" s="166" t="s">
        <v>829</v>
      </c>
      <c r="C719" s="167" t="s">
        <v>841</v>
      </c>
      <c r="D719" s="118"/>
      <c r="E719" s="119">
        <v>5000</v>
      </c>
    </row>
    <row r="720" spans="1:5" x14ac:dyDescent="0.25">
      <c r="A720" s="115">
        <f t="shared" si="10"/>
        <v>23</v>
      </c>
      <c r="B720" s="166" t="s">
        <v>830</v>
      </c>
      <c r="C720" s="167" t="s">
        <v>842</v>
      </c>
      <c r="D720" s="118"/>
      <c r="E720" s="119">
        <v>5000</v>
      </c>
    </row>
    <row r="721" spans="1:5" x14ac:dyDescent="0.25">
      <c r="A721" s="115">
        <f t="shared" si="10"/>
        <v>24</v>
      </c>
      <c r="B721" s="166" t="s">
        <v>831</v>
      </c>
      <c r="C721" s="167" t="s">
        <v>843</v>
      </c>
      <c r="D721" s="118"/>
      <c r="E721" s="119">
        <v>12500</v>
      </c>
    </row>
    <row r="722" spans="1:5" x14ac:dyDescent="0.25">
      <c r="A722" s="115">
        <f t="shared" si="10"/>
        <v>25</v>
      </c>
      <c r="B722" s="166" t="s">
        <v>845</v>
      </c>
      <c r="C722" s="167" t="s">
        <v>844</v>
      </c>
      <c r="D722" s="118"/>
      <c r="E722" s="119">
        <v>5000</v>
      </c>
    </row>
    <row r="723" spans="1:5" x14ac:dyDescent="0.25">
      <c r="A723" s="115"/>
      <c r="B723" s="166"/>
      <c r="C723" s="167"/>
      <c r="D723" s="118"/>
      <c r="E723" s="119"/>
    </row>
    <row r="724" spans="1:5" ht="15.75" thickBot="1" x14ac:dyDescent="0.3">
      <c r="A724" s="120"/>
      <c r="B724" s="577" t="s">
        <v>15</v>
      </c>
      <c r="C724" s="578"/>
      <c r="D724" s="579"/>
      <c r="E724" s="121">
        <f>SUM(E698:E723)</f>
        <v>585000</v>
      </c>
    </row>
    <row r="725" spans="1:5" x14ac:dyDescent="0.25">
      <c r="A725" s="110"/>
      <c r="B725" s="145"/>
      <c r="C725" s="145"/>
      <c r="E725" s="146"/>
    </row>
    <row r="726" spans="1:5" x14ac:dyDescent="0.25">
      <c r="A726" s="109"/>
      <c r="B726" s="109"/>
      <c r="C726" s="110"/>
      <c r="D726" s="123" t="s">
        <v>797</v>
      </c>
      <c r="E726" s="109"/>
    </row>
    <row r="727" spans="1:5" x14ac:dyDescent="0.25">
      <c r="D727" s="123" t="s">
        <v>100</v>
      </c>
    </row>
    <row r="730" spans="1:5" x14ac:dyDescent="0.25">
      <c r="E730" s="98"/>
    </row>
    <row r="743" spans="1:5" x14ac:dyDescent="0.25">
      <c r="A743" s="108" t="s">
        <v>0</v>
      </c>
      <c r="B743" s="144"/>
      <c r="C743" s="144"/>
      <c r="D743" s="144"/>
      <c r="E743" s="144"/>
    </row>
    <row r="744" spans="1:5" x14ac:dyDescent="0.25">
      <c r="A744" s="108" t="s">
        <v>1</v>
      </c>
      <c r="B744" s="109"/>
      <c r="C744" s="110"/>
      <c r="D744" s="109"/>
      <c r="E744" s="109"/>
    </row>
    <row r="745" spans="1:5" x14ac:dyDescent="0.25">
      <c r="A745" s="108"/>
      <c r="B745" s="109"/>
      <c r="C745" s="110"/>
      <c r="D745" s="109"/>
      <c r="E745" s="109"/>
    </row>
    <row r="746" spans="1:5" x14ac:dyDescent="0.25">
      <c r="A746" s="111" t="s">
        <v>101</v>
      </c>
      <c r="B746" s="111"/>
      <c r="C746" s="111"/>
      <c r="D746" s="111"/>
      <c r="E746" s="111"/>
    </row>
    <row r="747" spans="1:5" x14ac:dyDescent="0.25">
      <c r="A747" s="575" t="s">
        <v>99</v>
      </c>
      <c r="B747" s="576"/>
      <c r="C747" s="576"/>
      <c r="D747" s="576"/>
      <c r="E747" s="576"/>
    </row>
    <row r="748" spans="1:5" x14ac:dyDescent="0.25">
      <c r="A748" s="110"/>
      <c r="B748" s="110"/>
      <c r="C748" s="110"/>
      <c r="D748" s="110"/>
      <c r="E748" s="110"/>
    </row>
    <row r="749" spans="1:5" ht="15.75" thickBot="1" x14ac:dyDescent="0.3">
      <c r="A749" s="109"/>
      <c r="B749" s="109"/>
      <c r="C749" s="110"/>
      <c r="D749" s="109"/>
      <c r="E749" s="124" t="s">
        <v>846</v>
      </c>
    </row>
    <row r="750" spans="1:5" x14ac:dyDescent="0.25">
      <c r="A750" s="112" t="s">
        <v>21</v>
      </c>
      <c r="B750" s="113" t="s">
        <v>96</v>
      </c>
      <c r="C750" s="113" t="s">
        <v>97</v>
      </c>
      <c r="D750" s="113" t="s">
        <v>91</v>
      </c>
      <c r="E750" s="114" t="s">
        <v>15</v>
      </c>
    </row>
    <row r="751" spans="1:5" x14ac:dyDescent="0.25">
      <c r="A751" s="115">
        <v>1</v>
      </c>
      <c r="B751" s="166" t="s">
        <v>848</v>
      </c>
      <c r="C751" s="167" t="s">
        <v>852</v>
      </c>
      <c r="D751" s="118"/>
      <c r="E751" s="119">
        <v>17500</v>
      </c>
    </row>
    <row r="752" spans="1:5" x14ac:dyDescent="0.25">
      <c r="A752" s="115">
        <f>A751+1</f>
        <v>2</v>
      </c>
      <c r="B752" s="166" t="s">
        <v>849</v>
      </c>
      <c r="C752" s="167" t="s">
        <v>853</v>
      </c>
      <c r="D752" s="118"/>
      <c r="E752" s="119">
        <v>12500</v>
      </c>
    </row>
    <row r="753" spans="1:5" x14ac:dyDescent="0.25">
      <c r="A753" s="115">
        <f t="shared" ref="A753:A789" si="11">A752+1</f>
        <v>3</v>
      </c>
      <c r="B753" s="166" t="s">
        <v>850</v>
      </c>
      <c r="C753" s="167" t="s">
        <v>854</v>
      </c>
      <c r="D753" s="118"/>
      <c r="E753" s="119">
        <v>12500</v>
      </c>
    </row>
    <row r="754" spans="1:5" x14ac:dyDescent="0.25">
      <c r="A754" s="115">
        <f t="shared" si="11"/>
        <v>4</v>
      </c>
      <c r="B754" s="166" t="s">
        <v>851</v>
      </c>
      <c r="C754" s="167" t="s">
        <v>855</v>
      </c>
      <c r="D754" s="118"/>
      <c r="E754" s="119">
        <v>5000</v>
      </c>
    </row>
    <row r="755" spans="1:5" x14ac:dyDescent="0.25">
      <c r="A755" s="115">
        <f t="shared" si="11"/>
        <v>5</v>
      </c>
      <c r="B755" s="166" t="s">
        <v>866</v>
      </c>
      <c r="C755" s="167" t="s">
        <v>856</v>
      </c>
      <c r="D755" s="118"/>
      <c r="E755" s="119">
        <v>5000</v>
      </c>
    </row>
    <row r="756" spans="1:5" x14ac:dyDescent="0.25">
      <c r="A756" s="115">
        <f t="shared" si="11"/>
        <v>6</v>
      </c>
      <c r="B756" s="166" t="s">
        <v>867</v>
      </c>
      <c r="C756" s="167" t="s">
        <v>857</v>
      </c>
      <c r="D756" s="118"/>
      <c r="E756" s="119">
        <v>22500</v>
      </c>
    </row>
    <row r="757" spans="1:5" x14ac:dyDescent="0.25">
      <c r="A757" s="115">
        <f t="shared" si="11"/>
        <v>7</v>
      </c>
      <c r="B757" s="166" t="s">
        <v>868</v>
      </c>
      <c r="C757" s="167" t="s">
        <v>858</v>
      </c>
      <c r="D757" s="118"/>
      <c r="E757" s="119">
        <v>12500</v>
      </c>
    </row>
    <row r="758" spans="1:5" x14ac:dyDescent="0.25">
      <c r="A758" s="115">
        <f t="shared" si="11"/>
        <v>8</v>
      </c>
      <c r="B758" s="166" t="s">
        <v>869</v>
      </c>
      <c r="C758" s="167" t="s">
        <v>859</v>
      </c>
      <c r="D758" s="118"/>
      <c r="E758" s="119">
        <v>12500</v>
      </c>
    </row>
    <row r="759" spans="1:5" x14ac:dyDescent="0.25">
      <c r="A759" s="115">
        <f t="shared" si="11"/>
        <v>9</v>
      </c>
      <c r="B759" s="166" t="s">
        <v>870</v>
      </c>
      <c r="C759" s="167" t="s">
        <v>860</v>
      </c>
      <c r="D759" s="118"/>
      <c r="E759" s="119">
        <v>12500</v>
      </c>
    </row>
    <row r="760" spans="1:5" x14ac:dyDescent="0.25">
      <c r="A760" s="115">
        <f t="shared" si="11"/>
        <v>10</v>
      </c>
      <c r="B760" s="166" t="s">
        <v>871</v>
      </c>
      <c r="C760" s="167" t="s">
        <v>861</v>
      </c>
      <c r="D760" s="118"/>
      <c r="E760" s="119">
        <v>5000</v>
      </c>
    </row>
    <row r="761" spans="1:5" x14ac:dyDescent="0.25">
      <c r="A761" s="115">
        <f t="shared" si="11"/>
        <v>11</v>
      </c>
      <c r="B761" s="166" t="s">
        <v>872</v>
      </c>
      <c r="C761" s="167" t="s">
        <v>862</v>
      </c>
      <c r="D761" s="118"/>
      <c r="E761" s="119">
        <v>5000</v>
      </c>
    </row>
    <row r="762" spans="1:5" x14ac:dyDescent="0.25">
      <c r="A762" s="115">
        <f t="shared" si="11"/>
        <v>12</v>
      </c>
      <c r="B762" s="166" t="s">
        <v>873</v>
      </c>
      <c r="C762" s="167" t="s">
        <v>863</v>
      </c>
      <c r="D762" s="118"/>
      <c r="E762" s="119">
        <v>5000</v>
      </c>
    </row>
    <row r="763" spans="1:5" x14ac:dyDescent="0.25">
      <c r="A763" s="115">
        <f t="shared" si="11"/>
        <v>13</v>
      </c>
      <c r="B763" s="166" t="s">
        <v>874</v>
      </c>
      <c r="C763" s="167" t="s">
        <v>864</v>
      </c>
      <c r="D763" s="118"/>
      <c r="E763" s="119">
        <v>5000</v>
      </c>
    </row>
    <row r="764" spans="1:5" x14ac:dyDescent="0.25">
      <c r="A764" s="115">
        <f t="shared" si="11"/>
        <v>14</v>
      </c>
      <c r="B764" s="166" t="s">
        <v>875</v>
      </c>
      <c r="C764" s="167" t="s">
        <v>865</v>
      </c>
      <c r="D764" s="118"/>
      <c r="E764" s="119">
        <v>27500</v>
      </c>
    </row>
    <row r="765" spans="1:5" x14ac:dyDescent="0.25">
      <c r="A765" s="115">
        <f t="shared" si="11"/>
        <v>15</v>
      </c>
      <c r="B765" s="166" t="s">
        <v>876</v>
      </c>
      <c r="C765" s="167" t="s">
        <v>885</v>
      </c>
      <c r="D765" s="118"/>
      <c r="E765" s="119">
        <v>5000</v>
      </c>
    </row>
    <row r="766" spans="1:5" x14ac:dyDescent="0.25">
      <c r="A766" s="115">
        <f t="shared" si="11"/>
        <v>16</v>
      </c>
      <c r="B766" s="166" t="s">
        <v>877</v>
      </c>
      <c r="C766" s="167" t="s">
        <v>886</v>
      </c>
      <c r="D766" s="118"/>
      <c r="E766" s="119">
        <v>12500</v>
      </c>
    </row>
    <row r="767" spans="1:5" x14ac:dyDescent="0.25">
      <c r="A767" s="115">
        <f t="shared" si="11"/>
        <v>17</v>
      </c>
      <c r="B767" s="166" t="s">
        <v>878</v>
      </c>
      <c r="C767" s="167" t="s">
        <v>887</v>
      </c>
      <c r="D767" s="118"/>
      <c r="E767" s="119">
        <v>5000</v>
      </c>
    </row>
    <row r="768" spans="1:5" x14ac:dyDescent="0.25">
      <c r="A768" s="115">
        <f t="shared" si="11"/>
        <v>18</v>
      </c>
      <c r="B768" s="166" t="s">
        <v>879</v>
      </c>
      <c r="C768" s="167" t="s">
        <v>888</v>
      </c>
      <c r="D768" s="118"/>
      <c r="E768" s="119">
        <v>42500</v>
      </c>
    </row>
    <row r="769" spans="1:5" x14ac:dyDescent="0.25">
      <c r="A769" s="115">
        <f t="shared" si="11"/>
        <v>19</v>
      </c>
      <c r="B769" s="166" t="s">
        <v>889</v>
      </c>
      <c r="C769" s="167" t="s">
        <v>890</v>
      </c>
      <c r="D769" s="118"/>
      <c r="E769" s="119">
        <v>10000</v>
      </c>
    </row>
    <row r="770" spans="1:5" x14ac:dyDescent="0.25">
      <c r="A770" s="115">
        <f t="shared" si="11"/>
        <v>20</v>
      </c>
      <c r="B770" s="166" t="s">
        <v>880</v>
      </c>
      <c r="C770" s="167" t="s">
        <v>891</v>
      </c>
      <c r="D770" s="118"/>
      <c r="E770" s="119">
        <v>5000</v>
      </c>
    </row>
    <row r="771" spans="1:5" x14ac:dyDescent="0.25">
      <c r="A771" s="115">
        <f t="shared" si="11"/>
        <v>21</v>
      </c>
      <c r="B771" s="166" t="s">
        <v>881</v>
      </c>
      <c r="C771" s="167" t="s">
        <v>892</v>
      </c>
      <c r="D771" s="118"/>
      <c r="E771" s="119">
        <v>42500</v>
      </c>
    </row>
    <row r="772" spans="1:5" x14ac:dyDescent="0.25">
      <c r="A772" s="115">
        <f t="shared" si="11"/>
        <v>22</v>
      </c>
      <c r="B772" s="166" t="s">
        <v>882</v>
      </c>
      <c r="C772" s="167" t="s">
        <v>893</v>
      </c>
      <c r="D772" s="118"/>
      <c r="E772" s="119">
        <v>5000</v>
      </c>
    </row>
    <row r="773" spans="1:5" x14ac:dyDescent="0.25">
      <c r="A773" s="115">
        <f t="shared" si="11"/>
        <v>23</v>
      </c>
      <c r="B773" s="166" t="s">
        <v>883</v>
      </c>
      <c r="C773" s="167" t="s">
        <v>894</v>
      </c>
      <c r="D773" s="118"/>
      <c r="E773" s="119">
        <v>5000</v>
      </c>
    </row>
    <row r="774" spans="1:5" x14ac:dyDescent="0.25">
      <c r="A774" s="115">
        <f t="shared" si="11"/>
        <v>24</v>
      </c>
      <c r="B774" s="166" t="s">
        <v>884</v>
      </c>
      <c r="C774" s="167" t="s">
        <v>895</v>
      </c>
      <c r="D774" s="118"/>
      <c r="E774" s="119">
        <v>5000</v>
      </c>
    </row>
    <row r="775" spans="1:5" x14ac:dyDescent="0.25">
      <c r="A775" s="115">
        <f t="shared" si="11"/>
        <v>25</v>
      </c>
      <c r="B775" s="166" t="s">
        <v>896</v>
      </c>
      <c r="C775" s="167" t="s">
        <v>905</v>
      </c>
      <c r="D775" s="118"/>
      <c r="E775" s="119">
        <v>5000</v>
      </c>
    </row>
    <row r="776" spans="1:5" x14ac:dyDescent="0.25">
      <c r="A776" s="115">
        <f t="shared" si="11"/>
        <v>26</v>
      </c>
      <c r="B776" s="166" t="s">
        <v>897</v>
      </c>
      <c r="C776" s="167" t="s">
        <v>906</v>
      </c>
      <c r="D776" s="118"/>
      <c r="E776" s="119">
        <v>5000</v>
      </c>
    </row>
    <row r="777" spans="1:5" x14ac:dyDescent="0.25">
      <c r="A777" s="115">
        <f t="shared" si="11"/>
        <v>27</v>
      </c>
      <c r="B777" s="166" t="s">
        <v>898</v>
      </c>
      <c r="C777" s="167" t="s">
        <v>907</v>
      </c>
      <c r="D777" s="118"/>
      <c r="E777" s="119">
        <v>5000</v>
      </c>
    </row>
    <row r="778" spans="1:5" x14ac:dyDescent="0.25">
      <c r="A778" s="115">
        <f t="shared" si="11"/>
        <v>28</v>
      </c>
      <c r="B778" s="166" t="s">
        <v>899</v>
      </c>
      <c r="C778" s="167" t="s">
        <v>908</v>
      </c>
      <c r="D778" s="118"/>
      <c r="E778" s="119">
        <v>5000</v>
      </c>
    </row>
    <row r="779" spans="1:5" x14ac:dyDescent="0.25">
      <c r="A779" s="115">
        <f t="shared" si="11"/>
        <v>29</v>
      </c>
      <c r="B779" s="166" t="s">
        <v>900</v>
      </c>
      <c r="C779" s="167" t="s">
        <v>909</v>
      </c>
      <c r="D779" s="118"/>
      <c r="E779" s="119">
        <v>40000</v>
      </c>
    </row>
    <row r="780" spans="1:5" x14ac:dyDescent="0.25">
      <c r="A780" s="115">
        <f t="shared" si="11"/>
        <v>30</v>
      </c>
      <c r="B780" s="166" t="s">
        <v>901</v>
      </c>
      <c r="C780" s="167" t="s">
        <v>910</v>
      </c>
      <c r="D780" s="118"/>
      <c r="E780" s="119">
        <v>12500</v>
      </c>
    </row>
    <row r="781" spans="1:5" x14ac:dyDescent="0.25">
      <c r="A781" s="115">
        <f t="shared" si="11"/>
        <v>31</v>
      </c>
      <c r="B781" s="166" t="s">
        <v>902</v>
      </c>
      <c r="C781" s="167" t="s">
        <v>911</v>
      </c>
      <c r="D781" s="118"/>
      <c r="E781" s="119">
        <v>5000</v>
      </c>
    </row>
    <row r="782" spans="1:5" x14ac:dyDescent="0.25">
      <c r="A782" s="115">
        <f t="shared" si="11"/>
        <v>32</v>
      </c>
      <c r="B782" s="166" t="s">
        <v>903</v>
      </c>
      <c r="C782" s="167" t="s">
        <v>912</v>
      </c>
      <c r="D782" s="118"/>
      <c r="E782" s="119">
        <v>12500</v>
      </c>
    </row>
    <row r="783" spans="1:5" x14ac:dyDescent="0.25">
      <c r="A783" s="115">
        <f t="shared" si="11"/>
        <v>33</v>
      </c>
      <c r="B783" s="166" t="s">
        <v>904</v>
      </c>
      <c r="C783" s="167" t="s">
        <v>913</v>
      </c>
      <c r="D783" s="118"/>
      <c r="E783" s="119">
        <v>22500</v>
      </c>
    </row>
    <row r="784" spans="1:5" x14ac:dyDescent="0.25">
      <c r="A784" s="115">
        <f t="shared" si="11"/>
        <v>34</v>
      </c>
      <c r="B784" s="166" t="s">
        <v>920</v>
      </c>
      <c r="C784" s="167" t="s">
        <v>914</v>
      </c>
      <c r="D784" s="118"/>
      <c r="E784" s="119">
        <v>5000</v>
      </c>
    </row>
    <row r="785" spans="1:5" x14ac:dyDescent="0.25">
      <c r="A785" s="115">
        <f t="shared" si="11"/>
        <v>35</v>
      </c>
      <c r="B785" s="166" t="s">
        <v>921</v>
      </c>
      <c r="C785" s="167" t="s">
        <v>915</v>
      </c>
      <c r="D785" s="118"/>
      <c r="E785" s="119">
        <v>5000</v>
      </c>
    </row>
    <row r="786" spans="1:5" x14ac:dyDescent="0.25">
      <c r="A786" s="115">
        <f t="shared" si="11"/>
        <v>36</v>
      </c>
      <c r="B786" s="166" t="s">
        <v>922</v>
      </c>
      <c r="C786" s="167" t="s">
        <v>916</v>
      </c>
      <c r="D786" s="118"/>
      <c r="E786" s="119">
        <v>5000</v>
      </c>
    </row>
    <row r="787" spans="1:5" x14ac:dyDescent="0.25">
      <c r="A787" s="115">
        <f t="shared" si="11"/>
        <v>37</v>
      </c>
      <c r="B787" s="166" t="s">
        <v>923</v>
      </c>
      <c r="C787" s="167" t="s">
        <v>917</v>
      </c>
      <c r="D787" s="118"/>
      <c r="E787" s="119">
        <v>12500</v>
      </c>
    </row>
    <row r="788" spans="1:5" x14ac:dyDescent="0.25">
      <c r="A788" s="115">
        <f t="shared" si="11"/>
        <v>38</v>
      </c>
      <c r="B788" s="166" t="s">
        <v>924</v>
      </c>
      <c r="C788" s="167" t="s">
        <v>918</v>
      </c>
      <c r="D788" s="118"/>
      <c r="E788" s="119">
        <v>5000</v>
      </c>
    </row>
    <row r="789" spans="1:5" x14ac:dyDescent="0.25">
      <c r="A789" s="115">
        <f t="shared" si="11"/>
        <v>39</v>
      </c>
      <c r="B789" s="166" t="s">
        <v>925</v>
      </c>
      <c r="C789" s="167" t="s">
        <v>919</v>
      </c>
      <c r="D789" s="118"/>
      <c r="E789" s="119">
        <v>12500</v>
      </c>
    </row>
    <row r="790" spans="1:5" x14ac:dyDescent="0.25">
      <c r="A790" s="115"/>
      <c r="B790" s="166"/>
      <c r="C790" s="167"/>
      <c r="D790" s="118"/>
      <c r="E790" s="119"/>
    </row>
    <row r="791" spans="1:5" ht="15.75" thickBot="1" x14ac:dyDescent="0.3">
      <c r="A791" s="120"/>
      <c r="B791" s="577" t="s">
        <v>15</v>
      </c>
      <c r="C791" s="578"/>
      <c r="D791" s="579"/>
      <c r="E791" s="121">
        <f>SUM(E751:E790)</f>
        <v>455000</v>
      </c>
    </row>
    <row r="792" spans="1:5" x14ac:dyDescent="0.25">
      <c r="A792" s="110"/>
      <c r="B792" s="145"/>
      <c r="C792" s="145"/>
      <c r="E792" s="146"/>
    </row>
    <row r="793" spans="1:5" x14ac:dyDescent="0.25">
      <c r="A793" s="109"/>
      <c r="B793" s="109"/>
      <c r="C793" s="110"/>
      <c r="D793" s="123" t="s">
        <v>847</v>
      </c>
      <c r="E793" s="109"/>
    </row>
    <row r="794" spans="1:5" x14ac:dyDescent="0.25">
      <c r="D794" s="123" t="s">
        <v>100</v>
      </c>
    </row>
    <row r="796" spans="1:5" x14ac:dyDescent="0.25">
      <c r="A796" s="108" t="s">
        <v>0</v>
      </c>
      <c r="B796" s="144"/>
      <c r="C796" s="144"/>
      <c r="D796" s="144"/>
      <c r="E796" s="144"/>
    </row>
    <row r="797" spans="1:5" x14ac:dyDescent="0.25">
      <c r="A797" s="108" t="s">
        <v>1</v>
      </c>
      <c r="B797" s="109"/>
      <c r="C797" s="110"/>
      <c r="D797" s="109"/>
      <c r="E797" s="109"/>
    </row>
    <row r="798" spans="1:5" x14ac:dyDescent="0.25">
      <c r="A798" s="108"/>
      <c r="B798" s="109"/>
      <c r="C798" s="110"/>
      <c r="D798" s="109"/>
      <c r="E798" s="109"/>
    </row>
    <row r="799" spans="1:5" x14ac:dyDescent="0.25">
      <c r="A799" s="111" t="s">
        <v>101</v>
      </c>
      <c r="B799" s="111"/>
      <c r="C799" s="111"/>
      <c r="D799" s="111"/>
      <c r="E799" s="111"/>
    </row>
    <row r="800" spans="1:5" x14ac:dyDescent="0.25">
      <c r="A800" s="575" t="s">
        <v>99</v>
      </c>
      <c r="B800" s="576"/>
      <c r="C800" s="576"/>
      <c r="D800" s="576"/>
      <c r="E800" s="576"/>
    </row>
    <row r="801" spans="1:5" x14ac:dyDescent="0.25">
      <c r="A801" s="110"/>
      <c r="B801" s="110"/>
      <c r="C801" s="110"/>
      <c r="D801" s="110"/>
      <c r="E801" s="110"/>
    </row>
    <row r="802" spans="1:5" ht="15.75" thickBot="1" x14ac:dyDescent="0.3">
      <c r="A802" s="109"/>
      <c r="B802" s="109"/>
      <c r="C802" s="110"/>
      <c r="D802" s="109"/>
      <c r="E802" s="124" t="s">
        <v>926</v>
      </c>
    </row>
    <row r="803" spans="1:5" x14ac:dyDescent="0.25">
      <c r="A803" s="112" t="s">
        <v>21</v>
      </c>
      <c r="B803" s="113" t="s">
        <v>96</v>
      </c>
      <c r="C803" s="113" t="s">
        <v>97</v>
      </c>
      <c r="D803" s="113" t="s">
        <v>91</v>
      </c>
      <c r="E803" s="114" t="s">
        <v>15</v>
      </c>
    </row>
    <row r="804" spans="1:5" x14ac:dyDescent="0.25">
      <c r="A804" s="115">
        <v>1</v>
      </c>
      <c r="B804" s="166" t="s">
        <v>928</v>
      </c>
      <c r="C804" s="167" t="s">
        <v>932</v>
      </c>
      <c r="D804" s="118"/>
      <c r="E804" s="119">
        <v>22500</v>
      </c>
    </row>
    <row r="805" spans="1:5" x14ac:dyDescent="0.25">
      <c r="A805" s="115">
        <f>A804+1</f>
        <v>2</v>
      </c>
      <c r="B805" s="166" t="s">
        <v>929</v>
      </c>
      <c r="C805" s="167" t="s">
        <v>933</v>
      </c>
      <c r="D805" s="118"/>
      <c r="E805" s="119">
        <v>5000</v>
      </c>
    </row>
    <row r="806" spans="1:5" x14ac:dyDescent="0.25">
      <c r="A806" s="115">
        <f t="shared" ref="A806:A828" si="12">A805+1</f>
        <v>3</v>
      </c>
      <c r="B806" s="166" t="s">
        <v>930</v>
      </c>
      <c r="C806" s="167" t="s">
        <v>934</v>
      </c>
      <c r="D806" s="118"/>
      <c r="E806" s="119">
        <v>5000</v>
      </c>
    </row>
    <row r="807" spans="1:5" x14ac:dyDescent="0.25">
      <c r="A807" s="115">
        <f t="shared" si="12"/>
        <v>4</v>
      </c>
      <c r="B807" s="166" t="s">
        <v>931</v>
      </c>
      <c r="C807" s="167" t="s">
        <v>935</v>
      </c>
      <c r="D807" s="118"/>
      <c r="E807" s="119">
        <v>5000</v>
      </c>
    </row>
    <row r="808" spans="1:5" x14ac:dyDescent="0.25">
      <c r="A808" s="115">
        <f t="shared" si="12"/>
        <v>5</v>
      </c>
      <c r="B808" s="166" t="s">
        <v>941</v>
      </c>
      <c r="C808" s="167" t="s">
        <v>936</v>
      </c>
      <c r="D808" s="118"/>
      <c r="E808" s="119">
        <v>5000</v>
      </c>
    </row>
    <row r="809" spans="1:5" x14ac:dyDescent="0.25">
      <c r="A809" s="115">
        <f t="shared" si="12"/>
        <v>6</v>
      </c>
      <c r="B809" s="166" t="s">
        <v>942</v>
      </c>
      <c r="C809" s="167" t="s">
        <v>937</v>
      </c>
      <c r="D809" s="118"/>
      <c r="E809" s="119">
        <v>12500</v>
      </c>
    </row>
    <row r="810" spans="1:5" x14ac:dyDescent="0.25">
      <c r="A810" s="115">
        <f t="shared" si="12"/>
        <v>7</v>
      </c>
      <c r="B810" s="166" t="s">
        <v>943</v>
      </c>
      <c r="C810" s="167" t="s">
        <v>938</v>
      </c>
      <c r="D810" s="118"/>
      <c r="E810" s="119">
        <v>5000</v>
      </c>
    </row>
    <row r="811" spans="1:5" x14ac:dyDescent="0.25">
      <c r="A811" s="115">
        <f t="shared" si="12"/>
        <v>8</v>
      </c>
      <c r="B811" s="166" t="s">
        <v>944</v>
      </c>
      <c r="C811" s="167" t="s">
        <v>939</v>
      </c>
      <c r="D811" s="118"/>
      <c r="E811" s="119">
        <v>42500</v>
      </c>
    </row>
    <row r="812" spans="1:5" x14ac:dyDescent="0.25">
      <c r="A812" s="115">
        <f t="shared" si="12"/>
        <v>9</v>
      </c>
      <c r="B812" s="166" t="s">
        <v>945</v>
      </c>
      <c r="C812" s="167" t="s">
        <v>940</v>
      </c>
      <c r="D812" s="118"/>
      <c r="E812" s="119">
        <v>12500</v>
      </c>
    </row>
    <row r="813" spans="1:5" x14ac:dyDescent="0.25">
      <c r="A813" s="115">
        <f t="shared" si="12"/>
        <v>10</v>
      </c>
      <c r="B813" s="166" t="s">
        <v>946</v>
      </c>
      <c r="C813" s="167" t="s">
        <v>952</v>
      </c>
      <c r="D813" s="118"/>
      <c r="E813" s="119">
        <v>5000</v>
      </c>
    </row>
    <row r="814" spans="1:5" x14ac:dyDescent="0.25">
      <c r="A814" s="115">
        <f t="shared" si="12"/>
        <v>11</v>
      </c>
      <c r="B814" s="166" t="s">
        <v>947</v>
      </c>
      <c r="C814" s="167" t="s">
        <v>953</v>
      </c>
      <c r="D814" s="118"/>
      <c r="E814" s="119">
        <v>5000</v>
      </c>
    </row>
    <row r="815" spans="1:5" x14ac:dyDescent="0.25">
      <c r="A815" s="115">
        <f t="shared" si="12"/>
        <v>12</v>
      </c>
      <c r="B815" s="166" t="s">
        <v>948</v>
      </c>
      <c r="C815" s="167" t="s">
        <v>954</v>
      </c>
      <c r="D815" s="118"/>
      <c r="E815" s="119">
        <v>5000</v>
      </c>
    </row>
    <row r="816" spans="1:5" x14ac:dyDescent="0.25">
      <c r="A816" s="115">
        <f t="shared" si="12"/>
        <v>13</v>
      </c>
      <c r="B816" s="166" t="s">
        <v>949</v>
      </c>
      <c r="C816" s="167" t="s">
        <v>955</v>
      </c>
      <c r="D816" s="118"/>
      <c r="E816" s="119">
        <v>42500</v>
      </c>
    </row>
    <row r="817" spans="1:5" x14ac:dyDescent="0.25">
      <c r="A817" s="115">
        <f t="shared" si="12"/>
        <v>14</v>
      </c>
      <c r="B817" s="166" t="s">
        <v>950</v>
      </c>
      <c r="C817" s="167" t="s">
        <v>956</v>
      </c>
      <c r="D817" s="118"/>
      <c r="E817" s="119">
        <v>22500</v>
      </c>
    </row>
    <row r="818" spans="1:5" x14ac:dyDescent="0.25">
      <c r="A818" s="115">
        <f t="shared" si="12"/>
        <v>15</v>
      </c>
      <c r="B818" s="166" t="s">
        <v>951</v>
      </c>
      <c r="C818" s="167" t="s">
        <v>957</v>
      </c>
      <c r="D818" s="118"/>
      <c r="E818" s="119">
        <v>22500</v>
      </c>
    </row>
    <row r="819" spans="1:5" x14ac:dyDescent="0.25">
      <c r="A819" s="115">
        <f t="shared" si="12"/>
        <v>16</v>
      </c>
      <c r="B819" s="166" t="s">
        <v>965</v>
      </c>
      <c r="C819" s="167" t="s">
        <v>958</v>
      </c>
      <c r="D819" s="118"/>
      <c r="E819" s="119">
        <v>5000</v>
      </c>
    </row>
    <row r="820" spans="1:5" x14ac:dyDescent="0.25">
      <c r="A820" s="115">
        <f t="shared" si="12"/>
        <v>17</v>
      </c>
      <c r="B820" s="166" t="s">
        <v>966</v>
      </c>
      <c r="C820" s="167" t="s">
        <v>959</v>
      </c>
      <c r="D820" s="118"/>
      <c r="E820" s="119">
        <v>5000</v>
      </c>
    </row>
    <row r="821" spans="1:5" x14ac:dyDescent="0.25">
      <c r="A821" s="115">
        <f t="shared" si="12"/>
        <v>18</v>
      </c>
      <c r="B821" s="166" t="s">
        <v>968</v>
      </c>
      <c r="C821" s="167" t="s">
        <v>960</v>
      </c>
      <c r="D821" s="118"/>
      <c r="E821" s="119">
        <v>5000</v>
      </c>
    </row>
    <row r="822" spans="1:5" x14ac:dyDescent="0.25">
      <c r="A822" s="115">
        <f t="shared" si="12"/>
        <v>19</v>
      </c>
      <c r="B822" s="166" t="s">
        <v>967</v>
      </c>
      <c r="C822" s="167" t="s">
        <v>961</v>
      </c>
      <c r="D822" s="118"/>
      <c r="E822" s="119">
        <v>5000</v>
      </c>
    </row>
    <row r="823" spans="1:5" x14ac:dyDescent="0.25">
      <c r="A823" s="115">
        <f t="shared" si="12"/>
        <v>20</v>
      </c>
      <c r="B823" s="166" t="s">
        <v>969</v>
      </c>
      <c r="C823" s="167" t="s">
        <v>962</v>
      </c>
      <c r="D823" s="118"/>
      <c r="E823" s="119">
        <v>5000</v>
      </c>
    </row>
    <row r="824" spans="1:5" x14ac:dyDescent="0.25">
      <c r="A824" s="115">
        <f t="shared" si="12"/>
        <v>21</v>
      </c>
      <c r="B824" s="166" t="s">
        <v>970</v>
      </c>
      <c r="C824" s="167" t="s">
        <v>963</v>
      </c>
      <c r="D824" s="118"/>
      <c r="E824" s="119">
        <v>5000</v>
      </c>
    </row>
    <row r="825" spans="1:5" x14ac:dyDescent="0.25">
      <c r="A825" s="115">
        <f t="shared" si="12"/>
        <v>22</v>
      </c>
      <c r="B825" s="166" t="s">
        <v>971</v>
      </c>
      <c r="C825" s="167" t="s">
        <v>964</v>
      </c>
      <c r="D825" s="118"/>
      <c r="E825" s="119">
        <v>5000</v>
      </c>
    </row>
    <row r="826" spans="1:5" x14ac:dyDescent="0.25">
      <c r="A826" s="115">
        <f t="shared" si="12"/>
        <v>23</v>
      </c>
      <c r="B826" s="166" t="s">
        <v>972</v>
      </c>
      <c r="C826" s="167" t="s">
        <v>975</v>
      </c>
      <c r="D826" s="118"/>
      <c r="E826" s="119">
        <v>5000</v>
      </c>
    </row>
    <row r="827" spans="1:5" x14ac:dyDescent="0.25">
      <c r="A827" s="115">
        <f t="shared" si="12"/>
        <v>24</v>
      </c>
      <c r="B827" s="166" t="s">
        <v>973</v>
      </c>
      <c r="C827" s="167" t="s">
        <v>976</v>
      </c>
      <c r="D827" s="118"/>
      <c r="E827" s="119">
        <v>5000</v>
      </c>
    </row>
    <row r="828" spans="1:5" x14ac:dyDescent="0.25">
      <c r="A828" s="115">
        <f t="shared" si="12"/>
        <v>25</v>
      </c>
      <c r="B828" s="166" t="s">
        <v>974</v>
      </c>
      <c r="C828" s="167" t="s">
        <v>977</v>
      </c>
      <c r="D828" s="118"/>
      <c r="E828" s="119">
        <v>12500</v>
      </c>
    </row>
    <row r="829" spans="1:5" x14ac:dyDescent="0.25">
      <c r="A829" s="115"/>
      <c r="B829" s="166"/>
      <c r="C829" s="167"/>
      <c r="D829" s="118"/>
      <c r="E829" s="119"/>
    </row>
    <row r="830" spans="1:5" ht="15.75" thickBot="1" x14ac:dyDescent="0.3">
      <c r="A830" s="120"/>
      <c r="B830" s="577" t="s">
        <v>15</v>
      </c>
      <c r="C830" s="578"/>
      <c r="D830" s="579"/>
      <c r="E830" s="121">
        <f>SUM(E804:E829)</f>
        <v>275000</v>
      </c>
    </row>
    <row r="831" spans="1:5" x14ac:dyDescent="0.25">
      <c r="A831" s="110"/>
      <c r="B831" s="145"/>
      <c r="C831" s="145"/>
      <c r="E831" s="146"/>
    </row>
    <row r="832" spans="1:5" x14ac:dyDescent="0.25">
      <c r="A832" s="109"/>
      <c r="B832" s="109"/>
      <c r="C832" s="110"/>
      <c r="D832" s="123" t="s">
        <v>927</v>
      </c>
      <c r="E832" s="109"/>
    </row>
    <row r="833" spans="4:4" x14ac:dyDescent="0.25">
      <c r="D833" s="123" t="s">
        <v>100</v>
      </c>
    </row>
    <row r="849" spans="1:5" x14ac:dyDescent="0.25">
      <c r="A849" s="108" t="s">
        <v>0</v>
      </c>
      <c r="B849" s="144"/>
      <c r="C849" s="144"/>
      <c r="D849" s="144"/>
      <c r="E849" s="144"/>
    </row>
    <row r="850" spans="1:5" x14ac:dyDescent="0.25">
      <c r="A850" s="108" t="s">
        <v>1</v>
      </c>
      <c r="B850" s="109"/>
      <c r="C850" s="110"/>
      <c r="D850" s="109"/>
      <c r="E850" s="109"/>
    </row>
    <row r="851" spans="1:5" x14ac:dyDescent="0.25">
      <c r="A851" s="108"/>
      <c r="B851" s="109"/>
      <c r="C851" s="110"/>
      <c r="D851" s="109"/>
      <c r="E851" s="109"/>
    </row>
    <row r="852" spans="1:5" x14ac:dyDescent="0.25">
      <c r="A852" s="111" t="s">
        <v>101</v>
      </c>
      <c r="B852" s="111"/>
      <c r="C852" s="111"/>
      <c r="D852" s="111"/>
      <c r="E852" s="111"/>
    </row>
    <row r="853" spans="1:5" x14ac:dyDescent="0.25">
      <c r="A853" s="575" t="s">
        <v>99</v>
      </c>
      <c r="B853" s="576"/>
      <c r="C853" s="576"/>
      <c r="D853" s="576"/>
      <c r="E853" s="576"/>
    </row>
    <row r="854" spans="1:5" x14ac:dyDescent="0.25">
      <c r="A854" s="110"/>
      <c r="B854" s="110"/>
      <c r="C854" s="110"/>
      <c r="D854" s="110"/>
      <c r="E854" s="110"/>
    </row>
    <row r="855" spans="1:5" ht="15.75" thickBot="1" x14ac:dyDescent="0.3">
      <c r="A855" s="109"/>
      <c r="B855" s="109"/>
      <c r="C855" s="110"/>
      <c r="D855" s="109"/>
      <c r="E855" s="124" t="s">
        <v>978</v>
      </c>
    </row>
    <row r="856" spans="1:5" x14ac:dyDescent="0.25">
      <c r="A856" s="112" t="s">
        <v>21</v>
      </c>
      <c r="B856" s="113" t="s">
        <v>96</v>
      </c>
      <c r="C856" s="113" t="s">
        <v>97</v>
      </c>
      <c r="D856" s="113" t="s">
        <v>91</v>
      </c>
      <c r="E856" s="114" t="s">
        <v>15</v>
      </c>
    </row>
    <row r="857" spans="1:5" x14ac:dyDescent="0.25">
      <c r="A857" s="115">
        <v>1</v>
      </c>
      <c r="B857" s="166" t="s">
        <v>980</v>
      </c>
      <c r="C857" s="167" t="s">
        <v>984</v>
      </c>
      <c r="D857" s="118"/>
      <c r="E857" s="119">
        <v>5000</v>
      </c>
    </row>
    <row r="858" spans="1:5" x14ac:dyDescent="0.25">
      <c r="A858" s="115">
        <f>A857+1</f>
        <v>2</v>
      </c>
      <c r="B858" s="166" t="s">
        <v>981</v>
      </c>
      <c r="C858" s="167" t="s">
        <v>985</v>
      </c>
      <c r="D858" s="118"/>
      <c r="E858" s="119">
        <v>22500</v>
      </c>
    </row>
    <row r="859" spans="1:5" x14ac:dyDescent="0.25">
      <c r="A859" s="115">
        <f t="shared" ref="A859:A875" si="13">A858+1</f>
        <v>3</v>
      </c>
      <c r="B859" s="166" t="s">
        <v>982</v>
      </c>
      <c r="C859" s="167" t="s">
        <v>986</v>
      </c>
      <c r="D859" s="118"/>
      <c r="E859" s="119">
        <v>7500</v>
      </c>
    </row>
    <row r="860" spans="1:5" x14ac:dyDescent="0.25">
      <c r="A860" s="115">
        <f t="shared" si="13"/>
        <v>4</v>
      </c>
      <c r="B860" s="166" t="s">
        <v>983</v>
      </c>
      <c r="C860" s="167" t="s">
        <v>987</v>
      </c>
      <c r="D860" s="118"/>
      <c r="E860" s="119">
        <v>12500</v>
      </c>
    </row>
    <row r="861" spans="1:5" x14ac:dyDescent="0.25">
      <c r="A861" s="115">
        <f t="shared" si="13"/>
        <v>5</v>
      </c>
      <c r="B861" s="166" t="s">
        <v>994</v>
      </c>
      <c r="C861" s="167" t="s">
        <v>988</v>
      </c>
      <c r="D861" s="118"/>
      <c r="E861" s="119">
        <v>12500</v>
      </c>
    </row>
    <row r="862" spans="1:5" x14ac:dyDescent="0.25">
      <c r="A862" s="115">
        <f t="shared" si="13"/>
        <v>6</v>
      </c>
      <c r="B862" s="166" t="s">
        <v>995</v>
      </c>
      <c r="C862" s="167" t="s">
        <v>989</v>
      </c>
      <c r="D862" s="118"/>
      <c r="E862" s="119">
        <v>42500</v>
      </c>
    </row>
    <row r="863" spans="1:5" x14ac:dyDescent="0.25">
      <c r="A863" s="115">
        <f t="shared" si="13"/>
        <v>7</v>
      </c>
      <c r="B863" s="166" t="s">
        <v>996</v>
      </c>
      <c r="C863" s="167" t="s">
        <v>990</v>
      </c>
      <c r="D863" s="118"/>
      <c r="E863" s="119">
        <v>42500</v>
      </c>
    </row>
    <row r="864" spans="1:5" x14ac:dyDescent="0.25">
      <c r="A864" s="115">
        <f t="shared" si="13"/>
        <v>8</v>
      </c>
      <c r="B864" s="166" t="s">
        <v>997</v>
      </c>
      <c r="C864" s="167" t="s">
        <v>991</v>
      </c>
      <c r="D864" s="118"/>
      <c r="E864" s="119">
        <v>5000</v>
      </c>
    </row>
    <row r="865" spans="1:5" x14ac:dyDescent="0.25">
      <c r="A865" s="115">
        <f t="shared" si="13"/>
        <v>9</v>
      </c>
      <c r="B865" s="166" t="s">
        <v>845</v>
      </c>
      <c r="C865" s="167" t="s">
        <v>992</v>
      </c>
      <c r="D865" s="118"/>
      <c r="E865" s="119">
        <v>62500</v>
      </c>
    </row>
    <row r="866" spans="1:5" x14ac:dyDescent="0.25">
      <c r="A866" s="115">
        <f t="shared" si="13"/>
        <v>10</v>
      </c>
      <c r="B866" s="166" t="s">
        <v>998</v>
      </c>
      <c r="C866" s="167" t="s">
        <v>993</v>
      </c>
      <c r="D866" s="118"/>
      <c r="E866" s="119">
        <v>12500</v>
      </c>
    </row>
    <row r="867" spans="1:5" x14ac:dyDescent="0.25">
      <c r="A867" s="115">
        <f t="shared" si="13"/>
        <v>11</v>
      </c>
      <c r="B867" s="166" t="s">
        <v>999</v>
      </c>
      <c r="C867" s="167" t="s">
        <v>1002</v>
      </c>
      <c r="D867" s="118"/>
      <c r="E867" s="119">
        <v>22500</v>
      </c>
    </row>
    <row r="868" spans="1:5" x14ac:dyDescent="0.25">
      <c r="A868" s="115">
        <f t="shared" si="13"/>
        <v>12</v>
      </c>
      <c r="B868" s="166" t="s">
        <v>1000</v>
      </c>
      <c r="C868" s="167" t="s">
        <v>1003</v>
      </c>
      <c r="D868" s="118"/>
      <c r="E868" s="119">
        <v>5000</v>
      </c>
    </row>
    <row r="869" spans="1:5" x14ac:dyDescent="0.25">
      <c r="A869" s="115">
        <f t="shared" si="13"/>
        <v>13</v>
      </c>
      <c r="B869" s="166" t="s">
        <v>1001</v>
      </c>
      <c r="C869" s="167" t="s">
        <v>1004</v>
      </c>
      <c r="D869" s="118"/>
      <c r="E869" s="119">
        <v>12500</v>
      </c>
    </row>
    <row r="870" spans="1:5" x14ac:dyDescent="0.25">
      <c r="A870" s="115">
        <f t="shared" si="13"/>
        <v>14</v>
      </c>
      <c r="B870" s="166" t="s">
        <v>1010</v>
      </c>
      <c r="C870" s="167" t="s">
        <v>1005</v>
      </c>
      <c r="D870" s="118"/>
      <c r="E870" s="119">
        <v>22500</v>
      </c>
    </row>
    <row r="871" spans="1:5" x14ac:dyDescent="0.25">
      <c r="A871" s="115">
        <f t="shared" si="13"/>
        <v>15</v>
      </c>
      <c r="B871" s="166" t="s">
        <v>1011</v>
      </c>
      <c r="C871" s="167" t="s">
        <v>1006</v>
      </c>
      <c r="D871" s="118"/>
      <c r="E871" s="119">
        <v>12500</v>
      </c>
    </row>
    <row r="872" spans="1:5" x14ac:dyDescent="0.25">
      <c r="A872" s="115">
        <f t="shared" si="13"/>
        <v>16</v>
      </c>
      <c r="B872" s="166" t="s">
        <v>1012</v>
      </c>
      <c r="C872" s="167" t="s">
        <v>1007</v>
      </c>
      <c r="D872" s="118"/>
      <c r="E872" s="119">
        <v>12500</v>
      </c>
    </row>
    <row r="873" spans="1:5" x14ac:dyDescent="0.25">
      <c r="A873" s="115">
        <f t="shared" si="13"/>
        <v>17</v>
      </c>
      <c r="B873" s="166" t="s">
        <v>1013</v>
      </c>
      <c r="C873" s="167" t="s">
        <v>1008</v>
      </c>
      <c r="D873" s="118"/>
      <c r="E873" s="119">
        <v>12500</v>
      </c>
    </row>
    <row r="874" spans="1:5" x14ac:dyDescent="0.25">
      <c r="A874" s="115">
        <f t="shared" si="13"/>
        <v>18</v>
      </c>
      <c r="B874" s="166" t="s">
        <v>1014</v>
      </c>
      <c r="C874" s="167" t="s">
        <v>1009</v>
      </c>
      <c r="D874" s="118"/>
      <c r="E874" s="119">
        <v>5000</v>
      </c>
    </row>
    <row r="875" spans="1:5" x14ac:dyDescent="0.25">
      <c r="A875" s="115">
        <f t="shared" si="13"/>
        <v>19</v>
      </c>
      <c r="B875" s="166" t="s">
        <v>1015</v>
      </c>
      <c r="C875" s="167" t="s">
        <v>1016</v>
      </c>
      <c r="D875" s="118"/>
      <c r="E875" s="119">
        <v>12500</v>
      </c>
    </row>
    <row r="876" spans="1:5" x14ac:dyDescent="0.25">
      <c r="A876" s="115"/>
      <c r="B876" s="166"/>
      <c r="C876" s="167"/>
      <c r="D876" s="118"/>
      <c r="E876" s="119"/>
    </row>
    <row r="877" spans="1:5" ht="15.75" thickBot="1" x14ac:dyDescent="0.3">
      <c r="A877" s="120"/>
      <c r="B877" s="577" t="s">
        <v>15</v>
      </c>
      <c r="C877" s="578"/>
      <c r="D877" s="579"/>
      <c r="E877" s="121">
        <f>SUM(E857:E876)</f>
        <v>342500</v>
      </c>
    </row>
    <row r="878" spans="1:5" x14ac:dyDescent="0.25">
      <c r="A878" s="110"/>
      <c r="B878" s="145"/>
      <c r="C878" s="145"/>
      <c r="E878" s="146"/>
    </row>
    <row r="879" spans="1:5" x14ac:dyDescent="0.25">
      <c r="A879" s="109"/>
      <c r="B879" s="109"/>
      <c r="C879" s="110"/>
      <c r="D879" s="123" t="s">
        <v>979</v>
      </c>
      <c r="E879" s="109"/>
    </row>
    <row r="880" spans="1:5" x14ac:dyDescent="0.25">
      <c r="D880" s="123" t="s">
        <v>100</v>
      </c>
    </row>
    <row r="902" spans="1:5" x14ac:dyDescent="0.25">
      <c r="A902" s="108" t="s">
        <v>0</v>
      </c>
      <c r="B902" s="144"/>
      <c r="C902" s="144"/>
      <c r="D902" s="144"/>
      <c r="E902" s="144"/>
    </row>
    <row r="903" spans="1:5" x14ac:dyDescent="0.25">
      <c r="A903" s="108" t="s">
        <v>1</v>
      </c>
      <c r="B903" s="109"/>
      <c r="C903" s="110"/>
      <c r="D903" s="109"/>
      <c r="E903" s="109"/>
    </row>
    <row r="904" spans="1:5" x14ac:dyDescent="0.25">
      <c r="A904" s="108"/>
      <c r="B904" s="109"/>
      <c r="C904" s="110"/>
      <c r="D904" s="109"/>
      <c r="E904" s="109"/>
    </row>
    <row r="905" spans="1:5" x14ac:dyDescent="0.25">
      <c r="A905" s="111" t="s">
        <v>101</v>
      </c>
      <c r="B905" s="111"/>
      <c r="C905" s="111"/>
      <c r="D905" s="111"/>
      <c r="E905" s="111"/>
    </row>
    <row r="906" spans="1:5" x14ac:dyDescent="0.25">
      <c r="A906" s="575" t="s">
        <v>99</v>
      </c>
      <c r="B906" s="576"/>
      <c r="C906" s="576"/>
      <c r="D906" s="576"/>
      <c r="E906" s="576"/>
    </row>
    <row r="907" spans="1:5" x14ac:dyDescent="0.25">
      <c r="A907" s="110"/>
      <c r="B907" s="110"/>
      <c r="C907" s="110"/>
      <c r="D907" s="110"/>
      <c r="E907" s="110"/>
    </row>
    <row r="908" spans="1:5" ht="15.75" thickBot="1" x14ac:dyDescent="0.3">
      <c r="A908" s="109"/>
      <c r="B908" s="109"/>
      <c r="C908" s="110"/>
      <c r="D908" s="109"/>
      <c r="E908" s="124" t="s">
        <v>1017</v>
      </c>
    </row>
    <row r="909" spans="1:5" x14ac:dyDescent="0.25">
      <c r="A909" s="112" t="s">
        <v>21</v>
      </c>
      <c r="B909" s="113" t="s">
        <v>96</v>
      </c>
      <c r="C909" s="113" t="s">
        <v>97</v>
      </c>
      <c r="D909" s="113" t="s">
        <v>91</v>
      </c>
      <c r="E909" s="114" t="s">
        <v>15</v>
      </c>
    </row>
    <row r="910" spans="1:5" x14ac:dyDescent="0.25">
      <c r="A910" s="115">
        <v>1</v>
      </c>
      <c r="B910" s="166" t="s">
        <v>1019</v>
      </c>
      <c r="C910" s="167" t="s">
        <v>1025</v>
      </c>
      <c r="D910" s="118"/>
      <c r="E910" s="119">
        <v>5000</v>
      </c>
    </row>
    <row r="911" spans="1:5" x14ac:dyDescent="0.25">
      <c r="A911" s="115">
        <f>A910+1</f>
        <v>2</v>
      </c>
      <c r="B911" s="166" t="s">
        <v>1020</v>
      </c>
      <c r="C911" s="167" t="s">
        <v>1026</v>
      </c>
      <c r="D911" s="118"/>
      <c r="E911" s="119">
        <v>5000</v>
      </c>
    </row>
    <row r="912" spans="1:5" x14ac:dyDescent="0.25">
      <c r="A912" s="115">
        <f t="shared" ref="A912:A936" si="14">A911+1</f>
        <v>3</v>
      </c>
      <c r="B912" s="166" t="s">
        <v>1021</v>
      </c>
      <c r="C912" s="167" t="s">
        <v>1027</v>
      </c>
      <c r="D912" s="118"/>
      <c r="E912" s="119">
        <v>5000</v>
      </c>
    </row>
    <row r="913" spans="1:5" x14ac:dyDescent="0.25">
      <c r="A913" s="115">
        <f t="shared" si="14"/>
        <v>4</v>
      </c>
      <c r="B913" s="166" t="s">
        <v>1022</v>
      </c>
      <c r="C913" s="167" t="s">
        <v>1028</v>
      </c>
      <c r="D913" s="118"/>
      <c r="E913" s="119">
        <v>17500</v>
      </c>
    </row>
    <row r="914" spans="1:5" x14ac:dyDescent="0.25">
      <c r="A914" s="115">
        <f t="shared" si="14"/>
        <v>5</v>
      </c>
      <c r="B914" s="166" t="s">
        <v>1023</v>
      </c>
      <c r="C914" s="167" t="s">
        <v>1029</v>
      </c>
      <c r="D914" s="118"/>
      <c r="E914" s="119">
        <v>27500</v>
      </c>
    </row>
    <row r="915" spans="1:5" x14ac:dyDescent="0.25">
      <c r="A915" s="115">
        <f t="shared" si="14"/>
        <v>6</v>
      </c>
      <c r="B915" s="166" t="s">
        <v>1024</v>
      </c>
      <c r="C915" s="167" t="s">
        <v>1030</v>
      </c>
      <c r="D915" s="118"/>
      <c r="E915" s="119">
        <v>5000</v>
      </c>
    </row>
    <row r="916" spans="1:5" x14ac:dyDescent="0.25">
      <c r="A916" s="115">
        <f t="shared" si="14"/>
        <v>7</v>
      </c>
      <c r="B916" s="166" t="s">
        <v>1043</v>
      </c>
      <c r="C916" s="167" t="s">
        <v>1031</v>
      </c>
      <c r="D916" s="118"/>
      <c r="E916" s="119">
        <v>12500</v>
      </c>
    </row>
    <row r="917" spans="1:5" x14ac:dyDescent="0.25">
      <c r="A917" s="115">
        <f t="shared" si="14"/>
        <v>8</v>
      </c>
      <c r="B917" s="166" t="s">
        <v>1044</v>
      </c>
      <c r="C917" s="167" t="s">
        <v>1032</v>
      </c>
      <c r="D917" s="118"/>
      <c r="E917" s="119">
        <v>22500</v>
      </c>
    </row>
    <row r="918" spans="1:5" x14ac:dyDescent="0.25">
      <c r="A918" s="115">
        <f t="shared" si="14"/>
        <v>9</v>
      </c>
      <c r="B918" s="166" t="s">
        <v>1045</v>
      </c>
      <c r="C918" s="167" t="s">
        <v>1033</v>
      </c>
      <c r="D918" s="118"/>
      <c r="E918" s="119">
        <v>5000</v>
      </c>
    </row>
    <row r="919" spans="1:5" x14ac:dyDescent="0.25">
      <c r="A919" s="115">
        <f t="shared" si="14"/>
        <v>10</v>
      </c>
      <c r="B919" s="166" t="s">
        <v>1046</v>
      </c>
      <c r="C919" s="167" t="s">
        <v>1034</v>
      </c>
      <c r="D919" s="118"/>
      <c r="E919" s="119">
        <v>22500</v>
      </c>
    </row>
    <row r="920" spans="1:5" x14ac:dyDescent="0.25">
      <c r="A920" s="115">
        <f t="shared" si="14"/>
        <v>11</v>
      </c>
      <c r="B920" s="166" t="s">
        <v>1024</v>
      </c>
      <c r="C920" s="167" t="s">
        <v>1035</v>
      </c>
      <c r="D920" s="118"/>
      <c r="E920" s="119">
        <v>5000</v>
      </c>
    </row>
    <row r="921" spans="1:5" x14ac:dyDescent="0.25">
      <c r="A921" s="115">
        <f t="shared" si="14"/>
        <v>12</v>
      </c>
      <c r="B921" s="166" t="s">
        <v>1047</v>
      </c>
      <c r="C921" s="167" t="s">
        <v>1036</v>
      </c>
      <c r="D921" s="118"/>
      <c r="E921" s="119">
        <v>37500</v>
      </c>
    </row>
    <row r="922" spans="1:5" x14ac:dyDescent="0.25">
      <c r="A922" s="115">
        <f t="shared" si="14"/>
        <v>13</v>
      </c>
      <c r="B922" s="166" t="s">
        <v>1048</v>
      </c>
      <c r="C922" s="167" t="s">
        <v>1037</v>
      </c>
      <c r="D922" s="118"/>
      <c r="E922" s="119">
        <v>5000</v>
      </c>
    </row>
    <row r="923" spans="1:5" x14ac:dyDescent="0.25">
      <c r="A923" s="115">
        <f t="shared" si="14"/>
        <v>14</v>
      </c>
      <c r="B923" s="166" t="s">
        <v>1049</v>
      </c>
      <c r="C923" s="167" t="s">
        <v>1038</v>
      </c>
      <c r="D923" s="118"/>
      <c r="E923" s="119">
        <v>5000</v>
      </c>
    </row>
    <row r="924" spans="1:5" x14ac:dyDescent="0.25">
      <c r="A924" s="115">
        <f t="shared" si="14"/>
        <v>15</v>
      </c>
      <c r="B924" s="166" t="s">
        <v>1050</v>
      </c>
      <c r="C924" s="167" t="s">
        <v>1039</v>
      </c>
      <c r="D924" s="118"/>
      <c r="E924" s="119">
        <v>5000</v>
      </c>
    </row>
    <row r="925" spans="1:5" x14ac:dyDescent="0.25">
      <c r="A925" s="115">
        <f t="shared" si="14"/>
        <v>16</v>
      </c>
      <c r="B925" s="166" t="s">
        <v>1051</v>
      </c>
      <c r="C925" s="167" t="s">
        <v>1040</v>
      </c>
      <c r="D925" s="118"/>
      <c r="E925" s="119">
        <v>5000</v>
      </c>
    </row>
    <row r="926" spans="1:5" x14ac:dyDescent="0.25">
      <c r="A926" s="115">
        <f t="shared" si="14"/>
        <v>17</v>
      </c>
      <c r="B926" s="166" t="s">
        <v>1052</v>
      </c>
      <c r="C926" s="167" t="s">
        <v>1041</v>
      </c>
      <c r="D926" s="118"/>
      <c r="E926" s="119">
        <v>5000</v>
      </c>
    </row>
    <row r="927" spans="1:5" x14ac:dyDescent="0.25">
      <c r="A927" s="115">
        <f t="shared" si="14"/>
        <v>18</v>
      </c>
      <c r="B927" s="166" t="s">
        <v>1068</v>
      </c>
      <c r="C927" s="167" t="s">
        <v>1042</v>
      </c>
      <c r="D927" s="118"/>
      <c r="E927" s="119">
        <v>5000</v>
      </c>
    </row>
    <row r="928" spans="1:5" x14ac:dyDescent="0.25">
      <c r="A928" s="115">
        <f t="shared" si="14"/>
        <v>19</v>
      </c>
      <c r="B928" s="166" t="s">
        <v>1053</v>
      </c>
      <c r="C928" s="167" t="s">
        <v>1060</v>
      </c>
      <c r="D928" s="118"/>
      <c r="E928" s="119">
        <v>12500</v>
      </c>
    </row>
    <row r="929" spans="1:5" x14ac:dyDescent="0.25">
      <c r="A929" s="115">
        <f t="shared" si="14"/>
        <v>20</v>
      </c>
      <c r="B929" s="166" t="s">
        <v>1070</v>
      </c>
      <c r="C929" s="167" t="s">
        <v>1071</v>
      </c>
      <c r="D929" s="118"/>
      <c r="E929" s="119">
        <v>5000</v>
      </c>
    </row>
    <row r="930" spans="1:5" x14ac:dyDescent="0.25">
      <c r="A930" s="115">
        <f t="shared" si="14"/>
        <v>21</v>
      </c>
      <c r="B930" s="166" t="s">
        <v>1054</v>
      </c>
      <c r="C930" s="167" t="s">
        <v>1061</v>
      </c>
      <c r="D930" s="118"/>
      <c r="E930" s="119">
        <v>12500</v>
      </c>
    </row>
    <row r="931" spans="1:5" x14ac:dyDescent="0.25">
      <c r="A931" s="115">
        <f t="shared" si="14"/>
        <v>22</v>
      </c>
      <c r="B931" s="166" t="s">
        <v>1055</v>
      </c>
      <c r="C931" s="167" t="s">
        <v>1062</v>
      </c>
      <c r="D931" s="118"/>
      <c r="E931" s="119">
        <v>5000</v>
      </c>
    </row>
    <row r="932" spans="1:5" x14ac:dyDescent="0.25">
      <c r="A932" s="115">
        <f t="shared" si="14"/>
        <v>23</v>
      </c>
      <c r="B932" s="166" t="s">
        <v>1056</v>
      </c>
      <c r="C932" s="167" t="s">
        <v>1063</v>
      </c>
      <c r="D932" s="118"/>
      <c r="E932" s="119">
        <v>42500</v>
      </c>
    </row>
    <row r="933" spans="1:5" x14ac:dyDescent="0.25">
      <c r="A933" s="115">
        <f t="shared" si="14"/>
        <v>24</v>
      </c>
      <c r="B933" s="166" t="s">
        <v>1057</v>
      </c>
      <c r="C933" s="167" t="s">
        <v>1064</v>
      </c>
      <c r="D933" s="118"/>
      <c r="E933" s="119">
        <v>5000</v>
      </c>
    </row>
    <row r="934" spans="1:5" x14ac:dyDescent="0.25">
      <c r="A934" s="115">
        <f t="shared" si="14"/>
        <v>25</v>
      </c>
      <c r="B934" s="166" t="s">
        <v>1069</v>
      </c>
      <c r="C934" s="167" t="s">
        <v>1065</v>
      </c>
      <c r="D934" s="118"/>
      <c r="E934" s="119">
        <v>12500</v>
      </c>
    </row>
    <row r="935" spans="1:5" x14ac:dyDescent="0.25">
      <c r="A935" s="115">
        <f t="shared" si="14"/>
        <v>26</v>
      </c>
      <c r="B935" s="166" t="s">
        <v>1058</v>
      </c>
      <c r="C935" s="167" t="s">
        <v>1066</v>
      </c>
      <c r="D935" s="118"/>
      <c r="E935" s="119">
        <v>12500</v>
      </c>
    </row>
    <row r="936" spans="1:5" x14ac:dyDescent="0.25">
      <c r="A936" s="115">
        <f t="shared" si="14"/>
        <v>27</v>
      </c>
      <c r="B936" s="166" t="s">
        <v>1059</v>
      </c>
      <c r="C936" s="167" t="s">
        <v>1067</v>
      </c>
      <c r="D936" s="118"/>
      <c r="E936" s="119">
        <v>12500</v>
      </c>
    </row>
    <row r="937" spans="1:5" x14ac:dyDescent="0.25">
      <c r="A937" s="115"/>
      <c r="B937" s="166"/>
      <c r="C937" s="167"/>
      <c r="D937" s="118"/>
      <c r="E937" s="119"/>
    </row>
    <row r="938" spans="1:5" ht="15.75" thickBot="1" x14ac:dyDescent="0.3">
      <c r="A938" s="120"/>
      <c r="B938" s="577" t="s">
        <v>15</v>
      </c>
      <c r="C938" s="578"/>
      <c r="D938" s="579"/>
      <c r="E938" s="121">
        <f>SUM(E910:E937)</f>
        <v>320000</v>
      </c>
    </row>
    <row r="939" spans="1:5" x14ac:dyDescent="0.25">
      <c r="A939" s="110"/>
      <c r="B939" s="145"/>
      <c r="C939" s="145"/>
      <c r="E939" s="146"/>
    </row>
    <row r="940" spans="1:5" x14ac:dyDescent="0.25">
      <c r="A940" s="109"/>
      <c r="B940" s="109"/>
      <c r="C940" s="110"/>
      <c r="D940" s="123" t="s">
        <v>1018</v>
      </c>
      <c r="E940" s="109"/>
    </row>
    <row r="941" spans="1:5" x14ac:dyDescent="0.25">
      <c r="D941" s="123" t="s">
        <v>100</v>
      </c>
    </row>
    <row r="955" spans="1:5" x14ac:dyDescent="0.25">
      <c r="A955" s="108" t="s">
        <v>0</v>
      </c>
      <c r="B955" s="144"/>
      <c r="C955" s="144"/>
      <c r="D955" s="144"/>
      <c r="E955" s="144"/>
    </row>
    <row r="956" spans="1:5" x14ac:dyDescent="0.25">
      <c r="A956" s="108" t="s">
        <v>1</v>
      </c>
      <c r="B956" s="109"/>
      <c r="C956" s="110"/>
      <c r="D956" s="109"/>
      <c r="E956" s="109"/>
    </row>
    <row r="957" spans="1:5" x14ac:dyDescent="0.25">
      <c r="A957" s="108"/>
      <c r="B957" s="109"/>
      <c r="C957" s="110"/>
      <c r="D957" s="109"/>
      <c r="E957" s="109"/>
    </row>
    <row r="958" spans="1:5" x14ac:dyDescent="0.25">
      <c r="A958" s="111" t="s">
        <v>101</v>
      </c>
      <c r="B958" s="111"/>
      <c r="C958" s="111"/>
      <c r="D958" s="111"/>
      <c r="E958" s="111"/>
    </row>
    <row r="959" spans="1:5" x14ac:dyDescent="0.25">
      <c r="A959" s="575" t="s">
        <v>99</v>
      </c>
      <c r="B959" s="576"/>
      <c r="C959" s="576"/>
      <c r="D959" s="576"/>
      <c r="E959" s="576"/>
    </row>
    <row r="960" spans="1:5" x14ac:dyDescent="0.25">
      <c r="A960" s="110"/>
      <c r="B960" s="110"/>
      <c r="C960" s="110"/>
      <c r="D960" s="110"/>
      <c r="E960" s="110"/>
    </row>
    <row r="961" spans="1:5" ht="15.75" thickBot="1" x14ac:dyDescent="0.3">
      <c r="A961" s="109"/>
      <c r="B961" s="109"/>
      <c r="C961" s="110"/>
      <c r="D961" s="109"/>
      <c r="E961" s="124" t="s">
        <v>1072</v>
      </c>
    </row>
    <row r="962" spans="1:5" x14ac:dyDescent="0.25">
      <c r="A962" s="112" t="s">
        <v>21</v>
      </c>
      <c r="B962" s="113" t="s">
        <v>96</v>
      </c>
      <c r="C962" s="113" t="s">
        <v>97</v>
      </c>
      <c r="D962" s="113" t="s">
        <v>91</v>
      </c>
      <c r="E962" s="114" t="s">
        <v>15</v>
      </c>
    </row>
    <row r="963" spans="1:5" x14ac:dyDescent="0.25">
      <c r="A963" s="115">
        <v>1</v>
      </c>
      <c r="B963" s="166" t="s">
        <v>1074</v>
      </c>
      <c r="C963" s="167" t="s">
        <v>1077</v>
      </c>
      <c r="D963" s="118"/>
      <c r="E963" s="119">
        <v>5000</v>
      </c>
    </row>
    <row r="964" spans="1:5" x14ac:dyDescent="0.25">
      <c r="A964" s="115">
        <f>A963+1</f>
        <v>2</v>
      </c>
      <c r="B964" s="166" t="s">
        <v>1052</v>
      </c>
      <c r="C964" s="167" t="s">
        <v>1078</v>
      </c>
      <c r="D964" s="118"/>
      <c r="E964" s="119">
        <v>5000</v>
      </c>
    </row>
    <row r="965" spans="1:5" x14ac:dyDescent="0.25">
      <c r="A965" s="115">
        <f t="shared" ref="A965:A986" si="15">A964+1</f>
        <v>3</v>
      </c>
      <c r="B965" s="166" t="s">
        <v>1075</v>
      </c>
      <c r="C965" s="167" t="s">
        <v>1081</v>
      </c>
      <c r="D965" s="118"/>
      <c r="E965" s="119">
        <v>5000</v>
      </c>
    </row>
    <row r="966" spans="1:5" x14ac:dyDescent="0.25">
      <c r="A966" s="115">
        <f t="shared" si="15"/>
        <v>4</v>
      </c>
      <c r="B966" s="166" t="s">
        <v>1076</v>
      </c>
      <c r="C966" s="167" t="s">
        <v>1079</v>
      </c>
      <c r="D966" s="118"/>
      <c r="E966" s="119">
        <v>5000</v>
      </c>
    </row>
    <row r="967" spans="1:5" x14ac:dyDescent="0.25">
      <c r="A967" s="115">
        <f t="shared" si="15"/>
        <v>5</v>
      </c>
      <c r="B967" s="166" t="s">
        <v>331</v>
      </c>
      <c r="C967" s="167" t="s">
        <v>1080</v>
      </c>
      <c r="D967" s="118"/>
      <c r="E967" s="119">
        <v>30000</v>
      </c>
    </row>
    <row r="968" spans="1:5" x14ac:dyDescent="0.25">
      <c r="A968" s="115">
        <f t="shared" si="15"/>
        <v>6</v>
      </c>
      <c r="B968" s="166" t="s">
        <v>1086</v>
      </c>
      <c r="C968" s="167" t="s">
        <v>1082</v>
      </c>
      <c r="D968" s="118"/>
      <c r="E968" s="119">
        <v>17500</v>
      </c>
    </row>
    <row r="969" spans="1:5" x14ac:dyDescent="0.25">
      <c r="A969" s="115">
        <f t="shared" si="15"/>
        <v>7</v>
      </c>
      <c r="B969" s="166" t="s">
        <v>1087</v>
      </c>
      <c r="C969" s="167" t="s">
        <v>1083</v>
      </c>
      <c r="D969" s="118"/>
      <c r="E969" s="119">
        <v>5000</v>
      </c>
    </row>
    <row r="970" spans="1:5" x14ac:dyDescent="0.25">
      <c r="A970" s="115">
        <f t="shared" si="15"/>
        <v>8</v>
      </c>
      <c r="B970" s="166" t="s">
        <v>1088</v>
      </c>
      <c r="C970" s="167" t="s">
        <v>1084</v>
      </c>
      <c r="D970" s="118"/>
      <c r="E970" s="119">
        <v>5000</v>
      </c>
    </row>
    <row r="971" spans="1:5" x14ac:dyDescent="0.25">
      <c r="A971" s="115">
        <f t="shared" si="15"/>
        <v>9</v>
      </c>
      <c r="B971" s="166" t="s">
        <v>1089</v>
      </c>
      <c r="C971" s="167" t="s">
        <v>1085</v>
      </c>
      <c r="D971" s="118"/>
      <c r="E971" s="119">
        <v>42500</v>
      </c>
    </row>
    <row r="972" spans="1:5" x14ac:dyDescent="0.25">
      <c r="A972" s="115">
        <f t="shared" si="15"/>
        <v>10</v>
      </c>
      <c r="B972" s="166" t="s">
        <v>317</v>
      </c>
      <c r="C972" s="167" t="s">
        <v>1096</v>
      </c>
      <c r="D972" s="118"/>
      <c r="E972" s="119">
        <v>30000</v>
      </c>
    </row>
    <row r="973" spans="1:5" x14ac:dyDescent="0.25">
      <c r="A973" s="115">
        <f t="shared" si="15"/>
        <v>11</v>
      </c>
      <c r="B973" s="166" t="s">
        <v>1090</v>
      </c>
      <c r="C973" s="167" t="s">
        <v>1097</v>
      </c>
      <c r="D973" s="118"/>
      <c r="E973" s="119">
        <v>5000</v>
      </c>
    </row>
    <row r="974" spans="1:5" x14ac:dyDescent="0.25">
      <c r="A974" s="115">
        <f t="shared" si="15"/>
        <v>12</v>
      </c>
      <c r="B974" s="166" t="s">
        <v>1091</v>
      </c>
      <c r="C974" s="167" t="s">
        <v>1098</v>
      </c>
      <c r="D974" s="118"/>
      <c r="E974" s="119">
        <v>5000</v>
      </c>
    </row>
    <row r="975" spans="1:5" x14ac:dyDescent="0.25">
      <c r="A975" s="115">
        <f t="shared" si="15"/>
        <v>13</v>
      </c>
      <c r="B975" s="166" t="s">
        <v>1092</v>
      </c>
      <c r="C975" s="167" t="s">
        <v>1099</v>
      </c>
      <c r="D975" s="118"/>
      <c r="E975" s="119">
        <v>5000</v>
      </c>
    </row>
    <row r="976" spans="1:5" x14ac:dyDescent="0.25">
      <c r="A976" s="115">
        <f t="shared" si="15"/>
        <v>14</v>
      </c>
      <c r="B976" s="166" t="s">
        <v>1093</v>
      </c>
      <c r="C976" s="167" t="s">
        <v>1100</v>
      </c>
      <c r="D976" s="118"/>
      <c r="E976" s="119">
        <v>5000</v>
      </c>
    </row>
    <row r="977" spans="1:5" x14ac:dyDescent="0.25">
      <c r="A977" s="115">
        <f t="shared" si="15"/>
        <v>15</v>
      </c>
      <c r="B977" s="166" t="s">
        <v>1094</v>
      </c>
      <c r="C977" s="167" t="s">
        <v>1101</v>
      </c>
      <c r="D977" s="118"/>
      <c r="E977" s="119">
        <v>37500</v>
      </c>
    </row>
    <row r="978" spans="1:5" x14ac:dyDescent="0.25">
      <c r="A978" s="115">
        <f t="shared" si="15"/>
        <v>16</v>
      </c>
      <c r="B978" s="166" t="s">
        <v>1095</v>
      </c>
      <c r="C978" s="167" t="s">
        <v>1102</v>
      </c>
      <c r="D978" s="118"/>
      <c r="E978" s="119">
        <v>32500</v>
      </c>
    </row>
    <row r="979" spans="1:5" x14ac:dyDescent="0.25">
      <c r="A979" s="115">
        <f t="shared" si="15"/>
        <v>17</v>
      </c>
      <c r="B979" s="166" t="s">
        <v>1111</v>
      </c>
      <c r="C979" s="167" t="s">
        <v>1103</v>
      </c>
      <c r="D979" s="118"/>
      <c r="E979" s="119">
        <v>5000</v>
      </c>
    </row>
    <row r="980" spans="1:5" x14ac:dyDescent="0.25">
      <c r="A980" s="115">
        <f t="shared" si="15"/>
        <v>18</v>
      </c>
      <c r="B980" s="166" t="s">
        <v>920</v>
      </c>
      <c r="C980" s="167" t="s">
        <v>1104</v>
      </c>
      <c r="D980" s="118"/>
      <c r="E980" s="119">
        <v>32500</v>
      </c>
    </row>
    <row r="981" spans="1:5" x14ac:dyDescent="0.25">
      <c r="A981" s="115">
        <f t="shared" si="15"/>
        <v>19</v>
      </c>
      <c r="B981" s="166" t="s">
        <v>1108</v>
      </c>
      <c r="C981" s="167" t="s">
        <v>1105</v>
      </c>
      <c r="D981" s="118"/>
      <c r="E981" s="119">
        <v>5000</v>
      </c>
    </row>
    <row r="982" spans="1:5" x14ac:dyDescent="0.25">
      <c r="A982" s="115">
        <f t="shared" si="15"/>
        <v>20</v>
      </c>
      <c r="B982" s="166" t="s">
        <v>1109</v>
      </c>
      <c r="C982" s="167" t="s">
        <v>1106</v>
      </c>
      <c r="D982" s="118"/>
      <c r="E982" s="119">
        <v>12500</v>
      </c>
    </row>
    <row r="983" spans="1:5" x14ac:dyDescent="0.25">
      <c r="A983" s="115">
        <f t="shared" si="15"/>
        <v>21</v>
      </c>
      <c r="B983" s="166" t="s">
        <v>1110</v>
      </c>
      <c r="C983" s="167" t="s">
        <v>1107</v>
      </c>
      <c r="D983" s="118"/>
      <c r="E983" s="119">
        <v>12500</v>
      </c>
    </row>
    <row r="984" spans="1:5" x14ac:dyDescent="0.25">
      <c r="A984" s="115">
        <f t="shared" si="15"/>
        <v>22</v>
      </c>
      <c r="B984" s="166" t="s">
        <v>1112</v>
      </c>
      <c r="C984" s="167" t="s">
        <v>1114</v>
      </c>
      <c r="D984" s="118"/>
      <c r="E984" s="119">
        <v>5000</v>
      </c>
    </row>
    <row r="985" spans="1:5" x14ac:dyDescent="0.25">
      <c r="A985" s="115">
        <f t="shared" si="15"/>
        <v>23</v>
      </c>
      <c r="B985" s="166" t="s">
        <v>1024</v>
      </c>
      <c r="C985" s="167" t="s">
        <v>1115</v>
      </c>
      <c r="D985" s="118"/>
      <c r="E985" s="119">
        <v>5000</v>
      </c>
    </row>
    <row r="986" spans="1:5" x14ac:dyDescent="0.25">
      <c r="A986" s="115">
        <f t="shared" si="15"/>
        <v>24</v>
      </c>
      <c r="B986" s="166" t="s">
        <v>1113</v>
      </c>
      <c r="C986" s="167" t="s">
        <v>1116</v>
      </c>
      <c r="D986" s="118"/>
      <c r="E986" s="119">
        <v>12500</v>
      </c>
    </row>
    <row r="987" spans="1:5" x14ac:dyDescent="0.25">
      <c r="A987" s="115"/>
      <c r="B987" s="166"/>
      <c r="C987" s="167"/>
      <c r="D987" s="118"/>
      <c r="E987" s="119"/>
    </row>
    <row r="988" spans="1:5" ht="15.75" thickBot="1" x14ac:dyDescent="0.3">
      <c r="A988" s="120"/>
      <c r="B988" s="577" t="s">
        <v>15</v>
      </c>
      <c r="C988" s="578"/>
      <c r="D988" s="579"/>
      <c r="E988" s="121">
        <f>SUM(E963:E987)</f>
        <v>330000</v>
      </c>
    </row>
    <row r="989" spans="1:5" x14ac:dyDescent="0.25">
      <c r="A989" s="110"/>
      <c r="B989" s="145"/>
      <c r="C989" s="145"/>
      <c r="E989" s="146"/>
    </row>
    <row r="990" spans="1:5" x14ac:dyDescent="0.25">
      <c r="A990" s="109"/>
      <c r="B990" s="109"/>
      <c r="C990" s="110"/>
      <c r="D990" s="123" t="s">
        <v>1073</v>
      </c>
      <c r="E990" s="109"/>
    </row>
    <row r="991" spans="1:5" x14ac:dyDescent="0.25">
      <c r="D991" s="123" t="s">
        <v>100</v>
      </c>
    </row>
    <row r="1008" spans="1:5" x14ac:dyDescent="0.25">
      <c r="A1008" s="108" t="s">
        <v>0</v>
      </c>
      <c r="B1008" s="144"/>
      <c r="C1008" s="144"/>
      <c r="D1008" s="144"/>
      <c r="E1008" s="144"/>
    </row>
    <row r="1009" spans="1:5" x14ac:dyDescent="0.25">
      <c r="A1009" s="108" t="s">
        <v>1</v>
      </c>
      <c r="B1009" s="109"/>
      <c r="C1009" s="110"/>
      <c r="D1009" s="109"/>
      <c r="E1009" s="109"/>
    </row>
    <row r="1010" spans="1:5" x14ac:dyDescent="0.25">
      <c r="A1010" s="108"/>
      <c r="B1010" s="109"/>
      <c r="C1010" s="110"/>
      <c r="D1010" s="109"/>
      <c r="E1010" s="109"/>
    </row>
    <row r="1011" spans="1:5" x14ac:dyDescent="0.25">
      <c r="A1011" s="111" t="s">
        <v>101</v>
      </c>
      <c r="B1011" s="111"/>
      <c r="C1011" s="111"/>
      <c r="D1011" s="111"/>
      <c r="E1011" s="111"/>
    </row>
    <row r="1012" spans="1:5" x14ac:dyDescent="0.25">
      <c r="A1012" s="575" t="s">
        <v>99</v>
      </c>
      <c r="B1012" s="576"/>
      <c r="C1012" s="576"/>
      <c r="D1012" s="576"/>
      <c r="E1012" s="576"/>
    </row>
    <row r="1013" spans="1:5" x14ac:dyDescent="0.25">
      <c r="A1013" s="110"/>
      <c r="B1013" s="110"/>
      <c r="C1013" s="110"/>
      <c r="D1013" s="110"/>
      <c r="E1013" s="110"/>
    </row>
    <row r="1014" spans="1:5" ht="15.75" thickBot="1" x14ac:dyDescent="0.3">
      <c r="A1014" s="109"/>
      <c r="B1014" s="109"/>
      <c r="C1014" s="110"/>
      <c r="D1014" s="109"/>
      <c r="E1014" s="124" t="s">
        <v>1117</v>
      </c>
    </row>
    <row r="1015" spans="1:5" x14ac:dyDescent="0.25">
      <c r="A1015" s="112" t="s">
        <v>21</v>
      </c>
      <c r="B1015" s="113" t="s">
        <v>96</v>
      </c>
      <c r="C1015" s="113" t="s">
        <v>97</v>
      </c>
      <c r="D1015" s="113" t="s">
        <v>91</v>
      </c>
      <c r="E1015" s="114" t="s">
        <v>15</v>
      </c>
    </row>
    <row r="1016" spans="1:5" x14ac:dyDescent="0.25">
      <c r="A1016" s="115">
        <v>1</v>
      </c>
      <c r="B1016" s="166" t="s">
        <v>1119</v>
      </c>
      <c r="C1016" s="167" t="s">
        <v>1122</v>
      </c>
      <c r="D1016" s="118"/>
      <c r="E1016" s="119">
        <v>12500</v>
      </c>
    </row>
    <row r="1017" spans="1:5" x14ac:dyDescent="0.25">
      <c r="A1017" s="115">
        <f>A1016+1</f>
        <v>2</v>
      </c>
      <c r="B1017" s="166" t="s">
        <v>1120</v>
      </c>
      <c r="C1017" s="167" t="s">
        <v>1123</v>
      </c>
      <c r="D1017" s="118"/>
      <c r="E1017" s="119">
        <v>30000</v>
      </c>
    </row>
    <row r="1018" spans="1:5" x14ac:dyDescent="0.25">
      <c r="A1018" s="115">
        <f t="shared" ref="A1018:A1030" si="16">A1017+1</f>
        <v>3</v>
      </c>
      <c r="B1018" s="166" t="s">
        <v>1121</v>
      </c>
      <c r="C1018" s="167" t="s">
        <v>1124</v>
      </c>
      <c r="D1018" s="118"/>
      <c r="E1018" s="119">
        <v>12500</v>
      </c>
    </row>
    <row r="1019" spans="1:5" x14ac:dyDescent="0.25">
      <c r="A1019" s="115">
        <f t="shared" si="16"/>
        <v>4</v>
      </c>
      <c r="B1019" s="166" t="s">
        <v>1129</v>
      </c>
      <c r="C1019" s="167" t="s">
        <v>1125</v>
      </c>
      <c r="D1019" s="118"/>
      <c r="E1019" s="119">
        <v>102500</v>
      </c>
    </row>
    <row r="1020" spans="1:5" x14ac:dyDescent="0.25">
      <c r="A1020" s="115">
        <f t="shared" si="16"/>
        <v>5</v>
      </c>
      <c r="B1020" s="166" t="s">
        <v>1130</v>
      </c>
      <c r="C1020" s="167" t="s">
        <v>1126</v>
      </c>
      <c r="D1020" s="118"/>
      <c r="E1020" s="119">
        <v>22500</v>
      </c>
    </row>
    <row r="1021" spans="1:5" x14ac:dyDescent="0.25">
      <c r="A1021" s="115">
        <f t="shared" si="16"/>
        <v>6</v>
      </c>
      <c r="B1021" s="166" t="s">
        <v>1131</v>
      </c>
      <c r="C1021" s="167" t="s">
        <v>1127</v>
      </c>
      <c r="D1021" s="118"/>
      <c r="E1021" s="119">
        <v>42500</v>
      </c>
    </row>
    <row r="1022" spans="1:5" x14ac:dyDescent="0.25">
      <c r="A1022" s="115">
        <f t="shared" si="16"/>
        <v>7</v>
      </c>
      <c r="B1022" s="166" t="s">
        <v>1132</v>
      </c>
      <c r="C1022" s="167" t="s">
        <v>1128</v>
      </c>
      <c r="D1022" s="118"/>
      <c r="E1022" s="119">
        <v>5000</v>
      </c>
    </row>
    <row r="1023" spans="1:5" x14ac:dyDescent="0.25">
      <c r="A1023" s="115">
        <f t="shared" si="16"/>
        <v>8</v>
      </c>
      <c r="B1023" s="166" t="s">
        <v>1133</v>
      </c>
      <c r="C1023" s="167" t="s">
        <v>1141</v>
      </c>
      <c r="D1023" s="118"/>
      <c r="E1023" s="119">
        <v>5000</v>
      </c>
    </row>
    <row r="1024" spans="1:5" x14ac:dyDescent="0.25">
      <c r="A1024" s="115">
        <f t="shared" si="16"/>
        <v>9</v>
      </c>
      <c r="B1024" s="166" t="s">
        <v>1134</v>
      </c>
      <c r="C1024" s="167" t="s">
        <v>1142</v>
      </c>
      <c r="D1024" s="118"/>
      <c r="E1024" s="119">
        <v>5000</v>
      </c>
    </row>
    <row r="1025" spans="1:5" x14ac:dyDescent="0.25">
      <c r="A1025" s="115">
        <f t="shared" si="16"/>
        <v>10</v>
      </c>
      <c r="B1025" s="166" t="s">
        <v>1135</v>
      </c>
      <c r="C1025" s="167" t="s">
        <v>1143</v>
      </c>
      <c r="D1025" s="118"/>
      <c r="E1025" s="119">
        <v>5000</v>
      </c>
    </row>
    <row r="1026" spans="1:5" x14ac:dyDescent="0.25">
      <c r="A1026" s="115">
        <f t="shared" si="16"/>
        <v>11</v>
      </c>
      <c r="B1026" s="166" t="s">
        <v>1136</v>
      </c>
      <c r="C1026" s="167" t="s">
        <v>1144</v>
      </c>
      <c r="D1026" s="118"/>
      <c r="E1026" s="119">
        <v>12500</v>
      </c>
    </row>
    <row r="1027" spans="1:5" x14ac:dyDescent="0.25">
      <c r="A1027" s="115">
        <f t="shared" si="16"/>
        <v>12</v>
      </c>
      <c r="B1027" s="166" t="s">
        <v>1137</v>
      </c>
      <c r="C1027" s="167" t="s">
        <v>1145</v>
      </c>
      <c r="D1027" s="118"/>
      <c r="E1027" s="119">
        <v>5000</v>
      </c>
    </row>
    <row r="1028" spans="1:5" x14ac:dyDescent="0.25">
      <c r="A1028" s="115">
        <f t="shared" si="16"/>
        <v>13</v>
      </c>
      <c r="B1028" s="166" t="s">
        <v>1138</v>
      </c>
      <c r="C1028" s="167" t="s">
        <v>1146</v>
      </c>
      <c r="D1028" s="118"/>
      <c r="E1028" s="119">
        <v>5000</v>
      </c>
    </row>
    <row r="1029" spans="1:5" x14ac:dyDescent="0.25">
      <c r="A1029" s="115">
        <f t="shared" si="16"/>
        <v>14</v>
      </c>
      <c r="B1029" s="166" t="s">
        <v>1139</v>
      </c>
      <c r="C1029" s="167" t="s">
        <v>1147</v>
      </c>
      <c r="D1029" s="118"/>
      <c r="E1029" s="119">
        <v>5000</v>
      </c>
    </row>
    <row r="1030" spans="1:5" x14ac:dyDescent="0.25">
      <c r="A1030" s="115">
        <f t="shared" si="16"/>
        <v>15</v>
      </c>
      <c r="B1030" s="166" t="s">
        <v>1140</v>
      </c>
      <c r="C1030" s="167" t="s">
        <v>1148</v>
      </c>
      <c r="D1030" s="118"/>
      <c r="E1030" s="119">
        <v>5000</v>
      </c>
    </row>
    <row r="1031" spans="1:5" x14ac:dyDescent="0.25">
      <c r="A1031" s="115"/>
      <c r="B1031" s="166"/>
      <c r="C1031" s="167"/>
      <c r="D1031" s="118"/>
      <c r="E1031" s="119"/>
    </row>
    <row r="1032" spans="1:5" ht="15.75" thickBot="1" x14ac:dyDescent="0.3">
      <c r="A1032" s="120"/>
      <c r="B1032" s="577" t="s">
        <v>15</v>
      </c>
      <c r="C1032" s="578"/>
      <c r="D1032" s="579"/>
      <c r="E1032" s="121">
        <f>SUM(E1016:E1031)</f>
        <v>275000</v>
      </c>
    </row>
    <row r="1033" spans="1:5" x14ac:dyDescent="0.25">
      <c r="A1033" s="110"/>
      <c r="B1033" s="145"/>
      <c r="C1033" s="145"/>
      <c r="E1033" s="146"/>
    </row>
    <row r="1034" spans="1:5" x14ac:dyDescent="0.25">
      <c r="A1034" s="109"/>
      <c r="B1034" s="109"/>
      <c r="C1034" s="110"/>
      <c r="D1034" s="123" t="s">
        <v>1118</v>
      </c>
      <c r="E1034" s="109"/>
    </row>
    <row r="1035" spans="1:5" x14ac:dyDescent="0.25">
      <c r="D1035" s="123" t="s">
        <v>100</v>
      </c>
    </row>
    <row r="1061" spans="1:5" x14ac:dyDescent="0.25">
      <c r="A1061" s="108" t="s">
        <v>0</v>
      </c>
      <c r="B1061" s="144"/>
      <c r="C1061" s="144"/>
      <c r="D1061" s="144"/>
      <c r="E1061" s="144"/>
    </row>
    <row r="1062" spans="1:5" x14ac:dyDescent="0.25">
      <c r="A1062" s="108" t="s">
        <v>1</v>
      </c>
      <c r="B1062" s="109"/>
      <c r="C1062" s="110"/>
      <c r="D1062" s="109"/>
      <c r="E1062" s="109"/>
    </row>
    <row r="1063" spans="1:5" x14ac:dyDescent="0.25">
      <c r="A1063" s="108"/>
      <c r="B1063" s="109"/>
      <c r="C1063" s="110"/>
      <c r="D1063" s="109"/>
      <c r="E1063" s="109"/>
    </row>
    <row r="1064" spans="1:5" x14ac:dyDescent="0.25">
      <c r="A1064" s="111" t="s">
        <v>101</v>
      </c>
      <c r="B1064" s="111"/>
      <c r="C1064" s="111"/>
      <c r="D1064" s="111"/>
      <c r="E1064" s="111"/>
    </row>
    <row r="1065" spans="1:5" x14ac:dyDescent="0.25">
      <c r="A1065" s="575" t="s">
        <v>99</v>
      </c>
      <c r="B1065" s="576"/>
      <c r="C1065" s="576"/>
      <c r="D1065" s="576"/>
      <c r="E1065" s="576"/>
    </row>
    <row r="1066" spans="1:5" x14ac:dyDescent="0.25">
      <c r="A1066" s="110"/>
      <c r="B1066" s="110"/>
      <c r="C1066" s="110"/>
      <c r="D1066" s="110"/>
      <c r="E1066" s="110"/>
    </row>
    <row r="1067" spans="1:5" ht="15.75" thickBot="1" x14ac:dyDescent="0.3">
      <c r="A1067" s="109"/>
      <c r="B1067" s="109"/>
      <c r="C1067" s="110"/>
      <c r="D1067" s="109"/>
      <c r="E1067" s="124" t="s">
        <v>1149</v>
      </c>
    </row>
    <row r="1068" spans="1:5" x14ac:dyDescent="0.25">
      <c r="A1068" s="112" t="s">
        <v>21</v>
      </c>
      <c r="B1068" s="113" t="s">
        <v>96</v>
      </c>
      <c r="C1068" s="113" t="s">
        <v>97</v>
      </c>
      <c r="D1068" s="113" t="s">
        <v>91</v>
      </c>
      <c r="E1068" s="114" t="s">
        <v>15</v>
      </c>
    </row>
    <row r="1069" spans="1:5" x14ac:dyDescent="0.25">
      <c r="A1069" s="115">
        <v>1</v>
      </c>
      <c r="B1069" s="166" t="s">
        <v>1151</v>
      </c>
      <c r="C1069" s="167" t="s">
        <v>1157</v>
      </c>
      <c r="D1069" s="118"/>
      <c r="E1069" s="119">
        <v>32500</v>
      </c>
    </row>
    <row r="1070" spans="1:5" x14ac:dyDescent="0.25">
      <c r="A1070" s="115">
        <f>A1069+1</f>
        <v>2</v>
      </c>
      <c r="B1070" s="166" t="s">
        <v>1152</v>
      </c>
      <c r="C1070" s="167" t="s">
        <v>1158</v>
      </c>
      <c r="D1070" s="118"/>
      <c r="E1070" s="119">
        <v>32500</v>
      </c>
    </row>
    <row r="1071" spans="1:5" x14ac:dyDescent="0.25">
      <c r="A1071" s="115">
        <f t="shared" ref="A1071:A1091" si="17">A1070+1</f>
        <v>3</v>
      </c>
      <c r="B1071" s="166" t="s">
        <v>1153</v>
      </c>
      <c r="C1071" s="167" t="s">
        <v>1159</v>
      </c>
      <c r="D1071" s="118"/>
      <c r="E1071" s="119">
        <v>5000</v>
      </c>
    </row>
    <row r="1072" spans="1:5" x14ac:dyDescent="0.25">
      <c r="A1072" s="115">
        <f t="shared" si="17"/>
        <v>4</v>
      </c>
      <c r="B1072" s="166" t="s">
        <v>1154</v>
      </c>
      <c r="C1072" s="167" t="s">
        <v>1160</v>
      </c>
      <c r="D1072" s="118"/>
      <c r="E1072" s="119">
        <v>5000</v>
      </c>
    </row>
    <row r="1073" spans="1:5" x14ac:dyDescent="0.25">
      <c r="A1073" s="115">
        <f t="shared" si="17"/>
        <v>5</v>
      </c>
      <c r="B1073" s="166" t="s">
        <v>536</v>
      </c>
      <c r="C1073" s="167" t="s">
        <v>1161</v>
      </c>
      <c r="D1073" s="118"/>
      <c r="E1073" s="119">
        <v>22500</v>
      </c>
    </row>
    <row r="1074" spans="1:5" x14ac:dyDescent="0.25">
      <c r="A1074" s="115">
        <f t="shared" si="17"/>
        <v>6</v>
      </c>
      <c r="B1074" s="166" t="s">
        <v>1155</v>
      </c>
      <c r="C1074" s="167" t="s">
        <v>1162</v>
      </c>
      <c r="D1074" s="118"/>
      <c r="E1074" s="119">
        <v>5000</v>
      </c>
    </row>
    <row r="1075" spans="1:5" x14ac:dyDescent="0.25">
      <c r="A1075" s="115">
        <f t="shared" si="17"/>
        <v>7</v>
      </c>
      <c r="B1075" s="166" t="s">
        <v>1156</v>
      </c>
      <c r="C1075" s="167" t="s">
        <v>1163</v>
      </c>
      <c r="D1075" s="118"/>
      <c r="E1075" s="119">
        <v>5000</v>
      </c>
    </row>
    <row r="1076" spans="1:5" x14ac:dyDescent="0.25">
      <c r="A1076" s="115">
        <f t="shared" si="17"/>
        <v>8</v>
      </c>
      <c r="B1076" s="166" t="s">
        <v>1171</v>
      </c>
      <c r="C1076" s="167" t="s">
        <v>1082</v>
      </c>
      <c r="D1076" s="118"/>
      <c r="E1076" s="119">
        <v>5000</v>
      </c>
    </row>
    <row r="1077" spans="1:5" x14ac:dyDescent="0.25">
      <c r="A1077" s="115">
        <f t="shared" si="17"/>
        <v>9</v>
      </c>
      <c r="B1077" s="166" t="s">
        <v>1172</v>
      </c>
      <c r="C1077" s="167" t="s">
        <v>1164</v>
      </c>
      <c r="D1077" s="118"/>
      <c r="E1077" s="119">
        <v>12500</v>
      </c>
    </row>
    <row r="1078" spans="1:5" x14ac:dyDescent="0.25">
      <c r="A1078" s="115">
        <f t="shared" si="17"/>
        <v>10</v>
      </c>
      <c r="B1078" s="166" t="s">
        <v>1173</v>
      </c>
      <c r="C1078" s="167" t="s">
        <v>1165</v>
      </c>
      <c r="D1078" s="118"/>
      <c r="E1078" s="119">
        <v>12500</v>
      </c>
    </row>
    <row r="1079" spans="1:5" x14ac:dyDescent="0.25">
      <c r="A1079" s="115">
        <f t="shared" si="17"/>
        <v>11</v>
      </c>
      <c r="B1079" s="166" t="s">
        <v>1174</v>
      </c>
      <c r="C1079" s="167" t="s">
        <v>1166</v>
      </c>
      <c r="D1079" s="118"/>
      <c r="E1079" s="119">
        <v>72500</v>
      </c>
    </row>
    <row r="1080" spans="1:5" x14ac:dyDescent="0.25">
      <c r="A1080" s="115">
        <f t="shared" si="17"/>
        <v>12</v>
      </c>
      <c r="B1080" s="166" t="s">
        <v>1175</v>
      </c>
      <c r="C1080" s="167" t="s">
        <v>1167</v>
      </c>
      <c r="D1080" s="118"/>
      <c r="E1080" s="119">
        <v>12500</v>
      </c>
    </row>
    <row r="1081" spans="1:5" x14ac:dyDescent="0.25">
      <c r="A1081" s="115">
        <f t="shared" si="17"/>
        <v>13</v>
      </c>
      <c r="B1081" s="166" t="s">
        <v>1176</v>
      </c>
      <c r="C1081" s="167" t="s">
        <v>1168</v>
      </c>
      <c r="D1081" s="118"/>
      <c r="E1081" s="119">
        <v>10000</v>
      </c>
    </row>
    <row r="1082" spans="1:5" x14ac:dyDescent="0.25">
      <c r="A1082" s="115">
        <f t="shared" si="17"/>
        <v>14</v>
      </c>
      <c r="B1082" s="166" t="s">
        <v>802</v>
      </c>
      <c r="C1082" s="167" t="s">
        <v>1169</v>
      </c>
      <c r="D1082" s="118"/>
      <c r="E1082" s="119">
        <v>5000</v>
      </c>
    </row>
    <row r="1083" spans="1:5" x14ac:dyDescent="0.25">
      <c r="A1083" s="115">
        <f t="shared" si="17"/>
        <v>15</v>
      </c>
      <c r="B1083" s="166" t="s">
        <v>1177</v>
      </c>
      <c r="C1083" s="167" t="s">
        <v>1170</v>
      </c>
      <c r="D1083" s="118"/>
      <c r="E1083" s="119">
        <v>5000</v>
      </c>
    </row>
    <row r="1084" spans="1:5" x14ac:dyDescent="0.25">
      <c r="A1084" s="115">
        <f t="shared" si="17"/>
        <v>16</v>
      </c>
      <c r="B1084" s="166" t="s">
        <v>1178</v>
      </c>
      <c r="C1084" s="167" t="s">
        <v>1184</v>
      </c>
      <c r="D1084" s="118"/>
      <c r="E1084" s="119">
        <v>5000</v>
      </c>
    </row>
    <row r="1085" spans="1:5" x14ac:dyDescent="0.25">
      <c r="A1085" s="115">
        <f t="shared" si="17"/>
        <v>17</v>
      </c>
      <c r="B1085" s="166" t="s">
        <v>1179</v>
      </c>
      <c r="C1085" s="167" t="s">
        <v>1185</v>
      </c>
      <c r="D1085" s="118"/>
      <c r="E1085" s="119">
        <v>5000</v>
      </c>
    </row>
    <row r="1086" spans="1:5" x14ac:dyDescent="0.25">
      <c r="A1086" s="115">
        <f t="shared" si="17"/>
        <v>18</v>
      </c>
      <c r="B1086" s="166" t="s">
        <v>1180</v>
      </c>
      <c r="C1086" s="167" t="s">
        <v>1186</v>
      </c>
      <c r="D1086" s="118"/>
      <c r="E1086" s="119">
        <v>5000</v>
      </c>
    </row>
    <row r="1087" spans="1:5" x14ac:dyDescent="0.25">
      <c r="A1087" s="115">
        <f t="shared" si="17"/>
        <v>19</v>
      </c>
      <c r="B1087" s="166" t="s">
        <v>1191</v>
      </c>
      <c r="C1087" s="167" t="s">
        <v>1187</v>
      </c>
      <c r="D1087" s="118"/>
      <c r="E1087" s="119">
        <v>12500</v>
      </c>
    </row>
    <row r="1088" spans="1:5" x14ac:dyDescent="0.25">
      <c r="A1088" s="115">
        <f t="shared" si="17"/>
        <v>20</v>
      </c>
      <c r="B1088" s="166" t="s">
        <v>1181</v>
      </c>
      <c r="C1088" s="167" t="s">
        <v>1188</v>
      </c>
      <c r="D1088" s="118"/>
      <c r="E1088" s="119">
        <v>5000</v>
      </c>
    </row>
    <row r="1089" spans="1:5" x14ac:dyDescent="0.25">
      <c r="A1089" s="115">
        <f t="shared" si="17"/>
        <v>21</v>
      </c>
      <c r="B1089" s="166" t="s">
        <v>1182</v>
      </c>
      <c r="C1089" s="167" t="s">
        <v>1189</v>
      </c>
      <c r="D1089" s="118"/>
      <c r="E1089" s="119">
        <v>12500</v>
      </c>
    </row>
    <row r="1090" spans="1:5" x14ac:dyDescent="0.25">
      <c r="A1090" s="115">
        <f t="shared" si="17"/>
        <v>22</v>
      </c>
      <c r="B1090" s="166" t="s">
        <v>1183</v>
      </c>
      <c r="C1090" s="167" t="s">
        <v>1190</v>
      </c>
      <c r="D1090" s="118"/>
      <c r="E1090" s="119">
        <v>12500</v>
      </c>
    </row>
    <row r="1091" spans="1:5" x14ac:dyDescent="0.25">
      <c r="A1091" s="115">
        <f t="shared" si="17"/>
        <v>23</v>
      </c>
      <c r="B1091" s="166" t="s">
        <v>1193</v>
      </c>
      <c r="C1091" s="167" t="s">
        <v>1192</v>
      </c>
      <c r="D1091" s="118"/>
      <c r="E1091" s="119">
        <v>7500</v>
      </c>
    </row>
    <row r="1092" spans="1:5" x14ac:dyDescent="0.25">
      <c r="A1092" s="115"/>
      <c r="B1092" s="166"/>
      <c r="C1092" s="167"/>
      <c r="D1092" s="118"/>
      <c r="E1092" s="119"/>
    </row>
    <row r="1093" spans="1:5" ht="15.75" thickBot="1" x14ac:dyDescent="0.3">
      <c r="A1093" s="120"/>
      <c r="B1093" s="577" t="s">
        <v>15</v>
      </c>
      <c r="C1093" s="578"/>
      <c r="D1093" s="579"/>
      <c r="E1093" s="121">
        <f>SUM(E1069:E1092)</f>
        <v>307500</v>
      </c>
    </row>
    <row r="1094" spans="1:5" x14ac:dyDescent="0.25">
      <c r="A1094" s="110"/>
      <c r="B1094" s="145"/>
      <c r="C1094" s="145"/>
      <c r="E1094" s="146"/>
    </row>
    <row r="1095" spans="1:5" x14ac:dyDescent="0.25">
      <c r="A1095" s="109"/>
      <c r="B1095" s="109"/>
      <c r="C1095" s="110"/>
      <c r="D1095" s="123" t="s">
        <v>1150</v>
      </c>
      <c r="E1095" s="109"/>
    </row>
    <row r="1096" spans="1:5" x14ac:dyDescent="0.25">
      <c r="D1096" s="123" t="s">
        <v>100</v>
      </c>
    </row>
    <row r="1114" spans="1:5" x14ac:dyDescent="0.25">
      <c r="A1114" s="108" t="s">
        <v>0</v>
      </c>
      <c r="B1114" s="144"/>
      <c r="C1114" s="144"/>
      <c r="D1114" s="144"/>
      <c r="E1114" s="144"/>
    </row>
    <row r="1115" spans="1:5" x14ac:dyDescent="0.25">
      <c r="A1115" s="108" t="s">
        <v>1</v>
      </c>
      <c r="B1115" s="109"/>
      <c r="C1115" s="110"/>
      <c r="D1115" s="109"/>
      <c r="E1115" s="109"/>
    </row>
    <row r="1116" spans="1:5" x14ac:dyDescent="0.25">
      <c r="A1116" s="108"/>
      <c r="B1116" s="109"/>
      <c r="C1116" s="110"/>
      <c r="D1116" s="109"/>
      <c r="E1116" s="109"/>
    </row>
    <row r="1117" spans="1:5" x14ac:dyDescent="0.25">
      <c r="A1117" s="111" t="s">
        <v>101</v>
      </c>
      <c r="B1117" s="111"/>
      <c r="C1117" s="111"/>
      <c r="D1117" s="111"/>
      <c r="E1117" s="111"/>
    </row>
    <row r="1118" spans="1:5" x14ac:dyDescent="0.25">
      <c r="A1118" s="575" t="s">
        <v>99</v>
      </c>
      <c r="B1118" s="576"/>
      <c r="C1118" s="576"/>
      <c r="D1118" s="576"/>
      <c r="E1118" s="576"/>
    </row>
    <row r="1119" spans="1:5" x14ac:dyDescent="0.25">
      <c r="A1119" s="110"/>
      <c r="B1119" s="110"/>
      <c r="C1119" s="110"/>
      <c r="D1119" s="110"/>
      <c r="E1119" s="110"/>
    </row>
    <row r="1120" spans="1:5" ht="15.75" thickBot="1" x14ac:dyDescent="0.3">
      <c r="A1120" s="109"/>
      <c r="B1120" s="109"/>
      <c r="C1120" s="110"/>
      <c r="D1120" s="109"/>
      <c r="E1120" s="124" t="s">
        <v>1194</v>
      </c>
    </row>
    <row r="1121" spans="1:5" x14ac:dyDescent="0.25">
      <c r="A1121" s="112" t="s">
        <v>21</v>
      </c>
      <c r="B1121" s="113" t="s">
        <v>96</v>
      </c>
      <c r="C1121" s="113" t="s">
        <v>97</v>
      </c>
      <c r="D1121" s="113" t="s">
        <v>91</v>
      </c>
      <c r="E1121" s="114" t="s">
        <v>15</v>
      </c>
    </row>
    <row r="1122" spans="1:5" x14ac:dyDescent="0.25">
      <c r="A1122" s="115">
        <v>1</v>
      </c>
      <c r="B1122" s="166" t="s">
        <v>1219</v>
      </c>
      <c r="C1122" s="167" t="s">
        <v>1232</v>
      </c>
      <c r="D1122" s="118"/>
      <c r="E1122" s="119">
        <v>22500</v>
      </c>
    </row>
    <row r="1123" spans="1:5" x14ac:dyDescent="0.25">
      <c r="A1123" s="115">
        <f>A1122+1</f>
        <v>2</v>
      </c>
      <c r="B1123" s="166" t="s">
        <v>1220</v>
      </c>
      <c r="C1123" s="167" t="s">
        <v>1233</v>
      </c>
      <c r="D1123" s="118"/>
      <c r="E1123" s="119">
        <v>37500</v>
      </c>
    </row>
    <row r="1124" spans="1:5" x14ac:dyDescent="0.25">
      <c r="A1124" s="115">
        <f t="shared" ref="A1124:A1167" si="18">A1123+1</f>
        <v>3</v>
      </c>
      <c r="B1124" s="166" t="s">
        <v>1221</v>
      </c>
      <c r="C1124" s="167" t="s">
        <v>1234</v>
      </c>
      <c r="D1124" s="118"/>
      <c r="E1124" s="119">
        <v>5000</v>
      </c>
    </row>
    <row r="1125" spans="1:5" x14ac:dyDescent="0.25">
      <c r="A1125" s="115">
        <f t="shared" si="18"/>
        <v>4</v>
      </c>
      <c r="B1125" s="166" t="s">
        <v>1222</v>
      </c>
      <c r="C1125" s="167" t="s">
        <v>1235</v>
      </c>
      <c r="D1125" s="118"/>
      <c r="E1125" s="119">
        <v>5000</v>
      </c>
    </row>
    <row r="1126" spans="1:5" x14ac:dyDescent="0.25">
      <c r="A1126" s="115">
        <f t="shared" si="18"/>
        <v>5</v>
      </c>
      <c r="B1126" s="166" t="s">
        <v>1223</v>
      </c>
      <c r="C1126" s="167" t="s">
        <v>1236</v>
      </c>
      <c r="D1126" s="118"/>
      <c r="E1126" s="119">
        <v>5000</v>
      </c>
    </row>
    <row r="1127" spans="1:5" x14ac:dyDescent="0.25">
      <c r="A1127" s="115">
        <f t="shared" si="18"/>
        <v>6</v>
      </c>
      <c r="B1127" s="166" t="s">
        <v>1224</v>
      </c>
      <c r="C1127" s="167" t="s">
        <v>1237</v>
      </c>
      <c r="D1127" s="118"/>
      <c r="E1127" s="119">
        <v>5000</v>
      </c>
    </row>
    <row r="1128" spans="1:5" x14ac:dyDescent="0.25">
      <c r="A1128" s="115">
        <f t="shared" si="18"/>
        <v>7</v>
      </c>
      <c r="B1128" s="166" t="s">
        <v>1225</v>
      </c>
      <c r="C1128" s="167" t="s">
        <v>1238</v>
      </c>
      <c r="D1128" s="118"/>
      <c r="E1128" s="119">
        <v>40000</v>
      </c>
    </row>
    <row r="1129" spans="1:5" x14ac:dyDescent="0.25">
      <c r="A1129" s="115">
        <f t="shared" si="18"/>
        <v>8</v>
      </c>
      <c r="B1129" s="166" t="s">
        <v>1226</v>
      </c>
      <c r="C1129" s="167" t="s">
        <v>1239</v>
      </c>
      <c r="D1129" s="118"/>
      <c r="E1129" s="119">
        <v>22500</v>
      </c>
    </row>
    <row r="1130" spans="1:5" x14ac:dyDescent="0.25">
      <c r="A1130" s="115">
        <f t="shared" si="18"/>
        <v>9</v>
      </c>
      <c r="B1130" s="166" t="s">
        <v>1227</v>
      </c>
      <c r="C1130" s="167" t="s">
        <v>1240</v>
      </c>
      <c r="D1130" s="118"/>
      <c r="E1130" s="119">
        <v>22500</v>
      </c>
    </row>
    <row r="1131" spans="1:5" x14ac:dyDescent="0.25">
      <c r="A1131" s="115">
        <f t="shared" si="18"/>
        <v>10</v>
      </c>
      <c r="B1131" s="166" t="s">
        <v>1228</v>
      </c>
      <c r="C1131" s="167" t="s">
        <v>1241</v>
      </c>
      <c r="D1131" s="118"/>
      <c r="E1131" s="119">
        <v>12500</v>
      </c>
    </row>
    <row r="1132" spans="1:5" x14ac:dyDescent="0.25">
      <c r="A1132" s="115">
        <f t="shared" si="18"/>
        <v>11</v>
      </c>
      <c r="B1132" s="166" t="s">
        <v>1229</v>
      </c>
      <c r="C1132" s="167" t="s">
        <v>1242</v>
      </c>
      <c r="D1132" s="118"/>
      <c r="E1132" s="119">
        <v>22500</v>
      </c>
    </row>
    <row r="1133" spans="1:5" x14ac:dyDescent="0.25">
      <c r="A1133" s="115">
        <f t="shared" si="18"/>
        <v>12</v>
      </c>
      <c r="B1133" s="166" t="s">
        <v>1230</v>
      </c>
      <c r="C1133" s="167" t="s">
        <v>1243</v>
      </c>
      <c r="D1133" s="118"/>
      <c r="E1133" s="119">
        <v>5000</v>
      </c>
    </row>
    <row r="1134" spans="1:5" x14ac:dyDescent="0.25">
      <c r="A1134" s="115">
        <f t="shared" si="18"/>
        <v>13</v>
      </c>
      <c r="B1134" s="166" t="s">
        <v>1231</v>
      </c>
      <c r="C1134" s="167" t="s">
        <v>1244</v>
      </c>
      <c r="D1134" s="118"/>
      <c r="E1134" s="119">
        <v>22500</v>
      </c>
    </row>
    <row r="1135" spans="1:5" x14ac:dyDescent="0.25">
      <c r="A1135" s="115">
        <f t="shared" si="18"/>
        <v>14</v>
      </c>
      <c r="B1135" s="166" t="s">
        <v>1272</v>
      </c>
      <c r="C1135" s="167" t="s">
        <v>1245</v>
      </c>
      <c r="D1135" s="118"/>
      <c r="E1135" s="119">
        <v>5000</v>
      </c>
    </row>
    <row r="1136" spans="1:5" x14ac:dyDescent="0.25">
      <c r="A1136" s="115">
        <f t="shared" si="18"/>
        <v>15</v>
      </c>
      <c r="B1136" s="166" t="s">
        <v>1273</v>
      </c>
      <c r="C1136" s="167" t="s">
        <v>1246</v>
      </c>
      <c r="D1136" s="118"/>
      <c r="E1136" s="119">
        <v>12500</v>
      </c>
    </row>
    <row r="1137" spans="1:5" x14ac:dyDescent="0.25">
      <c r="A1137" s="115">
        <f t="shared" si="18"/>
        <v>16</v>
      </c>
      <c r="B1137" s="166" t="s">
        <v>1274</v>
      </c>
      <c r="C1137" s="167" t="s">
        <v>1247</v>
      </c>
      <c r="D1137" s="118"/>
      <c r="E1137" s="119">
        <v>22500</v>
      </c>
    </row>
    <row r="1138" spans="1:5" x14ac:dyDescent="0.25">
      <c r="A1138" s="115">
        <f t="shared" si="18"/>
        <v>17</v>
      </c>
      <c r="B1138" s="166" t="s">
        <v>1275</v>
      </c>
      <c r="C1138" s="167" t="s">
        <v>1248</v>
      </c>
      <c r="D1138" s="118"/>
      <c r="E1138" s="119">
        <v>5000</v>
      </c>
    </row>
    <row r="1139" spans="1:5" x14ac:dyDescent="0.25">
      <c r="A1139" s="115">
        <f t="shared" si="18"/>
        <v>18</v>
      </c>
      <c r="B1139" s="166" t="s">
        <v>1276</v>
      </c>
      <c r="C1139" s="167" t="s">
        <v>1249</v>
      </c>
      <c r="D1139" s="118"/>
      <c r="E1139" s="119">
        <v>5000</v>
      </c>
    </row>
    <row r="1140" spans="1:5" x14ac:dyDescent="0.25">
      <c r="A1140" s="115">
        <f t="shared" si="18"/>
        <v>19</v>
      </c>
      <c r="B1140" s="166" t="s">
        <v>1277</v>
      </c>
      <c r="C1140" s="167" t="s">
        <v>1250</v>
      </c>
      <c r="D1140" s="118"/>
      <c r="E1140" s="119">
        <v>5000</v>
      </c>
    </row>
    <row r="1141" spans="1:5" x14ac:dyDescent="0.25">
      <c r="A1141" s="115">
        <f t="shared" si="18"/>
        <v>20</v>
      </c>
      <c r="B1141" s="166" t="s">
        <v>1278</v>
      </c>
      <c r="C1141" s="167" t="s">
        <v>1251</v>
      </c>
      <c r="D1141" s="118"/>
      <c r="E1141" s="119">
        <v>5000</v>
      </c>
    </row>
    <row r="1142" spans="1:5" x14ac:dyDescent="0.25">
      <c r="A1142" s="115">
        <f t="shared" si="18"/>
        <v>21</v>
      </c>
      <c r="B1142" s="166" t="s">
        <v>1279</v>
      </c>
      <c r="C1142" s="167" t="s">
        <v>1252</v>
      </c>
      <c r="D1142" s="118"/>
      <c r="E1142" s="119">
        <v>5000</v>
      </c>
    </row>
    <row r="1143" spans="1:5" x14ac:dyDescent="0.25">
      <c r="A1143" s="115">
        <f t="shared" si="18"/>
        <v>22</v>
      </c>
      <c r="B1143" s="166" t="s">
        <v>1280</v>
      </c>
      <c r="C1143" s="167" t="s">
        <v>1253</v>
      </c>
      <c r="D1143" s="118"/>
      <c r="E1143" s="119">
        <v>22500</v>
      </c>
    </row>
    <row r="1144" spans="1:5" x14ac:dyDescent="0.25">
      <c r="A1144" s="115">
        <f t="shared" si="18"/>
        <v>23</v>
      </c>
      <c r="B1144" s="166" t="s">
        <v>1281</v>
      </c>
      <c r="C1144" s="167" t="s">
        <v>1254</v>
      </c>
      <c r="D1144" s="118"/>
      <c r="E1144" s="119">
        <v>5000</v>
      </c>
    </row>
    <row r="1145" spans="1:5" x14ac:dyDescent="0.25">
      <c r="A1145" s="115">
        <f t="shared" si="18"/>
        <v>24</v>
      </c>
      <c r="B1145" s="166" t="s">
        <v>1282</v>
      </c>
      <c r="C1145" s="167" t="s">
        <v>1255</v>
      </c>
      <c r="D1145" s="118"/>
      <c r="E1145" s="119">
        <v>22500</v>
      </c>
    </row>
    <row r="1146" spans="1:5" x14ac:dyDescent="0.25">
      <c r="A1146" s="115">
        <f t="shared" si="18"/>
        <v>25</v>
      </c>
      <c r="B1146" s="166" t="s">
        <v>1283</v>
      </c>
      <c r="C1146" s="167" t="s">
        <v>1256</v>
      </c>
      <c r="D1146" s="118"/>
      <c r="E1146" s="119">
        <v>12500</v>
      </c>
    </row>
    <row r="1147" spans="1:5" x14ac:dyDescent="0.25">
      <c r="A1147" s="115">
        <f t="shared" si="18"/>
        <v>26</v>
      </c>
      <c r="B1147" s="166" t="s">
        <v>1092</v>
      </c>
      <c r="C1147" s="167" t="s">
        <v>1257</v>
      </c>
      <c r="D1147" s="118"/>
      <c r="E1147" s="119">
        <v>5000</v>
      </c>
    </row>
    <row r="1148" spans="1:5" x14ac:dyDescent="0.25">
      <c r="A1148" s="115">
        <f t="shared" si="18"/>
        <v>27</v>
      </c>
      <c r="B1148" s="166" t="s">
        <v>1284</v>
      </c>
      <c r="C1148" s="167" t="s">
        <v>1258</v>
      </c>
      <c r="D1148" s="118"/>
      <c r="E1148" s="119">
        <v>12500</v>
      </c>
    </row>
    <row r="1149" spans="1:5" x14ac:dyDescent="0.25">
      <c r="A1149" s="115">
        <f t="shared" si="18"/>
        <v>28</v>
      </c>
      <c r="B1149" s="166" t="s">
        <v>1285</v>
      </c>
      <c r="C1149" s="167" t="s">
        <v>1259</v>
      </c>
      <c r="D1149" s="118"/>
      <c r="E1149" s="119">
        <v>5000</v>
      </c>
    </row>
    <row r="1150" spans="1:5" x14ac:dyDescent="0.25">
      <c r="A1150" s="115">
        <f t="shared" si="18"/>
        <v>29</v>
      </c>
      <c r="B1150" s="166" t="s">
        <v>514</v>
      </c>
      <c r="C1150" s="167" t="s">
        <v>1260</v>
      </c>
      <c r="D1150" s="118"/>
      <c r="E1150" s="119">
        <v>5000</v>
      </c>
    </row>
    <row r="1151" spans="1:5" x14ac:dyDescent="0.25">
      <c r="A1151" s="115">
        <f t="shared" si="18"/>
        <v>30</v>
      </c>
      <c r="B1151" s="166" t="s">
        <v>1286</v>
      </c>
      <c r="C1151" s="167" t="s">
        <v>1261</v>
      </c>
      <c r="D1151" s="118"/>
      <c r="E1151" s="119">
        <v>12500</v>
      </c>
    </row>
    <row r="1152" spans="1:5" x14ac:dyDescent="0.25">
      <c r="A1152" s="115">
        <f t="shared" si="18"/>
        <v>31</v>
      </c>
      <c r="B1152" s="166" t="s">
        <v>1287</v>
      </c>
      <c r="C1152" s="167" t="s">
        <v>1262</v>
      </c>
      <c r="D1152" s="118"/>
      <c r="E1152" s="119">
        <v>12500</v>
      </c>
    </row>
    <row r="1153" spans="1:5" x14ac:dyDescent="0.25">
      <c r="A1153" s="115">
        <f t="shared" si="18"/>
        <v>32</v>
      </c>
      <c r="B1153" s="166" t="s">
        <v>1288</v>
      </c>
      <c r="C1153" s="167" t="s">
        <v>1263</v>
      </c>
      <c r="D1153" s="118"/>
      <c r="E1153" s="119">
        <v>5000</v>
      </c>
    </row>
    <row r="1154" spans="1:5" x14ac:dyDescent="0.25">
      <c r="A1154" s="115">
        <f t="shared" si="18"/>
        <v>33</v>
      </c>
      <c r="B1154" s="166" t="s">
        <v>1289</v>
      </c>
      <c r="C1154" s="167" t="s">
        <v>1264</v>
      </c>
      <c r="D1154" s="118"/>
      <c r="E1154" s="119">
        <v>5000</v>
      </c>
    </row>
    <row r="1155" spans="1:5" x14ac:dyDescent="0.25">
      <c r="A1155" s="115">
        <f t="shared" si="18"/>
        <v>34</v>
      </c>
      <c r="B1155" s="166" t="s">
        <v>1014</v>
      </c>
      <c r="C1155" s="167" t="s">
        <v>1265</v>
      </c>
      <c r="D1155" s="118"/>
      <c r="E1155" s="119">
        <v>20000</v>
      </c>
    </row>
    <row r="1156" spans="1:5" x14ac:dyDescent="0.25">
      <c r="A1156" s="115">
        <f t="shared" si="18"/>
        <v>35</v>
      </c>
      <c r="B1156" s="166" t="s">
        <v>1290</v>
      </c>
      <c r="C1156" s="167" t="s">
        <v>1266</v>
      </c>
      <c r="D1156" s="118"/>
      <c r="E1156" s="119">
        <v>22500</v>
      </c>
    </row>
    <row r="1157" spans="1:5" x14ac:dyDescent="0.25">
      <c r="A1157" s="115">
        <f t="shared" si="18"/>
        <v>36</v>
      </c>
      <c r="B1157" s="166" t="s">
        <v>1291</v>
      </c>
      <c r="C1157" s="167" t="s">
        <v>1267</v>
      </c>
      <c r="D1157" s="118"/>
      <c r="E1157" s="119">
        <v>5000</v>
      </c>
    </row>
    <row r="1158" spans="1:5" x14ac:dyDescent="0.25">
      <c r="A1158" s="115">
        <f t="shared" si="18"/>
        <v>37</v>
      </c>
      <c r="B1158" s="166" t="s">
        <v>1292</v>
      </c>
      <c r="C1158" s="167" t="s">
        <v>1268</v>
      </c>
      <c r="D1158" s="118"/>
      <c r="E1158" s="119">
        <v>5000</v>
      </c>
    </row>
    <row r="1159" spans="1:5" x14ac:dyDescent="0.25">
      <c r="A1159" s="115">
        <f t="shared" si="18"/>
        <v>38</v>
      </c>
      <c r="B1159" s="166" t="s">
        <v>1293</v>
      </c>
      <c r="C1159" s="167" t="s">
        <v>1269</v>
      </c>
      <c r="D1159" s="118"/>
      <c r="E1159" s="119">
        <v>5000</v>
      </c>
    </row>
    <row r="1160" spans="1:5" x14ac:dyDescent="0.25">
      <c r="A1160" s="115">
        <f t="shared" si="18"/>
        <v>39</v>
      </c>
      <c r="B1160" s="166" t="s">
        <v>1294</v>
      </c>
      <c r="C1160" s="167" t="s">
        <v>1270</v>
      </c>
      <c r="D1160" s="118"/>
      <c r="E1160" s="119">
        <v>5000</v>
      </c>
    </row>
    <row r="1161" spans="1:5" x14ac:dyDescent="0.25">
      <c r="A1161" s="115">
        <f t="shared" si="18"/>
        <v>40</v>
      </c>
      <c r="B1161" s="166" t="s">
        <v>1295</v>
      </c>
      <c r="C1161" s="167" t="s">
        <v>1271</v>
      </c>
      <c r="D1161" s="118"/>
      <c r="E1161" s="119">
        <v>22500</v>
      </c>
    </row>
    <row r="1162" spans="1:5" x14ac:dyDescent="0.25">
      <c r="A1162" s="115">
        <f t="shared" si="18"/>
        <v>41</v>
      </c>
      <c r="B1162" s="166" t="s">
        <v>332</v>
      </c>
      <c r="C1162" s="167" t="s">
        <v>1296</v>
      </c>
      <c r="D1162" s="118"/>
      <c r="E1162" s="119">
        <v>5000</v>
      </c>
    </row>
    <row r="1163" spans="1:5" x14ac:dyDescent="0.25">
      <c r="A1163" s="115">
        <f t="shared" si="18"/>
        <v>42</v>
      </c>
      <c r="B1163" s="166" t="s">
        <v>1302</v>
      </c>
      <c r="C1163" s="167" t="s">
        <v>1297</v>
      </c>
      <c r="D1163" s="118"/>
      <c r="E1163" s="119">
        <v>12500</v>
      </c>
    </row>
    <row r="1164" spans="1:5" x14ac:dyDescent="0.25">
      <c r="A1164" s="115">
        <f t="shared" si="18"/>
        <v>43</v>
      </c>
      <c r="B1164" s="166" t="s">
        <v>1303</v>
      </c>
      <c r="C1164" s="167" t="s">
        <v>1298</v>
      </c>
      <c r="D1164" s="118"/>
      <c r="E1164" s="119">
        <v>12500</v>
      </c>
    </row>
    <row r="1165" spans="1:5" x14ac:dyDescent="0.25">
      <c r="A1165" s="115">
        <f t="shared" si="18"/>
        <v>44</v>
      </c>
      <c r="B1165" s="166" t="s">
        <v>1304</v>
      </c>
      <c r="C1165" s="167" t="s">
        <v>1299</v>
      </c>
      <c r="D1165" s="118"/>
      <c r="E1165" s="119">
        <v>12500</v>
      </c>
    </row>
    <row r="1166" spans="1:5" x14ac:dyDescent="0.25">
      <c r="A1166" s="115">
        <f t="shared" si="18"/>
        <v>45</v>
      </c>
      <c r="B1166" s="166" t="s">
        <v>1305</v>
      </c>
      <c r="C1166" s="167" t="s">
        <v>1300</v>
      </c>
      <c r="D1166" s="118"/>
      <c r="E1166" s="119">
        <v>12500</v>
      </c>
    </row>
    <row r="1167" spans="1:5" x14ac:dyDescent="0.25">
      <c r="A1167" s="115">
        <f t="shared" si="18"/>
        <v>46</v>
      </c>
      <c r="B1167" s="166" t="s">
        <v>1306</v>
      </c>
      <c r="C1167" s="167" t="s">
        <v>1301</v>
      </c>
      <c r="D1167" s="118"/>
      <c r="E1167" s="119">
        <v>12500</v>
      </c>
    </row>
    <row r="1168" spans="1:5" x14ac:dyDescent="0.25">
      <c r="A1168" s="115"/>
      <c r="B1168" s="166"/>
      <c r="C1168" s="167"/>
      <c r="D1168" s="118"/>
      <c r="E1168" s="119"/>
    </row>
    <row r="1169" spans="1:5" ht="15.75" thickBot="1" x14ac:dyDescent="0.3">
      <c r="A1169" s="120"/>
      <c r="B1169" s="577" t="s">
        <v>15</v>
      </c>
      <c r="C1169" s="578"/>
      <c r="D1169" s="579"/>
      <c r="E1169" s="121">
        <f>SUM(E1122:E1168)</f>
        <v>570000</v>
      </c>
    </row>
    <row r="1170" spans="1:5" x14ac:dyDescent="0.25">
      <c r="A1170" s="110"/>
      <c r="B1170" s="145"/>
      <c r="C1170" s="145"/>
      <c r="E1170" s="146"/>
    </row>
    <row r="1171" spans="1:5" x14ac:dyDescent="0.25">
      <c r="A1171" s="109"/>
      <c r="B1171" s="109"/>
      <c r="C1171" s="110"/>
      <c r="D1171" s="123" t="s">
        <v>1195</v>
      </c>
      <c r="E1171" s="109"/>
    </row>
    <row r="1172" spans="1:5" x14ac:dyDescent="0.25">
      <c r="D1172" s="123" t="s">
        <v>100</v>
      </c>
    </row>
    <row r="1220" spans="1:5" x14ac:dyDescent="0.25">
      <c r="A1220" s="108" t="s">
        <v>0</v>
      </c>
      <c r="B1220" s="144"/>
      <c r="C1220" s="144"/>
      <c r="D1220" s="144"/>
      <c r="E1220" s="144"/>
    </row>
    <row r="1221" spans="1:5" x14ac:dyDescent="0.25">
      <c r="A1221" s="108" t="s">
        <v>1</v>
      </c>
      <c r="B1221" s="109"/>
      <c r="C1221" s="110"/>
      <c r="D1221" s="109"/>
      <c r="E1221" s="109"/>
    </row>
    <row r="1222" spans="1:5" x14ac:dyDescent="0.25">
      <c r="A1222" s="108"/>
      <c r="B1222" s="109"/>
      <c r="C1222" s="110"/>
      <c r="D1222" s="109"/>
      <c r="E1222" s="109"/>
    </row>
    <row r="1223" spans="1:5" x14ac:dyDescent="0.25">
      <c r="A1223" s="111" t="s">
        <v>101</v>
      </c>
      <c r="B1223" s="111"/>
      <c r="C1223" s="111"/>
      <c r="D1223" s="111"/>
      <c r="E1223" s="111"/>
    </row>
    <row r="1224" spans="1:5" x14ac:dyDescent="0.25">
      <c r="A1224" s="575" t="s">
        <v>99</v>
      </c>
      <c r="B1224" s="576"/>
      <c r="C1224" s="576"/>
      <c r="D1224" s="576"/>
      <c r="E1224" s="576"/>
    </row>
    <row r="1225" spans="1:5" x14ac:dyDescent="0.25">
      <c r="A1225" s="110"/>
      <c r="B1225" s="110"/>
      <c r="C1225" s="110"/>
      <c r="D1225" s="110"/>
      <c r="E1225" s="110"/>
    </row>
    <row r="1226" spans="1:5" ht="15.75" thickBot="1" x14ac:dyDescent="0.3">
      <c r="A1226" s="109"/>
      <c r="B1226" s="109"/>
      <c r="C1226" s="110"/>
      <c r="D1226" s="109"/>
      <c r="E1226" s="124" t="s">
        <v>1307</v>
      </c>
    </row>
    <row r="1227" spans="1:5" x14ac:dyDescent="0.25">
      <c r="A1227" s="112" t="s">
        <v>21</v>
      </c>
      <c r="B1227" s="113" t="s">
        <v>96</v>
      </c>
      <c r="C1227" s="113" t="s">
        <v>97</v>
      </c>
      <c r="D1227" s="113" t="s">
        <v>91</v>
      </c>
      <c r="E1227" s="114" t="s">
        <v>15</v>
      </c>
    </row>
    <row r="1228" spans="1:5" x14ac:dyDescent="0.25">
      <c r="A1228" s="115">
        <v>1</v>
      </c>
      <c r="B1228" s="166" t="s">
        <v>1308</v>
      </c>
      <c r="C1228" s="167" t="s">
        <v>1321</v>
      </c>
      <c r="D1228" s="118"/>
      <c r="E1228" s="119">
        <v>32500</v>
      </c>
    </row>
    <row r="1229" spans="1:5" x14ac:dyDescent="0.25">
      <c r="A1229" s="115">
        <f>A1228+1</f>
        <v>2</v>
      </c>
      <c r="B1229" s="166" t="s">
        <v>659</v>
      </c>
      <c r="C1229" s="167" t="s">
        <v>652</v>
      </c>
      <c r="D1229" s="118"/>
      <c r="E1229" s="119">
        <v>12500</v>
      </c>
    </row>
    <row r="1230" spans="1:5" x14ac:dyDescent="0.25">
      <c r="A1230" s="115">
        <f t="shared" ref="A1230:A1251" si="19">A1229+1</f>
        <v>3</v>
      </c>
      <c r="B1230" s="166" t="s">
        <v>1309</v>
      </c>
      <c r="C1230" s="167" t="s">
        <v>1322</v>
      </c>
      <c r="D1230" s="118"/>
      <c r="E1230" s="119">
        <v>5000</v>
      </c>
    </row>
    <row r="1231" spans="1:5" x14ac:dyDescent="0.25">
      <c r="A1231" s="115">
        <f t="shared" si="19"/>
        <v>4</v>
      </c>
      <c r="B1231" s="166" t="s">
        <v>1310</v>
      </c>
      <c r="C1231" s="167" t="s">
        <v>1323</v>
      </c>
      <c r="D1231" s="118"/>
      <c r="E1231" s="119">
        <v>5000</v>
      </c>
    </row>
    <row r="1232" spans="1:5" x14ac:dyDescent="0.25">
      <c r="A1232" s="115">
        <f t="shared" si="19"/>
        <v>5</v>
      </c>
      <c r="B1232" s="166" t="s">
        <v>1311</v>
      </c>
      <c r="C1232" s="167" t="s">
        <v>1324</v>
      </c>
      <c r="D1232" s="118"/>
      <c r="E1232" s="119">
        <v>12500</v>
      </c>
    </row>
    <row r="1233" spans="1:5" x14ac:dyDescent="0.25">
      <c r="A1233" s="115">
        <f t="shared" si="19"/>
        <v>6</v>
      </c>
      <c r="B1233" s="166" t="s">
        <v>1312</v>
      </c>
      <c r="C1233" s="167" t="s">
        <v>1325</v>
      </c>
      <c r="D1233" s="118"/>
      <c r="E1233" s="119">
        <v>22500</v>
      </c>
    </row>
    <row r="1234" spans="1:5" x14ac:dyDescent="0.25">
      <c r="A1234" s="115">
        <f t="shared" si="19"/>
        <v>7</v>
      </c>
      <c r="B1234" s="166" t="s">
        <v>1313</v>
      </c>
      <c r="C1234" s="167" t="s">
        <v>1326</v>
      </c>
      <c r="D1234" s="118"/>
      <c r="E1234" s="119">
        <v>22500</v>
      </c>
    </row>
    <row r="1235" spans="1:5" x14ac:dyDescent="0.25">
      <c r="A1235" s="115">
        <f t="shared" si="19"/>
        <v>8</v>
      </c>
      <c r="B1235" s="166" t="s">
        <v>1314</v>
      </c>
      <c r="C1235" s="167" t="s">
        <v>1327</v>
      </c>
      <c r="D1235" s="118"/>
      <c r="E1235" s="119">
        <v>12500</v>
      </c>
    </row>
    <row r="1236" spans="1:5" x14ac:dyDescent="0.25">
      <c r="A1236" s="115">
        <f t="shared" si="19"/>
        <v>9</v>
      </c>
      <c r="B1236" s="166" t="s">
        <v>1315</v>
      </c>
      <c r="C1236" s="167" t="s">
        <v>1328</v>
      </c>
      <c r="D1236" s="118"/>
      <c r="E1236" s="119">
        <v>12500</v>
      </c>
    </row>
    <row r="1237" spans="1:5" x14ac:dyDescent="0.25">
      <c r="A1237" s="115">
        <f t="shared" si="19"/>
        <v>10</v>
      </c>
      <c r="B1237" s="166" t="s">
        <v>1316</v>
      </c>
      <c r="C1237" s="167" t="s">
        <v>1329</v>
      </c>
      <c r="D1237" s="118"/>
      <c r="E1237" s="119">
        <v>12500</v>
      </c>
    </row>
    <row r="1238" spans="1:5" x14ac:dyDescent="0.25">
      <c r="A1238" s="115">
        <f t="shared" si="19"/>
        <v>11</v>
      </c>
      <c r="B1238" s="166" t="s">
        <v>1317</v>
      </c>
      <c r="C1238" s="167" t="s">
        <v>1330</v>
      </c>
      <c r="D1238" s="118"/>
      <c r="E1238" s="119">
        <v>12500</v>
      </c>
    </row>
    <row r="1239" spans="1:5" x14ac:dyDescent="0.25">
      <c r="A1239" s="115">
        <f t="shared" si="19"/>
        <v>12</v>
      </c>
      <c r="B1239" s="166" t="s">
        <v>1318</v>
      </c>
      <c r="C1239" s="167" t="s">
        <v>1331</v>
      </c>
      <c r="D1239" s="118"/>
      <c r="E1239" s="119">
        <v>12500</v>
      </c>
    </row>
    <row r="1240" spans="1:5" x14ac:dyDescent="0.25">
      <c r="A1240" s="115">
        <f t="shared" si="19"/>
        <v>13</v>
      </c>
      <c r="B1240" s="166" t="s">
        <v>1319</v>
      </c>
      <c r="C1240" s="167" t="s">
        <v>1332</v>
      </c>
      <c r="D1240" s="118"/>
      <c r="E1240" s="119">
        <v>12500</v>
      </c>
    </row>
    <row r="1241" spans="1:5" x14ac:dyDescent="0.25">
      <c r="A1241" s="115">
        <f t="shared" si="19"/>
        <v>14</v>
      </c>
      <c r="B1241" s="166" t="s">
        <v>1320</v>
      </c>
      <c r="C1241" s="167" t="s">
        <v>1333</v>
      </c>
      <c r="D1241" s="118"/>
      <c r="E1241" s="119">
        <v>12500</v>
      </c>
    </row>
    <row r="1242" spans="1:5" x14ac:dyDescent="0.25">
      <c r="A1242" s="115">
        <f t="shared" si="19"/>
        <v>15</v>
      </c>
      <c r="B1242" s="166" t="s">
        <v>1344</v>
      </c>
      <c r="C1242" s="167" t="s">
        <v>1334</v>
      </c>
      <c r="D1242" s="118"/>
      <c r="E1242" s="119">
        <v>32500</v>
      </c>
    </row>
    <row r="1243" spans="1:5" x14ac:dyDescent="0.25">
      <c r="A1243" s="115">
        <f t="shared" si="19"/>
        <v>16</v>
      </c>
      <c r="B1243" s="166" t="s">
        <v>1308</v>
      </c>
      <c r="C1243" s="167" t="s">
        <v>1335</v>
      </c>
      <c r="D1243" s="118"/>
      <c r="E1243" s="119">
        <v>32500</v>
      </c>
    </row>
    <row r="1244" spans="1:5" x14ac:dyDescent="0.25">
      <c r="A1244" s="115">
        <f t="shared" si="19"/>
        <v>17</v>
      </c>
      <c r="B1244" s="166" t="s">
        <v>1345</v>
      </c>
      <c r="C1244" s="167" t="s">
        <v>1336</v>
      </c>
      <c r="D1244" s="118"/>
      <c r="E1244" s="119">
        <v>12500</v>
      </c>
    </row>
    <row r="1245" spans="1:5" x14ac:dyDescent="0.25">
      <c r="A1245" s="115">
        <f t="shared" si="19"/>
        <v>18</v>
      </c>
      <c r="B1245" s="166" t="s">
        <v>1346</v>
      </c>
      <c r="C1245" s="167" t="s">
        <v>1337</v>
      </c>
      <c r="D1245" s="118"/>
      <c r="E1245" s="119">
        <v>5000</v>
      </c>
    </row>
    <row r="1246" spans="1:5" x14ac:dyDescent="0.25">
      <c r="A1246" s="115">
        <f t="shared" si="19"/>
        <v>19</v>
      </c>
      <c r="B1246" s="166" t="s">
        <v>1347</v>
      </c>
      <c r="C1246" s="167" t="s">
        <v>1338</v>
      </c>
      <c r="D1246" s="118"/>
      <c r="E1246" s="119">
        <v>5000</v>
      </c>
    </row>
    <row r="1247" spans="1:5" x14ac:dyDescent="0.25">
      <c r="A1247" s="115">
        <f t="shared" si="19"/>
        <v>20</v>
      </c>
      <c r="B1247" s="166" t="s">
        <v>1348</v>
      </c>
      <c r="C1247" s="167" t="s">
        <v>1339</v>
      </c>
      <c r="D1247" s="118"/>
      <c r="E1247" s="119">
        <v>22500</v>
      </c>
    </row>
    <row r="1248" spans="1:5" x14ac:dyDescent="0.25">
      <c r="A1248" s="115">
        <f t="shared" si="19"/>
        <v>21</v>
      </c>
      <c r="B1248" s="166" t="s">
        <v>1349</v>
      </c>
      <c r="C1248" s="167" t="s">
        <v>1340</v>
      </c>
      <c r="D1248" s="118"/>
      <c r="E1248" s="119">
        <v>12500</v>
      </c>
    </row>
    <row r="1249" spans="1:5" x14ac:dyDescent="0.25">
      <c r="A1249" s="115">
        <f t="shared" si="19"/>
        <v>22</v>
      </c>
      <c r="B1249" s="166" t="s">
        <v>1090</v>
      </c>
      <c r="C1249" s="167" t="s">
        <v>1341</v>
      </c>
      <c r="D1249" s="118"/>
      <c r="E1249" s="119">
        <v>5000</v>
      </c>
    </row>
    <row r="1250" spans="1:5" x14ac:dyDescent="0.25">
      <c r="A1250" s="115">
        <f t="shared" si="19"/>
        <v>23</v>
      </c>
      <c r="B1250" s="166" t="s">
        <v>1351</v>
      </c>
      <c r="C1250" s="167" t="s">
        <v>1342</v>
      </c>
      <c r="D1250" s="118"/>
      <c r="E1250" s="119">
        <v>5000</v>
      </c>
    </row>
    <row r="1251" spans="1:5" x14ac:dyDescent="0.25">
      <c r="A1251" s="115">
        <f t="shared" si="19"/>
        <v>24</v>
      </c>
      <c r="B1251" s="166" t="s">
        <v>1350</v>
      </c>
      <c r="C1251" s="167" t="s">
        <v>1343</v>
      </c>
      <c r="D1251" s="118"/>
      <c r="E1251" s="119">
        <v>5000</v>
      </c>
    </row>
    <row r="1252" spans="1:5" x14ac:dyDescent="0.25">
      <c r="A1252" s="115"/>
      <c r="B1252" s="166"/>
      <c r="C1252" s="167"/>
      <c r="D1252" s="118"/>
      <c r="E1252" s="119"/>
    </row>
    <row r="1253" spans="1:5" ht="15.75" thickBot="1" x14ac:dyDescent="0.3">
      <c r="A1253" s="120"/>
      <c r="B1253" s="577" t="s">
        <v>15</v>
      </c>
      <c r="C1253" s="578"/>
      <c r="D1253" s="579"/>
      <c r="E1253" s="121">
        <f>SUM(E1228:E1252)</f>
        <v>337500</v>
      </c>
    </row>
    <row r="1254" spans="1:5" x14ac:dyDescent="0.25">
      <c r="A1254" s="110"/>
      <c r="B1254" s="145"/>
      <c r="C1254" s="145"/>
      <c r="E1254" s="146"/>
    </row>
    <row r="1255" spans="1:5" x14ac:dyDescent="0.25">
      <c r="A1255" s="109"/>
      <c r="B1255" s="109"/>
      <c r="C1255" s="110"/>
      <c r="D1255" s="123" t="s">
        <v>1353</v>
      </c>
      <c r="E1255" s="109"/>
    </row>
    <row r="1256" spans="1:5" x14ac:dyDescent="0.25">
      <c r="D1256" s="123" t="s">
        <v>100</v>
      </c>
    </row>
    <row r="1273" spans="1:5" x14ac:dyDescent="0.25">
      <c r="A1273" s="108" t="s">
        <v>0</v>
      </c>
      <c r="B1273" s="144"/>
      <c r="C1273" s="144"/>
      <c r="D1273" s="144"/>
      <c r="E1273" s="144"/>
    </row>
    <row r="1274" spans="1:5" x14ac:dyDescent="0.25">
      <c r="A1274" s="108" t="s">
        <v>1</v>
      </c>
      <c r="B1274" s="109"/>
      <c r="C1274" s="110"/>
      <c r="D1274" s="109"/>
      <c r="E1274" s="109"/>
    </row>
    <row r="1275" spans="1:5" x14ac:dyDescent="0.25">
      <c r="A1275" s="108"/>
      <c r="B1275" s="109"/>
      <c r="C1275" s="110"/>
      <c r="D1275" s="109"/>
      <c r="E1275" s="109"/>
    </row>
    <row r="1276" spans="1:5" x14ac:dyDescent="0.25">
      <c r="A1276" s="111" t="s">
        <v>101</v>
      </c>
      <c r="B1276" s="111"/>
      <c r="C1276" s="111"/>
      <c r="D1276" s="111"/>
      <c r="E1276" s="111"/>
    </row>
    <row r="1277" spans="1:5" x14ac:dyDescent="0.25">
      <c r="A1277" s="575" t="s">
        <v>99</v>
      </c>
      <c r="B1277" s="576"/>
      <c r="C1277" s="576"/>
      <c r="D1277" s="576"/>
      <c r="E1277" s="576"/>
    </row>
    <row r="1278" spans="1:5" x14ac:dyDescent="0.25">
      <c r="A1278" s="110"/>
      <c r="B1278" s="110"/>
      <c r="C1278" s="110"/>
      <c r="D1278" s="110"/>
      <c r="E1278" s="110"/>
    </row>
    <row r="1279" spans="1:5" ht="15.75" thickBot="1" x14ac:dyDescent="0.3">
      <c r="A1279" s="109"/>
      <c r="B1279" s="109"/>
      <c r="C1279" s="110"/>
      <c r="D1279" s="109"/>
      <c r="E1279" s="124" t="s">
        <v>1352</v>
      </c>
    </row>
    <row r="1280" spans="1:5" x14ac:dyDescent="0.25">
      <c r="A1280" s="112" t="s">
        <v>21</v>
      </c>
      <c r="B1280" s="113" t="s">
        <v>96</v>
      </c>
      <c r="C1280" s="113" t="s">
        <v>97</v>
      </c>
      <c r="D1280" s="113" t="s">
        <v>91</v>
      </c>
      <c r="E1280" s="114" t="s">
        <v>15</v>
      </c>
    </row>
    <row r="1281" spans="1:5" x14ac:dyDescent="0.25">
      <c r="A1281" s="115">
        <v>1</v>
      </c>
      <c r="B1281" s="166" t="s">
        <v>1355</v>
      </c>
      <c r="C1281" s="167" t="s">
        <v>1360</v>
      </c>
      <c r="D1281" s="118"/>
      <c r="E1281" s="119">
        <v>12500</v>
      </c>
    </row>
    <row r="1282" spans="1:5" x14ac:dyDescent="0.25">
      <c r="A1282" s="115">
        <f>A1281+1</f>
        <v>2</v>
      </c>
      <c r="B1282" s="166" t="s">
        <v>896</v>
      </c>
      <c r="C1282" s="167" t="s">
        <v>1361</v>
      </c>
      <c r="D1282" s="118"/>
      <c r="E1282" s="119">
        <v>42500</v>
      </c>
    </row>
    <row r="1283" spans="1:5" x14ac:dyDescent="0.25">
      <c r="A1283" s="115">
        <f t="shared" ref="A1283:A1287" si="20">A1282+1</f>
        <v>3</v>
      </c>
      <c r="B1283" s="166" t="s">
        <v>1356</v>
      </c>
      <c r="C1283" s="167" t="s">
        <v>1362</v>
      </c>
      <c r="D1283" s="118"/>
      <c r="E1283" s="119">
        <v>22500</v>
      </c>
    </row>
    <row r="1284" spans="1:5" x14ac:dyDescent="0.25">
      <c r="A1284" s="115">
        <f t="shared" si="20"/>
        <v>4</v>
      </c>
      <c r="B1284" s="166" t="s">
        <v>786</v>
      </c>
      <c r="C1284" s="167" t="s">
        <v>1363</v>
      </c>
      <c r="D1284" s="118"/>
      <c r="E1284" s="119">
        <v>12500</v>
      </c>
    </row>
    <row r="1285" spans="1:5" x14ac:dyDescent="0.25">
      <c r="A1285" s="115">
        <f t="shared" si="20"/>
        <v>5</v>
      </c>
      <c r="B1285" s="166" t="s">
        <v>1357</v>
      </c>
      <c r="C1285" s="167" t="s">
        <v>1364</v>
      </c>
      <c r="D1285" s="118"/>
      <c r="E1285" s="119">
        <v>7500</v>
      </c>
    </row>
    <row r="1286" spans="1:5" x14ac:dyDescent="0.25">
      <c r="A1286" s="115">
        <f t="shared" si="20"/>
        <v>6</v>
      </c>
      <c r="B1286" s="166" t="s">
        <v>1359</v>
      </c>
      <c r="C1286" s="167" t="s">
        <v>1365</v>
      </c>
      <c r="D1286" s="118"/>
      <c r="E1286" s="119">
        <v>22500</v>
      </c>
    </row>
    <row r="1287" spans="1:5" x14ac:dyDescent="0.25">
      <c r="A1287" s="115">
        <f t="shared" si="20"/>
        <v>7</v>
      </c>
      <c r="B1287" s="166" t="s">
        <v>1358</v>
      </c>
      <c r="C1287" s="167" t="s">
        <v>1366</v>
      </c>
      <c r="D1287" s="118"/>
      <c r="E1287" s="119">
        <v>12500</v>
      </c>
    </row>
    <row r="1288" spans="1:5" x14ac:dyDescent="0.25">
      <c r="A1288" s="115"/>
      <c r="B1288" s="166"/>
      <c r="C1288" s="167"/>
      <c r="D1288" s="118"/>
      <c r="E1288" s="119"/>
    </row>
    <row r="1289" spans="1:5" ht="15.75" thickBot="1" x14ac:dyDescent="0.3">
      <c r="A1289" s="120"/>
      <c r="B1289" s="577" t="s">
        <v>15</v>
      </c>
      <c r="C1289" s="578"/>
      <c r="D1289" s="579"/>
      <c r="E1289" s="121">
        <f>SUM(E1281:E1288)</f>
        <v>132500</v>
      </c>
    </row>
    <row r="1290" spans="1:5" x14ac:dyDescent="0.25">
      <c r="A1290" s="110"/>
      <c r="B1290" s="145"/>
      <c r="C1290" s="145"/>
      <c r="E1290" s="146"/>
    </row>
    <row r="1291" spans="1:5" x14ac:dyDescent="0.25">
      <c r="A1291" s="109"/>
      <c r="B1291" s="109"/>
      <c r="C1291" s="110"/>
      <c r="D1291" s="123" t="s">
        <v>1354</v>
      </c>
      <c r="E1291" s="109"/>
    </row>
    <row r="1292" spans="1:5" x14ac:dyDescent="0.25">
      <c r="D1292" s="123" t="s">
        <v>100</v>
      </c>
    </row>
    <row r="1326" spans="1:5" x14ac:dyDescent="0.25">
      <c r="A1326" s="108" t="s">
        <v>0</v>
      </c>
      <c r="B1326" s="144"/>
      <c r="C1326" s="144"/>
      <c r="D1326" s="144"/>
      <c r="E1326" s="144"/>
    </row>
    <row r="1327" spans="1:5" x14ac:dyDescent="0.25">
      <c r="A1327" s="108" t="s">
        <v>1</v>
      </c>
      <c r="B1327" s="109"/>
      <c r="C1327" s="110"/>
      <c r="D1327" s="109"/>
      <c r="E1327" s="109"/>
    </row>
    <row r="1328" spans="1:5" x14ac:dyDescent="0.25">
      <c r="A1328" s="108"/>
      <c r="B1328" s="109"/>
      <c r="C1328" s="110"/>
      <c r="D1328" s="109"/>
      <c r="E1328" s="109"/>
    </row>
    <row r="1329" spans="1:5" x14ac:dyDescent="0.25">
      <c r="A1329" s="111" t="s">
        <v>101</v>
      </c>
      <c r="B1329" s="111"/>
      <c r="C1329" s="111"/>
      <c r="D1329" s="111"/>
      <c r="E1329" s="111"/>
    </row>
    <row r="1330" spans="1:5" x14ac:dyDescent="0.25">
      <c r="A1330" s="575" t="s">
        <v>99</v>
      </c>
      <c r="B1330" s="576"/>
      <c r="C1330" s="576"/>
      <c r="D1330" s="576"/>
      <c r="E1330" s="576"/>
    </row>
    <row r="1331" spans="1:5" x14ac:dyDescent="0.25">
      <c r="A1331" s="110"/>
      <c r="B1331" s="110"/>
      <c r="C1331" s="110"/>
      <c r="D1331" s="110"/>
      <c r="E1331" s="110"/>
    </row>
    <row r="1332" spans="1:5" ht="15.75" thickBot="1" x14ac:dyDescent="0.3">
      <c r="A1332" s="109"/>
      <c r="B1332" s="109"/>
      <c r="C1332" s="110"/>
      <c r="D1332" s="109"/>
      <c r="E1332" s="124" t="s">
        <v>1367</v>
      </c>
    </row>
    <row r="1333" spans="1:5" x14ac:dyDescent="0.25">
      <c r="A1333" s="112" t="s">
        <v>21</v>
      </c>
      <c r="B1333" s="113" t="s">
        <v>96</v>
      </c>
      <c r="C1333" s="113" t="s">
        <v>97</v>
      </c>
      <c r="D1333" s="113" t="s">
        <v>91</v>
      </c>
      <c r="E1333" s="114" t="s">
        <v>15</v>
      </c>
    </row>
    <row r="1334" spans="1:5" x14ac:dyDescent="0.25">
      <c r="A1334" s="115">
        <v>1</v>
      </c>
      <c r="B1334" s="166" t="s">
        <v>1370</v>
      </c>
      <c r="C1334" s="167" t="s">
        <v>1379</v>
      </c>
      <c r="D1334" s="118"/>
      <c r="E1334" s="119">
        <v>5000</v>
      </c>
    </row>
    <row r="1335" spans="1:5" x14ac:dyDescent="0.25">
      <c r="A1335" s="115">
        <f>A1334+1</f>
        <v>2</v>
      </c>
      <c r="B1335" s="166" t="s">
        <v>1371</v>
      </c>
      <c r="C1335" s="167" t="s">
        <v>1380</v>
      </c>
      <c r="D1335" s="118"/>
      <c r="E1335" s="119">
        <v>5000</v>
      </c>
    </row>
    <row r="1336" spans="1:5" x14ac:dyDescent="0.25">
      <c r="A1336" s="115">
        <f t="shared" ref="A1336:A1342" si="21">A1335+1</f>
        <v>3</v>
      </c>
      <c r="B1336" s="166" t="s">
        <v>1372</v>
      </c>
      <c r="C1336" s="167" t="s">
        <v>1381</v>
      </c>
      <c r="D1336" s="118"/>
      <c r="E1336" s="119">
        <v>5000</v>
      </c>
    </row>
    <row r="1337" spans="1:5" x14ac:dyDescent="0.25">
      <c r="A1337" s="115">
        <f t="shared" si="21"/>
        <v>4</v>
      </c>
      <c r="B1337" s="166" t="s">
        <v>1373</v>
      </c>
      <c r="C1337" s="167" t="s">
        <v>1382</v>
      </c>
      <c r="D1337" s="118"/>
      <c r="E1337" s="119">
        <v>5000</v>
      </c>
    </row>
    <row r="1338" spans="1:5" x14ac:dyDescent="0.25">
      <c r="A1338" s="115">
        <f t="shared" si="21"/>
        <v>5</v>
      </c>
      <c r="B1338" s="166" t="s">
        <v>1374</v>
      </c>
      <c r="C1338" s="167" t="s">
        <v>1383</v>
      </c>
      <c r="D1338" s="118"/>
      <c r="E1338" s="119">
        <v>12500</v>
      </c>
    </row>
    <row r="1339" spans="1:5" x14ac:dyDescent="0.25">
      <c r="A1339" s="115">
        <f t="shared" si="21"/>
        <v>6</v>
      </c>
      <c r="B1339" s="166" t="s">
        <v>1375</v>
      </c>
      <c r="C1339" s="167" t="s">
        <v>1384</v>
      </c>
      <c r="D1339" s="118"/>
      <c r="E1339" s="119">
        <v>42500</v>
      </c>
    </row>
    <row r="1340" spans="1:5" x14ac:dyDescent="0.25">
      <c r="A1340" s="115">
        <f t="shared" si="21"/>
        <v>7</v>
      </c>
      <c r="B1340" s="166" t="s">
        <v>1376</v>
      </c>
      <c r="C1340" s="167" t="s">
        <v>1385</v>
      </c>
      <c r="D1340" s="118"/>
      <c r="E1340" s="119">
        <v>5000</v>
      </c>
    </row>
    <row r="1341" spans="1:5" x14ac:dyDescent="0.25">
      <c r="A1341" s="115">
        <f t="shared" si="21"/>
        <v>8</v>
      </c>
      <c r="B1341" s="166" t="s">
        <v>1377</v>
      </c>
      <c r="C1341" s="167" t="s">
        <v>1386</v>
      </c>
      <c r="D1341" s="118"/>
      <c r="E1341" s="119">
        <v>5000</v>
      </c>
    </row>
    <row r="1342" spans="1:5" x14ac:dyDescent="0.25">
      <c r="A1342" s="115">
        <f t="shared" si="21"/>
        <v>9</v>
      </c>
      <c r="B1342" s="166" t="s">
        <v>1378</v>
      </c>
      <c r="C1342" s="167" t="s">
        <v>1387</v>
      </c>
      <c r="D1342" s="118"/>
      <c r="E1342" s="119">
        <v>22500</v>
      </c>
    </row>
    <row r="1343" spans="1:5" x14ac:dyDescent="0.25">
      <c r="A1343" s="115"/>
      <c r="B1343" s="166"/>
      <c r="C1343" s="167"/>
      <c r="D1343" s="118"/>
      <c r="E1343" s="119"/>
    </row>
    <row r="1344" spans="1:5" ht="15.75" thickBot="1" x14ac:dyDescent="0.3">
      <c r="A1344" s="120"/>
      <c r="B1344" s="577" t="s">
        <v>15</v>
      </c>
      <c r="C1344" s="578"/>
      <c r="D1344" s="579"/>
      <c r="E1344" s="121">
        <f>SUM(E1334:E1343)</f>
        <v>107500</v>
      </c>
    </row>
    <row r="1345" spans="1:5" x14ac:dyDescent="0.25">
      <c r="A1345" s="110"/>
      <c r="B1345" s="145"/>
      <c r="C1345" s="145"/>
      <c r="E1345" s="146"/>
    </row>
    <row r="1346" spans="1:5" x14ac:dyDescent="0.25">
      <c r="A1346" s="109"/>
      <c r="B1346" s="109"/>
      <c r="C1346" s="110"/>
      <c r="D1346" s="123" t="s">
        <v>1369</v>
      </c>
      <c r="E1346" s="109"/>
    </row>
    <row r="1347" spans="1:5" x14ac:dyDescent="0.25">
      <c r="D1347" s="123" t="s">
        <v>100</v>
      </c>
    </row>
    <row r="1379" spans="1:5" x14ac:dyDescent="0.25">
      <c r="A1379" s="108" t="s">
        <v>0</v>
      </c>
      <c r="B1379" s="144"/>
      <c r="C1379" s="144"/>
      <c r="D1379" s="144"/>
      <c r="E1379" s="144"/>
    </row>
    <row r="1380" spans="1:5" x14ac:dyDescent="0.25">
      <c r="A1380" s="108" t="s">
        <v>1</v>
      </c>
      <c r="B1380" s="109"/>
      <c r="C1380" s="110"/>
      <c r="D1380" s="109"/>
      <c r="E1380" s="109"/>
    </row>
    <row r="1381" spans="1:5" x14ac:dyDescent="0.25">
      <c r="A1381" s="108"/>
      <c r="B1381" s="109"/>
      <c r="C1381" s="110"/>
      <c r="D1381" s="109"/>
      <c r="E1381" s="109"/>
    </row>
    <row r="1382" spans="1:5" x14ac:dyDescent="0.25">
      <c r="A1382" s="111" t="s">
        <v>101</v>
      </c>
      <c r="B1382" s="111"/>
      <c r="C1382" s="111"/>
      <c r="D1382" s="111"/>
      <c r="E1382" s="111"/>
    </row>
    <row r="1383" spans="1:5" x14ac:dyDescent="0.25">
      <c r="A1383" s="575" t="s">
        <v>99</v>
      </c>
      <c r="B1383" s="576"/>
      <c r="C1383" s="576"/>
      <c r="D1383" s="576"/>
      <c r="E1383" s="576"/>
    </row>
    <row r="1384" spans="1:5" x14ac:dyDescent="0.25">
      <c r="A1384" s="110"/>
      <c r="B1384" s="110"/>
      <c r="C1384" s="110"/>
      <c r="D1384" s="110"/>
      <c r="E1384" s="110"/>
    </row>
    <row r="1385" spans="1:5" ht="15.75" thickBot="1" x14ac:dyDescent="0.3">
      <c r="A1385" s="109"/>
      <c r="B1385" s="109"/>
      <c r="C1385" s="110"/>
      <c r="D1385" s="109"/>
      <c r="E1385" s="124" t="s">
        <v>1388</v>
      </c>
    </row>
    <row r="1386" spans="1:5" x14ac:dyDescent="0.25">
      <c r="A1386" s="112" t="s">
        <v>21</v>
      </c>
      <c r="B1386" s="113" t="s">
        <v>96</v>
      </c>
      <c r="C1386" s="113" t="s">
        <v>97</v>
      </c>
      <c r="D1386" s="113" t="s">
        <v>91</v>
      </c>
      <c r="E1386" s="114" t="s">
        <v>15</v>
      </c>
    </row>
    <row r="1387" spans="1:5" x14ac:dyDescent="0.25">
      <c r="A1387" s="115">
        <v>1</v>
      </c>
      <c r="B1387" s="166" t="s">
        <v>1196</v>
      </c>
      <c r="C1387" s="167" t="s">
        <v>1207</v>
      </c>
      <c r="D1387" s="118"/>
      <c r="E1387" s="119">
        <v>12500</v>
      </c>
    </row>
    <row r="1388" spans="1:5" x14ac:dyDescent="0.25">
      <c r="A1388" s="115">
        <f>A1387+1</f>
        <v>2</v>
      </c>
      <c r="B1388" s="166" t="s">
        <v>1197</v>
      </c>
      <c r="C1388" s="167" t="s">
        <v>1208</v>
      </c>
      <c r="D1388" s="118"/>
      <c r="E1388" s="119">
        <v>52500</v>
      </c>
    </row>
    <row r="1389" spans="1:5" x14ac:dyDescent="0.25">
      <c r="A1389" s="115">
        <f t="shared" ref="A1389:A1398" si="22">A1388+1</f>
        <v>3</v>
      </c>
      <c r="B1389" s="166" t="s">
        <v>137</v>
      </c>
      <c r="C1389" s="167" t="s">
        <v>1209</v>
      </c>
      <c r="D1389" s="118"/>
      <c r="E1389" s="119">
        <v>5000</v>
      </c>
    </row>
    <row r="1390" spans="1:5" x14ac:dyDescent="0.25">
      <c r="A1390" s="115">
        <f t="shared" si="22"/>
        <v>4</v>
      </c>
      <c r="B1390" s="166" t="s">
        <v>1198</v>
      </c>
      <c r="C1390" s="167" t="s">
        <v>1210</v>
      </c>
      <c r="D1390" s="118"/>
      <c r="E1390" s="119">
        <v>5000</v>
      </c>
    </row>
    <row r="1391" spans="1:5" x14ac:dyDescent="0.25">
      <c r="A1391" s="115">
        <f t="shared" si="22"/>
        <v>5</v>
      </c>
      <c r="B1391" s="166" t="s">
        <v>1199</v>
      </c>
      <c r="C1391" s="167" t="s">
        <v>1211</v>
      </c>
      <c r="D1391" s="118"/>
      <c r="E1391" s="119">
        <v>5000</v>
      </c>
    </row>
    <row r="1392" spans="1:5" x14ac:dyDescent="0.25">
      <c r="A1392" s="115">
        <f t="shared" si="22"/>
        <v>6</v>
      </c>
      <c r="B1392" s="166" t="s">
        <v>1200</v>
      </c>
      <c r="C1392" s="167" t="s">
        <v>1212</v>
      </c>
      <c r="D1392" s="118"/>
      <c r="E1392" s="119">
        <v>42500</v>
      </c>
    </row>
    <row r="1393" spans="1:5" x14ac:dyDescent="0.25">
      <c r="A1393" s="115">
        <f t="shared" si="22"/>
        <v>7</v>
      </c>
      <c r="B1393" s="166" t="s">
        <v>1201</v>
      </c>
      <c r="C1393" s="167" t="s">
        <v>1213</v>
      </c>
      <c r="D1393" s="118"/>
      <c r="E1393" s="119">
        <v>20000</v>
      </c>
    </row>
    <row r="1394" spans="1:5" x14ac:dyDescent="0.25">
      <c r="A1394" s="115">
        <f t="shared" si="22"/>
        <v>8</v>
      </c>
      <c r="B1394" s="166" t="s">
        <v>1202</v>
      </c>
      <c r="C1394" s="167" t="s">
        <v>1214</v>
      </c>
      <c r="D1394" s="118"/>
      <c r="E1394" s="119">
        <v>5000</v>
      </c>
    </row>
    <row r="1395" spans="1:5" x14ac:dyDescent="0.25">
      <c r="A1395" s="115">
        <f t="shared" si="22"/>
        <v>9</v>
      </c>
      <c r="B1395" s="166" t="s">
        <v>1203</v>
      </c>
      <c r="C1395" s="167" t="s">
        <v>1215</v>
      </c>
      <c r="D1395" s="118"/>
      <c r="E1395" s="119">
        <v>5000</v>
      </c>
    </row>
    <row r="1396" spans="1:5" x14ac:dyDescent="0.25">
      <c r="A1396" s="115">
        <f t="shared" si="22"/>
        <v>10</v>
      </c>
      <c r="B1396" s="166" t="s">
        <v>1204</v>
      </c>
      <c r="C1396" s="167" t="s">
        <v>1216</v>
      </c>
      <c r="D1396" s="118"/>
      <c r="E1396" s="119">
        <v>22500</v>
      </c>
    </row>
    <row r="1397" spans="1:5" x14ac:dyDescent="0.25">
      <c r="A1397" s="115">
        <f t="shared" si="22"/>
        <v>11</v>
      </c>
      <c r="B1397" s="166" t="s">
        <v>1205</v>
      </c>
      <c r="C1397" s="167" t="s">
        <v>1217</v>
      </c>
      <c r="D1397" s="118"/>
      <c r="E1397" s="119">
        <v>5000</v>
      </c>
    </row>
    <row r="1398" spans="1:5" x14ac:dyDescent="0.25">
      <c r="A1398" s="115">
        <f t="shared" si="22"/>
        <v>12</v>
      </c>
      <c r="B1398" s="166" t="s">
        <v>1206</v>
      </c>
      <c r="C1398" s="167" t="s">
        <v>1218</v>
      </c>
      <c r="D1398" s="118"/>
      <c r="E1398" s="119">
        <v>5000</v>
      </c>
    </row>
    <row r="1399" spans="1:5" x14ac:dyDescent="0.25">
      <c r="A1399" s="115"/>
      <c r="B1399" s="166"/>
      <c r="C1399" s="167"/>
      <c r="D1399" s="118"/>
      <c r="E1399" s="119"/>
    </row>
    <row r="1400" spans="1:5" ht="15.75" thickBot="1" x14ac:dyDescent="0.3">
      <c r="A1400" s="120"/>
      <c r="B1400" s="577" t="s">
        <v>15</v>
      </c>
      <c r="C1400" s="578"/>
      <c r="D1400" s="579"/>
      <c r="E1400" s="121">
        <f>SUM(E1387:E1399)</f>
        <v>185000</v>
      </c>
    </row>
    <row r="1401" spans="1:5" x14ac:dyDescent="0.25">
      <c r="A1401" s="110"/>
      <c r="B1401" s="145"/>
      <c r="C1401" s="145"/>
      <c r="E1401" s="146"/>
    </row>
    <row r="1402" spans="1:5" x14ac:dyDescent="0.25">
      <c r="A1402" s="109"/>
      <c r="B1402" s="109"/>
      <c r="C1402" s="110"/>
      <c r="D1402" s="123" t="s">
        <v>1368</v>
      </c>
      <c r="E1402" s="109"/>
    </row>
    <row r="1403" spans="1:5" x14ac:dyDescent="0.25">
      <c r="D1403" s="123" t="s">
        <v>100</v>
      </c>
    </row>
    <row r="1432" spans="1:5" x14ac:dyDescent="0.25">
      <c r="A1432" s="108" t="s">
        <v>0</v>
      </c>
      <c r="B1432" s="144"/>
      <c r="C1432" s="144"/>
      <c r="D1432" s="144"/>
      <c r="E1432" s="144"/>
    </row>
    <row r="1433" spans="1:5" x14ac:dyDescent="0.25">
      <c r="A1433" s="108" t="s">
        <v>1</v>
      </c>
      <c r="B1433" s="109"/>
      <c r="C1433" s="110"/>
      <c r="D1433" s="109"/>
      <c r="E1433" s="109"/>
    </row>
    <row r="1434" spans="1:5" x14ac:dyDescent="0.25">
      <c r="A1434" s="108"/>
      <c r="B1434" s="109"/>
      <c r="C1434" s="110"/>
      <c r="D1434" s="109"/>
      <c r="E1434" s="109"/>
    </row>
    <row r="1435" spans="1:5" x14ac:dyDescent="0.25">
      <c r="A1435" s="111" t="s">
        <v>101</v>
      </c>
      <c r="B1435" s="111"/>
      <c r="C1435" s="111"/>
      <c r="D1435" s="111"/>
      <c r="E1435" s="111"/>
    </row>
    <row r="1436" spans="1:5" x14ac:dyDescent="0.25">
      <c r="A1436" s="575" t="s">
        <v>99</v>
      </c>
      <c r="B1436" s="576"/>
      <c r="C1436" s="576"/>
      <c r="D1436" s="576"/>
      <c r="E1436" s="576"/>
    </row>
    <row r="1437" spans="1:5" x14ac:dyDescent="0.25">
      <c r="A1437" s="110"/>
      <c r="B1437" s="110"/>
      <c r="C1437" s="110"/>
      <c r="D1437" s="110"/>
      <c r="E1437" s="110"/>
    </row>
    <row r="1438" spans="1:5" ht="15.75" thickBot="1" x14ac:dyDescent="0.3">
      <c r="A1438" s="109"/>
      <c r="B1438" s="109"/>
      <c r="C1438" s="110"/>
      <c r="D1438" s="109"/>
      <c r="E1438" s="124" t="s">
        <v>1389</v>
      </c>
    </row>
    <row r="1439" spans="1:5" x14ac:dyDescent="0.25">
      <c r="A1439" s="112" t="s">
        <v>21</v>
      </c>
      <c r="B1439" s="113" t="s">
        <v>96</v>
      </c>
      <c r="C1439" s="113" t="s">
        <v>97</v>
      </c>
      <c r="D1439" s="113" t="s">
        <v>91</v>
      </c>
      <c r="E1439" s="114" t="s">
        <v>15</v>
      </c>
    </row>
    <row r="1440" spans="1:5" x14ac:dyDescent="0.25">
      <c r="A1440" s="115">
        <v>1</v>
      </c>
      <c r="B1440" s="166" t="s">
        <v>1391</v>
      </c>
      <c r="C1440" s="167" t="s">
        <v>1402</v>
      </c>
      <c r="D1440" s="118"/>
      <c r="E1440" s="119">
        <v>22500</v>
      </c>
    </row>
    <row r="1441" spans="1:5" x14ac:dyDescent="0.25">
      <c r="A1441" s="115">
        <f>A1440+1</f>
        <v>2</v>
      </c>
      <c r="B1441" s="166" t="s">
        <v>1392</v>
      </c>
      <c r="C1441" s="167" t="s">
        <v>1403</v>
      </c>
      <c r="D1441" s="118"/>
      <c r="E1441" s="119">
        <v>5000</v>
      </c>
    </row>
    <row r="1442" spans="1:5" x14ac:dyDescent="0.25">
      <c r="A1442" s="115">
        <f t="shared" ref="A1442:A1457" si="23">A1441+1</f>
        <v>3</v>
      </c>
      <c r="B1442" s="166" t="s">
        <v>1393</v>
      </c>
      <c r="C1442" s="167" t="s">
        <v>1404</v>
      </c>
      <c r="D1442" s="118"/>
      <c r="E1442" s="119">
        <v>22500</v>
      </c>
    </row>
    <row r="1443" spans="1:5" x14ac:dyDescent="0.25">
      <c r="A1443" s="115">
        <f t="shared" si="23"/>
        <v>4</v>
      </c>
      <c r="B1443" s="166" t="s">
        <v>1394</v>
      </c>
      <c r="C1443" s="167" t="s">
        <v>1405</v>
      </c>
      <c r="D1443" s="118"/>
      <c r="E1443" s="119">
        <v>22500</v>
      </c>
    </row>
    <row r="1444" spans="1:5" x14ac:dyDescent="0.25">
      <c r="A1444" s="115">
        <f t="shared" si="23"/>
        <v>5</v>
      </c>
      <c r="B1444" s="166" t="s">
        <v>1395</v>
      </c>
      <c r="C1444" s="167" t="s">
        <v>1406</v>
      </c>
      <c r="D1444" s="118"/>
      <c r="E1444" s="119">
        <v>12500</v>
      </c>
    </row>
    <row r="1445" spans="1:5" x14ac:dyDescent="0.25">
      <c r="A1445" s="115">
        <f t="shared" si="23"/>
        <v>6</v>
      </c>
      <c r="B1445" s="166" t="s">
        <v>1396</v>
      </c>
      <c r="C1445" s="167" t="s">
        <v>1407</v>
      </c>
      <c r="D1445" s="118"/>
      <c r="E1445" s="119">
        <v>5000</v>
      </c>
    </row>
    <row r="1446" spans="1:5" x14ac:dyDescent="0.25">
      <c r="A1446" s="115">
        <f t="shared" si="23"/>
        <v>7</v>
      </c>
      <c r="B1446" s="166" t="s">
        <v>1397</v>
      </c>
      <c r="C1446" s="167" t="s">
        <v>1408</v>
      </c>
      <c r="D1446" s="118"/>
      <c r="E1446" s="119">
        <v>10000</v>
      </c>
    </row>
    <row r="1447" spans="1:5" x14ac:dyDescent="0.25">
      <c r="A1447" s="115">
        <f t="shared" si="23"/>
        <v>8</v>
      </c>
      <c r="B1447" s="166" t="s">
        <v>1398</v>
      </c>
      <c r="C1447" s="167" t="s">
        <v>1409</v>
      </c>
      <c r="D1447" s="118"/>
      <c r="E1447" s="119">
        <v>67500</v>
      </c>
    </row>
    <row r="1448" spans="1:5" x14ac:dyDescent="0.25">
      <c r="A1448" s="115">
        <f t="shared" si="23"/>
        <v>9</v>
      </c>
      <c r="B1448" s="166" t="s">
        <v>1399</v>
      </c>
      <c r="C1448" s="167" t="s">
        <v>1410</v>
      </c>
      <c r="D1448" s="118"/>
      <c r="E1448" s="119">
        <v>7500</v>
      </c>
    </row>
    <row r="1449" spans="1:5" x14ac:dyDescent="0.25">
      <c r="A1449" s="115">
        <f t="shared" si="23"/>
        <v>10</v>
      </c>
      <c r="B1449" s="166" t="s">
        <v>1400</v>
      </c>
      <c r="C1449" s="167" t="s">
        <v>1411</v>
      </c>
      <c r="D1449" s="118"/>
      <c r="E1449" s="119">
        <v>42500</v>
      </c>
    </row>
    <row r="1450" spans="1:5" x14ac:dyDescent="0.25">
      <c r="A1450" s="115">
        <f t="shared" si="23"/>
        <v>11</v>
      </c>
      <c r="B1450" s="166" t="s">
        <v>1120</v>
      </c>
      <c r="C1450" s="167" t="s">
        <v>1412</v>
      </c>
      <c r="D1450" s="118"/>
      <c r="E1450" s="119">
        <v>5000</v>
      </c>
    </row>
    <row r="1451" spans="1:5" x14ac:dyDescent="0.25">
      <c r="A1451" s="115">
        <f t="shared" si="23"/>
        <v>12</v>
      </c>
      <c r="B1451" s="166" t="s">
        <v>1401</v>
      </c>
      <c r="C1451" s="167" t="s">
        <v>1413</v>
      </c>
      <c r="D1451" s="118"/>
      <c r="E1451" s="119">
        <v>5000</v>
      </c>
    </row>
    <row r="1452" spans="1:5" x14ac:dyDescent="0.25">
      <c r="A1452" s="115">
        <f t="shared" si="23"/>
        <v>13</v>
      </c>
      <c r="B1452" s="166" t="s">
        <v>1414</v>
      </c>
      <c r="C1452" s="167" t="s">
        <v>1420</v>
      </c>
      <c r="D1452" s="118"/>
      <c r="E1452" s="119">
        <v>32500</v>
      </c>
    </row>
    <row r="1453" spans="1:5" x14ac:dyDescent="0.25">
      <c r="A1453" s="115">
        <f t="shared" si="23"/>
        <v>14</v>
      </c>
      <c r="B1453" s="166" t="s">
        <v>1415</v>
      </c>
      <c r="C1453" s="167" t="s">
        <v>1421</v>
      </c>
      <c r="D1453" s="118"/>
      <c r="E1453" s="119">
        <v>22500</v>
      </c>
    </row>
    <row r="1454" spans="1:5" x14ac:dyDescent="0.25">
      <c r="A1454" s="115">
        <f t="shared" si="23"/>
        <v>15</v>
      </c>
      <c r="B1454" s="166" t="s">
        <v>1416</v>
      </c>
      <c r="C1454" s="167" t="s">
        <v>1422</v>
      </c>
      <c r="D1454" s="118"/>
      <c r="E1454" s="119">
        <v>12500</v>
      </c>
    </row>
    <row r="1455" spans="1:5" x14ac:dyDescent="0.25">
      <c r="A1455" s="115">
        <f t="shared" si="23"/>
        <v>16</v>
      </c>
      <c r="B1455" s="166" t="s">
        <v>1417</v>
      </c>
      <c r="C1455" s="167" t="s">
        <v>1423</v>
      </c>
      <c r="D1455" s="118"/>
      <c r="E1455" s="119">
        <v>12500</v>
      </c>
    </row>
    <row r="1456" spans="1:5" x14ac:dyDescent="0.25">
      <c r="A1456" s="115">
        <f t="shared" si="23"/>
        <v>17</v>
      </c>
      <c r="B1456" s="166" t="s">
        <v>1418</v>
      </c>
      <c r="C1456" s="167" t="s">
        <v>1424</v>
      </c>
      <c r="D1456" s="118"/>
      <c r="E1456" s="119">
        <v>22500</v>
      </c>
    </row>
    <row r="1457" spans="1:5" x14ac:dyDescent="0.25">
      <c r="A1457" s="115">
        <f t="shared" si="23"/>
        <v>18</v>
      </c>
      <c r="B1457" s="166" t="s">
        <v>1419</v>
      </c>
      <c r="C1457" s="167" t="s">
        <v>1425</v>
      </c>
      <c r="D1457" s="118"/>
      <c r="E1457" s="119">
        <v>22500</v>
      </c>
    </row>
    <row r="1458" spans="1:5" x14ac:dyDescent="0.25">
      <c r="A1458" s="115"/>
      <c r="B1458" s="166"/>
      <c r="C1458" s="167"/>
      <c r="D1458" s="118"/>
      <c r="E1458" s="119"/>
    </row>
    <row r="1459" spans="1:5" ht="15.75" thickBot="1" x14ac:dyDescent="0.3">
      <c r="A1459" s="120"/>
      <c r="B1459" s="577" t="s">
        <v>15</v>
      </c>
      <c r="C1459" s="578"/>
      <c r="D1459" s="579"/>
      <c r="E1459" s="121">
        <f>SUM(E1440:E1458)</f>
        <v>352500</v>
      </c>
    </row>
    <row r="1460" spans="1:5" x14ac:dyDescent="0.25">
      <c r="A1460" s="110"/>
      <c r="B1460" s="145"/>
      <c r="C1460" s="145"/>
      <c r="E1460" s="146"/>
    </row>
    <row r="1461" spans="1:5" x14ac:dyDescent="0.25">
      <c r="A1461" s="109"/>
      <c r="B1461" s="109"/>
      <c r="C1461" s="110"/>
      <c r="D1461" s="123" t="s">
        <v>1390</v>
      </c>
      <c r="E1461" s="109"/>
    </row>
    <row r="1462" spans="1:5" x14ac:dyDescent="0.25">
      <c r="D1462" s="123" t="s">
        <v>100</v>
      </c>
    </row>
    <row r="1485" spans="1:5" x14ac:dyDescent="0.25">
      <c r="A1485" s="108" t="s">
        <v>0</v>
      </c>
      <c r="B1485" s="144"/>
      <c r="C1485" s="144"/>
      <c r="D1485" s="144"/>
      <c r="E1485" s="144"/>
    </row>
    <row r="1486" spans="1:5" x14ac:dyDescent="0.25">
      <c r="A1486" s="108" t="s">
        <v>1</v>
      </c>
      <c r="B1486" s="109"/>
      <c r="C1486" s="110"/>
      <c r="D1486" s="109"/>
      <c r="E1486" s="109"/>
    </row>
    <row r="1487" spans="1:5" x14ac:dyDescent="0.25">
      <c r="A1487" s="108"/>
      <c r="B1487" s="109"/>
      <c r="C1487" s="110"/>
      <c r="D1487" s="109"/>
      <c r="E1487" s="109"/>
    </row>
    <row r="1488" spans="1:5" x14ac:dyDescent="0.25">
      <c r="A1488" s="111" t="s">
        <v>101</v>
      </c>
      <c r="B1488" s="111"/>
      <c r="C1488" s="111"/>
      <c r="D1488" s="111"/>
      <c r="E1488" s="111"/>
    </row>
    <row r="1489" spans="1:5" x14ac:dyDescent="0.25">
      <c r="A1489" s="575" t="s">
        <v>99</v>
      </c>
      <c r="B1489" s="576"/>
      <c r="C1489" s="576"/>
      <c r="D1489" s="576"/>
      <c r="E1489" s="576"/>
    </row>
    <row r="1490" spans="1:5" x14ac:dyDescent="0.25">
      <c r="A1490" s="110"/>
      <c r="B1490" s="110"/>
      <c r="C1490" s="110"/>
      <c r="D1490" s="110"/>
      <c r="E1490" s="110"/>
    </row>
    <row r="1491" spans="1:5" ht="15.75" thickBot="1" x14ac:dyDescent="0.3">
      <c r="A1491" s="109"/>
      <c r="B1491" s="109"/>
      <c r="C1491" s="110"/>
      <c r="D1491" s="109"/>
      <c r="E1491" s="124" t="s">
        <v>1426</v>
      </c>
    </row>
    <row r="1492" spans="1:5" x14ac:dyDescent="0.25">
      <c r="A1492" s="112" t="s">
        <v>21</v>
      </c>
      <c r="B1492" s="113" t="s">
        <v>96</v>
      </c>
      <c r="C1492" s="113" t="s">
        <v>97</v>
      </c>
      <c r="D1492" s="113" t="s">
        <v>91</v>
      </c>
      <c r="E1492" s="114" t="s">
        <v>15</v>
      </c>
    </row>
    <row r="1493" spans="1:5" x14ac:dyDescent="0.25">
      <c r="A1493" s="115">
        <v>1</v>
      </c>
      <c r="B1493" s="166" t="s">
        <v>1428</v>
      </c>
      <c r="C1493" s="167" t="s">
        <v>1434</v>
      </c>
      <c r="D1493" s="118"/>
      <c r="E1493" s="119">
        <v>47500</v>
      </c>
    </row>
    <row r="1494" spans="1:5" x14ac:dyDescent="0.25">
      <c r="A1494" s="115">
        <f>A1493+1</f>
        <v>2</v>
      </c>
      <c r="B1494" s="166" t="s">
        <v>1319</v>
      </c>
      <c r="C1494" s="167" t="s">
        <v>1435</v>
      </c>
      <c r="D1494" s="118"/>
      <c r="E1494" s="119">
        <v>20000</v>
      </c>
    </row>
    <row r="1495" spans="1:5" x14ac:dyDescent="0.25">
      <c r="A1495" s="115">
        <f t="shared" ref="A1495:A1499" si="24">A1494+1</f>
        <v>3</v>
      </c>
      <c r="B1495" s="166" t="s">
        <v>1429</v>
      </c>
      <c r="C1495" s="167" t="s">
        <v>1436</v>
      </c>
      <c r="D1495" s="118"/>
      <c r="E1495" s="119">
        <v>5000</v>
      </c>
    </row>
    <row r="1496" spans="1:5" x14ac:dyDescent="0.25">
      <c r="A1496" s="115">
        <f t="shared" si="24"/>
        <v>4</v>
      </c>
      <c r="B1496" s="166" t="s">
        <v>1430</v>
      </c>
      <c r="C1496" s="167" t="s">
        <v>1437</v>
      </c>
      <c r="D1496" s="118"/>
      <c r="E1496" s="119">
        <v>5000</v>
      </c>
    </row>
    <row r="1497" spans="1:5" x14ac:dyDescent="0.25">
      <c r="A1497" s="115">
        <f t="shared" si="24"/>
        <v>5</v>
      </c>
      <c r="B1497" s="166" t="s">
        <v>1431</v>
      </c>
      <c r="C1497" s="167" t="s">
        <v>1438</v>
      </c>
      <c r="D1497" s="118"/>
      <c r="E1497" s="119">
        <v>50000</v>
      </c>
    </row>
    <row r="1498" spans="1:5" x14ac:dyDescent="0.25">
      <c r="A1498" s="115">
        <f t="shared" si="24"/>
        <v>6</v>
      </c>
      <c r="B1498" s="166" t="s">
        <v>1432</v>
      </c>
      <c r="C1498" s="167" t="s">
        <v>1439</v>
      </c>
      <c r="D1498" s="118"/>
      <c r="E1498" s="119">
        <v>12500</v>
      </c>
    </row>
    <row r="1499" spans="1:5" x14ac:dyDescent="0.25">
      <c r="A1499" s="115">
        <f t="shared" si="24"/>
        <v>7</v>
      </c>
      <c r="B1499" s="166" t="s">
        <v>1433</v>
      </c>
      <c r="C1499" s="167" t="s">
        <v>1440</v>
      </c>
      <c r="D1499" s="118"/>
      <c r="E1499" s="119">
        <v>5000</v>
      </c>
    </row>
    <row r="1500" spans="1:5" x14ac:dyDescent="0.25">
      <c r="A1500" s="115"/>
      <c r="B1500" s="166"/>
      <c r="C1500" s="167"/>
      <c r="D1500" s="118"/>
      <c r="E1500" s="119"/>
    </row>
    <row r="1501" spans="1:5" ht="15.75" thickBot="1" x14ac:dyDescent="0.3">
      <c r="A1501" s="120"/>
      <c r="B1501" s="577" t="s">
        <v>15</v>
      </c>
      <c r="C1501" s="578"/>
      <c r="D1501" s="579"/>
      <c r="E1501" s="121">
        <f>SUM(E1493:E1500)</f>
        <v>145000</v>
      </c>
    </row>
    <row r="1502" spans="1:5" x14ac:dyDescent="0.25">
      <c r="A1502" s="110"/>
      <c r="B1502" s="145"/>
      <c r="C1502" s="145"/>
      <c r="E1502" s="146"/>
    </row>
    <row r="1503" spans="1:5" x14ac:dyDescent="0.25">
      <c r="A1503" s="109"/>
      <c r="B1503" s="109"/>
      <c r="C1503" s="110"/>
      <c r="D1503" s="123" t="s">
        <v>1427</v>
      </c>
      <c r="E1503" s="109"/>
    </row>
    <row r="1504" spans="1:5" x14ac:dyDescent="0.25">
      <c r="D1504" s="123" t="s">
        <v>100</v>
      </c>
    </row>
    <row r="1538" spans="1:5" x14ac:dyDescent="0.25">
      <c r="A1538" s="108" t="s">
        <v>0</v>
      </c>
      <c r="B1538" s="144"/>
      <c r="C1538" s="144"/>
      <c r="D1538" s="144"/>
      <c r="E1538" s="144"/>
    </row>
    <row r="1539" spans="1:5" x14ac:dyDescent="0.25">
      <c r="A1539" s="108" t="s">
        <v>1</v>
      </c>
      <c r="B1539" s="109"/>
      <c r="C1539" s="110"/>
      <c r="D1539" s="109"/>
      <c r="E1539" s="109"/>
    </row>
    <row r="1540" spans="1:5" x14ac:dyDescent="0.25">
      <c r="A1540" s="108"/>
      <c r="B1540" s="109"/>
      <c r="C1540" s="110"/>
      <c r="D1540" s="109"/>
      <c r="E1540" s="109"/>
    </row>
    <row r="1541" spans="1:5" x14ac:dyDescent="0.25">
      <c r="A1541" s="111" t="s">
        <v>101</v>
      </c>
      <c r="B1541" s="111"/>
      <c r="C1541" s="111"/>
      <c r="D1541" s="111"/>
      <c r="E1541" s="111"/>
    </row>
    <row r="1542" spans="1:5" x14ac:dyDescent="0.25">
      <c r="A1542" s="575" t="s">
        <v>99</v>
      </c>
      <c r="B1542" s="576"/>
      <c r="C1542" s="576"/>
      <c r="D1542" s="576"/>
      <c r="E1542" s="576"/>
    </row>
    <row r="1543" spans="1:5" x14ac:dyDescent="0.25">
      <c r="A1543" s="110"/>
      <c r="B1543" s="110"/>
      <c r="C1543" s="110"/>
      <c r="D1543" s="110"/>
      <c r="E1543" s="110"/>
    </row>
    <row r="1544" spans="1:5" ht="15.75" thickBot="1" x14ac:dyDescent="0.3">
      <c r="A1544" s="109"/>
      <c r="B1544" s="109"/>
      <c r="C1544" s="110"/>
      <c r="D1544" s="109"/>
      <c r="E1544" s="124" t="s">
        <v>1441</v>
      </c>
    </row>
    <row r="1545" spans="1:5" x14ac:dyDescent="0.25">
      <c r="A1545" s="112" t="s">
        <v>21</v>
      </c>
      <c r="B1545" s="113" t="s">
        <v>96</v>
      </c>
      <c r="C1545" s="113" t="s">
        <v>97</v>
      </c>
      <c r="D1545" s="113" t="s">
        <v>91</v>
      </c>
      <c r="E1545" s="114" t="s">
        <v>15</v>
      </c>
    </row>
    <row r="1546" spans="1:5" x14ac:dyDescent="0.25">
      <c r="A1546" s="115">
        <v>1</v>
      </c>
      <c r="B1546" s="166" t="s">
        <v>1443</v>
      </c>
      <c r="C1546" s="167" t="s">
        <v>1456</v>
      </c>
      <c r="D1546" s="118"/>
      <c r="E1546" s="119">
        <v>5000</v>
      </c>
    </row>
    <row r="1547" spans="1:5" x14ac:dyDescent="0.25">
      <c r="A1547" s="115">
        <f>A1546+1</f>
        <v>2</v>
      </c>
      <c r="B1547" s="166" t="s">
        <v>1444</v>
      </c>
      <c r="C1547" s="167" t="s">
        <v>1457</v>
      </c>
      <c r="D1547" s="118"/>
      <c r="E1547" s="119">
        <v>5000</v>
      </c>
    </row>
    <row r="1548" spans="1:5" x14ac:dyDescent="0.25">
      <c r="A1548" s="115">
        <f t="shared" ref="A1548:A1570" si="25">A1547+1</f>
        <v>3</v>
      </c>
      <c r="B1548" s="166" t="s">
        <v>1445</v>
      </c>
      <c r="C1548" s="167" t="s">
        <v>1458</v>
      </c>
      <c r="D1548" s="118"/>
      <c r="E1548" s="119">
        <v>20000</v>
      </c>
    </row>
    <row r="1549" spans="1:5" x14ac:dyDescent="0.25">
      <c r="A1549" s="115">
        <f t="shared" si="25"/>
        <v>4</v>
      </c>
      <c r="B1549" s="166" t="s">
        <v>1446</v>
      </c>
      <c r="C1549" s="167" t="s">
        <v>1459</v>
      </c>
      <c r="D1549" s="118"/>
      <c r="E1549" s="119">
        <v>5000</v>
      </c>
    </row>
    <row r="1550" spans="1:5" x14ac:dyDescent="0.25">
      <c r="A1550" s="115">
        <f t="shared" si="25"/>
        <v>5</v>
      </c>
      <c r="B1550" s="166" t="s">
        <v>1447</v>
      </c>
      <c r="C1550" s="167" t="s">
        <v>1460</v>
      </c>
      <c r="D1550" s="118"/>
      <c r="E1550" s="119">
        <v>5000</v>
      </c>
    </row>
    <row r="1551" spans="1:5" x14ac:dyDescent="0.25">
      <c r="A1551" s="115">
        <f t="shared" si="25"/>
        <v>6</v>
      </c>
      <c r="B1551" s="166" t="s">
        <v>1448</v>
      </c>
      <c r="C1551" s="167" t="s">
        <v>1461</v>
      </c>
      <c r="D1551" s="118"/>
      <c r="E1551" s="119">
        <v>5000</v>
      </c>
    </row>
    <row r="1552" spans="1:5" x14ac:dyDescent="0.25">
      <c r="A1552" s="115">
        <f t="shared" si="25"/>
        <v>7</v>
      </c>
      <c r="B1552" s="166" t="s">
        <v>1449</v>
      </c>
      <c r="C1552" s="167" t="s">
        <v>1462</v>
      </c>
      <c r="D1552" s="118"/>
      <c r="E1552" s="119">
        <v>62500</v>
      </c>
    </row>
    <row r="1553" spans="1:5" x14ac:dyDescent="0.25">
      <c r="A1553" s="115">
        <f t="shared" si="25"/>
        <v>8</v>
      </c>
      <c r="B1553" s="166" t="s">
        <v>1450</v>
      </c>
      <c r="C1553" s="167" t="s">
        <v>1463</v>
      </c>
      <c r="D1553" s="118"/>
      <c r="E1553" s="119">
        <v>12500</v>
      </c>
    </row>
    <row r="1554" spans="1:5" x14ac:dyDescent="0.25">
      <c r="A1554" s="115">
        <f t="shared" si="25"/>
        <v>9</v>
      </c>
      <c r="B1554" s="166" t="s">
        <v>1451</v>
      </c>
      <c r="C1554" s="167" t="s">
        <v>1464</v>
      </c>
      <c r="D1554" s="118"/>
      <c r="E1554" s="119">
        <v>22500</v>
      </c>
    </row>
    <row r="1555" spans="1:5" x14ac:dyDescent="0.25">
      <c r="A1555" s="115">
        <f t="shared" si="25"/>
        <v>10</v>
      </c>
      <c r="B1555" s="166" t="s">
        <v>1452</v>
      </c>
      <c r="C1555" s="167" t="s">
        <v>1465</v>
      </c>
      <c r="D1555" s="118"/>
      <c r="E1555" s="119">
        <v>5000</v>
      </c>
    </row>
    <row r="1556" spans="1:5" x14ac:dyDescent="0.25">
      <c r="A1556" s="115">
        <f t="shared" si="25"/>
        <v>11</v>
      </c>
      <c r="B1556" s="166" t="s">
        <v>1453</v>
      </c>
      <c r="C1556" s="167" t="s">
        <v>1466</v>
      </c>
      <c r="D1556" s="118"/>
      <c r="E1556" s="119">
        <v>5000</v>
      </c>
    </row>
    <row r="1557" spans="1:5" x14ac:dyDescent="0.25">
      <c r="A1557" s="115">
        <f t="shared" si="25"/>
        <v>12</v>
      </c>
      <c r="B1557" s="166" t="s">
        <v>1451</v>
      </c>
      <c r="C1557" s="167" t="s">
        <v>1467</v>
      </c>
      <c r="D1557" s="118"/>
      <c r="E1557" s="119">
        <v>22500</v>
      </c>
    </row>
    <row r="1558" spans="1:5" x14ac:dyDescent="0.25">
      <c r="A1558" s="115">
        <f t="shared" si="25"/>
        <v>13</v>
      </c>
      <c r="B1558" s="166" t="s">
        <v>1454</v>
      </c>
      <c r="C1558" s="167" t="s">
        <v>1468</v>
      </c>
      <c r="D1558" s="118"/>
      <c r="E1558" s="119">
        <v>32500</v>
      </c>
    </row>
    <row r="1559" spans="1:5" x14ac:dyDescent="0.25">
      <c r="A1559" s="115">
        <f t="shared" si="25"/>
        <v>14</v>
      </c>
      <c r="B1559" s="166" t="s">
        <v>1455</v>
      </c>
      <c r="C1559" s="167" t="s">
        <v>1469</v>
      </c>
      <c r="D1559" s="118"/>
      <c r="E1559" s="119">
        <v>5000</v>
      </c>
    </row>
    <row r="1560" spans="1:5" x14ac:dyDescent="0.25">
      <c r="A1560" s="115">
        <f t="shared" si="25"/>
        <v>15</v>
      </c>
      <c r="B1560" s="166" t="s">
        <v>1452</v>
      </c>
      <c r="C1560" s="167" t="s">
        <v>1470</v>
      </c>
      <c r="D1560" s="118"/>
      <c r="E1560" s="119">
        <v>5000</v>
      </c>
    </row>
    <row r="1561" spans="1:5" x14ac:dyDescent="0.25">
      <c r="A1561" s="115">
        <f t="shared" si="25"/>
        <v>16</v>
      </c>
      <c r="B1561" s="166" t="s">
        <v>1481</v>
      </c>
      <c r="C1561" s="167" t="s">
        <v>1471</v>
      </c>
      <c r="D1561" s="118"/>
      <c r="E1561" s="119">
        <v>5000</v>
      </c>
    </row>
    <row r="1562" spans="1:5" x14ac:dyDescent="0.25">
      <c r="A1562" s="115">
        <f t="shared" si="25"/>
        <v>17</v>
      </c>
      <c r="B1562" s="166" t="s">
        <v>1482</v>
      </c>
      <c r="C1562" s="167" t="s">
        <v>1472</v>
      </c>
      <c r="D1562" s="118"/>
      <c r="E1562" s="119">
        <v>5000</v>
      </c>
    </row>
    <row r="1563" spans="1:5" x14ac:dyDescent="0.25">
      <c r="A1563" s="115">
        <f t="shared" si="25"/>
        <v>18</v>
      </c>
      <c r="B1563" s="166" t="s">
        <v>1452</v>
      </c>
      <c r="C1563" s="167" t="s">
        <v>1473</v>
      </c>
      <c r="D1563" s="118"/>
      <c r="E1563" s="119">
        <v>5000</v>
      </c>
    </row>
    <row r="1564" spans="1:5" x14ac:dyDescent="0.25">
      <c r="A1564" s="115">
        <f t="shared" si="25"/>
        <v>19</v>
      </c>
      <c r="B1564" s="166" t="s">
        <v>1483</v>
      </c>
      <c r="C1564" s="167" t="s">
        <v>1474</v>
      </c>
      <c r="D1564" s="118"/>
      <c r="E1564" s="119">
        <v>5000</v>
      </c>
    </row>
    <row r="1565" spans="1:5" x14ac:dyDescent="0.25">
      <c r="A1565" s="115">
        <f t="shared" si="25"/>
        <v>20</v>
      </c>
      <c r="B1565" s="166" t="s">
        <v>1484</v>
      </c>
      <c r="C1565" s="167" t="s">
        <v>1475</v>
      </c>
      <c r="D1565" s="118"/>
      <c r="E1565" s="119">
        <v>5000</v>
      </c>
    </row>
    <row r="1566" spans="1:5" x14ac:dyDescent="0.25">
      <c r="A1566" s="115">
        <f t="shared" si="25"/>
        <v>21</v>
      </c>
      <c r="B1566" s="166" t="s">
        <v>1485</v>
      </c>
      <c r="C1566" s="167" t="s">
        <v>1476</v>
      </c>
      <c r="D1566" s="118"/>
      <c r="E1566" s="119">
        <v>22500</v>
      </c>
    </row>
    <row r="1567" spans="1:5" x14ac:dyDescent="0.25">
      <c r="A1567" s="115">
        <f t="shared" si="25"/>
        <v>22</v>
      </c>
      <c r="B1567" s="166" t="s">
        <v>1486</v>
      </c>
      <c r="C1567" s="167" t="s">
        <v>1477</v>
      </c>
      <c r="D1567" s="118"/>
      <c r="E1567" s="119">
        <v>5000</v>
      </c>
    </row>
    <row r="1568" spans="1:5" x14ac:dyDescent="0.25">
      <c r="A1568" s="115">
        <f t="shared" si="25"/>
        <v>23</v>
      </c>
      <c r="B1568" s="166" t="s">
        <v>1487</v>
      </c>
      <c r="C1568" s="167" t="s">
        <v>1478</v>
      </c>
      <c r="D1568" s="118"/>
      <c r="E1568" s="119">
        <v>5000</v>
      </c>
    </row>
    <row r="1569" spans="1:5" x14ac:dyDescent="0.25">
      <c r="A1569" s="115">
        <f t="shared" si="25"/>
        <v>24</v>
      </c>
      <c r="B1569" s="166" t="s">
        <v>1488</v>
      </c>
      <c r="C1569" s="167" t="s">
        <v>1479</v>
      </c>
      <c r="D1569" s="118"/>
      <c r="E1569" s="119">
        <v>5000</v>
      </c>
    </row>
    <row r="1570" spans="1:5" x14ac:dyDescent="0.25">
      <c r="A1570" s="115">
        <f t="shared" si="25"/>
        <v>25</v>
      </c>
      <c r="B1570" s="166" t="s">
        <v>1489</v>
      </c>
      <c r="C1570" s="167" t="s">
        <v>1480</v>
      </c>
      <c r="D1570" s="118"/>
      <c r="E1570" s="119">
        <v>5000</v>
      </c>
    </row>
    <row r="1571" spans="1:5" x14ac:dyDescent="0.25">
      <c r="A1571" s="115"/>
      <c r="B1571" s="166"/>
      <c r="C1571" s="167"/>
      <c r="D1571" s="118"/>
      <c r="E1571" s="119"/>
    </row>
    <row r="1572" spans="1:5" ht="15.75" thickBot="1" x14ac:dyDescent="0.3">
      <c r="A1572" s="120"/>
      <c r="B1572" s="577" t="s">
        <v>15</v>
      </c>
      <c r="C1572" s="578"/>
      <c r="D1572" s="579"/>
      <c r="E1572" s="121">
        <f>SUM(E1546:E1571)</f>
        <v>285000</v>
      </c>
    </row>
    <row r="1573" spans="1:5" x14ac:dyDescent="0.25">
      <c r="A1573" s="110"/>
      <c r="B1573" s="145"/>
      <c r="C1573" s="145"/>
      <c r="E1573" s="146"/>
    </row>
    <row r="1574" spans="1:5" x14ac:dyDescent="0.25">
      <c r="A1574" s="109"/>
      <c r="B1574" s="109"/>
      <c r="C1574" s="110"/>
      <c r="D1574" s="123" t="s">
        <v>1442</v>
      </c>
      <c r="E1574" s="109"/>
    </row>
    <row r="1575" spans="1:5" x14ac:dyDescent="0.25">
      <c r="D1575" s="123" t="s">
        <v>100</v>
      </c>
    </row>
    <row r="1591" spans="1:5" x14ac:dyDescent="0.25">
      <c r="A1591" s="108" t="s">
        <v>0</v>
      </c>
      <c r="B1591" s="144"/>
      <c r="C1591" s="144"/>
      <c r="D1591" s="144"/>
      <c r="E1591" s="144"/>
    </row>
    <row r="1592" spans="1:5" x14ac:dyDescent="0.25">
      <c r="A1592" s="108" t="s">
        <v>1</v>
      </c>
      <c r="B1592" s="109"/>
      <c r="C1592" s="110"/>
      <c r="D1592" s="109"/>
      <c r="E1592" s="109"/>
    </row>
    <row r="1593" spans="1:5" x14ac:dyDescent="0.25">
      <c r="A1593" s="108"/>
      <c r="B1593" s="109"/>
      <c r="C1593" s="110"/>
      <c r="D1593" s="109"/>
      <c r="E1593" s="109"/>
    </row>
    <row r="1594" spans="1:5" x14ac:dyDescent="0.25">
      <c r="A1594" s="111" t="s">
        <v>101</v>
      </c>
      <c r="B1594" s="111"/>
      <c r="C1594" s="111"/>
      <c r="D1594" s="111"/>
      <c r="E1594" s="111"/>
    </row>
    <row r="1595" spans="1:5" x14ac:dyDescent="0.25">
      <c r="A1595" s="575" t="s">
        <v>118</v>
      </c>
      <c r="B1595" s="576"/>
      <c r="C1595" s="576"/>
      <c r="D1595" s="576"/>
      <c r="E1595" s="576"/>
    </row>
    <row r="1596" spans="1:5" x14ac:dyDescent="0.25">
      <c r="A1596" s="110"/>
      <c r="B1596" s="110"/>
      <c r="C1596" s="110"/>
      <c r="D1596" s="110"/>
      <c r="E1596" s="110"/>
    </row>
    <row r="1597" spans="1:5" ht="15.75" thickBot="1" x14ac:dyDescent="0.3">
      <c r="A1597" s="109"/>
      <c r="B1597" s="109"/>
      <c r="C1597" s="110"/>
      <c r="D1597" s="109"/>
      <c r="E1597" s="124" t="s">
        <v>1490</v>
      </c>
    </row>
    <row r="1598" spans="1:5" x14ac:dyDescent="0.25">
      <c r="A1598" s="112" t="s">
        <v>21</v>
      </c>
      <c r="B1598" s="113" t="s">
        <v>96</v>
      </c>
      <c r="C1598" s="113" t="s">
        <v>97</v>
      </c>
      <c r="D1598" s="113" t="s">
        <v>91</v>
      </c>
      <c r="E1598" s="114" t="s">
        <v>15</v>
      </c>
    </row>
    <row r="1599" spans="1:5" x14ac:dyDescent="0.25">
      <c r="A1599" s="115">
        <v>1</v>
      </c>
      <c r="B1599" s="166" t="s">
        <v>1492</v>
      </c>
      <c r="C1599" s="167" t="s">
        <v>1495</v>
      </c>
      <c r="D1599" s="118"/>
      <c r="E1599" s="119">
        <v>5000</v>
      </c>
    </row>
    <row r="1600" spans="1:5" x14ac:dyDescent="0.25">
      <c r="A1600" s="115">
        <f>A1599+1</f>
        <v>2</v>
      </c>
      <c r="B1600" s="166" t="s">
        <v>1493</v>
      </c>
      <c r="C1600" s="167" t="s">
        <v>1496</v>
      </c>
      <c r="D1600" s="118"/>
      <c r="E1600" s="119">
        <v>5000</v>
      </c>
    </row>
    <row r="1601" spans="1:5" x14ac:dyDescent="0.25">
      <c r="A1601" s="115">
        <f t="shared" ref="A1601:A1611" si="26">A1600+1</f>
        <v>3</v>
      </c>
      <c r="B1601" s="166" t="s">
        <v>1494</v>
      </c>
      <c r="C1601" s="167" t="s">
        <v>1497</v>
      </c>
      <c r="D1601" s="118"/>
      <c r="E1601" s="119">
        <v>5000</v>
      </c>
    </row>
    <row r="1602" spans="1:5" x14ac:dyDescent="0.25">
      <c r="A1602" s="115">
        <f t="shared" si="26"/>
        <v>4</v>
      </c>
      <c r="B1602" s="166" t="s">
        <v>1500</v>
      </c>
      <c r="C1602" s="167" t="s">
        <v>1498</v>
      </c>
      <c r="D1602" s="118"/>
      <c r="E1602" s="119">
        <v>5000</v>
      </c>
    </row>
    <row r="1603" spans="1:5" x14ac:dyDescent="0.25">
      <c r="A1603" s="115">
        <f t="shared" si="26"/>
        <v>5</v>
      </c>
      <c r="B1603" s="166" t="s">
        <v>1501</v>
      </c>
      <c r="C1603" s="167" t="s">
        <v>1499</v>
      </c>
      <c r="D1603" s="118"/>
      <c r="E1603" s="119">
        <v>12500</v>
      </c>
    </row>
    <row r="1604" spans="1:5" x14ac:dyDescent="0.25">
      <c r="A1604" s="115">
        <f t="shared" si="26"/>
        <v>6</v>
      </c>
      <c r="B1604" s="166" t="s">
        <v>126</v>
      </c>
      <c r="C1604" s="167" t="s">
        <v>132</v>
      </c>
      <c r="D1604" s="118"/>
      <c r="E1604" s="119">
        <v>5000</v>
      </c>
    </row>
    <row r="1605" spans="1:5" x14ac:dyDescent="0.25">
      <c r="A1605" s="115">
        <f t="shared" si="26"/>
        <v>7</v>
      </c>
      <c r="B1605" s="166" t="s">
        <v>612</v>
      </c>
      <c r="C1605" s="167" t="s">
        <v>603</v>
      </c>
      <c r="D1605" s="118"/>
      <c r="E1605" s="119">
        <v>17500</v>
      </c>
    </row>
    <row r="1606" spans="1:5" x14ac:dyDescent="0.25">
      <c r="A1606" s="115">
        <f t="shared" si="26"/>
        <v>8</v>
      </c>
      <c r="B1606" s="166" t="s">
        <v>1502</v>
      </c>
      <c r="C1606" s="167" t="s">
        <v>1507</v>
      </c>
      <c r="D1606" s="118"/>
      <c r="E1606" s="119">
        <v>42500</v>
      </c>
    </row>
    <row r="1607" spans="1:5" x14ac:dyDescent="0.25">
      <c r="A1607" s="115">
        <f t="shared" si="26"/>
        <v>9</v>
      </c>
      <c r="B1607" s="166" t="s">
        <v>1503</v>
      </c>
      <c r="C1607" s="167" t="s">
        <v>1508</v>
      </c>
      <c r="D1607" s="118"/>
      <c r="E1607" s="119">
        <v>12500</v>
      </c>
    </row>
    <row r="1608" spans="1:5" x14ac:dyDescent="0.25">
      <c r="A1608" s="115">
        <f t="shared" si="26"/>
        <v>10</v>
      </c>
      <c r="B1608" s="166" t="s">
        <v>1513</v>
      </c>
      <c r="C1608" s="167" t="s">
        <v>1509</v>
      </c>
      <c r="D1608" s="118"/>
      <c r="E1608" s="119">
        <v>5000</v>
      </c>
    </row>
    <row r="1609" spans="1:5" x14ac:dyDescent="0.25">
      <c r="A1609" s="115">
        <f t="shared" si="26"/>
        <v>11</v>
      </c>
      <c r="B1609" s="166" t="s">
        <v>1504</v>
      </c>
      <c r="C1609" s="167" t="s">
        <v>1510</v>
      </c>
      <c r="D1609" s="118"/>
      <c r="E1609" s="119">
        <v>5000</v>
      </c>
    </row>
    <row r="1610" spans="1:5" x14ac:dyDescent="0.25">
      <c r="A1610" s="115">
        <f t="shared" si="26"/>
        <v>12</v>
      </c>
      <c r="B1610" s="166" t="s">
        <v>1505</v>
      </c>
      <c r="C1610" s="167" t="s">
        <v>1511</v>
      </c>
      <c r="D1610" s="118"/>
      <c r="E1610" s="119">
        <v>5000</v>
      </c>
    </row>
    <row r="1611" spans="1:5" x14ac:dyDescent="0.25">
      <c r="A1611" s="115">
        <f t="shared" si="26"/>
        <v>13</v>
      </c>
      <c r="B1611" s="166" t="s">
        <v>1506</v>
      </c>
      <c r="C1611" s="167" t="s">
        <v>1512</v>
      </c>
      <c r="D1611" s="118"/>
      <c r="E1611" s="119">
        <v>22500</v>
      </c>
    </row>
    <row r="1612" spans="1:5" x14ac:dyDescent="0.25">
      <c r="A1612" s="115"/>
      <c r="B1612" s="166"/>
      <c r="C1612" s="167"/>
      <c r="D1612" s="118"/>
      <c r="E1612" s="119"/>
    </row>
    <row r="1613" spans="1:5" ht="15.75" thickBot="1" x14ac:dyDescent="0.3">
      <c r="A1613" s="120"/>
      <c r="B1613" s="577" t="s">
        <v>15</v>
      </c>
      <c r="C1613" s="578"/>
      <c r="D1613" s="579"/>
      <c r="E1613" s="121">
        <f>SUM(E1599:E1612)</f>
        <v>147500</v>
      </c>
    </row>
    <row r="1614" spans="1:5" x14ac:dyDescent="0.25">
      <c r="A1614" s="110"/>
      <c r="B1614" s="145"/>
      <c r="C1614" s="145"/>
      <c r="E1614" s="146"/>
    </row>
    <row r="1615" spans="1:5" x14ac:dyDescent="0.25">
      <c r="A1615" s="109"/>
      <c r="B1615" s="109"/>
      <c r="C1615" s="110"/>
      <c r="D1615" s="123" t="s">
        <v>1491</v>
      </c>
      <c r="E1615" s="109"/>
    </row>
    <row r="1616" spans="1:5" x14ac:dyDescent="0.25">
      <c r="D1616" s="123" t="s">
        <v>100</v>
      </c>
    </row>
    <row r="1644" spans="1:5" x14ac:dyDescent="0.25">
      <c r="A1644" s="108" t="s">
        <v>0</v>
      </c>
      <c r="B1644" s="144"/>
      <c r="C1644" s="144"/>
      <c r="D1644" s="144"/>
      <c r="E1644" s="144"/>
    </row>
    <row r="1645" spans="1:5" x14ac:dyDescent="0.25">
      <c r="A1645" s="108" t="s">
        <v>1</v>
      </c>
      <c r="B1645" s="109"/>
      <c r="C1645" s="110"/>
      <c r="D1645" s="109"/>
      <c r="E1645" s="109"/>
    </row>
    <row r="1646" spans="1:5" x14ac:dyDescent="0.25">
      <c r="A1646" s="108"/>
      <c r="B1646" s="109"/>
      <c r="C1646" s="110"/>
      <c r="D1646" s="109"/>
      <c r="E1646" s="109"/>
    </row>
    <row r="1647" spans="1:5" x14ac:dyDescent="0.25">
      <c r="A1647" s="111" t="s">
        <v>101</v>
      </c>
      <c r="B1647" s="111"/>
      <c r="C1647" s="111"/>
      <c r="D1647" s="111"/>
      <c r="E1647" s="111"/>
    </row>
    <row r="1648" spans="1:5" x14ac:dyDescent="0.25">
      <c r="A1648" s="575" t="s">
        <v>118</v>
      </c>
      <c r="B1648" s="576"/>
      <c r="C1648" s="576"/>
      <c r="D1648" s="576"/>
      <c r="E1648" s="576"/>
    </row>
    <row r="1649" spans="1:5" x14ac:dyDescent="0.25">
      <c r="A1649" s="110"/>
      <c r="B1649" s="110"/>
      <c r="C1649" s="110"/>
      <c r="D1649" s="110"/>
      <c r="E1649" s="110"/>
    </row>
    <row r="1650" spans="1:5" ht="15.75" thickBot="1" x14ac:dyDescent="0.3">
      <c r="A1650" s="109"/>
      <c r="B1650" s="109"/>
      <c r="C1650" s="110"/>
      <c r="D1650" s="109"/>
      <c r="E1650" s="124" t="s">
        <v>1514</v>
      </c>
    </row>
    <row r="1651" spans="1:5" x14ac:dyDescent="0.25">
      <c r="A1651" s="112" t="s">
        <v>21</v>
      </c>
      <c r="B1651" s="113" t="s">
        <v>96</v>
      </c>
      <c r="C1651" s="113" t="s">
        <v>97</v>
      </c>
      <c r="D1651" s="113" t="s">
        <v>91</v>
      </c>
      <c r="E1651" s="114" t="s">
        <v>15</v>
      </c>
    </row>
    <row r="1652" spans="1:5" x14ac:dyDescent="0.25">
      <c r="A1652" s="115">
        <v>1</v>
      </c>
      <c r="B1652" s="166" t="s">
        <v>1516</v>
      </c>
      <c r="C1652" s="167" t="s">
        <v>1519</v>
      </c>
      <c r="D1652" s="118"/>
      <c r="E1652" s="119">
        <v>5000</v>
      </c>
    </row>
    <row r="1653" spans="1:5" x14ac:dyDescent="0.25">
      <c r="A1653" s="115">
        <f>A1652+1</f>
        <v>2</v>
      </c>
      <c r="B1653" s="166" t="s">
        <v>1517</v>
      </c>
      <c r="C1653" s="167" t="s">
        <v>1520</v>
      </c>
      <c r="D1653" s="118"/>
      <c r="E1653" s="119">
        <v>5000</v>
      </c>
    </row>
    <row r="1654" spans="1:5" x14ac:dyDescent="0.25">
      <c r="A1654" s="115">
        <f t="shared" ref="A1654:A1658" si="27">A1653+1</f>
        <v>3</v>
      </c>
      <c r="B1654" s="166" t="s">
        <v>1518</v>
      </c>
      <c r="C1654" s="167" t="s">
        <v>1521</v>
      </c>
      <c r="D1654" s="118"/>
      <c r="E1654" s="119">
        <v>5000</v>
      </c>
    </row>
    <row r="1655" spans="1:5" x14ac:dyDescent="0.25">
      <c r="A1655" s="115">
        <f t="shared" si="27"/>
        <v>4</v>
      </c>
      <c r="B1655" s="166" t="s">
        <v>1526</v>
      </c>
      <c r="C1655" s="167" t="s">
        <v>1522</v>
      </c>
      <c r="D1655" s="118"/>
      <c r="E1655" s="119">
        <v>12500</v>
      </c>
    </row>
    <row r="1656" spans="1:5" x14ac:dyDescent="0.25">
      <c r="A1656" s="115">
        <f t="shared" si="27"/>
        <v>5</v>
      </c>
      <c r="B1656" s="166" t="s">
        <v>1527</v>
      </c>
      <c r="C1656" s="167" t="s">
        <v>1523</v>
      </c>
      <c r="D1656" s="118"/>
      <c r="E1656" s="119">
        <v>32500</v>
      </c>
    </row>
    <row r="1657" spans="1:5" x14ac:dyDescent="0.25">
      <c r="A1657" s="115">
        <f t="shared" si="27"/>
        <v>6</v>
      </c>
      <c r="B1657" s="166" t="s">
        <v>1528</v>
      </c>
      <c r="C1657" s="167" t="s">
        <v>1524</v>
      </c>
      <c r="D1657" s="118"/>
      <c r="E1657" s="119">
        <v>5000</v>
      </c>
    </row>
    <row r="1658" spans="1:5" x14ac:dyDescent="0.25">
      <c r="A1658" s="115">
        <f t="shared" si="27"/>
        <v>7</v>
      </c>
      <c r="B1658" s="166" t="s">
        <v>1529</v>
      </c>
      <c r="C1658" s="167" t="s">
        <v>1525</v>
      </c>
      <c r="D1658" s="118"/>
      <c r="E1658" s="119">
        <v>5000</v>
      </c>
    </row>
    <row r="1659" spans="1:5" x14ac:dyDescent="0.25">
      <c r="A1659" s="115"/>
      <c r="B1659" s="166"/>
      <c r="C1659" s="167"/>
      <c r="D1659" s="118"/>
      <c r="E1659" s="119"/>
    </row>
    <row r="1660" spans="1:5" ht="15.75" thickBot="1" x14ac:dyDescent="0.3">
      <c r="A1660" s="120"/>
      <c r="B1660" s="577" t="s">
        <v>15</v>
      </c>
      <c r="C1660" s="578"/>
      <c r="D1660" s="579"/>
      <c r="E1660" s="121">
        <f>SUM(E1652:E1659)</f>
        <v>70000</v>
      </c>
    </row>
    <row r="1661" spans="1:5" x14ac:dyDescent="0.25">
      <c r="A1661" s="110"/>
      <c r="B1661" s="145"/>
      <c r="C1661" s="145"/>
      <c r="E1661" s="146"/>
    </row>
    <row r="1662" spans="1:5" x14ac:dyDescent="0.25">
      <c r="A1662" s="109"/>
      <c r="B1662" s="109"/>
      <c r="C1662" s="110"/>
      <c r="D1662" s="123" t="s">
        <v>1515</v>
      </c>
      <c r="E1662" s="109"/>
    </row>
    <row r="1663" spans="1:5" x14ac:dyDescent="0.25">
      <c r="D1663" s="123" t="s">
        <v>100</v>
      </c>
    </row>
    <row r="1697" spans="1:5" x14ac:dyDescent="0.25">
      <c r="A1697" s="108" t="s">
        <v>0</v>
      </c>
      <c r="B1697" s="144"/>
      <c r="C1697" s="144"/>
      <c r="D1697" s="144"/>
      <c r="E1697" s="144"/>
    </row>
    <row r="1698" spans="1:5" x14ac:dyDescent="0.25">
      <c r="A1698" s="108" t="s">
        <v>1</v>
      </c>
      <c r="B1698" s="109"/>
      <c r="C1698" s="110"/>
      <c r="D1698" s="109"/>
      <c r="E1698" s="109"/>
    </row>
    <row r="1699" spans="1:5" x14ac:dyDescent="0.25">
      <c r="A1699" s="108"/>
      <c r="B1699" s="109"/>
      <c r="C1699" s="110"/>
      <c r="D1699" s="109"/>
      <c r="E1699" s="109"/>
    </row>
    <row r="1700" spans="1:5" x14ac:dyDescent="0.25">
      <c r="A1700" s="111" t="s">
        <v>101</v>
      </c>
      <c r="B1700" s="111"/>
      <c r="C1700" s="111"/>
      <c r="D1700" s="111"/>
      <c r="E1700" s="111"/>
    </row>
    <row r="1701" spans="1:5" x14ac:dyDescent="0.25">
      <c r="A1701" s="575" t="s">
        <v>118</v>
      </c>
      <c r="B1701" s="576"/>
      <c r="C1701" s="576"/>
      <c r="D1701" s="576"/>
      <c r="E1701" s="576"/>
    </row>
    <row r="1702" spans="1:5" x14ac:dyDescent="0.25">
      <c r="A1702" s="110"/>
      <c r="B1702" s="110"/>
      <c r="C1702" s="110"/>
      <c r="D1702" s="110"/>
      <c r="E1702" s="110"/>
    </row>
    <row r="1703" spans="1:5" ht="15.75" thickBot="1" x14ac:dyDescent="0.3">
      <c r="A1703" s="109"/>
      <c r="B1703" s="109"/>
      <c r="C1703" s="110"/>
      <c r="D1703" s="109"/>
      <c r="E1703" s="124" t="s">
        <v>1530</v>
      </c>
    </row>
    <row r="1704" spans="1:5" x14ac:dyDescent="0.25">
      <c r="A1704" s="112" t="s">
        <v>21</v>
      </c>
      <c r="B1704" s="113" t="s">
        <v>96</v>
      </c>
      <c r="C1704" s="113" t="s">
        <v>97</v>
      </c>
      <c r="D1704" s="113" t="s">
        <v>91</v>
      </c>
      <c r="E1704" s="114" t="s">
        <v>15</v>
      </c>
    </row>
    <row r="1705" spans="1:5" x14ac:dyDescent="0.25">
      <c r="A1705" s="115">
        <v>1</v>
      </c>
      <c r="B1705" s="166" t="s">
        <v>1532</v>
      </c>
      <c r="C1705" s="167" t="s">
        <v>1539</v>
      </c>
      <c r="D1705" s="118"/>
      <c r="E1705" s="119">
        <v>12500</v>
      </c>
    </row>
    <row r="1706" spans="1:5" x14ac:dyDescent="0.25">
      <c r="A1706" s="115">
        <f>A1705+1</f>
        <v>2</v>
      </c>
      <c r="B1706" s="166" t="s">
        <v>1533</v>
      </c>
      <c r="C1706" s="167" t="s">
        <v>1540</v>
      </c>
      <c r="D1706" s="118"/>
      <c r="E1706" s="119">
        <v>5000</v>
      </c>
    </row>
    <row r="1707" spans="1:5" x14ac:dyDescent="0.25">
      <c r="A1707" s="115">
        <f t="shared" ref="A1707:A1716" si="28">A1706+1</f>
        <v>3</v>
      </c>
      <c r="B1707" s="166" t="s">
        <v>1534</v>
      </c>
      <c r="C1707" s="167" t="s">
        <v>1541</v>
      </c>
      <c r="D1707" s="118"/>
      <c r="E1707" s="119">
        <v>10000</v>
      </c>
    </row>
    <row r="1708" spans="1:5" x14ac:dyDescent="0.25">
      <c r="A1708" s="115">
        <f t="shared" si="28"/>
        <v>4</v>
      </c>
      <c r="B1708" s="166" t="s">
        <v>1535</v>
      </c>
      <c r="C1708" s="167" t="s">
        <v>1542</v>
      </c>
      <c r="D1708" s="118"/>
      <c r="E1708" s="119">
        <v>5000</v>
      </c>
    </row>
    <row r="1709" spans="1:5" x14ac:dyDescent="0.25">
      <c r="A1709" s="115">
        <f t="shared" si="28"/>
        <v>5</v>
      </c>
      <c r="B1709" s="166" t="s">
        <v>1555</v>
      </c>
      <c r="C1709" s="167" t="s">
        <v>1554</v>
      </c>
      <c r="D1709" s="118"/>
      <c r="E1709" s="119">
        <v>5000</v>
      </c>
    </row>
    <row r="1710" spans="1:5" x14ac:dyDescent="0.25">
      <c r="A1710" s="115">
        <f t="shared" si="28"/>
        <v>6</v>
      </c>
      <c r="B1710" s="166" t="s">
        <v>1536</v>
      </c>
      <c r="C1710" s="167" t="s">
        <v>1543</v>
      </c>
      <c r="D1710" s="118"/>
      <c r="E1710" s="119">
        <v>12500</v>
      </c>
    </row>
    <row r="1711" spans="1:5" x14ac:dyDescent="0.25">
      <c r="A1711" s="115">
        <f t="shared" si="28"/>
        <v>7</v>
      </c>
      <c r="B1711" s="166" t="s">
        <v>1537</v>
      </c>
      <c r="C1711" s="167" t="s">
        <v>1544</v>
      </c>
      <c r="D1711" s="118"/>
      <c r="E1711" s="119">
        <v>12500</v>
      </c>
    </row>
    <row r="1712" spans="1:5" x14ac:dyDescent="0.25">
      <c r="A1712" s="115">
        <f t="shared" si="28"/>
        <v>8</v>
      </c>
      <c r="B1712" s="166" t="s">
        <v>1538</v>
      </c>
      <c r="C1712" s="167" t="s">
        <v>1545</v>
      </c>
      <c r="D1712" s="118"/>
      <c r="E1712" s="119">
        <v>22500</v>
      </c>
    </row>
    <row r="1713" spans="1:5" x14ac:dyDescent="0.25">
      <c r="A1713" s="115">
        <f t="shared" si="28"/>
        <v>9</v>
      </c>
      <c r="B1713" s="166" t="s">
        <v>1550</v>
      </c>
      <c r="C1713" s="167" t="s">
        <v>1546</v>
      </c>
      <c r="D1713" s="118"/>
      <c r="E1713" s="119">
        <v>12500</v>
      </c>
    </row>
    <row r="1714" spans="1:5" x14ac:dyDescent="0.25">
      <c r="A1714" s="115">
        <f t="shared" si="28"/>
        <v>10</v>
      </c>
      <c r="B1714" s="166" t="s">
        <v>1551</v>
      </c>
      <c r="C1714" s="167" t="s">
        <v>1547</v>
      </c>
      <c r="D1714" s="118"/>
      <c r="E1714" s="119">
        <v>12500</v>
      </c>
    </row>
    <row r="1715" spans="1:5" x14ac:dyDescent="0.25">
      <c r="A1715" s="115">
        <f t="shared" si="28"/>
        <v>11</v>
      </c>
      <c r="B1715" s="166" t="s">
        <v>1552</v>
      </c>
      <c r="C1715" s="167" t="s">
        <v>1548</v>
      </c>
      <c r="D1715" s="118"/>
      <c r="E1715" s="119">
        <v>12500</v>
      </c>
    </row>
    <row r="1716" spans="1:5" x14ac:dyDescent="0.25">
      <c r="A1716" s="115">
        <f t="shared" si="28"/>
        <v>12</v>
      </c>
      <c r="B1716" s="166" t="s">
        <v>1553</v>
      </c>
      <c r="C1716" s="167" t="s">
        <v>1549</v>
      </c>
      <c r="D1716" s="118"/>
      <c r="E1716" s="119">
        <v>5000</v>
      </c>
    </row>
    <row r="1717" spans="1:5" x14ac:dyDescent="0.25">
      <c r="A1717" s="115"/>
      <c r="B1717" s="166"/>
      <c r="C1717" s="167"/>
      <c r="D1717" s="118"/>
      <c r="E1717" s="119"/>
    </row>
    <row r="1718" spans="1:5" ht="15.75" thickBot="1" x14ac:dyDescent="0.3">
      <c r="A1718" s="120"/>
      <c r="B1718" s="577" t="s">
        <v>15</v>
      </c>
      <c r="C1718" s="578"/>
      <c r="D1718" s="579"/>
      <c r="E1718" s="121">
        <f>SUM(E1705:E1717)</f>
        <v>127500</v>
      </c>
    </row>
    <row r="1719" spans="1:5" x14ac:dyDescent="0.25">
      <c r="A1719" s="110"/>
      <c r="B1719" s="145"/>
      <c r="C1719" s="145"/>
      <c r="E1719" s="146"/>
    </row>
    <row r="1720" spans="1:5" x14ac:dyDescent="0.25">
      <c r="A1720" s="109"/>
      <c r="B1720" s="109"/>
      <c r="C1720" s="110"/>
      <c r="D1720" s="123" t="s">
        <v>1531</v>
      </c>
      <c r="E1720" s="109"/>
    </row>
    <row r="1721" spans="1:5" x14ac:dyDescent="0.25">
      <c r="D1721" s="123" t="s">
        <v>100</v>
      </c>
    </row>
    <row r="1750" spans="1:5" x14ac:dyDescent="0.25">
      <c r="A1750" s="108" t="s">
        <v>0</v>
      </c>
      <c r="B1750" s="144"/>
      <c r="C1750" s="144"/>
      <c r="D1750" s="144"/>
      <c r="E1750" s="144"/>
    </row>
    <row r="1751" spans="1:5" x14ac:dyDescent="0.25">
      <c r="A1751" s="108" t="s">
        <v>1</v>
      </c>
      <c r="B1751" s="109"/>
      <c r="C1751" s="110"/>
      <c r="D1751" s="109"/>
      <c r="E1751" s="109"/>
    </row>
    <row r="1752" spans="1:5" x14ac:dyDescent="0.25">
      <c r="A1752" s="108"/>
      <c r="B1752" s="109"/>
      <c r="C1752" s="110"/>
      <c r="D1752" s="109"/>
      <c r="E1752" s="109"/>
    </row>
    <row r="1753" spans="1:5" x14ac:dyDescent="0.25">
      <c r="A1753" s="111" t="s">
        <v>101</v>
      </c>
      <c r="B1753" s="111"/>
      <c r="C1753" s="111"/>
      <c r="D1753" s="111"/>
      <c r="E1753" s="111"/>
    </row>
    <row r="1754" spans="1:5" x14ac:dyDescent="0.25">
      <c r="A1754" s="575" t="s">
        <v>118</v>
      </c>
      <c r="B1754" s="576"/>
      <c r="C1754" s="576"/>
      <c r="D1754" s="576"/>
      <c r="E1754" s="576"/>
    </row>
    <row r="1755" spans="1:5" x14ac:dyDescent="0.25">
      <c r="A1755" s="110"/>
      <c r="B1755" s="110"/>
      <c r="C1755" s="110"/>
      <c r="D1755" s="110"/>
      <c r="E1755" s="110"/>
    </row>
    <row r="1756" spans="1:5" ht="15.75" thickBot="1" x14ac:dyDescent="0.3">
      <c r="A1756" s="109"/>
      <c r="B1756" s="109"/>
      <c r="C1756" s="110"/>
      <c r="D1756" s="109"/>
      <c r="E1756" s="124" t="s">
        <v>1557</v>
      </c>
    </row>
    <row r="1757" spans="1:5" x14ac:dyDescent="0.25">
      <c r="A1757" s="112" t="s">
        <v>21</v>
      </c>
      <c r="B1757" s="113" t="s">
        <v>96</v>
      </c>
      <c r="C1757" s="113" t="s">
        <v>97</v>
      </c>
      <c r="D1757" s="113" t="s">
        <v>91</v>
      </c>
      <c r="E1757" s="114" t="s">
        <v>15</v>
      </c>
    </row>
    <row r="1758" spans="1:5" x14ac:dyDescent="0.25">
      <c r="A1758" s="115">
        <v>1</v>
      </c>
      <c r="B1758" s="166"/>
      <c r="C1758" s="167"/>
      <c r="D1758" s="118"/>
      <c r="E1758" s="119"/>
    </row>
    <row r="1759" spans="1:5" x14ac:dyDescent="0.25">
      <c r="A1759" s="115">
        <f>A1758+1</f>
        <v>2</v>
      </c>
      <c r="B1759" s="166"/>
      <c r="C1759" s="167"/>
      <c r="D1759" s="118"/>
      <c r="E1759" s="119"/>
    </row>
    <row r="1760" spans="1:5" x14ac:dyDescent="0.25">
      <c r="A1760" s="115">
        <f t="shared" ref="A1760:A1769" si="29">A1759+1</f>
        <v>3</v>
      </c>
      <c r="B1760" s="166"/>
      <c r="C1760" s="167"/>
      <c r="D1760" s="118"/>
      <c r="E1760" s="119"/>
    </row>
    <row r="1761" spans="1:5" x14ac:dyDescent="0.25">
      <c r="A1761" s="115">
        <f t="shared" si="29"/>
        <v>4</v>
      </c>
      <c r="B1761" s="580" t="s">
        <v>1559</v>
      </c>
      <c r="C1761" s="587"/>
      <c r="D1761" s="587"/>
      <c r="E1761" s="588"/>
    </row>
    <row r="1762" spans="1:5" x14ac:dyDescent="0.25">
      <c r="A1762" s="115">
        <f t="shared" si="29"/>
        <v>5</v>
      </c>
      <c r="B1762" s="589"/>
      <c r="C1762" s="590"/>
      <c r="D1762" s="590"/>
      <c r="E1762" s="591"/>
    </row>
    <row r="1763" spans="1:5" x14ac:dyDescent="0.25">
      <c r="A1763" s="115">
        <f t="shared" si="29"/>
        <v>6</v>
      </c>
      <c r="B1763" s="166"/>
      <c r="C1763" s="167"/>
      <c r="D1763" s="118"/>
      <c r="E1763" s="119"/>
    </row>
    <row r="1764" spans="1:5" x14ac:dyDescent="0.25">
      <c r="A1764" s="115">
        <f t="shared" si="29"/>
        <v>7</v>
      </c>
      <c r="B1764" s="166"/>
      <c r="C1764" s="167"/>
      <c r="D1764" s="118"/>
      <c r="E1764" s="119"/>
    </row>
    <row r="1765" spans="1:5" x14ac:dyDescent="0.25">
      <c r="A1765" s="115">
        <f t="shared" si="29"/>
        <v>8</v>
      </c>
      <c r="B1765" s="166"/>
      <c r="C1765" s="167"/>
      <c r="D1765" s="118"/>
      <c r="E1765" s="119"/>
    </row>
    <row r="1766" spans="1:5" x14ac:dyDescent="0.25">
      <c r="A1766" s="115">
        <f t="shared" si="29"/>
        <v>9</v>
      </c>
      <c r="B1766" s="166"/>
      <c r="C1766" s="167"/>
      <c r="D1766" s="118"/>
      <c r="E1766" s="119"/>
    </row>
    <row r="1767" spans="1:5" x14ac:dyDescent="0.25">
      <c r="A1767" s="115">
        <f t="shared" si="29"/>
        <v>10</v>
      </c>
      <c r="B1767" s="166"/>
      <c r="C1767" s="167"/>
      <c r="D1767" s="118"/>
      <c r="E1767" s="119"/>
    </row>
    <row r="1768" spans="1:5" x14ac:dyDescent="0.25">
      <c r="A1768" s="115">
        <f t="shared" si="29"/>
        <v>11</v>
      </c>
      <c r="B1768" s="166"/>
      <c r="C1768" s="167"/>
      <c r="D1768" s="118"/>
      <c r="E1768" s="119"/>
    </row>
    <row r="1769" spans="1:5" x14ac:dyDescent="0.25">
      <c r="A1769" s="115">
        <f t="shared" si="29"/>
        <v>12</v>
      </c>
      <c r="B1769" s="166"/>
      <c r="C1769" s="167"/>
      <c r="D1769" s="118"/>
      <c r="E1769" s="119"/>
    </row>
    <row r="1770" spans="1:5" x14ac:dyDescent="0.25">
      <c r="A1770" s="115"/>
      <c r="B1770" s="166"/>
      <c r="C1770" s="167"/>
      <c r="D1770" s="118"/>
      <c r="E1770" s="119"/>
    </row>
    <row r="1771" spans="1:5" ht="15.75" thickBot="1" x14ac:dyDescent="0.3">
      <c r="A1771" s="120"/>
      <c r="B1771" s="577" t="s">
        <v>15</v>
      </c>
      <c r="C1771" s="578"/>
      <c r="D1771" s="579"/>
      <c r="E1771" s="121">
        <f>SUM(E1758:E1770)</f>
        <v>0</v>
      </c>
    </row>
    <row r="1772" spans="1:5" x14ac:dyDescent="0.25">
      <c r="A1772" s="110"/>
      <c r="B1772" s="145"/>
      <c r="C1772" s="145"/>
      <c r="E1772" s="146"/>
    </row>
    <row r="1773" spans="1:5" x14ac:dyDescent="0.25">
      <c r="A1773" s="109"/>
      <c r="B1773" s="109"/>
      <c r="C1773" s="110"/>
      <c r="D1773" s="123" t="s">
        <v>1558</v>
      </c>
      <c r="E1773" s="109"/>
    </row>
    <row r="1774" spans="1:5" x14ac:dyDescent="0.25">
      <c r="D1774" s="123" t="s">
        <v>100</v>
      </c>
    </row>
    <row r="1803" spans="1:5" x14ac:dyDescent="0.25">
      <c r="A1803" s="108" t="s">
        <v>0</v>
      </c>
      <c r="B1803" s="144"/>
      <c r="C1803" s="144"/>
      <c r="D1803" s="144"/>
      <c r="E1803" s="144"/>
    </row>
    <row r="1804" spans="1:5" x14ac:dyDescent="0.25">
      <c r="A1804" s="108" t="s">
        <v>1</v>
      </c>
      <c r="B1804" s="109"/>
      <c r="C1804" s="110"/>
      <c r="D1804" s="109"/>
      <c r="E1804" s="109"/>
    </row>
    <row r="1805" spans="1:5" x14ac:dyDescent="0.25">
      <c r="A1805" s="108"/>
      <c r="B1805" s="109"/>
      <c r="C1805" s="110"/>
      <c r="D1805" s="109"/>
      <c r="E1805" s="109"/>
    </row>
    <row r="1806" spans="1:5" x14ac:dyDescent="0.25">
      <c r="A1806" s="111" t="s">
        <v>101</v>
      </c>
      <c r="B1806" s="111"/>
      <c r="C1806" s="111"/>
      <c r="D1806" s="111"/>
      <c r="E1806" s="111"/>
    </row>
    <row r="1807" spans="1:5" x14ac:dyDescent="0.25">
      <c r="A1807" s="575" t="s">
        <v>118</v>
      </c>
      <c r="B1807" s="576"/>
      <c r="C1807" s="576"/>
      <c r="D1807" s="576"/>
      <c r="E1807" s="576"/>
    </row>
    <row r="1808" spans="1:5" x14ac:dyDescent="0.25">
      <c r="A1808" s="110"/>
      <c r="B1808" s="110"/>
      <c r="C1808" s="110"/>
      <c r="D1808" s="110"/>
      <c r="E1808" s="110"/>
    </row>
    <row r="1809" spans="1:5" ht="15.75" thickBot="1" x14ac:dyDescent="0.3">
      <c r="A1809" s="109"/>
      <c r="B1809" s="109"/>
      <c r="C1809" s="110"/>
      <c r="D1809" s="109"/>
      <c r="E1809" s="124" t="s">
        <v>1560</v>
      </c>
    </row>
    <row r="1810" spans="1:5" x14ac:dyDescent="0.25">
      <c r="A1810" s="112" t="s">
        <v>21</v>
      </c>
      <c r="B1810" s="113" t="s">
        <v>96</v>
      </c>
      <c r="C1810" s="113" t="s">
        <v>97</v>
      </c>
      <c r="D1810" s="113" t="s">
        <v>91</v>
      </c>
      <c r="E1810" s="114" t="s">
        <v>15</v>
      </c>
    </row>
    <row r="1811" spans="1:5" x14ac:dyDescent="0.25">
      <c r="A1811" s="115">
        <v>1</v>
      </c>
      <c r="B1811" s="166" t="s">
        <v>1562</v>
      </c>
      <c r="C1811" s="167" t="s">
        <v>1566</v>
      </c>
      <c r="D1811" s="118"/>
      <c r="E1811" s="119">
        <v>22500</v>
      </c>
    </row>
    <row r="1812" spans="1:5" x14ac:dyDescent="0.25">
      <c r="A1812" s="115">
        <f>A1811+1</f>
        <v>2</v>
      </c>
      <c r="B1812" s="166" t="s">
        <v>1563</v>
      </c>
      <c r="C1812" s="167" t="s">
        <v>1567</v>
      </c>
      <c r="D1812" s="118"/>
      <c r="E1812" s="119">
        <v>5000</v>
      </c>
    </row>
    <row r="1813" spans="1:5" x14ac:dyDescent="0.25">
      <c r="A1813" s="115">
        <f t="shared" ref="A1813:A1847" si="30">A1812+1</f>
        <v>3</v>
      </c>
      <c r="B1813" s="166" t="s">
        <v>1564</v>
      </c>
      <c r="C1813" s="167" t="s">
        <v>1568</v>
      </c>
      <c r="D1813" s="118"/>
      <c r="E1813" s="119">
        <v>5000</v>
      </c>
    </row>
    <row r="1814" spans="1:5" x14ac:dyDescent="0.25">
      <c r="A1814" s="115">
        <f t="shared" si="30"/>
        <v>4</v>
      </c>
      <c r="B1814" s="166" t="s">
        <v>1565</v>
      </c>
      <c r="C1814" s="167" t="s">
        <v>1569</v>
      </c>
      <c r="D1814" s="118"/>
      <c r="E1814" s="119">
        <v>5000</v>
      </c>
    </row>
    <row r="1815" spans="1:5" x14ac:dyDescent="0.25">
      <c r="A1815" s="115">
        <f t="shared" si="30"/>
        <v>5</v>
      </c>
      <c r="B1815" s="166" t="s">
        <v>1580</v>
      </c>
      <c r="C1815" s="167" t="s">
        <v>1570</v>
      </c>
      <c r="D1815" s="118"/>
      <c r="E1815" s="119">
        <v>5000</v>
      </c>
    </row>
    <row r="1816" spans="1:5" x14ac:dyDescent="0.25">
      <c r="A1816" s="115">
        <f t="shared" si="30"/>
        <v>6</v>
      </c>
      <c r="B1816" s="166" t="s">
        <v>1579</v>
      </c>
      <c r="C1816" s="167" t="s">
        <v>1571</v>
      </c>
      <c r="D1816" s="118"/>
      <c r="E1816" s="119">
        <v>5000</v>
      </c>
    </row>
    <row r="1817" spans="1:5" x14ac:dyDescent="0.25">
      <c r="A1817" s="115">
        <f t="shared" si="30"/>
        <v>7</v>
      </c>
      <c r="B1817" s="166" t="s">
        <v>1581</v>
      </c>
      <c r="C1817" s="167" t="s">
        <v>1572</v>
      </c>
      <c r="D1817" s="118"/>
      <c r="E1817" s="119">
        <v>5000</v>
      </c>
    </row>
    <row r="1818" spans="1:5" x14ac:dyDescent="0.25">
      <c r="A1818" s="115">
        <f t="shared" si="30"/>
        <v>8</v>
      </c>
      <c r="B1818" s="166" t="s">
        <v>1582</v>
      </c>
      <c r="C1818" s="167" t="s">
        <v>1573</v>
      </c>
      <c r="D1818" s="118"/>
      <c r="E1818" s="119">
        <v>22500</v>
      </c>
    </row>
    <row r="1819" spans="1:5" x14ac:dyDescent="0.25">
      <c r="A1819" s="115">
        <f t="shared" si="30"/>
        <v>9</v>
      </c>
      <c r="B1819" s="166" t="s">
        <v>1583</v>
      </c>
      <c r="C1819" s="167" t="s">
        <v>1574</v>
      </c>
      <c r="D1819" s="118"/>
      <c r="E1819" s="119">
        <v>5000</v>
      </c>
    </row>
    <row r="1820" spans="1:5" x14ac:dyDescent="0.25">
      <c r="A1820" s="115">
        <f t="shared" si="30"/>
        <v>10</v>
      </c>
      <c r="B1820" s="166" t="s">
        <v>559</v>
      </c>
      <c r="C1820" s="167" t="s">
        <v>551</v>
      </c>
      <c r="D1820" s="118"/>
      <c r="E1820" s="119">
        <v>5000</v>
      </c>
    </row>
    <row r="1821" spans="1:5" x14ac:dyDescent="0.25">
      <c r="A1821" s="115">
        <f t="shared" si="30"/>
        <v>11</v>
      </c>
      <c r="B1821" s="166" t="s">
        <v>1584</v>
      </c>
      <c r="C1821" s="167" t="s">
        <v>1575</v>
      </c>
      <c r="D1821" s="118"/>
      <c r="E1821" s="119">
        <v>5000</v>
      </c>
    </row>
    <row r="1822" spans="1:5" x14ac:dyDescent="0.25">
      <c r="A1822" s="115">
        <f t="shared" si="30"/>
        <v>12</v>
      </c>
      <c r="B1822" s="166" t="s">
        <v>1585</v>
      </c>
      <c r="C1822" s="167" t="s">
        <v>1576</v>
      </c>
      <c r="D1822" s="118"/>
      <c r="E1822" s="119">
        <v>22500</v>
      </c>
    </row>
    <row r="1823" spans="1:5" x14ac:dyDescent="0.25">
      <c r="A1823" s="115">
        <f t="shared" si="30"/>
        <v>13</v>
      </c>
      <c r="B1823" s="166" t="s">
        <v>1586</v>
      </c>
      <c r="C1823" s="167" t="s">
        <v>1577</v>
      </c>
      <c r="D1823" s="118"/>
      <c r="E1823" s="119">
        <v>42500</v>
      </c>
    </row>
    <row r="1824" spans="1:5" x14ac:dyDescent="0.25">
      <c r="A1824" s="115">
        <f t="shared" si="30"/>
        <v>14</v>
      </c>
      <c r="B1824" s="166" t="s">
        <v>1587</v>
      </c>
      <c r="C1824" s="167" t="s">
        <v>1578</v>
      </c>
      <c r="D1824" s="118"/>
      <c r="E1824" s="119">
        <v>5000</v>
      </c>
    </row>
    <row r="1825" spans="1:5" x14ac:dyDescent="0.25">
      <c r="A1825" s="115">
        <f t="shared" si="30"/>
        <v>15</v>
      </c>
      <c r="B1825" s="166" t="s">
        <v>1588</v>
      </c>
      <c r="C1825" s="167" t="s">
        <v>1596</v>
      </c>
      <c r="D1825" s="118"/>
      <c r="E1825" s="119">
        <v>5000</v>
      </c>
    </row>
    <row r="1826" spans="1:5" x14ac:dyDescent="0.25">
      <c r="A1826" s="115">
        <f t="shared" si="30"/>
        <v>16</v>
      </c>
      <c r="B1826" s="166" t="s">
        <v>1589</v>
      </c>
      <c r="C1826" s="167" t="s">
        <v>1597</v>
      </c>
      <c r="D1826" s="118"/>
      <c r="E1826" s="119">
        <v>5000</v>
      </c>
    </row>
    <row r="1827" spans="1:5" x14ac:dyDescent="0.25">
      <c r="A1827" s="115">
        <f t="shared" si="30"/>
        <v>17</v>
      </c>
      <c r="B1827" s="166" t="s">
        <v>1590</v>
      </c>
      <c r="C1827" s="167" t="s">
        <v>1598</v>
      </c>
      <c r="D1827" s="118"/>
      <c r="E1827" s="119">
        <v>5000</v>
      </c>
    </row>
    <row r="1828" spans="1:5" x14ac:dyDescent="0.25">
      <c r="A1828" s="115">
        <f t="shared" si="30"/>
        <v>18</v>
      </c>
      <c r="B1828" s="166" t="s">
        <v>1591</v>
      </c>
      <c r="C1828" s="167" t="s">
        <v>1599</v>
      </c>
      <c r="D1828" s="118"/>
      <c r="E1828" s="119">
        <v>5000</v>
      </c>
    </row>
    <row r="1829" spans="1:5" x14ac:dyDescent="0.25">
      <c r="A1829" s="115">
        <f t="shared" si="30"/>
        <v>19</v>
      </c>
      <c r="B1829" s="166" t="s">
        <v>1592</v>
      </c>
      <c r="C1829" s="167" t="s">
        <v>1600</v>
      </c>
      <c r="D1829" s="118"/>
      <c r="E1829" s="119">
        <v>5000</v>
      </c>
    </row>
    <row r="1830" spans="1:5" x14ac:dyDescent="0.25">
      <c r="A1830" s="115">
        <f t="shared" si="30"/>
        <v>20</v>
      </c>
      <c r="B1830" s="166" t="s">
        <v>1593</v>
      </c>
      <c r="C1830" s="167" t="s">
        <v>1601</v>
      </c>
      <c r="D1830" s="118"/>
      <c r="E1830" s="119">
        <v>5000</v>
      </c>
    </row>
    <row r="1831" spans="1:5" x14ac:dyDescent="0.25">
      <c r="A1831" s="115">
        <f t="shared" si="30"/>
        <v>21</v>
      </c>
      <c r="B1831" s="166" t="s">
        <v>1595</v>
      </c>
      <c r="C1831" s="167" t="s">
        <v>1602</v>
      </c>
      <c r="D1831" s="118"/>
      <c r="E1831" s="119">
        <v>32500</v>
      </c>
    </row>
    <row r="1832" spans="1:5" x14ac:dyDescent="0.25">
      <c r="A1832" s="115">
        <f t="shared" si="30"/>
        <v>22</v>
      </c>
      <c r="B1832" s="166" t="s">
        <v>1594</v>
      </c>
      <c r="C1832" s="167" t="s">
        <v>1603</v>
      </c>
      <c r="D1832" s="118"/>
      <c r="E1832" s="119">
        <v>5000</v>
      </c>
    </row>
    <row r="1833" spans="1:5" x14ac:dyDescent="0.25">
      <c r="A1833" s="115">
        <f t="shared" si="30"/>
        <v>23</v>
      </c>
      <c r="B1833" s="166" t="s">
        <v>1610</v>
      </c>
      <c r="C1833" s="167" t="s">
        <v>1604</v>
      </c>
      <c r="D1833" s="118"/>
      <c r="E1833" s="119">
        <v>32500</v>
      </c>
    </row>
    <row r="1834" spans="1:5" x14ac:dyDescent="0.25">
      <c r="A1834" s="115">
        <f t="shared" si="30"/>
        <v>24</v>
      </c>
      <c r="B1834" s="166" t="s">
        <v>1611</v>
      </c>
      <c r="C1834" s="167" t="s">
        <v>1605</v>
      </c>
      <c r="D1834" s="118"/>
      <c r="E1834" s="119">
        <v>42500</v>
      </c>
    </row>
    <row r="1835" spans="1:5" x14ac:dyDescent="0.25">
      <c r="A1835" s="115">
        <f t="shared" si="30"/>
        <v>25</v>
      </c>
      <c r="B1835" s="166" t="s">
        <v>1612</v>
      </c>
      <c r="C1835" s="167" t="s">
        <v>1606</v>
      </c>
      <c r="D1835" s="118"/>
      <c r="E1835" s="119">
        <v>5000</v>
      </c>
    </row>
    <row r="1836" spans="1:5" x14ac:dyDescent="0.25">
      <c r="A1836" s="115">
        <f t="shared" si="30"/>
        <v>26</v>
      </c>
      <c r="B1836" s="166" t="s">
        <v>1613</v>
      </c>
      <c r="C1836" s="167" t="s">
        <v>1607</v>
      </c>
      <c r="D1836" s="118"/>
      <c r="E1836" s="119">
        <v>22500</v>
      </c>
    </row>
    <row r="1837" spans="1:5" x14ac:dyDescent="0.25">
      <c r="A1837" s="115">
        <f t="shared" si="30"/>
        <v>27</v>
      </c>
      <c r="B1837" s="166" t="s">
        <v>1614</v>
      </c>
      <c r="C1837" s="167" t="s">
        <v>1608</v>
      </c>
      <c r="D1837" s="118"/>
      <c r="E1837" s="119">
        <v>5000</v>
      </c>
    </row>
    <row r="1838" spans="1:5" x14ac:dyDescent="0.25">
      <c r="A1838" s="115">
        <f t="shared" si="30"/>
        <v>28</v>
      </c>
      <c r="B1838" s="166" t="s">
        <v>1615</v>
      </c>
      <c r="C1838" s="167" t="s">
        <v>1609</v>
      </c>
      <c r="D1838" s="118"/>
      <c r="E1838" s="119">
        <v>5000</v>
      </c>
    </row>
    <row r="1839" spans="1:5" x14ac:dyDescent="0.25">
      <c r="A1839" s="115">
        <f t="shared" si="30"/>
        <v>29</v>
      </c>
      <c r="B1839" s="166" t="s">
        <v>1289</v>
      </c>
      <c r="C1839" s="167" t="s">
        <v>1622</v>
      </c>
      <c r="D1839" s="118"/>
      <c r="E1839" s="119">
        <v>5000</v>
      </c>
    </row>
    <row r="1840" spans="1:5" x14ac:dyDescent="0.25">
      <c r="A1840" s="115">
        <f t="shared" si="30"/>
        <v>30</v>
      </c>
      <c r="B1840" s="166" t="s">
        <v>1616</v>
      </c>
      <c r="C1840" s="167" t="s">
        <v>1623</v>
      </c>
      <c r="D1840" s="118"/>
      <c r="E1840" s="119">
        <v>5000</v>
      </c>
    </row>
    <row r="1841" spans="1:5" x14ac:dyDescent="0.25">
      <c r="A1841" s="115">
        <f t="shared" si="30"/>
        <v>31</v>
      </c>
      <c r="B1841" s="166" t="s">
        <v>802</v>
      </c>
      <c r="C1841" s="167" t="s">
        <v>1624</v>
      </c>
      <c r="D1841" s="118"/>
      <c r="E1841" s="119">
        <v>5000</v>
      </c>
    </row>
    <row r="1842" spans="1:5" x14ac:dyDescent="0.25">
      <c r="A1842" s="115">
        <f t="shared" si="30"/>
        <v>32</v>
      </c>
      <c r="B1842" s="166" t="s">
        <v>1585</v>
      </c>
      <c r="C1842" s="167" t="s">
        <v>1625</v>
      </c>
      <c r="D1842" s="118"/>
      <c r="E1842" s="119">
        <v>22500</v>
      </c>
    </row>
    <row r="1843" spans="1:5" x14ac:dyDescent="0.25">
      <c r="A1843" s="115">
        <f t="shared" si="30"/>
        <v>33</v>
      </c>
      <c r="B1843" s="166" t="s">
        <v>1617</v>
      </c>
      <c r="C1843" s="167" t="s">
        <v>1626</v>
      </c>
      <c r="D1843" s="118"/>
      <c r="E1843" s="119">
        <v>5000</v>
      </c>
    </row>
    <row r="1844" spans="1:5" x14ac:dyDescent="0.25">
      <c r="A1844" s="115">
        <f t="shared" si="30"/>
        <v>34</v>
      </c>
      <c r="B1844" s="166" t="s">
        <v>1618</v>
      </c>
      <c r="C1844" s="167" t="s">
        <v>1627</v>
      </c>
      <c r="D1844" s="118"/>
      <c r="E1844" s="119">
        <v>5000</v>
      </c>
    </row>
    <row r="1845" spans="1:5" x14ac:dyDescent="0.25">
      <c r="A1845" s="115">
        <f t="shared" si="30"/>
        <v>35</v>
      </c>
      <c r="B1845" s="166" t="s">
        <v>1619</v>
      </c>
      <c r="C1845" s="167" t="s">
        <v>1628</v>
      </c>
      <c r="D1845" s="118"/>
      <c r="E1845" s="119">
        <v>5000</v>
      </c>
    </row>
    <row r="1846" spans="1:5" x14ac:dyDescent="0.25">
      <c r="A1846" s="115">
        <f t="shared" si="30"/>
        <v>36</v>
      </c>
      <c r="B1846" s="166" t="s">
        <v>1620</v>
      </c>
      <c r="C1846" s="167" t="s">
        <v>1629</v>
      </c>
      <c r="D1846" s="118"/>
      <c r="E1846" s="119">
        <v>5000</v>
      </c>
    </row>
    <row r="1847" spans="1:5" x14ac:dyDescent="0.25">
      <c r="A1847" s="115">
        <f t="shared" si="30"/>
        <v>37</v>
      </c>
      <c r="B1847" s="166" t="s">
        <v>1621</v>
      </c>
      <c r="C1847" s="167" t="s">
        <v>1630</v>
      </c>
      <c r="D1847" s="118"/>
      <c r="E1847" s="119">
        <v>5000</v>
      </c>
    </row>
    <row r="1848" spans="1:5" x14ac:dyDescent="0.25">
      <c r="A1848" s="115"/>
      <c r="B1848" s="166"/>
      <c r="C1848" s="167"/>
      <c r="D1848" s="118"/>
      <c r="E1848" s="119"/>
    </row>
    <row r="1849" spans="1:5" ht="15.75" thickBot="1" x14ac:dyDescent="0.3">
      <c r="A1849" s="120"/>
      <c r="B1849" s="577" t="s">
        <v>15</v>
      </c>
      <c r="C1849" s="578"/>
      <c r="D1849" s="579"/>
      <c r="E1849" s="121">
        <f>SUM(E1811:E1848)</f>
        <v>402500</v>
      </c>
    </row>
    <row r="1850" spans="1:5" x14ac:dyDescent="0.25">
      <c r="A1850" s="110"/>
      <c r="B1850" s="145"/>
      <c r="C1850" s="145"/>
      <c r="E1850" s="146"/>
    </row>
    <row r="1851" spans="1:5" x14ac:dyDescent="0.25">
      <c r="A1851" s="109"/>
      <c r="B1851" s="109"/>
      <c r="C1851" s="110"/>
      <c r="D1851" s="123" t="s">
        <v>1561</v>
      </c>
      <c r="E1851" s="109"/>
    </row>
    <row r="1852" spans="1:5" x14ac:dyDescent="0.25">
      <c r="D1852" s="123" t="s">
        <v>100</v>
      </c>
    </row>
    <row r="1856" spans="1:5" x14ac:dyDescent="0.25">
      <c r="A1856" s="108" t="s">
        <v>0</v>
      </c>
      <c r="B1856" s="144"/>
      <c r="C1856" s="144"/>
      <c r="D1856" s="144"/>
      <c r="E1856" s="144"/>
    </row>
    <row r="1857" spans="1:5" x14ac:dyDescent="0.25">
      <c r="A1857" s="108" t="s">
        <v>1</v>
      </c>
      <c r="B1857" s="109"/>
      <c r="C1857" s="110"/>
      <c r="D1857" s="109"/>
      <c r="E1857" s="109"/>
    </row>
    <row r="1858" spans="1:5" x14ac:dyDescent="0.25">
      <c r="A1858" s="108"/>
      <c r="B1858" s="109"/>
      <c r="C1858" s="110"/>
      <c r="D1858" s="109"/>
      <c r="E1858" s="109"/>
    </row>
    <row r="1859" spans="1:5" x14ac:dyDescent="0.25">
      <c r="A1859" s="111" t="s">
        <v>101</v>
      </c>
      <c r="B1859" s="111"/>
      <c r="C1859" s="111"/>
      <c r="D1859" s="111"/>
      <c r="E1859" s="111"/>
    </row>
    <row r="1860" spans="1:5" x14ac:dyDescent="0.25">
      <c r="A1860" s="575" t="s">
        <v>118</v>
      </c>
      <c r="B1860" s="576"/>
      <c r="C1860" s="576"/>
      <c r="D1860" s="576"/>
      <c r="E1860" s="576"/>
    </row>
    <row r="1861" spans="1:5" x14ac:dyDescent="0.25">
      <c r="A1861" s="110"/>
      <c r="B1861" s="110"/>
      <c r="C1861" s="110"/>
      <c r="D1861" s="110"/>
      <c r="E1861" s="110"/>
    </row>
    <row r="1862" spans="1:5" ht="15.75" thickBot="1" x14ac:dyDescent="0.3">
      <c r="A1862" s="109"/>
      <c r="B1862" s="109"/>
      <c r="C1862" s="110"/>
      <c r="D1862" s="109"/>
      <c r="E1862" s="124" t="s">
        <v>1631</v>
      </c>
    </row>
    <row r="1863" spans="1:5" x14ac:dyDescent="0.25">
      <c r="A1863" s="112" t="s">
        <v>21</v>
      </c>
      <c r="B1863" s="113" t="s">
        <v>96</v>
      </c>
      <c r="C1863" s="113" t="s">
        <v>97</v>
      </c>
      <c r="D1863" s="113" t="s">
        <v>91</v>
      </c>
      <c r="E1863" s="114" t="s">
        <v>15</v>
      </c>
    </row>
    <row r="1864" spans="1:5" x14ac:dyDescent="0.25">
      <c r="A1864" s="115">
        <v>1</v>
      </c>
      <c r="B1864" s="166" t="s">
        <v>1637</v>
      </c>
      <c r="C1864" s="167" t="s">
        <v>1643</v>
      </c>
      <c r="D1864" s="118"/>
      <c r="E1864" s="119">
        <v>12500</v>
      </c>
    </row>
    <row r="1865" spans="1:5" x14ac:dyDescent="0.25">
      <c r="A1865" s="115">
        <f>A1864+1</f>
        <v>2</v>
      </c>
      <c r="B1865" s="166" t="s">
        <v>1638</v>
      </c>
      <c r="C1865" s="167" t="s">
        <v>1644</v>
      </c>
      <c r="D1865" s="118"/>
      <c r="E1865" s="119">
        <v>5000</v>
      </c>
    </row>
    <row r="1866" spans="1:5" x14ac:dyDescent="0.25">
      <c r="A1866" s="115">
        <f t="shared" ref="A1866:A1893" si="31">A1865+1</f>
        <v>3</v>
      </c>
      <c r="B1866" s="166" t="s">
        <v>825</v>
      </c>
      <c r="C1866" s="167" t="s">
        <v>1645</v>
      </c>
      <c r="D1866" s="118"/>
      <c r="E1866" s="119">
        <v>12500</v>
      </c>
    </row>
    <row r="1867" spans="1:5" x14ac:dyDescent="0.25">
      <c r="A1867" s="115">
        <f t="shared" si="31"/>
        <v>4</v>
      </c>
      <c r="B1867" s="166" t="s">
        <v>1639</v>
      </c>
      <c r="C1867" s="167" t="s">
        <v>1646</v>
      </c>
      <c r="D1867" s="118"/>
      <c r="E1867" s="119">
        <v>12500</v>
      </c>
    </row>
    <row r="1868" spans="1:5" x14ac:dyDescent="0.25">
      <c r="A1868" s="115">
        <f t="shared" si="31"/>
        <v>5</v>
      </c>
      <c r="B1868" s="166" t="s">
        <v>1640</v>
      </c>
      <c r="C1868" s="167" t="s">
        <v>1647</v>
      </c>
      <c r="D1868" s="118"/>
      <c r="E1868" s="119">
        <v>5000</v>
      </c>
    </row>
    <row r="1869" spans="1:5" x14ac:dyDescent="0.25">
      <c r="A1869" s="115">
        <f t="shared" si="31"/>
        <v>6</v>
      </c>
      <c r="B1869" s="166" t="s">
        <v>1641</v>
      </c>
      <c r="C1869" s="167" t="s">
        <v>1648</v>
      </c>
      <c r="D1869" s="118"/>
      <c r="E1869" s="119">
        <v>5000</v>
      </c>
    </row>
    <row r="1870" spans="1:5" x14ac:dyDescent="0.25">
      <c r="A1870" s="115">
        <f t="shared" si="31"/>
        <v>7</v>
      </c>
      <c r="B1870" s="166" t="s">
        <v>1642</v>
      </c>
      <c r="C1870" s="167" t="s">
        <v>1649</v>
      </c>
      <c r="D1870" s="118"/>
      <c r="E1870" s="119">
        <v>12500</v>
      </c>
    </row>
    <row r="1871" spans="1:5" x14ac:dyDescent="0.25">
      <c r="A1871" s="115">
        <f t="shared" si="31"/>
        <v>8</v>
      </c>
      <c r="B1871" s="166" t="s">
        <v>1655</v>
      </c>
      <c r="C1871" s="167" t="s">
        <v>1650</v>
      </c>
      <c r="D1871" s="118"/>
      <c r="E1871" s="119">
        <v>5000</v>
      </c>
    </row>
    <row r="1872" spans="1:5" x14ac:dyDescent="0.25">
      <c r="A1872" s="115">
        <f t="shared" si="31"/>
        <v>9</v>
      </c>
      <c r="B1872" s="166" t="s">
        <v>1656</v>
      </c>
      <c r="C1872" s="167" t="s">
        <v>1651</v>
      </c>
      <c r="D1872" s="118"/>
      <c r="E1872" s="119">
        <v>5000</v>
      </c>
    </row>
    <row r="1873" spans="1:5" x14ac:dyDescent="0.25">
      <c r="A1873" s="115">
        <f t="shared" si="31"/>
        <v>10</v>
      </c>
      <c r="B1873" s="166" t="s">
        <v>1657</v>
      </c>
      <c r="C1873" s="167" t="s">
        <v>1652</v>
      </c>
      <c r="D1873" s="118"/>
      <c r="E1873" s="119">
        <v>20000</v>
      </c>
    </row>
    <row r="1874" spans="1:5" x14ac:dyDescent="0.25">
      <c r="A1874" s="115">
        <f t="shared" si="31"/>
        <v>11</v>
      </c>
      <c r="B1874" s="166" t="s">
        <v>1658</v>
      </c>
      <c r="C1874" s="167" t="s">
        <v>1653</v>
      </c>
      <c r="D1874" s="118"/>
      <c r="E1874" s="119">
        <v>5000</v>
      </c>
    </row>
    <row r="1875" spans="1:5" x14ac:dyDescent="0.25">
      <c r="A1875" s="115">
        <f t="shared" si="31"/>
        <v>12</v>
      </c>
      <c r="B1875" s="166" t="s">
        <v>1659</v>
      </c>
      <c r="C1875" s="167" t="s">
        <v>1654</v>
      </c>
      <c r="D1875" s="118"/>
      <c r="E1875" s="119">
        <v>5000</v>
      </c>
    </row>
    <row r="1876" spans="1:5" x14ac:dyDescent="0.25">
      <c r="A1876" s="115">
        <f t="shared" si="31"/>
        <v>13</v>
      </c>
      <c r="B1876" s="166" t="s">
        <v>1660</v>
      </c>
      <c r="C1876" s="167" t="s">
        <v>1667</v>
      </c>
      <c r="D1876" s="118"/>
      <c r="E1876" s="119">
        <v>5000</v>
      </c>
    </row>
    <row r="1877" spans="1:5" x14ac:dyDescent="0.25">
      <c r="A1877" s="115">
        <f t="shared" si="31"/>
        <v>14</v>
      </c>
      <c r="B1877" s="166" t="s">
        <v>1661</v>
      </c>
      <c r="C1877" s="167" t="s">
        <v>1668</v>
      </c>
      <c r="D1877" s="118"/>
      <c r="E1877" s="119">
        <v>12500</v>
      </c>
    </row>
    <row r="1878" spans="1:5" x14ac:dyDescent="0.25">
      <c r="A1878" s="115">
        <f t="shared" si="31"/>
        <v>15</v>
      </c>
      <c r="B1878" s="166" t="s">
        <v>1662</v>
      </c>
      <c r="C1878" s="167" t="s">
        <v>1669</v>
      </c>
      <c r="D1878" s="118"/>
      <c r="E1878" s="119">
        <v>22500</v>
      </c>
    </row>
    <row r="1879" spans="1:5" x14ac:dyDescent="0.25">
      <c r="A1879" s="115">
        <f t="shared" si="31"/>
        <v>16</v>
      </c>
      <c r="B1879" s="166" t="s">
        <v>1675</v>
      </c>
      <c r="C1879" s="167" t="s">
        <v>1670</v>
      </c>
      <c r="D1879" s="118"/>
      <c r="E1879" s="119">
        <v>5000</v>
      </c>
    </row>
    <row r="1880" spans="1:5" x14ac:dyDescent="0.25">
      <c r="A1880" s="115">
        <f t="shared" si="31"/>
        <v>17</v>
      </c>
      <c r="B1880" s="166" t="s">
        <v>1663</v>
      </c>
      <c r="C1880" s="167" t="s">
        <v>1671</v>
      </c>
      <c r="D1880" s="118"/>
      <c r="E1880" s="119">
        <v>5000</v>
      </c>
    </row>
    <row r="1881" spans="1:5" x14ac:dyDescent="0.25">
      <c r="A1881" s="115">
        <f t="shared" si="31"/>
        <v>18</v>
      </c>
      <c r="B1881" s="166" t="s">
        <v>1664</v>
      </c>
      <c r="C1881" s="167" t="s">
        <v>1672</v>
      </c>
      <c r="D1881" s="118"/>
      <c r="E1881" s="119">
        <v>12500</v>
      </c>
    </row>
    <row r="1882" spans="1:5" x14ac:dyDescent="0.25">
      <c r="A1882" s="115">
        <f t="shared" si="31"/>
        <v>19</v>
      </c>
      <c r="B1882" s="166" t="s">
        <v>1665</v>
      </c>
      <c r="C1882" s="167" t="s">
        <v>1673</v>
      </c>
      <c r="D1882" s="118"/>
      <c r="E1882" s="119">
        <v>5000</v>
      </c>
    </row>
    <row r="1883" spans="1:5" x14ac:dyDescent="0.25">
      <c r="A1883" s="115">
        <f t="shared" si="31"/>
        <v>20</v>
      </c>
      <c r="B1883" s="166" t="s">
        <v>1666</v>
      </c>
      <c r="C1883" s="167" t="s">
        <v>1674</v>
      </c>
      <c r="D1883" s="118"/>
      <c r="E1883" s="119">
        <v>22500</v>
      </c>
    </row>
    <row r="1884" spans="1:5" x14ac:dyDescent="0.25">
      <c r="A1884" s="115">
        <f t="shared" si="31"/>
        <v>21</v>
      </c>
      <c r="B1884" s="166" t="s">
        <v>1680</v>
      </c>
      <c r="C1884" s="167" t="s">
        <v>1676</v>
      </c>
      <c r="D1884" s="118"/>
      <c r="E1884" s="119">
        <v>12500</v>
      </c>
    </row>
    <row r="1885" spans="1:5" x14ac:dyDescent="0.25">
      <c r="A1885" s="115">
        <f t="shared" si="31"/>
        <v>22</v>
      </c>
      <c r="B1885" s="166" t="s">
        <v>1681</v>
      </c>
      <c r="C1885" s="167" t="s">
        <v>1677</v>
      </c>
      <c r="D1885" s="118"/>
      <c r="E1885" s="119">
        <v>52500</v>
      </c>
    </row>
    <row r="1886" spans="1:5" x14ac:dyDescent="0.25">
      <c r="A1886" s="115">
        <f t="shared" si="31"/>
        <v>23</v>
      </c>
      <c r="B1886" s="166" t="s">
        <v>1682</v>
      </c>
      <c r="C1886" s="167" t="s">
        <v>1679</v>
      </c>
      <c r="D1886" s="118"/>
      <c r="E1886" s="119">
        <v>12500</v>
      </c>
    </row>
    <row r="1887" spans="1:5" x14ac:dyDescent="0.25">
      <c r="A1887" s="115">
        <f t="shared" si="31"/>
        <v>24</v>
      </c>
      <c r="B1887" s="166" t="s">
        <v>1288</v>
      </c>
      <c r="C1887" s="167" t="s">
        <v>1678</v>
      </c>
      <c r="D1887" s="118"/>
      <c r="E1887" s="119">
        <v>5000</v>
      </c>
    </row>
    <row r="1888" spans="1:5" x14ac:dyDescent="0.25">
      <c r="A1888" s="115">
        <f t="shared" si="31"/>
        <v>25</v>
      </c>
      <c r="B1888" s="166" t="s">
        <v>1683</v>
      </c>
      <c r="C1888" s="167" t="s">
        <v>1688</v>
      </c>
      <c r="D1888" s="118"/>
      <c r="E1888" s="119">
        <v>5000</v>
      </c>
    </row>
    <row r="1889" spans="1:5" x14ac:dyDescent="0.25">
      <c r="A1889" s="115">
        <f t="shared" si="31"/>
        <v>26</v>
      </c>
      <c r="B1889" s="166" t="s">
        <v>1684</v>
      </c>
      <c r="C1889" s="167" t="s">
        <v>1689</v>
      </c>
      <c r="D1889" s="118"/>
      <c r="E1889" s="119">
        <v>5000</v>
      </c>
    </row>
    <row r="1890" spans="1:5" x14ac:dyDescent="0.25">
      <c r="A1890" s="115">
        <f t="shared" si="31"/>
        <v>27</v>
      </c>
      <c r="B1890" s="166" t="s">
        <v>1685</v>
      </c>
      <c r="C1890" s="167" t="s">
        <v>1690</v>
      </c>
      <c r="D1890" s="118"/>
      <c r="E1890" s="119">
        <v>5000</v>
      </c>
    </row>
    <row r="1891" spans="1:5" x14ac:dyDescent="0.25">
      <c r="A1891" s="115">
        <f t="shared" si="31"/>
        <v>28</v>
      </c>
      <c r="B1891" s="166" t="s">
        <v>1658</v>
      </c>
      <c r="C1891" s="167" t="s">
        <v>1691</v>
      </c>
      <c r="D1891" s="118"/>
      <c r="E1891" s="119">
        <v>5000</v>
      </c>
    </row>
    <row r="1892" spans="1:5" x14ac:dyDescent="0.25">
      <c r="A1892" s="115">
        <f t="shared" si="31"/>
        <v>29</v>
      </c>
      <c r="B1892" s="166" t="s">
        <v>1686</v>
      </c>
      <c r="C1892" s="167" t="s">
        <v>1692</v>
      </c>
      <c r="D1892" s="118"/>
      <c r="E1892" s="119">
        <v>12500</v>
      </c>
    </row>
    <row r="1893" spans="1:5" x14ac:dyDescent="0.25">
      <c r="A1893" s="115">
        <f t="shared" si="31"/>
        <v>30</v>
      </c>
      <c r="B1893" s="166" t="s">
        <v>1687</v>
      </c>
      <c r="C1893" s="167" t="s">
        <v>1693</v>
      </c>
      <c r="D1893" s="118"/>
      <c r="E1893" s="119">
        <v>12500</v>
      </c>
    </row>
    <row r="1894" spans="1:5" x14ac:dyDescent="0.25">
      <c r="A1894" s="115"/>
      <c r="B1894" s="166"/>
      <c r="C1894" s="167"/>
      <c r="D1894" s="118"/>
      <c r="E1894" s="119"/>
    </row>
    <row r="1895" spans="1:5" ht="15.75" thickBot="1" x14ac:dyDescent="0.3">
      <c r="A1895" s="120"/>
      <c r="B1895" s="577" t="s">
        <v>15</v>
      </c>
      <c r="C1895" s="578"/>
      <c r="D1895" s="579"/>
      <c r="E1895" s="121">
        <f>SUM(E1864:E1894)</f>
        <v>322500</v>
      </c>
    </row>
    <row r="1896" spans="1:5" x14ac:dyDescent="0.25">
      <c r="A1896" s="110"/>
      <c r="B1896" s="145"/>
      <c r="C1896" s="145"/>
      <c r="E1896" s="146"/>
    </row>
    <row r="1897" spans="1:5" x14ac:dyDescent="0.25">
      <c r="A1897" s="109"/>
      <c r="B1897" s="109"/>
      <c r="C1897" s="110"/>
      <c r="D1897" s="123" t="s">
        <v>1632</v>
      </c>
      <c r="E1897" s="109"/>
    </row>
    <row r="1898" spans="1:5" x14ac:dyDescent="0.25">
      <c r="D1898" s="123" t="s">
        <v>100</v>
      </c>
    </row>
    <row r="1909" spans="1:5" x14ac:dyDescent="0.25">
      <c r="A1909" s="108" t="s">
        <v>0</v>
      </c>
      <c r="B1909" s="144"/>
      <c r="C1909" s="144"/>
      <c r="D1909" s="144"/>
      <c r="E1909" s="144"/>
    </row>
    <row r="1910" spans="1:5" x14ac:dyDescent="0.25">
      <c r="A1910" s="108" t="s">
        <v>1</v>
      </c>
      <c r="B1910" s="109"/>
      <c r="C1910" s="110"/>
      <c r="D1910" s="109"/>
      <c r="E1910" s="109"/>
    </row>
    <row r="1911" spans="1:5" x14ac:dyDescent="0.25">
      <c r="A1911" s="108"/>
      <c r="B1911" s="109"/>
      <c r="C1911" s="110"/>
      <c r="D1911" s="109"/>
      <c r="E1911" s="109"/>
    </row>
    <row r="1912" spans="1:5" x14ac:dyDescent="0.25">
      <c r="A1912" s="111" t="s">
        <v>101</v>
      </c>
      <c r="B1912" s="111"/>
      <c r="C1912" s="111"/>
      <c r="D1912" s="111"/>
      <c r="E1912" s="111"/>
    </row>
    <row r="1913" spans="1:5" x14ac:dyDescent="0.25">
      <c r="A1913" s="575" t="s">
        <v>118</v>
      </c>
      <c r="B1913" s="576"/>
      <c r="C1913" s="576"/>
      <c r="D1913" s="576"/>
      <c r="E1913" s="576"/>
    </row>
    <row r="1914" spans="1:5" x14ac:dyDescent="0.25">
      <c r="A1914" s="110"/>
      <c r="B1914" s="110"/>
      <c r="C1914" s="110"/>
      <c r="D1914" s="110"/>
      <c r="E1914" s="110"/>
    </row>
    <row r="1915" spans="1:5" ht="15.75" thickBot="1" x14ac:dyDescent="0.3">
      <c r="A1915" s="109"/>
      <c r="B1915" s="109"/>
      <c r="C1915" s="110"/>
      <c r="D1915" s="109"/>
      <c r="E1915" s="124" t="s">
        <v>1633</v>
      </c>
    </row>
    <row r="1916" spans="1:5" x14ac:dyDescent="0.25">
      <c r="A1916" s="112" t="s">
        <v>21</v>
      </c>
      <c r="B1916" s="113" t="s">
        <v>96</v>
      </c>
      <c r="C1916" s="113" t="s">
        <v>97</v>
      </c>
      <c r="D1916" s="113" t="s">
        <v>91</v>
      </c>
      <c r="E1916" s="114" t="s">
        <v>15</v>
      </c>
    </row>
    <row r="1917" spans="1:5" x14ac:dyDescent="0.25">
      <c r="A1917" s="115">
        <v>1</v>
      </c>
      <c r="B1917" s="166" t="s">
        <v>1694</v>
      </c>
      <c r="C1917" s="167" t="s">
        <v>1699</v>
      </c>
      <c r="D1917" s="118"/>
      <c r="E1917" s="119">
        <v>5000</v>
      </c>
    </row>
    <row r="1918" spans="1:5" x14ac:dyDescent="0.25">
      <c r="A1918" s="115">
        <f>A1917+1</f>
        <v>2</v>
      </c>
      <c r="B1918" s="166" t="s">
        <v>1695</v>
      </c>
      <c r="C1918" s="167" t="s">
        <v>1700</v>
      </c>
      <c r="D1918" s="118"/>
      <c r="E1918" s="119">
        <v>62500</v>
      </c>
    </row>
    <row r="1919" spans="1:5" x14ac:dyDescent="0.25">
      <c r="A1919" s="115">
        <f t="shared" ref="A1919:A1949" si="32">A1918+1</f>
        <v>3</v>
      </c>
      <c r="B1919" s="166" t="s">
        <v>1696</v>
      </c>
      <c r="C1919" s="167" t="s">
        <v>1701</v>
      </c>
      <c r="D1919" s="118"/>
      <c r="E1919" s="119">
        <v>12500</v>
      </c>
    </row>
    <row r="1920" spans="1:5" x14ac:dyDescent="0.25">
      <c r="A1920" s="115">
        <f t="shared" si="32"/>
        <v>4</v>
      </c>
      <c r="B1920" s="166" t="s">
        <v>1697</v>
      </c>
      <c r="C1920" s="167" t="s">
        <v>1702</v>
      </c>
      <c r="D1920" s="118"/>
      <c r="E1920" s="119">
        <v>5000</v>
      </c>
    </row>
    <row r="1921" spans="1:5" x14ac:dyDescent="0.25">
      <c r="A1921" s="115">
        <f t="shared" si="32"/>
        <v>5</v>
      </c>
      <c r="B1921" s="166" t="s">
        <v>1698</v>
      </c>
      <c r="C1921" s="167" t="s">
        <v>1703</v>
      </c>
      <c r="D1921" s="118"/>
      <c r="E1921" s="119">
        <v>30000</v>
      </c>
    </row>
    <row r="1922" spans="1:5" x14ac:dyDescent="0.25">
      <c r="A1922" s="115">
        <f t="shared" si="32"/>
        <v>6</v>
      </c>
      <c r="B1922" s="166" t="s">
        <v>1713</v>
      </c>
      <c r="C1922" s="167" t="s">
        <v>1704</v>
      </c>
      <c r="D1922" s="118"/>
      <c r="E1922" s="119">
        <v>5000</v>
      </c>
    </row>
    <row r="1923" spans="1:5" x14ac:dyDescent="0.25">
      <c r="A1923" s="115">
        <f t="shared" si="32"/>
        <v>7</v>
      </c>
      <c r="B1923" s="166" t="s">
        <v>982</v>
      </c>
      <c r="C1923" s="167" t="s">
        <v>986</v>
      </c>
      <c r="D1923" s="118"/>
      <c r="E1923" s="119">
        <v>12500</v>
      </c>
    </row>
    <row r="1924" spans="1:5" x14ac:dyDescent="0.25">
      <c r="A1924" s="115">
        <f t="shared" si="32"/>
        <v>8</v>
      </c>
      <c r="B1924" s="166" t="s">
        <v>700</v>
      </c>
      <c r="C1924" s="167" t="s">
        <v>1705</v>
      </c>
      <c r="D1924" s="118"/>
      <c r="E1924" s="119">
        <v>5000</v>
      </c>
    </row>
    <row r="1925" spans="1:5" x14ac:dyDescent="0.25">
      <c r="A1925" s="115">
        <f t="shared" si="32"/>
        <v>9</v>
      </c>
      <c r="B1925" s="166" t="s">
        <v>1714</v>
      </c>
      <c r="C1925" s="167" t="s">
        <v>1706</v>
      </c>
      <c r="D1925" s="118"/>
      <c r="E1925" s="119">
        <v>17500</v>
      </c>
    </row>
    <row r="1926" spans="1:5" x14ac:dyDescent="0.25">
      <c r="A1926" s="115">
        <f t="shared" si="32"/>
        <v>10</v>
      </c>
      <c r="B1926" s="166" t="s">
        <v>1715</v>
      </c>
      <c r="C1926" s="167" t="s">
        <v>1708</v>
      </c>
      <c r="D1926" s="118"/>
      <c r="E1926" s="119">
        <v>10000</v>
      </c>
    </row>
    <row r="1927" spans="1:5" x14ac:dyDescent="0.25">
      <c r="A1927" s="115">
        <f t="shared" si="32"/>
        <v>11</v>
      </c>
      <c r="B1927" s="166" t="s">
        <v>1716</v>
      </c>
      <c r="C1927" s="167" t="s">
        <v>1707</v>
      </c>
      <c r="D1927" s="118"/>
      <c r="E1927" s="119">
        <v>50000</v>
      </c>
    </row>
    <row r="1928" spans="1:5" x14ac:dyDescent="0.25">
      <c r="A1928" s="115">
        <f t="shared" si="32"/>
        <v>12</v>
      </c>
      <c r="B1928" s="166" t="s">
        <v>1717</v>
      </c>
      <c r="C1928" s="167" t="s">
        <v>1709</v>
      </c>
      <c r="D1928" s="118"/>
      <c r="E1928" s="119">
        <v>12500</v>
      </c>
    </row>
    <row r="1929" spans="1:5" x14ac:dyDescent="0.25">
      <c r="A1929" s="115">
        <f t="shared" si="32"/>
        <v>13</v>
      </c>
      <c r="B1929" s="166" t="s">
        <v>1718</v>
      </c>
      <c r="C1929" s="167" t="s">
        <v>1710</v>
      </c>
      <c r="D1929" s="118"/>
      <c r="E1929" s="119">
        <v>5000</v>
      </c>
    </row>
    <row r="1930" spans="1:5" x14ac:dyDescent="0.25">
      <c r="A1930" s="115">
        <f t="shared" si="32"/>
        <v>14</v>
      </c>
      <c r="B1930" s="166" t="s">
        <v>1719</v>
      </c>
      <c r="C1930" s="167" t="s">
        <v>1711</v>
      </c>
      <c r="D1930" s="118"/>
      <c r="E1930" s="119">
        <v>5000</v>
      </c>
    </row>
    <row r="1931" spans="1:5" x14ac:dyDescent="0.25">
      <c r="A1931" s="115">
        <f t="shared" si="32"/>
        <v>15</v>
      </c>
      <c r="B1931" s="166" t="s">
        <v>1720</v>
      </c>
      <c r="C1931" s="167" t="s">
        <v>1712</v>
      </c>
      <c r="D1931" s="118"/>
      <c r="E1931" s="119">
        <v>5000</v>
      </c>
    </row>
    <row r="1932" spans="1:5" x14ac:dyDescent="0.25">
      <c r="A1932" s="115">
        <f t="shared" si="32"/>
        <v>16</v>
      </c>
      <c r="B1932" s="166" t="s">
        <v>1721</v>
      </c>
      <c r="C1932" s="167" t="s">
        <v>1725</v>
      </c>
      <c r="D1932" s="118"/>
      <c r="E1932" s="119">
        <v>22500</v>
      </c>
    </row>
    <row r="1933" spans="1:5" x14ac:dyDescent="0.25">
      <c r="A1933" s="115">
        <f t="shared" si="32"/>
        <v>17</v>
      </c>
      <c r="B1933" s="166" t="s">
        <v>1722</v>
      </c>
      <c r="C1933" s="167" t="s">
        <v>1726</v>
      </c>
      <c r="D1933" s="118"/>
      <c r="E1933" s="119">
        <v>5000</v>
      </c>
    </row>
    <row r="1934" spans="1:5" x14ac:dyDescent="0.25">
      <c r="A1934" s="115">
        <f t="shared" si="32"/>
        <v>18</v>
      </c>
      <c r="B1934" s="166" t="s">
        <v>1713</v>
      </c>
      <c r="C1934" s="167" t="s">
        <v>1727</v>
      </c>
      <c r="D1934" s="118"/>
      <c r="E1934" s="119">
        <v>5000</v>
      </c>
    </row>
    <row r="1935" spans="1:5" x14ac:dyDescent="0.25">
      <c r="A1935" s="115">
        <f t="shared" si="32"/>
        <v>19</v>
      </c>
      <c r="B1935" s="166" t="s">
        <v>1723</v>
      </c>
      <c r="C1935" s="167" t="s">
        <v>1728</v>
      </c>
      <c r="D1935" s="118"/>
      <c r="E1935" s="119">
        <v>5000</v>
      </c>
    </row>
    <row r="1936" spans="1:5" x14ac:dyDescent="0.25">
      <c r="A1936" s="115">
        <f t="shared" si="32"/>
        <v>20</v>
      </c>
      <c r="B1936" s="166" t="s">
        <v>1724</v>
      </c>
      <c r="C1936" s="167" t="s">
        <v>1729</v>
      </c>
      <c r="D1936" s="118"/>
      <c r="E1936" s="119">
        <v>22500</v>
      </c>
    </row>
    <row r="1937" spans="1:5" x14ac:dyDescent="0.25">
      <c r="A1937" s="115">
        <f t="shared" si="32"/>
        <v>21</v>
      </c>
      <c r="B1937" s="166" t="s">
        <v>761</v>
      </c>
      <c r="C1937" s="167" t="s">
        <v>1730</v>
      </c>
      <c r="D1937" s="118"/>
      <c r="E1937" s="119">
        <v>12500</v>
      </c>
    </row>
    <row r="1938" spans="1:5" x14ac:dyDescent="0.25">
      <c r="A1938" s="115">
        <f t="shared" si="32"/>
        <v>22</v>
      </c>
      <c r="B1938" s="166" t="s">
        <v>1741</v>
      </c>
      <c r="C1938" s="167" t="s">
        <v>1731</v>
      </c>
      <c r="D1938" s="118"/>
      <c r="E1938" s="119">
        <v>12500</v>
      </c>
    </row>
    <row r="1939" spans="1:5" x14ac:dyDescent="0.25">
      <c r="A1939" s="115">
        <f t="shared" si="32"/>
        <v>23</v>
      </c>
      <c r="B1939" s="166" t="s">
        <v>1718</v>
      </c>
      <c r="C1939" s="167" t="s">
        <v>1732</v>
      </c>
      <c r="D1939" s="118"/>
      <c r="E1939" s="119">
        <v>5000</v>
      </c>
    </row>
    <row r="1940" spans="1:5" x14ac:dyDescent="0.25">
      <c r="A1940" s="115">
        <f t="shared" si="32"/>
        <v>24</v>
      </c>
      <c r="B1940" s="166" t="s">
        <v>1742</v>
      </c>
      <c r="C1940" s="167" t="s">
        <v>1733</v>
      </c>
      <c r="D1940" s="118"/>
      <c r="E1940" s="119">
        <v>12500</v>
      </c>
    </row>
    <row r="1941" spans="1:5" x14ac:dyDescent="0.25">
      <c r="A1941" s="115">
        <f t="shared" si="32"/>
        <v>25</v>
      </c>
      <c r="B1941" s="166" t="s">
        <v>1743</v>
      </c>
      <c r="C1941" s="167" t="s">
        <v>1734</v>
      </c>
      <c r="D1941" s="118"/>
      <c r="E1941" s="119">
        <v>5000</v>
      </c>
    </row>
    <row r="1942" spans="1:5" x14ac:dyDescent="0.25">
      <c r="A1942" s="115">
        <f t="shared" si="32"/>
        <v>26</v>
      </c>
      <c r="B1942" s="166" t="s">
        <v>1744</v>
      </c>
      <c r="C1942" s="167" t="s">
        <v>1735</v>
      </c>
      <c r="D1942" s="118"/>
      <c r="E1942" s="119">
        <v>5000</v>
      </c>
    </row>
    <row r="1943" spans="1:5" x14ac:dyDescent="0.25">
      <c r="A1943" s="115">
        <f t="shared" si="32"/>
        <v>27</v>
      </c>
      <c r="B1943" s="166" t="s">
        <v>1745</v>
      </c>
      <c r="C1943" s="167" t="s">
        <v>1736</v>
      </c>
      <c r="D1943" s="118"/>
      <c r="E1943" s="119">
        <v>5000</v>
      </c>
    </row>
    <row r="1944" spans="1:5" x14ac:dyDescent="0.25">
      <c r="A1944" s="115">
        <f t="shared" si="32"/>
        <v>28</v>
      </c>
      <c r="B1944" s="166" t="s">
        <v>1746</v>
      </c>
      <c r="C1944" s="167" t="s">
        <v>1737</v>
      </c>
      <c r="D1944" s="118"/>
      <c r="E1944" s="119">
        <v>5000</v>
      </c>
    </row>
    <row r="1945" spans="1:5" x14ac:dyDescent="0.25">
      <c r="A1945" s="115">
        <f t="shared" si="32"/>
        <v>29</v>
      </c>
      <c r="B1945" s="166" t="s">
        <v>1747</v>
      </c>
      <c r="C1945" s="167" t="s">
        <v>1738</v>
      </c>
      <c r="D1945" s="118"/>
      <c r="E1945" s="119">
        <v>22500</v>
      </c>
    </row>
    <row r="1946" spans="1:5" x14ac:dyDescent="0.25">
      <c r="A1946" s="115">
        <f t="shared" si="32"/>
        <v>30</v>
      </c>
      <c r="B1946" s="166" t="s">
        <v>1748</v>
      </c>
      <c r="C1946" s="167" t="s">
        <v>1739</v>
      </c>
      <c r="D1946" s="118"/>
      <c r="E1946" s="119">
        <v>12500</v>
      </c>
    </row>
    <row r="1947" spans="1:5" x14ac:dyDescent="0.25">
      <c r="A1947" s="115">
        <f t="shared" si="32"/>
        <v>31</v>
      </c>
      <c r="B1947" s="166" t="s">
        <v>1749</v>
      </c>
      <c r="C1947" s="167" t="s">
        <v>1740</v>
      </c>
      <c r="D1947" s="118"/>
      <c r="E1947" s="119">
        <v>5000</v>
      </c>
    </row>
    <row r="1948" spans="1:5" x14ac:dyDescent="0.25">
      <c r="A1948" s="115">
        <f t="shared" si="32"/>
        <v>32</v>
      </c>
      <c r="B1948" s="166" t="s">
        <v>1750</v>
      </c>
      <c r="C1948" s="167" t="s">
        <v>1752</v>
      </c>
      <c r="D1948" s="118"/>
      <c r="E1948" s="119">
        <v>5000</v>
      </c>
    </row>
    <row r="1949" spans="1:5" x14ac:dyDescent="0.25">
      <c r="A1949" s="115">
        <f t="shared" si="32"/>
        <v>33</v>
      </c>
      <c r="B1949" s="166" t="s">
        <v>1751</v>
      </c>
      <c r="C1949" s="167" t="s">
        <v>1753</v>
      </c>
      <c r="D1949" s="118"/>
      <c r="E1949" s="119">
        <v>5000</v>
      </c>
    </row>
    <row r="1950" spans="1:5" x14ac:dyDescent="0.25">
      <c r="A1950" s="115"/>
      <c r="B1950" s="166"/>
      <c r="C1950" s="167"/>
      <c r="D1950" s="118"/>
      <c r="E1950" s="119"/>
    </row>
    <row r="1951" spans="1:5" ht="15.75" thickBot="1" x14ac:dyDescent="0.3">
      <c r="A1951" s="120"/>
      <c r="B1951" s="577" t="s">
        <v>15</v>
      </c>
      <c r="C1951" s="578"/>
      <c r="D1951" s="579"/>
      <c r="E1951" s="121">
        <f>SUM(E1917:E1950)</f>
        <v>415000</v>
      </c>
    </row>
    <row r="1952" spans="1:5" x14ac:dyDescent="0.25">
      <c r="A1952" s="110"/>
      <c r="B1952" s="145"/>
      <c r="C1952" s="145"/>
      <c r="E1952" s="146"/>
    </row>
    <row r="1953" spans="1:5" x14ac:dyDescent="0.25">
      <c r="A1953" s="109"/>
      <c r="B1953" s="109"/>
      <c r="C1953" s="110"/>
      <c r="D1953" s="123" t="s">
        <v>1634</v>
      </c>
      <c r="E1953" s="109"/>
    </row>
    <row r="1954" spans="1:5" x14ac:dyDescent="0.25">
      <c r="D1954" s="123" t="s">
        <v>100</v>
      </c>
    </row>
    <row r="1962" spans="1:5" x14ac:dyDescent="0.25">
      <c r="A1962" s="108" t="s">
        <v>0</v>
      </c>
      <c r="B1962" s="144"/>
      <c r="C1962" s="144"/>
      <c r="D1962" s="144"/>
      <c r="E1962" s="144"/>
    </row>
    <row r="1963" spans="1:5" x14ac:dyDescent="0.25">
      <c r="A1963" s="108" t="s">
        <v>1</v>
      </c>
      <c r="B1963" s="109"/>
      <c r="C1963" s="110"/>
      <c r="D1963" s="109"/>
      <c r="E1963" s="109"/>
    </row>
    <row r="1964" spans="1:5" x14ac:dyDescent="0.25">
      <c r="A1964" s="108"/>
      <c r="B1964" s="109"/>
      <c r="C1964" s="110"/>
      <c r="D1964" s="109"/>
      <c r="E1964" s="109"/>
    </row>
    <row r="1965" spans="1:5" x14ac:dyDescent="0.25">
      <c r="A1965" s="111" t="s">
        <v>101</v>
      </c>
      <c r="B1965" s="111"/>
      <c r="C1965" s="111"/>
      <c r="D1965" s="111"/>
      <c r="E1965" s="111"/>
    </row>
    <row r="1966" spans="1:5" x14ac:dyDescent="0.25">
      <c r="A1966" s="575" t="s">
        <v>118</v>
      </c>
      <c r="B1966" s="576"/>
      <c r="C1966" s="576"/>
      <c r="D1966" s="576"/>
      <c r="E1966" s="576"/>
    </row>
    <row r="1967" spans="1:5" x14ac:dyDescent="0.25">
      <c r="A1967" s="110"/>
      <c r="B1967" s="110"/>
      <c r="C1967" s="110"/>
      <c r="D1967" s="110"/>
      <c r="E1967" s="110"/>
    </row>
    <row r="1968" spans="1:5" ht="15.75" thickBot="1" x14ac:dyDescent="0.3">
      <c r="A1968" s="109"/>
      <c r="B1968" s="109"/>
      <c r="C1968" s="110"/>
      <c r="D1968" s="109"/>
      <c r="E1968" s="124" t="s">
        <v>1635</v>
      </c>
    </row>
    <row r="1969" spans="1:5" x14ac:dyDescent="0.25">
      <c r="A1969" s="112" t="s">
        <v>21</v>
      </c>
      <c r="B1969" s="113" t="s">
        <v>96</v>
      </c>
      <c r="C1969" s="113" t="s">
        <v>97</v>
      </c>
      <c r="D1969" s="113" t="s">
        <v>91</v>
      </c>
      <c r="E1969" s="114" t="s">
        <v>15</v>
      </c>
    </row>
    <row r="1970" spans="1:5" x14ac:dyDescent="0.25">
      <c r="A1970" s="115">
        <v>1</v>
      </c>
      <c r="B1970" s="166" t="s">
        <v>1754</v>
      </c>
      <c r="C1970" s="167" t="s">
        <v>1756</v>
      </c>
      <c r="D1970" s="118"/>
      <c r="E1970" s="119">
        <v>12500</v>
      </c>
    </row>
    <row r="1971" spans="1:5" x14ac:dyDescent="0.25">
      <c r="A1971" s="115">
        <f>A1970+1</f>
        <v>2</v>
      </c>
      <c r="B1971" s="166" t="s">
        <v>1755</v>
      </c>
      <c r="C1971" s="167" t="s">
        <v>1757</v>
      </c>
      <c r="D1971" s="118"/>
      <c r="E1971" s="119">
        <v>22500</v>
      </c>
    </row>
    <row r="1972" spans="1:5" x14ac:dyDescent="0.25">
      <c r="A1972" s="115">
        <f t="shared" ref="A1972:A1983" si="33">A1971+1</f>
        <v>3</v>
      </c>
      <c r="B1972" s="166" t="s">
        <v>1764</v>
      </c>
      <c r="C1972" s="167" t="s">
        <v>1758</v>
      </c>
      <c r="D1972" s="118"/>
      <c r="E1972" s="119">
        <v>32500</v>
      </c>
    </row>
    <row r="1973" spans="1:5" x14ac:dyDescent="0.25">
      <c r="A1973" s="115">
        <f t="shared" si="33"/>
        <v>4</v>
      </c>
      <c r="B1973" s="166" t="s">
        <v>1765</v>
      </c>
      <c r="C1973" s="167" t="s">
        <v>1759</v>
      </c>
      <c r="D1973" s="118"/>
      <c r="E1973" s="119">
        <v>5000</v>
      </c>
    </row>
    <row r="1974" spans="1:5" x14ac:dyDescent="0.25">
      <c r="A1974" s="115">
        <f t="shared" si="33"/>
        <v>5</v>
      </c>
      <c r="B1974" s="166" t="s">
        <v>1766</v>
      </c>
      <c r="C1974" s="167" t="s">
        <v>1760</v>
      </c>
      <c r="D1974" s="118"/>
      <c r="E1974" s="119">
        <v>12500</v>
      </c>
    </row>
    <row r="1975" spans="1:5" x14ac:dyDescent="0.25">
      <c r="A1975" s="115">
        <f t="shared" si="33"/>
        <v>6</v>
      </c>
      <c r="B1975" s="166" t="s">
        <v>1767</v>
      </c>
      <c r="C1975" s="167" t="s">
        <v>1761</v>
      </c>
      <c r="D1975" s="118"/>
      <c r="E1975" s="119">
        <v>5000</v>
      </c>
    </row>
    <row r="1976" spans="1:5" x14ac:dyDescent="0.25">
      <c r="A1976" s="115">
        <f t="shared" si="33"/>
        <v>7</v>
      </c>
      <c r="B1976" s="166" t="s">
        <v>1768</v>
      </c>
      <c r="C1976" s="167" t="s">
        <v>1762</v>
      </c>
      <c r="D1976" s="118"/>
      <c r="E1976" s="119">
        <v>5000</v>
      </c>
    </row>
    <row r="1977" spans="1:5" x14ac:dyDescent="0.25">
      <c r="A1977" s="115">
        <f t="shared" si="33"/>
        <v>8</v>
      </c>
      <c r="B1977" s="166" t="s">
        <v>1769</v>
      </c>
      <c r="C1977" s="167" t="s">
        <v>1763</v>
      </c>
      <c r="D1977" s="118"/>
      <c r="E1977" s="119">
        <v>5000</v>
      </c>
    </row>
    <row r="1978" spans="1:5" x14ac:dyDescent="0.25">
      <c r="A1978" s="115">
        <f t="shared" si="33"/>
        <v>9</v>
      </c>
      <c r="B1978" s="166" t="s">
        <v>1770</v>
      </c>
      <c r="C1978" s="167" t="s">
        <v>1775</v>
      </c>
      <c r="D1978" s="118"/>
      <c r="E1978" s="119">
        <v>5000</v>
      </c>
    </row>
    <row r="1979" spans="1:5" x14ac:dyDescent="0.25">
      <c r="A1979" s="115">
        <f t="shared" si="33"/>
        <v>10</v>
      </c>
      <c r="B1979" s="166" t="s">
        <v>1771</v>
      </c>
      <c r="C1979" s="167" t="s">
        <v>1776</v>
      </c>
      <c r="D1979" s="118"/>
      <c r="E1979" s="119">
        <v>5000</v>
      </c>
    </row>
    <row r="1980" spans="1:5" x14ac:dyDescent="0.25">
      <c r="A1980" s="115">
        <f t="shared" si="33"/>
        <v>11</v>
      </c>
      <c r="B1980" s="166" t="s">
        <v>1772</v>
      </c>
      <c r="C1980" s="167" t="s">
        <v>1777</v>
      </c>
      <c r="D1980" s="118"/>
      <c r="E1980" s="119">
        <v>5000</v>
      </c>
    </row>
    <row r="1981" spans="1:5" x14ac:dyDescent="0.25">
      <c r="A1981" s="115">
        <f t="shared" si="33"/>
        <v>12</v>
      </c>
      <c r="B1981" s="166" t="s">
        <v>1773</v>
      </c>
      <c r="C1981" s="167" t="s">
        <v>1778</v>
      </c>
      <c r="D1981" s="118"/>
      <c r="E1981" s="119">
        <v>32500</v>
      </c>
    </row>
    <row r="1982" spans="1:5" x14ac:dyDescent="0.25">
      <c r="A1982" s="115">
        <f t="shared" si="33"/>
        <v>13</v>
      </c>
      <c r="B1982" s="166" t="s">
        <v>612</v>
      </c>
      <c r="C1982" s="167" t="s">
        <v>1779</v>
      </c>
      <c r="D1982" s="118"/>
      <c r="E1982" s="119">
        <v>5000</v>
      </c>
    </row>
    <row r="1983" spans="1:5" x14ac:dyDescent="0.25">
      <c r="A1983" s="115">
        <f t="shared" si="33"/>
        <v>14</v>
      </c>
      <c r="B1983" s="166" t="s">
        <v>1774</v>
      </c>
      <c r="C1983" s="167" t="s">
        <v>1780</v>
      </c>
      <c r="D1983" s="118"/>
      <c r="E1983" s="119">
        <v>22500</v>
      </c>
    </row>
    <row r="1984" spans="1:5" x14ac:dyDescent="0.25">
      <c r="A1984" s="115"/>
      <c r="B1984" s="166"/>
      <c r="C1984" s="167"/>
      <c r="D1984" s="118"/>
      <c r="E1984" s="119"/>
    </row>
    <row r="1985" spans="1:5" ht="15.75" thickBot="1" x14ac:dyDescent="0.3">
      <c r="A1985" s="120"/>
      <c r="B1985" s="577" t="s">
        <v>15</v>
      </c>
      <c r="C1985" s="578"/>
      <c r="D1985" s="579"/>
      <c r="E1985" s="121">
        <f>SUM(E1970:E1984)</f>
        <v>175000</v>
      </c>
    </row>
    <row r="1986" spans="1:5" x14ac:dyDescent="0.25">
      <c r="A1986" s="110"/>
      <c r="B1986" s="145"/>
      <c r="C1986" s="145"/>
      <c r="E1986" s="146"/>
    </row>
    <row r="1987" spans="1:5" x14ac:dyDescent="0.25">
      <c r="A1987" s="109"/>
      <c r="B1987" s="109"/>
      <c r="C1987" s="110"/>
      <c r="D1987" s="123" t="s">
        <v>1636</v>
      </c>
      <c r="E1987" s="109"/>
    </row>
    <row r="1988" spans="1:5" x14ac:dyDescent="0.25">
      <c r="D1988" s="123" t="s">
        <v>100</v>
      </c>
    </row>
    <row r="2015" spans="1:5" x14ac:dyDescent="0.25">
      <c r="A2015" s="108" t="s">
        <v>0</v>
      </c>
      <c r="B2015" s="144"/>
      <c r="C2015" s="144"/>
      <c r="D2015" s="144"/>
      <c r="E2015" s="144"/>
    </row>
    <row r="2016" spans="1:5" x14ac:dyDescent="0.25">
      <c r="A2016" s="108" t="s">
        <v>1</v>
      </c>
      <c r="B2016" s="109"/>
      <c r="C2016" s="110"/>
      <c r="D2016" s="109"/>
      <c r="E2016" s="109"/>
    </row>
    <row r="2017" spans="1:5" x14ac:dyDescent="0.25">
      <c r="A2017" s="108"/>
      <c r="B2017" s="109"/>
      <c r="C2017" s="110"/>
      <c r="D2017" s="109"/>
      <c r="E2017" s="109"/>
    </row>
    <row r="2018" spans="1:5" x14ac:dyDescent="0.25">
      <c r="A2018" s="111" t="s">
        <v>101</v>
      </c>
      <c r="B2018" s="111"/>
      <c r="C2018" s="111"/>
      <c r="D2018" s="111"/>
      <c r="E2018" s="111"/>
    </row>
    <row r="2019" spans="1:5" x14ac:dyDescent="0.25">
      <c r="A2019" s="575" t="s">
        <v>118</v>
      </c>
      <c r="B2019" s="576"/>
      <c r="C2019" s="576"/>
      <c r="D2019" s="576"/>
      <c r="E2019" s="576"/>
    </row>
    <row r="2020" spans="1:5" x14ac:dyDescent="0.25">
      <c r="A2020" s="110"/>
      <c r="B2020" s="110"/>
      <c r="C2020" s="110"/>
      <c r="D2020" s="110"/>
      <c r="E2020" s="110"/>
    </row>
    <row r="2021" spans="1:5" ht="15.75" thickBot="1" x14ac:dyDescent="0.3">
      <c r="A2021" s="109"/>
      <c r="B2021" s="109"/>
      <c r="C2021" s="110"/>
      <c r="D2021" s="109"/>
      <c r="E2021" s="124" t="s">
        <v>1781</v>
      </c>
    </row>
    <row r="2022" spans="1:5" x14ac:dyDescent="0.25">
      <c r="A2022" s="112" t="s">
        <v>21</v>
      </c>
      <c r="B2022" s="113" t="s">
        <v>96</v>
      </c>
      <c r="C2022" s="113" t="s">
        <v>97</v>
      </c>
      <c r="D2022" s="113" t="s">
        <v>91</v>
      </c>
      <c r="E2022" s="114" t="s">
        <v>15</v>
      </c>
    </row>
    <row r="2023" spans="1:5" x14ac:dyDescent="0.25">
      <c r="A2023" s="115">
        <v>1</v>
      </c>
      <c r="B2023" s="166" t="s">
        <v>1783</v>
      </c>
      <c r="C2023" s="167" t="s">
        <v>1787</v>
      </c>
      <c r="D2023" s="118"/>
      <c r="E2023" s="119">
        <v>5000</v>
      </c>
    </row>
    <row r="2024" spans="1:5" x14ac:dyDescent="0.25">
      <c r="A2024" s="115">
        <f>A2023+1</f>
        <v>2</v>
      </c>
      <c r="B2024" s="166" t="s">
        <v>942</v>
      </c>
      <c r="C2024" s="167" t="s">
        <v>937</v>
      </c>
      <c r="D2024" s="118"/>
      <c r="E2024" s="119">
        <v>5000</v>
      </c>
    </row>
    <row r="2025" spans="1:5" x14ac:dyDescent="0.25">
      <c r="A2025" s="115">
        <f t="shared" ref="A2025:A2037" si="34">A2024+1</f>
        <v>3</v>
      </c>
      <c r="B2025" s="166" t="s">
        <v>1784</v>
      </c>
      <c r="C2025" s="167" t="s">
        <v>1788</v>
      </c>
      <c r="D2025" s="118"/>
      <c r="E2025" s="119">
        <v>5000</v>
      </c>
    </row>
    <row r="2026" spans="1:5" x14ac:dyDescent="0.25">
      <c r="A2026" s="115">
        <f t="shared" si="34"/>
        <v>4</v>
      </c>
      <c r="B2026" s="166" t="s">
        <v>1785</v>
      </c>
      <c r="C2026" s="167" t="s">
        <v>1789</v>
      </c>
      <c r="D2026" s="118"/>
      <c r="E2026" s="119">
        <v>5000</v>
      </c>
    </row>
    <row r="2027" spans="1:5" x14ac:dyDescent="0.25">
      <c r="A2027" s="115">
        <f t="shared" si="34"/>
        <v>5</v>
      </c>
      <c r="B2027" s="166" t="s">
        <v>1786</v>
      </c>
      <c r="C2027" s="167" t="s">
        <v>1790</v>
      </c>
      <c r="D2027" s="118"/>
      <c r="E2027" s="119">
        <v>32500</v>
      </c>
    </row>
    <row r="2028" spans="1:5" x14ac:dyDescent="0.25">
      <c r="A2028" s="115">
        <f t="shared" si="34"/>
        <v>6</v>
      </c>
      <c r="B2028" s="166" t="s">
        <v>1022</v>
      </c>
      <c r="C2028" s="167" t="s">
        <v>1028</v>
      </c>
      <c r="D2028" s="118"/>
      <c r="E2028" s="119">
        <v>12500</v>
      </c>
    </row>
    <row r="2029" spans="1:5" x14ac:dyDescent="0.25">
      <c r="A2029" s="115">
        <f t="shared" si="34"/>
        <v>7</v>
      </c>
      <c r="B2029" s="166" t="s">
        <v>1794</v>
      </c>
      <c r="C2029" s="167" t="s">
        <v>1791</v>
      </c>
      <c r="D2029" s="118"/>
      <c r="E2029" s="119">
        <v>22500</v>
      </c>
    </row>
    <row r="2030" spans="1:5" x14ac:dyDescent="0.25">
      <c r="A2030" s="115">
        <f t="shared" si="34"/>
        <v>8</v>
      </c>
      <c r="B2030" s="166" t="s">
        <v>1795</v>
      </c>
      <c r="C2030" s="167" t="s">
        <v>1792</v>
      </c>
      <c r="D2030" s="118"/>
      <c r="E2030" s="119">
        <v>5000</v>
      </c>
    </row>
    <row r="2031" spans="1:5" x14ac:dyDescent="0.25">
      <c r="A2031" s="115">
        <f t="shared" si="34"/>
        <v>9</v>
      </c>
      <c r="B2031" s="166" t="s">
        <v>1796</v>
      </c>
      <c r="C2031" s="167" t="s">
        <v>1793</v>
      </c>
      <c r="D2031" s="118"/>
      <c r="E2031" s="119">
        <v>5000</v>
      </c>
    </row>
    <row r="2032" spans="1:5" x14ac:dyDescent="0.25">
      <c r="A2032" s="115">
        <f t="shared" si="34"/>
        <v>10</v>
      </c>
      <c r="B2032" s="166" t="s">
        <v>1797</v>
      </c>
      <c r="C2032" s="167" t="s">
        <v>1802</v>
      </c>
      <c r="D2032" s="118"/>
      <c r="E2032" s="119">
        <v>42500</v>
      </c>
    </row>
    <row r="2033" spans="1:5" x14ac:dyDescent="0.25">
      <c r="A2033" s="115">
        <f t="shared" si="34"/>
        <v>11</v>
      </c>
      <c r="B2033" s="166" t="s">
        <v>1798</v>
      </c>
      <c r="C2033" s="167" t="s">
        <v>1803</v>
      </c>
      <c r="D2033" s="118"/>
      <c r="E2033" s="119">
        <v>10000</v>
      </c>
    </row>
    <row r="2034" spans="1:5" x14ac:dyDescent="0.25">
      <c r="A2034" s="115">
        <f t="shared" si="34"/>
        <v>12</v>
      </c>
      <c r="B2034" s="166" t="s">
        <v>1799</v>
      </c>
      <c r="C2034" s="167" t="s">
        <v>1804</v>
      </c>
      <c r="D2034" s="118"/>
      <c r="E2034" s="119">
        <v>5000</v>
      </c>
    </row>
    <row r="2035" spans="1:5" x14ac:dyDescent="0.25">
      <c r="A2035" s="115">
        <f t="shared" si="34"/>
        <v>13</v>
      </c>
      <c r="B2035" s="166" t="s">
        <v>1800</v>
      </c>
      <c r="C2035" s="167" t="s">
        <v>1805</v>
      </c>
      <c r="D2035" s="118"/>
      <c r="E2035" s="119">
        <v>5000</v>
      </c>
    </row>
    <row r="2036" spans="1:5" x14ac:dyDescent="0.25">
      <c r="A2036" s="115">
        <f t="shared" si="34"/>
        <v>14</v>
      </c>
      <c r="B2036" s="166" t="s">
        <v>1801</v>
      </c>
      <c r="C2036" s="167" t="s">
        <v>1806</v>
      </c>
      <c r="D2036" s="118"/>
      <c r="E2036" s="119">
        <v>22500</v>
      </c>
    </row>
    <row r="2037" spans="1:5" x14ac:dyDescent="0.25">
      <c r="A2037" s="115">
        <f t="shared" si="34"/>
        <v>15</v>
      </c>
      <c r="B2037" s="166" t="s">
        <v>754</v>
      </c>
      <c r="C2037" s="167" t="s">
        <v>1807</v>
      </c>
      <c r="D2037" s="118"/>
      <c r="E2037" s="119">
        <v>5000</v>
      </c>
    </row>
    <row r="2038" spans="1:5" x14ac:dyDescent="0.25">
      <c r="A2038" s="115"/>
      <c r="B2038" s="166"/>
      <c r="C2038" s="167"/>
      <c r="D2038" s="118"/>
      <c r="E2038" s="119"/>
    </row>
    <row r="2039" spans="1:5" ht="15.75" thickBot="1" x14ac:dyDescent="0.3">
      <c r="A2039" s="120"/>
      <c r="B2039" s="577" t="s">
        <v>15</v>
      </c>
      <c r="C2039" s="578"/>
      <c r="D2039" s="579"/>
      <c r="E2039" s="121">
        <f>SUM(E2023:E2038)</f>
        <v>187500</v>
      </c>
    </row>
    <row r="2040" spans="1:5" x14ac:dyDescent="0.25">
      <c r="A2040" s="110"/>
      <c r="B2040" s="145"/>
      <c r="C2040" s="145"/>
      <c r="E2040" s="146"/>
    </row>
    <row r="2041" spans="1:5" x14ac:dyDescent="0.25">
      <c r="A2041" s="109"/>
      <c r="B2041" s="109"/>
      <c r="C2041" s="110"/>
      <c r="D2041" s="123" t="s">
        <v>1782</v>
      </c>
      <c r="E2041" s="109"/>
    </row>
    <row r="2042" spans="1:5" x14ac:dyDescent="0.25">
      <c r="D2042" s="123" t="s">
        <v>100</v>
      </c>
    </row>
    <row r="2068" spans="1:5" x14ac:dyDescent="0.25">
      <c r="A2068" s="108" t="s">
        <v>0</v>
      </c>
      <c r="B2068" s="144"/>
      <c r="C2068" s="144"/>
      <c r="D2068" s="144"/>
      <c r="E2068" s="144"/>
    </row>
    <row r="2069" spans="1:5" x14ac:dyDescent="0.25">
      <c r="A2069" s="108" t="s">
        <v>1</v>
      </c>
      <c r="B2069" s="109"/>
      <c r="C2069" s="110"/>
      <c r="D2069" s="109"/>
      <c r="E2069" s="109"/>
    </row>
    <row r="2070" spans="1:5" x14ac:dyDescent="0.25">
      <c r="A2070" s="108"/>
      <c r="B2070" s="109"/>
      <c r="C2070" s="110"/>
      <c r="D2070" s="109"/>
      <c r="E2070" s="109"/>
    </row>
    <row r="2071" spans="1:5" x14ac:dyDescent="0.25">
      <c r="A2071" s="111" t="s">
        <v>101</v>
      </c>
      <c r="B2071" s="111"/>
      <c r="C2071" s="111"/>
      <c r="D2071" s="111"/>
      <c r="E2071" s="111"/>
    </row>
    <row r="2072" spans="1:5" x14ac:dyDescent="0.25">
      <c r="A2072" s="575" t="s">
        <v>118</v>
      </c>
      <c r="B2072" s="576"/>
      <c r="C2072" s="576"/>
      <c r="D2072" s="576"/>
      <c r="E2072" s="576"/>
    </row>
    <row r="2073" spans="1:5" x14ac:dyDescent="0.25">
      <c r="A2073" s="110"/>
      <c r="B2073" s="110"/>
      <c r="C2073" s="110"/>
      <c r="D2073" s="110"/>
      <c r="E2073" s="110"/>
    </row>
    <row r="2074" spans="1:5" ht="15.75" thickBot="1" x14ac:dyDescent="0.3">
      <c r="A2074" s="109"/>
      <c r="B2074" s="109"/>
      <c r="C2074" s="110"/>
      <c r="D2074" s="109"/>
      <c r="E2074" s="124" t="s">
        <v>1808</v>
      </c>
    </row>
    <row r="2075" spans="1:5" x14ac:dyDescent="0.25">
      <c r="A2075" s="112" t="s">
        <v>21</v>
      </c>
      <c r="B2075" s="113" t="s">
        <v>96</v>
      </c>
      <c r="C2075" s="113" t="s">
        <v>97</v>
      </c>
      <c r="D2075" s="113" t="s">
        <v>91</v>
      </c>
      <c r="E2075" s="114" t="s">
        <v>15</v>
      </c>
    </row>
    <row r="2076" spans="1:5" x14ac:dyDescent="0.25">
      <c r="A2076" s="115">
        <v>1</v>
      </c>
      <c r="B2076" s="166" t="s">
        <v>1810</v>
      </c>
      <c r="C2076" s="167" t="s">
        <v>1814</v>
      </c>
      <c r="D2076" s="118"/>
      <c r="E2076" s="119">
        <v>70000</v>
      </c>
    </row>
    <row r="2077" spans="1:5" x14ac:dyDescent="0.25">
      <c r="A2077" s="115">
        <f>A2076+1</f>
        <v>2</v>
      </c>
      <c r="B2077" s="166" t="s">
        <v>353</v>
      </c>
      <c r="C2077" s="167" t="s">
        <v>360</v>
      </c>
      <c r="D2077" s="118"/>
      <c r="E2077" s="119">
        <v>17500</v>
      </c>
    </row>
    <row r="2078" spans="1:5" x14ac:dyDescent="0.25">
      <c r="A2078" s="115">
        <f t="shared" ref="A2078:A2119" si="35">A2077+1</f>
        <v>3</v>
      </c>
      <c r="B2078" s="166" t="s">
        <v>1811</v>
      </c>
      <c r="C2078" s="167" t="s">
        <v>1815</v>
      </c>
      <c r="D2078" s="118"/>
      <c r="E2078" s="119">
        <v>5000</v>
      </c>
    </row>
    <row r="2079" spans="1:5" x14ac:dyDescent="0.25">
      <c r="A2079" s="115">
        <f t="shared" si="35"/>
        <v>4</v>
      </c>
      <c r="B2079" s="166" t="s">
        <v>1812</v>
      </c>
      <c r="C2079" s="167" t="s">
        <v>1816</v>
      </c>
      <c r="D2079" s="118"/>
      <c r="E2079" s="119">
        <v>32500</v>
      </c>
    </row>
    <row r="2080" spans="1:5" x14ac:dyDescent="0.25">
      <c r="A2080" s="115">
        <f t="shared" si="35"/>
        <v>5</v>
      </c>
      <c r="B2080" s="166" t="s">
        <v>1813</v>
      </c>
      <c r="C2080" s="167" t="s">
        <v>1817</v>
      </c>
      <c r="D2080" s="118"/>
      <c r="E2080" s="119">
        <v>12500</v>
      </c>
    </row>
    <row r="2081" spans="1:5" x14ac:dyDescent="0.25">
      <c r="A2081" s="115">
        <f t="shared" si="35"/>
        <v>6</v>
      </c>
      <c r="B2081" s="166" t="s">
        <v>1825</v>
      </c>
      <c r="C2081" s="167" t="s">
        <v>1818</v>
      </c>
      <c r="D2081" s="118"/>
      <c r="E2081" s="119">
        <v>12500</v>
      </c>
    </row>
    <row r="2082" spans="1:5" x14ac:dyDescent="0.25">
      <c r="A2082" s="115">
        <f t="shared" si="35"/>
        <v>7</v>
      </c>
      <c r="B2082" s="166" t="s">
        <v>1826</v>
      </c>
      <c r="C2082" s="167" t="s">
        <v>1819</v>
      </c>
      <c r="D2082" s="118"/>
      <c r="E2082" s="119">
        <v>12500</v>
      </c>
    </row>
    <row r="2083" spans="1:5" x14ac:dyDescent="0.25">
      <c r="A2083" s="115">
        <f t="shared" si="35"/>
        <v>8</v>
      </c>
      <c r="B2083" s="166" t="s">
        <v>1827</v>
      </c>
      <c r="C2083" s="167" t="s">
        <v>1820</v>
      </c>
      <c r="D2083" s="118"/>
      <c r="E2083" s="119">
        <v>12500</v>
      </c>
    </row>
    <row r="2084" spans="1:5" x14ac:dyDescent="0.25">
      <c r="A2084" s="115">
        <f t="shared" si="35"/>
        <v>9</v>
      </c>
      <c r="B2084" s="166" t="s">
        <v>1828</v>
      </c>
      <c r="C2084" s="167" t="s">
        <v>1821</v>
      </c>
      <c r="D2084" s="118"/>
      <c r="E2084" s="119">
        <v>12500</v>
      </c>
    </row>
    <row r="2085" spans="1:5" x14ac:dyDescent="0.25">
      <c r="A2085" s="115">
        <f t="shared" si="35"/>
        <v>10</v>
      </c>
      <c r="B2085" s="166" t="s">
        <v>1829</v>
      </c>
      <c r="C2085" s="167" t="s">
        <v>1822</v>
      </c>
      <c r="D2085" s="118"/>
      <c r="E2085" s="119">
        <v>5000</v>
      </c>
    </row>
    <row r="2086" spans="1:5" x14ac:dyDescent="0.25">
      <c r="A2086" s="115">
        <f t="shared" si="35"/>
        <v>11</v>
      </c>
      <c r="B2086" s="166" t="s">
        <v>1830</v>
      </c>
      <c r="C2086" s="167" t="s">
        <v>1823</v>
      </c>
      <c r="D2086" s="118"/>
      <c r="E2086" s="119">
        <v>5000</v>
      </c>
    </row>
    <row r="2087" spans="1:5" x14ac:dyDescent="0.25">
      <c r="A2087" s="115">
        <f t="shared" si="35"/>
        <v>12</v>
      </c>
      <c r="B2087" s="166" t="s">
        <v>1831</v>
      </c>
      <c r="C2087" s="167" t="s">
        <v>1824</v>
      </c>
      <c r="D2087" s="118"/>
      <c r="E2087" s="119">
        <v>5000</v>
      </c>
    </row>
    <row r="2088" spans="1:5" x14ac:dyDescent="0.25">
      <c r="A2088" s="115">
        <f t="shared" si="35"/>
        <v>13</v>
      </c>
      <c r="B2088" s="166" t="s">
        <v>1832</v>
      </c>
      <c r="C2088" s="167" t="s">
        <v>1838</v>
      </c>
      <c r="D2088" s="118"/>
      <c r="E2088" s="119">
        <v>5000</v>
      </c>
    </row>
    <row r="2089" spans="1:5" x14ac:dyDescent="0.25">
      <c r="A2089" s="115">
        <f t="shared" si="35"/>
        <v>14</v>
      </c>
      <c r="B2089" s="166" t="s">
        <v>1833</v>
      </c>
      <c r="C2089" s="167" t="s">
        <v>1839</v>
      </c>
      <c r="D2089" s="118"/>
      <c r="E2089" s="119">
        <v>32500</v>
      </c>
    </row>
    <row r="2090" spans="1:5" x14ac:dyDescent="0.25">
      <c r="A2090" s="115">
        <f t="shared" si="35"/>
        <v>15</v>
      </c>
      <c r="B2090" s="166" t="s">
        <v>1834</v>
      </c>
      <c r="C2090" s="167" t="s">
        <v>1840</v>
      </c>
      <c r="D2090" s="118"/>
      <c r="E2090" s="119">
        <v>22500</v>
      </c>
    </row>
    <row r="2091" spans="1:5" x14ac:dyDescent="0.25">
      <c r="A2091" s="115">
        <f t="shared" si="35"/>
        <v>16</v>
      </c>
      <c r="B2091" s="166" t="s">
        <v>424</v>
      </c>
      <c r="C2091" s="167" t="s">
        <v>1841</v>
      </c>
      <c r="D2091" s="118"/>
      <c r="E2091" s="119">
        <v>12500</v>
      </c>
    </row>
    <row r="2092" spans="1:5" x14ac:dyDescent="0.25">
      <c r="A2092" s="115">
        <f t="shared" si="35"/>
        <v>17</v>
      </c>
      <c r="B2092" s="166" t="s">
        <v>1835</v>
      </c>
      <c r="C2092" s="167" t="s">
        <v>1843</v>
      </c>
      <c r="D2092" s="118"/>
      <c r="E2092" s="119">
        <v>5000</v>
      </c>
    </row>
    <row r="2093" spans="1:5" x14ac:dyDescent="0.25">
      <c r="A2093" s="115">
        <f t="shared" si="35"/>
        <v>18</v>
      </c>
      <c r="B2093" s="166" t="s">
        <v>1836</v>
      </c>
      <c r="C2093" s="167" t="s">
        <v>1842</v>
      </c>
      <c r="D2093" s="118"/>
      <c r="E2093" s="119">
        <v>42500</v>
      </c>
    </row>
    <row r="2094" spans="1:5" x14ac:dyDescent="0.25">
      <c r="A2094" s="115">
        <f t="shared" si="35"/>
        <v>19</v>
      </c>
      <c r="B2094" s="166" t="s">
        <v>1837</v>
      </c>
      <c r="C2094" s="167" t="s">
        <v>1844</v>
      </c>
      <c r="D2094" s="118"/>
      <c r="E2094" s="119">
        <v>5000</v>
      </c>
    </row>
    <row r="2095" spans="1:5" x14ac:dyDescent="0.25">
      <c r="A2095" s="115">
        <f t="shared" si="35"/>
        <v>20</v>
      </c>
      <c r="B2095" s="166" t="s">
        <v>1852</v>
      </c>
      <c r="C2095" s="167" t="s">
        <v>1845</v>
      </c>
      <c r="D2095" s="118"/>
      <c r="E2095" s="119">
        <v>32500</v>
      </c>
    </row>
    <row r="2096" spans="1:5" x14ac:dyDescent="0.25">
      <c r="A2096" s="115">
        <f t="shared" si="35"/>
        <v>21</v>
      </c>
      <c r="B2096" s="166" t="s">
        <v>1853</v>
      </c>
      <c r="C2096" s="167" t="s">
        <v>1846</v>
      </c>
      <c r="D2096" s="118"/>
      <c r="E2096" s="119">
        <v>5000</v>
      </c>
    </row>
    <row r="2097" spans="1:5" x14ac:dyDescent="0.25">
      <c r="A2097" s="115">
        <f t="shared" si="35"/>
        <v>22</v>
      </c>
      <c r="B2097" s="166" t="s">
        <v>1854</v>
      </c>
      <c r="C2097" s="167" t="s">
        <v>1847</v>
      </c>
      <c r="D2097" s="118"/>
      <c r="E2097" s="119">
        <v>112500</v>
      </c>
    </row>
    <row r="2098" spans="1:5" x14ac:dyDescent="0.25">
      <c r="A2098" s="115">
        <f t="shared" si="35"/>
        <v>23</v>
      </c>
      <c r="B2098" s="166" t="s">
        <v>1855</v>
      </c>
      <c r="C2098" s="167" t="s">
        <v>1848</v>
      </c>
      <c r="D2098" s="118"/>
      <c r="E2098" s="119">
        <v>12500</v>
      </c>
    </row>
    <row r="2099" spans="1:5" x14ac:dyDescent="0.25">
      <c r="A2099" s="115">
        <f t="shared" si="35"/>
        <v>24</v>
      </c>
      <c r="B2099" s="166" t="s">
        <v>1856</v>
      </c>
      <c r="C2099" s="167" t="s">
        <v>1849</v>
      </c>
      <c r="D2099" s="118"/>
      <c r="E2099" s="119">
        <v>22500</v>
      </c>
    </row>
    <row r="2100" spans="1:5" x14ac:dyDescent="0.25">
      <c r="A2100" s="115">
        <f t="shared" si="35"/>
        <v>25</v>
      </c>
      <c r="B2100" s="166" t="s">
        <v>1834</v>
      </c>
      <c r="C2100" s="167" t="s">
        <v>1850</v>
      </c>
      <c r="D2100" s="118"/>
      <c r="E2100" s="119">
        <v>12500</v>
      </c>
    </row>
    <row r="2101" spans="1:5" x14ac:dyDescent="0.25">
      <c r="A2101" s="115">
        <f t="shared" si="35"/>
        <v>26</v>
      </c>
      <c r="B2101" s="166" t="s">
        <v>1857</v>
      </c>
      <c r="C2101" s="167" t="s">
        <v>1851</v>
      </c>
      <c r="D2101" s="118"/>
      <c r="E2101" s="119">
        <v>12500</v>
      </c>
    </row>
    <row r="2102" spans="1:5" x14ac:dyDescent="0.25">
      <c r="A2102" s="115">
        <f t="shared" si="35"/>
        <v>27</v>
      </c>
      <c r="B2102" s="166" t="s">
        <v>1858</v>
      </c>
      <c r="C2102" s="167" t="s">
        <v>1868</v>
      </c>
      <c r="D2102" s="118"/>
      <c r="E2102" s="119">
        <v>5000</v>
      </c>
    </row>
    <row r="2103" spans="1:5" x14ac:dyDescent="0.25">
      <c r="A2103" s="115">
        <f t="shared" si="35"/>
        <v>28</v>
      </c>
      <c r="B2103" s="166" t="s">
        <v>1859</v>
      </c>
      <c r="C2103" s="167" t="s">
        <v>1869</v>
      </c>
      <c r="D2103" s="118"/>
      <c r="E2103" s="119">
        <v>12500</v>
      </c>
    </row>
    <row r="2104" spans="1:5" x14ac:dyDescent="0.25">
      <c r="A2104" s="115">
        <f t="shared" si="35"/>
        <v>29</v>
      </c>
      <c r="B2104" s="166" t="s">
        <v>1860</v>
      </c>
      <c r="C2104" s="167" t="s">
        <v>1870</v>
      </c>
      <c r="D2104" s="118"/>
      <c r="E2104" s="119">
        <v>5000</v>
      </c>
    </row>
    <row r="2105" spans="1:5" x14ac:dyDescent="0.25">
      <c r="A2105" s="115">
        <f t="shared" si="35"/>
        <v>30</v>
      </c>
      <c r="B2105" s="166" t="s">
        <v>1861</v>
      </c>
      <c r="C2105" s="167" t="s">
        <v>1871</v>
      </c>
      <c r="D2105" s="118"/>
      <c r="E2105" s="119">
        <v>5000</v>
      </c>
    </row>
    <row r="2106" spans="1:5" x14ac:dyDescent="0.25">
      <c r="A2106" s="115">
        <f t="shared" si="35"/>
        <v>31</v>
      </c>
      <c r="B2106" s="166" t="s">
        <v>1862</v>
      </c>
      <c r="C2106" s="167" t="s">
        <v>1872</v>
      </c>
      <c r="D2106" s="118"/>
      <c r="E2106" s="119">
        <v>5000</v>
      </c>
    </row>
    <row r="2107" spans="1:5" x14ac:dyDescent="0.25">
      <c r="A2107" s="115">
        <f t="shared" si="35"/>
        <v>32</v>
      </c>
      <c r="B2107" s="166" t="s">
        <v>1863</v>
      </c>
      <c r="C2107" s="167" t="s">
        <v>1873</v>
      </c>
      <c r="D2107" s="118"/>
      <c r="E2107" s="119">
        <v>32500</v>
      </c>
    </row>
    <row r="2108" spans="1:5" x14ac:dyDescent="0.25">
      <c r="A2108" s="115">
        <f t="shared" si="35"/>
        <v>33</v>
      </c>
      <c r="B2108" s="166" t="s">
        <v>1864</v>
      </c>
      <c r="C2108" s="167" t="s">
        <v>1874</v>
      </c>
      <c r="D2108" s="118"/>
      <c r="E2108" s="119">
        <v>12500</v>
      </c>
    </row>
    <row r="2109" spans="1:5" x14ac:dyDescent="0.25">
      <c r="A2109" s="115">
        <f t="shared" si="35"/>
        <v>34</v>
      </c>
      <c r="B2109" s="166" t="s">
        <v>1865</v>
      </c>
      <c r="C2109" s="167" t="s">
        <v>1875</v>
      </c>
      <c r="D2109" s="118"/>
      <c r="E2109" s="119">
        <v>5000</v>
      </c>
    </row>
    <row r="2110" spans="1:5" x14ac:dyDescent="0.25">
      <c r="A2110" s="115">
        <f t="shared" si="35"/>
        <v>35</v>
      </c>
      <c r="B2110" s="166" t="s">
        <v>1866</v>
      </c>
      <c r="C2110" s="167" t="s">
        <v>1876</v>
      </c>
      <c r="D2110" s="118"/>
      <c r="E2110" s="119">
        <v>22500</v>
      </c>
    </row>
    <row r="2111" spans="1:5" x14ac:dyDescent="0.25">
      <c r="A2111" s="115">
        <f t="shared" si="35"/>
        <v>36</v>
      </c>
      <c r="B2111" s="166" t="s">
        <v>1867</v>
      </c>
      <c r="C2111" s="167" t="s">
        <v>1877</v>
      </c>
      <c r="D2111" s="118"/>
      <c r="E2111" s="119">
        <v>5000</v>
      </c>
    </row>
    <row r="2112" spans="1:5" x14ac:dyDescent="0.25">
      <c r="A2112" s="115">
        <f t="shared" si="35"/>
        <v>37</v>
      </c>
      <c r="B2112" s="166" t="s">
        <v>1885</v>
      </c>
      <c r="C2112" s="167" t="s">
        <v>1878</v>
      </c>
      <c r="D2112" s="118"/>
      <c r="E2112" s="119">
        <v>12500</v>
      </c>
    </row>
    <row r="2113" spans="1:5" x14ac:dyDescent="0.25">
      <c r="A2113" s="115">
        <f t="shared" si="35"/>
        <v>38</v>
      </c>
      <c r="B2113" s="166" t="s">
        <v>1886</v>
      </c>
      <c r="C2113" s="167" t="s">
        <v>1879</v>
      </c>
      <c r="D2113" s="118"/>
      <c r="E2113" s="119">
        <v>5000</v>
      </c>
    </row>
    <row r="2114" spans="1:5" x14ac:dyDescent="0.25">
      <c r="A2114" s="115">
        <f t="shared" si="35"/>
        <v>39</v>
      </c>
      <c r="B2114" s="166" t="s">
        <v>1887</v>
      </c>
      <c r="C2114" s="167" t="s">
        <v>1880</v>
      </c>
      <c r="D2114" s="118"/>
      <c r="E2114" s="119">
        <v>5000</v>
      </c>
    </row>
    <row r="2115" spans="1:5" x14ac:dyDescent="0.25">
      <c r="A2115" s="115">
        <f t="shared" si="35"/>
        <v>40</v>
      </c>
      <c r="B2115" s="166" t="s">
        <v>1888</v>
      </c>
      <c r="C2115" s="167" t="s">
        <v>1881</v>
      </c>
      <c r="D2115" s="118"/>
      <c r="E2115" s="119">
        <v>22500</v>
      </c>
    </row>
    <row r="2116" spans="1:5" x14ac:dyDescent="0.25">
      <c r="A2116" s="115">
        <f t="shared" si="35"/>
        <v>41</v>
      </c>
      <c r="B2116" s="166" t="s">
        <v>1889</v>
      </c>
      <c r="C2116" s="167" t="s">
        <v>1882</v>
      </c>
      <c r="D2116" s="118"/>
      <c r="E2116" s="119">
        <v>5000</v>
      </c>
    </row>
    <row r="2117" spans="1:5" x14ac:dyDescent="0.25">
      <c r="A2117" s="115">
        <f t="shared" si="35"/>
        <v>42</v>
      </c>
      <c r="B2117" s="166" t="s">
        <v>1890</v>
      </c>
      <c r="C2117" s="167" t="s">
        <v>1883</v>
      </c>
      <c r="D2117" s="118"/>
      <c r="E2117" s="119">
        <v>12500</v>
      </c>
    </row>
    <row r="2118" spans="1:5" x14ac:dyDescent="0.25">
      <c r="A2118" s="115">
        <f t="shared" si="35"/>
        <v>43</v>
      </c>
      <c r="B2118" s="166" t="s">
        <v>1891</v>
      </c>
      <c r="C2118" s="167" t="s">
        <v>1884</v>
      </c>
      <c r="D2118" s="118"/>
      <c r="E2118" s="119">
        <v>22500</v>
      </c>
    </row>
    <row r="2119" spans="1:5" x14ac:dyDescent="0.25">
      <c r="A2119" s="115">
        <f t="shared" si="35"/>
        <v>44</v>
      </c>
      <c r="B2119" s="166" t="s">
        <v>1892</v>
      </c>
      <c r="C2119" s="167" t="s">
        <v>1893</v>
      </c>
      <c r="D2119" s="118"/>
      <c r="E2119" s="119">
        <v>5000</v>
      </c>
    </row>
    <row r="2120" spans="1:5" x14ac:dyDescent="0.25">
      <c r="A2120" s="169"/>
      <c r="B2120" s="166"/>
      <c r="C2120" s="167"/>
      <c r="D2120" s="118"/>
      <c r="E2120" s="119"/>
    </row>
    <row r="2121" spans="1:5" ht="15.75" thickBot="1" x14ac:dyDescent="0.3">
      <c r="A2121" s="120"/>
      <c r="B2121" s="577" t="s">
        <v>15</v>
      </c>
      <c r="C2121" s="578"/>
      <c r="D2121" s="579"/>
      <c r="E2121" s="121">
        <f>SUM(E2076:E2119)</f>
        <v>737500</v>
      </c>
    </row>
    <row r="2122" spans="1:5" x14ac:dyDescent="0.25">
      <c r="A2122" s="110"/>
      <c r="B2122" s="145"/>
      <c r="C2122" s="145"/>
      <c r="E2122" s="146"/>
    </row>
    <row r="2123" spans="1:5" x14ac:dyDescent="0.25">
      <c r="A2123" s="109"/>
      <c r="B2123" s="109"/>
      <c r="C2123" s="110"/>
      <c r="D2123" s="123" t="s">
        <v>1809</v>
      </c>
      <c r="E2123" s="109"/>
    </row>
    <row r="2124" spans="1:5" x14ac:dyDescent="0.25">
      <c r="D2124" s="123" t="s">
        <v>100</v>
      </c>
    </row>
    <row r="2174" spans="1:5" x14ac:dyDescent="0.25">
      <c r="A2174" s="108" t="s">
        <v>0</v>
      </c>
      <c r="B2174" s="144"/>
      <c r="C2174" s="144"/>
      <c r="D2174" s="144"/>
      <c r="E2174" s="144"/>
    </row>
    <row r="2175" spans="1:5" x14ac:dyDescent="0.25">
      <c r="A2175" s="108" t="s">
        <v>1</v>
      </c>
      <c r="B2175" s="109"/>
      <c r="C2175" s="110"/>
      <c r="D2175" s="109"/>
      <c r="E2175" s="109"/>
    </row>
    <row r="2176" spans="1:5" x14ac:dyDescent="0.25">
      <c r="A2176" s="108"/>
      <c r="B2176" s="109"/>
      <c r="C2176" s="110"/>
      <c r="D2176" s="109"/>
      <c r="E2176" s="109"/>
    </row>
    <row r="2177" spans="1:5" x14ac:dyDescent="0.25">
      <c r="A2177" s="111" t="s">
        <v>101</v>
      </c>
      <c r="B2177" s="111"/>
      <c r="C2177" s="111"/>
      <c r="D2177" s="111"/>
      <c r="E2177" s="111"/>
    </row>
    <row r="2178" spans="1:5" x14ac:dyDescent="0.25">
      <c r="A2178" s="575" t="s">
        <v>118</v>
      </c>
      <c r="B2178" s="576"/>
      <c r="C2178" s="576"/>
      <c r="D2178" s="576"/>
      <c r="E2178" s="576"/>
    </row>
    <row r="2179" spans="1:5" x14ac:dyDescent="0.25">
      <c r="A2179" s="110"/>
      <c r="B2179" s="110"/>
      <c r="C2179" s="110"/>
      <c r="D2179" s="110"/>
      <c r="E2179" s="110"/>
    </row>
    <row r="2180" spans="1:5" ht="15.75" thickBot="1" x14ac:dyDescent="0.3">
      <c r="A2180" s="109"/>
      <c r="B2180" s="109"/>
      <c r="C2180" s="110"/>
      <c r="D2180" s="109"/>
      <c r="E2180" s="124" t="s">
        <v>1894</v>
      </c>
    </row>
    <row r="2181" spans="1:5" x14ac:dyDescent="0.25">
      <c r="A2181" s="112" t="s">
        <v>21</v>
      </c>
      <c r="B2181" s="113" t="s">
        <v>96</v>
      </c>
      <c r="C2181" s="113" t="s">
        <v>97</v>
      </c>
      <c r="D2181" s="113" t="s">
        <v>91</v>
      </c>
      <c r="E2181" s="114" t="s">
        <v>15</v>
      </c>
    </row>
    <row r="2182" spans="1:5" x14ac:dyDescent="0.25">
      <c r="A2182" s="115">
        <v>1</v>
      </c>
      <c r="B2182" s="166" t="s">
        <v>1896</v>
      </c>
      <c r="C2182" s="167" t="s">
        <v>1898</v>
      </c>
      <c r="D2182" s="118"/>
      <c r="E2182" s="119">
        <v>22500</v>
      </c>
    </row>
    <row r="2183" spans="1:5" x14ac:dyDescent="0.25">
      <c r="A2183" s="115">
        <f>A2182+1</f>
        <v>2</v>
      </c>
      <c r="B2183" s="166" t="s">
        <v>1897</v>
      </c>
      <c r="C2183" s="167" t="s">
        <v>1899</v>
      </c>
      <c r="D2183" s="118"/>
      <c r="E2183" s="119">
        <v>5000</v>
      </c>
    </row>
    <row r="2184" spans="1:5" x14ac:dyDescent="0.25">
      <c r="A2184" s="115">
        <f t="shared" ref="A2184:A2202" si="36">A2183+1</f>
        <v>3</v>
      </c>
      <c r="B2184" s="166" t="s">
        <v>1910</v>
      </c>
      <c r="C2184" s="167" t="s">
        <v>1900</v>
      </c>
      <c r="D2184" s="118"/>
      <c r="E2184" s="119">
        <v>5000</v>
      </c>
    </row>
    <row r="2185" spans="1:5" x14ac:dyDescent="0.25">
      <c r="A2185" s="115">
        <f t="shared" si="36"/>
        <v>4</v>
      </c>
      <c r="B2185" s="166" t="s">
        <v>1911</v>
      </c>
      <c r="C2185" s="167" t="s">
        <v>1901</v>
      </c>
      <c r="D2185" s="118"/>
      <c r="E2185" s="119">
        <v>12500</v>
      </c>
    </row>
    <row r="2186" spans="1:5" x14ac:dyDescent="0.25">
      <c r="A2186" s="115">
        <f t="shared" si="36"/>
        <v>5</v>
      </c>
      <c r="B2186" s="166" t="s">
        <v>1912</v>
      </c>
      <c r="C2186" s="167" t="s">
        <v>1902</v>
      </c>
      <c r="D2186" s="118"/>
      <c r="E2186" s="119">
        <v>22500</v>
      </c>
    </row>
    <row r="2187" spans="1:5" x14ac:dyDescent="0.25">
      <c r="A2187" s="115">
        <f t="shared" si="36"/>
        <v>6</v>
      </c>
      <c r="B2187" s="166" t="s">
        <v>1913</v>
      </c>
      <c r="C2187" s="167" t="s">
        <v>1903</v>
      </c>
      <c r="D2187" s="118"/>
      <c r="E2187" s="119">
        <v>5000</v>
      </c>
    </row>
    <row r="2188" spans="1:5" x14ac:dyDescent="0.25">
      <c r="A2188" s="115">
        <f t="shared" si="36"/>
        <v>7</v>
      </c>
      <c r="B2188" s="166" t="s">
        <v>1914</v>
      </c>
      <c r="C2188" s="167" t="s">
        <v>1904</v>
      </c>
      <c r="D2188" s="118"/>
      <c r="E2188" s="119">
        <v>5000</v>
      </c>
    </row>
    <row r="2189" spans="1:5" x14ac:dyDescent="0.25">
      <c r="A2189" s="115">
        <f t="shared" si="36"/>
        <v>8</v>
      </c>
      <c r="B2189" s="166" t="s">
        <v>1915</v>
      </c>
      <c r="C2189" s="167" t="s">
        <v>1905</v>
      </c>
      <c r="D2189" s="118"/>
      <c r="E2189" s="119">
        <v>5000</v>
      </c>
    </row>
    <row r="2190" spans="1:5" x14ac:dyDescent="0.25">
      <c r="A2190" s="115">
        <f t="shared" si="36"/>
        <v>9</v>
      </c>
      <c r="B2190" s="166" t="s">
        <v>1916</v>
      </c>
      <c r="C2190" s="167" t="s">
        <v>1906</v>
      </c>
      <c r="D2190" s="118"/>
      <c r="E2190" s="119">
        <v>20000</v>
      </c>
    </row>
    <row r="2191" spans="1:5" x14ac:dyDescent="0.25">
      <c r="A2191" s="115">
        <f t="shared" si="36"/>
        <v>10</v>
      </c>
      <c r="B2191" s="166" t="s">
        <v>1917</v>
      </c>
      <c r="C2191" s="167" t="s">
        <v>1907</v>
      </c>
      <c r="D2191" s="118"/>
      <c r="E2191" s="119">
        <v>5000</v>
      </c>
    </row>
    <row r="2192" spans="1:5" x14ac:dyDescent="0.25">
      <c r="A2192" s="115">
        <f t="shared" si="36"/>
        <v>11</v>
      </c>
      <c r="B2192" s="166" t="s">
        <v>612</v>
      </c>
      <c r="C2192" s="167" t="s">
        <v>1908</v>
      </c>
      <c r="D2192" s="118"/>
      <c r="E2192" s="119">
        <v>5000</v>
      </c>
    </row>
    <row r="2193" spans="1:5" x14ac:dyDescent="0.25">
      <c r="A2193" s="115">
        <f t="shared" si="36"/>
        <v>12</v>
      </c>
      <c r="B2193" s="166" t="s">
        <v>1918</v>
      </c>
      <c r="C2193" s="167" t="s">
        <v>1909</v>
      </c>
      <c r="D2193" s="118"/>
      <c r="E2193" s="119">
        <v>5000</v>
      </c>
    </row>
    <row r="2194" spans="1:5" x14ac:dyDescent="0.25">
      <c r="A2194" s="115">
        <f t="shared" si="36"/>
        <v>13</v>
      </c>
      <c r="B2194" s="166" t="s">
        <v>1919</v>
      </c>
      <c r="C2194" s="167" t="s">
        <v>1926</v>
      </c>
      <c r="D2194" s="118"/>
      <c r="E2194" s="119">
        <v>5000</v>
      </c>
    </row>
    <row r="2195" spans="1:5" x14ac:dyDescent="0.25">
      <c r="A2195" s="115">
        <f t="shared" si="36"/>
        <v>14</v>
      </c>
      <c r="B2195" s="166" t="s">
        <v>528</v>
      </c>
      <c r="C2195" s="167" t="s">
        <v>1927</v>
      </c>
      <c r="D2195" s="118"/>
      <c r="E2195" s="119">
        <v>12500</v>
      </c>
    </row>
    <row r="2196" spans="1:5" x14ac:dyDescent="0.25">
      <c r="A2196" s="115">
        <f t="shared" si="36"/>
        <v>15</v>
      </c>
      <c r="B2196" s="166" t="s">
        <v>1920</v>
      </c>
      <c r="C2196" s="167" t="s">
        <v>1928</v>
      </c>
      <c r="D2196" s="118"/>
      <c r="E2196" s="119">
        <v>42500</v>
      </c>
    </row>
    <row r="2197" spans="1:5" x14ac:dyDescent="0.25">
      <c r="A2197" s="115">
        <f t="shared" si="36"/>
        <v>16</v>
      </c>
      <c r="B2197" s="166" t="s">
        <v>1921</v>
      </c>
      <c r="C2197" s="167" t="s">
        <v>1929</v>
      </c>
      <c r="D2197" s="118"/>
      <c r="E2197" s="119">
        <v>5000</v>
      </c>
    </row>
    <row r="2198" spans="1:5" x14ac:dyDescent="0.25">
      <c r="A2198" s="115">
        <f t="shared" si="36"/>
        <v>17</v>
      </c>
      <c r="B2198" s="166" t="s">
        <v>1922</v>
      </c>
      <c r="C2198" s="167" t="s">
        <v>1930</v>
      </c>
      <c r="D2198" s="118"/>
      <c r="E2198" s="119">
        <v>5000</v>
      </c>
    </row>
    <row r="2199" spans="1:5" x14ac:dyDescent="0.25">
      <c r="A2199" s="115">
        <f t="shared" si="36"/>
        <v>18</v>
      </c>
      <c r="B2199" s="166" t="s">
        <v>1553</v>
      </c>
      <c r="C2199" s="167" t="s">
        <v>1931</v>
      </c>
      <c r="D2199" s="118"/>
      <c r="E2199" s="119">
        <v>5000</v>
      </c>
    </row>
    <row r="2200" spans="1:5" x14ac:dyDescent="0.25">
      <c r="A2200" s="115">
        <f t="shared" si="36"/>
        <v>19</v>
      </c>
      <c r="B2200" s="166" t="s">
        <v>1923</v>
      </c>
      <c r="C2200" s="167" t="s">
        <v>1932</v>
      </c>
      <c r="D2200" s="118"/>
      <c r="E2200" s="119">
        <v>22500</v>
      </c>
    </row>
    <row r="2201" spans="1:5" x14ac:dyDescent="0.25">
      <c r="A2201" s="115">
        <f t="shared" si="36"/>
        <v>20</v>
      </c>
      <c r="B2201" s="166" t="s">
        <v>1924</v>
      </c>
      <c r="C2201" s="167" t="s">
        <v>1933</v>
      </c>
      <c r="D2201" s="118"/>
      <c r="E2201" s="119">
        <v>5000</v>
      </c>
    </row>
    <row r="2202" spans="1:5" x14ac:dyDescent="0.25">
      <c r="A2202" s="115">
        <f t="shared" si="36"/>
        <v>21</v>
      </c>
      <c r="B2202" s="166" t="s">
        <v>1925</v>
      </c>
      <c r="C2202" s="167" t="s">
        <v>1934</v>
      </c>
      <c r="D2202" s="118"/>
      <c r="E2202" s="119">
        <v>5000</v>
      </c>
    </row>
    <row r="2203" spans="1:5" x14ac:dyDescent="0.25">
      <c r="A2203" s="169"/>
      <c r="B2203" s="166"/>
      <c r="C2203" s="167"/>
      <c r="D2203" s="118"/>
      <c r="E2203" s="119"/>
    </row>
    <row r="2204" spans="1:5" ht="15.75" thickBot="1" x14ac:dyDescent="0.3">
      <c r="A2204" s="120"/>
      <c r="B2204" s="577" t="s">
        <v>15</v>
      </c>
      <c r="C2204" s="578"/>
      <c r="D2204" s="579"/>
      <c r="E2204" s="121">
        <f>SUM(E2182:E2202)</f>
        <v>225000</v>
      </c>
    </row>
    <row r="2205" spans="1:5" x14ac:dyDescent="0.25">
      <c r="A2205" s="110"/>
      <c r="B2205" s="145"/>
      <c r="C2205" s="145"/>
      <c r="E2205" s="146"/>
    </row>
    <row r="2206" spans="1:5" x14ac:dyDescent="0.25">
      <c r="A2206" s="109"/>
      <c r="B2206" s="109"/>
      <c r="C2206" s="110"/>
      <c r="D2206" s="123" t="s">
        <v>1895</v>
      </c>
      <c r="E2206" s="109"/>
    </row>
    <row r="2207" spans="1:5" x14ac:dyDescent="0.25">
      <c r="D2207" s="123" t="s">
        <v>100</v>
      </c>
    </row>
    <row r="2227" spans="1:5" x14ac:dyDescent="0.25">
      <c r="A2227" s="108" t="s">
        <v>0</v>
      </c>
      <c r="B2227" s="144"/>
      <c r="C2227" s="144"/>
      <c r="D2227" s="144"/>
      <c r="E2227" s="144"/>
    </row>
    <row r="2228" spans="1:5" x14ac:dyDescent="0.25">
      <c r="A2228" s="108" t="s">
        <v>1</v>
      </c>
      <c r="B2228" s="109"/>
      <c r="C2228" s="110"/>
      <c r="D2228" s="109"/>
      <c r="E2228" s="109"/>
    </row>
    <row r="2229" spans="1:5" x14ac:dyDescent="0.25">
      <c r="A2229" s="108"/>
      <c r="B2229" s="109"/>
      <c r="C2229" s="110"/>
      <c r="D2229" s="109"/>
      <c r="E2229" s="109"/>
    </row>
    <row r="2230" spans="1:5" x14ac:dyDescent="0.25">
      <c r="A2230" s="111" t="s">
        <v>101</v>
      </c>
      <c r="B2230" s="111"/>
      <c r="C2230" s="111"/>
      <c r="D2230" s="111"/>
      <c r="E2230" s="111"/>
    </row>
    <row r="2231" spans="1:5" x14ac:dyDescent="0.25">
      <c r="A2231" s="575" t="s">
        <v>118</v>
      </c>
      <c r="B2231" s="576"/>
      <c r="C2231" s="576"/>
      <c r="D2231" s="576"/>
      <c r="E2231" s="576"/>
    </row>
    <row r="2232" spans="1:5" x14ac:dyDescent="0.25">
      <c r="A2232" s="110"/>
      <c r="B2232" s="110"/>
      <c r="C2232" s="110"/>
      <c r="D2232" s="110"/>
      <c r="E2232" s="110"/>
    </row>
    <row r="2233" spans="1:5" ht="15.75" thickBot="1" x14ac:dyDescent="0.3">
      <c r="A2233" s="109"/>
      <c r="B2233" s="109"/>
      <c r="C2233" s="110"/>
      <c r="D2233" s="109"/>
      <c r="E2233" s="124" t="s">
        <v>1935</v>
      </c>
    </row>
    <row r="2234" spans="1:5" x14ac:dyDescent="0.25">
      <c r="A2234" s="112" t="s">
        <v>21</v>
      </c>
      <c r="B2234" s="113" t="s">
        <v>96</v>
      </c>
      <c r="C2234" s="113" t="s">
        <v>97</v>
      </c>
      <c r="D2234" s="113" t="s">
        <v>91</v>
      </c>
      <c r="E2234" s="114" t="s">
        <v>15</v>
      </c>
    </row>
    <row r="2235" spans="1:5" x14ac:dyDescent="0.25">
      <c r="A2235" s="115">
        <v>1</v>
      </c>
      <c r="B2235" s="166" t="s">
        <v>1937</v>
      </c>
      <c r="C2235" s="167" t="s">
        <v>1940</v>
      </c>
      <c r="D2235" s="118"/>
      <c r="E2235" s="119">
        <v>5000</v>
      </c>
    </row>
    <row r="2236" spans="1:5" x14ac:dyDescent="0.25">
      <c r="A2236" s="115">
        <f>A2235+1</f>
        <v>2</v>
      </c>
      <c r="B2236" s="166" t="s">
        <v>1938</v>
      </c>
      <c r="C2236" s="167" t="s">
        <v>1941</v>
      </c>
      <c r="D2236" s="118"/>
      <c r="E2236" s="119">
        <v>42500</v>
      </c>
    </row>
    <row r="2237" spans="1:5" x14ac:dyDescent="0.25">
      <c r="A2237" s="115">
        <f t="shared" ref="A2237:A2257" si="37">A2236+1</f>
        <v>3</v>
      </c>
      <c r="B2237" s="166" t="s">
        <v>1943</v>
      </c>
      <c r="C2237" s="167" t="s">
        <v>1944</v>
      </c>
      <c r="D2237" s="118"/>
      <c r="E2237" s="119">
        <v>5000</v>
      </c>
    </row>
    <row r="2238" spans="1:5" x14ac:dyDescent="0.25">
      <c r="A2238" s="115">
        <f t="shared" si="37"/>
        <v>4</v>
      </c>
      <c r="B2238" s="166" t="s">
        <v>1939</v>
      </c>
      <c r="C2238" s="167" t="s">
        <v>1942</v>
      </c>
      <c r="D2238" s="118"/>
      <c r="E2238" s="119">
        <v>42500</v>
      </c>
    </row>
    <row r="2239" spans="1:5" x14ac:dyDescent="0.25">
      <c r="A2239" s="115">
        <f t="shared" si="37"/>
        <v>5</v>
      </c>
      <c r="B2239" s="166" t="s">
        <v>1945</v>
      </c>
      <c r="C2239" s="167" t="s">
        <v>1950</v>
      </c>
      <c r="D2239" s="118"/>
      <c r="E2239" s="119">
        <v>32500</v>
      </c>
    </row>
    <row r="2240" spans="1:5" x14ac:dyDescent="0.25">
      <c r="A2240" s="115">
        <f t="shared" si="37"/>
        <v>6</v>
      </c>
      <c r="B2240" s="166" t="s">
        <v>1946</v>
      </c>
      <c r="C2240" s="167" t="s">
        <v>1951</v>
      </c>
      <c r="D2240" s="118"/>
      <c r="E2240" s="119">
        <v>5000</v>
      </c>
    </row>
    <row r="2241" spans="1:5" x14ac:dyDescent="0.25">
      <c r="A2241" s="115">
        <f t="shared" si="37"/>
        <v>7</v>
      </c>
      <c r="B2241" s="166" t="s">
        <v>1947</v>
      </c>
      <c r="C2241" s="167" t="s">
        <v>1952</v>
      </c>
      <c r="D2241" s="118"/>
      <c r="E2241" s="119">
        <v>5000</v>
      </c>
    </row>
    <row r="2242" spans="1:5" x14ac:dyDescent="0.25">
      <c r="A2242" s="115">
        <f t="shared" si="37"/>
        <v>8</v>
      </c>
      <c r="B2242" s="166" t="s">
        <v>1948</v>
      </c>
      <c r="C2242" s="167" t="s">
        <v>1953</v>
      </c>
      <c r="D2242" s="118"/>
      <c r="E2242" s="119">
        <v>67500</v>
      </c>
    </row>
    <row r="2243" spans="1:5" x14ac:dyDescent="0.25">
      <c r="A2243" s="115">
        <f t="shared" si="37"/>
        <v>9</v>
      </c>
      <c r="B2243" s="166" t="s">
        <v>1949</v>
      </c>
      <c r="C2243" s="167" t="s">
        <v>1954</v>
      </c>
      <c r="D2243" s="118"/>
      <c r="E2243" s="119">
        <v>12500</v>
      </c>
    </row>
    <row r="2244" spans="1:5" x14ac:dyDescent="0.25">
      <c r="A2244" s="115">
        <f t="shared" si="37"/>
        <v>10</v>
      </c>
      <c r="B2244" s="166" t="s">
        <v>819</v>
      </c>
      <c r="C2244" s="167" t="s">
        <v>1955</v>
      </c>
      <c r="D2244" s="118"/>
      <c r="E2244" s="119">
        <v>12500</v>
      </c>
    </row>
    <row r="2245" spans="1:5" x14ac:dyDescent="0.25">
      <c r="A2245" s="115">
        <f t="shared" si="37"/>
        <v>11</v>
      </c>
      <c r="B2245" s="166" t="s">
        <v>1967</v>
      </c>
      <c r="C2245" s="167" t="s">
        <v>1956</v>
      </c>
      <c r="D2245" s="118"/>
      <c r="E2245" s="119">
        <v>5000</v>
      </c>
    </row>
    <row r="2246" spans="1:5" x14ac:dyDescent="0.25">
      <c r="A2246" s="115">
        <f t="shared" si="37"/>
        <v>12</v>
      </c>
      <c r="B2246" s="166" t="s">
        <v>447</v>
      </c>
      <c r="C2246" s="167" t="s">
        <v>1957</v>
      </c>
      <c r="D2246" s="118"/>
      <c r="E2246" s="119">
        <v>5000</v>
      </c>
    </row>
    <row r="2247" spans="1:5" x14ac:dyDescent="0.25">
      <c r="A2247" s="115">
        <f t="shared" si="37"/>
        <v>13</v>
      </c>
      <c r="B2247" s="166" t="s">
        <v>1968</v>
      </c>
      <c r="C2247" s="167" t="s">
        <v>1958</v>
      </c>
      <c r="D2247" s="118"/>
      <c r="E2247" s="119">
        <v>5000</v>
      </c>
    </row>
    <row r="2248" spans="1:5" x14ac:dyDescent="0.25">
      <c r="A2248" s="115">
        <f t="shared" si="37"/>
        <v>14</v>
      </c>
      <c r="B2248" s="166" t="s">
        <v>1969</v>
      </c>
      <c r="C2248" s="167" t="s">
        <v>1959</v>
      </c>
      <c r="D2248" s="118"/>
      <c r="E2248" s="119">
        <v>12500</v>
      </c>
    </row>
    <row r="2249" spans="1:5" x14ac:dyDescent="0.25">
      <c r="A2249" s="115">
        <f t="shared" si="37"/>
        <v>15</v>
      </c>
      <c r="B2249" s="166" t="s">
        <v>1970</v>
      </c>
      <c r="C2249" s="167" t="s">
        <v>1960</v>
      </c>
      <c r="D2249" s="118"/>
      <c r="E2249" s="119">
        <v>5000</v>
      </c>
    </row>
    <row r="2250" spans="1:5" x14ac:dyDescent="0.25">
      <c r="A2250" s="115">
        <f t="shared" si="37"/>
        <v>16</v>
      </c>
      <c r="B2250" s="166" t="s">
        <v>1971</v>
      </c>
      <c r="C2250" s="167" t="s">
        <v>1961</v>
      </c>
      <c r="D2250" s="118"/>
      <c r="E2250" s="119">
        <v>5000</v>
      </c>
    </row>
    <row r="2251" spans="1:5" x14ac:dyDescent="0.25">
      <c r="A2251" s="115">
        <f t="shared" si="37"/>
        <v>17</v>
      </c>
      <c r="B2251" s="166" t="s">
        <v>1684</v>
      </c>
      <c r="C2251" s="167" t="s">
        <v>1962</v>
      </c>
      <c r="D2251" s="118"/>
      <c r="E2251" s="119">
        <v>5000</v>
      </c>
    </row>
    <row r="2252" spans="1:5" x14ac:dyDescent="0.25">
      <c r="A2252" s="115">
        <f t="shared" si="37"/>
        <v>18</v>
      </c>
      <c r="B2252" s="166" t="s">
        <v>1972</v>
      </c>
      <c r="C2252" s="167" t="s">
        <v>1963</v>
      </c>
      <c r="D2252" s="118"/>
      <c r="E2252" s="119">
        <v>12500</v>
      </c>
    </row>
    <row r="2253" spans="1:5" x14ac:dyDescent="0.25">
      <c r="A2253" s="115">
        <f t="shared" si="37"/>
        <v>19</v>
      </c>
      <c r="B2253" s="166" t="s">
        <v>1973</v>
      </c>
      <c r="C2253" s="167" t="s">
        <v>1964</v>
      </c>
      <c r="D2253" s="118"/>
      <c r="E2253" s="119">
        <v>5000</v>
      </c>
    </row>
    <row r="2254" spans="1:5" x14ac:dyDescent="0.25">
      <c r="A2254" s="115">
        <f t="shared" si="37"/>
        <v>20</v>
      </c>
      <c r="B2254" s="166" t="s">
        <v>1974</v>
      </c>
      <c r="C2254" s="167" t="s">
        <v>1965</v>
      </c>
      <c r="D2254" s="118"/>
      <c r="E2254" s="119">
        <v>32500</v>
      </c>
    </row>
    <row r="2255" spans="1:5" x14ac:dyDescent="0.25">
      <c r="A2255" s="115">
        <f t="shared" si="37"/>
        <v>21</v>
      </c>
      <c r="B2255" s="166" t="s">
        <v>617</v>
      </c>
      <c r="C2255" s="167" t="s">
        <v>608</v>
      </c>
      <c r="D2255" s="118"/>
      <c r="E2255" s="119">
        <v>5000</v>
      </c>
    </row>
    <row r="2256" spans="1:5" x14ac:dyDescent="0.25">
      <c r="A2256" s="115">
        <f t="shared" si="37"/>
        <v>22</v>
      </c>
      <c r="B2256" s="166" t="s">
        <v>1975</v>
      </c>
      <c r="C2256" s="167" t="s">
        <v>1966</v>
      </c>
      <c r="D2256" s="118"/>
      <c r="E2256" s="119">
        <v>122500</v>
      </c>
    </row>
    <row r="2257" spans="1:5" x14ac:dyDescent="0.25">
      <c r="A2257" s="115">
        <f t="shared" si="37"/>
        <v>23</v>
      </c>
      <c r="B2257" s="166" t="s">
        <v>1976</v>
      </c>
      <c r="C2257" s="167" t="s">
        <v>1977</v>
      </c>
      <c r="D2257" s="118"/>
      <c r="E2257" s="119">
        <v>5000</v>
      </c>
    </row>
    <row r="2258" spans="1:5" x14ac:dyDescent="0.25">
      <c r="A2258" s="169"/>
      <c r="B2258" s="166"/>
      <c r="C2258" s="167"/>
      <c r="D2258" s="118"/>
      <c r="E2258" s="119"/>
    </row>
    <row r="2259" spans="1:5" ht="15.75" thickBot="1" x14ac:dyDescent="0.3">
      <c r="A2259" s="120"/>
      <c r="B2259" s="577" t="s">
        <v>15</v>
      </c>
      <c r="C2259" s="578"/>
      <c r="D2259" s="579"/>
      <c r="E2259" s="121">
        <f>SUM(E2235:E2257)</f>
        <v>455000</v>
      </c>
    </row>
    <row r="2260" spans="1:5" x14ac:dyDescent="0.25">
      <c r="A2260" s="110"/>
      <c r="B2260" s="145"/>
      <c r="C2260" s="145"/>
      <c r="E2260" s="146"/>
    </row>
    <row r="2261" spans="1:5" x14ac:dyDescent="0.25">
      <c r="A2261" s="109"/>
      <c r="B2261" s="109"/>
      <c r="C2261" s="110"/>
      <c r="D2261" s="123" t="s">
        <v>1936</v>
      </c>
      <c r="E2261" s="109"/>
    </row>
    <row r="2262" spans="1:5" x14ac:dyDescent="0.25">
      <c r="D2262" s="123" t="s">
        <v>100</v>
      </c>
    </row>
    <row r="2280" spans="1:5" x14ac:dyDescent="0.25">
      <c r="A2280" s="108" t="s">
        <v>0</v>
      </c>
      <c r="B2280" s="144"/>
      <c r="C2280" s="144"/>
      <c r="D2280" s="144"/>
      <c r="E2280" s="144"/>
    </row>
    <row r="2281" spans="1:5" x14ac:dyDescent="0.25">
      <c r="A2281" s="108" t="s">
        <v>1</v>
      </c>
      <c r="B2281" s="109"/>
      <c r="C2281" s="110"/>
      <c r="D2281" s="109"/>
      <c r="E2281" s="109"/>
    </row>
    <row r="2282" spans="1:5" x14ac:dyDescent="0.25">
      <c r="A2282" s="108"/>
      <c r="B2282" s="109"/>
      <c r="C2282" s="110"/>
      <c r="D2282" s="109"/>
      <c r="E2282" s="109"/>
    </row>
    <row r="2283" spans="1:5" x14ac:dyDescent="0.25">
      <c r="A2283" s="111" t="s">
        <v>101</v>
      </c>
      <c r="B2283" s="111"/>
      <c r="C2283" s="111"/>
      <c r="D2283" s="111"/>
      <c r="E2283" s="111"/>
    </row>
    <row r="2284" spans="1:5" x14ac:dyDescent="0.25">
      <c r="A2284" s="575" t="s">
        <v>118</v>
      </c>
      <c r="B2284" s="576"/>
      <c r="C2284" s="576"/>
      <c r="D2284" s="576"/>
      <c r="E2284" s="576"/>
    </row>
    <row r="2285" spans="1:5" x14ac:dyDescent="0.25">
      <c r="A2285" s="110"/>
      <c r="B2285" s="110"/>
      <c r="C2285" s="110"/>
      <c r="D2285" s="110"/>
      <c r="E2285" s="110"/>
    </row>
    <row r="2286" spans="1:5" ht="15.75" thickBot="1" x14ac:dyDescent="0.3">
      <c r="A2286" s="109"/>
      <c r="B2286" s="109"/>
      <c r="C2286" s="110"/>
      <c r="D2286" s="109"/>
      <c r="E2286" s="124" t="s">
        <v>1978</v>
      </c>
    </row>
    <row r="2287" spans="1:5" x14ac:dyDescent="0.25">
      <c r="A2287" s="112" t="s">
        <v>21</v>
      </c>
      <c r="B2287" s="113" t="s">
        <v>96</v>
      </c>
      <c r="C2287" s="113" t="s">
        <v>97</v>
      </c>
      <c r="D2287" s="113" t="s">
        <v>91</v>
      </c>
      <c r="E2287" s="114" t="s">
        <v>15</v>
      </c>
    </row>
    <row r="2288" spans="1:5" x14ac:dyDescent="0.25">
      <c r="A2288" s="115">
        <v>1</v>
      </c>
      <c r="B2288" s="166" t="s">
        <v>1696</v>
      </c>
      <c r="C2288" s="167" t="s">
        <v>1982</v>
      </c>
      <c r="D2288" s="118"/>
      <c r="E2288" s="119">
        <v>82500</v>
      </c>
    </row>
    <row r="2289" spans="1:5" x14ac:dyDescent="0.25">
      <c r="A2289" s="115">
        <f>A2288+1</f>
        <v>2</v>
      </c>
      <c r="B2289" s="166" t="s">
        <v>641</v>
      </c>
      <c r="C2289" s="167" t="s">
        <v>1983</v>
      </c>
      <c r="D2289" s="118"/>
      <c r="E2289" s="119">
        <v>12500</v>
      </c>
    </row>
    <row r="2290" spans="1:5" x14ac:dyDescent="0.25">
      <c r="A2290" s="115">
        <f t="shared" ref="A2290:A2313" si="38">A2289+1</f>
        <v>3</v>
      </c>
      <c r="B2290" s="166" t="s">
        <v>1980</v>
      </c>
      <c r="C2290" s="167" t="s">
        <v>1984</v>
      </c>
      <c r="D2290" s="118"/>
      <c r="E2290" s="119">
        <v>12500</v>
      </c>
    </row>
    <row r="2291" spans="1:5" x14ac:dyDescent="0.25">
      <c r="A2291" s="115">
        <f t="shared" si="38"/>
        <v>4</v>
      </c>
      <c r="B2291" s="166" t="s">
        <v>1981</v>
      </c>
      <c r="C2291" s="167" t="s">
        <v>1985</v>
      </c>
      <c r="D2291" s="118"/>
      <c r="E2291" s="119">
        <v>5000</v>
      </c>
    </row>
    <row r="2292" spans="1:5" x14ac:dyDescent="0.25">
      <c r="A2292" s="115">
        <f t="shared" si="38"/>
        <v>5</v>
      </c>
      <c r="B2292" s="166" t="s">
        <v>1993</v>
      </c>
      <c r="C2292" s="167" t="s">
        <v>1986</v>
      </c>
      <c r="D2292" s="118"/>
      <c r="E2292" s="119">
        <v>52500</v>
      </c>
    </row>
    <row r="2293" spans="1:5" x14ac:dyDescent="0.25">
      <c r="A2293" s="115">
        <f t="shared" si="38"/>
        <v>6</v>
      </c>
      <c r="B2293" s="166" t="s">
        <v>1994</v>
      </c>
      <c r="C2293" s="167" t="s">
        <v>1987</v>
      </c>
      <c r="D2293" s="118"/>
      <c r="E2293" s="119">
        <v>10000</v>
      </c>
    </row>
    <row r="2294" spans="1:5" x14ac:dyDescent="0.25">
      <c r="A2294" s="115">
        <f t="shared" si="38"/>
        <v>7</v>
      </c>
      <c r="B2294" s="166" t="s">
        <v>1995</v>
      </c>
      <c r="C2294" s="167" t="s">
        <v>1988</v>
      </c>
      <c r="D2294" s="118"/>
      <c r="E2294" s="119">
        <v>5000</v>
      </c>
    </row>
    <row r="2295" spans="1:5" x14ac:dyDescent="0.25">
      <c r="A2295" s="115">
        <f t="shared" si="38"/>
        <v>8</v>
      </c>
      <c r="B2295" s="166" t="s">
        <v>137</v>
      </c>
      <c r="C2295" s="167" t="s">
        <v>1989</v>
      </c>
      <c r="D2295" s="118"/>
      <c r="E2295" s="119">
        <v>5000</v>
      </c>
    </row>
    <row r="2296" spans="1:5" x14ac:dyDescent="0.25">
      <c r="A2296" s="115">
        <f t="shared" si="38"/>
        <v>9</v>
      </c>
      <c r="B2296" s="166" t="s">
        <v>1996</v>
      </c>
      <c r="C2296" s="167" t="s">
        <v>1990</v>
      </c>
      <c r="D2296" s="118"/>
      <c r="E2296" s="119">
        <v>5000</v>
      </c>
    </row>
    <row r="2297" spans="1:5" x14ac:dyDescent="0.25">
      <c r="A2297" s="115">
        <f t="shared" si="38"/>
        <v>10</v>
      </c>
      <c r="B2297" s="166" t="s">
        <v>1997</v>
      </c>
      <c r="C2297" s="167" t="s">
        <v>1991</v>
      </c>
      <c r="D2297" s="118"/>
      <c r="E2297" s="119">
        <v>22500</v>
      </c>
    </row>
    <row r="2298" spans="1:5" x14ac:dyDescent="0.25">
      <c r="A2298" s="115">
        <f t="shared" si="38"/>
        <v>11</v>
      </c>
      <c r="B2298" s="166" t="s">
        <v>1998</v>
      </c>
      <c r="C2298" s="167" t="s">
        <v>1992</v>
      </c>
      <c r="D2298" s="118"/>
      <c r="E2298" s="119">
        <v>5000</v>
      </c>
    </row>
    <row r="2299" spans="1:5" x14ac:dyDescent="0.25">
      <c r="A2299" s="115">
        <f t="shared" si="38"/>
        <v>12</v>
      </c>
      <c r="B2299" s="166" t="s">
        <v>1999</v>
      </c>
      <c r="C2299" s="167" t="s">
        <v>2009</v>
      </c>
      <c r="D2299" s="118"/>
      <c r="E2299" s="119">
        <v>12500</v>
      </c>
    </row>
    <row r="2300" spans="1:5" x14ac:dyDescent="0.25">
      <c r="A2300" s="115">
        <f t="shared" si="38"/>
        <v>13</v>
      </c>
      <c r="B2300" s="166" t="s">
        <v>2000</v>
      </c>
      <c r="C2300" s="167" t="s">
        <v>2010</v>
      </c>
      <c r="D2300" s="118"/>
      <c r="E2300" s="119">
        <v>12500</v>
      </c>
    </row>
    <row r="2301" spans="1:5" x14ac:dyDescent="0.25">
      <c r="A2301" s="115">
        <f t="shared" si="38"/>
        <v>14</v>
      </c>
      <c r="B2301" s="166" t="s">
        <v>2001</v>
      </c>
      <c r="C2301" s="167" t="s">
        <v>2011</v>
      </c>
      <c r="D2301" s="118"/>
      <c r="E2301" s="119">
        <v>5000</v>
      </c>
    </row>
    <row r="2302" spans="1:5" x14ac:dyDescent="0.25">
      <c r="A2302" s="115">
        <f t="shared" si="38"/>
        <v>15</v>
      </c>
      <c r="B2302" s="166" t="s">
        <v>2002</v>
      </c>
      <c r="C2302" s="167" t="s">
        <v>2012</v>
      </c>
      <c r="D2302" s="118"/>
      <c r="E2302" s="119">
        <v>12500</v>
      </c>
    </row>
    <row r="2303" spans="1:5" x14ac:dyDescent="0.25">
      <c r="A2303" s="115">
        <f t="shared" si="38"/>
        <v>16</v>
      </c>
      <c r="B2303" s="166" t="s">
        <v>2003</v>
      </c>
      <c r="C2303" s="167" t="s">
        <v>2013</v>
      </c>
      <c r="D2303" s="118"/>
      <c r="E2303" s="119">
        <v>5000</v>
      </c>
    </row>
    <row r="2304" spans="1:5" x14ac:dyDescent="0.25">
      <c r="A2304" s="115">
        <f t="shared" si="38"/>
        <v>17</v>
      </c>
      <c r="B2304" s="166" t="s">
        <v>2004</v>
      </c>
      <c r="C2304" s="167" t="s">
        <v>2014</v>
      </c>
      <c r="D2304" s="118"/>
      <c r="E2304" s="119">
        <v>5000</v>
      </c>
    </row>
    <row r="2305" spans="1:5" x14ac:dyDescent="0.25">
      <c r="A2305" s="115">
        <f t="shared" si="38"/>
        <v>18</v>
      </c>
      <c r="B2305" s="166" t="s">
        <v>1014</v>
      </c>
      <c r="C2305" s="167" t="s">
        <v>1265</v>
      </c>
      <c r="D2305" s="118"/>
      <c r="E2305" s="119">
        <v>10000</v>
      </c>
    </row>
    <row r="2306" spans="1:5" x14ac:dyDescent="0.25">
      <c r="A2306" s="115">
        <f t="shared" si="38"/>
        <v>19</v>
      </c>
      <c r="B2306" s="166" t="s">
        <v>2005</v>
      </c>
      <c r="C2306" s="167" t="s">
        <v>2015</v>
      </c>
      <c r="D2306" s="118"/>
      <c r="E2306" s="119">
        <v>12500</v>
      </c>
    </row>
    <row r="2307" spans="1:5" x14ac:dyDescent="0.25">
      <c r="A2307" s="115">
        <f t="shared" si="38"/>
        <v>20</v>
      </c>
      <c r="B2307" s="166" t="s">
        <v>2006</v>
      </c>
      <c r="C2307" s="167" t="s">
        <v>2016</v>
      </c>
      <c r="D2307" s="118"/>
      <c r="E2307" s="119">
        <v>5000</v>
      </c>
    </row>
    <row r="2308" spans="1:5" x14ac:dyDescent="0.25">
      <c r="A2308" s="115">
        <f t="shared" si="38"/>
        <v>21</v>
      </c>
      <c r="B2308" s="166" t="s">
        <v>2007</v>
      </c>
      <c r="C2308" s="167" t="s">
        <v>2017</v>
      </c>
      <c r="D2308" s="118"/>
      <c r="E2308" s="119">
        <v>5000</v>
      </c>
    </row>
    <row r="2309" spans="1:5" x14ac:dyDescent="0.25">
      <c r="A2309" s="115">
        <f t="shared" si="38"/>
        <v>22</v>
      </c>
      <c r="B2309" s="166" t="s">
        <v>2008</v>
      </c>
      <c r="C2309" s="167" t="s">
        <v>2018</v>
      </c>
      <c r="D2309" s="118"/>
      <c r="E2309" s="119">
        <v>22500</v>
      </c>
    </row>
    <row r="2310" spans="1:5" x14ac:dyDescent="0.25">
      <c r="A2310" s="115">
        <f t="shared" si="38"/>
        <v>23</v>
      </c>
      <c r="B2310" s="166" t="s">
        <v>2023</v>
      </c>
      <c r="C2310" s="167" t="s">
        <v>2019</v>
      </c>
      <c r="D2310" s="118"/>
      <c r="E2310" s="119">
        <v>22500</v>
      </c>
    </row>
    <row r="2311" spans="1:5" x14ac:dyDescent="0.25">
      <c r="A2311" s="115">
        <f t="shared" si="38"/>
        <v>24</v>
      </c>
      <c r="B2311" s="166" t="s">
        <v>2024</v>
      </c>
      <c r="C2311" s="167" t="s">
        <v>2020</v>
      </c>
      <c r="D2311" s="118"/>
      <c r="E2311" s="119">
        <v>12500</v>
      </c>
    </row>
    <row r="2312" spans="1:5" x14ac:dyDescent="0.25">
      <c r="A2312" s="115">
        <f t="shared" si="38"/>
        <v>25</v>
      </c>
      <c r="B2312" s="166" t="s">
        <v>2025</v>
      </c>
      <c r="C2312" s="167" t="s">
        <v>2021</v>
      </c>
      <c r="D2312" s="118"/>
      <c r="E2312" s="119">
        <v>5000</v>
      </c>
    </row>
    <row r="2313" spans="1:5" x14ac:dyDescent="0.25">
      <c r="A2313" s="115">
        <f t="shared" si="38"/>
        <v>26</v>
      </c>
      <c r="B2313" s="166" t="s">
        <v>2026</v>
      </c>
      <c r="C2313" s="167" t="s">
        <v>2022</v>
      </c>
      <c r="D2313" s="118"/>
      <c r="E2313" s="171">
        <v>12500</v>
      </c>
    </row>
    <row r="2314" spans="1:5" x14ac:dyDescent="0.25">
      <c r="A2314" s="169"/>
      <c r="B2314" s="166"/>
      <c r="C2314" s="167"/>
      <c r="D2314" s="170"/>
      <c r="E2314" s="171"/>
    </row>
    <row r="2315" spans="1:5" ht="15.75" thickBot="1" x14ac:dyDescent="0.3">
      <c r="A2315" s="120"/>
      <c r="B2315" s="577" t="s">
        <v>15</v>
      </c>
      <c r="C2315" s="578"/>
      <c r="D2315" s="579"/>
      <c r="E2315" s="121">
        <f>SUM(E2288:E2313)</f>
        <v>377500</v>
      </c>
    </row>
    <row r="2316" spans="1:5" x14ac:dyDescent="0.25">
      <c r="A2316" s="110"/>
      <c r="B2316" s="145"/>
      <c r="C2316" s="145"/>
      <c r="E2316" s="146"/>
    </row>
    <row r="2317" spans="1:5" x14ac:dyDescent="0.25">
      <c r="A2317" s="109"/>
      <c r="B2317" s="109"/>
      <c r="C2317" s="110"/>
      <c r="D2317" s="123" t="s">
        <v>1979</v>
      </c>
      <c r="E2317" s="109"/>
    </row>
    <row r="2318" spans="1:5" x14ac:dyDescent="0.25">
      <c r="D2318" s="123" t="s">
        <v>100</v>
      </c>
    </row>
    <row r="2333" spans="1:5" x14ac:dyDescent="0.25">
      <c r="A2333" s="108" t="s">
        <v>0</v>
      </c>
      <c r="B2333" s="144"/>
      <c r="C2333" s="144"/>
      <c r="D2333" s="144"/>
      <c r="E2333" s="144"/>
    </row>
    <row r="2334" spans="1:5" x14ac:dyDescent="0.25">
      <c r="A2334" s="108" t="s">
        <v>1</v>
      </c>
      <c r="B2334" s="109"/>
      <c r="C2334" s="110"/>
      <c r="D2334" s="109"/>
      <c r="E2334" s="109"/>
    </row>
    <row r="2335" spans="1:5" x14ac:dyDescent="0.25">
      <c r="A2335" s="108"/>
      <c r="B2335" s="109"/>
      <c r="C2335" s="110"/>
      <c r="D2335" s="109"/>
      <c r="E2335" s="109"/>
    </row>
    <row r="2336" spans="1:5" x14ac:dyDescent="0.25">
      <c r="A2336" s="111" t="s">
        <v>101</v>
      </c>
      <c r="B2336" s="111"/>
      <c r="C2336" s="111"/>
      <c r="D2336" s="111"/>
      <c r="E2336" s="111"/>
    </row>
    <row r="2337" spans="1:5" x14ac:dyDescent="0.25">
      <c r="A2337" s="575" t="s">
        <v>118</v>
      </c>
      <c r="B2337" s="576"/>
      <c r="C2337" s="576"/>
      <c r="D2337" s="576"/>
      <c r="E2337" s="576"/>
    </row>
    <row r="2338" spans="1:5" x14ac:dyDescent="0.25">
      <c r="A2338" s="110"/>
      <c r="B2338" s="110"/>
      <c r="C2338" s="110"/>
      <c r="D2338" s="110"/>
      <c r="E2338" s="110"/>
    </row>
    <row r="2339" spans="1:5" ht="15.75" thickBot="1" x14ac:dyDescent="0.3">
      <c r="A2339" s="109"/>
      <c r="B2339" s="109"/>
      <c r="C2339" s="110"/>
      <c r="D2339" s="109"/>
      <c r="E2339" s="124" t="s">
        <v>2027</v>
      </c>
    </row>
    <row r="2340" spans="1:5" x14ac:dyDescent="0.25">
      <c r="A2340" s="112" t="s">
        <v>21</v>
      </c>
      <c r="B2340" s="113" t="s">
        <v>96</v>
      </c>
      <c r="C2340" s="113" t="s">
        <v>97</v>
      </c>
      <c r="D2340" s="113" t="s">
        <v>91</v>
      </c>
      <c r="E2340" s="114" t="s">
        <v>15</v>
      </c>
    </row>
    <row r="2341" spans="1:5" x14ac:dyDescent="0.25">
      <c r="A2341" s="115">
        <v>1</v>
      </c>
      <c r="B2341" s="166" t="s">
        <v>2029</v>
      </c>
      <c r="C2341" s="167" t="s">
        <v>2032</v>
      </c>
      <c r="D2341" s="118"/>
      <c r="E2341" s="119">
        <v>5000</v>
      </c>
    </row>
    <row r="2342" spans="1:5" x14ac:dyDescent="0.25">
      <c r="A2342" s="115">
        <f>A2341+1</f>
        <v>2</v>
      </c>
      <c r="B2342" s="166" t="s">
        <v>2030</v>
      </c>
      <c r="C2342" s="167" t="s">
        <v>2033</v>
      </c>
      <c r="D2342" s="118"/>
      <c r="E2342" s="119">
        <v>12500</v>
      </c>
    </row>
    <row r="2343" spans="1:5" x14ac:dyDescent="0.25">
      <c r="A2343" s="115">
        <f t="shared" ref="A2343:A2349" si="39">A2342+1</f>
        <v>3</v>
      </c>
      <c r="B2343" s="166" t="s">
        <v>2031</v>
      </c>
      <c r="C2343" s="167" t="s">
        <v>2034</v>
      </c>
      <c r="D2343" s="118"/>
      <c r="E2343" s="119">
        <v>102500</v>
      </c>
    </row>
    <row r="2344" spans="1:5" x14ac:dyDescent="0.25">
      <c r="A2344" s="115">
        <f t="shared" si="39"/>
        <v>4</v>
      </c>
      <c r="B2344" s="166" t="s">
        <v>2036</v>
      </c>
      <c r="C2344" s="167" t="s">
        <v>2035</v>
      </c>
      <c r="D2344" s="118"/>
      <c r="E2344" s="119">
        <v>117500</v>
      </c>
    </row>
    <row r="2345" spans="1:5" x14ac:dyDescent="0.25">
      <c r="A2345" s="115">
        <f t="shared" si="39"/>
        <v>5</v>
      </c>
      <c r="B2345" s="166" t="s">
        <v>2037</v>
      </c>
      <c r="C2345" s="167" t="s">
        <v>2039</v>
      </c>
      <c r="D2345" s="118"/>
      <c r="E2345" s="119">
        <v>5000</v>
      </c>
    </row>
    <row r="2346" spans="1:5" x14ac:dyDescent="0.25">
      <c r="A2346" s="115">
        <f t="shared" si="39"/>
        <v>6</v>
      </c>
      <c r="B2346" s="166" t="s">
        <v>1346</v>
      </c>
      <c r="C2346" s="167" t="s">
        <v>2040</v>
      </c>
      <c r="D2346" s="118"/>
      <c r="E2346" s="119">
        <v>12500</v>
      </c>
    </row>
    <row r="2347" spans="1:5" x14ac:dyDescent="0.25">
      <c r="A2347" s="115">
        <f t="shared" si="39"/>
        <v>7</v>
      </c>
      <c r="B2347" s="166" t="s">
        <v>2038</v>
      </c>
      <c r="C2347" s="167" t="s">
        <v>2041</v>
      </c>
      <c r="D2347" s="118"/>
      <c r="E2347" s="119">
        <v>12500</v>
      </c>
    </row>
    <row r="2348" spans="1:5" x14ac:dyDescent="0.25">
      <c r="A2348" s="115">
        <f t="shared" si="39"/>
        <v>8</v>
      </c>
      <c r="B2348" s="166" t="s">
        <v>1621</v>
      </c>
      <c r="C2348" s="167" t="s">
        <v>2042</v>
      </c>
      <c r="D2348" s="118"/>
      <c r="E2348" s="119">
        <v>5000</v>
      </c>
    </row>
    <row r="2349" spans="1:5" x14ac:dyDescent="0.25">
      <c r="A2349" s="115">
        <f t="shared" si="39"/>
        <v>9</v>
      </c>
      <c r="B2349" s="166" t="s">
        <v>1621</v>
      </c>
      <c r="C2349" s="167" t="s">
        <v>2043</v>
      </c>
      <c r="D2349" s="118"/>
      <c r="E2349" s="119">
        <v>5000</v>
      </c>
    </row>
    <row r="2350" spans="1:5" x14ac:dyDescent="0.25">
      <c r="A2350" s="169"/>
      <c r="B2350" s="166"/>
      <c r="C2350" s="167"/>
      <c r="D2350" s="170"/>
      <c r="E2350" s="171"/>
    </row>
    <row r="2351" spans="1:5" ht="15.75" thickBot="1" x14ac:dyDescent="0.3">
      <c r="A2351" s="120"/>
      <c r="B2351" s="577" t="s">
        <v>15</v>
      </c>
      <c r="C2351" s="578"/>
      <c r="D2351" s="579"/>
      <c r="E2351" s="121">
        <f>SUM(E2341:E2349)</f>
        <v>277500</v>
      </c>
    </row>
    <row r="2352" spans="1:5" x14ac:dyDescent="0.25">
      <c r="A2352" s="110"/>
      <c r="B2352" s="145"/>
      <c r="C2352" s="145"/>
      <c r="E2352" s="146"/>
    </row>
    <row r="2353" spans="1:5" x14ac:dyDescent="0.25">
      <c r="A2353" s="109"/>
      <c r="B2353" s="109"/>
      <c r="C2353" s="110"/>
      <c r="D2353" s="123" t="s">
        <v>2028</v>
      </c>
      <c r="E2353" s="109"/>
    </row>
    <row r="2354" spans="1:5" x14ac:dyDescent="0.25">
      <c r="D2354" s="123" t="s">
        <v>100</v>
      </c>
    </row>
    <row r="2386" spans="1:5" x14ac:dyDescent="0.25">
      <c r="A2386" s="108" t="s">
        <v>0</v>
      </c>
      <c r="B2386" s="144"/>
      <c r="C2386" s="144"/>
      <c r="D2386" s="144"/>
      <c r="E2386" s="144"/>
    </row>
    <row r="2387" spans="1:5" x14ac:dyDescent="0.25">
      <c r="A2387" s="108" t="s">
        <v>1</v>
      </c>
      <c r="B2387" s="109"/>
      <c r="C2387" s="110"/>
      <c r="D2387" s="109"/>
      <c r="E2387" s="109"/>
    </row>
    <row r="2388" spans="1:5" x14ac:dyDescent="0.25">
      <c r="A2388" s="108"/>
      <c r="B2388" s="109"/>
      <c r="C2388" s="110"/>
      <c r="D2388" s="109"/>
      <c r="E2388" s="109"/>
    </row>
    <row r="2389" spans="1:5" x14ac:dyDescent="0.25">
      <c r="A2389" s="111" t="s">
        <v>101</v>
      </c>
      <c r="B2389" s="111"/>
      <c r="C2389" s="111"/>
      <c r="D2389" s="111"/>
      <c r="E2389" s="111"/>
    </row>
    <row r="2390" spans="1:5" x14ac:dyDescent="0.25">
      <c r="A2390" s="575" t="s">
        <v>118</v>
      </c>
      <c r="B2390" s="576"/>
      <c r="C2390" s="576"/>
      <c r="D2390" s="576"/>
      <c r="E2390" s="576"/>
    </row>
    <row r="2391" spans="1:5" x14ac:dyDescent="0.25">
      <c r="A2391" s="110"/>
      <c r="B2391" s="110"/>
      <c r="C2391" s="110"/>
      <c r="D2391" s="110"/>
      <c r="E2391" s="110"/>
    </row>
    <row r="2392" spans="1:5" ht="15.75" thickBot="1" x14ac:dyDescent="0.3">
      <c r="A2392" s="109"/>
      <c r="B2392" s="109"/>
      <c r="C2392" s="110"/>
      <c r="D2392" s="109"/>
      <c r="E2392" s="124" t="s">
        <v>2044</v>
      </c>
    </row>
    <row r="2393" spans="1:5" x14ac:dyDescent="0.25">
      <c r="A2393" s="112" t="s">
        <v>21</v>
      </c>
      <c r="B2393" s="113" t="s">
        <v>96</v>
      </c>
      <c r="C2393" s="113" t="s">
        <v>97</v>
      </c>
      <c r="D2393" s="113" t="s">
        <v>91</v>
      </c>
      <c r="E2393" s="114" t="s">
        <v>15</v>
      </c>
    </row>
    <row r="2394" spans="1:5" x14ac:dyDescent="0.25">
      <c r="A2394" s="115">
        <v>1</v>
      </c>
      <c r="B2394" s="166" t="s">
        <v>2046</v>
      </c>
      <c r="C2394" s="167" t="s">
        <v>2047</v>
      </c>
      <c r="D2394" s="118"/>
      <c r="E2394" s="119">
        <v>5000</v>
      </c>
    </row>
    <row r="2395" spans="1:5" x14ac:dyDescent="0.25">
      <c r="A2395" s="115">
        <f>A2394+1</f>
        <v>2</v>
      </c>
      <c r="B2395" s="166" t="s">
        <v>453</v>
      </c>
      <c r="C2395" s="167" t="s">
        <v>458</v>
      </c>
      <c r="D2395" s="118"/>
      <c r="E2395" s="119">
        <v>12500</v>
      </c>
    </row>
    <row r="2396" spans="1:5" x14ac:dyDescent="0.25">
      <c r="A2396" s="115">
        <f t="shared" ref="A2396:A2423" si="40">A2395+1</f>
        <v>3</v>
      </c>
      <c r="B2396" s="166" t="s">
        <v>2048</v>
      </c>
      <c r="C2396" s="167" t="s">
        <v>2055</v>
      </c>
      <c r="D2396" s="118"/>
      <c r="E2396" s="172">
        <v>5000</v>
      </c>
    </row>
    <row r="2397" spans="1:5" x14ac:dyDescent="0.25">
      <c r="A2397" s="115">
        <f t="shared" si="40"/>
        <v>4</v>
      </c>
      <c r="B2397" s="166" t="s">
        <v>2049</v>
      </c>
      <c r="C2397" s="167" t="s">
        <v>2056</v>
      </c>
      <c r="D2397" s="118"/>
      <c r="E2397" s="172">
        <v>12500</v>
      </c>
    </row>
    <row r="2398" spans="1:5" x14ac:dyDescent="0.25">
      <c r="A2398" s="115">
        <f t="shared" si="40"/>
        <v>5</v>
      </c>
      <c r="B2398" s="166" t="s">
        <v>2050</v>
      </c>
      <c r="C2398" s="167" t="s">
        <v>2057</v>
      </c>
      <c r="D2398" s="118"/>
      <c r="E2398" s="172">
        <v>12500</v>
      </c>
    </row>
    <row r="2399" spans="1:5" x14ac:dyDescent="0.25">
      <c r="A2399" s="115">
        <f t="shared" si="40"/>
        <v>6</v>
      </c>
      <c r="B2399" s="166" t="s">
        <v>2051</v>
      </c>
      <c r="C2399" s="167" t="s">
        <v>2058</v>
      </c>
      <c r="D2399" s="118"/>
      <c r="E2399" s="172">
        <v>5000</v>
      </c>
    </row>
    <row r="2400" spans="1:5" x14ac:dyDescent="0.25">
      <c r="A2400" s="115">
        <f t="shared" si="40"/>
        <v>7</v>
      </c>
      <c r="B2400" s="166" t="s">
        <v>2052</v>
      </c>
      <c r="C2400" s="167" t="s">
        <v>2059</v>
      </c>
      <c r="D2400" s="118"/>
      <c r="E2400" s="119">
        <v>12500</v>
      </c>
    </row>
    <row r="2401" spans="1:5" x14ac:dyDescent="0.25">
      <c r="A2401" s="115">
        <f t="shared" si="40"/>
        <v>8</v>
      </c>
      <c r="B2401" s="166" t="s">
        <v>1087</v>
      </c>
      <c r="C2401" s="167" t="s">
        <v>1083</v>
      </c>
      <c r="D2401" s="118"/>
      <c r="E2401" s="119">
        <v>5000</v>
      </c>
    </row>
    <row r="2402" spans="1:5" x14ac:dyDescent="0.25">
      <c r="A2402" s="115">
        <f t="shared" si="40"/>
        <v>9</v>
      </c>
      <c r="B2402" s="166" t="s">
        <v>2053</v>
      </c>
      <c r="C2402" s="167" t="s">
        <v>2060</v>
      </c>
      <c r="D2402" s="118"/>
      <c r="E2402" s="119">
        <v>5000</v>
      </c>
    </row>
    <row r="2403" spans="1:5" x14ac:dyDescent="0.25">
      <c r="A2403" s="115">
        <f t="shared" si="40"/>
        <v>10</v>
      </c>
      <c r="B2403" s="166" t="s">
        <v>2054</v>
      </c>
      <c r="C2403" s="167" t="s">
        <v>2061</v>
      </c>
      <c r="D2403" s="118"/>
      <c r="E2403" s="119">
        <v>60000</v>
      </c>
    </row>
    <row r="2404" spans="1:5" x14ac:dyDescent="0.25">
      <c r="A2404" s="115">
        <f t="shared" si="40"/>
        <v>11</v>
      </c>
      <c r="B2404" s="166" t="s">
        <v>2066</v>
      </c>
      <c r="C2404" s="167" t="s">
        <v>2062</v>
      </c>
      <c r="D2404" s="118"/>
      <c r="E2404" s="119">
        <v>12500</v>
      </c>
    </row>
    <row r="2405" spans="1:5" x14ac:dyDescent="0.25">
      <c r="A2405" s="115">
        <f t="shared" si="40"/>
        <v>12</v>
      </c>
      <c r="B2405" s="166" t="s">
        <v>2067</v>
      </c>
      <c r="C2405" s="167" t="s">
        <v>2063</v>
      </c>
      <c r="D2405" s="118"/>
      <c r="E2405" s="119">
        <v>12500</v>
      </c>
    </row>
    <row r="2406" spans="1:5" x14ac:dyDescent="0.25">
      <c r="A2406" s="115">
        <f t="shared" si="40"/>
        <v>13</v>
      </c>
      <c r="B2406" s="166" t="s">
        <v>2068</v>
      </c>
      <c r="C2406" s="167" t="s">
        <v>2064</v>
      </c>
      <c r="D2406" s="118"/>
      <c r="E2406" s="119">
        <v>32500</v>
      </c>
    </row>
    <row r="2407" spans="1:5" x14ac:dyDescent="0.25">
      <c r="A2407" s="115">
        <f t="shared" si="40"/>
        <v>14</v>
      </c>
      <c r="B2407" s="166" t="s">
        <v>2069</v>
      </c>
      <c r="C2407" s="167" t="s">
        <v>2065</v>
      </c>
      <c r="D2407" s="118"/>
      <c r="E2407" s="119">
        <v>5000</v>
      </c>
    </row>
    <row r="2408" spans="1:5" x14ac:dyDescent="0.25">
      <c r="A2408" s="115">
        <f t="shared" si="40"/>
        <v>15</v>
      </c>
      <c r="B2408" s="166" t="s">
        <v>2070</v>
      </c>
      <c r="C2408" s="167" t="s">
        <v>2074</v>
      </c>
      <c r="D2408" s="118"/>
      <c r="E2408" s="119">
        <v>5000</v>
      </c>
    </row>
    <row r="2409" spans="1:5" x14ac:dyDescent="0.25">
      <c r="A2409" s="115">
        <f t="shared" si="40"/>
        <v>16</v>
      </c>
      <c r="B2409" s="166" t="s">
        <v>2071</v>
      </c>
      <c r="C2409" s="167" t="s">
        <v>2075</v>
      </c>
      <c r="D2409" s="118"/>
      <c r="E2409" s="119">
        <v>22500</v>
      </c>
    </row>
    <row r="2410" spans="1:5" x14ac:dyDescent="0.25">
      <c r="A2410" s="115">
        <f t="shared" si="40"/>
        <v>17</v>
      </c>
      <c r="B2410" s="166" t="s">
        <v>2072</v>
      </c>
      <c r="C2410" s="167" t="s">
        <v>2076</v>
      </c>
      <c r="D2410" s="118"/>
      <c r="E2410" s="119">
        <v>5000</v>
      </c>
    </row>
    <row r="2411" spans="1:5" x14ac:dyDescent="0.25">
      <c r="A2411" s="115">
        <f t="shared" si="40"/>
        <v>18</v>
      </c>
      <c r="B2411" s="166" t="s">
        <v>2073</v>
      </c>
      <c r="C2411" s="167" t="s">
        <v>2077</v>
      </c>
      <c r="D2411" s="118"/>
      <c r="E2411" s="119">
        <v>5000</v>
      </c>
    </row>
    <row r="2412" spans="1:5" x14ac:dyDescent="0.25">
      <c r="A2412" s="115">
        <f t="shared" si="40"/>
        <v>19</v>
      </c>
      <c r="B2412" s="166" t="s">
        <v>2084</v>
      </c>
      <c r="C2412" s="167" t="s">
        <v>2078</v>
      </c>
      <c r="D2412" s="118"/>
      <c r="E2412" s="119">
        <v>5000</v>
      </c>
    </row>
    <row r="2413" spans="1:5" x14ac:dyDescent="0.25">
      <c r="A2413" s="115">
        <f t="shared" si="40"/>
        <v>20</v>
      </c>
      <c r="B2413" s="166" t="s">
        <v>2085</v>
      </c>
      <c r="C2413" s="167" t="s">
        <v>2079</v>
      </c>
      <c r="D2413" s="118"/>
      <c r="E2413" s="119">
        <v>5000</v>
      </c>
    </row>
    <row r="2414" spans="1:5" x14ac:dyDescent="0.25">
      <c r="A2414" s="115">
        <f t="shared" si="40"/>
        <v>21</v>
      </c>
      <c r="B2414" s="166" t="s">
        <v>2086</v>
      </c>
      <c r="C2414" s="167" t="s">
        <v>2080</v>
      </c>
      <c r="D2414" s="118"/>
      <c r="E2414" s="119">
        <v>12500</v>
      </c>
    </row>
    <row r="2415" spans="1:5" x14ac:dyDescent="0.25">
      <c r="A2415" s="115">
        <f t="shared" si="40"/>
        <v>22</v>
      </c>
      <c r="B2415" s="166" t="s">
        <v>2087</v>
      </c>
      <c r="C2415" s="167" t="s">
        <v>2081</v>
      </c>
      <c r="D2415" s="118"/>
      <c r="E2415" s="119">
        <v>5000</v>
      </c>
    </row>
    <row r="2416" spans="1:5" x14ac:dyDescent="0.25">
      <c r="A2416" s="115">
        <f t="shared" si="40"/>
        <v>23</v>
      </c>
      <c r="B2416" s="166" t="s">
        <v>2088</v>
      </c>
      <c r="C2416" s="167" t="s">
        <v>2082</v>
      </c>
      <c r="D2416" s="118"/>
      <c r="E2416" s="119">
        <v>5000</v>
      </c>
    </row>
    <row r="2417" spans="1:5" x14ac:dyDescent="0.25">
      <c r="A2417" s="115">
        <f t="shared" si="40"/>
        <v>24</v>
      </c>
      <c r="B2417" s="166" t="s">
        <v>2089</v>
      </c>
      <c r="C2417" s="167" t="s">
        <v>2083</v>
      </c>
      <c r="D2417" s="118"/>
      <c r="E2417" s="119">
        <v>5000</v>
      </c>
    </row>
    <row r="2418" spans="1:5" x14ac:dyDescent="0.25">
      <c r="A2418" s="115">
        <f t="shared" si="40"/>
        <v>25</v>
      </c>
      <c r="B2418" s="166" t="s">
        <v>2090</v>
      </c>
      <c r="C2418" s="167" t="s">
        <v>2094</v>
      </c>
      <c r="D2418" s="118"/>
      <c r="E2418" s="119">
        <v>12500</v>
      </c>
    </row>
    <row r="2419" spans="1:5" x14ac:dyDescent="0.25">
      <c r="A2419" s="115">
        <f t="shared" si="40"/>
        <v>26</v>
      </c>
      <c r="B2419" s="166" t="s">
        <v>2091</v>
      </c>
      <c r="C2419" s="167" t="s">
        <v>2095</v>
      </c>
      <c r="D2419" s="118"/>
      <c r="E2419" s="119">
        <v>5000</v>
      </c>
    </row>
    <row r="2420" spans="1:5" x14ac:dyDescent="0.25">
      <c r="A2420" s="115">
        <f t="shared" si="40"/>
        <v>27</v>
      </c>
      <c r="B2420" s="166" t="s">
        <v>2092</v>
      </c>
      <c r="C2420" s="167" t="s">
        <v>2096</v>
      </c>
      <c r="D2420" s="118"/>
      <c r="E2420" s="119">
        <v>10000</v>
      </c>
    </row>
    <row r="2421" spans="1:5" x14ac:dyDescent="0.25">
      <c r="A2421" s="115">
        <f t="shared" si="40"/>
        <v>28</v>
      </c>
      <c r="B2421" s="166" t="s">
        <v>2093</v>
      </c>
      <c r="C2421" s="167" t="s">
        <v>2097</v>
      </c>
      <c r="D2421" s="118"/>
      <c r="E2421" s="119">
        <v>22500</v>
      </c>
    </row>
    <row r="2422" spans="1:5" x14ac:dyDescent="0.25">
      <c r="A2422" s="115">
        <f t="shared" si="40"/>
        <v>29</v>
      </c>
      <c r="B2422" s="166" t="s">
        <v>2100</v>
      </c>
      <c r="C2422" s="167" t="s">
        <v>2098</v>
      </c>
      <c r="D2422" s="118"/>
      <c r="E2422" s="119">
        <v>5000</v>
      </c>
    </row>
    <row r="2423" spans="1:5" x14ac:dyDescent="0.25">
      <c r="A2423" s="115">
        <f t="shared" si="40"/>
        <v>30</v>
      </c>
      <c r="B2423" s="166" t="s">
        <v>2101</v>
      </c>
      <c r="C2423" s="167" t="s">
        <v>2099</v>
      </c>
      <c r="D2423" s="118"/>
      <c r="E2423" s="119">
        <v>5000</v>
      </c>
    </row>
    <row r="2424" spans="1:5" x14ac:dyDescent="0.25">
      <c r="A2424" s="169"/>
      <c r="B2424" s="166"/>
      <c r="C2424" s="167"/>
      <c r="D2424" s="170"/>
      <c r="E2424" s="171"/>
    </row>
    <row r="2425" spans="1:5" ht="15.75" thickBot="1" x14ac:dyDescent="0.3">
      <c r="A2425" s="120"/>
      <c r="B2425" s="577" t="s">
        <v>15</v>
      </c>
      <c r="C2425" s="578"/>
      <c r="D2425" s="579"/>
      <c r="E2425" s="121">
        <f>SUM(E2394:E2423)</f>
        <v>332500</v>
      </c>
    </row>
    <row r="2426" spans="1:5" x14ac:dyDescent="0.25">
      <c r="A2426" s="110"/>
      <c r="B2426" s="145"/>
      <c r="C2426" s="145"/>
      <c r="E2426" s="146"/>
    </row>
    <row r="2427" spans="1:5" x14ac:dyDescent="0.25">
      <c r="A2427" s="109"/>
      <c r="B2427" s="109"/>
      <c r="C2427" s="110"/>
      <c r="D2427" s="123" t="s">
        <v>2045</v>
      </c>
      <c r="E2427" s="109"/>
    </row>
    <row r="2428" spans="1:5" x14ac:dyDescent="0.25">
      <c r="D2428" s="123" t="s">
        <v>100</v>
      </c>
    </row>
    <row r="2430" spans="1:5" x14ac:dyDescent="0.25">
      <c r="E2430" s="98"/>
    </row>
    <row r="2439" spans="1:5" x14ac:dyDescent="0.25">
      <c r="A2439" s="108" t="s">
        <v>0</v>
      </c>
      <c r="B2439" s="144"/>
      <c r="C2439" s="144"/>
      <c r="D2439" s="144"/>
      <c r="E2439" s="144"/>
    </row>
    <row r="2440" spans="1:5" x14ac:dyDescent="0.25">
      <c r="A2440" s="108" t="s">
        <v>1</v>
      </c>
      <c r="B2440" s="109"/>
      <c r="C2440" s="110"/>
      <c r="D2440" s="109"/>
      <c r="E2440" s="109"/>
    </row>
    <row r="2441" spans="1:5" x14ac:dyDescent="0.25">
      <c r="A2441" s="108"/>
      <c r="B2441" s="109"/>
      <c r="C2441" s="110"/>
      <c r="D2441" s="109"/>
      <c r="E2441" s="109"/>
    </row>
    <row r="2442" spans="1:5" x14ac:dyDescent="0.25">
      <c r="A2442" s="111" t="s">
        <v>101</v>
      </c>
      <c r="B2442" s="111"/>
      <c r="C2442" s="111"/>
      <c r="D2442" s="111"/>
      <c r="E2442" s="111"/>
    </row>
    <row r="2443" spans="1:5" x14ac:dyDescent="0.25">
      <c r="A2443" s="575" t="s">
        <v>118</v>
      </c>
      <c r="B2443" s="576"/>
      <c r="C2443" s="576"/>
      <c r="D2443" s="576"/>
      <c r="E2443" s="576"/>
    </row>
    <row r="2444" spans="1:5" x14ac:dyDescent="0.25">
      <c r="A2444" s="110"/>
      <c r="B2444" s="110"/>
      <c r="C2444" s="110"/>
      <c r="D2444" s="110"/>
      <c r="E2444" s="110"/>
    </row>
    <row r="2445" spans="1:5" ht="15.75" thickBot="1" x14ac:dyDescent="0.3">
      <c r="A2445" s="109"/>
      <c r="B2445" s="109"/>
      <c r="C2445" s="110"/>
      <c r="D2445" s="109"/>
      <c r="E2445" s="124" t="s">
        <v>2102</v>
      </c>
    </row>
    <row r="2446" spans="1:5" x14ac:dyDescent="0.25">
      <c r="A2446" s="112" t="s">
        <v>21</v>
      </c>
      <c r="B2446" s="113" t="s">
        <v>96</v>
      </c>
      <c r="C2446" s="113" t="s">
        <v>97</v>
      </c>
      <c r="D2446" s="113" t="s">
        <v>91</v>
      </c>
      <c r="E2446" s="114" t="s">
        <v>15</v>
      </c>
    </row>
    <row r="2447" spans="1:5" x14ac:dyDescent="0.25">
      <c r="A2447" s="115">
        <v>1</v>
      </c>
      <c r="B2447" s="166" t="s">
        <v>2104</v>
      </c>
      <c r="C2447" s="167" t="s">
        <v>2106</v>
      </c>
      <c r="D2447" s="118"/>
      <c r="E2447" s="119">
        <v>20000</v>
      </c>
    </row>
    <row r="2448" spans="1:5" x14ac:dyDescent="0.25">
      <c r="A2448" s="115">
        <f>A2447+1</f>
        <v>2</v>
      </c>
      <c r="B2448" s="166" t="s">
        <v>2105</v>
      </c>
      <c r="C2448" s="167" t="s">
        <v>2107</v>
      </c>
      <c r="D2448" s="118"/>
      <c r="E2448" s="119">
        <v>5000</v>
      </c>
    </row>
    <row r="2449" spans="1:5" x14ac:dyDescent="0.25">
      <c r="A2449" s="115">
        <f t="shared" ref="A2449:A2485" si="41">A2448+1</f>
        <v>3</v>
      </c>
      <c r="B2449" s="166" t="s">
        <v>1119</v>
      </c>
      <c r="C2449" s="167" t="s">
        <v>1122</v>
      </c>
      <c r="D2449" s="118"/>
      <c r="E2449" s="172">
        <v>5000</v>
      </c>
    </row>
    <row r="2450" spans="1:5" x14ac:dyDescent="0.25">
      <c r="A2450" s="115">
        <f t="shared" si="41"/>
        <v>4</v>
      </c>
      <c r="B2450" s="166" t="s">
        <v>2112</v>
      </c>
      <c r="C2450" s="167" t="s">
        <v>2108</v>
      </c>
      <c r="D2450" s="118"/>
      <c r="E2450" s="172">
        <v>5000</v>
      </c>
    </row>
    <row r="2451" spans="1:5" x14ac:dyDescent="0.25">
      <c r="A2451" s="115">
        <f t="shared" si="41"/>
        <v>5</v>
      </c>
      <c r="B2451" s="166" t="s">
        <v>1715</v>
      </c>
      <c r="C2451" s="167" t="s">
        <v>1708</v>
      </c>
      <c r="D2451" s="118"/>
      <c r="E2451" s="172">
        <v>12500</v>
      </c>
    </row>
    <row r="2452" spans="1:5" x14ac:dyDescent="0.25">
      <c r="A2452" s="115">
        <f t="shared" si="41"/>
        <v>6</v>
      </c>
      <c r="B2452" s="166" t="s">
        <v>2113</v>
      </c>
      <c r="C2452" s="167" t="s">
        <v>2109</v>
      </c>
      <c r="D2452" s="118"/>
      <c r="E2452" s="172">
        <v>5000</v>
      </c>
    </row>
    <row r="2453" spans="1:5" x14ac:dyDescent="0.25">
      <c r="A2453" s="115">
        <f t="shared" si="41"/>
        <v>7</v>
      </c>
      <c r="B2453" s="166" t="s">
        <v>2114</v>
      </c>
      <c r="C2453" s="167" t="s">
        <v>2117</v>
      </c>
      <c r="D2453" s="118"/>
      <c r="E2453" s="119">
        <v>5000</v>
      </c>
    </row>
    <row r="2454" spans="1:5" x14ac:dyDescent="0.25">
      <c r="A2454" s="115">
        <f t="shared" si="41"/>
        <v>8</v>
      </c>
      <c r="B2454" s="166" t="s">
        <v>2115</v>
      </c>
      <c r="C2454" s="167" t="s">
        <v>2110</v>
      </c>
      <c r="D2454" s="118"/>
      <c r="E2454" s="119">
        <v>12500</v>
      </c>
    </row>
    <row r="2455" spans="1:5" x14ac:dyDescent="0.25">
      <c r="A2455" s="115">
        <f t="shared" si="41"/>
        <v>9</v>
      </c>
      <c r="B2455" s="166" t="s">
        <v>2116</v>
      </c>
      <c r="C2455" s="167" t="s">
        <v>2111</v>
      </c>
      <c r="D2455" s="118"/>
      <c r="E2455" s="119">
        <v>22500</v>
      </c>
    </row>
    <row r="2456" spans="1:5" x14ac:dyDescent="0.25">
      <c r="A2456" s="115">
        <f t="shared" si="41"/>
        <v>10</v>
      </c>
      <c r="B2456" s="166" t="s">
        <v>2118</v>
      </c>
      <c r="C2456" s="167" t="s">
        <v>2125</v>
      </c>
      <c r="D2456" s="118"/>
      <c r="E2456" s="119">
        <v>5000</v>
      </c>
    </row>
    <row r="2457" spans="1:5" x14ac:dyDescent="0.25">
      <c r="A2457" s="115">
        <f t="shared" si="41"/>
        <v>11</v>
      </c>
      <c r="B2457" s="166" t="s">
        <v>2119</v>
      </c>
      <c r="C2457" s="167" t="s">
        <v>2126</v>
      </c>
      <c r="D2457" s="118"/>
      <c r="E2457" s="119">
        <v>5000</v>
      </c>
    </row>
    <row r="2458" spans="1:5" x14ac:dyDescent="0.25">
      <c r="A2458" s="115">
        <f t="shared" si="41"/>
        <v>12</v>
      </c>
      <c r="B2458" s="166" t="s">
        <v>2120</v>
      </c>
      <c r="C2458" s="167" t="s">
        <v>2127</v>
      </c>
      <c r="D2458" s="118"/>
      <c r="E2458" s="119">
        <v>5000</v>
      </c>
    </row>
    <row r="2459" spans="1:5" x14ac:dyDescent="0.25">
      <c r="A2459" s="115">
        <f t="shared" si="41"/>
        <v>13</v>
      </c>
      <c r="B2459" s="166" t="s">
        <v>2121</v>
      </c>
      <c r="C2459" s="167" t="s">
        <v>2128</v>
      </c>
      <c r="D2459" s="118"/>
      <c r="E2459" s="119">
        <v>5000</v>
      </c>
    </row>
    <row r="2460" spans="1:5" x14ac:dyDescent="0.25">
      <c r="A2460" s="115">
        <f t="shared" si="41"/>
        <v>14</v>
      </c>
      <c r="B2460" s="166" t="s">
        <v>1534</v>
      </c>
      <c r="C2460" s="167" t="s">
        <v>1541</v>
      </c>
      <c r="D2460" s="118"/>
      <c r="E2460" s="119">
        <v>30000</v>
      </c>
    </row>
    <row r="2461" spans="1:5" x14ac:dyDescent="0.25">
      <c r="A2461" s="115">
        <f t="shared" si="41"/>
        <v>15</v>
      </c>
      <c r="B2461" s="166" t="s">
        <v>2122</v>
      </c>
      <c r="C2461" s="167" t="s">
        <v>2129</v>
      </c>
      <c r="D2461" s="118"/>
      <c r="E2461" s="119">
        <v>5000</v>
      </c>
    </row>
    <row r="2462" spans="1:5" x14ac:dyDescent="0.25">
      <c r="A2462" s="115">
        <f t="shared" si="41"/>
        <v>16</v>
      </c>
      <c r="B2462" s="166" t="s">
        <v>2123</v>
      </c>
      <c r="C2462" s="167" t="s">
        <v>2130</v>
      </c>
      <c r="D2462" s="118"/>
      <c r="E2462" s="119">
        <v>5000</v>
      </c>
    </row>
    <row r="2463" spans="1:5" x14ac:dyDescent="0.25">
      <c r="A2463" s="115">
        <f t="shared" si="41"/>
        <v>17</v>
      </c>
      <c r="B2463" s="166" t="s">
        <v>2124</v>
      </c>
      <c r="C2463" s="167" t="s">
        <v>2131</v>
      </c>
      <c r="D2463" s="118"/>
      <c r="E2463" s="119">
        <v>5000</v>
      </c>
    </row>
    <row r="2464" spans="1:5" x14ac:dyDescent="0.25">
      <c r="A2464" s="115">
        <f t="shared" si="41"/>
        <v>18</v>
      </c>
      <c r="B2464" s="166" t="s">
        <v>1201</v>
      </c>
      <c r="C2464" s="167" t="s">
        <v>1213</v>
      </c>
      <c r="D2464" s="118"/>
      <c r="E2464" s="119">
        <v>12500</v>
      </c>
    </row>
    <row r="2465" spans="1:5" x14ac:dyDescent="0.25">
      <c r="A2465" s="115">
        <f t="shared" si="41"/>
        <v>19</v>
      </c>
      <c r="B2465" s="166" t="s">
        <v>2138</v>
      </c>
      <c r="C2465" s="167" t="s">
        <v>2132</v>
      </c>
      <c r="D2465" s="118"/>
      <c r="E2465" s="119">
        <v>90000</v>
      </c>
    </row>
    <row r="2466" spans="1:5" x14ac:dyDescent="0.25">
      <c r="A2466" s="115">
        <f t="shared" si="41"/>
        <v>20</v>
      </c>
      <c r="B2466" s="166" t="s">
        <v>2139</v>
      </c>
      <c r="C2466" s="167" t="s">
        <v>2133</v>
      </c>
      <c r="D2466" s="118"/>
      <c r="E2466" s="119">
        <v>5000</v>
      </c>
    </row>
    <row r="2467" spans="1:5" x14ac:dyDescent="0.25">
      <c r="A2467" s="115">
        <f t="shared" si="41"/>
        <v>21</v>
      </c>
      <c r="B2467" s="166" t="s">
        <v>2140</v>
      </c>
      <c r="C2467" s="167" t="s">
        <v>2134</v>
      </c>
      <c r="D2467" s="118"/>
      <c r="E2467" s="119">
        <v>5000</v>
      </c>
    </row>
    <row r="2468" spans="1:5" x14ac:dyDescent="0.25">
      <c r="A2468" s="115">
        <f t="shared" si="41"/>
        <v>22</v>
      </c>
      <c r="B2468" s="166" t="s">
        <v>2141</v>
      </c>
      <c r="C2468" s="167" t="s">
        <v>2135</v>
      </c>
      <c r="D2468" s="118"/>
      <c r="E2468" s="119">
        <v>5000</v>
      </c>
    </row>
    <row r="2469" spans="1:5" x14ac:dyDescent="0.25">
      <c r="A2469" s="115">
        <f t="shared" si="41"/>
        <v>23</v>
      </c>
      <c r="B2469" s="166" t="s">
        <v>2142</v>
      </c>
      <c r="C2469" s="167" t="s">
        <v>2136</v>
      </c>
      <c r="D2469" s="118"/>
      <c r="E2469" s="119">
        <v>5000</v>
      </c>
    </row>
    <row r="2470" spans="1:5" x14ac:dyDescent="0.25">
      <c r="A2470" s="115">
        <f t="shared" si="41"/>
        <v>24</v>
      </c>
      <c r="B2470" s="166" t="s">
        <v>2143</v>
      </c>
      <c r="C2470" s="167" t="s">
        <v>2137</v>
      </c>
      <c r="D2470" s="118"/>
      <c r="E2470" s="119">
        <v>32500</v>
      </c>
    </row>
    <row r="2471" spans="1:5" x14ac:dyDescent="0.25">
      <c r="A2471" s="115">
        <f t="shared" si="41"/>
        <v>25</v>
      </c>
      <c r="B2471" s="166" t="s">
        <v>153</v>
      </c>
      <c r="C2471" s="167" t="s">
        <v>2153</v>
      </c>
      <c r="D2471" s="118"/>
      <c r="E2471" s="119">
        <v>12500</v>
      </c>
    </row>
    <row r="2472" spans="1:5" x14ac:dyDescent="0.25">
      <c r="A2472" s="115">
        <f t="shared" si="41"/>
        <v>26</v>
      </c>
      <c r="B2472" s="166" t="s">
        <v>2144</v>
      </c>
      <c r="C2472" s="167" t="s">
        <v>2154</v>
      </c>
      <c r="D2472" s="118"/>
      <c r="E2472" s="119">
        <v>5000</v>
      </c>
    </row>
    <row r="2473" spans="1:5" x14ac:dyDescent="0.25">
      <c r="A2473" s="115">
        <f t="shared" si="41"/>
        <v>27</v>
      </c>
      <c r="B2473" s="166" t="s">
        <v>2145</v>
      </c>
      <c r="C2473" s="167" t="s">
        <v>2155</v>
      </c>
      <c r="D2473" s="118"/>
      <c r="E2473" s="119">
        <v>12500</v>
      </c>
    </row>
    <row r="2474" spans="1:5" x14ac:dyDescent="0.25">
      <c r="A2474" s="115">
        <f t="shared" si="41"/>
        <v>28</v>
      </c>
      <c r="B2474" s="166" t="s">
        <v>1108</v>
      </c>
      <c r="C2474" s="167" t="s">
        <v>1105</v>
      </c>
      <c r="D2474" s="118"/>
      <c r="E2474" s="119">
        <v>5000</v>
      </c>
    </row>
    <row r="2475" spans="1:5" x14ac:dyDescent="0.25">
      <c r="A2475" s="115">
        <f t="shared" si="41"/>
        <v>29</v>
      </c>
      <c r="B2475" s="166" t="s">
        <v>2146</v>
      </c>
      <c r="C2475" s="167" t="s">
        <v>2156</v>
      </c>
      <c r="D2475" s="118"/>
      <c r="E2475" s="119">
        <v>12500</v>
      </c>
    </row>
    <row r="2476" spans="1:5" x14ac:dyDescent="0.25">
      <c r="A2476" s="115">
        <f t="shared" si="41"/>
        <v>30</v>
      </c>
      <c r="B2476" s="166" t="s">
        <v>2147</v>
      </c>
      <c r="C2476" s="167" t="s">
        <v>2157</v>
      </c>
      <c r="D2476" s="118"/>
      <c r="E2476" s="119">
        <v>5000</v>
      </c>
    </row>
    <row r="2477" spans="1:5" x14ac:dyDescent="0.25">
      <c r="A2477" s="115">
        <f t="shared" si="41"/>
        <v>31</v>
      </c>
      <c r="B2477" s="166" t="s">
        <v>2148</v>
      </c>
      <c r="C2477" s="167" t="s">
        <v>2158</v>
      </c>
      <c r="D2477" s="118"/>
      <c r="E2477" s="119">
        <v>5000</v>
      </c>
    </row>
    <row r="2478" spans="1:5" x14ac:dyDescent="0.25">
      <c r="A2478" s="115">
        <f t="shared" si="41"/>
        <v>32</v>
      </c>
      <c r="B2478" s="166" t="s">
        <v>2149</v>
      </c>
      <c r="C2478" s="167" t="s">
        <v>2159</v>
      </c>
      <c r="D2478" s="118"/>
      <c r="E2478" s="119">
        <v>5000</v>
      </c>
    </row>
    <row r="2479" spans="1:5" x14ac:dyDescent="0.25">
      <c r="A2479" s="115">
        <f t="shared" si="41"/>
        <v>33</v>
      </c>
      <c r="B2479" s="166" t="s">
        <v>2150</v>
      </c>
      <c r="C2479" s="167" t="s">
        <v>2160</v>
      </c>
      <c r="D2479" s="118"/>
      <c r="E2479" s="119">
        <v>5000</v>
      </c>
    </row>
    <row r="2480" spans="1:5" x14ac:dyDescent="0.25">
      <c r="A2480" s="115">
        <f t="shared" si="41"/>
        <v>34</v>
      </c>
      <c r="B2480" s="166" t="s">
        <v>2151</v>
      </c>
      <c r="C2480" s="167" t="s">
        <v>2161</v>
      </c>
      <c r="D2480" s="118"/>
      <c r="E2480" s="119">
        <v>5000</v>
      </c>
    </row>
    <row r="2481" spans="1:5" x14ac:dyDescent="0.25">
      <c r="A2481" s="115">
        <f t="shared" si="41"/>
        <v>35</v>
      </c>
      <c r="B2481" s="166" t="s">
        <v>2152</v>
      </c>
      <c r="C2481" s="167" t="s">
        <v>2162</v>
      </c>
      <c r="D2481" s="118"/>
      <c r="E2481" s="119">
        <v>12500</v>
      </c>
    </row>
    <row r="2482" spans="1:5" x14ac:dyDescent="0.25">
      <c r="A2482" s="115">
        <f t="shared" si="41"/>
        <v>36</v>
      </c>
      <c r="B2482" s="166" t="s">
        <v>2167</v>
      </c>
      <c r="C2482" s="167" t="s">
        <v>2163</v>
      </c>
      <c r="D2482" s="118"/>
      <c r="E2482" s="119">
        <v>22500</v>
      </c>
    </row>
    <row r="2483" spans="1:5" x14ac:dyDescent="0.25">
      <c r="A2483" s="115">
        <f t="shared" si="41"/>
        <v>37</v>
      </c>
      <c r="B2483" s="166" t="s">
        <v>2168</v>
      </c>
      <c r="C2483" s="167" t="s">
        <v>2164</v>
      </c>
      <c r="D2483" s="118"/>
      <c r="E2483" s="119">
        <v>5000</v>
      </c>
    </row>
    <row r="2484" spans="1:5" x14ac:dyDescent="0.25">
      <c r="A2484" s="115">
        <f t="shared" si="41"/>
        <v>38</v>
      </c>
      <c r="B2484" s="166" t="s">
        <v>1046</v>
      </c>
      <c r="C2484" s="167" t="s">
        <v>2165</v>
      </c>
      <c r="D2484" s="118"/>
      <c r="E2484" s="119">
        <v>12500</v>
      </c>
    </row>
    <row r="2485" spans="1:5" x14ac:dyDescent="0.25">
      <c r="A2485" s="115">
        <f t="shared" si="41"/>
        <v>39</v>
      </c>
      <c r="B2485" s="166" t="s">
        <v>2169</v>
      </c>
      <c r="C2485" s="167" t="s">
        <v>2166</v>
      </c>
      <c r="D2485" s="118"/>
      <c r="E2485" s="119">
        <v>5000</v>
      </c>
    </row>
    <row r="2486" spans="1:5" x14ac:dyDescent="0.25">
      <c r="A2486" s="115"/>
      <c r="B2486" s="166"/>
      <c r="C2486" s="167"/>
      <c r="D2486" s="170"/>
      <c r="E2486" s="171"/>
    </row>
    <row r="2487" spans="1:5" ht="15.75" thickBot="1" x14ac:dyDescent="0.3">
      <c r="A2487" s="120"/>
      <c r="B2487" s="577" t="s">
        <v>15</v>
      </c>
      <c r="C2487" s="578"/>
      <c r="D2487" s="579"/>
      <c r="E2487" s="121">
        <f>SUM(E2447:E2485)</f>
        <v>442500</v>
      </c>
    </row>
    <row r="2488" spans="1:5" x14ac:dyDescent="0.25">
      <c r="A2488" s="110"/>
      <c r="B2488" s="145"/>
      <c r="C2488" s="145"/>
      <c r="E2488" s="146"/>
    </row>
    <row r="2489" spans="1:5" x14ac:dyDescent="0.25">
      <c r="A2489" s="109"/>
      <c r="B2489" s="109"/>
      <c r="C2489" s="110"/>
      <c r="D2489" s="123" t="s">
        <v>2103</v>
      </c>
      <c r="E2489" s="109"/>
    </row>
    <row r="2490" spans="1:5" x14ac:dyDescent="0.25">
      <c r="D2490" s="123" t="s">
        <v>100</v>
      </c>
    </row>
    <row r="2492" spans="1:5" x14ac:dyDescent="0.25">
      <c r="A2492" s="108" t="s">
        <v>0</v>
      </c>
      <c r="B2492" s="144"/>
      <c r="C2492" s="144"/>
      <c r="D2492" s="144"/>
      <c r="E2492" s="144"/>
    </row>
    <row r="2493" spans="1:5" x14ac:dyDescent="0.25">
      <c r="A2493" s="108" t="s">
        <v>1</v>
      </c>
      <c r="B2493" s="109"/>
      <c r="C2493" s="110"/>
      <c r="D2493" s="109"/>
      <c r="E2493" s="109"/>
    </row>
    <row r="2494" spans="1:5" x14ac:dyDescent="0.25">
      <c r="A2494" s="108"/>
      <c r="B2494" s="109"/>
      <c r="C2494" s="110"/>
      <c r="D2494" s="109"/>
      <c r="E2494" s="109"/>
    </row>
    <row r="2495" spans="1:5" x14ac:dyDescent="0.25">
      <c r="A2495" s="111" t="s">
        <v>101</v>
      </c>
      <c r="B2495" s="111"/>
      <c r="C2495" s="111"/>
      <c r="D2495" s="111"/>
      <c r="E2495" s="111"/>
    </row>
    <row r="2496" spans="1:5" x14ac:dyDescent="0.25">
      <c r="A2496" s="575" t="s">
        <v>118</v>
      </c>
      <c r="B2496" s="576"/>
      <c r="C2496" s="576"/>
      <c r="D2496" s="576"/>
      <c r="E2496" s="576"/>
    </row>
    <row r="2497" spans="1:5" x14ac:dyDescent="0.25">
      <c r="A2497" s="110"/>
      <c r="B2497" s="110"/>
      <c r="C2497" s="110"/>
      <c r="D2497" s="110"/>
      <c r="E2497" s="110"/>
    </row>
    <row r="2498" spans="1:5" ht="15.75" thickBot="1" x14ac:dyDescent="0.3">
      <c r="A2498" s="109"/>
      <c r="B2498" s="109"/>
      <c r="C2498" s="110"/>
      <c r="D2498" s="109"/>
      <c r="E2498" s="124" t="s">
        <v>2170</v>
      </c>
    </row>
    <row r="2499" spans="1:5" x14ac:dyDescent="0.25">
      <c r="A2499" s="112" t="s">
        <v>21</v>
      </c>
      <c r="B2499" s="113" t="s">
        <v>96</v>
      </c>
      <c r="C2499" s="113" t="s">
        <v>97</v>
      </c>
      <c r="D2499" s="113" t="s">
        <v>91</v>
      </c>
      <c r="E2499" s="114" t="s">
        <v>15</v>
      </c>
    </row>
    <row r="2500" spans="1:5" x14ac:dyDescent="0.25">
      <c r="A2500" s="115">
        <v>1</v>
      </c>
      <c r="B2500" s="166" t="s">
        <v>2172</v>
      </c>
      <c r="C2500" s="167" t="s">
        <v>2191</v>
      </c>
      <c r="D2500" s="118"/>
      <c r="E2500" s="119">
        <v>5000</v>
      </c>
    </row>
    <row r="2501" spans="1:5" x14ac:dyDescent="0.25">
      <c r="A2501" s="115">
        <f>A2500+1</f>
        <v>2</v>
      </c>
      <c r="B2501" s="166" t="s">
        <v>2173</v>
      </c>
      <c r="C2501" s="167" t="s">
        <v>2192</v>
      </c>
      <c r="D2501" s="118"/>
      <c r="E2501" s="119">
        <v>12500</v>
      </c>
    </row>
    <row r="2502" spans="1:5" x14ac:dyDescent="0.25">
      <c r="A2502" s="115">
        <f t="shared" ref="A2502:A2546" si="42">A2501+1</f>
        <v>3</v>
      </c>
      <c r="B2502" s="166" t="s">
        <v>2174</v>
      </c>
      <c r="C2502" s="167" t="s">
        <v>2193</v>
      </c>
      <c r="D2502" s="118"/>
      <c r="E2502" s="172">
        <v>5000</v>
      </c>
    </row>
    <row r="2503" spans="1:5" x14ac:dyDescent="0.25">
      <c r="A2503" s="115">
        <f t="shared" si="42"/>
        <v>4</v>
      </c>
      <c r="B2503" s="166" t="s">
        <v>2175</v>
      </c>
      <c r="C2503" s="167" t="s">
        <v>2194</v>
      </c>
      <c r="D2503" s="118"/>
      <c r="E2503" s="172">
        <v>5000</v>
      </c>
    </row>
    <row r="2504" spans="1:5" x14ac:dyDescent="0.25">
      <c r="A2504" s="115">
        <f t="shared" si="42"/>
        <v>5</v>
      </c>
      <c r="B2504" s="166" t="s">
        <v>2176</v>
      </c>
      <c r="C2504" s="167" t="s">
        <v>2195</v>
      </c>
      <c r="D2504" s="118"/>
      <c r="E2504" s="172">
        <v>30000</v>
      </c>
    </row>
    <row r="2505" spans="1:5" x14ac:dyDescent="0.25">
      <c r="A2505" s="115">
        <f t="shared" si="42"/>
        <v>6</v>
      </c>
      <c r="B2505" s="166" t="s">
        <v>2177</v>
      </c>
      <c r="C2505" s="167" t="s">
        <v>158</v>
      </c>
      <c r="D2505" s="118"/>
      <c r="E2505" s="172">
        <v>5000</v>
      </c>
    </row>
    <row r="2506" spans="1:5" x14ac:dyDescent="0.25">
      <c r="A2506" s="115">
        <f t="shared" si="42"/>
        <v>7</v>
      </c>
      <c r="B2506" s="166" t="s">
        <v>1392</v>
      </c>
      <c r="C2506" s="167" t="s">
        <v>1403</v>
      </c>
      <c r="D2506" s="118"/>
      <c r="E2506" s="172">
        <v>5000</v>
      </c>
    </row>
    <row r="2507" spans="1:5" x14ac:dyDescent="0.25">
      <c r="A2507" s="115">
        <f t="shared" si="42"/>
        <v>8</v>
      </c>
      <c r="B2507" s="166" t="s">
        <v>2178</v>
      </c>
      <c r="C2507" s="167" t="s">
        <v>2196</v>
      </c>
      <c r="D2507" s="118"/>
      <c r="E2507" s="172">
        <v>5000</v>
      </c>
    </row>
    <row r="2508" spans="1:5" x14ac:dyDescent="0.25">
      <c r="A2508" s="115">
        <f t="shared" si="42"/>
        <v>9</v>
      </c>
      <c r="B2508" s="166" t="s">
        <v>1153</v>
      </c>
      <c r="C2508" s="167" t="s">
        <v>1159</v>
      </c>
      <c r="D2508" s="118"/>
      <c r="E2508" s="172">
        <v>5000</v>
      </c>
    </row>
    <row r="2509" spans="1:5" x14ac:dyDescent="0.25">
      <c r="A2509" s="115">
        <f t="shared" si="42"/>
        <v>10</v>
      </c>
      <c r="B2509" s="166" t="s">
        <v>253</v>
      </c>
      <c r="C2509" s="167" t="s">
        <v>259</v>
      </c>
      <c r="D2509" s="118"/>
      <c r="E2509" s="172">
        <v>5000</v>
      </c>
    </row>
    <row r="2510" spans="1:5" x14ac:dyDescent="0.25">
      <c r="A2510" s="115">
        <f t="shared" si="42"/>
        <v>11</v>
      </c>
      <c r="B2510" s="166" t="s">
        <v>2180</v>
      </c>
      <c r="C2510" s="167" t="s">
        <v>2197</v>
      </c>
      <c r="D2510" s="118"/>
      <c r="E2510" s="172">
        <v>5000</v>
      </c>
    </row>
    <row r="2511" spans="1:5" x14ac:dyDescent="0.25">
      <c r="A2511" s="115">
        <f t="shared" si="42"/>
        <v>12</v>
      </c>
      <c r="B2511" s="166" t="s">
        <v>2179</v>
      </c>
      <c r="C2511" s="167" t="s">
        <v>2198</v>
      </c>
      <c r="D2511" s="118"/>
      <c r="E2511" s="172">
        <v>5000</v>
      </c>
    </row>
    <row r="2512" spans="1:5" x14ac:dyDescent="0.25">
      <c r="A2512" s="115">
        <f t="shared" si="42"/>
        <v>13</v>
      </c>
      <c r="B2512" s="166" t="s">
        <v>2172</v>
      </c>
      <c r="C2512" s="167" t="s">
        <v>2199</v>
      </c>
      <c r="D2512" s="118"/>
      <c r="E2512" s="172">
        <v>5000</v>
      </c>
    </row>
    <row r="2513" spans="1:5" x14ac:dyDescent="0.25">
      <c r="A2513" s="115">
        <f t="shared" si="42"/>
        <v>14</v>
      </c>
      <c r="B2513" s="166" t="s">
        <v>2181</v>
      </c>
      <c r="C2513" s="167" t="s">
        <v>2200</v>
      </c>
      <c r="D2513" s="118"/>
      <c r="E2513" s="172">
        <v>5000</v>
      </c>
    </row>
    <row r="2514" spans="1:5" x14ac:dyDescent="0.25">
      <c r="A2514" s="115">
        <f t="shared" si="42"/>
        <v>15</v>
      </c>
      <c r="B2514" s="166" t="s">
        <v>2182</v>
      </c>
      <c r="C2514" s="167" t="s">
        <v>2201</v>
      </c>
      <c r="D2514" s="118"/>
      <c r="E2514" s="172">
        <v>5000</v>
      </c>
    </row>
    <row r="2515" spans="1:5" x14ac:dyDescent="0.25">
      <c r="A2515" s="115">
        <f t="shared" si="42"/>
        <v>16</v>
      </c>
      <c r="B2515" s="166" t="s">
        <v>1272</v>
      </c>
      <c r="C2515" s="167" t="s">
        <v>1245</v>
      </c>
      <c r="D2515" s="118"/>
      <c r="E2515" s="172">
        <v>5000</v>
      </c>
    </row>
    <row r="2516" spans="1:5" x14ac:dyDescent="0.25">
      <c r="A2516" s="115">
        <f t="shared" si="42"/>
        <v>17</v>
      </c>
      <c r="B2516" s="166" t="s">
        <v>2183</v>
      </c>
      <c r="C2516" s="167" t="s">
        <v>2202</v>
      </c>
      <c r="D2516" s="118"/>
      <c r="E2516" s="172">
        <v>5000</v>
      </c>
    </row>
    <row r="2517" spans="1:5" x14ac:dyDescent="0.25">
      <c r="A2517" s="115">
        <f t="shared" si="42"/>
        <v>18</v>
      </c>
      <c r="B2517" s="166" t="s">
        <v>2184</v>
      </c>
      <c r="C2517" s="167" t="s">
        <v>416</v>
      </c>
      <c r="D2517" s="118"/>
      <c r="E2517" s="172">
        <v>5000</v>
      </c>
    </row>
    <row r="2518" spans="1:5" x14ac:dyDescent="0.25">
      <c r="A2518" s="115">
        <f t="shared" si="42"/>
        <v>19</v>
      </c>
      <c r="B2518" s="166" t="s">
        <v>2185</v>
      </c>
      <c r="C2518" s="167" t="s">
        <v>2203</v>
      </c>
      <c r="D2518" s="118"/>
      <c r="E2518" s="172">
        <v>5000</v>
      </c>
    </row>
    <row r="2519" spans="1:5" x14ac:dyDescent="0.25">
      <c r="A2519" s="115">
        <f t="shared" si="42"/>
        <v>20</v>
      </c>
      <c r="B2519" s="166" t="s">
        <v>2186</v>
      </c>
      <c r="C2519" s="167" t="s">
        <v>2204</v>
      </c>
      <c r="D2519" s="118"/>
      <c r="E2519" s="172">
        <v>12500</v>
      </c>
    </row>
    <row r="2520" spans="1:5" x14ac:dyDescent="0.25">
      <c r="A2520" s="115">
        <f t="shared" si="42"/>
        <v>21</v>
      </c>
      <c r="B2520" s="166" t="s">
        <v>2187</v>
      </c>
      <c r="C2520" s="167" t="s">
        <v>2205</v>
      </c>
      <c r="D2520" s="118"/>
      <c r="E2520" s="172">
        <v>12500</v>
      </c>
    </row>
    <row r="2521" spans="1:5" x14ac:dyDescent="0.25">
      <c r="A2521" s="115">
        <f t="shared" si="42"/>
        <v>22</v>
      </c>
      <c r="B2521" s="166" t="s">
        <v>2188</v>
      </c>
      <c r="C2521" s="167" t="s">
        <v>2206</v>
      </c>
      <c r="D2521" s="118"/>
      <c r="E2521" s="172">
        <v>5000</v>
      </c>
    </row>
    <row r="2522" spans="1:5" x14ac:dyDescent="0.25">
      <c r="A2522" s="115">
        <f t="shared" si="42"/>
        <v>23</v>
      </c>
      <c r="B2522" s="166" t="s">
        <v>2189</v>
      </c>
      <c r="C2522" s="167" t="s">
        <v>2207</v>
      </c>
      <c r="D2522" s="118"/>
      <c r="E2522" s="172">
        <v>5000</v>
      </c>
    </row>
    <row r="2523" spans="1:5" x14ac:dyDescent="0.25">
      <c r="A2523" s="115">
        <f t="shared" si="42"/>
        <v>24</v>
      </c>
      <c r="B2523" s="166" t="s">
        <v>2190</v>
      </c>
      <c r="C2523" s="167" t="s">
        <v>2208</v>
      </c>
      <c r="D2523" s="118"/>
      <c r="E2523" s="172">
        <v>12500</v>
      </c>
    </row>
    <row r="2524" spans="1:5" x14ac:dyDescent="0.25">
      <c r="A2524" s="115">
        <f t="shared" si="42"/>
        <v>25</v>
      </c>
      <c r="B2524" s="166" t="s">
        <v>2209</v>
      </c>
      <c r="C2524" s="167" t="s">
        <v>2222</v>
      </c>
      <c r="D2524" s="118"/>
      <c r="E2524" s="119">
        <v>12500</v>
      </c>
    </row>
    <row r="2525" spans="1:5" x14ac:dyDescent="0.25">
      <c r="A2525" s="115">
        <f t="shared" si="42"/>
        <v>26</v>
      </c>
      <c r="B2525" s="166" t="s">
        <v>2210</v>
      </c>
      <c r="C2525" s="167" t="s">
        <v>2223</v>
      </c>
      <c r="D2525" s="118"/>
      <c r="E2525" s="119">
        <v>142500</v>
      </c>
    </row>
    <row r="2526" spans="1:5" x14ac:dyDescent="0.25">
      <c r="A2526" s="115">
        <f t="shared" si="42"/>
        <v>27</v>
      </c>
      <c r="B2526" s="166" t="s">
        <v>2236</v>
      </c>
      <c r="C2526" s="167" t="s">
        <v>2224</v>
      </c>
      <c r="D2526" s="118"/>
      <c r="E2526" s="119">
        <v>5000</v>
      </c>
    </row>
    <row r="2527" spans="1:5" x14ac:dyDescent="0.25">
      <c r="A2527" s="115">
        <f t="shared" si="42"/>
        <v>28</v>
      </c>
      <c r="B2527" s="166" t="s">
        <v>2211</v>
      </c>
      <c r="C2527" s="167" t="s">
        <v>2225</v>
      </c>
      <c r="D2527" s="118"/>
      <c r="E2527" s="119">
        <v>5000</v>
      </c>
    </row>
    <row r="2528" spans="1:5" x14ac:dyDescent="0.25">
      <c r="A2528" s="115">
        <f t="shared" si="42"/>
        <v>29</v>
      </c>
      <c r="B2528" s="166" t="s">
        <v>2212</v>
      </c>
      <c r="C2528" s="167" t="s">
        <v>2226</v>
      </c>
      <c r="D2528" s="118"/>
      <c r="E2528" s="119">
        <v>52500</v>
      </c>
    </row>
    <row r="2529" spans="1:5" x14ac:dyDescent="0.25">
      <c r="A2529" s="115">
        <f t="shared" si="42"/>
        <v>30</v>
      </c>
      <c r="B2529" s="166" t="s">
        <v>204</v>
      </c>
      <c r="C2529" s="167" t="s">
        <v>194</v>
      </c>
      <c r="D2529" s="118"/>
      <c r="E2529" s="119">
        <v>5000</v>
      </c>
    </row>
    <row r="2530" spans="1:5" x14ac:dyDescent="0.25">
      <c r="A2530" s="115">
        <f t="shared" si="42"/>
        <v>31</v>
      </c>
      <c r="B2530" s="166" t="s">
        <v>2213</v>
      </c>
      <c r="C2530" s="167" t="s">
        <v>2227</v>
      </c>
      <c r="D2530" s="118"/>
      <c r="E2530" s="119">
        <v>22500</v>
      </c>
    </row>
    <row r="2531" spans="1:5" x14ac:dyDescent="0.25">
      <c r="A2531" s="115">
        <f t="shared" si="42"/>
        <v>32</v>
      </c>
      <c r="B2531" s="166" t="s">
        <v>802</v>
      </c>
      <c r="C2531" s="167" t="s">
        <v>1169</v>
      </c>
      <c r="D2531" s="118"/>
      <c r="E2531" s="119">
        <v>5000</v>
      </c>
    </row>
    <row r="2532" spans="1:5" x14ac:dyDescent="0.25">
      <c r="A2532" s="115">
        <f t="shared" si="42"/>
        <v>33</v>
      </c>
      <c r="B2532" s="166" t="s">
        <v>2214</v>
      </c>
      <c r="C2532" s="167" t="s">
        <v>2228</v>
      </c>
      <c r="D2532" s="118"/>
      <c r="E2532" s="119">
        <v>5000</v>
      </c>
    </row>
    <row r="2533" spans="1:5" x14ac:dyDescent="0.25">
      <c r="A2533" s="115">
        <f t="shared" si="42"/>
        <v>34</v>
      </c>
      <c r="B2533" s="166" t="s">
        <v>2215</v>
      </c>
      <c r="C2533" s="167" t="s">
        <v>2229</v>
      </c>
      <c r="D2533" s="118"/>
      <c r="E2533" s="119">
        <v>5000</v>
      </c>
    </row>
    <row r="2534" spans="1:5" x14ac:dyDescent="0.25">
      <c r="A2534" s="115">
        <f t="shared" si="42"/>
        <v>35</v>
      </c>
      <c r="B2534" s="166" t="s">
        <v>1001</v>
      </c>
      <c r="C2534" s="167" t="s">
        <v>1004</v>
      </c>
      <c r="D2534" s="118"/>
      <c r="E2534" s="119">
        <v>5000</v>
      </c>
    </row>
    <row r="2535" spans="1:5" x14ac:dyDescent="0.25">
      <c r="A2535" s="115">
        <f t="shared" si="42"/>
        <v>36</v>
      </c>
      <c r="B2535" s="166" t="s">
        <v>2216</v>
      </c>
      <c r="C2535" s="167" t="s">
        <v>2230</v>
      </c>
      <c r="D2535" s="118"/>
      <c r="E2535" s="119">
        <v>5000</v>
      </c>
    </row>
    <row r="2536" spans="1:5" x14ac:dyDescent="0.25">
      <c r="A2536" s="115">
        <f t="shared" si="42"/>
        <v>37</v>
      </c>
      <c r="B2536" s="166" t="s">
        <v>2217</v>
      </c>
      <c r="C2536" s="167" t="s">
        <v>2231</v>
      </c>
      <c r="D2536" s="118"/>
      <c r="E2536" s="119">
        <v>5000</v>
      </c>
    </row>
    <row r="2537" spans="1:5" x14ac:dyDescent="0.25">
      <c r="A2537" s="115">
        <f t="shared" si="42"/>
        <v>38</v>
      </c>
      <c r="B2537" s="166" t="s">
        <v>1011</v>
      </c>
      <c r="C2537" s="167" t="s">
        <v>1006</v>
      </c>
      <c r="D2537" s="118"/>
      <c r="E2537" s="119">
        <v>5000</v>
      </c>
    </row>
    <row r="2538" spans="1:5" x14ac:dyDescent="0.25">
      <c r="A2538" s="115">
        <f t="shared" si="42"/>
        <v>39</v>
      </c>
      <c r="B2538" s="166" t="s">
        <v>2218</v>
      </c>
      <c r="C2538" s="167" t="s">
        <v>2232</v>
      </c>
      <c r="D2538" s="118"/>
      <c r="E2538" s="119">
        <v>5000</v>
      </c>
    </row>
    <row r="2539" spans="1:5" x14ac:dyDescent="0.25">
      <c r="A2539" s="115">
        <f t="shared" si="42"/>
        <v>40</v>
      </c>
      <c r="B2539" s="166" t="s">
        <v>2219</v>
      </c>
      <c r="C2539" s="167" t="s">
        <v>2233</v>
      </c>
      <c r="D2539" s="118"/>
      <c r="E2539" s="119">
        <v>12500</v>
      </c>
    </row>
    <row r="2540" spans="1:5" x14ac:dyDescent="0.25">
      <c r="A2540" s="115">
        <f t="shared" si="42"/>
        <v>41</v>
      </c>
      <c r="B2540" s="166" t="s">
        <v>2220</v>
      </c>
      <c r="C2540" s="167" t="s">
        <v>2235</v>
      </c>
      <c r="D2540" s="118"/>
      <c r="E2540" s="119">
        <v>5000</v>
      </c>
    </row>
    <row r="2541" spans="1:5" x14ac:dyDescent="0.25">
      <c r="A2541" s="115">
        <f t="shared" si="42"/>
        <v>42</v>
      </c>
      <c r="B2541" s="166" t="s">
        <v>2221</v>
      </c>
      <c r="C2541" s="167" t="s">
        <v>2234</v>
      </c>
      <c r="D2541" s="118"/>
      <c r="E2541" s="119">
        <v>12500</v>
      </c>
    </row>
    <row r="2542" spans="1:5" x14ac:dyDescent="0.25">
      <c r="A2542" s="115">
        <f t="shared" si="42"/>
        <v>43</v>
      </c>
      <c r="B2542" s="166" t="s">
        <v>2241</v>
      </c>
      <c r="C2542" s="167" t="s">
        <v>2237</v>
      </c>
      <c r="D2542" s="118"/>
      <c r="E2542" s="119">
        <v>32500</v>
      </c>
    </row>
    <row r="2543" spans="1:5" x14ac:dyDescent="0.25">
      <c r="A2543" s="115">
        <f t="shared" si="42"/>
        <v>44</v>
      </c>
      <c r="B2543" s="166" t="s">
        <v>2104</v>
      </c>
      <c r="C2543" s="167" t="s">
        <v>2238</v>
      </c>
      <c r="D2543" s="118"/>
      <c r="E2543" s="119">
        <v>22500</v>
      </c>
    </row>
    <row r="2544" spans="1:5" x14ac:dyDescent="0.25">
      <c r="A2544" s="115">
        <f t="shared" si="42"/>
        <v>45</v>
      </c>
      <c r="B2544" s="166" t="s">
        <v>1024</v>
      </c>
      <c r="C2544" s="167" t="s">
        <v>1115</v>
      </c>
      <c r="D2544" s="118"/>
      <c r="E2544" s="119">
        <v>5000</v>
      </c>
    </row>
    <row r="2545" spans="1:5" x14ac:dyDescent="0.25">
      <c r="A2545" s="115">
        <f t="shared" si="42"/>
        <v>46</v>
      </c>
      <c r="B2545" s="166" t="s">
        <v>1015</v>
      </c>
      <c r="C2545" s="167" t="s">
        <v>2239</v>
      </c>
      <c r="D2545" s="118"/>
      <c r="E2545" s="119">
        <v>5000</v>
      </c>
    </row>
    <row r="2546" spans="1:5" x14ac:dyDescent="0.25">
      <c r="A2546" s="115">
        <f t="shared" si="42"/>
        <v>47</v>
      </c>
      <c r="B2546" s="166" t="s">
        <v>2242</v>
      </c>
      <c r="C2546" s="167" t="s">
        <v>2240</v>
      </c>
      <c r="D2546" s="118"/>
      <c r="E2546" s="119">
        <v>5000</v>
      </c>
    </row>
    <row r="2547" spans="1:5" x14ac:dyDescent="0.25">
      <c r="A2547" s="115"/>
      <c r="B2547" s="166"/>
      <c r="C2547" s="167"/>
      <c r="D2547" s="170"/>
      <c r="E2547" s="171"/>
    </row>
    <row r="2548" spans="1:5" ht="15.75" thickBot="1" x14ac:dyDescent="0.3">
      <c r="A2548" s="120"/>
      <c r="B2548" s="577" t="s">
        <v>15</v>
      </c>
      <c r="C2548" s="578"/>
      <c r="D2548" s="579"/>
      <c r="E2548" s="121">
        <f>SUM(E2500:E2546)</f>
        <v>560000</v>
      </c>
    </row>
    <row r="2549" spans="1:5" x14ac:dyDescent="0.25">
      <c r="A2549" s="110"/>
      <c r="B2549" s="145"/>
      <c r="C2549" s="145"/>
      <c r="E2549" s="146"/>
    </row>
    <row r="2550" spans="1:5" x14ac:dyDescent="0.25">
      <c r="A2550" s="109"/>
      <c r="B2550" s="109"/>
      <c r="C2550" s="110"/>
      <c r="D2550" s="123" t="s">
        <v>2171</v>
      </c>
      <c r="E2550" s="109"/>
    </row>
    <row r="2551" spans="1:5" x14ac:dyDescent="0.25">
      <c r="D2551" s="123" t="s">
        <v>100</v>
      </c>
    </row>
    <row r="2556" spans="1:5" x14ac:dyDescent="0.25">
      <c r="E2556" s="98"/>
    </row>
    <row r="2598" spans="1:5" x14ac:dyDescent="0.25">
      <c r="A2598" s="108" t="s">
        <v>0</v>
      </c>
      <c r="B2598" s="144"/>
      <c r="C2598" s="144"/>
      <c r="D2598" s="144"/>
      <c r="E2598" s="144"/>
    </row>
    <row r="2599" spans="1:5" x14ac:dyDescent="0.25">
      <c r="A2599" s="108" t="s">
        <v>1</v>
      </c>
      <c r="B2599" s="109"/>
      <c r="C2599" s="110"/>
      <c r="D2599" s="109"/>
      <c r="E2599" s="109"/>
    </row>
    <row r="2600" spans="1:5" x14ac:dyDescent="0.25">
      <c r="A2600" s="108"/>
      <c r="B2600" s="109"/>
      <c r="C2600" s="110"/>
      <c r="D2600" s="109"/>
      <c r="E2600" s="109"/>
    </row>
    <row r="2601" spans="1:5" x14ac:dyDescent="0.25">
      <c r="A2601" s="111" t="s">
        <v>101</v>
      </c>
      <c r="B2601" s="111"/>
      <c r="C2601" s="111"/>
      <c r="D2601" s="111"/>
      <c r="E2601" s="111"/>
    </row>
    <row r="2602" spans="1:5" x14ac:dyDescent="0.25">
      <c r="A2602" s="575" t="s">
        <v>118</v>
      </c>
      <c r="B2602" s="576"/>
      <c r="C2602" s="576"/>
      <c r="D2602" s="576"/>
      <c r="E2602" s="576"/>
    </row>
    <row r="2603" spans="1:5" x14ac:dyDescent="0.25">
      <c r="A2603" s="110"/>
      <c r="B2603" s="110"/>
      <c r="C2603" s="110"/>
      <c r="D2603" s="110"/>
      <c r="E2603" s="110"/>
    </row>
    <row r="2604" spans="1:5" ht="15.75" thickBot="1" x14ac:dyDescent="0.3">
      <c r="A2604" s="109"/>
      <c r="B2604" s="109"/>
      <c r="C2604" s="110"/>
      <c r="D2604" s="109"/>
      <c r="E2604" s="124" t="s">
        <v>2243</v>
      </c>
    </row>
    <row r="2605" spans="1:5" x14ac:dyDescent="0.25">
      <c r="A2605" s="112" t="s">
        <v>21</v>
      </c>
      <c r="B2605" s="113" t="s">
        <v>96</v>
      </c>
      <c r="C2605" s="113" t="s">
        <v>97</v>
      </c>
      <c r="D2605" s="113" t="s">
        <v>91</v>
      </c>
      <c r="E2605" s="114" t="s">
        <v>15</v>
      </c>
    </row>
    <row r="2606" spans="1:5" x14ac:dyDescent="0.25">
      <c r="A2606" s="115">
        <v>1</v>
      </c>
      <c r="B2606" s="166" t="s">
        <v>2245</v>
      </c>
      <c r="C2606" s="167" t="s">
        <v>2253</v>
      </c>
      <c r="D2606" s="118"/>
      <c r="E2606" s="119">
        <v>32500</v>
      </c>
    </row>
    <row r="2607" spans="1:5" x14ac:dyDescent="0.25">
      <c r="A2607" s="115">
        <f>A2606+1</f>
        <v>2</v>
      </c>
      <c r="B2607" s="166" t="s">
        <v>929</v>
      </c>
      <c r="C2607" s="167" t="s">
        <v>933</v>
      </c>
      <c r="D2607" s="118"/>
      <c r="E2607" s="119">
        <v>5000</v>
      </c>
    </row>
    <row r="2608" spans="1:5" x14ac:dyDescent="0.25">
      <c r="A2608" s="115">
        <f t="shared" ref="A2608:A2628" si="43">A2607+1</f>
        <v>3</v>
      </c>
      <c r="B2608" s="166" t="s">
        <v>2246</v>
      </c>
      <c r="C2608" s="167" t="s">
        <v>2254</v>
      </c>
      <c r="D2608" s="118"/>
      <c r="E2608" s="172">
        <v>5000</v>
      </c>
    </row>
    <row r="2609" spans="1:5" x14ac:dyDescent="0.25">
      <c r="A2609" s="115">
        <f t="shared" si="43"/>
        <v>4</v>
      </c>
      <c r="B2609" s="166" t="s">
        <v>2247</v>
      </c>
      <c r="C2609" s="167" t="s">
        <v>2255</v>
      </c>
      <c r="D2609" s="118"/>
      <c r="E2609" s="172">
        <v>42500</v>
      </c>
    </row>
    <row r="2610" spans="1:5" x14ac:dyDescent="0.25">
      <c r="A2610" s="115">
        <f t="shared" si="43"/>
        <v>5</v>
      </c>
      <c r="B2610" s="166" t="s">
        <v>2248</v>
      </c>
      <c r="C2610" s="167" t="s">
        <v>2256</v>
      </c>
      <c r="D2610" s="118"/>
      <c r="E2610" s="172">
        <v>5000</v>
      </c>
    </row>
    <row r="2611" spans="1:5" x14ac:dyDescent="0.25">
      <c r="A2611" s="115">
        <f t="shared" si="43"/>
        <v>6</v>
      </c>
      <c r="B2611" s="166" t="s">
        <v>2249</v>
      </c>
      <c r="C2611" s="167" t="s">
        <v>2257</v>
      </c>
      <c r="D2611" s="118"/>
      <c r="E2611" s="172">
        <v>12500</v>
      </c>
    </row>
    <row r="2612" spans="1:5" x14ac:dyDescent="0.25">
      <c r="A2612" s="115">
        <f t="shared" si="43"/>
        <v>7</v>
      </c>
      <c r="B2612" s="166" t="s">
        <v>2250</v>
      </c>
      <c r="C2612" s="167" t="s">
        <v>2258</v>
      </c>
      <c r="D2612" s="118"/>
      <c r="E2612" s="172">
        <v>32500</v>
      </c>
    </row>
    <row r="2613" spans="1:5" x14ac:dyDescent="0.25">
      <c r="A2613" s="115">
        <f t="shared" si="43"/>
        <v>8</v>
      </c>
      <c r="B2613" s="166" t="s">
        <v>2251</v>
      </c>
      <c r="C2613" s="167" t="s">
        <v>2259</v>
      </c>
      <c r="D2613" s="118"/>
      <c r="E2613" s="172">
        <v>5000</v>
      </c>
    </row>
    <row r="2614" spans="1:5" x14ac:dyDescent="0.25">
      <c r="A2614" s="115">
        <f t="shared" si="43"/>
        <v>9</v>
      </c>
      <c r="B2614" s="166" t="s">
        <v>2262</v>
      </c>
      <c r="C2614" s="167" t="s">
        <v>2260</v>
      </c>
      <c r="D2614" s="118"/>
      <c r="E2614" s="172">
        <v>82500</v>
      </c>
    </row>
    <row r="2615" spans="1:5" x14ac:dyDescent="0.25">
      <c r="A2615" s="115">
        <f t="shared" si="43"/>
        <v>10</v>
      </c>
      <c r="B2615" s="166" t="s">
        <v>2252</v>
      </c>
      <c r="C2615" s="167" t="s">
        <v>2261</v>
      </c>
      <c r="D2615" s="118"/>
      <c r="E2615" s="172">
        <v>5000</v>
      </c>
    </row>
    <row r="2616" spans="1:5" x14ac:dyDescent="0.25">
      <c r="A2616" s="115">
        <f t="shared" si="43"/>
        <v>11</v>
      </c>
      <c r="B2616" s="166" t="s">
        <v>317</v>
      </c>
      <c r="C2616" s="167" t="s">
        <v>304</v>
      </c>
      <c r="D2616" s="118"/>
      <c r="E2616" s="172">
        <v>5000</v>
      </c>
    </row>
    <row r="2617" spans="1:5" x14ac:dyDescent="0.25">
      <c r="A2617" s="115">
        <f t="shared" si="43"/>
        <v>12</v>
      </c>
      <c r="B2617" s="166" t="s">
        <v>1430</v>
      </c>
      <c r="C2617" s="167" t="s">
        <v>1437</v>
      </c>
      <c r="D2617" s="118"/>
      <c r="E2617" s="172">
        <v>5000</v>
      </c>
    </row>
    <row r="2618" spans="1:5" x14ac:dyDescent="0.25">
      <c r="A2618" s="115">
        <f t="shared" si="43"/>
        <v>13</v>
      </c>
      <c r="B2618" s="166" t="s">
        <v>2263</v>
      </c>
      <c r="C2618" s="167" t="s">
        <v>2267</v>
      </c>
      <c r="D2618" s="118"/>
      <c r="E2618" s="172">
        <v>5000</v>
      </c>
    </row>
    <row r="2619" spans="1:5" x14ac:dyDescent="0.25">
      <c r="A2619" s="115">
        <f t="shared" si="43"/>
        <v>14</v>
      </c>
      <c r="B2619" s="166" t="s">
        <v>1287</v>
      </c>
      <c r="C2619" s="167" t="s">
        <v>1262</v>
      </c>
      <c r="D2619" s="118"/>
      <c r="E2619" s="172">
        <v>5000</v>
      </c>
    </row>
    <row r="2620" spans="1:5" x14ac:dyDescent="0.25">
      <c r="A2620" s="115">
        <f t="shared" si="43"/>
        <v>15</v>
      </c>
      <c r="B2620" s="166" t="s">
        <v>994</v>
      </c>
      <c r="C2620" s="167" t="s">
        <v>2268</v>
      </c>
      <c r="D2620" s="118"/>
      <c r="E2620" s="172">
        <v>50000</v>
      </c>
    </row>
    <row r="2621" spans="1:5" x14ac:dyDescent="0.25">
      <c r="A2621" s="115">
        <f t="shared" si="43"/>
        <v>16</v>
      </c>
      <c r="B2621" s="166" t="s">
        <v>140</v>
      </c>
      <c r="C2621" s="167" t="s">
        <v>148</v>
      </c>
      <c r="D2621" s="118"/>
      <c r="E2621" s="172">
        <v>5000</v>
      </c>
    </row>
    <row r="2622" spans="1:5" x14ac:dyDescent="0.25">
      <c r="A2622" s="115">
        <f t="shared" si="43"/>
        <v>17</v>
      </c>
      <c r="B2622" s="166" t="s">
        <v>2264</v>
      </c>
      <c r="C2622" s="167" t="s">
        <v>2269</v>
      </c>
      <c r="D2622" s="118"/>
      <c r="E2622" s="172">
        <v>5000</v>
      </c>
    </row>
    <row r="2623" spans="1:5" x14ac:dyDescent="0.25">
      <c r="A2623" s="115">
        <f t="shared" si="43"/>
        <v>18</v>
      </c>
      <c r="B2623" s="166" t="s">
        <v>219</v>
      </c>
      <c r="C2623" s="167" t="s">
        <v>231</v>
      </c>
      <c r="D2623" s="118"/>
      <c r="E2623" s="172">
        <v>5000</v>
      </c>
    </row>
    <row r="2624" spans="1:5" x14ac:dyDescent="0.25">
      <c r="A2624" s="115">
        <f t="shared" si="43"/>
        <v>19</v>
      </c>
      <c r="B2624" s="166" t="s">
        <v>530</v>
      </c>
      <c r="C2624" s="167" t="s">
        <v>526</v>
      </c>
      <c r="D2624" s="118"/>
      <c r="E2624" s="172">
        <v>5000</v>
      </c>
    </row>
    <row r="2625" spans="1:5" x14ac:dyDescent="0.25">
      <c r="A2625" s="115">
        <f t="shared" si="43"/>
        <v>20</v>
      </c>
      <c r="B2625" s="166" t="s">
        <v>2265</v>
      </c>
      <c r="C2625" s="167" t="s">
        <v>2270</v>
      </c>
      <c r="D2625" s="118"/>
      <c r="E2625" s="172">
        <v>5000</v>
      </c>
    </row>
    <row r="2626" spans="1:5" x14ac:dyDescent="0.25">
      <c r="A2626" s="115">
        <f t="shared" si="43"/>
        <v>21</v>
      </c>
      <c r="B2626" s="166" t="s">
        <v>755</v>
      </c>
      <c r="C2626" s="167" t="s">
        <v>750</v>
      </c>
      <c r="D2626" s="118"/>
      <c r="E2626" s="172">
        <v>5000</v>
      </c>
    </row>
    <row r="2627" spans="1:5" x14ac:dyDescent="0.25">
      <c r="A2627" s="115">
        <f t="shared" si="43"/>
        <v>22</v>
      </c>
      <c r="B2627" s="166" t="s">
        <v>756</v>
      </c>
      <c r="C2627" s="167" t="s">
        <v>751</v>
      </c>
      <c r="D2627" s="118"/>
      <c r="E2627" s="172">
        <v>5000</v>
      </c>
    </row>
    <row r="2628" spans="1:5" x14ac:dyDescent="0.25">
      <c r="A2628" s="115">
        <f t="shared" si="43"/>
        <v>23</v>
      </c>
      <c r="B2628" s="166" t="s">
        <v>2266</v>
      </c>
      <c r="C2628" s="167" t="s">
        <v>2271</v>
      </c>
      <c r="D2628" s="118"/>
      <c r="E2628" s="172">
        <v>5000</v>
      </c>
    </row>
    <row r="2629" spans="1:5" x14ac:dyDescent="0.25">
      <c r="A2629" s="115"/>
      <c r="B2629" s="166"/>
      <c r="C2629" s="167"/>
      <c r="D2629" s="170"/>
      <c r="E2629" s="171"/>
    </row>
    <row r="2630" spans="1:5" ht="15.75" thickBot="1" x14ac:dyDescent="0.3">
      <c r="A2630" s="120"/>
      <c r="B2630" s="577" t="s">
        <v>15</v>
      </c>
      <c r="C2630" s="578"/>
      <c r="D2630" s="579"/>
      <c r="E2630" s="121">
        <f>SUM(E2606:E2628)</f>
        <v>337500</v>
      </c>
    </row>
    <row r="2631" spans="1:5" x14ac:dyDescent="0.25">
      <c r="A2631" s="110"/>
      <c r="B2631" s="145"/>
      <c r="C2631" s="145"/>
      <c r="E2631" s="146"/>
    </row>
    <row r="2632" spans="1:5" x14ac:dyDescent="0.25">
      <c r="A2632" s="109"/>
      <c r="B2632" s="109"/>
      <c r="C2632" s="110"/>
      <c r="D2632" s="123" t="s">
        <v>2244</v>
      </c>
      <c r="E2632" s="109"/>
    </row>
    <row r="2633" spans="1:5" x14ac:dyDescent="0.25">
      <c r="D2633" s="123" t="s">
        <v>100</v>
      </c>
    </row>
    <row r="2651" spans="1:5" x14ac:dyDescent="0.25">
      <c r="A2651" s="108" t="s">
        <v>0</v>
      </c>
      <c r="B2651" s="144"/>
      <c r="C2651" s="144"/>
      <c r="D2651" s="144"/>
      <c r="E2651" s="144"/>
    </row>
    <row r="2652" spans="1:5" x14ac:dyDescent="0.25">
      <c r="A2652" s="108" t="s">
        <v>1</v>
      </c>
      <c r="B2652" s="109"/>
      <c r="C2652" s="110"/>
      <c r="D2652" s="109"/>
      <c r="E2652" s="109"/>
    </row>
    <row r="2653" spans="1:5" x14ac:dyDescent="0.25">
      <c r="A2653" s="108"/>
      <c r="B2653" s="109"/>
      <c r="C2653" s="110"/>
      <c r="D2653" s="109"/>
      <c r="E2653" s="109"/>
    </row>
    <row r="2654" spans="1:5" x14ac:dyDescent="0.25">
      <c r="A2654" s="111" t="s">
        <v>101</v>
      </c>
      <c r="B2654" s="111"/>
      <c r="C2654" s="111"/>
      <c r="D2654" s="111"/>
      <c r="E2654" s="111"/>
    </row>
    <row r="2655" spans="1:5" x14ac:dyDescent="0.25">
      <c r="A2655" s="575" t="s">
        <v>118</v>
      </c>
      <c r="B2655" s="576"/>
      <c r="C2655" s="576"/>
      <c r="D2655" s="576"/>
      <c r="E2655" s="576"/>
    </row>
    <row r="2656" spans="1:5" x14ac:dyDescent="0.25">
      <c r="A2656" s="110"/>
      <c r="B2656" s="110"/>
      <c r="C2656" s="110"/>
      <c r="D2656" s="110"/>
      <c r="E2656" s="110"/>
    </row>
    <row r="2657" spans="1:5" ht="15.75" thickBot="1" x14ac:dyDescent="0.3">
      <c r="A2657" s="109"/>
      <c r="B2657" s="109"/>
      <c r="C2657" s="110"/>
      <c r="D2657" s="109"/>
      <c r="E2657" s="124" t="s">
        <v>2272</v>
      </c>
    </row>
    <row r="2658" spans="1:5" x14ac:dyDescent="0.25">
      <c r="A2658" s="112" t="s">
        <v>21</v>
      </c>
      <c r="B2658" s="113" t="s">
        <v>96</v>
      </c>
      <c r="C2658" s="113" t="s">
        <v>97</v>
      </c>
      <c r="D2658" s="113" t="s">
        <v>91</v>
      </c>
      <c r="E2658" s="114" t="s">
        <v>15</v>
      </c>
    </row>
    <row r="2659" spans="1:5" x14ac:dyDescent="0.25">
      <c r="A2659" s="115">
        <v>1</v>
      </c>
      <c r="B2659" s="166" t="s">
        <v>2274</v>
      </c>
      <c r="C2659" s="167" t="s">
        <v>2285</v>
      </c>
      <c r="D2659" s="118"/>
      <c r="E2659" s="119">
        <v>22500</v>
      </c>
    </row>
    <row r="2660" spans="1:5" x14ac:dyDescent="0.25">
      <c r="A2660" s="115">
        <f>A2659+1</f>
        <v>2</v>
      </c>
      <c r="B2660" s="166" t="s">
        <v>2275</v>
      </c>
      <c r="C2660" s="167" t="s">
        <v>2286</v>
      </c>
      <c r="D2660" s="118"/>
      <c r="E2660" s="119">
        <v>5000</v>
      </c>
    </row>
    <row r="2661" spans="1:5" x14ac:dyDescent="0.25">
      <c r="A2661" s="115">
        <f t="shared" ref="A2661:A2671" si="44">A2660+1</f>
        <v>3</v>
      </c>
      <c r="B2661" s="166" t="s">
        <v>2276</v>
      </c>
      <c r="C2661" s="167" t="s">
        <v>2287</v>
      </c>
      <c r="D2661" s="118"/>
      <c r="E2661" s="172">
        <v>12500</v>
      </c>
    </row>
    <row r="2662" spans="1:5" x14ac:dyDescent="0.25">
      <c r="A2662" s="115">
        <f t="shared" si="44"/>
        <v>4</v>
      </c>
      <c r="B2662" s="166" t="s">
        <v>2277</v>
      </c>
      <c r="C2662" s="167" t="s">
        <v>2288</v>
      </c>
      <c r="D2662" s="118"/>
      <c r="E2662" s="172">
        <v>12500</v>
      </c>
    </row>
    <row r="2663" spans="1:5" x14ac:dyDescent="0.25">
      <c r="A2663" s="115">
        <f t="shared" si="44"/>
        <v>5</v>
      </c>
      <c r="B2663" s="166" t="s">
        <v>2250</v>
      </c>
      <c r="C2663" s="167" t="s">
        <v>2289</v>
      </c>
      <c r="D2663" s="118"/>
      <c r="E2663" s="172">
        <v>5000</v>
      </c>
    </row>
    <row r="2664" spans="1:5" x14ac:dyDescent="0.25">
      <c r="A2664" s="115">
        <f t="shared" si="44"/>
        <v>6</v>
      </c>
      <c r="B2664" s="166" t="s">
        <v>701</v>
      </c>
      <c r="C2664" s="167" t="s">
        <v>689</v>
      </c>
      <c r="D2664" s="118"/>
      <c r="E2664" s="172">
        <v>12500</v>
      </c>
    </row>
    <row r="2665" spans="1:5" x14ac:dyDescent="0.25">
      <c r="A2665" s="115">
        <f t="shared" si="44"/>
        <v>7</v>
      </c>
      <c r="B2665" s="166" t="s">
        <v>2278</v>
      </c>
      <c r="C2665" s="167" t="s">
        <v>2290</v>
      </c>
      <c r="D2665" s="118"/>
      <c r="E2665" s="172">
        <v>5000</v>
      </c>
    </row>
    <row r="2666" spans="1:5" x14ac:dyDescent="0.25">
      <c r="A2666" s="115">
        <f t="shared" si="44"/>
        <v>8</v>
      </c>
      <c r="B2666" s="166" t="s">
        <v>2279</v>
      </c>
      <c r="C2666" s="167" t="s">
        <v>2291</v>
      </c>
      <c r="D2666" s="118"/>
      <c r="E2666" s="172">
        <v>5000</v>
      </c>
    </row>
    <row r="2667" spans="1:5" x14ac:dyDescent="0.25">
      <c r="A2667" s="115">
        <f t="shared" si="44"/>
        <v>9</v>
      </c>
      <c r="B2667" s="166" t="s">
        <v>2280</v>
      </c>
      <c r="C2667" s="167" t="s">
        <v>2292</v>
      </c>
      <c r="D2667" s="118"/>
      <c r="E2667" s="172">
        <v>12500</v>
      </c>
    </row>
    <row r="2668" spans="1:5" x14ac:dyDescent="0.25">
      <c r="A2668" s="115">
        <f t="shared" si="44"/>
        <v>10</v>
      </c>
      <c r="B2668" s="166" t="s">
        <v>2281</v>
      </c>
      <c r="C2668" s="167" t="s">
        <v>2293</v>
      </c>
      <c r="D2668" s="118"/>
      <c r="E2668" s="172">
        <v>22500</v>
      </c>
    </row>
    <row r="2669" spans="1:5" x14ac:dyDescent="0.25">
      <c r="A2669" s="115">
        <f t="shared" si="44"/>
        <v>11</v>
      </c>
      <c r="B2669" s="166" t="s">
        <v>2282</v>
      </c>
      <c r="C2669" s="167" t="s">
        <v>2294</v>
      </c>
      <c r="D2669" s="118"/>
      <c r="E2669" s="172">
        <v>5000</v>
      </c>
    </row>
    <row r="2670" spans="1:5" x14ac:dyDescent="0.25">
      <c r="A2670" s="115">
        <f t="shared" si="44"/>
        <v>12</v>
      </c>
      <c r="B2670" s="166" t="s">
        <v>2283</v>
      </c>
      <c r="C2670" s="167" t="s">
        <v>2295</v>
      </c>
      <c r="D2670" s="118"/>
      <c r="E2670" s="172">
        <v>5000</v>
      </c>
    </row>
    <row r="2671" spans="1:5" x14ac:dyDescent="0.25">
      <c r="A2671" s="115">
        <f t="shared" si="44"/>
        <v>13</v>
      </c>
      <c r="B2671" s="166" t="s">
        <v>2284</v>
      </c>
      <c r="C2671" s="167" t="s">
        <v>2296</v>
      </c>
      <c r="D2671" s="118"/>
      <c r="E2671" s="172">
        <v>5000</v>
      </c>
    </row>
    <row r="2672" spans="1:5" x14ac:dyDescent="0.25">
      <c r="A2672" s="115"/>
      <c r="B2672" s="166"/>
      <c r="C2672" s="167"/>
      <c r="D2672" s="170"/>
      <c r="E2672" s="171"/>
    </row>
    <row r="2673" spans="1:5" ht="15.75" thickBot="1" x14ac:dyDescent="0.3">
      <c r="A2673" s="120"/>
      <c r="B2673" s="577" t="s">
        <v>15</v>
      </c>
      <c r="C2673" s="578"/>
      <c r="D2673" s="579"/>
      <c r="E2673" s="121">
        <f>SUM(E2659:E2671)</f>
        <v>130000</v>
      </c>
    </row>
    <row r="2674" spans="1:5" x14ac:dyDescent="0.25">
      <c r="A2674" s="110"/>
      <c r="B2674" s="145"/>
      <c r="C2674" s="145"/>
      <c r="E2674" s="146"/>
    </row>
    <row r="2675" spans="1:5" x14ac:dyDescent="0.25">
      <c r="A2675" s="109"/>
      <c r="B2675" s="109"/>
      <c r="C2675" s="110"/>
      <c r="D2675" s="123" t="s">
        <v>2273</v>
      </c>
      <c r="E2675" s="109"/>
    </row>
    <row r="2676" spans="1:5" x14ac:dyDescent="0.25">
      <c r="D2676" s="123" t="s">
        <v>100</v>
      </c>
    </row>
    <row r="2704" spans="1:5" x14ac:dyDescent="0.25">
      <c r="A2704" s="108" t="s">
        <v>0</v>
      </c>
      <c r="B2704" s="144"/>
      <c r="C2704" s="144"/>
      <c r="D2704" s="144"/>
      <c r="E2704" s="144"/>
    </row>
    <row r="2705" spans="1:5" x14ac:dyDescent="0.25">
      <c r="A2705" s="108" t="s">
        <v>1</v>
      </c>
      <c r="B2705" s="109"/>
      <c r="C2705" s="110"/>
      <c r="D2705" s="109"/>
      <c r="E2705" s="109"/>
    </row>
    <row r="2706" spans="1:5" x14ac:dyDescent="0.25">
      <c r="A2706" s="108"/>
      <c r="B2706" s="109"/>
      <c r="C2706" s="110"/>
      <c r="D2706" s="109"/>
      <c r="E2706" s="109"/>
    </row>
    <row r="2707" spans="1:5" x14ac:dyDescent="0.25">
      <c r="A2707" s="111" t="s">
        <v>101</v>
      </c>
      <c r="B2707" s="111"/>
      <c r="C2707" s="111"/>
      <c r="D2707" s="111"/>
      <c r="E2707" s="111"/>
    </row>
    <row r="2708" spans="1:5" x14ac:dyDescent="0.25">
      <c r="A2708" s="575" t="s">
        <v>118</v>
      </c>
      <c r="B2708" s="576"/>
      <c r="C2708" s="576"/>
      <c r="D2708" s="576"/>
      <c r="E2708" s="576"/>
    </row>
    <row r="2709" spans="1:5" x14ac:dyDescent="0.25">
      <c r="A2709" s="110"/>
      <c r="B2709" s="110"/>
      <c r="C2709" s="110"/>
      <c r="D2709" s="110"/>
      <c r="E2709" s="110"/>
    </row>
    <row r="2710" spans="1:5" ht="15.75" thickBot="1" x14ac:dyDescent="0.3">
      <c r="A2710" s="109"/>
      <c r="B2710" s="109"/>
      <c r="C2710" s="110"/>
      <c r="D2710" s="109"/>
      <c r="E2710" s="124" t="s">
        <v>2297</v>
      </c>
    </row>
    <row r="2711" spans="1:5" x14ac:dyDescent="0.25">
      <c r="A2711" s="112" t="s">
        <v>21</v>
      </c>
      <c r="B2711" s="113" t="s">
        <v>96</v>
      </c>
      <c r="C2711" s="113" t="s">
        <v>97</v>
      </c>
      <c r="D2711" s="113" t="s">
        <v>91</v>
      </c>
      <c r="E2711" s="114" t="s">
        <v>15</v>
      </c>
    </row>
    <row r="2712" spans="1:5" x14ac:dyDescent="0.25">
      <c r="A2712" s="115">
        <v>1</v>
      </c>
      <c r="B2712" s="166" t="s">
        <v>2182</v>
      </c>
      <c r="C2712" s="167" t="s">
        <v>2304</v>
      </c>
      <c r="D2712" s="118"/>
      <c r="E2712" s="119">
        <v>42500</v>
      </c>
    </row>
    <row r="2713" spans="1:5" x14ac:dyDescent="0.25">
      <c r="A2713" s="115">
        <f>A2712+1</f>
        <v>2</v>
      </c>
      <c r="B2713" s="166" t="s">
        <v>2299</v>
      </c>
      <c r="C2713" s="167" t="s">
        <v>2305</v>
      </c>
      <c r="D2713" s="118"/>
      <c r="E2713" s="119">
        <v>5000</v>
      </c>
    </row>
    <row r="2714" spans="1:5" x14ac:dyDescent="0.25">
      <c r="A2714" s="115">
        <f t="shared" ref="A2714:A2719" si="45">A2713+1</f>
        <v>3</v>
      </c>
      <c r="B2714" s="166" t="s">
        <v>2300</v>
      </c>
      <c r="C2714" s="167" t="s">
        <v>2306</v>
      </c>
      <c r="D2714" s="118"/>
      <c r="E2714" s="172">
        <v>82500</v>
      </c>
    </row>
    <row r="2715" spans="1:5" x14ac:dyDescent="0.25">
      <c r="A2715" s="115">
        <f t="shared" si="45"/>
        <v>4</v>
      </c>
      <c r="B2715" s="166" t="s">
        <v>997</v>
      </c>
      <c r="C2715" s="167" t="s">
        <v>991</v>
      </c>
      <c r="D2715" s="118"/>
      <c r="E2715" s="172">
        <v>5000</v>
      </c>
    </row>
    <row r="2716" spans="1:5" x14ac:dyDescent="0.25">
      <c r="A2716" s="115">
        <f t="shared" si="45"/>
        <v>5</v>
      </c>
      <c r="B2716" s="166" t="s">
        <v>2301</v>
      </c>
      <c r="C2716" s="167" t="s">
        <v>2307</v>
      </c>
      <c r="D2716" s="118"/>
      <c r="E2716" s="172">
        <v>12500</v>
      </c>
    </row>
    <row r="2717" spans="1:5" x14ac:dyDescent="0.25">
      <c r="A2717" s="115">
        <f t="shared" si="45"/>
        <v>6</v>
      </c>
      <c r="B2717" s="166" t="s">
        <v>2302</v>
      </c>
      <c r="C2717" s="167" t="s">
        <v>2308</v>
      </c>
      <c r="D2717" s="118"/>
      <c r="E2717" s="172">
        <v>5000</v>
      </c>
    </row>
    <row r="2718" spans="1:5" x14ac:dyDescent="0.25">
      <c r="A2718" s="115">
        <f t="shared" si="45"/>
        <v>7</v>
      </c>
      <c r="B2718" s="166" t="s">
        <v>2303</v>
      </c>
      <c r="C2718" s="167" t="s">
        <v>2309</v>
      </c>
      <c r="D2718" s="118"/>
      <c r="E2718" s="172">
        <v>12500</v>
      </c>
    </row>
    <row r="2719" spans="1:5" x14ac:dyDescent="0.25">
      <c r="A2719" s="115">
        <f t="shared" si="45"/>
        <v>8</v>
      </c>
      <c r="B2719" s="166" t="s">
        <v>1695</v>
      </c>
      <c r="C2719" s="167" t="s">
        <v>2310</v>
      </c>
      <c r="D2719" s="118"/>
      <c r="E2719" s="172">
        <v>22500</v>
      </c>
    </row>
    <row r="2720" spans="1:5" x14ac:dyDescent="0.25">
      <c r="A2720" s="115"/>
      <c r="B2720" s="166"/>
      <c r="C2720" s="167"/>
      <c r="D2720" s="170"/>
      <c r="E2720" s="171"/>
    </row>
    <row r="2721" spans="1:5" ht="15.75" thickBot="1" x14ac:dyDescent="0.3">
      <c r="A2721" s="120"/>
      <c r="B2721" s="577" t="s">
        <v>15</v>
      </c>
      <c r="C2721" s="578"/>
      <c r="D2721" s="579"/>
      <c r="E2721" s="121">
        <f>SUM(E2712:E2719)</f>
        <v>187500</v>
      </c>
    </row>
    <row r="2722" spans="1:5" x14ac:dyDescent="0.25">
      <c r="A2722" s="110"/>
      <c r="B2722" s="145"/>
      <c r="C2722" s="145"/>
      <c r="E2722" s="146"/>
    </row>
    <row r="2723" spans="1:5" x14ac:dyDescent="0.25">
      <c r="A2723" s="109"/>
      <c r="B2723" s="109"/>
      <c r="C2723" s="110"/>
      <c r="D2723" s="123" t="s">
        <v>2298</v>
      </c>
      <c r="E2723" s="109"/>
    </row>
    <row r="2724" spans="1:5" x14ac:dyDescent="0.25">
      <c r="D2724" s="123" t="s">
        <v>100</v>
      </c>
    </row>
    <row r="2757" spans="1:5" x14ac:dyDescent="0.25">
      <c r="A2757" s="108" t="s">
        <v>0</v>
      </c>
      <c r="B2757" s="144"/>
      <c r="C2757" s="144"/>
      <c r="D2757" s="144"/>
      <c r="E2757" s="144"/>
    </row>
    <row r="2758" spans="1:5" x14ac:dyDescent="0.25">
      <c r="A2758" s="108" t="s">
        <v>1</v>
      </c>
      <c r="B2758" s="109"/>
      <c r="C2758" s="110"/>
      <c r="D2758" s="109"/>
      <c r="E2758" s="109"/>
    </row>
    <row r="2759" spans="1:5" x14ac:dyDescent="0.25">
      <c r="A2759" s="108"/>
      <c r="B2759" s="109"/>
      <c r="C2759" s="110"/>
      <c r="D2759" s="109"/>
      <c r="E2759" s="109"/>
    </row>
    <row r="2760" spans="1:5" x14ac:dyDescent="0.25">
      <c r="A2760" s="111" t="s">
        <v>101</v>
      </c>
      <c r="B2760" s="111"/>
      <c r="C2760" s="111"/>
      <c r="D2760" s="111"/>
      <c r="E2760" s="111"/>
    </row>
    <row r="2761" spans="1:5" x14ac:dyDescent="0.25">
      <c r="A2761" s="575" t="s">
        <v>118</v>
      </c>
      <c r="B2761" s="576"/>
      <c r="C2761" s="576"/>
      <c r="D2761" s="576"/>
      <c r="E2761" s="576"/>
    </row>
    <row r="2762" spans="1:5" x14ac:dyDescent="0.25">
      <c r="A2762" s="110"/>
      <c r="B2762" s="110"/>
      <c r="C2762" s="110"/>
      <c r="D2762" s="110"/>
      <c r="E2762" s="110"/>
    </row>
    <row r="2763" spans="1:5" ht="15.75" thickBot="1" x14ac:dyDescent="0.3">
      <c r="A2763" s="109"/>
      <c r="B2763" s="109"/>
      <c r="C2763" s="110"/>
      <c r="D2763" s="109"/>
      <c r="E2763" s="124" t="s">
        <v>2311</v>
      </c>
    </row>
    <row r="2764" spans="1:5" x14ac:dyDescent="0.25">
      <c r="A2764" s="112" t="s">
        <v>21</v>
      </c>
      <c r="B2764" s="113" t="s">
        <v>96</v>
      </c>
      <c r="C2764" s="113" t="s">
        <v>97</v>
      </c>
      <c r="D2764" s="113" t="s">
        <v>91</v>
      </c>
      <c r="E2764" s="114" t="s">
        <v>15</v>
      </c>
    </row>
    <row r="2765" spans="1:5" x14ac:dyDescent="0.25">
      <c r="A2765" s="115">
        <v>1</v>
      </c>
      <c r="B2765" s="166" t="s">
        <v>2313</v>
      </c>
      <c r="C2765" s="167" t="s">
        <v>2320</v>
      </c>
      <c r="D2765" s="118"/>
      <c r="E2765" s="119">
        <v>5000</v>
      </c>
    </row>
    <row r="2766" spans="1:5" x14ac:dyDescent="0.25">
      <c r="A2766" s="115">
        <f>A2765+1</f>
        <v>2</v>
      </c>
      <c r="B2766" s="166" t="s">
        <v>153</v>
      </c>
      <c r="C2766" s="167" t="s">
        <v>159</v>
      </c>
      <c r="D2766" s="118"/>
      <c r="E2766" s="119">
        <v>5000</v>
      </c>
    </row>
    <row r="2767" spans="1:5" x14ac:dyDescent="0.25">
      <c r="A2767" s="115">
        <f t="shared" ref="A2767:A2777" si="46">A2766+1</f>
        <v>3</v>
      </c>
      <c r="B2767" s="166" t="s">
        <v>2314</v>
      </c>
      <c r="C2767" s="167" t="s">
        <v>2321</v>
      </c>
      <c r="D2767" s="118"/>
      <c r="E2767" s="172">
        <v>60000</v>
      </c>
    </row>
    <row r="2768" spans="1:5" x14ac:dyDescent="0.25">
      <c r="A2768" s="115">
        <f t="shared" si="46"/>
        <v>4</v>
      </c>
      <c r="B2768" s="166" t="s">
        <v>137</v>
      </c>
      <c r="C2768" s="167" t="s">
        <v>1209</v>
      </c>
      <c r="D2768" s="118"/>
      <c r="E2768" s="172">
        <v>5000</v>
      </c>
    </row>
    <row r="2769" spans="1:5" x14ac:dyDescent="0.25">
      <c r="A2769" s="115">
        <f t="shared" si="46"/>
        <v>5</v>
      </c>
      <c r="B2769" s="166" t="s">
        <v>2315</v>
      </c>
      <c r="C2769" s="167" t="s">
        <v>2322</v>
      </c>
      <c r="D2769" s="118"/>
      <c r="E2769" s="172">
        <v>5000</v>
      </c>
    </row>
    <row r="2770" spans="1:5" x14ac:dyDescent="0.25">
      <c r="A2770" s="115">
        <f t="shared" si="46"/>
        <v>6</v>
      </c>
      <c r="B2770" s="166" t="s">
        <v>2316</v>
      </c>
      <c r="C2770" s="167" t="s">
        <v>811</v>
      </c>
      <c r="D2770" s="118"/>
      <c r="E2770" s="172">
        <v>5000</v>
      </c>
    </row>
    <row r="2771" spans="1:5" x14ac:dyDescent="0.25">
      <c r="A2771" s="115">
        <f t="shared" si="46"/>
        <v>7</v>
      </c>
      <c r="B2771" s="166" t="s">
        <v>2317</v>
      </c>
      <c r="C2771" s="167" t="s">
        <v>2323</v>
      </c>
      <c r="D2771" s="118"/>
      <c r="E2771" s="172">
        <v>12500</v>
      </c>
    </row>
    <row r="2772" spans="1:5" x14ac:dyDescent="0.25">
      <c r="A2772" s="115">
        <f t="shared" si="46"/>
        <v>8</v>
      </c>
      <c r="B2772" s="166" t="s">
        <v>2318</v>
      </c>
      <c r="C2772" s="167" t="s">
        <v>2324</v>
      </c>
      <c r="D2772" s="118"/>
      <c r="E2772" s="172">
        <v>5000</v>
      </c>
    </row>
    <row r="2773" spans="1:5" x14ac:dyDescent="0.25">
      <c r="A2773" s="115">
        <f t="shared" si="46"/>
        <v>9</v>
      </c>
      <c r="B2773" s="166" t="s">
        <v>899</v>
      </c>
      <c r="C2773" s="167" t="s">
        <v>908</v>
      </c>
      <c r="D2773" s="118"/>
      <c r="E2773" s="172">
        <v>5000</v>
      </c>
    </row>
    <row r="2774" spans="1:5" x14ac:dyDescent="0.25">
      <c r="A2774" s="115">
        <f t="shared" si="46"/>
        <v>10</v>
      </c>
      <c r="B2774" s="166" t="s">
        <v>2319</v>
      </c>
      <c r="C2774" s="167" t="s">
        <v>2325</v>
      </c>
      <c r="D2774" s="118"/>
      <c r="E2774" s="172">
        <v>5000</v>
      </c>
    </row>
    <row r="2775" spans="1:5" x14ac:dyDescent="0.25">
      <c r="A2775" s="115">
        <f t="shared" si="46"/>
        <v>11</v>
      </c>
      <c r="B2775" s="166" t="s">
        <v>1288</v>
      </c>
      <c r="C2775" s="167" t="s">
        <v>1263</v>
      </c>
      <c r="D2775" s="118"/>
      <c r="E2775" s="172">
        <v>5000</v>
      </c>
    </row>
    <row r="2776" spans="1:5" x14ac:dyDescent="0.25">
      <c r="A2776" s="115">
        <f t="shared" si="46"/>
        <v>12</v>
      </c>
      <c r="B2776" s="166" t="s">
        <v>1289</v>
      </c>
      <c r="C2776" s="167" t="s">
        <v>1264</v>
      </c>
      <c r="D2776" s="118"/>
      <c r="E2776" s="172">
        <v>5000</v>
      </c>
    </row>
    <row r="2777" spans="1:5" x14ac:dyDescent="0.25">
      <c r="A2777" s="115">
        <f t="shared" si="46"/>
        <v>13</v>
      </c>
      <c r="B2777" s="166" t="s">
        <v>1800</v>
      </c>
      <c r="C2777" s="167" t="s">
        <v>2326</v>
      </c>
      <c r="D2777" s="118"/>
      <c r="E2777" s="172">
        <v>5000</v>
      </c>
    </row>
    <row r="2778" spans="1:5" x14ac:dyDescent="0.25">
      <c r="A2778" s="115"/>
      <c r="B2778" s="166"/>
      <c r="C2778" s="167"/>
      <c r="D2778" s="170"/>
      <c r="E2778" s="171"/>
    </row>
    <row r="2779" spans="1:5" ht="15.75" thickBot="1" x14ac:dyDescent="0.3">
      <c r="A2779" s="120"/>
      <c r="B2779" s="577" t="s">
        <v>15</v>
      </c>
      <c r="C2779" s="578"/>
      <c r="D2779" s="579"/>
      <c r="E2779" s="121">
        <f>SUM(E2765:E2777)</f>
        <v>127500</v>
      </c>
    </row>
    <row r="2780" spans="1:5" x14ac:dyDescent="0.25">
      <c r="A2780" s="110"/>
      <c r="B2780" s="145"/>
      <c r="C2780" s="145"/>
      <c r="E2780" s="146"/>
    </row>
    <row r="2781" spans="1:5" x14ac:dyDescent="0.25">
      <c r="A2781" s="109"/>
      <c r="B2781" s="109"/>
      <c r="C2781" s="110"/>
      <c r="D2781" s="123" t="s">
        <v>2312</v>
      </c>
      <c r="E2781" s="109"/>
    </row>
    <row r="2782" spans="1:5" x14ac:dyDescent="0.25">
      <c r="D2782" s="123" t="s">
        <v>100</v>
      </c>
    </row>
    <row r="2810" spans="1:5" x14ac:dyDescent="0.25">
      <c r="A2810" s="108" t="s">
        <v>0</v>
      </c>
      <c r="B2810" s="144"/>
      <c r="C2810" s="144"/>
      <c r="D2810" s="144"/>
      <c r="E2810" s="144"/>
    </row>
    <row r="2811" spans="1:5" x14ac:dyDescent="0.25">
      <c r="A2811" s="108" t="s">
        <v>1</v>
      </c>
      <c r="B2811" s="109"/>
      <c r="C2811" s="110"/>
      <c r="D2811" s="109"/>
      <c r="E2811" s="109"/>
    </row>
    <row r="2812" spans="1:5" x14ac:dyDescent="0.25">
      <c r="A2812" s="108"/>
      <c r="B2812" s="109"/>
      <c r="C2812" s="110"/>
      <c r="D2812" s="109"/>
      <c r="E2812" s="109"/>
    </row>
    <row r="2813" spans="1:5" x14ac:dyDescent="0.25">
      <c r="A2813" s="111" t="s">
        <v>101</v>
      </c>
      <c r="B2813" s="111"/>
      <c r="C2813" s="111"/>
      <c r="D2813" s="111"/>
      <c r="E2813" s="111"/>
    </row>
    <row r="2814" spans="1:5" x14ac:dyDescent="0.25">
      <c r="A2814" s="575" t="s">
        <v>118</v>
      </c>
      <c r="B2814" s="576"/>
      <c r="C2814" s="576"/>
      <c r="D2814" s="576"/>
      <c r="E2814" s="576"/>
    </row>
    <row r="2815" spans="1:5" x14ac:dyDescent="0.25">
      <c r="A2815" s="110"/>
      <c r="B2815" s="110"/>
      <c r="C2815" s="110"/>
      <c r="D2815" s="110"/>
      <c r="E2815" s="110"/>
    </row>
    <row r="2816" spans="1:5" ht="15.75" thickBot="1" x14ac:dyDescent="0.3">
      <c r="A2816" s="109"/>
      <c r="B2816" s="109"/>
      <c r="C2816" s="110"/>
      <c r="D2816" s="109"/>
      <c r="E2816" s="124" t="s">
        <v>2327</v>
      </c>
    </row>
    <row r="2817" spans="1:5" x14ac:dyDescent="0.25">
      <c r="A2817" s="112" t="s">
        <v>21</v>
      </c>
      <c r="B2817" s="113" t="s">
        <v>96</v>
      </c>
      <c r="C2817" s="113" t="s">
        <v>97</v>
      </c>
      <c r="D2817" s="113" t="s">
        <v>91</v>
      </c>
      <c r="E2817" s="114" t="s">
        <v>15</v>
      </c>
    </row>
    <row r="2818" spans="1:5" x14ac:dyDescent="0.25">
      <c r="A2818" s="115">
        <v>1</v>
      </c>
      <c r="B2818" s="166" t="s">
        <v>2329</v>
      </c>
      <c r="C2818" s="167" t="s">
        <v>2336</v>
      </c>
      <c r="D2818" s="118"/>
      <c r="E2818" s="119">
        <v>32500</v>
      </c>
    </row>
    <row r="2819" spans="1:5" x14ac:dyDescent="0.25">
      <c r="A2819" s="115">
        <f>A2818+1</f>
        <v>2</v>
      </c>
      <c r="B2819" s="166" t="s">
        <v>2330</v>
      </c>
      <c r="C2819" s="167" t="s">
        <v>2337</v>
      </c>
      <c r="D2819" s="118"/>
      <c r="E2819" s="119">
        <v>42500</v>
      </c>
    </row>
    <row r="2820" spans="1:5" x14ac:dyDescent="0.25">
      <c r="A2820" s="115">
        <f t="shared" ref="A2820:A2843" si="47">A2819+1</f>
        <v>3</v>
      </c>
      <c r="B2820" s="166" t="s">
        <v>2331</v>
      </c>
      <c r="C2820" s="167" t="s">
        <v>2338</v>
      </c>
      <c r="D2820" s="118"/>
      <c r="E2820" s="172">
        <v>32500</v>
      </c>
    </row>
    <row r="2821" spans="1:5" x14ac:dyDescent="0.25">
      <c r="A2821" s="115">
        <f t="shared" si="47"/>
        <v>4</v>
      </c>
      <c r="B2821" s="166" t="s">
        <v>2332</v>
      </c>
      <c r="C2821" s="167" t="s">
        <v>2339</v>
      </c>
      <c r="D2821" s="118"/>
      <c r="E2821" s="172">
        <v>5000</v>
      </c>
    </row>
    <row r="2822" spans="1:5" x14ac:dyDescent="0.25">
      <c r="A2822" s="115">
        <f t="shared" si="47"/>
        <v>5</v>
      </c>
      <c r="B2822" s="166" t="s">
        <v>2333</v>
      </c>
      <c r="C2822" s="167" t="s">
        <v>2340</v>
      </c>
      <c r="D2822" s="118"/>
      <c r="E2822" s="172">
        <v>12500</v>
      </c>
    </row>
    <row r="2823" spans="1:5" x14ac:dyDescent="0.25">
      <c r="A2823" s="115">
        <f t="shared" si="47"/>
        <v>6</v>
      </c>
      <c r="B2823" s="166" t="s">
        <v>1277</v>
      </c>
      <c r="C2823" s="167" t="s">
        <v>2341</v>
      </c>
      <c r="D2823" s="118"/>
      <c r="E2823" s="172">
        <v>52500</v>
      </c>
    </row>
    <row r="2824" spans="1:5" x14ac:dyDescent="0.25">
      <c r="A2824" s="115">
        <f t="shared" si="47"/>
        <v>7</v>
      </c>
      <c r="B2824" s="166" t="s">
        <v>2334</v>
      </c>
      <c r="C2824" s="167" t="s">
        <v>2342</v>
      </c>
      <c r="D2824" s="118"/>
      <c r="E2824" s="172">
        <v>5000</v>
      </c>
    </row>
    <row r="2825" spans="1:5" x14ac:dyDescent="0.25">
      <c r="A2825" s="115">
        <f t="shared" si="47"/>
        <v>8</v>
      </c>
      <c r="B2825" s="166" t="s">
        <v>1277</v>
      </c>
      <c r="C2825" s="167" t="s">
        <v>1250</v>
      </c>
      <c r="D2825" s="118"/>
      <c r="E2825" s="172">
        <v>5000</v>
      </c>
    </row>
    <row r="2826" spans="1:5" x14ac:dyDescent="0.25">
      <c r="A2826" s="115">
        <f t="shared" si="47"/>
        <v>9</v>
      </c>
      <c r="B2826" s="166" t="s">
        <v>479</v>
      </c>
      <c r="C2826" s="167" t="s">
        <v>488</v>
      </c>
      <c r="D2826" s="118"/>
      <c r="E2826" s="172">
        <v>5000</v>
      </c>
    </row>
    <row r="2827" spans="1:5" x14ac:dyDescent="0.25">
      <c r="A2827" s="115">
        <f t="shared" si="47"/>
        <v>10</v>
      </c>
      <c r="B2827" s="166" t="s">
        <v>998</v>
      </c>
      <c r="C2827" s="167" t="s">
        <v>993</v>
      </c>
      <c r="D2827" s="118"/>
      <c r="E2827" s="172">
        <v>12500</v>
      </c>
    </row>
    <row r="2828" spans="1:5" x14ac:dyDescent="0.25">
      <c r="A2828" s="115">
        <f t="shared" si="47"/>
        <v>11</v>
      </c>
      <c r="B2828" s="166" t="s">
        <v>2335</v>
      </c>
      <c r="C2828" s="167" t="s">
        <v>2343</v>
      </c>
      <c r="D2828" s="118"/>
      <c r="E2828" s="172">
        <v>22500</v>
      </c>
    </row>
    <row r="2829" spans="1:5" x14ac:dyDescent="0.25">
      <c r="A2829" s="115">
        <f t="shared" si="47"/>
        <v>12</v>
      </c>
      <c r="B2829" s="166" t="s">
        <v>2344</v>
      </c>
      <c r="C2829" s="167" t="s">
        <v>2355</v>
      </c>
      <c r="D2829" s="118"/>
      <c r="E2829" s="172">
        <v>5000</v>
      </c>
    </row>
    <row r="2830" spans="1:5" x14ac:dyDescent="0.25">
      <c r="A2830" s="115">
        <f t="shared" si="47"/>
        <v>13</v>
      </c>
      <c r="B2830" s="166" t="s">
        <v>2345</v>
      </c>
      <c r="C2830" s="167" t="s">
        <v>2356</v>
      </c>
      <c r="D2830" s="118"/>
      <c r="E2830" s="172">
        <v>20000</v>
      </c>
    </row>
    <row r="2831" spans="1:5" x14ac:dyDescent="0.25">
      <c r="A2831" s="115">
        <f t="shared" si="47"/>
        <v>14</v>
      </c>
      <c r="B2831" s="166" t="s">
        <v>1277</v>
      </c>
      <c r="C2831" s="167" t="s">
        <v>2357</v>
      </c>
      <c r="D2831" s="118"/>
      <c r="E2831" s="172">
        <v>22500</v>
      </c>
    </row>
    <row r="2832" spans="1:5" x14ac:dyDescent="0.25">
      <c r="A2832" s="115">
        <f t="shared" si="47"/>
        <v>15</v>
      </c>
      <c r="B2832" s="166" t="s">
        <v>1277</v>
      </c>
      <c r="C2832" s="167" t="s">
        <v>2358</v>
      </c>
      <c r="D2832" s="118"/>
      <c r="E2832" s="172">
        <v>22500</v>
      </c>
    </row>
    <row r="2833" spans="1:5" x14ac:dyDescent="0.25">
      <c r="A2833" s="115">
        <f t="shared" si="47"/>
        <v>16</v>
      </c>
      <c r="B2833" s="166" t="s">
        <v>2346</v>
      </c>
      <c r="C2833" s="167" t="s">
        <v>2359</v>
      </c>
      <c r="D2833" s="118"/>
      <c r="E2833" s="172">
        <v>22500</v>
      </c>
    </row>
    <row r="2834" spans="1:5" x14ac:dyDescent="0.25">
      <c r="A2834" s="115">
        <f t="shared" si="47"/>
        <v>17</v>
      </c>
      <c r="B2834" s="166" t="s">
        <v>2347</v>
      </c>
      <c r="C2834" s="167" t="s">
        <v>2360</v>
      </c>
      <c r="D2834" s="118"/>
      <c r="E2834" s="172">
        <v>7500</v>
      </c>
    </row>
    <row r="2835" spans="1:5" x14ac:dyDescent="0.25">
      <c r="A2835" s="115">
        <f t="shared" si="47"/>
        <v>18</v>
      </c>
      <c r="B2835" s="166" t="s">
        <v>2348</v>
      </c>
      <c r="C2835" s="167" t="s">
        <v>2361</v>
      </c>
      <c r="D2835" s="118"/>
      <c r="E2835" s="172">
        <v>22500</v>
      </c>
    </row>
    <row r="2836" spans="1:5" x14ac:dyDescent="0.25">
      <c r="A2836" s="115">
        <f t="shared" si="47"/>
        <v>19</v>
      </c>
      <c r="B2836" s="166" t="s">
        <v>212</v>
      </c>
      <c r="C2836" s="167" t="s">
        <v>224</v>
      </c>
      <c r="D2836" s="118"/>
      <c r="E2836" s="172">
        <v>12500</v>
      </c>
    </row>
    <row r="2837" spans="1:5" x14ac:dyDescent="0.25">
      <c r="A2837" s="115">
        <f t="shared" si="47"/>
        <v>20</v>
      </c>
      <c r="B2837" s="166" t="s">
        <v>2349</v>
      </c>
      <c r="C2837" s="167" t="s">
        <v>1188</v>
      </c>
      <c r="D2837" s="118"/>
      <c r="E2837" s="172">
        <v>5000</v>
      </c>
    </row>
    <row r="2838" spans="1:5" x14ac:dyDescent="0.25">
      <c r="A2838" s="115">
        <f t="shared" si="47"/>
        <v>21</v>
      </c>
      <c r="B2838" s="166" t="s">
        <v>2350</v>
      </c>
      <c r="C2838" s="167" t="s">
        <v>2362</v>
      </c>
      <c r="D2838" s="118"/>
      <c r="E2838" s="172">
        <v>5000</v>
      </c>
    </row>
    <row r="2839" spans="1:5" x14ac:dyDescent="0.25">
      <c r="A2839" s="115">
        <f t="shared" si="47"/>
        <v>22</v>
      </c>
      <c r="B2839" s="166" t="s">
        <v>2351</v>
      </c>
      <c r="C2839" s="167" t="s">
        <v>2363</v>
      </c>
      <c r="D2839" s="118"/>
      <c r="E2839" s="172">
        <v>32500</v>
      </c>
    </row>
    <row r="2840" spans="1:5" x14ac:dyDescent="0.25">
      <c r="A2840" s="115">
        <f t="shared" si="47"/>
        <v>23</v>
      </c>
      <c r="B2840" s="166" t="s">
        <v>2352</v>
      </c>
      <c r="C2840" s="167" t="s">
        <v>2364</v>
      </c>
      <c r="D2840" s="118"/>
      <c r="E2840" s="172">
        <v>32500</v>
      </c>
    </row>
    <row r="2841" spans="1:5" x14ac:dyDescent="0.25">
      <c r="A2841" s="115">
        <f t="shared" si="47"/>
        <v>24</v>
      </c>
      <c r="B2841" s="166" t="s">
        <v>2353</v>
      </c>
      <c r="C2841" s="167" t="s">
        <v>2365</v>
      </c>
      <c r="D2841" s="118"/>
      <c r="E2841" s="172">
        <v>5000</v>
      </c>
    </row>
    <row r="2842" spans="1:5" x14ac:dyDescent="0.25">
      <c r="A2842" s="115">
        <f t="shared" si="47"/>
        <v>25</v>
      </c>
      <c r="B2842" s="166" t="s">
        <v>2354</v>
      </c>
      <c r="C2842" s="167" t="s">
        <v>2366</v>
      </c>
      <c r="D2842" s="118"/>
      <c r="E2842" s="172">
        <v>22500</v>
      </c>
    </row>
    <row r="2843" spans="1:5" x14ac:dyDescent="0.25">
      <c r="A2843" s="115">
        <f t="shared" si="47"/>
        <v>26</v>
      </c>
      <c r="B2843" s="166" t="s">
        <v>332</v>
      </c>
      <c r="C2843" s="167" t="s">
        <v>1296</v>
      </c>
      <c r="D2843" s="118"/>
      <c r="E2843" s="172">
        <v>5000</v>
      </c>
    </row>
    <row r="2844" spans="1:5" x14ac:dyDescent="0.25">
      <c r="A2844" s="115"/>
      <c r="B2844" s="166"/>
      <c r="C2844" s="167"/>
      <c r="D2844" s="170"/>
      <c r="E2844" s="171"/>
    </row>
    <row r="2845" spans="1:5" ht="15.75" thickBot="1" x14ac:dyDescent="0.3">
      <c r="A2845" s="120"/>
      <c r="B2845" s="577" t="s">
        <v>15</v>
      </c>
      <c r="C2845" s="578"/>
      <c r="D2845" s="579"/>
      <c r="E2845" s="121">
        <f>SUM(E2818:E2843)</f>
        <v>470000</v>
      </c>
    </row>
    <row r="2846" spans="1:5" x14ac:dyDescent="0.25">
      <c r="A2846" s="110"/>
      <c r="B2846" s="145"/>
      <c r="C2846" s="145"/>
      <c r="E2846" s="146"/>
    </row>
    <row r="2847" spans="1:5" x14ac:dyDescent="0.25">
      <c r="A2847" s="109"/>
      <c r="B2847" s="109"/>
      <c r="C2847" s="110"/>
      <c r="D2847" s="123" t="s">
        <v>2328</v>
      </c>
      <c r="E2847" s="109"/>
    </row>
    <row r="2848" spans="1:5" x14ac:dyDescent="0.25">
      <c r="D2848" s="123" t="s">
        <v>100</v>
      </c>
    </row>
    <row r="2863" spans="1:5" x14ac:dyDescent="0.25">
      <c r="A2863" s="108" t="s">
        <v>0</v>
      </c>
      <c r="B2863" s="144"/>
      <c r="C2863" s="144"/>
      <c r="D2863" s="144"/>
      <c r="E2863" s="144"/>
    </row>
    <row r="2864" spans="1:5" x14ac:dyDescent="0.25">
      <c r="A2864" s="108" t="s">
        <v>1</v>
      </c>
      <c r="B2864" s="109"/>
      <c r="C2864" s="110"/>
      <c r="D2864" s="109"/>
      <c r="E2864" s="109"/>
    </row>
    <row r="2865" spans="1:5" x14ac:dyDescent="0.25">
      <c r="A2865" s="108"/>
      <c r="B2865" s="109"/>
      <c r="C2865" s="110"/>
      <c r="D2865" s="109"/>
      <c r="E2865" s="109"/>
    </row>
    <row r="2866" spans="1:5" x14ac:dyDescent="0.25">
      <c r="A2866" s="111" t="s">
        <v>101</v>
      </c>
      <c r="B2866" s="111"/>
      <c r="C2866" s="111"/>
      <c r="D2866" s="111"/>
      <c r="E2866" s="111"/>
    </row>
    <row r="2867" spans="1:5" x14ac:dyDescent="0.25">
      <c r="A2867" s="575" t="s">
        <v>118</v>
      </c>
      <c r="B2867" s="576"/>
      <c r="C2867" s="576"/>
      <c r="D2867" s="576"/>
      <c r="E2867" s="576"/>
    </row>
    <row r="2868" spans="1:5" x14ac:dyDescent="0.25">
      <c r="A2868" s="110"/>
      <c r="B2868" s="110"/>
      <c r="C2868" s="110"/>
      <c r="D2868" s="110"/>
      <c r="E2868" s="110"/>
    </row>
    <row r="2869" spans="1:5" ht="15.75" thickBot="1" x14ac:dyDescent="0.3">
      <c r="A2869" s="109"/>
      <c r="B2869" s="109"/>
      <c r="C2869" s="110"/>
      <c r="D2869" s="109"/>
      <c r="E2869" s="124" t="s">
        <v>2367</v>
      </c>
    </row>
    <row r="2870" spans="1:5" x14ac:dyDescent="0.25">
      <c r="A2870" s="112" t="s">
        <v>21</v>
      </c>
      <c r="B2870" s="113" t="s">
        <v>96</v>
      </c>
      <c r="C2870" s="113" t="s">
        <v>97</v>
      </c>
      <c r="D2870" s="113" t="s">
        <v>91</v>
      </c>
      <c r="E2870" s="114" t="s">
        <v>15</v>
      </c>
    </row>
    <row r="2871" spans="1:5" x14ac:dyDescent="0.25">
      <c r="A2871" s="115">
        <v>1</v>
      </c>
      <c r="B2871" s="166" t="s">
        <v>2369</v>
      </c>
      <c r="C2871" s="167" t="s">
        <v>2378</v>
      </c>
      <c r="D2871" s="118"/>
      <c r="E2871" s="119">
        <v>12500</v>
      </c>
    </row>
    <row r="2872" spans="1:5" x14ac:dyDescent="0.25">
      <c r="A2872" s="115">
        <f>A2871+1</f>
        <v>2</v>
      </c>
      <c r="B2872" s="166" t="s">
        <v>2370</v>
      </c>
      <c r="C2872" s="167" t="s">
        <v>2379</v>
      </c>
      <c r="D2872" s="118"/>
      <c r="E2872" s="119">
        <v>40000</v>
      </c>
    </row>
    <row r="2873" spans="1:5" x14ac:dyDescent="0.25">
      <c r="A2873" s="115">
        <f t="shared" ref="A2873:A2885" si="48">A2872+1</f>
        <v>3</v>
      </c>
      <c r="B2873" s="166" t="s">
        <v>641</v>
      </c>
      <c r="C2873" s="167" t="s">
        <v>2380</v>
      </c>
      <c r="D2873" s="118"/>
      <c r="E2873" s="172">
        <v>60000</v>
      </c>
    </row>
    <row r="2874" spans="1:5" x14ac:dyDescent="0.25">
      <c r="A2874" s="115">
        <f t="shared" si="48"/>
        <v>4</v>
      </c>
      <c r="B2874" s="166" t="s">
        <v>2371</v>
      </c>
      <c r="C2874" s="167" t="s">
        <v>2381</v>
      </c>
      <c r="D2874" s="118"/>
      <c r="E2874" s="172">
        <v>5000</v>
      </c>
    </row>
    <row r="2875" spans="1:5" x14ac:dyDescent="0.25">
      <c r="A2875" s="115">
        <f t="shared" si="48"/>
        <v>5</v>
      </c>
      <c r="B2875" s="166" t="s">
        <v>664</v>
      </c>
      <c r="C2875" s="167" t="s">
        <v>673</v>
      </c>
      <c r="D2875" s="118"/>
      <c r="E2875" s="172">
        <v>5000</v>
      </c>
    </row>
    <row r="2876" spans="1:5" x14ac:dyDescent="0.25">
      <c r="A2876" s="115">
        <f t="shared" si="48"/>
        <v>6</v>
      </c>
      <c r="B2876" s="166" t="s">
        <v>2372</v>
      </c>
      <c r="C2876" s="167" t="s">
        <v>1031</v>
      </c>
      <c r="D2876" s="118"/>
      <c r="E2876" s="172">
        <v>5000</v>
      </c>
    </row>
    <row r="2877" spans="1:5" x14ac:dyDescent="0.25">
      <c r="A2877" s="115">
        <f t="shared" si="48"/>
        <v>7</v>
      </c>
      <c r="B2877" s="166" t="s">
        <v>358</v>
      </c>
      <c r="C2877" s="167" t="s">
        <v>2382</v>
      </c>
      <c r="D2877" s="118"/>
      <c r="E2877" s="172">
        <v>5000</v>
      </c>
    </row>
    <row r="2878" spans="1:5" x14ac:dyDescent="0.25">
      <c r="A2878" s="115">
        <f t="shared" si="48"/>
        <v>8</v>
      </c>
      <c r="B2878" s="166" t="s">
        <v>2373</v>
      </c>
      <c r="C2878" s="167" t="s">
        <v>2383</v>
      </c>
      <c r="D2878" s="118"/>
      <c r="E2878" s="172">
        <v>5000</v>
      </c>
    </row>
    <row r="2879" spans="1:5" x14ac:dyDescent="0.25">
      <c r="A2879" s="115">
        <f t="shared" si="48"/>
        <v>9</v>
      </c>
      <c r="B2879" s="166" t="s">
        <v>1357</v>
      </c>
      <c r="C2879" s="167" t="s">
        <v>1364</v>
      </c>
      <c r="D2879" s="118"/>
      <c r="E2879" s="172">
        <v>7500</v>
      </c>
    </row>
    <row r="2880" spans="1:5" x14ac:dyDescent="0.25">
      <c r="A2880" s="115">
        <f t="shared" si="48"/>
        <v>10</v>
      </c>
      <c r="B2880" s="166" t="s">
        <v>1591</v>
      </c>
      <c r="C2880" s="167" t="s">
        <v>2384</v>
      </c>
      <c r="D2880" s="118"/>
      <c r="E2880" s="172">
        <v>12500</v>
      </c>
    </row>
    <row r="2881" spans="1:5" x14ac:dyDescent="0.25">
      <c r="A2881" s="115">
        <f t="shared" si="48"/>
        <v>11</v>
      </c>
      <c r="B2881" s="166" t="s">
        <v>2374</v>
      </c>
      <c r="C2881" s="167" t="s">
        <v>2385</v>
      </c>
      <c r="D2881" s="118"/>
      <c r="E2881" s="172">
        <v>12500</v>
      </c>
    </row>
    <row r="2882" spans="1:5" x14ac:dyDescent="0.25">
      <c r="A2882" s="115">
        <f t="shared" si="48"/>
        <v>12</v>
      </c>
      <c r="B2882" s="166" t="s">
        <v>1014</v>
      </c>
      <c r="C2882" s="167" t="s">
        <v>2386</v>
      </c>
      <c r="D2882" s="118"/>
      <c r="E2882" s="172">
        <v>5000</v>
      </c>
    </row>
    <row r="2883" spans="1:5" x14ac:dyDescent="0.25">
      <c r="A2883" s="115">
        <f t="shared" si="48"/>
        <v>13</v>
      </c>
      <c r="B2883" s="166" t="s">
        <v>2375</v>
      </c>
      <c r="C2883" s="167" t="s">
        <v>2387</v>
      </c>
      <c r="D2883" s="118"/>
      <c r="E2883" s="172">
        <v>5000</v>
      </c>
    </row>
    <row r="2884" spans="1:5" x14ac:dyDescent="0.25">
      <c r="A2884" s="115">
        <f t="shared" si="48"/>
        <v>14</v>
      </c>
      <c r="B2884" s="166" t="s">
        <v>2376</v>
      </c>
      <c r="C2884" s="167" t="s">
        <v>2388</v>
      </c>
      <c r="D2884" s="118"/>
      <c r="E2884" s="172">
        <v>5000</v>
      </c>
    </row>
    <row r="2885" spans="1:5" x14ac:dyDescent="0.25">
      <c r="A2885" s="115">
        <f t="shared" si="48"/>
        <v>15</v>
      </c>
      <c r="B2885" s="166" t="s">
        <v>2377</v>
      </c>
      <c r="C2885" s="167" t="s">
        <v>2389</v>
      </c>
      <c r="D2885" s="118"/>
      <c r="E2885" s="172">
        <v>5000</v>
      </c>
    </row>
    <row r="2886" spans="1:5" x14ac:dyDescent="0.25">
      <c r="A2886" s="115"/>
      <c r="B2886" s="166"/>
      <c r="C2886" s="167"/>
      <c r="D2886" s="170"/>
      <c r="E2886" s="171"/>
    </row>
    <row r="2887" spans="1:5" ht="15.75" thickBot="1" x14ac:dyDescent="0.3">
      <c r="A2887" s="120"/>
      <c r="B2887" s="577" t="s">
        <v>15</v>
      </c>
      <c r="C2887" s="578"/>
      <c r="D2887" s="579"/>
      <c r="E2887" s="121">
        <f>SUM(E2871:E2885)</f>
        <v>190000</v>
      </c>
    </row>
    <row r="2888" spans="1:5" x14ac:dyDescent="0.25">
      <c r="A2888" s="110"/>
      <c r="B2888" s="145"/>
      <c r="C2888" s="145"/>
      <c r="E2888" s="146"/>
    </row>
    <row r="2889" spans="1:5" x14ac:dyDescent="0.25">
      <c r="A2889" s="109"/>
      <c r="B2889" s="109"/>
      <c r="C2889" s="110"/>
      <c r="D2889" s="123" t="s">
        <v>2368</v>
      </c>
      <c r="E2889" s="109"/>
    </row>
    <row r="2890" spans="1:5" x14ac:dyDescent="0.25">
      <c r="D2890" s="123" t="s">
        <v>100</v>
      </c>
    </row>
    <row r="2916" spans="1:5" x14ac:dyDescent="0.25">
      <c r="A2916" s="108" t="s">
        <v>0</v>
      </c>
      <c r="B2916" s="144"/>
      <c r="C2916" s="144"/>
      <c r="D2916" s="144"/>
      <c r="E2916" s="144"/>
    </row>
    <row r="2917" spans="1:5" x14ac:dyDescent="0.25">
      <c r="A2917" s="108" t="s">
        <v>1</v>
      </c>
      <c r="B2917" s="109"/>
      <c r="C2917" s="110"/>
      <c r="D2917" s="109"/>
      <c r="E2917" s="109"/>
    </row>
    <row r="2918" spans="1:5" x14ac:dyDescent="0.25">
      <c r="A2918" s="108"/>
      <c r="B2918" s="109"/>
      <c r="C2918" s="110"/>
      <c r="D2918" s="109"/>
      <c r="E2918" s="109"/>
    </row>
    <row r="2919" spans="1:5" x14ac:dyDescent="0.25">
      <c r="A2919" s="111" t="s">
        <v>101</v>
      </c>
      <c r="B2919" s="111"/>
      <c r="C2919" s="111"/>
      <c r="D2919" s="111"/>
      <c r="E2919" s="111"/>
    </row>
    <row r="2920" spans="1:5" x14ac:dyDescent="0.25">
      <c r="A2920" s="575" t="s">
        <v>119</v>
      </c>
      <c r="B2920" s="576"/>
      <c r="C2920" s="576"/>
      <c r="D2920" s="576"/>
      <c r="E2920" s="576"/>
    </row>
    <row r="2921" spans="1:5" x14ac:dyDescent="0.25">
      <c r="A2921" s="110"/>
      <c r="B2921" s="110"/>
      <c r="C2921" s="110"/>
      <c r="D2921" s="110"/>
      <c r="E2921" s="110"/>
    </row>
    <row r="2922" spans="1:5" ht="15.75" thickBot="1" x14ac:dyDescent="0.3">
      <c r="A2922" s="109"/>
      <c r="B2922" s="109"/>
      <c r="C2922" s="110"/>
      <c r="D2922" s="109"/>
      <c r="E2922" s="124" t="s">
        <v>2390</v>
      </c>
    </row>
    <row r="2923" spans="1:5" x14ac:dyDescent="0.25">
      <c r="A2923" s="112" t="s">
        <v>21</v>
      </c>
      <c r="B2923" s="113" t="s">
        <v>96</v>
      </c>
      <c r="C2923" s="113" t="s">
        <v>97</v>
      </c>
      <c r="D2923" s="113" t="s">
        <v>91</v>
      </c>
      <c r="E2923" s="114" t="s">
        <v>15</v>
      </c>
    </row>
    <row r="2924" spans="1:5" x14ac:dyDescent="0.25">
      <c r="A2924" s="115">
        <v>1</v>
      </c>
      <c r="B2924" s="166" t="s">
        <v>2392</v>
      </c>
      <c r="C2924" s="167" t="s">
        <v>2396</v>
      </c>
      <c r="D2924" s="118"/>
      <c r="E2924" s="119">
        <v>12500</v>
      </c>
    </row>
    <row r="2925" spans="1:5" x14ac:dyDescent="0.25">
      <c r="A2925" s="115">
        <f>A2924+1</f>
        <v>2</v>
      </c>
      <c r="B2925" s="166" t="s">
        <v>2393</v>
      </c>
      <c r="C2925" s="167" t="s">
        <v>2397</v>
      </c>
      <c r="D2925" s="118"/>
      <c r="E2925" s="119">
        <v>12500</v>
      </c>
    </row>
    <row r="2926" spans="1:5" x14ac:dyDescent="0.25">
      <c r="A2926" s="115">
        <f t="shared" ref="A2926:A2943" si="49">A2925+1</f>
        <v>3</v>
      </c>
      <c r="B2926" s="166" t="s">
        <v>557</v>
      </c>
      <c r="C2926" s="167" t="s">
        <v>550</v>
      </c>
      <c r="D2926" s="118"/>
      <c r="E2926" s="172">
        <v>5000</v>
      </c>
    </row>
    <row r="2927" spans="1:5" x14ac:dyDescent="0.25">
      <c r="A2927" s="115">
        <f t="shared" si="49"/>
        <v>4</v>
      </c>
      <c r="B2927" s="166" t="s">
        <v>280</v>
      </c>
      <c r="C2927" s="167" t="s">
        <v>291</v>
      </c>
      <c r="D2927" s="118"/>
      <c r="E2927" s="172">
        <v>5000</v>
      </c>
    </row>
    <row r="2928" spans="1:5" x14ac:dyDescent="0.25">
      <c r="A2928" s="115">
        <f t="shared" si="49"/>
        <v>5</v>
      </c>
      <c r="B2928" s="166" t="s">
        <v>180</v>
      </c>
      <c r="C2928" s="167" t="s">
        <v>189</v>
      </c>
      <c r="D2928" s="118"/>
      <c r="E2928" s="172">
        <v>5000</v>
      </c>
    </row>
    <row r="2929" spans="1:5" x14ac:dyDescent="0.25">
      <c r="A2929" s="115">
        <f t="shared" si="49"/>
        <v>6</v>
      </c>
      <c r="B2929" s="166" t="s">
        <v>2394</v>
      </c>
      <c r="C2929" s="167" t="s">
        <v>578</v>
      </c>
      <c r="D2929" s="118"/>
      <c r="E2929" s="172">
        <v>5000</v>
      </c>
    </row>
    <row r="2930" spans="1:5" x14ac:dyDescent="0.25">
      <c r="A2930" s="115">
        <f t="shared" si="49"/>
        <v>7</v>
      </c>
      <c r="B2930" s="166" t="s">
        <v>330</v>
      </c>
      <c r="C2930" s="167" t="s">
        <v>2398</v>
      </c>
      <c r="D2930" s="118"/>
      <c r="E2930" s="172">
        <v>12500</v>
      </c>
    </row>
    <row r="2931" spans="1:5" x14ac:dyDescent="0.25">
      <c r="A2931" s="115">
        <f t="shared" si="49"/>
        <v>8</v>
      </c>
      <c r="B2931" s="166" t="s">
        <v>126</v>
      </c>
      <c r="C2931" s="167" t="s">
        <v>132</v>
      </c>
      <c r="D2931" s="118"/>
      <c r="E2931" s="172">
        <v>5000</v>
      </c>
    </row>
    <row r="2932" spans="1:5" x14ac:dyDescent="0.25">
      <c r="A2932" s="115">
        <f t="shared" si="49"/>
        <v>9</v>
      </c>
      <c r="B2932" s="166" t="s">
        <v>2395</v>
      </c>
      <c r="C2932" s="167" t="s">
        <v>2399</v>
      </c>
      <c r="D2932" s="118"/>
      <c r="E2932" s="172">
        <v>5000</v>
      </c>
    </row>
    <row r="2933" spans="1:5" x14ac:dyDescent="0.25">
      <c r="A2933" s="115">
        <f t="shared" si="49"/>
        <v>10</v>
      </c>
      <c r="B2933" s="166" t="s">
        <v>2400</v>
      </c>
      <c r="C2933" s="167" t="s">
        <v>2409</v>
      </c>
      <c r="D2933" s="118"/>
      <c r="E2933" s="172">
        <v>5000</v>
      </c>
    </row>
    <row r="2934" spans="1:5" x14ac:dyDescent="0.25">
      <c r="A2934" s="115">
        <f t="shared" si="49"/>
        <v>11</v>
      </c>
      <c r="B2934" s="166" t="s">
        <v>2401</v>
      </c>
      <c r="C2934" s="167" t="s">
        <v>2410</v>
      </c>
      <c r="D2934" s="118"/>
      <c r="E2934" s="172">
        <v>12500</v>
      </c>
    </row>
    <row r="2935" spans="1:5" x14ac:dyDescent="0.25">
      <c r="A2935" s="115">
        <f t="shared" si="49"/>
        <v>12</v>
      </c>
      <c r="B2935" s="166" t="s">
        <v>2402</v>
      </c>
      <c r="C2935" s="167" t="s">
        <v>2411</v>
      </c>
      <c r="D2935" s="118"/>
      <c r="E2935" s="172">
        <v>5000</v>
      </c>
    </row>
    <row r="2936" spans="1:5" x14ac:dyDescent="0.25">
      <c r="A2936" s="115">
        <f t="shared" si="49"/>
        <v>13</v>
      </c>
      <c r="B2936" s="166" t="s">
        <v>2403</v>
      </c>
      <c r="C2936" s="167" t="s">
        <v>2412</v>
      </c>
      <c r="D2936" s="118"/>
      <c r="E2936" s="172">
        <v>5000</v>
      </c>
    </row>
    <row r="2937" spans="1:5" x14ac:dyDescent="0.25">
      <c r="A2937" s="115">
        <f t="shared" si="49"/>
        <v>14</v>
      </c>
      <c r="B2937" s="166" t="s">
        <v>2404</v>
      </c>
      <c r="C2937" s="167" t="s">
        <v>2413</v>
      </c>
      <c r="D2937" s="118"/>
      <c r="E2937" s="172">
        <v>5000</v>
      </c>
    </row>
    <row r="2938" spans="1:5" x14ac:dyDescent="0.25">
      <c r="A2938" s="115">
        <f t="shared" si="49"/>
        <v>15</v>
      </c>
      <c r="B2938" s="166" t="s">
        <v>703</v>
      </c>
      <c r="C2938" s="167" t="s">
        <v>692</v>
      </c>
      <c r="D2938" s="118"/>
      <c r="E2938" s="172">
        <v>5000</v>
      </c>
    </row>
    <row r="2939" spans="1:5" x14ac:dyDescent="0.25">
      <c r="A2939" s="115">
        <f t="shared" si="49"/>
        <v>16</v>
      </c>
      <c r="B2939" s="166" t="s">
        <v>2405</v>
      </c>
      <c r="C2939" s="167" t="s">
        <v>2414</v>
      </c>
      <c r="D2939" s="118"/>
      <c r="E2939" s="172">
        <v>5000</v>
      </c>
    </row>
    <row r="2940" spans="1:5" x14ac:dyDescent="0.25">
      <c r="A2940" s="115">
        <f t="shared" si="49"/>
        <v>17</v>
      </c>
      <c r="B2940" s="166" t="s">
        <v>2406</v>
      </c>
      <c r="C2940" s="167" t="s">
        <v>626</v>
      </c>
      <c r="D2940" s="118"/>
      <c r="E2940" s="172">
        <v>5000</v>
      </c>
    </row>
    <row r="2941" spans="1:5" x14ac:dyDescent="0.25">
      <c r="A2941" s="115">
        <f t="shared" si="49"/>
        <v>18</v>
      </c>
      <c r="B2941" s="166" t="s">
        <v>2407</v>
      </c>
      <c r="C2941" s="167" t="s">
        <v>2415</v>
      </c>
      <c r="D2941" s="118"/>
      <c r="E2941" s="172">
        <v>22500</v>
      </c>
    </row>
    <row r="2942" spans="1:5" x14ac:dyDescent="0.25">
      <c r="A2942" s="115">
        <f t="shared" si="49"/>
        <v>19</v>
      </c>
      <c r="B2942" s="166" t="s">
        <v>423</v>
      </c>
      <c r="C2942" s="167" t="s">
        <v>2416</v>
      </c>
      <c r="D2942" s="118"/>
      <c r="E2942" s="172">
        <v>12500</v>
      </c>
    </row>
    <row r="2943" spans="1:5" x14ac:dyDescent="0.25">
      <c r="A2943" s="115">
        <f t="shared" si="49"/>
        <v>20</v>
      </c>
      <c r="B2943" s="166" t="s">
        <v>2408</v>
      </c>
      <c r="C2943" s="167" t="s">
        <v>2417</v>
      </c>
      <c r="D2943" s="118"/>
      <c r="E2943" s="172">
        <v>22500</v>
      </c>
    </row>
    <row r="2944" spans="1:5" x14ac:dyDescent="0.25">
      <c r="A2944" s="115"/>
      <c r="B2944" s="166"/>
      <c r="C2944" s="167"/>
      <c r="D2944" s="170"/>
      <c r="E2944" s="171"/>
    </row>
    <row r="2945" spans="1:5" ht="15.75" thickBot="1" x14ac:dyDescent="0.3">
      <c r="A2945" s="120"/>
      <c r="B2945" s="577" t="s">
        <v>15</v>
      </c>
      <c r="C2945" s="578"/>
      <c r="D2945" s="579"/>
      <c r="E2945" s="121">
        <f>SUM(E2924:E2943)</f>
        <v>172500</v>
      </c>
    </row>
    <row r="2946" spans="1:5" x14ac:dyDescent="0.25">
      <c r="A2946" s="110"/>
      <c r="B2946" s="145"/>
      <c r="C2946" s="145"/>
      <c r="E2946" s="146"/>
    </row>
    <row r="2947" spans="1:5" x14ac:dyDescent="0.25">
      <c r="A2947" s="109"/>
      <c r="B2947" s="109"/>
      <c r="C2947" s="110"/>
      <c r="D2947" s="123" t="s">
        <v>2391</v>
      </c>
      <c r="E2947" s="109"/>
    </row>
    <row r="2948" spans="1:5" x14ac:dyDescent="0.25">
      <c r="D2948" s="123" t="s">
        <v>100</v>
      </c>
    </row>
    <row r="2969" spans="1:5" x14ac:dyDescent="0.25">
      <c r="A2969" s="108" t="s">
        <v>0</v>
      </c>
      <c r="B2969" s="144"/>
      <c r="C2969" s="144"/>
      <c r="D2969" s="144"/>
      <c r="E2969" s="144"/>
    </row>
    <row r="2970" spans="1:5" x14ac:dyDescent="0.25">
      <c r="A2970" s="108" t="s">
        <v>1</v>
      </c>
      <c r="B2970" s="109"/>
      <c r="C2970" s="110"/>
      <c r="D2970" s="109"/>
      <c r="E2970" s="109"/>
    </row>
    <row r="2971" spans="1:5" x14ac:dyDescent="0.25">
      <c r="A2971" s="108"/>
      <c r="B2971" s="109"/>
      <c r="C2971" s="110"/>
      <c r="D2971" s="109"/>
      <c r="E2971" s="109"/>
    </row>
    <row r="2972" spans="1:5" x14ac:dyDescent="0.25">
      <c r="A2972" s="111" t="s">
        <v>101</v>
      </c>
      <c r="B2972" s="111"/>
      <c r="C2972" s="111"/>
      <c r="D2972" s="111"/>
      <c r="E2972" s="111"/>
    </row>
    <row r="2973" spans="1:5" x14ac:dyDescent="0.25">
      <c r="A2973" s="575" t="s">
        <v>119</v>
      </c>
      <c r="B2973" s="576"/>
      <c r="C2973" s="576"/>
      <c r="D2973" s="576"/>
      <c r="E2973" s="576"/>
    </row>
    <row r="2974" spans="1:5" x14ac:dyDescent="0.25">
      <c r="A2974" s="110"/>
      <c r="B2974" s="110"/>
      <c r="C2974" s="110"/>
      <c r="D2974" s="110"/>
      <c r="E2974" s="110"/>
    </row>
    <row r="2975" spans="1:5" ht="15.75" thickBot="1" x14ac:dyDescent="0.3">
      <c r="A2975" s="109"/>
      <c r="B2975" s="109"/>
      <c r="C2975" s="110"/>
      <c r="D2975" s="109"/>
      <c r="E2975" s="124" t="s">
        <v>2418</v>
      </c>
    </row>
    <row r="2976" spans="1:5" x14ac:dyDescent="0.25">
      <c r="A2976" s="112" t="s">
        <v>21</v>
      </c>
      <c r="B2976" s="113" t="s">
        <v>96</v>
      </c>
      <c r="C2976" s="113" t="s">
        <v>97</v>
      </c>
      <c r="D2976" s="113" t="s">
        <v>91</v>
      </c>
      <c r="E2976" s="114" t="s">
        <v>15</v>
      </c>
    </row>
    <row r="2977" spans="1:5" x14ac:dyDescent="0.25">
      <c r="A2977" s="115">
        <v>1</v>
      </c>
      <c r="B2977" s="166" t="s">
        <v>2420</v>
      </c>
      <c r="C2977" s="167" t="s">
        <v>460</v>
      </c>
      <c r="D2977" s="118"/>
      <c r="E2977" s="119">
        <v>7500</v>
      </c>
    </row>
    <row r="2978" spans="1:5" x14ac:dyDescent="0.25">
      <c r="A2978" s="115">
        <f>A2977+1</f>
        <v>2</v>
      </c>
      <c r="B2978" s="166" t="s">
        <v>123</v>
      </c>
      <c r="C2978" s="167" t="s">
        <v>129</v>
      </c>
      <c r="D2978" s="118"/>
      <c r="E2978" s="119">
        <v>5000</v>
      </c>
    </row>
    <row r="2979" spans="1:5" x14ac:dyDescent="0.25">
      <c r="A2979" s="115">
        <f t="shared" ref="A2979:A2996" si="50">A2978+1</f>
        <v>3</v>
      </c>
      <c r="B2979" s="166" t="s">
        <v>179</v>
      </c>
      <c r="C2979" s="167" t="s">
        <v>2421</v>
      </c>
      <c r="D2979" s="118"/>
      <c r="E2979" s="172">
        <v>22500</v>
      </c>
    </row>
    <row r="2980" spans="1:5" x14ac:dyDescent="0.25">
      <c r="A2980" s="115">
        <f t="shared" si="50"/>
        <v>4</v>
      </c>
      <c r="B2980" s="166" t="s">
        <v>284</v>
      </c>
      <c r="C2980" s="167" t="s">
        <v>295</v>
      </c>
      <c r="D2980" s="118"/>
      <c r="E2980" s="172">
        <v>12500</v>
      </c>
    </row>
    <row r="2981" spans="1:5" x14ac:dyDescent="0.25">
      <c r="A2981" s="115">
        <f t="shared" si="50"/>
        <v>5</v>
      </c>
      <c r="B2981" s="166" t="s">
        <v>2422</v>
      </c>
      <c r="C2981" s="167" t="s">
        <v>2429</v>
      </c>
      <c r="D2981" s="118"/>
      <c r="E2981" s="172">
        <v>5000</v>
      </c>
    </row>
    <row r="2982" spans="1:5" x14ac:dyDescent="0.25">
      <c r="A2982" s="115">
        <f t="shared" si="50"/>
        <v>6</v>
      </c>
      <c r="B2982" s="166" t="s">
        <v>2423</v>
      </c>
      <c r="C2982" s="167" t="s">
        <v>2430</v>
      </c>
      <c r="D2982" s="118"/>
      <c r="E2982" s="172">
        <v>42500</v>
      </c>
    </row>
    <row r="2983" spans="1:5" x14ac:dyDescent="0.25">
      <c r="A2983" s="115">
        <f t="shared" si="50"/>
        <v>7</v>
      </c>
      <c r="B2983" s="166" t="s">
        <v>880</v>
      </c>
      <c r="C2983" s="167" t="s">
        <v>2431</v>
      </c>
      <c r="D2983" s="118"/>
      <c r="E2983" s="172">
        <v>5000</v>
      </c>
    </row>
    <row r="2984" spans="1:5" x14ac:dyDescent="0.25">
      <c r="A2984" s="115">
        <f t="shared" si="50"/>
        <v>8</v>
      </c>
      <c r="B2984" s="166" t="s">
        <v>182</v>
      </c>
      <c r="C2984" s="167" t="s">
        <v>193</v>
      </c>
      <c r="D2984" s="118"/>
      <c r="E2984" s="172">
        <v>5000</v>
      </c>
    </row>
    <row r="2985" spans="1:5" x14ac:dyDescent="0.25">
      <c r="A2985" s="115">
        <f t="shared" si="50"/>
        <v>9</v>
      </c>
      <c r="B2985" s="166" t="s">
        <v>2424</v>
      </c>
      <c r="C2985" s="167" t="s">
        <v>2432</v>
      </c>
      <c r="D2985" s="118"/>
      <c r="E2985" s="172">
        <v>12500</v>
      </c>
    </row>
    <row r="2986" spans="1:5" x14ac:dyDescent="0.25">
      <c r="A2986" s="115">
        <f t="shared" si="50"/>
        <v>10</v>
      </c>
      <c r="B2986" s="166" t="s">
        <v>2425</v>
      </c>
      <c r="C2986" s="167" t="s">
        <v>2433</v>
      </c>
      <c r="D2986" s="118"/>
      <c r="E2986" s="172">
        <v>5000</v>
      </c>
    </row>
    <row r="2987" spans="1:5" x14ac:dyDescent="0.25">
      <c r="A2987" s="115">
        <f t="shared" si="50"/>
        <v>11</v>
      </c>
      <c r="B2987" s="166" t="s">
        <v>2426</v>
      </c>
      <c r="C2987" s="167" t="s">
        <v>2434</v>
      </c>
      <c r="D2987" s="118"/>
      <c r="E2987" s="172">
        <v>42500</v>
      </c>
    </row>
    <row r="2988" spans="1:5" x14ac:dyDescent="0.25">
      <c r="A2988" s="115">
        <f t="shared" si="50"/>
        <v>12</v>
      </c>
      <c r="B2988" s="166" t="s">
        <v>2427</v>
      </c>
      <c r="C2988" s="167" t="s">
        <v>2435</v>
      </c>
      <c r="D2988" s="118"/>
      <c r="E2988" s="172">
        <v>5000</v>
      </c>
    </row>
    <row r="2989" spans="1:5" x14ac:dyDescent="0.25">
      <c r="A2989" s="115">
        <f t="shared" si="50"/>
        <v>13</v>
      </c>
      <c r="B2989" s="166" t="s">
        <v>2428</v>
      </c>
      <c r="C2989" s="167" t="s">
        <v>2436</v>
      </c>
      <c r="D2989" s="118"/>
      <c r="E2989" s="172">
        <v>12500</v>
      </c>
    </row>
    <row r="2990" spans="1:5" x14ac:dyDescent="0.25">
      <c r="A2990" s="115">
        <f t="shared" si="50"/>
        <v>14</v>
      </c>
      <c r="B2990" s="166" t="s">
        <v>704</v>
      </c>
      <c r="C2990" s="167" t="s">
        <v>711</v>
      </c>
      <c r="D2990" s="118"/>
      <c r="E2990" s="172">
        <v>5000</v>
      </c>
    </row>
    <row r="2991" spans="1:5" x14ac:dyDescent="0.25">
      <c r="A2991" s="115">
        <f t="shared" si="50"/>
        <v>15</v>
      </c>
      <c r="B2991" s="166" t="s">
        <v>2439</v>
      </c>
      <c r="C2991" s="167" t="s">
        <v>2437</v>
      </c>
      <c r="D2991" s="118"/>
      <c r="E2991" s="172">
        <v>12500</v>
      </c>
    </row>
    <row r="2992" spans="1:5" x14ac:dyDescent="0.25">
      <c r="A2992" s="115">
        <f t="shared" si="50"/>
        <v>16</v>
      </c>
      <c r="B2992" s="166" t="s">
        <v>1070</v>
      </c>
      <c r="C2992" s="167" t="s">
        <v>1071</v>
      </c>
      <c r="D2992" s="118"/>
      <c r="E2992" s="172">
        <v>7500</v>
      </c>
    </row>
    <row r="2993" spans="1:5" x14ac:dyDescent="0.25">
      <c r="A2993" s="115">
        <f t="shared" si="50"/>
        <v>17</v>
      </c>
      <c r="B2993" s="166" t="s">
        <v>214</v>
      </c>
      <c r="C2993" s="167" t="s">
        <v>226</v>
      </c>
      <c r="D2993" s="118"/>
      <c r="E2993" s="172">
        <v>5000</v>
      </c>
    </row>
    <row r="2994" spans="1:5" x14ac:dyDescent="0.25">
      <c r="A2994" s="115">
        <f t="shared" si="50"/>
        <v>18</v>
      </c>
      <c r="B2994" s="166" t="s">
        <v>621</v>
      </c>
      <c r="C2994" s="167" t="s">
        <v>628</v>
      </c>
      <c r="D2994" s="118"/>
      <c r="E2994" s="172">
        <v>5000</v>
      </c>
    </row>
    <row r="2995" spans="1:5" x14ac:dyDescent="0.25">
      <c r="A2995" s="115">
        <f t="shared" si="50"/>
        <v>19</v>
      </c>
      <c r="B2995" s="166" t="s">
        <v>217</v>
      </c>
      <c r="C2995" s="167" t="s">
        <v>229</v>
      </c>
      <c r="D2995" s="118"/>
      <c r="E2995" s="172">
        <v>5000</v>
      </c>
    </row>
    <row r="2996" spans="1:5" x14ac:dyDescent="0.25">
      <c r="A2996" s="115">
        <f t="shared" si="50"/>
        <v>20</v>
      </c>
      <c r="B2996" s="166" t="s">
        <v>2440</v>
      </c>
      <c r="C2996" s="167" t="s">
        <v>2438</v>
      </c>
      <c r="D2996" s="118"/>
      <c r="E2996" s="172">
        <v>5000</v>
      </c>
    </row>
    <row r="2997" spans="1:5" x14ac:dyDescent="0.25">
      <c r="A2997" s="115"/>
      <c r="B2997" s="166"/>
      <c r="C2997" s="167"/>
      <c r="D2997" s="170"/>
      <c r="E2997" s="171"/>
    </row>
    <row r="2998" spans="1:5" ht="15.75" thickBot="1" x14ac:dyDescent="0.3">
      <c r="A2998" s="120"/>
      <c r="B2998" s="577" t="s">
        <v>15</v>
      </c>
      <c r="C2998" s="578"/>
      <c r="D2998" s="579"/>
      <c r="E2998" s="121">
        <f>SUM(E2977:E2996)</f>
        <v>227500</v>
      </c>
    </row>
    <row r="2999" spans="1:5" x14ac:dyDescent="0.25">
      <c r="A2999" s="110"/>
      <c r="B2999" s="145"/>
      <c r="C2999" s="145"/>
      <c r="E2999" s="146"/>
    </row>
    <row r="3000" spans="1:5" x14ac:dyDescent="0.25">
      <c r="A3000" s="109"/>
      <c r="B3000" s="109"/>
      <c r="C3000" s="110"/>
      <c r="D3000" s="123" t="s">
        <v>2419</v>
      </c>
      <c r="E3000" s="109"/>
    </row>
    <row r="3001" spans="1:5" x14ac:dyDescent="0.25">
      <c r="D3001" s="123" t="s">
        <v>100</v>
      </c>
    </row>
    <row r="3022" spans="1:5" x14ac:dyDescent="0.25">
      <c r="A3022" s="108" t="s">
        <v>0</v>
      </c>
      <c r="B3022" s="144"/>
      <c r="C3022" s="144"/>
      <c r="D3022" s="144"/>
      <c r="E3022" s="144"/>
    </row>
    <row r="3023" spans="1:5" x14ac:dyDescent="0.25">
      <c r="A3023" s="108" t="s">
        <v>1</v>
      </c>
      <c r="B3023" s="109"/>
      <c r="C3023" s="110"/>
      <c r="D3023" s="109"/>
      <c r="E3023" s="109"/>
    </row>
    <row r="3024" spans="1:5" x14ac:dyDescent="0.25">
      <c r="A3024" s="108"/>
      <c r="B3024" s="109"/>
      <c r="C3024" s="110"/>
      <c r="D3024" s="109"/>
      <c r="E3024" s="109"/>
    </row>
    <row r="3025" spans="1:5" x14ac:dyDescent="0.25">
      <c r="A3025" s="111" t="s">
        <v>101</v>
      </c>
      <c r="B3025" s="111"/>
      <c r="C3025" s="111"/>
      <c r="D3025" s="111"/>
      <c r="E3025" s="111"/>
    </row>
    <row r="3026" spans="1:5" x14ac:dyDescent="0.25">
      <c r="A3026" s="575" t="s">
        <v>119</v>
      </c>
      <c r="B3026" s="576"/>
      <c r="C3026" s="576"/>
      <c r="D3026" s="576"/>
      <c r="E3026" s="576"/>
    </row>
    <row r="3027" spans="1:5" x14ac:dyDescent="0.25">
      <c r="A3027" s="110"/>
      <c r="B3027" s="110"/>
      <c r="C3027" s="110"/>
      <c r="D3027" s="110"/>
      <c r="E3027" s="110"/>
    </row>
    <row r="3028" spans="1:5" ht="15.75" thickBot="1" x14ac:dyDescent="0.3">
      <c r="A3028" s="109"/>
      <c r="B3028" s="109"/>
      <c r="C3028" s="110"/>
      <c r="D3028" s="109"/>
      <c r="E3028" s="124" t="s">
        <v>2441</v>
      </c>
    </row>
    <row r="3029" spans="1:5" x14ac:dyDescent="0.25">
      <c r="A3029" s="112" t="s">
        <v>21</v>
      </c>
      <c r="B3029" s="113" t="s">
        <v>96</v>
      </c>
      <c r="C3029" s="113" t="s">
        <v>97</v>
      </c>
      <c r="D3029" s="113" t="s">
        <v>91</v>
      </c>
      <c r="E3029" s="114" t="s">
        <v>15</v>
      </c>
    </row>
    <row r="3030" spans="1:5" x14ac:dyDescent="0.25">
      <c r="A3030" s="115">
        <v>1</v>
      </c>
      <c r="B3030" s="166" t="s">
        <v>2443</v>
      </c>
      <c r="C3030" s="167" t="s">
        <v>2447</v>
      </c>
      <c r="D3030" s="118"/>
      <c r="E3030" s="119">
        <v>32500</v>
      </c>
    </row>
    <row r="3031" spans="1:5" x14ac:dyDescent="0.25">
      <c r="A3031" s="115">
        <f>A3030+1</f>
        <v>2</v>
      </c>
      <c r="B3031" s="166" t="s">
        <v>2444</v>
      </c>
      <c r="C3031" s="167" t="s">
        <v>2448</v>
      </c>
      <c r="D3031" s="118"/>
      <c r="E3031" s="119">
        <v>52500</v>
      </c>
    </row>
    <row r="3032" spans="1:5" x14ac:dyDescent="0.25">
      <c r="A3032" s="115">
        <f t="shared" ref="A3032:A3054" si="51">A3031+1</f>
        <v>3</v>
      </c>
      <c r="B3032" s="166" t="s">
        <v>2445</v>
      </c>
      <c r="C3032" s="167" t="s">
        <v>1026</v>
      </c>
      <c r="D3032" s="118"/>
      <c r="E3032" s="172">
        <v>5000</v>
      </c>
    </row>
    <row r="3033" spans="1:5" x14ac:dyDescent="0.25">
      <c r="A3033" s="115">
        <f t="shared" si="51"/>
        <v>4</v>
      </c>
      <c r="B3033" s="166" t="s">
        <v>2446</v>
      </c>
      <c r="C3033" s="167" t="s">
        <v>2449</v>
      </c>
      <c r="D3033" s="118"/>
      <c r="E3033" s="172">
        <v>32500</v>
      </c>
    </row>
    <row r="3034" spans="1:5" x14ac:dyDescent="0.25">
      <c r="A3034" s="115">
        <f t="shared" si="51"/>
        <v>5</v>
      </c>
      <c r="B3034" s="166" t="s">
        <v>2451</v>
      </c>
      <c r="C3034" s="167" t="s">
        <v>2450</v>
      </c>
      <c r="D3034" s="118"/>
      <c r="E3034" s="172">
        <v>5000</v>
      </c>
    </row>
    <row r="3035" spans="1:5" x14ac:dyDescent="0.25">
      <c r="A3035" s="115">
        <f t="shared" si="51"/>
        <v>6</v>
      </c>
      <c r="B3035" s="166" t="s">
        <v>2455</v>
      </c>
      <c r="C3035" s="167" t="s">
        <v>2452</v>
      </c>
      <c r="D3035" s="118"/>
      <c r="E3035" s="172">
        <v>12500</v>
      </c>
    </row>
    <row r="3036" spans="1:5" x14ac:dyDescent="0.25">
      <c r="A3036" s="115">
        <f t="shared" si="51"/>
        <v>7</v>
      </c>
      <c r="B3036" s="166" t="s">
        <v>1021</v>
      </c>
      <c r="C3036" s="167" t="s">
        <v>1027</v>
      </c>
      <c r="D3036" s="118"/>
      <c r="E3036" s="172">
        <v>5000</v>
      </c>
    </row>
    <row r="3037" spans="1:5" x14ac:dyDescent="0.25">
      <c r="A3037" s="115">
        <f t="shared" si="51"/>
        <v>8</v>
      </c>
      <c r="B3037" s="166" t="s">
        <v>2456</v>
      </c>
      <c r="C3037" s="167" t="s">
        <v>2453</v>
      </c>
      <c r="D3037" s="118"/>
      <c r="E3037" s="172">
        <v>32500</v>
      </c>
    </row>
    <row r="3038" spans="1:5" x14ac:dyDescent="0.25">
      <c r="A3038" s="115">
        <f t="shared" si="51"/>
        <v>9</v>
      </c>
      <c r="B3038" s="166" t="s">
        <v>2457</v>
      </c>
      <c r="C3038" s="167" t="s">
        <v>2454</v>
      </c>
      <c r="D3038" s="118"/>
      <c r="E3038" s="172">
        <v>12500</v>
      </c>
    </row>
    <row r="3039" spans="1:5" x14ac:dyDescent="0.25">
      <c r="A3039" s="115">
        <f t="shared" si="51"/>
        <v>10</v>
      </c>
      <c r="B3039" s="166" t="s">
        <v>2458</v>
      </c>
      <c r="C3039" s="167" t="s">
        <v>2463</v>
      </c>
      <c r="D3039" s="118"/>
      <c r="E3039" s="172">
        <v>42500</v>
      </c>
    </row>
    <row r="3040" spans="1:5" x14ac:dyDescent="0.25">
      <c r="A3040" s="115">
        <f t="shared" si="51"/>
        <v>11</v>
      </c>
      <c r="B3040" s="166" t="s">
        <v>2459</v>
      </c>
      <c r="C3040" s="167" t="s">
        <v>2464</v>
      </c>
      <c r="D3040" s="118"/>
      <c r="E3040" s="172">
        <v>50000</v>
      </c>
    </row>
    <row r="3041" spans="1:5" x14ac:dyDescent="0.25">
      <c r="A3041" s="115">
        <f t="shared" si="51"/>
        <v>12</v>
      </c>
      <c r="B3041" s="166" t="s">
        <v>590</v>
      </c>
      <c r="C3041" s="167" t="s">
        <v>598</v>
      </c>
      <c r="D3041" s="118"/>
      <c r="E3041" s="172">
        <v>5000</v>
      </c>
    </row>
    <row r="3042" spans="1:5" x14ac:dyDescent="0.25">
      <c r="A3042" s="115">
        <f t="shared" si="51"/>
        <v>13</v>
      </c>
      <c r="B3042" s="166" t="s">
        <v>2460</v>
      </c>
      <c r="C3042" s="167" t="s">
        <v>2465</v>
      </c>
      <c r="D3042" s="118"/>
      <c r="E3042" s="172">
        <v>12500</v>
      </c>
    </row>
    <row r="3043" spans="1:5" x14ac:dyDescent="0.25">
      <c r="A3043" s="115">
        <f t="shared" si="51"/>
        <v>14</v>
      </c>
      <c r="B3043" s="166" t="s">
        <v>2461</v>
      </c>
      <c r="C3043" s="167" t="s">
        <v>2466</v>
      </c>
      <c r="D3043" s="118"/>
      <c r="E3043" s="172">
        <v>22500</v>
      </c>
    </row>
    <row r="3044" spans="1:5" x14ac:dyDescent="0.25">
      <c r="A3044" s="115">
        <f t="shared" si="51"/>
        <v>15</v>
      </c>
      <c r="B3044" s="166" t="s">
        <v>2462</v>
      </c>
      <c r="C3044" s="167" t="s">
        <v>2467</v>
      </c>
      <c r="D3044" s="118"/>
      <c r="E3044" s="172">
        <v>52500</v>
      </c>
    </row>
    <row r="3045" spans="1:5" x14ac:dyDescent="0.25">
      <c r="A3045" s="115">
        <f t="shared" si="51"/>
        <v>16</v>
      </c>
      <c r="B3045" s="166" t="s">
        <v>705</v>
      </c>
      <c r="C3045" s="167" t="s">
        <v>712</v>
      </c>
      <c r="D3045" s="118"/>
      <c r="E3045" s="172">
        <v>5000</v>
      </c>
    </row>
    <row r="3046" spans="1:5" x14ac:dyDescent="0.25">
      <c r="A3046" s="115">
        <f t="shared" si="51"/>
        <v>17</v>
      </c>
      <c r="B3046" s="166" t="s">
        <v>2468</v>
      </c>
      <c r="C3046" s="167" t="s">
        <v>2474</v>
      </c>
      <c r="D3046" s="118"/>
      <c r="E3046" s="172">
        <v>5000</v>
      </c>
    </row>
    <row r="3047" spans="1:5" x14ac:dyDescent="0.25">
      <c r="A3047" s="115">
        <f t="shared" si="51"/>
        <v>18</v>
      </c>
      <c r="B3047" s="166" t="s">
        <v>2469</v>
      </c>
      <c r="C3047" s="167" t="s">
        <v>2475</v>
      </c>
      <c r="D3047" s="118"/>
      <c r="E3047" s="172">
        <v>5000</v>
      </c>
    </row>
    <row r="3048" spans="1:5" x14ac:dyDescent="0.25">
      <c r="A3048" s="115">
        <f t="shared" si="51"/>
        <v>19</v>
      </c>
      <c r="B3048" s="166" t="s">
        <v>2470</v>
      </c>
      <c r="C3048" s="167" t="s">
        <v>2476</v>
      </c>
      <c r="D3048" s="118"/>
      <c r="E3048" s="172">
        <v>12500</v>
      </c>
    </row>
    <row r="3049" spans="1:5" x14ac:dyDescent="0.25">
      <c r="A3049" s="115">
        <f t="shared" si="51"/>
        <v>20</v>
      </c>
      <c r="B3049" s="166" t="s">
        <v>2471</v>
      </c>
      <c r="C3049" s="167" t="s">
        <v>2477</v>
      </c>
      <c r="D3049" s="118"/>
      <c r="E3049" s="172">
        <v>5000</v>
      </c>
    </row>
    <row r="3050" spans="1:5" x14ac:dyDescent="0.25">
      <c r="A3050" s="115">
        <f t="shared" si="51"/>
        <v>21</v>
      </c>
      <c r="B3050" s="166" t="s">
        <v>1641</v>
      </c>
      <c r="C3050" s="167" t="s">
        <v>2478</v>
      </c>
      <c r="D3050" s="118"/>
      <c r="E3050" s="172">
        <v>12500</v>
      </c>
    </row>
    <row r="3051" spans="1:5" x14ac:dyDescent="0.25">
      <c r="A3051" s="115">
        <f t="shared" si="51"/>
        <v>22</v>
      </c>
      <c r="B3051" s="166" t="s">
        <v>2472</v>
      </c>
      <c r="C3051" s="167" t="s">
        <v>2479</v>
      </c>
      <c r="D3051" s="118"/>
      <c r="E3051" s="172">
        <v>12500</v>
      </c>
    </row>
    <row r="3052" spans="1:5" x14ac:dyDescent="0.25">
      <c r="A3052" s="115">
        <f t="shared" si="51"/>
        <v>23</v>
      </c>
      <c r="B3052" s="166" t="s">
        <v>2473</v>
      </c>
      <c r="C3052" s="167" t="s">
        <v>2480</v>
      </c>
      <c r="D3052" s="118"/>
      <c r="E3052" s="172">
        <v>22500</v>
      </c>
    </row>
    <row r="3053" spans="1:5" x14ac:dyDescent="0.25">
      <c r="A3053" s="115">
        <f t="shared" si="51"/>
        <v>24</v>
      </c>
      <c r="B3053" s="166" t="s">
        <v>245</v>
      </c>
      <c r="C3053" s="167" t="s">
        <v>238</v>
      </c>
      <c r="D3053" s="118"/>
      <c r="E3053" s="172">
        <v>5000</v>
      </c>
    </row>
    <row r="3054" spans="1:5" x14ac:dyDescent="0.25">
      <c r="A3054" s="115">
        <f t="shared" si="51"/>
        <v>25</v>
      </c>
      <c r="B3054" s="166" t="s">
        <v>2482</v>
      </c>
      <c r="C3054" s="167" t="s">
        <v>2481</v>
      </c>
      <c r="D3054" s="118"/>
      <c r="E3054" s="172">
        <v>5000</v>
      </c>
    </row>
    <row r="3055" spans="1:5" x14ac:dyDescent="0.25">
      <c r="A3055" s="115"/>
      <c r="B3055" s="166"/>
      <c r="C3055" s="167"/>
      <c r="D3055" s="170"/>
      <c r="E3055" s="171"/>
    </row>
    <row r="3056" spans="1:5" ht="15.75" thickBot="1" x14ac:dyDescent="0.3">
      <c r="A3056" s="120"/>
      <c r="B3056" s="577" t="s">
        <v>15</v>
      </c>
      <c r="C3056" s="578"/>
      <c r="D3056" s="579"/>
      <c r="E3056" s="121">
        <f>SUM(E3030:E3054)</f>
        <v>465000</v>
      </c>
    </row>
    <row r="3057" spans="1:5" x14ac:dyDescent="0.25">
      <c r="A3057" s="110"/>
      <c r="B3057" s="145"/>
      <c r="C3057" s="145"/>
      <c r="E3057" s="146"/>
    </row>
    <row r="3058" spans="1:5" x14ac:dyDescent="0.25">
      <c r="A3058" s="109"/>
      <c r="B3058" s="109"/>
      <c r="C3058" s="110"/>
      <c r="D3058" s="123" t="s">
        <v>2442</v>
      </c>
      <c r="E3058" s="109"/>
    </row>
    <row r="3059" spans="1:5" x14ac:dyDescent="0.25">
      <c r="D3059" s="123" t="s">
        <v>100</v>
      </c>
    </row>
    <row r="3075" spans="1:5" x14ac:dyDescent="0.25">
      <c r="A3075" s="108" t="s">
        <v>0</v>
      </c>
      <c r="B3075" s="144"/>
      <c r="C3075" s="144"/>
      <c r="D3075" s="144"/>
      <c r="E3075" s="144"/>
    </row>
    <row r="3076" spans="1:5" x14ac:dyDescent="0.25">
      <c r="A3076" s="108" t="s">
        <v>1</v>
      </c>
      <c r="B3076" s="109"/>
      <c r="C3076" s="110"/>
      <c r="D3076" s="109"/>
      <c r="E3076" s="109"/>
    </row>
    <row r="3077" spans="1:5" x14ac:dyDescent="0.25">
      <c r="A3077" s="108"/>
      <c r="B3077" s="109"/>
      <c r="C3077" s="110"/>
      <c r="D3077" s="109"/>
      <c r="E3077" s="109"/>
    </row>
    <row r="3078" spans="1:5" x14ac:dyDescent="0.25">
      <c r="A3078" s="111" t="s">
        <v>101</v>
      </c>
      <c r="B3078" s="111"/>
      <c r="C3078" s="111"/>
      <c r="D3078" s="111"/>
      <c r="E3078" s="111"/>
    </row>
    <row r="3079" spans="1:5" x14ac:dyDescent="0.25">
      <c r="A3079" s="575" t="s">
        <v>119</v>
      </c>
      <c r="B3079" s="576"/>
      <c r="C3079" s="576"/>
      <c r="D3079" s="576"/>
      <c r="E3079" s="576"/>
    </row>
    <row r="3080" spans="1:5" x14ac:dyDescent="0.25">
      <c r="A3080" s="110"/>
      <c r="B3080" s="110"/>
      <c r="C3080" s="110"/>
      <c r="D3080" s="110"/>
      <c r="E3080" s="110"/>
    </row>
    <row r="3081" spans="1:5" ht="15.75" thickBot="1" x14ac:dyDescent="0.3">
      <c r="A3081" s="109"/>
      <c r="B3081" s="109"/>
      <c r="C3081" s="110"/>
      <c r="D3081" s="109"/>
      <c r="E3081" s="124" t="s">
        <v>2483</v>
      </c>
    </row>
    <row r="3082" spans="1:5" x14ac:dyDescent="0.25">
      <c r="A3082" s="112" t="s">
        <v>21</v>
      </c>
      <c r="B3082" s="113" t="s">
        <v>96</v>
      </c>
      <c r="C3082" s="113" t="s">
        <v>97</v>
      </c>
      <c r="D3082" s="113" t="s">
        <v>91</v>
      </c>
      <c r="E3082" s="114" t="s">
        <v>15</v>
      </c>
    </row>
    <row r="3083" spans="1:5" x14ac:dyDescent="0.25">
      <c r="A3083" s="115">
        <v>1</v>
      </c>
      <c r="B3083" s="166" t="s">
        <v>2485</v>
      </c>
      <c r="C3083" s="167" t="s">
        <v>2488</v>
      </c>
      <c r="D3083" s="118"/>
      <c r="E3083" s="119">
        <v>32500</v>
      </c>
    </row>
    <row r="3084" spans="1:5" x14ac:dyDescent="0.25">
      <c r="A3084" s="115">
        <f>A3083+1</f>
        <v>2</v>
      </c>
      <c r="B3084" s="166" t="s">
        <v>1393</v>
      </c>
      <c r="C3084" s="167" t="s">
        <v>1404</v>
      </c>
      <c r="D3084" s="118"/>
      <c r="E3084" s="119">
        <v>5000</v>
      </c>
    </row>
    <row r="3085" spans="1:5" x14ac:dyDescent="0.25">
      <c r="A3085" s="115">
        <f t="shared" ref="A3085:A3105" si="52">A3084+1</f>
        <v>3</v>
      </c>
      <c r="B3085" s="166" t="s">
        <v>2486</v>
      </c>
      <c r="C3085" s="167" t="s">
        <v>2489</v>
      </c>
      <c r="D3085" s="118"/>
      <c r="E3085" s="172">
        <v>5000</v>
      </c>
    </row>
    <row r="3086" spans="1:5" x14ac:dyDescent="0.25">
      <c r="A3086" s="115">
        <f t="shared" si="52"/>
        <v>4</v>
      </c>
      <c r="B3086" s="166" t="s">
        <v>2487</v>
      </c>
      <c r="C3086" s="167" t="s">
        <v>2490</v>
      </c>
      <c r="D3086" s="118"/>
      <c r="E3086" s="172">
        <v>5000</v>
      </c>
    </row>
    <row r="3087" spans="1:5" x14ac:dyDescent="0.25">
      <c r="A3087" s="115">
        <f t="shared" si="52"/>
        <v>5</v>
      </c>
      <c r="B3087" s="166" t="s">
        <v>357</v>
      </c>
      <c r="C3087" s="167" t="s">
        <v>364</v>
      </c>
      <c r="D3087" s="118"/>
      <c r="E3087" s="172">
        <v>5000</v>
      </c>
    </row>
    <row r="3088" spans="1:5" x14ac:dyDescent="0.25">
      <c r="A3088" s="115">
        <f t="shared" si="52"/>
        <v>6</v>
      </c>
      <c r="B3088" s="166" t="s">
        <v>2492</v>
      </c>
      <c r="C3088" s="167" t="s">
        <v>2491</v>
      </c>
      <c r="D3088" s="118"/>
      <c r="E3088" s="172">
        <v>5000</v>
      </c>
    </row>
    <row r="3089" spans="1:5" x14ac:dyDescent="0.25">
      <c r="A3089" s="115">
        <f t="shared" si="52"/>
        <v>7</v>
      </c>
      <c r="B3089" s="166" t="s">
        <v>1273</v>
      </c>
      <c r="C3089" s="167" t="s">
        <v>1246</v>
      </c>
      <c r="D3089" s="118"/>
      <c r="E3089" s="172">
        <v>5000</v>
      </c>
    </row>
    <row r="3090" spans="1:5" x14ac:dyDescent="0.25">
      <c r="A3090" s="115">
        <f t="shared" si="52"/>
        <v>8</v>
      </c>
      <c r="B3090" s="166" t="s">
        <v>179</v>
      </c>
      <c r="C3090" s="167" t="s">
        <v>188</v>
      </c>
      <c r="D3090" s="118"/>
      <c r="E3090" s="172">
        <v>7500</v>
      </c>
    </row>
    <row r="3091" spans="1:5" x14ac:dyDescent="0.25">
      <c r="A3091" s="115">
        <f t="shared" si="52"/>
        <v>9</v>
      </c>
      <c r="B3091" s="166" t="s">
        <v>2493</v>
      </c>
      <c r="C3091" s="167" t="s">
        <v>2497</v>
      </c>
      <c r="D3091" s="118"/>
      <c r="E3091" s="172">
        <v>22500</v>
      </c>
    </row>
    <row r="3092" spans="1:5" x14ac:dyDescent="0.25">
      <c r="A3092" s="115">
        <f t="shared" si="52"/>
        <v>10</v>
      </c>
      <c r="B3092" s="166" t="s">
        <v>2494</v>
      </c>
      <c r="C3092" s="167" t="s">
        <v>2498</v>
      </c>
      <c r="D3092" s="118"/>
      <c r="E3092" s="172">
        <v>17500</v>
      </c>
    </row>
    <row r="3093" spans="1:5" x14ac:dyDescent="0.25">
      <c r="A3093" s="115">
        <f t="shared" si="52"/>
        <v>11</v>
      </c>
      <c r="B3093" s="166" t="s">
        <v>2495</v>
      </c>
      <c r="C3093" s="167" t="s">
        <v>2499</v>
      </c>
      <c r="D3093" s="118"/>
      <c r="E3093" s="172">
        <v>12500</v>
      </c>
    </row>
    <row r="3094" spans="1:5" x14ac:dyDescent="0.25">
      <c r="A3094" s="115">
        <f t="shared" si="52"/>
        <v>12</v>
      </c>
      <c r="B3094" s="166" t="s">
        <v>2496</v>
      </c>
      <c r="C3094" s="167" t="s">
        <v>2500</v>
      </c>
      <c r="D3094" s="118"/>
      <c r="E3094" s="172">
        <v>12500</v>
      </c>
    </row>
    <row r="3095" spans="1:5" x14ac:dyDescent="0.25">
      <c r="A3095" s="115">
        <f t="shared" si="52"/>
        <v>13</v>
      </c>
      <c r="B3095" s="166" t="s">
        <v>324</v>
      </c>
      <c r="C3095" s="167" t="s">
        <v>311</v>
      </c>
      <c r="D3095" s="118"/>
      <c r="E3095" s="172">
        <v>5000</v>
      </c>
    </row>
    <row r="3096" spans="1:5" x14ac:dyDescent="0.25">
      <c r="A3096" s="115">
        <f t="shared" si="52"/>
        <v>14</v>
      </c>
      <c r="B3096" s="166" t="s">
        <v>2502</v>
      </c>
      <c r="C3096" s="167" t="s">
        <v>1382</v>
      </c>
      <c r="D3096" s="118"/>
      <c r="E3096" s="172">
        <v>5000</v>
      </c>
    </row>
    <row r="3097" spans="1:5" x14ac:dyDescent="0.25">
      <c r="A3097" s="115">
        <f t="shared" si="52"/>
        <v>15</v>
      </c>
      <c r="B3097" s="166" t="s">
        <v>326</v>
      </c>
      <c r="C3097" s="167" t="s">
        <v>313</v>
      </c>
      <c r="D3097" s="118"/>
      <c r="E3097" s="172">
        <v>5000</v>
      </c>
    </row>
    <row r="3098" spans="1:5" x14ac:dyDescent="0.25">
      <c r="A3098" s="115">
        <f t="shared" si="52"/>
        <v>16</v>
      </c>
      <c r="B3098" s="166" t="s">
        <v>2503</v>
      </c>
      <c r="C3098" s="167" t="s">
        <v>2501</v>
      </c>
      <c r="D3098" s="118"/>
      <c r="E3098" s="172">
        <v>37500</v>
      </c>
    </row>
    <row r="3099" spans="1:5" x14ac:dyDescent="0.25">
      <c r="A3099" s="115">
        <f t="shared" si="52"/>
        <v>17</v>
      </c>
      <c r="B3099" s="166" t="s">
        <v>332</v>
      </c>
      <c r="C3099" s="167" t="s">
        <v>340</v>
      </c>
      <c r="D3099" s="118"/>
      <c r="E3099" s="172">
        <v>5000</v>
      </c>
    </row>
    <row r="3100" spans="1:5" x14ac:dyDescent="0.25">
      <c r="A3100" s="115">
        <f t="shared" si="52"/>
        <v>18</v>
      </c>
      <c r="B3100" s="166" t="s">
        <v>2504</v>
      </c>
      <c r="C3100" s="167" t="s">
        <v>2510</v>
      </c>
      <c r="D3100" s="118"/>
      <c r="E3100" s="172">
        <v>5000</v>
      </c>
    </row>
    <row r="3101" spans="1:5" x14ac:dyDescent="0.25">
      <c r="A3101" s="115">
        <f t="shared" si="52"/>
        <v>19</v>
      </c>
      <c r="B3101" s="166" t="s">
        <v>2505</v>
      </c>
      <c r="C3101" s="167" t="s">
        <v>2511</v>
      </c>
      <c r="D3101" s="118"/>
      <c r="E3101" s="172">
        <v>5000</v>
      </c>
    </row>
    <row r="3102" spans="1:5" x14ac:dyDescent="0.25">
      <c r="A3102" s="115">
        <f t="shared" si="52"/>
        <v>20</v>
      </c>
      <c r="B3102" s="166" t="s">
        <v>2506</v>
      </c>
      <c r="C3102" s="167" t="s">
        <v>2512</v>
      </c>
      <c r="D3102" s="118"/>
      <c r="E3102" s="172">
        <v>5000</v>
      </c>
    </row>
    <row r="3103" spans="1:5" x14ac:dyDescent="0.25">
      <c r="A3103" s="115">
        <f t="shared" si="52"/>
        <v>21</v>
      </c>
      <c r="B3103" s="166" t="s">
        <v>2507</v>
      </c>
      <c r="C3103" s="167" t="s">
        <v>2513</v>
      </c>
      <c r="D3103" s="118"/>
      <c r="E3103" s="172">
        <v>5000</v>
      </c>
    </row>
    <row r="3104" spans="1:5" x14ac:dyDescent="0.25">
      <c r="A3104" s="115">
        <f t="shared" si="52"/>
        <v>22</v>
      </c>
      <c r="B3104" s="166" t="s">
        <v>2508</v>
      </c>
      <c r="C3104" s="167" t="s">
        <v>2514</v>
      </c>
      <c r="D3104" s="118"/>
      <c r="E3104" s="172">
        <v>22500</v>
      </c>
    </row>
    <row r="3105" spans="1:5" x14ac:dyDescent="0.25">
      <c r="A3105" s="115">
        <f t="shared" si="52"/>
        <v>23</v>
      </c>
      <c r="B3105" s="166" t="s">
        <v>2509</v>
      </c>
      <c r="C3105" s="167" t="s">
        <v>2515</v>
      </c>
      <c r="D3105" s="118"/>
      <c r="E3105" s="172">
        <v>5000</v>
      </c>
    </row>
    <row r="3106" spans="1:5" x14ac:dyDescent="0.25">
      <c r="A3106" s="115"/>
      <c r="B3106" s="166"/>
      <c r="C3106" s="167"/>
      <c r="D3106" s="170"/>
      <c r="E3106" s="171"/>
    </row>
    <row r="3107" spans="1:5" ht="15.75" thickBot="1" x14ac:dyDescent="0.3">
      <c r="A3107" s="120"/>
      <c r="B3107" s="577" t="s">
        <v>15</v>
      </c>
      <c r="C3107" s="578"/>
      <c r="D3107" s="579"/>
      <c r="E3107" s="121">
        <f>SUM(E3083:E3105)</f>
        <v>240000</v>
      </c>
    </row>
    <row r="3108" spans="1:5" x14ac:dyDescent="0.25">
      <c r="A3108" s="110"/>
      <c r="B3108" s="145"/>
      <c r="C3108" s="145"/>
      <c r="E3108" s="146"/>
    </row>
    <row r="3109" spans="1:5" x14ac:dyDescent="0.25">
      <c r="A3109" s="109"/>
      <c r="B3109" s="109"/>
      <c r="C3109" s="110"/>
      <c r="D3109" s="123" t="s">
        <v>2484</v>
      </c>
      <c r="E3109" s="109"/>
    </row>
    <row r="3110" spans="1:5" x14ac:dyDescent="0.25">
      <c r="D3110" s="123" t="s">
        <v>100</v>
      </c>
    </row>
    <row r="3128" spans="1:5" x14ac:dyDescent="0.25">
      <c r="A3128" s="108" t="s">
        <v>0</v>
      </c>
      <c r="B3128" s="144"/>
      <c r="C3128" s="144"/>
      <c r="D3128" s="144"/>
      <c r="E3128" s="144"/>
    </row>
    <row r="3129" spans="1:5" x14ac:dyDescent="0.25">
      <c r="A3129" s="108" t="s">
        <v>1</v>
      </c>
      <c r="B3129" s="109"/>
      <c r="C3129" s="110"/>
      <c r="D3129" s="109"/>
      <c r="E3129" s="109"/>
    </row>
    <row r="3130" spans="1:5" x14ac:dyDescent="0.25">
      <c r="A3130" s="108"/>
      <c r="B3130" s="109"/>
      <c r="C3130" s="110"/>
      <c r="D3130" s="109"/>
      <c r="E3130" s="109"/>
    </row>
    <row r="3131" spans="1:5" x14ac:dyDescent="0.25">
      <c r="A3131" s="111" t="s">
        <v>101</v>
      </c>
      <c r="B3131" s="111"/>
      <c r="C3131" s="111"/>
      <c r="D3131" s="111"/>
      <c r="E3131" s="111"/>
    </row>
    <row r="3132" spans="1:5" x14ac:dyDescent="0.25">
      <c r="A3132" s="575" t="s">
        <v>119</v>
      </c>
      <c r="B3132" s="576"/>
      <c r="C3132" s="576"/>
      <c r="D3132" s="576"/>
      <c r="E3132" s="576"/>
    </row>
    <row r="3133" spans="1:5" x14ac:dyDescent="0.25">
      <c r="A3133" s="110"/>
      <c r="B3133" s="110"/>
      <c r="C3133" s="110"/>
      <c r="D3133" s="110"/>
      <c r="E3133" s="110"/>
    </row>
    <row r="3134" spans="1:5" ht="15.75" thickBot="1" x14ac:dyDescent="0.3">
      <c r="A3134" s="109"/>
      <c r="B3134" s="109"/>
      <c r="C3134" s="110"/>
      <c r="D3134" s="109"/>
      <c r="E3134" s="124" t="s">
        <v>2516</v>
      </c>
    </row>
    <row r="3135" spans="1:5" x14ac:dyDescent="0.25">
      <c r="A3135" s="112" t="s">
        <v>21</v>
      </c>
      <c r="B3135" s="113" t="s">
        <v>96</v>
      </c>
      <c r="C3135" s="113" t="s">
        <v>97</v>
      </c>
      <c r="D3135" s="113" t="s">
        <v>91</v>
      </c>
      <c r="E3135" s="114" t="s">
        <v>15</v>
      </c>
    </row>
    <row r="3136" spans="1:5" x14ac:dyDescent="0.25">
      <c r="A3136" s="115">
        <v>1</v>
      </c>
      <c r="B3136" s="166" t="s">
        <v>2518</v>
      </c>
      <c r="C3136" s="167" t="s">
        <v>2521</v>
      </c>
      <c r="D3136" s="118"/>
      <c r="E3136" s="119">
        <v>12500</v>
      </c>
    </row>
    <row r="3137" spans="1:5" x14ac:dyDescent="0.25">
      <c r="A3137" s="115">
        <f>A3136+1</f>
        <v>2</v>
      </c>
      <c r="B3137" s="166" t="s">
        <v>452</v>
      </c>
      <c r="C3137" s="167" t="s">
        <v>457</v>
      </c>
      <c r="D3137" s="118"/>
      <c r="E3137" s="119">
        <v>5000</v>
      </c>
    </row>
    <row r="3138" spans="1:5" x14ac:dyDescent="0.25">
      <c r="A3138" s="115">
        <f t="shared" ref="A3138:A3164" si="53">A3137+1</f>
        <v>3</v>
      </c>
      <c r="B3138" s="166" t="s">
        <v>535</v>
      </c>
      <c r="C3138" s="167" t="s">
        <v>541</v>
      </c>
      <c r="D3138" s="118"/>
      <c r="E3138" s="172">
        <v>5000</v>
      </c>
    </row>
    <row r="3139" spans="1:5" x14ac:dyDescent="0.25">
      <c r="A3139" s="115">
        <f t="shared" si="53"/>
        <v>4</v>
      </c>
      <c r="B3139" s="166" t="s">
        <v>2519</v>
      </c>
      <c r="C3139" s="167" t="s">
        <v>2522</v>
      </c>
      <c r="D3139" s="118"/>
      <c r="E3139" s="172">
        <v>22500</v>
      </c>
    </row>
    <row r="3140" spans="1:5" x14ac:dyDescent="0.25">
      <c r="A3140" s="115">
        <f t="shared" si="53"/>
        <v>5</v>
      </c>
      <c r="B3140" s="166" t="s">
        <v>659</v>
      </c>
      <c r="C3140" s="167" t="s">
        <v>652</v>
      </c>
      <c r="D3140" s="118"/>
      <c r="E3140" s="172">
        <v>5000</v>
      </c>
    </row>
    <row r="3141" spans="1:5" x14ac:dyDescent="0.25">
      <c r="A3141" s="115">
        <f t="shared" si="53"/>
        <v>6</v>
      </c>
      <c r="B3141" s="166" t="s">
        <v>1446</v>
      </c>
      <c r="C3141" s="167" t="s">
        <v>1459</v>
      </c>
      <c r="D3141" s="118"/>
      <c r="E3141" s="172">
        <v>5000</v>
      </c>
    </row>
    <row r="3142" spans="1:5" x14ac:dyDescent="0.25">
      <c r="A3142" s="115">
        <f t="shared" si="53"/>
        <v>7</v>
      </c>
      <c r="B3142" s="166" t="s">
        <v>2520</v>
      </c>
      <c r="C3142" s="167" t="s">
        <v>2523</v>
      </c>
      <c r="D3142" s="118"/>
      <c r="E3142" s="172">
        <v>5000</v>
      </c>
    </row>
    <row r="3143" spans="1:5" x14ac:dyDescent="0.25">
      <c r="A3143" s="115">
        <f t="shared" si="53"/>
        <v>8</v>
      </c>
      <c r="B3143" s="166" t="s">
        <v>2528</v>
      </c>
      <c r="C3143" s="167" t="s">
        <v>2524</v>
      </c>
      <c r="D3143" s="118"/>
      <c r="E3143" s="172">
        <v>40000</v>
      </c>
    </row>
    <row r="3144" spans="1:5" x14ac:dyDescent="0.25">
      <c r="A3144" s="115">
        <f t="shared" si="53"/>
        <v>9</v>
      </c>
      <c r="B3144" s="166" t="s">
        <v>2236</v>
      </c>
      <c r="C3144" s="167" t="s">
        <v>2525</v>
      </c>
      <c r="D3144" s="118"/>
      <c r="E3144" s="172">
        <v>42500</v>
      </c>
    </row>
    <row r="3145" spans="1:5" x14ac:dyDescent="0.25">
      <c r="A3145" s="115">
        <f t="shared" si="53"/>
        <v>10</v>
      </c>
      <c r="B3145" s="166" t="s">
        <v>2529</v>
      </c>
      <c r="C3145" s="167" t="s">
        <v>1379</v>
      </c>
      <c r="D3145" s="118"/>
      <c r="E3145" s="172">
        <v>5000</v>
      </c>
    </row>
    <row r="3146" spans="1:5" x14ac:dyDescent="0.25">
      <c r="A3146" s="115">
        <f t="shared" si="53"/>
        <v>11</v>
      </c>
      <c r="B3146" s="166" t="s">
        <v>1371</v>
      </c>
      <c r="C3146" s="167" t="s">
        <v>1380</v>
      </c>
      <c r="D3146" s="118"/>
      <c r="E3146" s="172">
        <v>5000</v>
      </c>
    </row>
    <row r="3147" spans="1:5" x14ac:dyDescent="0.25">
      <c r="A3147" s="115">
        <f t="shared" si="53"/>
        <v>12</v>
      </c>
      <c r="B3147" s="166" t="s">
        <v>2530</v>
      </c>
      <c r="C3147" s="167" t="s">
        <v>2526</v>
      </c>
      <c r="D3147" s="118"/>
      <c r="E3147" s="172">
        <v>22500</v>
      </c>
    </row>
    <row r="3148" spans="1:5" x14ac:dyDescent="0.25">
      <c r="A3148" s="115">
        <f t="shared" si="53"/>
        <v>13</v>
      </c>
      <c r="B3148" s="166" t="s">
        <v>2531</v>
      </c>
      <c r="C3148" s="167" t="s">
        <v>2527</v>
      </c>
      <c r="D3148" s="118"/>
      <c r="E3148" s="172">
        <v>5000</v>
      </c>
    </row>
    <row r="3149" spans="1:5" x14ac:dyDescent="0.25">
      <c r="A3149" s="115">
        <f t="shared" si="53"/>
        <v>14</v>
      </c>
      <c r="B3149" s="166" t="s">
        <v>564</v>
      </c>
      <c r="C3149" s="167" t="s">
        <v>573</v>
      </c>
      <c r="D3149" s="118"/>
      <c r="E3149" s="172">
        <v>5000</v>
      </c>
    </row>
    <row r="3150" spans="1:5" x14ac:dyDescent="0.25">
      <c r="A3150" s="115">
        <f t="shared" si="53"/>
        <v>15</v>
      </c>
      <c r="B3150" s="166" t="s">
        <v>2532</v>
      </c>
      <c r="C3150" s="167" t="s">
        <v>2538</v>
      </c>
      <c r="D3150" s="118"/>
      <c r="E3150" s="172">
        <v>5000</v>
      </c>
    </row>
    <row r="3151" spans="1:5" x14ac:dyDescent="0.25">
      <c r="A3151" s="115">
        <f t="shared" si="53"/>
        <v>16</v>
      </c>
      <c r="B3151" s="166" t="s">
        <v>566</v>
      </c>
      <c r="C3151" s="167" t="s">
        <v>575</v>
      </c>
      <c r="D3151" s="118"/>
      <c r="E3151" s="172">
        <v>5000</v>
      </c>
    </row>
    <row r="3152" spans="1:5" x14ac:dyDescent="0.25">
      <c r="A3152" s="115">
        <f t="shared" si="53"/>
        <v>17</v>
      </c>
      <c r="B3152" s="166" t="s">
        <v>2533</v>
      </c>
      <c r="C3152" s="167" t="s">
        <v>2539</v>
      </c>
      <c r="D3152" s="118"/>
      <c r="E3152" s="172">
        <v>50000</v>
      </c>
    </row>
    <row r="3153" spans="1:5" x14ac:dyDescent="0.25">
      <c r="A3153" s="115">
        <f t="shared" si="53"/>
        <v>18</v>
      </c>
      <c r="B3153" s="166" t="s">
        <v>1396</v>
      </c>
      <c r="C3153" s="167" t="s">
        <v>1407</v>
      </c>
      <c r="D3153" s="118"/>
      <c r="E3153" s="172">
        <v>5000</v>
      </c>
    </row>
    <row r="3154" spans="1:5" x14ac:dyDescent="0.25">
      <c r="A3154" s="115">
        <f t="shared" si="53"/>
        <v>19</v>
      </c>
      <c r="B3154" s="166" t="s">
        <v>2534</v>
      </c>
      <c r="C3154" s="167" t="s">
        <v>2540</v>
      </c>
      <c r="D3154" s="118"/>
      <c r="E3154" s="172">
        <v>32500</v>
      </c>
    </row>
    <row r="3155" spans="1:5" x14ac:dyDescent="0.25">
      <c r="A3155" s="115">
        <f t="shared" si="53"/>
        <v>20</v>
      </c>
      <c r="B3155" s="166" t="s">
        <v>2535</v>
      </c>
      <c r="C3155" s="167" t="s">
        <v>2541</v>
      </c>
      <c r="D3155" s="118"/>
      <c r="E3155" s="172">
        <v>32500</v>
      </c>
    </row>
    <row r="3156" spans="1:5" x14ac:dyDescent="0.25">
      <c r="A3156" s="115">
        <f t="shared" si="53"/>
        <v>21</v>
      </c>
      <c r="B3156" s="166" t="s">
        <v>2536</v>
      </c>
      <c r="C3156" s="167" t="s">
        <v>2542</v>
      </c>
      <c r="D3156" s="118"/>
      <c r="E3156" s="172">
        <v>5000</v>
      </c>
    </row>
    <row r="3157" spans="1:5" x14ac:dyDescent="0.25">
      <c r="A3157" s="115">
        <f t="shared" si="53"/>
        <v>22</v>
      </c>
      <c r="B3157" s="166" t="s">
        <v>2537</v>
      </c>
      <c r="C3157" s="167" t="s">
        <v>2543</v>
      </c>
      <c r="D3157" s="118"/>
      <c r="E3157" s="172">
        <v>22500</v>
      </c>
    </row>
    <row r="3158" spans="1:5" x14ac:dyDescent="0.25">
      <c r="A3158" s="115">
        <f t="shared" si="53"/>
        <v>23</v>
      </c>
      <c r="B3158" s="166" t="s">
        <v>2547</v>
      </c>
      <c r="C3158" s="167" t="s">
        <v>2544</v>
      </c>
      <c r="D3158" s="118"/>
      <c r="E3158" s="172">
        <v>12500</v>
      </c>
    </row>
    <row r="3159" spans="1:5" x14ac:dyDescent="0.25">
      <c r="A3159" s="115">
        <f t="shared" si="53"/>
        <v>24</v>
      </c>
      <c r="B3159" s="166" t="s">
        <v>209</v>
      </c>
      <c r="C3159" s="167" t="s">
        <v>201</v>
      </c>
      <c r="D3159" s="118"/>
      <c r="E3159" s="171">
        <v>5000</v>
      </c>
    </row>
    <row r="3160" spans="1:5" x14ac:dyDescent="0.25">
      <c r="A3160" s="115">
        <f t="shared" si="53"/>
        <v>25</v>
      </c>
      <c r="B3160" s="166" t="s">
        <v>1055</v>
      </c>
      <c r="C3160" s="167" t="s">
        <v>1062</v>
      </c>
      <c r="D3160" s="118"/>
      <c r="E3160" s="171">
        <v>5000</v>
      </c>
    </row>
    <row r="3161" spans="1:5" x14ac:dyDescent="0.25">
      <c r="A3161" s="115">
        <f t="shared" si="53"/>
        <v>26</v>
      </c>
      <c r="B3161" s="166" t="s">
        <v>2548</v>
      </c>
      <c r="C3161" s="167" t="s">
        <v>2545</v>
      </c>
      <c r="D3161" s="118"/>
      <c r="E3161" s="171">
        <v>5000</v>
      </c>
    </row>
    <row r="3162" spans="1:5" x14ac:dyDescent="0.25">
      <c r="A3162" s="115">
        <f t="shared" si="53"/>
        <v>27</v>
      </c>
      <c r="B3162" s="166" t="s">
        <v>2549</v>
      </c>
      <c r="C3162" s="167" t="s">
        <v>2546</v>
      </c>
      <c r="D3162" s="118"/>
      <c r="E3162" s="171">
        <v>32500</v>
      </c>
    </row>
    <row r="3163" spans="1:5" x14ac:dyDescent="0.25">
      <c r="A3163" s="115">
        <f t="shared" si="53"/>
        <v>28</v>
      </c>
      <c r="B3163" s="166" t="s">
        <v>2550</v>
      </c>
      <c r="C3163" s="167" t="s">
        <v>2552</v>
      </c>
      <c r="D3163" s="118"/>
      <c r="E3163" s="171">
        <v>12500</v>
      </c>
    </row>
    <row r="3164" spans="1:5" x14ac:dyDescent="0.25">
      <c r="A3164" s="115">
        <f t="shared" si="53"/>
        <v>29</v>
      </c>
      <c r="B3164" s="166" t="s">
        <v>182</v>
      </c>
      <c r="C3164" s="167" t="s">
        <v>2551</v>
      </c>
      <c r="D3164" s="118"/>
      <c r="E3164" s="171">
        <v>5000</v>
      </c>
    </row>
    <row r="3165" spans="1:5" x14ac:dyDescent="0.25">
      <c r="A3165" s="169"/>
      <c r="B3165" s="166"/>
      <c r="C3165" s="167"/>
      <c r="D3165" s="170"/>
      <c r="E3165" s="171"/>
    </row>
    <row r="3166" spans="1:5" ht="15.75" thickBot="1" x14ac:dyDescent="0.3">
      <c r="A3166" s="120"/>
      <c r="B3166" s="577" t="s">
        <v>15</v>
      </c>
      <c r="C3166" s="578"/>
      <c r="D3166" s="579"/>
      <c r="E3166" s="121">
        <f>SUM(E3136:E3164)</f>
        <v>420000</v>
      </c>
    </row>
    <row r="3167" spans="1:5" x14ac:dyDescent="0.25">
      <c r="A3167" s="110"/>
      <c r="B3167" s="145"/>
      <c r="C3167" s="145"/>
      <c r="E3167" s="146"/>
    </row>
    <row r="3168" spans="1:5" x14ac:dyDescent="0.25">
      <c r="A3168" s="109"/>
      <c r="B3168" s="109"/>
      <c r="C3168" s="110"/>
      <c r="D3168" s="123" t="s">
        <v>2517</v>
      </c>
      <c r="E3168" s="109"/>
    </row>
    <row r="3169" spans="1:5" x14ac:dyDescent="0.25">
      <c r="D3169" s="123" t="s">
        <v>100</v>
      </c>
    </row>
    <row r="3181" spans="1:5" x14ac:dyDescent="0.25">
      <c r="A3181" s="108" t="s">
        <v>0</v>
      </c>
      <c r="B3181" s="144"/>
      <c r="C3181" s="144"/>
      <c r="D3181" s="144"/>
      <c r="E3181" s="144"/>
    </row>
    <row r="3182" spans="1:5" x14ac:dyDescent="0.25">
      <c r="A3182" s="108" t="s">
        <v>1</v>
      </c>
      <c r="B3182" s="109"/>
      <c r="C3182" s="110"/>
      <c r="D3182" s="109"/>
      <c r="E3182" s="109"/>
    </row>
    <row r="3183" spans="1:5" x14ac:dyDescent="0.25">
      <c r="A3183" s="108"/>
      <c r="B3183" s="109"/>
      <c r="C3183" s="110"/>
      <c r="D3183" s="109"/>
      <c r="E3183" s="109"/>
    </row>
    <row r="3184" spans="1:5" x14ac:dyDescent="0.25">
      <c r="A3184" s="111" t="s">
        <v>101</v>
      </c>
      <c r="B3184" s="111"/>
      <c r="C3184" s="111"/>
      <c r="D3184" s="111"/>
      <c r="E3184" s="111"/>
    </row>
    <row r="3185" spans="1:5" x14ac:dyDescent="0.25">
      <c r="A3185" s="575" t="s">
        <v>119</v>
      </c>
      <c r="B3185" s="576"/>
      <c r="C3185" s="576"/>
      <c r="D3185" s="576"/>
      <c r="E3185" s="576"/>
    </row>
    <row r="3186" spans="1:5" x14ac:dyDescent="0.25">
      <c r="A3186" s="110"/>
      <c r="B3186" s="110"/>
      <c r="C3186" s="110"/>
      <c r="D3186" s="110"/>
      <c r="E3186" s="110"/>
    </row>
    <row r="3187" spans="1:5" ht="15.75" thickBot="1" x14ac:dyDescent="0.3">
      <c r="A3187" s="109"/>
      <c r="B3187" s="109"/>
      <c r="C3187" s="110"/>
      <c r="D3187" s="109"/>
      <c r="E3187" s="124" t="s">
        <v>2553</v>
      </c>
    </row>
    <row r="3188" spans="1:5" x14ac:dyDescent="0.25">
      <c r="A3188" s="112" t="s">
        <v>21</v>
      </c>
      <c r="B3188" s="113" t="s">
        <v>96</v>
      </c>
      <c r="C3188" s="113" t="s">
        <v>97</v>
      </c>
      <c r="D3188" s="113" t="s">
        <v>91</v>
      </c>
      <c r="E3188" s="114" t="s">
        <v>15</v>
      </c>
    </row>
    <row r="3189" spans="1:5" x14ac:dyDescent="0.25">
      <c r="A3189" s="115">
        <v>1</v>
      </c>
      <c r="B3189" s="166" t="s">
        <v>848</v>
      </c>
      <c r="C3189" s="167" t="s">
        <v>852</v>
      </c>
      <c r="D3189" s="118"/>
      <c r="E3189" s="119">
        <v>17500</v>
      </c>
    </row>
    <row r="3190" spans="1:5" x14ac:dyDescent="0.25">
      <c r="A3190" s="115">
        <f>A3189+1</f>
        <v>2</v>
      </c>
      <c r="B3190" s="166" t="s">
        <v>850</v>
      </c>
      <c r="C3190" s="167" t="s">
        <v>854</v>
      </c>
      <c r="D3190" s="118"/>
      <c r="E3190" s="119">
        <v>5000</v>
      </c>
    </row>
    <row r="3191" spans="1:5" x14ac:dyDescent="0.25">
      <c r="A3191" s="115">
        <f t="shared" ref="A3191:A3215" si="54">A3190+1</f>
        <v>3</v>
      </c>
      <c r="B3191" s="166" t="s">
        <v>2555</v>
      </c>
      <c r="C3191" s="167" t="s">
        <v>2558</v>
      </c>
      <c r="D3191" s="118"/>
      <c r="E3191" s="172">
        <v>12500</v>
      </c>
    </row>
    <row r="3192" spans="1:5" x14ac:dyDescent="0.25">
      <c r="A3192" s="115">
        <f t="shared" si="54"/>
        <v>4</v>
      </c>
      <c r="B3192" s="166" t="s">
        <v>2556</v>
      </c>
      <c r="C3192" s="167" t="s">
        <v>2559</v>
      </c>
      <c r="D3192" s="118"/>
      <c r="E3192" s="172">
        <v>22500</v>
      </c>
    </row>
    <row r="3193" spans="1:5" x14ac:dyDescent="0.25">
      <c r="A3193" s="115">
        <f t="shared" si="54"/>
        <v>5</v>
      </c>
      <c r="B3193" s="166" t="s">
        <v>2557</v>
      </c>
      <c r="C3193" s="167" t="s">
        <v>2560</v>
      </c>
      <c r="D3193" s="118"/>
      <c r="E3193" s="172">
        <v>5000</v>
      </c>
    </row>
    <row r="3194" spans="1:5" x14ac:dyDescent="0.25">
      <c r="A3194" s="115">
        <f t="shared" si="54"/>
        <v>6</v>
      </c>
      <c r="B3194" s="166" t="s">
        <v>1449</v>
      </c>
      <c r="C3194" s="167" t="s">
        <v>1462</v>
      </c>
      <c r="D3194" s="118"/>
      <c r="E3194" s="172">
        <v>5000</v>
      </c>
    </row>
    <row r="3195" spans="1:5" x14ac:dyDescent="0.25">
      <c r="A3195" s="115">
        <f t="shared" si="54"/>
        <v>7</v>
      </c>
      <c r="B3195" s="166" t="s">
        <v>1517</v>
      </c>
      <c r="C3195" s="167" t="s">
        <v>1520</v>
      </c>
      <c r="D3195" s="118"/>
      <c r="E3195" s="172">
        <v>5000</v>
      </c>
    </row>
    <row r="3196" spans="1:5" x14ac:dyDescent="0.25">
      <c r="A3196" s="115">
        <f t="shared" si="54"/>
        <v>8</v>
      </c>
      <c r="B3196" s="166" t="s">
        <v>2569</v>
      </c>
      <c r="C3196" s="167" t="s">
        <v>2561</v>
      </c>
      <c r="D3196" s="118"/>
      <c r="E3196" s="172">
        <v>12500</v>
      </c>
    </row>
    <row r="3197" spans="1:5" x14ac:dyDescent="0.25">
      <c r="A3197" s="115">
        <f t="shared" si="54"/>
        <v>9</v>
      </c>
      <c r="B3197" s="166" t="s">
        <v>2570</v>
      </c>
      <c r="C3197" s="167" t="s">
        <v>2562</v>
      </c>
      <c r="D3197" s="118"/>
      <c r="E3197" s="172">
        <v>5000</v>
      </c>
    </row>
    <row r="3198" spans="1:5" x14ac:dyDescent="0.25">
      <c r="A3198" s="115">
        <f t="shared" si="54"/>
        <v>10</v>
      </c>
      <c r="B3198" s="166" t="s">
        <v>2571</v>
      </c>
      <c r="C3198" s="167" t="s">
        <v>2563</v>
      </c>
      <c r="D3198" s="118"/>
      <c r="E3198" s="172">
        <v>5000</v>
      </c>
    </row>
    <row r="3199" spans="1:5" x14ac:dyDescent="0.25">
      <c r="A3199" s="115">
        <f t="shared" si="54"/>
        <v>11</v>
      </c>
      <c r="B3199" s="166" t="s">
        <v>2572</v>
      </c>
      <c r="C3199" s="167" t="s">
        <v>2564</v>
      </c>
      <c r="D3199" s="118"/>
      <c r="E3199" s="172">
        <v>22500</v>
      </c>
    </row>
    <row r="3200" spans="1:5" x14ac:dyDescent="0.25">
      <c r="A3200" s="115">
        <f t="shared" si="54"/>
        <v>12</v>
      </c>
      <c r="B3200" s="166" t="s">
        <v>2573</v>
      </c>
      <c r="C3200" s="167" t="s">
        <v>2565</v>
      </c>
      <c r="D3200" s="118"/>
      <c r="E3200" s="172">
        <v>22500</v>
      </c>
    </row>
    <row r="3201" spans="1:5" x14ac:dyDescent="0.25">
      <c r="A3201" s="115">
        <f t="shared" si="54"/>
        <v>13</v>
      </c>
      <c r="B3201" s="166" t="s">
        <v>2576</v>
      </c>
      <c r="C3201" s="167" t="s">
        <v>2566</v>
      </c>
      <c r="D3201" s="118"/>
      <c r="E3201" s="172">
        <v>5000</v>
      </c>
    </row>
    <row r="3202" spans="1:5" x14ac:dyDescent="0.25">
      <c r="A3202" s="115">
        <f t="shared" si="54"/>
        <v>14</v>
      </c>
      <c r="B3202" s="166" t="s">
        <v>2574</v>
      </c>
      <c r="C3202" s="167" t="s">
        <v>2567</v>
      </c>
      <c r="D3202" s="118"/>
      <c r="E3202" s="172">
        <v>72500</v>
      </c>
    </row>
    <row r="3203" spans="1:5" x14ac:dyDescent="0.25">
      <c r="A3203" s="115">
        <f t="shared" si="54"/>
        <v>15</v>
      </c>
      <c r="B3203" s="166" t="s">
        <v>2575</v>
      </c>
      <c r="C3203" s="167" t="s">
        <v>2568</v>
      </c>
      <c r="D3203" s="118"/>
      <c r="E3203" s="172">
        <v>12500</v>
      </c>
    </row>
    <row r="3204" spans="1:5" x14ac:dyDescent="0.25">
      <c r="A3204" s="115">
        <f t="shared" si="54"/>
        <v>16</v>
      </c>
      <c r="B3204" s="166" t="s">
        <v>2577</v>
      </c>
      <c r="C3204" s="167" t="s">
        <v>2585</v>
      </c>
      <c r="D3204" s="118"/>
      <c r="E3204" s="172">
        <v>12500</v>
      </c>
    </row>
    <row r="3205" spans="1:5" x14ac:dyDescent="0.25">
      <c r="A3205" s="115">
        <f t="shared" si="54"/>
        <v>17</v>
      </c>
      <c r="B3205" s="166" t="s">
        <v>2578</v>
      </c>
      <c r="C3205" s="167" t="s">
        <v>2586</v>
      </c>
      <c r="D3205" s="118"/>
      <c r="E3205" s="172">
        <v>12500</v>
      </c>
    </row>
    <row r="3206" spans="1:5" x14ac:dyDescent="0.25">
      <c r="A3206" s="115">
        <f t="shared" si="54"/>
        <v>18</v>
      </c>
      <c r="B3206" s="166" t="s">
        <v>2579</v>
      </c>
      <c r="C3206" s="167" t="s">
        <v>2587</v>
      </c>
      <c r="D3206" s="118"/>
      <c r="E3206" s="172">
        <v>12500</v>
      </c>
    </row>
    <row r="3207" spans="1:5" x14ac:dyDescent="0.25">
      <c r="A3207" s="115">
        <f t="shared" si="54"/>
        <v>19</v>
      </c>
      <c r="B3207" s="166" t="s">
        <v>2580</v>
      </c>
      <c r="C3207" s="167" t="s">
        <v>2588</v>
      </c>
      <c r="D3207" s="118"/>
      <c r="E3207" s="172">
        <v>12500</v>
      </c>
    </row>
    <row r="3208" spans="1:5" x14ac:dyDescent="0.25">
      <c r="A3208" s="115">
        <f t="shared" si="54"/>
        <v>20</v>
      </c>
      <c r="B3208" s="166" t="s">
        <v>2581</v>
      </c>
      <c r="C3208" s="167" t="s">
        <v>2589</v>
      </c>
      <c r="D3208" s="118"/>
      <c r="E3208" s="172">
        <v>5000</v>
      </c>
    </row>
    <row r="3209" spans="1:5" x14ac:dyDescent="0.25">
      <c r="A3209" s="115">
        <f t="shared" si="54"/>
        <v>21</v>
      </c>
      <c r="B3209" s="166" t="s">
        <v>2582</v>
      </c>
      <c r="C3209" s="167" t="s">
        <v>2590</v>
      </c>
      <c r="D3209" s="118"/>
      <c r="E3209" s="172">
        <v>12500</v>
      </c>
    </row>
    <row r="3210" spans="1:5" x14ac:dyDescent="0.25">
      <c r="A3210" s="115">
        <f t="shared" si="54"/>
        <v>22</v>
      </c>
      <c r="B3210" s="166" t="s">
        <v>2537</v>
      </c>
      <c r="C3210" s="167" t="s">
        <v>2591</v>
      </c>
      <c r="D3210" s="118"/>
      <c r="E3210" s="172">
        <v>32500</v>
      </c>
    </row>
    <row r="3211" spans="1:5" x14ac:dyDescent="0.25">
      <c r="A3211" s="115">
        <f t="shared" si="54"/>
        <v>23</v>
      </c>
      <c r="B3211" s="166" t="s">
        <v>2583</v>
      </c>
      <c r="C3211" s="167" t="s">
        <v>2592</v>
      </c>
      <c r="D3211" s="118"/>
      <c r="E3211" s="172">
        <v>5000</v>
      </c>
    </row>
    <row r="3212" spans="1:5" x14ac:dyDescent="0.25">
      <c r="A3212" s="115">
        <f t="shared" si="54"/>
        <v>24</v>
      </c>
      <c r="B3212" s="166" t="s">
        <v>2584</v>
      </c>
      <c r="C3212" s="167" t="s">
        <v>2593</v>
      </c>
      <c r="D3212" s="118"/>
      <c r="E3212" s="171">
        <v>12500</v>
      </c>
    </row>
    <row r="3213" spans="1:5" x14ac:dyDescent="0.25">
      <c r="A3213" s="115">
        <f t="shared" si="54"/>
        <v>25</v>
      </c>
      <c r="B3213" s="166" t="s">
        <v>2596</v>
      </c>
      <c r="C3213" s="167" t="s">
        <v>2594</v>
      </c>
      <c r="D3213" s="118"/>
      <c r="E3213" s="171">
        <v>22500</v>
      </c>
    </row>
    <row r="3214" spans="1:5" x14ac:dyDescent="0.25">
      <c r="A3214" s="115">
        <f t="shared" si="54"/>
        <v>26</v>
      </c>
      <c r="B3214" s="166" t="s">
        <v>792</v>
      </c>
      <c r="C3214" s="167" t="s">
        <v>781</v>
      </c>
      <c r="D3214" s="118"/>
      <c r="E3214" s="171">
        <v>5000</v>
      </c>
    </row>
    <row r="3215" spans="1:5" x14ac:dyDescent="0.25">
      <c r="A3215" s="115">
        <f t="shared" si="54"/>
        <v>27</v>
      </c>
      <c r="B3215" s="166" t="s">
        <v>2597</v>
      </c>
      <c r="C3215" s="167" t="s">
        <v>2595</v>
      </c>
      <c r="D3215" s="118"/>
      <c r="E3215" s="171">
        <v>5000</v>
      </c>
    </row>
    <row r="3216" spans="1:5" x14ac:dyDescent="0.25">
      <c r="A3216" s="169"/>
      <c r="B3216" s="166"/>
      <c r="C3216" s="167"/>
      <c r="D3216" s="170"/>
      <c r="E3216" s="171"/>
    </row>
    <row r="3217" spans="1:5" ht="15.75" thickBot="1" x14ac:dyDescent="0.3">
      <c r="A3217" s="120"/>
      <c r="B3217" s="577" t="s">
        <v>15</v>
      </c>
      <c r="C3217" s="578"/>
      <c r="D3217" s="579"/>
      <c r="E3217" s="121">
        <f>SUM(E3189:E3215)</f>
        <v>380000</v>
      </c>
    </row>
    <row r="3218" spans="1:5" x14ac:dyDescent="0.25">
      <c r="A3218" s="110"/>
      <c r="B3218" s="145"/>
      <c r="C3218" s="145"/>
      <c r="E3218" s="146"/>
    </row>
    <row r="3219" spans="1:5" x14ac:dyDescent="0.25">
      <c r="A3219" s="109"/>
      <c r="B3219" s="109"/>
      <c r="C3219" s="110"/>
      <c r="D3219" s="123" t="s">
        <v>2554</v>
      </c>
      <c r="E3219" s="109"/>
    </row>
    <row r="3220" spans="1:5" x14ac:dyDescent="0.25">
      <c r="D3220" s="123" t="s">
        <v>100</v>
      </c>
    </row>
    <row r="3234" spans="1:5" x14ac:dyDescent="0.25">
      <c r="A3234" s="108" t="s">
        <v>0</v>
      </c>
      <c r="B3234" s="144"/>
      <c r="C3234" s="144"/>
      <c r="D3234" s="144"/>
      <c r="E3234" s="144"/>
    </row>
    <row r="3235" spans="1:5" x14ac:dyDescent="0.25">
      <c r="A3235" s="108" t="s">
        <v>1</v>
      </c>
      <c r="B3235" s="109"/>
      <c r="C3235" s="110"/>
      <c r="D3235" s="109"/>
      <c r="E3235" s="109"/>
    </row>
    <row r="3236" spans="1:5" x14ac:dyDescent="0.25">
      <c r="A3236" s="108"/>
      <c r="B3236" s="109"/>
      <c r="C3236" s="110"/>
      <c r="D3236" s="109"/>
      <c r="E3236" s="109"/>
    </row>
    <row r="3237" spans="1:5" x14ac:dyDescent="0.25">
      <c r="A3237" s="111" t="s">
        <v>101</v>
      </c>
      <c r="B3237" s="111"/>
      <c r="C3237" s="111"/>
      <c r="D3237" s="111"/>
      <c r="E3237" s="111"/>
    </row>
    <row r="3238" spans="1:5" x14ac:dyDescent="0.25">
      <c r="A3238" s="575" t="s">
        <v>119</v>
      </c>
      <c r="B3238" s="576"/>
      <c r="C3238" s="576"/>
      <c r="D3238" s="576"/>
      <c r="E3238" s="576"/>
    </row>
    <row r="3239" spans="1:5" x14ac:dyDescent="0.25">
      <c r="A3239" s="110"/>
      <c r="B3239" s="110"/>
      <c r="C3239" s="110"/>
      <c r="D3239" s="110"/>
      <c r="E3239" s="110"/>
    </row>
    <row r="3240" spans="1:5" ht="15.75" thickBot="1" x14ac:dyDescent="0.3">
      <c r="A3240" s="109"/>
      <c r="B3240" s="109"/>
      <c r="C3240" s="110"/>
      <c r="D3240" s="109"/>
      <c r="E3240" s="124" t="s">
        <v>2598</v>
      </c>
    </row>
    <row r="3241" spans="1:5" x14ac:dyDescent="0.25">
      <c r="A3241" s="112" t="s">
        <v>21</v>
      </c>
      <c r="B3241" s="113" t="s">
        <v>96</v>
      </c>
      <c r="C3241" s="113" t="s">
        <v>97</v>
      </c>
      <c r="D3241" s="113" t="s">
        <v>91</v>
      </c>
      <c r="E3241" s="114" t="s">
        <v>15</v>
      </c>
    </row>
    <row r="3242" spans="1:5" x14ac:dyDescent="0.25">
      <c r="A3242" s="115">
        <v>1</v>
      </c>
      <c r="B3242" s="166" t="s">
        <v>2600</v>
      </c>
      <c r="C3242" s="167" t="s">
        <v>2604</v>
      </c>
      <c r="D3242" s="118"/>
      <c r="E3242" s="119">
        <v>12500</v>
      </c>
    </row>
    <row r="3243" spans="1:5" x14ac:dyDescent="0.25">
      <c r="A3243" s="115">
        <f>A3242+1</f>
        <v>2</v>
      </c>
      <c r="B3243" s="166" t="s">
        <v>2601</v>
      </c>
      <c r="C3243" s="167" t="s">
        <v>2605</v>
      </c>
      <c r="D3243" s="118"/>
      <c r="E3243" s="119">
        <v>12500</v>
      </c>
    </row>
    <row r="3244" spans="1:5" x14ac:dyDescent="0.25">
      <c r="A3244" s="115">
        <f t="shared" ref="A3244:A3260" si="55">A3243+1</f>
        <v>3</v>
      </c>
      <c r="B3244" s="166" t="s">
        <v>2602</v>
      </c>
      <c r="C3244" s="167" t="s">
        <v>2606</v>
      </c>
      <c r="D3244" s="118"/>
      <c r="E3244" s="172">
        <v>5000</v>
      </c>
    </row>
    <row r="3245" spans="1:5" x14ac:dyDescent="0.25">
      <c r="A3245" s="115">
        <f t="shared" si="55"/>
        <v>4</v>
      </c>
      <c r="B3245" s="166" t="s">
        <v>1156</v>
      </c>
      <c r="C3245" s="167" t="s">
        <v>1163</v>
      </c>
      <c r="D3245" s="118"/>
      <c r="E3245" s="172">
        <v>5000</v>
      </c>
    </row>
    <row r="3246" spans="1:5" x14ac:dyDescent="0.25">
      <c r="A3246" s="115">
        <f t="shared" si="55"/>
        <v>5</v>
      </c>
      <c r="B3246" s="166" t="s">
        <v>2603</v>
      </c>
      <c r="C3246" s="167" t="s">
        <v>2607</v>
      </c>
      <c r="D3246" s="118"/>
      <c r="E3246" s="172">
        <v>92500</v>
      </c>
    </row>
    <row r="3247" spans="1:5" x14ac:dyDescent="0.25">
      <c r="A3247" s="115">
        <f t="shared" si="55"/>
        <v>6</v>
      </c>
      <c r="B3247" s="166" t="s">
        <v>2615</v>
      </c>
      <c r="C3247" s="167" t="s">
        <v>2608</v>
      </c>
      <c r="D3247" s="118"/>
      <c r="E3247" s="172">
        <v>12500</v>
      </c>
    </row>
    <row r="3248" spans="1:5" x14ac:dyDescent="0.25">
      <c r="A3248" s="115">
        <f t="shared" si="55"/>
        <v>7</v>
      </c>
      <c r="B3248" s="166" t="s">
        <v>2616</v>
      </c>
      <c r="C3248" s="167" t="s">
        <v>2609</v>
      </c>
      <c r="D3248" s="118"/>
      <c r="E3248" s="172">
        <v>5000</v>
      </c>
    </row>
    <row r="3249" spans="1:5" x14ac:dyDescent="0.25">
      <c r="A3249" s="115">
        <f t="shared" si="55"/>
        <v>8</v>
      </c>
      <c r="B3249" s="166" t="s">
        <v>2617</v>
      </c>
      <c r="C3249" s="167" t="s">
        <v>2610</v>
      </c>
      <c r="D3249" s="118"/>
      <c r="E3249" s="172">
        <v>42500</v>
      </c>
    </row>
    <row r="3250" spans="1:5" x14ac:dyDescent="0.25">
      <c r="A3250" s="115">
        <f t="shared" si="55"/>
        <v>9</v>
      </c>
      <c r="B3250" s="166" t="s">
        <v>2618</v>
      </c>
      <c r="C3250" s="167" t="s">
        <v>2611</v>
      </c>
      <c r="D3250" s="118"/>
      <c r="E3250" s="172">
        <v>12500</v>
      </c>
    </row>
    <row r="3251" spans="1:5" x14ac:dyDescent="0.25">
      <c r="A3251" s="115">
        <f t="shared" si="55"/>
        <v>10</v>
      </c>
      <c r="B3251" s="166" t="s">
        <v>2619</v>
      </c>
      <c r="C3251" s="167" t="s">
        <v>2612</v>
      </c>
      <c r="D3251" s="118"/>
      <c r="E3251" s="172">
        <v>22500</v>
      </c>
    </row>
    <row r="3252" spans="1:5" x14ac:dyDescent="0.25">
      <c r="A3252" s="115">
        <f t="shared" si="55"/>
        <v>11</v>
      </c>
      <c r="B3252" s="166" t="s">
        <v>2620</v>
      </c>
      <c r="C3252" s="167" t="s">
        <v>2613</v>
      </c>
      <c r="D3252" s="118"/>
      <c r="E3252" s="172">
        <v>12500</v>
      </c>
    </row>
    <row r="3253" spans="1:5" x14ac:dyDescent="0.25">
      <c r="A3253" s="115">
        <f t="shared" si="55"/>
        <v>12</v>
      </c>
      <c r="B3253" s="166" t="s">
        <v>2621</v>
      </c>
      <c r="C3253" s="167" t="s">
        <v>2614</v>
      </c>
      <c r="D3253" s="118"/>
      <c r="E3253" s="172">
        <v>32500</v>
      </c>
    </row>
    <row r="3254" spans="1:5" x14ac:dyDescent="0.25">
      <c r="A3254" s="115">
        <f t="shared" si="55"/>
        <v>13</v>
      </c>
      <c r="B3254" s="166" t="s">
        <v>137</v>
      </c>
      <c r="C3254" s="167" t="s">
        <v>145</v>
      </c>
      <c r="D3254" s="118"/>
      <c r="E3254" s="172">
        <v>5000</v>
      </c>
    </row>
    <row r="3255" spans="1:5" x14ac:dyDescent="0.25">
      <c r="A3255" s="115">
        <f t="shared" si="55"/>
        <v>14</v>
      </c>
      <c r="B3255" s="166" t="s">
        <v>2622</v>
      </c>
      <c r="C3255" s="167" t="s">
        <v>2625</v>
      </c>
      <c r="D3255" s="118"/>
      <c r="E3255" s="172">
        <v>27500</v>
      </c>
    </row>
    <row r="3256" spans="1:5" x14ac:dyDescent="0.25">
      <c r="A3256" s="115">
        <f t="shared" si="55"/>
        <v>15</v>
      </c>
      <c r="B3256" s="166" t="s">
        <v>825</v>
      </c>
      <c r="C3256" s="167" t="s">
        <v>837</v>
      </c>
      <c r="D3256" s="118"/>
      <c r="E3256" s="172">
        <v>17500</v>
      </c>
    </row>
    <row r="3257" spans="1:5" x14ac:dyDescent="0.25">
      <c r="A3257" s="115">
        <f t="shared" si="55"/>
        <v>16</v>
      </c>
      <c r="B3257" s="166" t="s">
        <v>328</v>
      </c>
      <c r="C3257" s="167" t="s">
        <v>335</v>
      </c>
      <c r="D3257" s="118"/>
      <c r="E3257" s="172">
        <v>5000</v>
      </c>
    </row>
    <row r="3258" spans="1:5" x14ac:dyDescent="0.25">
      <c r="A3258" s="115">
        <f t="shared" si="55"/>
        <v>17</v>
      </c>
      <c r="B3258" s="166" t="s">
        <v>2623</v>
      </c>
      <c r="C3258" s="167" t="s">
        <v>2626</v>
      </c>
      <c r="D3258" s="118"/>
      <c r="E3258" s="172">
        <v>12500</v>
      </c>
    </row>
    <row r="3259" spans="1:5" x14ac:dyDescent="0.25">
      <c r="A3259" s="115">
        <f t="shared" si="55"/>
        <v>18</v>
      </c>
      <c r="B3259" s="166" t="s">
        <v>2624</v>
      </c>
      <c r="C3259" s="167" t="s">
        <v>2627</v>
      </c>
      <c r="D3259" s="118"/>
      <c r="E3259" s="172">
        <v>12500</v>
      </c>
    </row>
    <row r="3260" spans="1:5" x14ac:dyDescent="0.25">
      <c r="A3260" s="115">
        <f t="shared" si="55"/>
        <v>19</v>
      </c>
      <c r="B3260" s="166" t="s">
        <v>2628</v>
      </c>
      <c r="C3260" s="167" t="s">
        <v>241</v>
      </c>
      <c r="D3260" s="118"/>
      <c r="E3260" s="172">
        <v>5000</v>
      </c>
    </row>
    <row r="3261" spans="1:5" x14ac:dyDescent="0.25">
      <c r="A3261" s="169"/>
      <c r="B3261" s="166"/>
      <c r="C3261" s="167"/>
      <c r="D3261" s="170"/>
      <c r="E3261" s="171"/>
    </row>
    <row r="3262" spans="1:5" ht="15.75" thickBot="1" x14ac:dyDescent="0.3">
      <c r="A3262" s="120"/>
      <c r="B3262" s="577" t="s">
        <v>15</v>
      </c>
      <c r="C3262" s="578"/>
      <c r="D3262" s="579"/>
      <c r="E3262" s="121">
        <f>SUM(E3242:E3260)</f>
        <v>352500</v>
      </c>
    </row>
    <row r="3263" spans="1:5" x14ac:dyDescent="0.25">
      <c r="A3263" s="110"/>
      <c r="B3263" s="145"/>
      <c r="C3263" s="145"/>
      <c r="E3263" s="146"/>
    </row>
    <row r="3264" spans="1:5" x14ac:dyDescent="0.25">
      <c r="A3264" s="109"/>
      <c r="B3264" s="109"/>
      <c r="C3264" s="110"/>
      <c r="D3264" s="123" t="s">
        <v>2599</v>
      </c>
      <c r="E3264" s="109"/>
    </row>
    <row r="3265" spans="4:4" x14ac:dyDescent="0.25">
      <c r="D3265" s="123" t="s">
        <v>100</v>
      </c>
    </row>
    <row r="3287" spans="1:5" x14ac:dyDescent="0.25">
      <c r="A3287" s="108" t="s">
        <v>0</v>
      </c>
      <c r="B3287" s="144"/>
      <c r="C3287" s="144"/>
      <c r="D3287" s="144"/>
      <c r="E3287" s="144"/>
    </row>
    <row r="3288" spans="1:5" x14ac:dyDescent="0.25">
      <c r="A3288" s="108" t="s">
        <v>1</v>
      </c>
      <c r="B3288" s="109"/>
      <c r="C3288" s="110"/>
      <c r="D3288" s="109"/>
      <c r="E3288" s="109"/>
    </row>
    <row r="3289" spans="1:5" x14ac:dyDescent="0.25">
      <c r="A3289" s="108"/>
      <c r="B3289" s="109"/>
      <c r="C3289" s="110"/>
      <c r="D3289" s="109"/>
      <c r="E3289" s="109"/>
    </row>
    <row r="3290" spans="1:5" x14ac:dyDescent="0.25">
      <c r="A3290" s="111" t="s">
        <v>101</v>
      </c>
      <c r="B3290" s="111"/>
      <c r="C3290" s="111"/>
      <c r="D3290" s="111"/>
      <c r="E3290" s="111"/>
    </row>
    <row r="3291" spans="1:5" x14ac:dyDescent="0.25">
      <c r="A3291" s="575" t="s">
        <v>119</v>
      </c>
      <c r="B3291" s="576"/>
      <c r="C3291" s="576"/>
      <c r="D3291" s="576"/>
      <c r="E3291" s="576"/>
    </row>
    <row r="3292" spans="1:5" x14ac:dyDescent="0.25">
      <c r="A3292" s="110"/>
      <c r="B3292" s="110"/>
      <c r="C3292" s="110"/>
      <c r="D3292" s="110"/>
      <c r="E3292" s="110"/>
    </row>
    <row r="3293" spans="1:5" ht="15.75" thickBot="1" x14ac:dyDescent="0.3">
      <c r="A3293" s="109"/>
      <c r="B3293" s="109"/>
      <c r="C3293" s="110"/>
      <c r="D3293" s="109"/>
      <c r="E3293" s="124" t="s">
        <v>2629</v>
      </c>
    </row>
    <row r="3294" spans="1:5" x14ac:dyDescent="0.25">
      <c r="A3294" s="112" t="s">
        <v>21</v>
      </c>
      <c r="B3294" s="113" t="s">
        <v>96</v>
      </c>
      <c r="C3294" s="113" t="s">
        <v>97</v>
      </c>
      <c r="D3294" s="113" t="s">
        <v>91</v>
      </c>
      <c r="E3294" s="114" t="s">
        <v>15</v>
      </c>
    </row>
    <row r="3295" spans="1:5" x14ac:dyDescent="0.25">
      <c r="A3295" s="115">
        <v>1</v>
      </c>
      <c r="B3295" s="166" t="s">
        <v>941</v>
      </c>
      <c r="C3295" s="167" t="s">
        <v>936</v>
      </c>
      <c r="D3295" s="118"/>
      <c r="E3295" s="119">
        <v>5000</v>
      </c>
    </row>
    <row r="3296" spans="1:5" x14ac:dyDescent="0.25">
      <c r="A3296" s="115">
        <f>A3295+1</f>
        <v>2</v>
      </c>
      <c r="B3296" s="166" t="s">
        <v>2631</v>
      </c>
      <c r="C3296" s="167" t="s">
        <v>2636</v>
      </c>
      <c r="D3296" s="118"/>
      <c r="E3296" s="119">
        <v>12500</v>
      </c>
    </row>
    <row r="3297" spans="1:5" x14ac:dyDescent="0.25">
      <c r="A3297" s="115">
        <f t="shared" ref="A3297:A3319" si="56">A3296+1</f>
        <v>3</v>
      </c>
      <c r="B3297" s="166" t="s">
        <v>2632</v>
      </c>
      <c r="C3297" s="167" t="s">
        <v>2637</v>
      </c>
      <c r="D3297" s="118"/>
      <c r="E3297" s="172">
        <v>5000</v>
      </c>
    </row>
    <row r="3298" spans="1:5" x14ac:dyDescent="0.25">
      <c r="A3298" s="115">
        <f t="shared" si="56"/>
        <v>4</v>
      </c>
      <c r="B3298" s="166" t="s">
        <v>2633</v>
      </c>
      <c r="C3298" s="167" t="s">
        <v>2638</v>
      </c>
      <c r="D3298" s="118"/>
      <c r="E3298" s="172">
        <v>5000</v>
      </c>
    </row>
    <row r="3299" spans="1:5" x14ac:dyDescent="0.25">
      <c r="A3299" s="115">
        <f t="shared" si="56"/>
        <v>5</v>
      </c>
      <c r="B3299" s="166" t="s">
        <v>2634</v>
      </c>
      <c r="C3299" s="167" t="s">
        <v>2639</v>
      </c>
      <c r="D3299" s="118"/>
      <c r="E3299" s="172">
        <v>40000</v>
      </c>
    </row>
    <row r="3300" spans="1:5" x14ac:dyDescent="0.25">
      <c r="A3300" s="115">
        <f t="shared" si="56"/>
        <v>6</v>
      </c>
      <c r="B3300" s="166" t="s">
        <v>2635</v>
      </c>
      <c r="C3300" s="167" t="s">
        <v>773</v>
      </c>
      <c r="D3300" s="118"/>
      <c r="E3300" s="172">
        <v>5000</v>
      </c>
    </row>
    <row r="3301" spans="1:5" x14ac:dyDescent="0.25">
      <c r="A3301" s="115">
        <f t="shared" si="56"/>
        <v>7</v>
      </c>
      <c r="B3301" s="166" t="s">
        <v>288</v>
      </c>
      <c r="C3301" s="167" t="s">
        <v>299</v>
      </c>
      <c r="D3301" s="118"/>
      <c r="E3301" s="172">
        <v>5000</v>
      </c>
    </row>
    <row r="3302" spans="1:5" x14ac:dyDescent="0.25">
      <c r="A3302" s="115">
        <f t="shared" si="56"/>
        <v>8</v>
      </c>
      <c r="B3302" s="166" t="s">
        <v>2644</v>
      </c>
      <c r="C3302" s="167" t="s">
        <v>2640</v>
      </c>
      <c r="D3302" s="118"/>
      <c r="E3302" s="172">
        <v>32500</v>
      </c>
    </row>
    <row r="3303" spans="1:5" x14ac:dyDescent="0.25">
      <c r="A3303" s="115">
        <f t="shared" si="56"/>
        <v>9</v>
      </c>
      <c r="B3303" s="166" t="s">
        <v>2645</v>
      </c>
      <c r="C3303" s="167" t="s">
        <v>2641</v>
      </c>
      <c r="D3303" s="118"/>
      <c r="E3303" s="172">
        <v>12500</v>
      </c>
    </row>
    <row r="3304" spans="1:5" x14ac:dyDescent="0.25">
      <c r="A3304" s="115">
        <f t="shared" si="56"/>
        <v>10</v>
      </c>
      <c r="B3304" s="166" t="s">
        <v>947</v>
      </c>
      <c r="C3304" s="167" t="s">
        <v>953</v>
      </c>
      <c r="D3304" s="118"/>
      <c r="E3304" s="172">
        <v>5000</v>
      </c>
    </row>
    <row r="3305" spans="1:5" x14ac:dyDescent="0.25">
      <c r="A3305" s="115">
        <f t="shared" si="56"/>
        <v>11</v>
      </c>
      <c r="B3305" s="166" t="s">
        <v>319</v>
      </c>
      <c r="C3305" s="167" t="s">
        <v>306</v>
      </c>
      <c r="D3305" s="118"/>
      <c r="E3305" s="172">
        <v>5000</v>
      </c>
    </row>
    <row r="3306" spans="1:5" x14ac:dyDescent="0.25">
      <c r="A3306" s="115">
        <f t="shared" si="56"/>
        <v>12</v>
      </c>
      <c r="B3306" s="166" t="s">
        <v>787</v>
      </c>
      <c r="C3306" s="167" t="s">
        <v>777</v>
      </c>
      <c r="D3306" s="118"/>
      <c r="E3306" s="172">
        <v>5000</v>
      </c>
    </row>
    <row r="3307" spans="1:5" x14ac:dyDescent="0.25">
      <c r="A3307" s="115">
        <f t="shared" si="56"/>
        <v>13</v>
      </c>
      <c r="B3307" s="166" t="s">
        <v>502</v>
      </c>
      <c r="C3307" s="167" t="s">
        <v>495</v>
      </c>
      <c r="D3307" s="118"/>
      <c r="E3307" s="172">
        <v>5000</v>
      </c>
    </row>
    <row r="3308" spans="1:5" x14ac:dyDescent="0.25">
      <c r="A3308" s="115">
        <f t="shared" si="56"/>
        <v>14</v>
      </c>
      <c r="B3308" s="166" t="s">
        <v>2646</v>
      </c>
      <c r="C3308" s="167" t="s">
        <v>2642</v>
      </c>
      <c r="D3308" s="118"/>
      <c r="E3308" s="172">
        <v>7500</v>
      </c>
    </row>
    <row r="3309" spans="1:5" x14ac:dyDescent="0.25">
      <c r="A3309" s="115">
        <f t="shared" si="56"/>
        <v>15</v>
      </c>
      <c r="B3309" s="166" t="s">
        <v>2647</v>
      </c>
      <c r="C3309" s="167" t="s">
        <v>2643</v>
      </c>
      <c r="D3309" s="118"/>
      <c r="E3309" s="172">
        <v>102500</v>
      </c>
    </row>
    <row r="3310" spans="1:5" x14ac:dyDescent="0.25">
      <c r="A3310" s="115">
        <f t="shared" si="56"/>
        <v>16</v>
      </c>
      <c r="B3310" s="166" t="s">
        <v>616</v>
      </c>
      <c r="C3310" s="167" t="s">
        <v>607</v>
      </c>
      <c r="D3310" s="118"/>
      <c r="E3310" s="172">
        <v>5000</v>
      </c>
    </row>
    <row r="3311" spans="1:5" x14ac:dyDescent="0.25">
      <c r="A3311" s="115">
        <f t="shared" si="56"/>
        <v>17</v>
      </c>
      <c r="B3311" s="166" t="s">
        <v>790</v>
      </c>
      <c r="C3311" s="167" t="s">
        <v>793</v>
      </c>
      <c r="D3311" s="118"/>
      <c r="E3311" s="172">
        <v>5000</v>
      </c>
    </row>
    <row r="3312" spans="1:5" x14ac:dyDescent="0.25">
      <c r="A3312" s="115">
        <f t="shared" si="56"/>
        <v>18</v>
      </c>
      <c r="B3312" s="166" t="s">
        <v>2651</v>
      </c>
      <c r="C3312" s="167" t="s">
        <v>2648</v>
      </c>
      <c r="D3312" s="118"/>
      <c r="E3312" s="172">
        <v>22500</v>
      </c>
    </row>
    <row r="3313" spans="1:5" x14ac:dyDescent="0.25">
      <c r="A3313" s="115">
        <f t="shared" si="56"/>
        <v>19</v>
      </c>
      <c r="B3313" s="166" t="s">
        <v>2652</v>
      </c>
      <c r="C3313" s="167" t="s">
        <v>2649</v>
      </c>
      <c r="D3313" s="118"/>
      <c r="E3313" s="172">
        <v>5000</v>
      </c>
    </row>
    <row r="3314" spans="1:5" x14ac:dyDescent="0.25">
      <c r="A3314" s="115">
        <f t="shared" si="56"/>
        <v>20</v>
      </c>
      <c r="B3314" s="166" t="s">
        <v>2653</v>
      </c>
      <c r="C3314" s="167" t="s">
        <v>2650</v>
      </c>
      <c r="D3314" s="118"/>
      <c r="E3314" s="172">
        <v>5000</v>
      </c>
    </row>
    <row r="3315" spans="1:5" x14ac:dyDescent="0.25">
      <c r="A3315" s="115">
        <f t="shared" si="56"/>
        <v>21</v>
      </c>
      <c r="B3315" s="166" t="s">
        <v>1684</v>
      </c>
      <c r="C3315" s="167" t="s">
        <v>1689</v>
      </c>
      <c r="D3315" s="118"/>
      <c r="E3315" s="172">
        <v>5000</v>
      </c>
    </row>
    <row r="3316" spans="1:5" x14ac:dyDescent="0.25">
      <c r="A3316" s="115">
        <f t="shared" si="56"/>
        <v>22</v>
      </c>
      <c r="B3316" s="166" t="s">
        <v>390</v>
      </c>
      <c r="C3316" s="167" t="s">
        <v>399</v>
      </c>
      <c r="D3316" s="118"/>
      <c r="E3316" s="172">
        <v>5000</v>
      </c>
    </row>
    <row r="3317" spans="1:5" x14ac:dyDescent="0.25">
      <c r="A3317" s="115">
        <f t="shared" si="56"/>
        <v>23</v>
      </c>
      <c r="B3317" s="166" t="s">
        <v>319</v>
      </c>
      <c r="C3317" s="167" t="s">
        <v>337</v>
      </c>
      <c r="D3317" s="118"/>
      <c r="E3317" s="172">
        <v>5000</v>
      </c>
    </row>
    <row r="3318" spans="1:5" x14ac:dyDescent="0.25">
      <c r="A3318" s="115">
        <f t="shared" si="56"/>
        <v>24</v>
      </c>
      <c r="B3318" s="166" t="s">
        <v>330</v>
      </c>
      <c r="C3318" s="167" t="s">
        <v>338</v>
      </c>
      <c r="D3318" s="118"/>
      <c r="E3318" s="172">
        <v>5000</v>
      </c>
    </row>
    <row r="3319" spans="1:5" x14ac:dyDescent="0.25">
      <c r="A3319" s="115">
        <f t="shared" si="56"/>
        <v>25</v>
      </c>
      <c r="B3319" s="166" t="s">
        <v>974</v>
      </c>
      <c r="C3319" s="167" t="s">
        <v>2654</v>
      </c>
      <c r="D3319" s="118"/>
      <c r="E3319" s="172">
        <v>12500</v>
      </c>
    </row>
    <row r="3320" spans="1:5" x14ac:dyDescent="0.25">
      <c r="A3320" s="169"/>
      <c r="B3320" s="166"/>
      <c r="C3320" s="167"/>
      <c r="D3320" s="170"/>
      <c r="E3320" s="171"/>
    </row>
    <row r="3321" spans="1:5" ht="15.75" thickBot="1" x14ac:dyDescent="0.3">
      <c r="A3321" s="120"/>
      <c r="B3321" s="577" t="s">
        <v>15</v>
      </c>
      <c r="C3321" s="578"/>
      <c r="D3321" s="579"/>
      <c r="E3321" s="121">
        <f>SUM(E3295:E3319)</f>
        <v>327500</v>
      </c>
    </row>
    <row r="3322" spans="1:5" x14ac:dyDescent="0.25">
      <c r="A3322" s="110"/>
      <c r="B3322" s="145"/>
      <c r="C3322" s="145"/>
      <c r="E3322" s="146"/>
    </row>
    <row r="3323" spans="1:5" x14ac:dyDescent="0.25">
      <c r="A3323" s="109"/>
      <c r="B3323" s="109"/>
      <c r="C3323" s="110"/>
      <c r="D3323" s="123" t="s">
        <v>2630</v>
      </c>
      <c r="E3323" s="109"/>
    </row>
    <row r="3324" spans="1:5" x14ac:dyDescent="0.25">
      <c r="D3324" s="123" t="s">
        <v>100</v>
      </c>
    </row>
    <row r="3340" spans="1:5" x14ac:dyDescent="0.25">
      <c r="A3340" s="108" t="s">
        <v>0</v>
      </c>
      <c r="B3340" s="144"/>
      <c r="C3340" s="144"/>
      <c r="D3340" s="144"/>
      <c r="E3340" s="144"/>
    </row>
    <row r="3341" spans="1:5" x14ac:dyDescent="0.25">
      <c r="A3341" s="108" t="s">
        <v>1</v>
      </c>
      <c r="B3341" s="109"/>
      <c r="C3341" s="110"/>
      <c r="D3341" s="109"/>
      <c r="E3341" s="109"/>
    </row>
    <row r="3342" spans="1:5" x14ac:dyDescent="0.25">
      <c r="A3342" s="108"/>
      <c r="B3342" s="109"/>
      <c r="C3342" s="110"/>
      <c r="D3342" s="109"/>
      <c r="E3342" s="109"/>
    </row>
    <row r="3343" spans="1:5" x14ac:dyDescent="0.25">
      <c r="A3343" s="111" t="s">
        <v>101</v>
      </c>
      <c r="B3343" s="111"/>
      <c r="C3343" s="111"/>
      <c r="D3343" s="111"/>
      <c r="E3343" s="111"/>
    </row>
    <row r="3344" spans="1:5" x14ac:dyDescent="0.25">
      <c r="A3344" s="575" t="s">
        <v>119</v>
      </c>
      <c r="B3344" s="576"/>
      <c r="C3344" s="576"/>
      <c r="D3344" s="576"/>
      <c r="E3344" s="576"/>
    </row>
    <row r="3345" spans="1:5" x14ac:dyDescent="0.25">
      <c r="A3345" s="110"/>
      <c r="B3345" s="110"/>
      <c r="C3345" s="110"/>
      <c r="D3345" s="110"/>
      <c r="E3345" s="110"/>
    </row>
    <row r="3346" spans="1:5" ht="15.75" thickBot="1" x14ac:dyDescent="0.3">
      <c r="A3346" s="109"/>
      <c r="B3346" s="109"/>
      <c r="C3346" s="110"/>
      <c r="D3346" s="109"/>
      <c r="E3346" s="124" t="s">
        <v>2655</v>
      </c>
    </row>
    <row r="3347" spans="1:5" x14ac:dyDescent="0.25">
      <c r="A3347" s="112" t="s">
        <v>21</v>
      </c>
      <c r="B3347" s="113" t="s">
        <v>96</v>
      </c>
      <c r="C3347" s="113" t="s">
        <v>97</v>
      </c>
      <c r="D3347" s="113" t="s">
        <v>91</v>
      </c>
      <c r="E3347" s="114" t="s">
        <v>15</v>
      </c>
    </row>
    <row r="3348" spans="1:5" x14ac:dyDescent="0.25">
      <c r="A3348" s="115">
        <v>1</v>
      </c>
      <c r="B3348" s="166" t="s">
        <v>2657</v>
      </c>
      <c r="C3348" s="167" t="s">
        <v>2661</v>
      </c>
      <c r="D3348" s="118"/>
      <c r="E3348" s="119">
        <v>60000</v>
      </c>
    </row>
    <row r="3349" spans="1:5" x14ac:dyDescent="0.25">
      <c r="A3349" s="115">
        <f>A3348+1</f>
        <v>2</v>
      </c>
      <c r="B3349" s="166" t="s">
        <v>2658</v>
      </c>
      <c r="C3349" s="167" t="s">
        <v>2662</v>
      </c>
      <c r="D3349" s="118"/>
      <c r="E3349" s="119">
        <v>5000</v>
      </c>
    </row>
    <row r="3350" spans="1:5" x14ac:dyDescent="0.25">
      <c r="A3350" s="115">
        <f t="shared" ref="A3350:A3366" si="57">A3349+1</f>
        <v>3</v>
      </c>
      <c r="B3350" s="166" t="s">
        <v>204</v>
      </c>
      <c r="C3350" s="167" t="s">
        <v>2663</v>
      </c>
      <c r="D3350" s="118"/>
      <c r="E3350" s="172">
        <v>5000</v>
      </c>
    </row>
    <row r="3351" spans="1:5" x14ac:dyDescent="0.25">
      <c r="A3351" s="115">
        <f t="shared" si="57"/>
        <v>4</v>
      </c>
      <c r="B3351" s="166" t="s">
        <v>2659</v>
      </c>
      <c r="C3351" s="167" t="s">
        <v>2664</v>
      </c>
      <c r="D3351" s="118"/>
      <c r="E3351" s="172">
        <v>5000</v>
      </c>
    </row>
    <row r="3352" spans="1:5" x14ac:dyDescent="0.25">
      <c r="A3352" s="115">
        <f t="shared" si="57"/>
        <v>5</v>
      </c>
      <c r="B3352" s="166" t="s">
        <v>2660</v>
      </c>
      <c r="C3352" s="167" t="s">
        <v>2665</v>
      </c>
      <c r="D3352" s="118"/>
      <c r="E3352" s="172">
        <v>5000</v>
      </c>
    </row>
    <row r="3353" spans="1:5" x14ac:dyDescent="0.25">
      <c r="A3353" s="115">
        <f t="shared" si="57"/>
        <v>6</v>
      </c>
      <c r="B3353" s="166" t="s">
        <v>141</v>
      </c>
      <c r="C3353" s="167" t="s">
        <v>2666</v>
      </c>
      <c r="D3353" s="118"/>
      <c r="E3353" s="172">
        <v>72500</v>
      </c>
    </row>
    <row r="3354" spans="1:5" x14ac:dyDescent="0.25">
      <c r="A3354" s="115">
        <f t="shared" si="57"/>
        <v>7</v>
      </c>
      <c r="B3354" s="166" t="s">
        <v>2673</v>
      </c>
      <c r="C3354" s="167" t="s">
        <v>2667</v>
      </c>
      <c r="D3354" s="118"/>
      <c r="E3354" s="172">
        <v>30000</v>
      </c>
    </row>
    <row r="3355" spans="1:5" x14ac:dyDescent="0.25">
      <c r="A3355" s="115">
        <f t="shared" si="57"/>
        <v>8</v>
      </c>
      <c r="B3355" s="166" t="s">
        <v>2674</v>
      </c>
      <c r="C3355" s="167" t="s">
        <v>2668</v>
      </c>
      <c r="D3355" s="118"/>
      <c r="E3355" s="172">
        <v>5000</v>
      </c>
    </row>
    <row r="3356" spans="1:5" x14ac:dyDescent="0.25">
      <c r="A3356" s="115">
        <f t="shared" si="57"/>
        <v>9</v>
      </c>
      <c r="B3356" s="166" t="s">
        <v>2675</v>
      </c>
      <c r="C3356" s="167" t="s">
        <v>2669</v>
      </c>
      <c r="D3356" s="118"/>
      <c r="E3356" s="172">
        <v>5000</v>
      </c>
    </row>
    <row r="3357" spans="1:5" x14ac:dyDescent="0.25">
      <c r="A3357" s="115">
        <f t="shared" si="57"/>
        <v>10</v>
      </c>
      <c r="B3357" s="166" t="s">
        <v>2676</v>
      </c>
      <c r="C3357" s="167" t="s">
        <v>2670</v>
      </c>
      <c r="D3357" s="118"/>
      <c r="E3357" s="172">
        <v>52500</v>
      </c>
    </row>
    <row r="3358" spans="1:5" x14ac:dyDescent="0.25">
      <c r="A3358" s="115">
        <f t="shared" si="57"/>
        <v>11</v>
      </c>
      <c r="B3358" s="166" t="s">
        <v>2677</v>
      </c>
      <c r="C3358" s="167" t="s">
        <v>2671</v>
      </c>
      <c r="D3358" s="118"/>
      <c r="E3358" s="172">
        <v>22500</v>
      </c>
    </row>
    <row r="3359" spans="1:5" x14ac:dyDescent="0.25">
      <c r="A3359" s="115">
        <f t="shared" si="57"/>
        <v>12</v>
      </c>
      <c r="B3359" s="166" t="s">
        <v>969</v>
      </c>
      <c r="C3359" s="167" t="s">
        <v>962</v>
      </c>
      <c r="D3359" s="118"/>
      <c r="E3359" s="172">
        <v>5000</v>
      </c>
    </row>
    <row r="3360" spans="1:5" x14ac:dyDescent="0.25">
      <c r="A3360" s="115">
        <f t="shared" si="57"/>
        <v>13</v>
      </c>
      <c r="B3360" s="166" t="s">
        <v>1317</v>
      </c>
      <c r="C3360" s="167" t="s">
        <v>2672</v>
      </c>
      <c r="D3360" s="118"/>
      <c r="E3360" s="172">
        <v>12500</v>
      </c>
    </row>
    <row r="3361" spans="1:5" x14ac:dyDescent="0.25">
      <c r="A3361" s="115">
        <f t="shared" si="57"/>
        <v>14</v>
      </c>
      <c r="B3361" s="166" t="s">
        <v>2678</v>
      </c>
      <c r="C3361" s="167" t="s">
        <v>2682</v>
      </c>
      <c r="D3361" s="118"/>
      <c r="E3361" s="172">
        <v>5000</v>
      </c>
    </row>
    <row r="3362" spans="1:5" x14ac:dyDescent="0.25">
      <c r="A3362" s="115">
        <f t="shared" si="57"/>
        <v>15</v>
      </c>
      <c r="B3362" s="166" t="s">
        <v>2679</v>
      </c>
      <c r="C3362" s="167" t="s">
        <v>2683</v>
      </c>
      <c r="D3362" s="118"/>
      <c r="E3362" s="172">
        <v>5000</v>
      </c>
    </row>
    <row r="3363" spans="1:5" x14ac:dyDescent="0.25">
      <c r="A3363" s="115">
        <f t="shared" si="57"/>
        <v>16</v>
      </c>
      <c r="B3363" s="166" t="s">
        <v>2680</v>
      </c>
      <c r="C3363" s="167" t="s">
        <v>2684</v>
      </c>
      <c r="D3363" s="118"/>
      <c r="E3363" s="172">
        <v>5000</v>
      </c>
    </row>
    <row r="3364" spans="1:5" x14ac:dyDescent="0.25">
      <c r="A3364" s="115">
        <f t="shared" si="57"/>
        <v>17</v>
      </c>
      <c r="B3364" s="166" t="s">
        <v>1183</v>
      </c>
      <c r="C3364" s="167" t="s">
        <v>1190</v>
      </c>
      <c r="D3364" s="118"/>
      <c r="E3364" s="172">
        <v>5000</v>
      </c>
    </row>
    <row r="3365" spans="1:5" x14ac:dyDescent="0.25">
      <c r="A3365" s="115">
        <f t="shared" si="57"/>
        <v>18</v>
      </c>
      <c r="B3365" s="166" t="s">
        <v>2681</v>
      </c>
      <c r="C3365" s="167" t="s">
        <v>2685</v>
      </c>
      <c r="D3365" s="118"/>
      <c r="E3365" s="172">
        <v>12500</v>
      </c>
    </row>
    <row r="3366" spans="1:5" x14ac:dyDescent="0.25">
      <c r="A3366" s="115">
        <f t="shared" si="57"/>
        <v>19</v>
      </c>
      <c r="B3366" s="166" t="s">
        <v>1350</v>
      </c>
      <c r="C3366" s="167" t="s">
        <v>1343</v>
      </c>
      <c r="D3366" s="118"/>
      <c r="E3366" s="172">
        <v>5000</v>
      </c>
    </row>
    <row r="3367" spans="1:5" x14ac:dyDescent="0.25">
      <c r="A3367" s="169"/>
      <c r="B3367" s="166"/>
      <c r="C3367" s="167"/>
      <c r="D3367" s="170"/>
      <c r="E3367" s="171"/>
    </row>
    <row r="3368" spans="1:5" ht="15.75" thickBot="1" x14ac:dyDescent="0.3">
      <c r="A3368" s="120"/>
      <c r="B3368" s="577" t="s">
        <v>15</v>
      </c>
      <c r="C3368" s="578"/>
      <c r="D3368" s="579"/>
      <c r="E3368" s="121">
        <f>SUM(E3348:E3366)</f>
        <v>322500</v>
      </c>
    </row>
    <row r="3369" spans="1:5" x14ac:dyDescent="0.25">
      <c r="A3369" s="110"/>
      <c r="B3369" s="145"/>
      <c r="C3369" s="145"/>
      <c r="E3369" s="146"/>
    </row>
    <row r="3370" spans="1:5" x14ac:dyDescent="0.25">
      <c r="A3370" s="109"/>
      <c r="B3370" s="109"/>
      <c r="C3370" s="110"/>
      <c r="D3370" s="123" t="s">
        <v>2656</v>
      </c>
      <c r="E3370" s="109"/>
    </row>
    <row r="3371" spans="1:5" x14ac:dyDescent="0.25">
      <c r="D3371" s="123" t="s">
        <v>100</v>
      </c>
    </row>
    <row r="3393" spans="1:5" x14ac:dyDescent="0.25">
      <c r="A3393" s="108" t="s">
        <v>0</v>
      </c>
      <c r="B3393" s="144"/>
      <c r="C3393" s="144"/>
      <c r="D3393" s="144"/>
      <c r="E3393" s="144"/>
    </row>
    <row r="3394" spans="1:5" x14ac:dyDescent="0.25">
      <c r="A3394" s="108" t="s">
        <v>1</v>
      </c>
      <c r="B3394" s="109"/>
      <c r="C3394" s="110"/>
      <c r="D3394" s="109"/>
      <c r="E3394" s="109"/>
    </row>
    <row r="3395" spans="1:5" x14ac:dyDescent="0.25">
      <c r="A3395" s="108"/>
      <c r="B3395" s="109"/>
      <c r="C3395" s="110"/>
      <c r="D3395" s="109"/>
      <c r="E3395" s="109"/>
    </row>
    <row r="3396" spans="1:5" x14ac:dyDescent="0.25">
      <c r="A3396" s="111" t="s">
        <v>101</v>
      </c>
      <c r="B3396" s="111"/>
      <c r="C3396" s="111"/>
      <c r="D3396" s="111"/>
      <c r="E3396" s="111"/>
    </row>
    <row r="3397" spans="1:5" x14ac:dyDescent="0.25">
      <c r="A3397" s="575" t="s">
        <v>119</v>
      </c>
      <c r="B3397" s="576"/>
      <c r="C3397" s="576"/>
      <c r="D3397" s="576"/>
      <c r="E3397" s="576"/>
    </row>
    <row r="3398" spans="1:5" x14ac:dyDescent="0.25">
      <c r="A3398" s="110"/>
      <c r="B3398" s="110"/>
      <c r="C3398" s="110"/>
      <c r="D3398" s="110"/>
      <c r="E3398" s="110"/>
    </row>
    <row r="3399" spans="1:5" ht="15.75" thickBot="1" x14ac:dyDescent="0.3">
      <c r="A3399" s="109"/>
      <c r="B3399" s="109"/>
      <c r="C3399" s="110"/>
      <c r="D3399" s="109"/>
      <c r="E3399" s="124" t="s">
        <v>2686</v>
      </c>
    </row>
    <row r="3400" spans="1:5" x14ac:dyDescent="0.25">
      <c r="A3400" s="112" t="s">
        <v>21</v>
      </c>
      <c r="B3400" s="113" t="s">
        <v>96</v>
      </c>
      <c r="C3400" s="113" t="s">
        <v>97</v>
      </c>
      <c r="D3400" s="113" t="s">
        <v>91</v>
      </c>
      <c r="E3400" s="114" t="s">
        <v>15</v>
      </c>
    </row>
    <row r="3401" spans="1:5" x14ac:dyDescent="0.25">
      <c r="A3401" s="115">
        <v>1</v>
      </c>
      <c r="B3401" s="166" t="s">
        <v>2688</v>
      </c>
      <c r="C3401" s="167" t="s">
        <v>2690</v>
      </c>
      <c r="D3401" s="118"/>
      <c r="E3401" s="119">
        <v>12500</v>
      </c>
    </row>
    <row r="3402" spans="1:5" x14ac:dyDescent="0.25">
      <c r="A3402" s="115">
        <f>A3401+1</f>
        <v>2</v>
      </c>
      <c r="B3402" s="166" t="s">
        <v>2689</v>
      </c>
      <c r="C3402" s="167" t="s">
        <v>653</v>
      </c>
      <c r="D3402" s="118"/>
      <c r="E3402" s="119">
        <v>5000</v>
      </c>
    </row>
    <row r="3403" spans="1:5" x14ac:dyDescent="0.25">
      <c r="A3403" s="115">
        <f t="shared" ref="A3403:A3436" si="58">A3402+1</f>
        <v>3</v>
      </c>
      <c r="B3403" s="166" t="s">
        <v>554</v>
      </c>
      <c r="C3403" s="167" t="s">
        <v>547</v>
      </c>
      <c r="D3403" s="118"/>
      <c r="E3403" s="172">
        <v>5000</v>
      </c>
    </row>
    <row r="3404" spans="1:5" x14ac:dyDescent="0.25">
      <c r="A3404" s="115">
        <f t="shared" si="58"/>
        <v>4</v>
      </c>
      <c r="B3404" s="166" t="s">
        <v>2696</v>
      </c>
      <c r="C3404" s="167" t="s">
        <v>2691</v>
      </c>
      <c r="D3404" s="118"/>
      <c r="E3404" s="172">
        <v>12500</v>
      </c>
    </row>
    <row r="3405" spans="1:5" x14ac:dyDescent="0.25">
      <c r="A3405" s="115">
        <f t="shared" si="58"/>
        <v>5</v>
      </c>
      <c r="B3405" s="166" t="s">
        <v>2121</v>
      </c>
      <c r="C3405" s="167" t="s">
        <v>2128</v>
      </c>
      <c r="D3405" s="118"/>
      <c r="E3405" s="172">
        <v>5000</v>
      </c>
    </row>
    <row r="3406" spans="1:5" x14ac:dyDescent="0.25">
      <c r="A3406" s="115">
        <f t="shared" si="58"/>
        <v>6</v>
      </c>
      <c r="B3406" s="166" t="s">
        <v>2697</v>
      </c>
      <c r="C3406" s="167" t="s">
        <v>2692</v>
      </c>
      <c r="D3406" s="118"/>
      <c r="E3406" s="172">
        <v>62500</v>
      </c>
    </row>
    <row r="3407" spans="1:5" x14ac:dyDescent="0.25">
      <c r="A3407" s="115">
        <f t="shared" si="58"/>
        <v>7</v>
      </c>
      <c r="B3407" s="166" t="s">
        <v>2698</v>
      </c>
      <c r="C3407" s="167" t="s">
        <v>2693</v>
      </c>
      <c r="D3407" s="118"/>
      <c r="E3407" s="172">
        <v>90000</v>
      </c>
    </row>
    <row r="3408" spans="1:5" x14ac:dyDescent="0.25">
      <c r="A3408" s="115">
        <f t="shared" si="58"/>
        <v>8</v>
      </c>
      <c r="B3408" s="166" t="s">
        <v>873</v>
      </c>
      <c r="C3408" s="167" t="s">
        <v>863</v>
      </c>
      <c r="D3408" s="118"/>
      <c r="E3408" s="172">
        <v>5000</v>
      </c>
    </row>
    <row r="3409" spans="1:5" x14ac:dyDescent="0.25">
      <c r="A3409" s="115">
        <f t="shared" si="58"/>
        <v>9</v>
      </c>
      <c r="B3409" s="166" t="s">
        <v>2699</v>
      </c>
      <c r="C3409" s="167" t="s">
        <v>2694</v>
      </c>
      <c r="D3409" s="118"/>
      <c r="E3409" s="172">
        <v>5000</v>
      </c>
    </row>
    <row r="3410" spans="1:5" x14ac:dyDescent="0.25">
      <c r="A3410" s="115">
        <f t="shared" si="58"/>
        <v>10</v>
      </c>
      <c r="B3410" s="166" t="s">
        <v>378</v>
      </c>
      <c r="C3410" s="167" t="s">
        <v>369</v>
      </c>
      <c r="D3410" s="118"/>
      <c r="E3410" s="172">
        <v>5000</v>
      </c>
    </row>
    <row r="3411" spans="1:5" x14ac:dyDescent="0.25">
      <c r="A3411" s="115">
        <f t="shared" si="58"/>
        <v>11</v>
      </c>
      <c r="B3411" s="166" t="s">
        <v>2700</v>
      </c>
      <c r="C3411" s="167" t="s">
        <v>2695</v>
      </c>
      <c r="D3411" s="118"/>
      <c r="E3411" s="172">
        <v>52500</v>
      </c>
    </row>
    <row r="3412" spans="1:5" x14ac:dyDescent="0.25">
      <c r="A3412" s="115">
        <f t="shared" si="58"/>
        <v>12</v>
      </c>
      <c r="B3412" s="166" t="s">
        <v>2701</v>
      </c>
      <c r="C3412" s="167" t="s">
        <v>2707</v>
      </c>
      <c r="D3412" s="118"/>
      <c r="E3412" s="172">
        <v>5000</v>
      </c>
    </row>
    <row r="3413" spans="1:5" x14ac:dyDescent="0.25">
      <c r="A3413" s="115">
        <f t="shared" si="58"/>
        <v>13</v>
      </c>
      <c r="B3413" s="166" t="s">
        <v>1835</v>
      </c>
      <c r="C3413" s="167" t="s">
        <v>1843</v>
      </c>
      <c r="D3413" s="118"/>
      <c r="E3413" s="172">
        <v>5000</v>
      </c>
    </row>
    <row r="3414" spans="1:5" x14ac:dyDescent="0.25">
      <c r="A3414" s="115">
        <f t="shared" si="58"/>
        <v>14</v>
      </c>
      <c r="B3414" s="166" t="s">
        <v>2031</v>
      </c>
      <c r="C3414" s="167" t="s">
        <v>2709</v>
      </c>
      <c r="D3414" s="118"/>
      <c r="E3414" s="172">
        <v>12500</v>
      </c>
    </row>
    <row r="3415" spans="1:5" x14ac:dyDescent="0.25">
      <c r="A3415" s="115">
        <f t="shared" si="58"/>
        <v>15</v>
      </c>
      <c r="B3415" s="166" t="s">
        <v>2702</v>
      </c>
      <c r="C3415" s="167" t="s">
        <v>2708</v>
      </c>
      <c r="D3415" s="118"/>
      <c r="E3415" s="172">
        <v>12500</v>
      </c>
    </row>
    <row r="3416" spans="1:5" x14ac:dyDescent="0.25">
      <c r="A3416" s="115">
        <f t="shared" si="58"/>
        <v>16</v>
      </c>
      <c r="B3416" s="166" t="s">
        <v>483</v>
      </c>
      <c r="C3416" s="167" t="s">
        <v>492</v>
      </c>
      <c r="D3416" s="118"/>
      <c r="E3416" s="172">
        <v>5000</v>
      </c>
    </row>
    <row r="3417" spans="1:5" x14ac:dyDescent="0.25">
      <c r="A3417" s="115">
        <f t="shared" si="58"/>
        <v>17</v>
      </c>
      <c r="B3417" s="166" t="s">
        <v>1319</v>
      </c>
      <c r="C3417" s="167" t="s">
        <v>1332</v>
      </c>
      <c r="D3417" s="118"/>
      <c r="E3417" s="172">
        <v>5000</v>
      </c>
    </row>
    <row r="3418" spans="1:5" x14ac:dyDescent="0.25">
      <c r="A3418" s="115">
        <f t="shared" si="58"/>
        <v>18</v>
      </c>
      <c r="B3418" s="166" t="s">
        <v>586</v>
      </c>
      <c r="C3418" s="167" t="s">
        <v>595</v>
      </c>
      <c r="D3418" s="118"/>
      <c r="E3418" s="172">
        <v>5000</v>
      </c>
    </row>
    <row r="3419" spans="1:5" x14ac:dyDescent="0.25">
      <c r="A3419" s="115">
        <f t="shared" si="58"/>
        <v>19</v>
      </c>
      <c r="B3419" s="166" t="s">
        <v>2703</v>
      </c>
      <c r="C3419" s="167" t="s">
        <v>2710</v>
      </c>
      <c r="D3419" s="118"/>
      <c r="E3419" s="172">
        <v>7500</v>
      </c>
    </row>
    <row r="3420" spans="1:5" x14ac:dyDescent="0.25">
      <c r="A3420" s="115">
        <f t="shared" si="58"/>
        <v>20</v>
      </c>
      <c r="B3420" s="166" t="s">
        <v>2704</v>
      </c>
      <c r="C3420" s="167" t="s">
        <v>2711</v>
      </c>
      <c r="D3420" s="118"/>
      <c r="E3420" s="172">
        <v>5000</v>
      </c>
    </row>
    <row r="3421" spans="1:5" x14ac:dyDescent="0.25">
      <c r="A3421" s="115">
        <f t="shared" si="58"/>
        <v>21</v>
      </c>
      <c r="B3421" s="166" t="s">
        <v>2705</v>
      </c>
      <c r="C3421" s="167" t="s">
        <v>2712</v>
      </c>
      <c r="D3421" s="118"/>
      <c r="E3421" s="172">
        <v>12500</v>
      </c>
    </row>
    <row r="3422" spans="1:5" x14ac:dyDescent="0.25">
      <c r="A3422" s="115">
        <f t="shared" si="58"/>
        <v>22</v>
      </c>
      <c r="B3422" s="166" t="s">
        <v>2706</v>
      </c>
      <c r="C3422" s="167" t="s">
        <v>893</v>
      </c>
      <c r="D3422" s="118"/>
      <c r="E3422" s="172">
        <v>5000</v>
      </c>
    </row>
    <row r="3423" spans="1:5" x14ac:dyDescent="0.25">
      <c r="A3423" s="115">
        <f t="shared" si="58"/>
        <v>23</v>
      </c>
      <c r="B3423" s="166" t="s">
        <v>883</v>
      </c>
      <c r="C3423" s="167" t="s">
        <v>894</v>
      </c>
      <c r="D3423" s="118"/>
      <c r="E3423" s="172">
        <v>5000</v>
      </c>
    </row>
    <row r="3424" spans="1:5" x14ac:dyDescent="0.25">
      <c r="A3424" s="115">
        <f t="shared" si="58"/>
        <v>24</v>
      </c>
      <c r="B3424" s="166" t="s">
        <v>2718</v>
      </c>
      <c r="C3424" s="167" t="s">
        <v>2713</v>
      </c>
      <c r="D3424" s="118"/>
      <c r="E3424" s="172">
        <v>40000</v>
      </c>
    </row>
    <row r="3425" spans="1:5" x14ac:dyDescent="0.25">
      <c r="A3425" s="115">
        <f t="shared" si="58"/>
        <v>25</v>
      </c>
      <c r="B3425" s="166" t="s">
        <v>698</v>
      </c>
      <c r="C3425" s="167" t="s">
        <v>688</v>
      </c>
      <c r="D3425" s="118"/>
      <c r="E3425" s="172">
        <v>5000</v>
      </c>
    </row>
    <row r="3426" spans="1:5" x14ac:dyDescent="0.25">
      <c r="A3426" s="115">
        <f t="shared" si="58"/>
        <v>26</v>
      </c>
      <c r="B3426" s="166" t="s">
        <v>2697</v>
      </c>
      <c r="C3426" s="167" t="s">
        <v>2714</v>
      </c>
      <c r="D3426" s="118"/>
      <c r="E3426" s="172">
        <v>62500</v>
      </c>
    </row>
    <row r="3427" spans="1:5" x14ac:dyDescent="0.25">
      <c r="A3427" s="115">
        <f t="shared" si="58"/>
        <v>27</v>
      </c>
      <c r="B3427" s="166" t="s">
        <v>2719</v>
      </c>
      <c r="C3427" s="167" t="s">
        <v>2715</v>
      </c>
      <c r="D3427" s="118"/>
      <c r="E3427" s="172">
        <v>5000</v>
      </c>
    </row>
    <row r="3428" spans="1:5" x14ac:dyDescent="0.25">
      <c r="A3428" s="115">
        <f t="shared" si="58"/>
        <v>28</v>
      </c>
      <c r="B3428" s="166" t="s">
        <v>2720</v>
      </c>
      <c r="C3428" s="167" t="s">
        <v>2716</v>
      </c>
      <c r="D3428" s="118"/>
      <c r="E3428" s="172">
        <v>12500</v>
      </c>
    </row>
    <row r="3429" spans="1:5" x14ac:dyDescent="0.25">
      <c r="A3429" s="115">
        <f t="shared" si="58"/>
        <v>29</v>
      </c>
      <c r="B3429" s="166" t="s">
        <v>210</v>
      </c>
      <c r="C3429" s="167" t="s">
        <v>202</v>
      </c>
      <c r="D3429" s="118"/>
      <c r="E3429" s="172">
        <v>5000</v>
      </c>
    </row>
    <row r="3430" spans="1:5" x14ac:dyDescent="0.25">
      <c r="A3430" s="115">
        <f t="shared" si="58"/>
        <v>30</v>
      </c>
      <c r="B3430" s="166" t="s">
        <v>742</v>
      </c>
      <c r="C3430" s="167" t="s">
        <v>747</v>
      </c>
      <c r="D3430" s="118"/>
      <c r="E3430" s="172">
        <v>5000</v>
      </c>
    </row>
    <row r="3431" spans="1:5" x14ac:dyDescent="0.25">
      <c r="A3431" s="115">
        <f t="shared" si="58"/>
        <v>31</v>
      </c>
      <c r="B3431" s="166" t="s">
        <v>2721</v>
      </c>
      <c r="C3431" s="167" t="s">
        <v>2717</v>
      </c>
      <c r="D3431" s="118"/>
      <c r="E3431" s="172">
        <v>5000</v>
      </c>
    </row>
    <row r="3432" spans="1:5" x14ac:dyDescent="0.25">
      <c r="A3432" s="115">
        <f t="shared" si="58"/>
        <v>32</v>
      </c>
      <c r="B3432" s="166" t="s">
        <v>2722</v>
      </c>
      <c r="C3432" s="167" t="s">
        <v>2726</v>
      </c>
      <c r="D3432" s="118"/>
      <c r="E3432" s="172">
        <v>5000</v>
      </c>
    </row>
    <row r="3433" spans="1:5" x14ac:dyDescent="0.25">
      <c r="A3433" s="115">
        <f t="shared" si="58"/>
        <v>33</v>
      </c>
      <c r="B3433" s="166" t="s">
        <v>2723</v>
      </c>
      <c r="C3433" s="167" t="s">
        <v>2727</v>
      </c>
      <c r="D3433" s="118"/>
      <c r="E3433" s="172">
        <v>102500</v>
      </c>
    </row>
    <row r="3434" spans="1:5" x14ac:dyDescent="0.25">
      <c r="A3434" s="115">
        <f t="shared" si="58"/>
        <v>34</v>
      </c>
      <c r="B3434" s="166" t="s">
        <v>922</v>
      </c>
      <c r="C3434" s="167" t="s">
        <v>916</v>
      </c>
      <c r="D3434" s="118"/>
      <c r="E3434" s="172">
        <v>5000</v>
      </c>
    </row>
    <row r="3435" spans="1:5" x14ac:dyDescent="0.25">
      <c r="A3435" s="115">
        <f t="shared" si="58"/>
        <v>35</v>
      </c>
      <c r="B3435" s="166" t="s">
        <v>2724</v>
      </c>
      <c r="C3435" s="167" t="s">
        <v>2728</v>
      </c>
      <c r="D3435" s="118"/>
      <c r="E3435" s="172">
        <v>32500</v>
      </c>
    </row>
    <row r="3436" spans="1:5" x14ac:dyDescent="0.25">
      <c r="A3436" s="115">
        <f t="shared" si="58"/>
        <v>36</v>
      </c>
      <c r="B3436" s="166" t="s">
        <v>2725</v>
      </c>
      <c r="C3436" s="167" t="s">
        <v>2729</v>
      </c>
      <c r="D3436" s="118"/>
      <c r="E3436" s="172">
        <v>5000</v>
      </c>
    </row>
    <row r="3437" spans="1:5" x14ac:dyDescent="0.25">
      <c r="A3437" s="169"/>
      <c r="B3437" s="166"/>
      <c r="C3437" s="167"/>
      <c r="D3437" s="170"/>
      <c r="E3437" s="171"/>
    </row>
    <row r="3438" spans="1:5" ht="15.75" thickBot="1" x14ac:dyDescent="0.3">
      <c r="A3438" s="120"/>
      <c r="B3438" s="577" t="s">
        <v>15</v>
      </c>
      <c r="C3438" s="578"/>
      <c r="D3438" s="579"/>
      <c r="E3438" s="121">
        <f>SUM(E3401:E3436)</f>
        <v>635000</v>
      </c>
    </row>
    <row r="3439" spans="1:5" x14ac:dyDescent="0.25">
      <c r="A3439" s="110"/>
      <c r="B3439" s="145"/>
      <c r="C3439" s="145"/>
      <c r="E3439" s="146"/>
    </row>
    <row r="3440" spans="1:5" x14ac:dyDescent="0.25">
      <c r="A3440" s="109"/>
      <c r="B3440" s="109"/>
      <c r="C3440" s="110"/>
      <c r="D3440" s="123" t="s">
        <v>2687</v>
      </c>
      <c r="E3440" s="109"/>
    </row>
    <row r="3441" spans="1:5" x14ac:dyDescent="0.25">
      <c r="D3441" s="123" t="s">
        <v>100</v>
      </c>
    </row>
    <row r="3446" spans="1:5" x14ac:dyDescent="0.25">
      <c r="A3446" s="108" t="s">
        <v>0</v>
      </c>
      <c r="B3446" s="144"/>
      <c r="C3446" s="144"/>
      <c r="D3446" s="144"/>
      <c r="E3446" s="144"/>
    </row>
    <row r="3447" spans="1:5" x14ac:dyDescent="0.25">
      <c r="A3447" s="108" t="s">
        <v>1</v>
      </c>
      <c r="B3447" s="109"/>
      <c r="C3447" s="110"/>
      <c r="D3447" s="109"/>
      <c r="E3447" s="109"/>
    </row>
    <row r="3448" spans="1:5" x14ac:dyDescent="0.25">
      <c r="A3448" s="108"/>
      <c r="B3448" s="109"/>
      <c r="C3448" s="110"/>
      <c r="D3448" s="109"/>
      <c r="E3448" s="109"/>
    </row>
    <row r="3449" spans="1:5" x14ac:dyDescent="0.25">
      <c r="A3449" s="111" t="s">
        <v>101</v>
      </c>
      <c r="B3449" s="111"/>
      <c r="C3449" s="111"/>
      <c r="D3449" s="111"/>
      <c r="E3449" s="111"/>
    </row>
    <row r="3450" spans="1:5" x14ac:dyDescent="0.25">
      <c r="A3450" s="575" t="s">
        <v>119</v>
      </c>
      <c r="B3450" s="576"/>
      <c r="C3450" s="576"/>
      <c r="D3450" s="576"/>
      <c r="E3450" s="576"/>
    </row>
    <row r="3451" spans="1:5" x14ac:dyDescent="0.25">
      <c r="A3451" s="110"/>
      <c r="B3451" s="110"/>
      <c r="C3451" s="110"/>
      <c r="D3451" s="110"/>
      <c r="E3451" s="110"/>
    </row>
    <row r="3452" spans="1:5" ht="15.75" thickBot="1" x14ac:dyDescent="0.3">
      <c r="A3452" s="109"/>
      <c r="B3452" s="109"/>
      <c r="C3452" s="110"/>
      <c r="D3452" s="109"/>
      <c r="E3452" s="124" t="s">
        <v>2730</v>
      </c>
    </row>
    <row r="3453" spans="1:5" x14ac:dyDescent="0.25">
      <c r="A3453" s="112" t="s">
        <v>21</v>
      </c>
      <c r="B3453" s="113" t="s">
        <v>96</v>
      </c>
      <c r="C3453" s="113" t="s">
        <v>97</v>
      </c>
      <c r="D3453" s="113" t="s">
        <v>91</v>
      </c>
      <c r="E3453" s="114" t="s">
        <v>15</v>
      </c>
    </row>
    <row r="3454" spans="1:5" x14ac:dyDescent="0.25">
      <c r="A3454" s="115">
        <v>1</v>
      </c>
      <c r="B3454" s="166" t="s">
        <v>639</v>
      </c>
      <c r="C3454" s="167" t="s">
        <v>647</v>
      </c>
      <c r="D3454" s="118"/>
      <c r="E3454" s="119">
        <v>5000</v>
      </c>
    </row>
    <row r="3455" spans="1:5" x14ac:dyDescent="0.25">
      <c r="A3455" s="115">
        <f>A3454+1</f>
        <v>2</v>
      </c>
      <c r="B3455" s="166" t="s">
        <v>2732</v>
      </c>
      <c r="C3455" s="167" t="s">
        <v>2735</v>
      </c>
      <c r="D3455" s="118"/>
      <c r="E3455" s="119">
        <v>27500</v>
      </c>
    </row>
    <row r="3456" spans="1:5" x14ac:dyDescent="0.25">
      <c r="A3456" s="115">
        <f t="shared" ref="A3456:A3472" si="59">A3455+1</f>
        <v>3</v>
      </c>
      <c r="B3456" s="166" t="s">
        <v>2739</v>
      </c>
      <c r="C3456" s="167" t="s">
        <v>2736</v>
      </c>
      <c r="D3456" s="118"/>
      <c r="E3456" s="172">
        <v>5000</v>
      </c>
    </row>
    <row r="3457" spans="1:5" x14ac:dyDescent="0.25">
      <c r="A3457" s="115">
        <f t="shared" si="59"/>
        <v>4</v>
      </c>
      <c r="B3457" s="166" t="s">
        <v>2733</v>
      </c>
      <c r="C3457" s="167" t="s">
        <v>2737</v>
      </c>
      <c r="D3457" s="118"/>
      <c r="E3457" s="172">
        <v>5000</v>
      </c>
    </row>
    <row r="3458" spans="1:5" x14ac:dyDescent="0.25">
      <c r="A3458" s="115">
        <f t="shared" si="59"/>
        <v>5</v>
      </c>
      <c r="B3458" s="166" t="s">
        <v>2734</v>
      </c>
      <c r="C3458" s="167" t="s">
        <v>2738</v>
      </c>
      <c r="D3458" s="118"/>
      <c r="E3458" s="172">
        <v>22500</v>
      </c>
    </row>
    <row r="3459" spans="1:5" x14ac:dyDescent="0.25">
      <c r="A3459" s="115">
        <f t="shared" si="59"/>
        <v>6</v>
      </c>
      <c r="B3459" s="166" t="s">
        <v>868</v>
      </c>
      <c r="C3459" s="167" t="s">
        <v>858</v>
      </c>
      <c r="D3459" s="118"/>
      <c r="E3459" s="172">
        <v>5000</v>
      </c>
    </row>
    <row r="3460" spans="1:5" x14ac:dyDescent="0.25">
      <c r="A3460" s="115">
        <f t="shared" si="59"/>
        <v>7</v>
      </c>
      <c r="B3460" s="166" t="s">
        <v>784</v>
      </c>
      <c r="C3460" s="167" t="s">
        <v>774</v>
      </c>
      <c r="D3460" s="118"/>
      <c r="E3460" s="172">
        <v>5000</v>
      </c>
    </row>
    <row r="3461" spans="1:5" x14ac:dyDescent="0.25">
      <c r="A3461" s="115">
        <f t="shared" si="59"/>
        <v>8</v>
      </c>
      <c r="B3461" s="166" t="s">
        <v>2743</v>
      </c>
      <c r="C3461" s="167" t="s">
        <v>2740</v>
      </c>
      <c r="D3461" s="118"/>
      <c r="E3461" s="172">
        <v>5000</v>
      </c>
    </row>
    <row r="3462" spans="1:5" x14ac:dyDescent="0.25">
      <c r="A3462" s="115">
        <f t="shared" si="59"/>
        <v>9</v>
      </c>
      <c r="B3462" s="166" t="s">
        <v>2744</v>
      </c>
      <c r="C3462" s="167" t="s">
        <v>2741</v>
      </c>
      <c r="D3462" s="118"/>
      <c r="E3462" s="172">
        <v>62500</v>
      </c>
    </row>
    <row r="3463" spans="1:5" x14ac:dyDescent="0.25">
      <c r="A3463" s="115">
        <f t="shared" si="59"/>
        <v>10</v>
      </c>
      <c r="B3463" s="166" t="s">
        <v>2745</v>
      </c>
      <c r="C3463" s="167" t="s">
        <v>2742</v>
      </c>
      <c r="D3463" s="118"/>
      <c r="E3463" s="172">
        <v>42500</v>
      </c>
    </row>
    <row r="3464" spans="1:5" x14ac:dyDescent="0.25">
      <c r="A3464" s="115">
        <f t="shared" si="59"/>
        <v>11</v>
      </c>
      <c r="B3464" s="166" t="s">
        <v>503</v>
      </c>
      <c r="C3464" s="167" t="s">
        <v>496</v>
      </c>
      <c r="D3464" s="118"/>
      <c r="E3464" s="172">
        <v>5000</v>
      </c>
    </row>
    <row r="3465" spans="1:5" x14ac:dyDescent="0.25">
      <c r="A3465" s="115">
        <f t="shared" si="59"/>
        <v>12</v>
      </c>
      <c r="B3465" s="166" t="s">
        <v>1284</v>
      </c>
      <c r="C3465" s="167" t="s">
        <v>2750</v>
      </c>
      <c r="D3465" s="118"/>
      <c r="E3465" s="172">
        <v>60000</v>
      </c>
    </row>
    <row r="3466" spans="1:5" x14ac:dyDescent="0.25">
      <c r="A3466" s="115">
        <f t="shared" si="59"/>
        <v>13</v>
      </c>
      <c r="B3466" s="166" t="s">
        <v>2746</v>
      </c>
      <c r="C3466" s="167" t="s">
        <v>2751</v>
      </c>
      <c r="D3466" s="118"/>
      <c r="E3466" s="172">
        <v>60000</v>
      </c>
    </row>
    <row r="3467" spans="1:5" x14ac:dyDescent="0.25">
      <c r="A3467" s="115">
        <f t="shared" si="59"/>
        <v>14</v>
      </c>
      <c r="B3467" s="166" t="s">
        <v>2756</v>
      </c>
      <c r="C3467" s="167" t="s">
        <v>2757</v>
      </c>
      <c r="D3467" s="118"/>
      <c r="E3467" s="172">
        <v>5000</v>
      </c>
    </row>
    <row r="3468" spans="1:5" x14ac:dyDescent="0.25">
      <c r="A3468" s="115">
        <f t="shared" si="59"/>
        <v>15</v>
      </c>
      <c r="B3468" s="166" t="s">
        <v>2747</v>
      </c>
      <c r="C3468" s="167" t="s">
        <v>2752</v>
      </c>
      <c r="D3468" s="118"/>
      <c r="E3468" s="172">
        <v>22500</v>
      </c>
    </row>
    <row r="3469" spans="1:5" x14ac:dyDescent="0.25">
      <c r="A3469" s="115">
        <f t="shared" si="59"/>
        <v>16</v>
      </c>
      <c r="B3469" s="166" t="s">
        <v>2748</v>
      </c>
      <c r="C3469" s="167" t="s">
        <v>2753</v>
      </c>
      <c r="D3469" s="118"/>
      <c r="E3469" s="172">
        <v>17500</v>
      </c>
    </row>
    <row r="3470" spans="1:5" x14ac:dyDescent="0.25">
      <c r="A3470" s="115">
        <f t="shared" si="59"/>
        <v>17</v>
      </c>
      <c r="B3470" s="166" t="s">
        <v>2747</v>
      </c>
      <c r="C3470" s="167" t="s">
        <v>2754</v>
      </c>
      <c r="D3470" s="118"/>
      <c r="E3470" s="172">
        <v>5000</v>
      </c>
    </row>
    <row r="3471" spans="1:5" x14ac:dyDescent="0.25">
      <c r="A3471" s="115">
        <f t="shared" si="59"/>
        <v>18</v>
      </c>
      <c r="B3471" s="166" t="s">
        <v>2749</v>
      </c>
      <c r="C3471" s="167" t="s">
        <v>2755</v>
      </c>
      <c r="D3471" s="118"/>
      <c r="E3471" s="172">
        <v>32500</v>
      </c>
    </row>
    <row r="3472" spans="1:5" x14ac:dyDescent="0.25">
      <c r="A3472" s="115">
        <f t="shared" si="59"/>
        <v>19</v>
      </c>
      <c r="B3472" s="166" t="s">
        <v>828</v>
      </c>
      <c r="C3472" s="167" t="s">
        <v>840</v>
      </c>
      <c r="D3472" s="118"/>
      <c r="E3472" s="172">
        <v>5000</v>
      </c>
    </row>
    <row r="3473" spans="1:5" x14ac:dyDescent="0.25">
      <c r="A3473" s="169"/>
      <c r="B3473" s="166"/>
      <c r="C3473" s="167"/>
      <c r="D3473" s="170"/>
      <c r="E3473" s="171"/>
    </row>
    <row r="3474" spans="1:5" ht="15.75" thickBot="1" x14ac:dyDescent="0.3">
      <c r="A3474" s="120"/>
      <c r="B3474" s="577" t="s">
        <v>15</v>
      </c>
      <c r="C3474" s="578"/>
      <c r="D3474" s="579"/>
      <c r="E3474" s="121">
        <f>SUM(E3454:E3472)</f>
        <v>397500</v>
      </c>
    </row>
    <row r="3475" spans="1:5" x14ac:dyDescent="0.25">
      <c r="A3475" s="110"/>
      <c r="B3475" s="145"/>
      <c r="C3475" s="145"/>
      <c r="E3475" s="146"/>
    </row>
    <row r="3476" spans="1:5" x14ac:dyDescent="0.25">
      <c r="A3476" s="109"/>
      <c r="B3476" s="109"/>
      <c r="C3476" s="110"/>
      <c r="D3476" s="123" t="s">
        <v>2731</v>
      </c>
      <c r="E3476" s="109"/>
    </row>
    <row r="3477" spans="1:5" x14ac:dyDescent="0.25">
      <c r="D3477" s="123" t="s">
        <v>100</v>
      </c>
    </row>
    <row r="3499" spans="1:5" x14ac:dyDescent="0.25">
      <c r="A3499" s="108" t="s">
        <v>0</v>
      </c>
      <c r="B3499" s="144"/>
      <c r="C3499" s="144"/>
      <c r="D3499" s="144"/>
      <c r="E3499" s="144"/>
    </row>
    <row r="3500" spans="1:5" x14ac:dyDescent="0.25">
      <c r="A3500" s="108" t="s">
        <v>1</v>
      </c>
      <c r="B3500" s="109"/>
      <c r="C3500" s="110"/>
      <c r="D3500" s="109"/>
      <c r="E3500" s="109"/>
    </row>
    <row r="3501" spans="1:5" x14ac:dyDescent="0.25">
      <c r="A3501" s="108"/>
      <c r="B3501" s="109"/>
      <c r="C3501" s="110"/>
      <c r="D3501" s="109"/>
      <c r="E3501" s="109"/>
    </row>
    <row r="3502" spans="1:5" x14ac:dyDescent="0.25">
      <c r="A3502" s="111" t="s">
        <v>101</v>
      </c>
      <c r="B3502" s="111"/>
      <c r="C3502" s="111"/>
      <c r="D3502" s="111"/>
      <c r="E3502" s="111"/>
    </row>
    <row r="3503" spans="1:5" x14ac:dyDescent="0.25">
      <c r="A3503" s="575" t="s">
        <v>119</v>
      </c>
      <c r="B3503" s="576"/>
      <c r="C3503" s="576"/>
      <c r="D3503" s="576"/>
      <c r="E3503" s="576"/>
    </row>
    <row r="3504" spans="1:5" x14ac:dyDescent="0.25">
      <c r="A3504" s="110"/>
      <c r="B3504" s="110"/>
      <c r="C3504" s="110"/>
      <c r="D3504" s="110"/>
      <c r="E3504" s="110"/>
    </row>
    <row r="3505" spans="1:5" ht="15.75" thickBot="1" x14ac:dyDescent="0.3">
      <c r="A3505" s="109"/>
      <c r="B3505" s="109"/>
      <c r="C3505" s="110"/>
      <c r="D3505" s="109"/>
      <c r="E3505" s="124" t="s">
        <v>2758</v>
      </c>
    </row>
    <row r="3506" spans="1:5" x14ac:dyDescent="0.25">
      <c r="A3506" s="112" t="s">
        <v>21</v>
      </c>
      <c r="B3506" s="113" t="s">
        <v>96</v>
      </c>
      <c r="C3506" s="113" t="s">
        <v>97</v>
      </c>
      <c r="D3506" s="113" t="s">
        <v>91</v>
      </c>
      <c r="E3506" s="114" t="s">
        <v>15</v>
      </c>
    </row>
    <row r="3507" spans="1:5" x14ac:dyDescent="0.25">
      <c r="A3507" s="115">
        <v>1</v>
      </c>
      <c r="B3507" s="166" t="s">
        <v>126</v>
      </c>
      <c r="C3507" s="167" t="s">
        <v>2762</v>
      </c>
      <c r="D3507" s="118"/>
      <c r="E3507" s="119">
        <v>40000</v>
      </c>
    </row>
    <row r="3508" spans="1:5" x14ac:dyDescent="0.25">
      <c r="A3508" s="115">
        <f>A3507+1</f>
        <v>2</v>
      </c>
      <c r="B3508" s="166" t="s">
        <v>931</v>
      </c>
      <c r="C3508" s="167" t="s">
        <v>935</v>
      </c>
      <c r="D3508" s="118"/>
      <c r="E3508" s="119">
        <v>5000</v>
      </c>
    </row>
    <row r="3509" spans="1:5" x14ac:dyDescent="0.25">
      <c r="A3509" s="115">
        <f t="shared" ref="A3509:A3524" si="60">A3508+1</f>
        <v>3</v>
      </c>
      <c r="B3509" s="166" t="s">
        <v>802</v>
      </c>
      <c r="C3509" s="167" t="s">
        <v>807</v>
      </c>
      <c r="D3509" s="118"/>
      <c r="E3509" s="172">
        <v>5000</v>
      </c>
    </row>
    <row r="3510" spans="1:5" x14ac:dyDescent="0.25">
      <c r="A3510" s="115">
        <f t="shared" si="60"/>
        <v>4</v>
      </c>
      <c r="B3510" s="166" t="s">
        <v>2760</v>
      </c>
      <c r="C3510" s="167" t="s">
        <v>2763</v>
      </c>
      <c r="D3510" s="118"/>
      <c r="E3510" s="172">
        <v>5000</v>
      </c>
    </row>
    <row r="3511" spans="1:5" x14ac:dyDescent="0.25">
      <c r="A3511" s="115">
        <f t="shared" si="60"/>
        <v>5</v>
      </c>
      <c r="B3511" s="166" t="s">
        <v>2761</v>
      </c>
      <c r="C3511" s="167" t="s">
        <v>2764</v>
      </c>
      <c r="D3511" s="118"/>
      <c r="E3511" s="172">
        <v>30000</v>
      </c>
    </row>
    <row r="3512" spans="1:5" x14ac:dyDescent="0.25">
      <c r="A3512" s="115">
        <f t="shared" si="60"/>
        <v>6</v>
      </c>
      <c r="B3512" s="166" t="s">
        <v>559</v>
      </c>
      <c r="C3512" s="167" t="s">
        <v>551</v>
      </c>
      <c r="D3512" s="118"/>
      <c r="E3512" s="172">
        <v>5000</v>
      </c>
    </row>
    <row r="3513" spans="1:5" x14ac:dyDescent="0.25">
      <c r="A3513" s="115">
        <f t="shared" si="60"/>
        <v>7</v>
      </c>
      <c r="B3513" s="166" t="s">
        <v>1278</v>
      </c>
      <c r="C3513" s="167" t="s">
        <v>1251</v>
      </c>
      <c r="D3513" s="118"/>
      <c r="E3513" s="172">
        <v>5000</v>
      </c>
    </row>
    <row r="3514" spans="1:5" x14ac:dyDescent="0.25">
      <c r="A3514" s="115">
        <f t="shared" si="60"/>
        <v>8</v>
      </c>
      <c r="B3514" s="166" t="s">
        <v>2771</v>
      </c>
      <c r="C3514" s="167" t="s">
        <v>2765</v>
      </c>
      <c r="D3514" s="118"/>
      <c r="E3514" s="172">
        <v>5000</v>
      </c>
    </row>
    <row r="3515" spans="1:5" x14ac:dyDescent="0.25">
      <c r="A3515" s="115">
        <f t="shared" si="60"/>
        <v>9</v>
      </c>
      <c r="B3515" s="166" t="s">
        <v>2772</v>
      </c>
      <c r="C3515" s="167" t="s">
        <v>2766</v>
      </c>
      <c r="D3515" s="118"/>
      <c r="E3515" s="172">
        <v>12500</v>
      </c>
    </row>
    <row r="3516" spans="1:5" x14ac:dyDescent="0.25">
      <c r="A3516" s="115">
        <f t="shared" si="60"/>
        <v>10</v>
      </c>
      <c r="B3516" s="166" t="s">
        <v>380</v>
      </c>
      <c r="C3516" s="167" t="s">
        <v>371</v>
      </c>
      <c r="D3516" s="118"/>
      <c r="E3516" s="172">
        <v>5000</v>
      </c>
    </row>
    <row r="3517" spans="1:5" x14ac:dyDescent="0.25">
      <c r="A3517" s="115">
        <f t="shared" si="60"/>
        <v>11</v>
      </c>
      <c r="B3517" s="166" t="s">
        <v>2773</v>
      </c>
      <c r="C3517" s="167" t="s">
        <v>2767</v>
      </c>
      <c r="D3517" s="118"/>
      <c r="E3517" s="172">
        <v>22500</v>
      </c>
    </row>
    <row r="3518" spans="1:5" x14ac:dyDescent="0.25">
      <c r="A3518" s="115">
        <f t="shared" si="60"/>
        <v>12</v>
      </c>
      <c r="B3518" s="166" t="s">
        <v>2774</v>
      </c>
      <c r="C3518" s="167" t="s">
        <v>2768</v>
      </c>
      <c r="D3518" s="118"/>
      <c r="E3518" s="172">
        <v>22500</v>
      </c>
    </row>
    <row r="3519" spans="1:5" x14ac:dyDescent="0.25">
      <c r="A3519" s="115">
        <f t="shared" si="60"/>
        <v>13</v>
      </c>
      <c r="B3519" s="166" t="s">
        <v>2775</v>
      </c>
      <c r="C3519" s="167" t="s">
        <v>2769</v>
      </c>
      <c r="D3519" s="118"/>
      <c r="E3519" s="172">
        <v>12500</v>
      </c>
    </row>
    <row r="3520" spans="1:5" x14ac:dyDescent="0.25">
      <c r="A3520" s="115">
        <f t="shared" si="60"/>
        <v>14</v>
      </c>
      <c r="B3520" s="166" t="s">
        <v>822</v>
      </c>
      <c r="C3520" s="167" t="s">
        <v>833</v>
      </c>
      <c r="D3520" s="118"/>
      <c r="E3520" s="172">
        <v>5000</v>
      </c>
    </row>
    <row r="3521" spans="1:5" x14ac:dyDescent="0.25">
      <c r="A3521" s="115">
        <f t="shared" si="60"/>
        <v>15</v>
      </c>
      <c r="B3521" s="166" t="s">
        <v>2646</v>
      </c>
      <c r="C3521" s="167" t="s">
        <v>2642</v>
      </c>
      <c r="D3521" s="118"/>
      <c r="E3521" s="172">
        <v>5000</v>
      </c>
    </row>
    <row r="3522" spans="1:5" x14ac:dyDescent="0.25">
      <c r="A3522" s="115">
        <f t="shared" si="60"/>
        <v>16</v>
      </c>
      <c r="B3522" s="166" t="s">
        <v>222</v>
      </c>
      <c r="C3522" s="167" t="s">
        <v>2770</v>
      </c>
      <c r="D3522" s="118"/>
      <c r="E3522" s="172">
        <v>12500</v>
      </c>
    </row>
    <row r="3523" spans="1:5" x14ac:dyDescent="0.25">
      <c r="A3523" s="115">
        <f t="shared" si="60"/>
        <v>17</v>
      </c>
      <c r="B3523" s="166" t="s">
        <v>1053</v>
      </c>
      <c r="C3523" s="167" t="s">
        <v>1060</v>
      </c>
      <c r="D3523" s="118"/>
      <c r="E3523" s="172">
        <v>5000</v>
      </c>
    </row>
    <row r="3524" spans="1:5" x14ac:dyDescent="0.25">
      <c r="A3524" s="115">
        <f t="shared" si="60"/>
        <v>18</v>
      </c>
      <c r="B3524" s="166" t="s">
        <v>2776</v>
      </c>
      <c r="C3524" s="167"/>
      <c r="D3524" s="118"/>
      <c r="E3524" s="172">
        <v>12500</v>
      </c>
    </row>
    <row r="3525" spans="1:5" x14ac:dyDescent="0.25">
      <c r="A3525" s="169"/>
      <c r="B3525" s="166"/>
      <c r="C3525" s="167"/>
      <c r="D3525" s="170"/>
      <c r="E3525" s="171"/>
    </row>
    <row r="3526" spans="1:5" ht="15.75" thickBot="1" x14ac:dyDescent="0.3">
      <c r="A3526" s="120"/>
      <c r="B3526" s="577" t="s">
        <v>15</v>
      </c>
      <c r="C3526" s="578"/>
      <c r="D3526" s="579"/>
      <c r="E3526" s="121">
        <f>SUM(E3507:E3524)</f>
        <v>215000</v>
      </c>
    </row>
    <row r="3527" spans="1:5" x14ac:dyDescent="0.25">
      <c r="A3527" s="110"/>
      <c r="B3527" s="145"/>
      <c r="C3527" s="145"/>
      <c r="E3527" s="146"/>
    </row>
    <row r="3528" spans="1:5" x14ac:dyDescent="0.25">
      <c r="A3528" s="109"/>
      <c r="B3528" s="109"/>
      <c r="C3528" s="110"/>
      <c r="D3528" s="123" t="s">
        <v>2759</v>
      </c>
      <c r="E3528" s="109"/>
    </row>
    <row r="3529" spans="1:5" x14ac:dyDescent="0.25">
      <c r="D3529" s="123" t="s">
        <v>100</v>
      </c>
    </row>
    <row r="3552" spans="1:5" x14ac:dyDescent="0.25">
      <c r="A3552" s="108" t="s">
        <v>0</v>
      </c>
      <c r="B3552" s="144"/>
      <c r="C3552" s="144"/>
      <c r="D3552" s="144"/>
      <c r="E3552" s="144"/>
    </row>
    <row r="3553" spans="1:5" x14ac:dyDescent="0.25">
      <c r="A3553" s="108" t="s">
        <v>1</v>
      </c>
      <c r="B3553" s="109"/>
      <c r="C3553" s="110"/>
      <c r="D3553" s="109"/>
      <c r="E3553" s="109"/>
    </row>
    <row r="3554" spans="1:5" x14ac:dyDescent="0.25">
      <c r="A3554" s="108"/>
      <c r="B3554" s="109"/>
      <c r="C3554" s="110"/>
      <c r="D3554" s="109"/>
      <c r="E3554" s="109"/>
    </row>
    <row r="3555" spans="1:5" x14ac:dyDescent="0.25">
      <c r="A3555" s="111" t="s">
        <v>101</v>
      </c>
      <c r="B3555" s="111"/>
      <c r="C3555" s="111"/>
      <c r="D3555" s="111"/>
      <c r="E3555" s="111"/>
    </row>
    <row r="3556" spans="1:5" x14ac:dyDescent="0.25">
      <c r="A3556" s="575" t="s">
        <v>119</v>
      </c>
      <c r="B3556" s="576"/>
      <c r="C3556" s="576"/>
      <c r="D3556" s="576"/>
      <c r="E3556" s="576"/>
    </row>
    <row r="3557" spans="1:5" x14ac:dyDescent="0.25">
      <c r="A3557" s="110"/>
      <c r="B3557" s="110"/>
      <c r="C3557" s="110"/>
      <c r="D3557" s="110"/>
      <c r="E3557" s="110"/>
    </row>
    <row r="3558" spans="1:5" ht="15.75" thickBot="1" x14ac:dyDescent="0.3">
      <c r="A3558" s="109"/>
      <c r="B3558" s="109"/>
      <c r="C3558" s="110"/>
      <c r="D3558" s="109"/>
      <c r="E3558" s="124" t="s">
        <v>2777</v>
      </c>
    </row>
    <row r="3559" spans="1:5" x14ac:dyDescent="0.25">
      <c r="A3559" s="112" t="s">
        <v>21</v>
      </c>
      <c r="B3559" s="113" t="s">
        <v>96</v>
      </c>
      <c r="C3559" s="113" t="s">
        <v>97</v>
      </c>
      <c r="D3559" s="113" t="s">
        <v>91</v>
      </c>
      <c r="E3559" s="114" t="s">
        <v>15</v>
      </c>
    </row>
    <row r="3560" spans="1:5" x14ac:dyDescent="0.25">
      <c r="A3560" s="115">
        <v>1</v>
      </c>
      <c r="B3560" s="166" t="s">
        <v>1019</v>
      </c>
      <c r="C3560" s="167" t="s">
        <v>1025</v>
      </c>
      <c r="D3560" s="118"/>
      <c r="E3560" s="119">
        <v>5000</v>
      </c>
    </row>
    <row r="3561" spans="1:5" x14ac:dyDescent="0.25">
      <c r="A3561" s="115">
        <f>A3560+1</f>
        <v>2</v>
      </c>
      <c r="B3561" s="166" t="s">
        <v>2779</v>
      </c>
      <c r="C3561" s="167" t="s">
        <v>2782</v>
      </c>
      <c r="D3561" s="118"/>
      <c r="E3561" s="119">
        <v>12500</v>
      </c>
    </row>
    <row r="3562" spans="1:5" x14ac:dyDescent="0.25">
      <c r="A3562" s="115">
        <f t="shared" ref="A3562:A3583" si="61">A3561+1</f>
        <v>3</v>
      </c>
      <c r="B3562" s="166" t="s">
        <v>2780</v>
      </c>
      <c r="C3562" s="167" t="s">
        <v>2783</v>
      </c>
      <c r="D3562" s="118"/>
      <c r="E3562" s="172">
        <v>5000</v>
      </c>
    </row>
    <row r="3563" spans="1:5" x14ac:dyDescent="0.25">
      <c r="A3563" s="115">
        <f t="shared" si="61"/>
        <v>4</v>
      </c>
      <c r="B3563" s="166" t="s">
        <v>2781</v>
      </c>
      <c r="C3563" s="167" t="s">
        <v>266</v>
      </c>
      <c r="D3563" s="118"/>
      <c r="E3563" s="172">
        <v>5000</v>
      </c>
    </row>
    <row r="3564" spans="1:5" x14ac:dyDescent="0.25">
      <c r="A3564" s="115">
        <f t="shared" si="61"/>
        <v>5</v>
      </c>
      <c r="B3564" s="166" t="s">
        <v>2791</v>
      </c>
      <c r="C3564" s="167" t="s">
        <v>2784</v>
      </c>
      <c r="D3564" s="118"/>
      <c r="E3564" s="172">
        <v>12500</v>
      </c>
    </row>
    <row r="3565" spans="1:5" x14ac:dyDescent="0.25">
      <c r="A3565" s="115">
        <f t="shared" si="61"/>
        <v>6</v>
      </c>
      <c r="B3565" s="166" t="s">
        <v>1722</v>
      </c>
      <c r="C3565" s="167" t="s">
        <v>2785</v>
      </c>
      <c r="D3565" s="118"/>
      <c r="E3565" s="172">
        <v>12500</v>
      </c>
    </row>
    <row r="3566" spans="1:5" x14ac:dyDescent="0.25">
      <c r="A3566" s="115">
        <f t="shared" si="61"/>
        <v>7</v>
      </c>
      <c r="B3566" s="166" t="s">
        <v>2792</v>
      </c>
      <c r="C3566" s="167" t="s">
        <v>2786</v>
      </c>
      <c r="D3566" s="118"/>
      <c r="E3566" s="172">
        <v>5000</v>
      </c>
    </row>
    <row r="3567" spans="1:5" x14ac:dyDescent="0.25">
      <c r="A3567" s="115">
        <f t="shared" si="61"/>
        <v>8</v>
      </c>
      <c r="B3567" s="166" t="s">
        <v>2793</v>
      </c>
      <c r="C3567" s="167" t="s">
        <v>2787</v>
      </c>
      <c r="D3567" s="118"/>
      <c r="E3567" s="172">
        <v>22500</v>
      </c>
    </row>
    <row r="3568" spans="1:5" x14ac:dyDescent="0.25">
      <c r="A3568" s="115">
        <f t="shared" si="61"/>
        <v>9</v>
      </c>
      <c r="B3568" s="166" t="s">
        <v>2794</v>
      </c>
      <c r="C3568" s="167" t="s">
        <v>2788</v>
      </c>
      <c r="D3568" s="118"/>
      <c r="E3568" s="172">
        <v>32500</v>
      </c>
    </row>
    <row r="3569" spans="1:5" x14ac:dyDescent="0.25">
      <c r="A3569" s="115">
        <f t="shared" si="61"/>
        <v>10</v>
      </c>
      <c r="B3569" s="166" t="s">
        <v>2795</v>
      </c>
      <c r="C3569" s="167" t="s">
        <v>2789</v>
      </c>
      <c r="D3569" s="118"/>
      <c r="E3569" s="172">
        <v>5000</v>
      </c>
    </row>
    <row r="3570" spans="1:5" x14ac:dyDescent="0.25">
      <c r="A3570" s="115">
        <f t="shared" si="61"/>
        <v>11</v>
      </c>
      <c r="B3570" s="166" t="s">
        <v>2796</v>
      </c>
      <c r="C3570" s="167" t="s">
        <v>2790</v>
      </c>
      <c r="D3570" s="118"/>
      <c r="E3570" s="172">
        <v>27500</v>
      </c>
    </row>
    <row r="3571" spans="1:5" x14ac:dyDescent="0.25">
      <c r="A3571" s="115">
        <f t="shared" si="61"/>
        <v>12</v>
      </c>
      <c r="B3571" s="166" t="s">
        <v>946</v>
      </c>
      <c r="C3571" s="167" t="s">
        <v>952</v>
      </c>
      <c r="D3571" s="118"/>
      <c r="E3571" s="172">
        <v>5000</v>
      </c>
    </row>
    <row r="3572" spans="1:5" x14ac:dyDescent="0.25">
      <c r="A3572" s="115">
        <f t="shared" si="61"/>
        <v>13</v>
      </c>
      <c r="B3572" s="166" t="s">
        <v>582</v>
      </c>
      <c r="C3572" s="167" t="s">
        <v>591</v>
      </c>
      <c r="D3572" s="118"/>
      <c r="E3572" s="172">
        <v>5000</v>
      </c>
    </row>
    <row r="3573" spans="1:5" x14ac:dyDescent="0.25">
      <c r="A3573" s="115">
        <f t="shared" si="61"/>
        <v>14</v>
      </c>
      <c r="B3573" s="166" t="s">
        <v>2797</v>
      </c>
      <c r="C3573" s="167" t="s">
        <v>2799</v>
      </c>
      <c r="D3573" s="118"/>
      <c r="E3573" s="172">
        <v>22500</v>
      </c>
    </row>
    <row r="3574" spans="1:5" x14ac:dyDescent="0.25">
      <c r="A3574" s="115">
        <f t="shared" si="61"/>
        <v>15</v>
      </c>
      <c r="B3574" s="166" t="s">
        <v>2798</v>
      </c>
      <c r="C3574" s="167" t="s">
        <v>1412</v>
      </c>
      <c r="D3574" s="118"/>
      <c r="E3574" s="172">
        <v>5000</v>
      </c>
    </row>
    <row r="3575" spans="1:5" x14ac:dyDescent="0.25">
      <c r="A3575" s="115">
        <f t="shared" si="61"/>
        <v>16</v>
      </c>
      <c r="B3575" s="166" t="s">
        <v>1068</v>
      </c>
      <c r="C3575" s="167" t="s">
        <v>1042</v>
      </c>
      <c r="D3575" s="118"/>
      <c r="E3575" s="172">
        <v>5000</v>
      </c>
    </row>
    <row r="3576" spans="1:5" x14ac:dyDescent="0.25">
      <c r="A3576" s="115">
        <f t="shared" si="61"/>
        <v>17</v>
      </c>
      <c r="B3576" s="166" t="s">
        <v>325</v>
      </c>
      <c r="C3576" s="167" t="s">
        <v>312</v>
      </c>
      <c r="D3576" s="118"/>
      <c r="E3576" s="172">
        <v>5000</v>
      </c>
    </row>
    <row r="3577" spans="1:5" x14ac:dyDescent="0.25">
      <c r="A3577" s="115">
        <f t="shared" si="61"/>
        <v>18</v>
      </c>
      <c r="B3577" s="166" t="s">
        <v>138</v>
      </c>
      <c r="C3577" s="167" t="s">
        <v>146</v>
      </c>
      <c r="D3577" s="118"/>
      <c r="E3577" s="172">
        <v>5000</v>
      </c>
    </row>
    <row r="3578" spans="1:5" x14ac:dyDescent="0.25">
      <c r="A3578" s="115">
        <f t="shared" si="61"/>
        <v>19</v>
      </c>
      <c r="B3578" s="166" t="s">
        <v>2745</v>
      </c>
      <c r="C3578" s="167" t="s">
        <v>2800</v>
      </c>
      <c r="D3578" s="118"/>
      <c r="E3578" s="172">
        <v>22500</v>
      </c>
    </row>
    <row r="3579" spans="1:5" x14ac:dyDescent="0.25">
      <c r="A3579" s="115">
        <f t="shared" si="61"/>
        <v>20</v>
      </c>
      <c r="B3579" s="166" t="s">
        <v>2092</v>
      </c>
      <c r="C3579" s="167" t="s">
        <v>2096</v>
      </c>
      <c r="D3579" s="118"/>
      <c r="E3579" s="172">
        <v>20000</v>
      </c>
    </row>
    <row r="3580" spans="1:5" x14ac:dyDescent="0.25">
      <c r="A3580" s="115">
        <f t="shared" si="61"/>
        <v>21</v>
      </c>
      <c r="B3580" s="166" t="s">
        <v>972</v>
      </c>
      <c r="C3580" s="167" t="s">
        <v>975</v>
      </c>
      <c r="D3580" s="118"/>
      <c r="E3580" s="172">
        <v>5000</v>
      </c>
    </row>
    <row r="3581" spans="1:5" x14ac:dyDescent="0.25">
      <c r="A3581" s="115">
        <f t="shared" si="61"/>
        <v>22</v>
      </c>
      <c r="B3581" s="166" t="s">
        <v>347</v>
      </c>
      <c r="C3581" s="167" t="s">
        <v>343</v>
      </c>
      <c r="D3581" s="118"/>
      <c r="E3581" s="172">
        <v>5000</v>
      </c>
    </row>
    <row r="3582" spans="1:5" x14ac:dyDescent="0.25">
      <c r="A3582" s="115">
        <f t="shared" si="61"/>
        <v>23</v>
      </c>
      <c r="B3582" s="166" t="s">
        <v>973</v>
      </c>
      <c r="C3582" s="167" t="s">
        <v>976</v>
      </c>
      <c r="D3582" s="118"/>
      <c r="E3582" s="172">
        <v>5000</v>
      </c>
    </row>
    <row r="3583" spans="1:5" x14ac:dyDescent="0.25">
      <c r="A3583" s="115">
        <f t="shared" si="61"/>
        <v>24</v>
      </c>
      <c r="B3583" s="166" t="s">
        <v>2801</v>
      </c>
      <c r="C3583" s="167" t="s">
        <v>2802</v>
      </c>
      <c r="D3583" s="118"/>
      <c r="E3583" s="172">
        <v>12500</v>
      </c>
    </row>
    <row r="3584" spans="1:5" x14ac:dyDescent="0.25">
      <c r="A3584" s="169"/>
      <c r="B3584" s="166"/>
      <c r="C3584" s="167"/>
      <c r="D3584" s="170"/>
      <c r="E3584" s="171"/>
    </row>
    <row r="3585" spans="1:5" ht="15.75" thickBot="1" x14ac:dyDescent="0.3">
      <c r="A3585" s="120"/>
      <c r="B3585" s="577" t="s">
        <v>15</v>
      </c>
      <c r="C3585" s="578"/>
      <c r="D3585" s="579"/>
      <c r="E3585" s="121">
        <f>SUM(E3560:E3583)</f>
        <v>267500</v>
      </c>
    </row>
    <row r="3586" spans="1:5" x14ac:dyDescent="0.25">
      <c r="A3586" s="110"/>
      <c r="B3586" s="145"/>
      <c r="C3586" s="145"/>
      <c r="E3586" s="146"/>
    </row>
    <row r="3587" spans="1:5" x14ac:dyDescent="0.25">
      <c r="A3587" s="109"/>
      <c r="B3587" s="109"/>
      <c r="C3587" s="110"/>
      <c r="D3587" s="123" t="s">
        <v>2778</v>
      </c>
      <c r="E3587" s="109"/>
    </row>
    <row r="3588" spans="1:5" x14ac:dyDescent="0.25">
      <c r="D3588" s="123" t="s">
        <v>100</v>
      </c>
    </row>
    <row r="3605" spans="1:5" x14ac:dyDescent="0.25">
      <c r="A3605" s="108" t="s">
        <v>0</v>
      </c>
      <c r="B3605" s="144"/>
      <c r="C3605" s="144"/>
      <c r="D3605" s="144"/>
      <c r="E3605" s="144"/>
    </row>
    <row r="3606" spans="1:5" x14ac:dyDescent="0.25">
      <c r="A3606" s="108" t="s">
        <v>1</v>
      </c>
      <c r="B3606" s="109"/>
      <c r="C3606" s="110"/>
      <c r="D3606" s="109"/>
      <c r="E3606" s="109"/>
    </row>
    <row r="3607" spans="1:5" x14ac:dyDescent="0.25">
      <c r="A3607" s="108"/>
      <c r="B3607" s="109"/>
      <c r="C3607" s="110"/>
      <c r="D3607" s="109"/>
      <c r="E3607" s="109"/>
    </row>
    <row r="3608" spans="1:5" x14ac:dyDescent="0.25">
      <c r="A3608" s="111" t="s">
        <v>101</v>
      </c>
      <c r="B3608" s="111"/>
      <c r="C3608" s="111"/>
      <c r="D3608" s="111"/>
      <c r="E3608" s="111"/>
    </row>
    <row r="3609" spans="1:5" x14ac:dyDescent="0.25">
      <c r="A3609" s="575" t="s">
        <v>119</v>
      </c>
      <c r="B3609" s="576"/>
      <c r="C3609" s="576"/>
      <c r="D3609" s="576"/>
      <c r="E3609" s="576"/>
    </row>
    <row r="3610" spans="1:5" x14ac:dyDescent="0.25">
      <c r="A3610" s="110"/>
      <c r="B3610" s="110"/>
      <c r="C3610" s="110"/>
      <c r="D3610" s="110"/>
      <c r="E3610" s="110"/>
    </row>
    <row r="3611" spans="1:5" ht="15.75" thickBot="1" x14ac:dyDescent="0.3">
      <c r="A3611" s="109"/>
      <c r="B3611" s="109"/>
      <c r="C3611" s="110"/>
      <c r="D3611" s="109"/>
      <c r="E3611" s="124" t="s">
        <v>2803</v>
      </c>
    </row>
    <row r="3612" spans="1:5" x14ac:dyDescent="0.25">
      <c r="A3612" s="112" t="s">
        <v>21</v>
      </c>
      <c r="B3612" s="113" t="s">
        <v>96</v>
      </c>
      <c r="C3612" s="113" t="s">
        <v>97</v>
      </c>
      <c r="D3612" s="113" t="s">
        <v>91</v>
      </c>
      <c r="E3612" s="114" t="s">
        <v>15</v>
      </c>
    </row>
    <row r="3613" spans="1:5" x14ac:dyDescent="0.25">
      <c r="A3613" s="115">
        <v>1</v>
      </c>
      <c r="B3613" s="166" t="s">
        <v>355</v>
      </c>
      <c r="C3613" s="167" t="s">
        <v>362</v>
      </c>
      <c r="D3613" s="118"/>
      <c r="E3613" s="119">
        <v>5000</v>
      </c>
    </row>
    <row r="3614" spans="1:5" x14ac:dyDescent="0.25">
      <c r="A3614" s="115">
        <f>A3613+1</f>
        <v>2</v>
      </c>
      <c r="B3614" s="166" t="s">
        <v>2805</v>
      </c>
      <c r="C3614" s="167" t="s">
        <v>2808</v>
      </c>
      <c r="D3614" s="118"/>
      <c r="E3614" s="119">
        <v>32500</v>
      </c>
    </row>
    <row r="3615" spans="1:5" x14ac:dyDescent="0.25">
      <c r="A3615" s="115">
        <f t="shared" ref="A3615:A3635" si="62">A3614+1</f>
        <v>3</v>
      </c>
      <c r="B3615" s="166" t="s">
        <v>2806</v>
      </c>
      <c r="C3615" s="167" t="s">
        <v>2809</v>
      </c>
      <c r="D3615" s="118"/>
      <c r="E3615" s="172">
        <v>5000</v>
      </c>
    </row>
    <row r="3616" spans="1:5" x14ac:dyDescent="0.25">
      <c r="A3616" s="115">
        <f t="shared" si="62"/>
        <v>4</v>
      </c>
      <c r="B3616" s="166" t="s">
        <v>2807</v>
      </c>
      <c r="C3616" s="167" t="s">
        <v>2810</v>
      </c>
      <c r="D3616" s="118"/>
      <c r="E3616" s="172">
        <v>5000</v>
      </c>
    </row>
    <row r="3617" spans="1:5" x14ac:dyDescent="0.25">
      <c r="A3617" s="115">
        <f t="shared" si="62"/>
        <v>5</v>
      </c>
      <c r="B3617" s="166" t="s">
        <v>375</v>
      </c>
      <c r="C3617" s="167" t="s">
        <v>366</v>
      </c>
      <c r="D3617" s="118"/>
      <c r="E3617" s="172">
        <v>5000</v>
      </c>
    </row>
    <row r="3618" spans="1:5" x14ac:dyDescent="0.25">
      <c r="A3618" s="115">
        <f t="shared" si="62"/>
        <v>6</v>
      </c>
      <c r="B3618" s="166" t="s">
        <v>2814</v>
      </c>
      <c r="C3618" s="167" t="s">
        <v>2811</v>
      </c>
      <c r="D3618" s="118"/>
      <c r="E3618" s="172">
        <v>82500</v>
      </c>
    </row>
    <row r="3619" spans="1:5" x14ac:dyDescent="0.25">
      <c r="A3619" s="115">
        <f t="shared" si="62"/>
        <v>7</v>
      </c>
      <c r="B3619" s="166" t="s">
        <v>2815</v>
      </c>
      <c r="C3619" s="167" t="s">
        <v>2812</v>
      </c>
      <c r="D3619" s="118"/>
      <c r="E3619" s="172">
        <v>22500</v>
      </c>
    </row>
    <row r="3620" spans="1:5" x14ac:dyDescent="0.25">
      <c r="A3620" s="115">
        <f t="shared" si="62"/>
        <v>8</v>
      </c>
      <c r="B3620" s="166" t="s">
        <v>782</v>
      </c>
      <c r="C3620" s="167" t="s">
        <v>772</v>
      </c>
      <c r="D3620" s="118"/>
      <c r="E3620" s="172">
        <v>5000</v>
      </c>
    </row>
    <row r="3621" spans="1:5" x14ac:dyDescent="0.25">
      <c r="A3621" s="115">
        <f t="shared" si="62"/>
        <v>9</v>
      </c>
      <c r="B3621" s="166" t="s">
        <v>157</v>
      </c>
      <c r="C3621" s="167" t="s">
        <v>2813</v>
      </c>
      <c r="D3621" s="118"/>
      <c r="E3621" s="172">
        <v>12500</v>
      </c>
    </row>
    <row r="3622" spans="1:5" x14ac:dyDescent="0.25">
      <c r="A3622" s="115">
        <f t="shared" si="62"/>
        <v>10</v>
      </c>
      <c r="B3622" s="166" t="s">
        <v>2816</v>
      </c>
      <c r="C3622" s="167" t="s">
        <v>2818</v>
      </c>
      <c r="D3622" s="118"/>
      <c r="E3622" s="172">
        <v>22500</v>
      </c>
    </row>
    <row r="3623" spans="1:5" x14ac:dyDescent="0.25">
      <c r="A3623" s="115">
        <f t="shared" si="62"/>
        <v>11</v>
      </c>
      <c r="B3623" s="166" t="s">
        <v>2817</v>
      </c>
      <c r="C3623" s="167" t="s">
        <v>2819</v>
      </c>
      <c r="D3623" s="118"/>
      <c r="E3623" s="172">
        <v>42500</v>
      </c>
    </row>
    <row r="3624" spans="1:5" x14ac:dyDescent="0.25">
      <c r="A3624" s="115">
        <f t="shared" si="62"/>
        <v>12</v>
      </c>
      <c r="B3624" s="166" t="s">
        <v>318</v>
      </c>
      <c r="C3624" s="167" t="s">
        <v>305</v>
      </c>
      <c r="D3624" s="118"/>
      <c r="E3624" s="172">
        <v>20000</v>
      </c>
    </row>
    <row r="3625" spans="1:5" x14ac:dyDescent="0.25">
      <c r="A3625" s="115">
        <f t="shared" si="62"/>
        <v>13</v>
      </c>
      <c r="B3625" s="166" t="s">
        <v>1401</v>
      </c>
      <c r="C3625" s="167" t="s">
        <v>1413</v>
      </c>
      <c r="D3625" s="118"/>
      <c r="E3625" s="172">
        <v>5000</v>
      </c>
    </row>
    <row r="3626" spans="1:5" x14ac:dyDescent="0.25">
      <c r="A3626" s="115">
        <f t="shared" si="62"/>
        <v>14</v>
      </c>
      <c r="B3626" s="166" t="s">
        <v>1179</v>
      </c>
      <c r="C3626" s="167" t="s">
        <v>1185</v>
      </c>
      <c r="D3626" s="118"/>
      <c r="E3626" s="172">
        <v>5000</v>
      </c>
    </row>
    <row r="3627" spans="1:5" x14ac:dyDescent="0.25">
      <c r="A3627" s="115">
        <f t="shared" si="62"/>
        <v>15</v>
      </c>
      <c r="B3627" s="166" t="s">
        <v>699</v>
      </c>
      <c r="C3627" s="167" t="s">
        <v>690</v>
      </c>
      <c r="D3627" s="118"/>
      <c r="E3627" s="172">
        <v>5000</v>
      </c>
    </row>
    <row r="3628" spans="1:5" x14ac:dyDescent="0.25">
      <c r="A3628" s="115">
        <f t="shared" si="62"/>
        <v>16</v>
      </c>
      <c r="B3628" s="166" t="s">
        <v>700</v>
      </c>
      <c r="C3628" s="167" t="s">
        <v>691</v>
      </c>
      <c r="D3628" s="118"/>
      <c r="E3628" s="172">
        <v>5000</v>
      </c>
    </row>
    <row r="3629" spans="1:5" x14ac:dyDescent="0.25">
      <c r="A3629" s="115">
        <f t="shared" si="62"/>
        <v>17</v>
      </c>
      <c r="B3629" s="166" t="s">
        <v>2826</v>
      </c>
      <c r="C3629" s="167" t="s">
        <v>2820</v>
      </c>
      <c r="D3629" s="118"/>
      <c r="E3629" s="172">
        <v>12500</v>
      </c>
    </row>
    <row r="3630" spans="1:5" x14ac:dyDescent="0.25">
      <c r="A3630" s="115">
        <f t="shared" si="62"/>
        <v>18</v>
      </c>
      <c r="B3630" s="166" t="s">
        <v>446</v>
      </c>
      <c r="C3630" s="167" t="s">
        <v>442</v>
      </c>
      <c r="D3630" s="118"/>
      <c r="E3630" s="172">
        <v>5000</v>
      </c>
    </row>
    <row r="3631" spans="1:5" x14ac:dyDescent="0.25">
      <c r="A3631" s="115">
        <f t="shared" si="62"/>
        <v>19</v>
      </c>
      <c r="B3631" s="166" t="s">
        <v>2827</v>
      </c>
      <c r="C3631" s="167" t="s">
        <v>2821</v>
      </c>
      <c r="D3631" s="118"/>
      <c r="E3631" s="172">
        <v>5000</v>
      </c>
    </row>
    <row r="3632" spans="1:5" x14ac:dyDescent="0.25">
      <c r="A3632" s="115">
        <f t="shared" si="62"/>
        <v>20</v>
      </c>
      <c r="B3632" s="166" t="s">
        <v>2828</v>
      </c>
      <c r="C3632" s="167" t="s">
        <v>2825</v>
      </c>
      <c r="D3632" s="118"/>
      <c r="E3632" s="172">
        <v>12500</v>
      </c>
    </row>
    <row r="3633" spans="1:5" x14ac:dyDescent="0.25">
      <c r="A3633" s="115">
        <f t="shared" si="62"/>
        <v>21</v>
      </c>
      <c r="B3633" s="166" t="s">
        <v>2829</v>
      </c>
      <c r="C3633" s="167" t="s">
        <v>2822</v>
      </c>
      <c r="D3633" s="118"/>
      <c r="E3633" s="172">
        <v>22500</v>
      </c>
    </row>
    <row r="3634" spans="1:5" x14ac:dyDescent="0.25">
      <c r="A3634" s="115">
        <f t="shared" si="62"/>
        <v>22</v>
      </c>
      <c r="B3634" s="166" t="s">
        <v>2830</v>
      </c>
      <c r="C3634" s="167" t="s">
        <v>2823</v>
      </c>
      <c r="D3634" s="118"/>
      <c r="E3634" s="172">
        <v>5000</v>
      </c>
    </row>
    <row r="3635" spans="1:5" x14ac:dyDescent="0.25">
      <c r="A3635" s="115">
        <f t="shared" si="62"/>
        <v>23</v>
      </c>
      <c r="B3635" s="166" t="s">
        <v>2831</v>
      </c>
      <c r="C3635" s="167" t="s">
        <v>2824</v>
      </c>
      <c r="D3635" s="118"/>
      <c r="E3635" s="172">
        <v>5000</v>
      </c>
    </row>
    <row r="3636" spans="1:5" x14ac:dyDescent="0.25">
      <c r="A3636" s="169"/>
      <c r="B3636" s="166"/>
      <c r="C3636" s="167"/>
      <c r="D3636" s="170"/>
      <c r="E3636" s="171"/>
    </row>
    <row r="3637" spans="1:5" ht="15.75" thickBot="1" x14ac:dyDescent="0.3">
      <c r="A3637" s="120"/>
      <c r="B3637" s="577" t="s">
        <v>15</v>
      </c>
      <c r="C3637" s="578"/>
      <c r="D3637" s="579"/>
      <c r="E3637" s="121">
        <f>SUM(E3613:E3635)</f>
        <v>347500</v>
      </c>
    </row>
    <row r="3638" spans="1:5" x14ac:dyDescent="0.25">
      <c r="A3638" s="110"/>
      <c r="B3638" s="145"/>
      <c r="C3638" s="145"/>
      <c r="E3638" s="146"/>
    </row>
    <row r="3639" spans="1:5" x14ac:dyDescent="0.25">
      <c r="A3639" s="109"/>
      <c r="B3639" s="109"/>
      <c r="C3639" s="110"/>
      <c r="D3639" s="123" t="s">
        <v>2804</v>
      </c>
      <c r="E3639" s="109"/>
    </row>
    <row r="3640" spans="1:5" x14ac:dyDescent="0.25">
      <c r="D3640" s="123" t="s">
        <v>100</v>
      </c>
    </row>
    <row r="3658" spans="1:5" x14ac:dyDescent="0.25">
      <c r="A3658" s="108" t="s">
        <v>0</v>
      </c>
      <c r="B3658" s="144"/>
      <c r="C3658" s="144"/>
      <c r="D3658" s="144"/>
      <c r="E3658" s="144"/>
    </row>
    <row r="3659" spans="1:5" x14ac:dyDescent="0.25">
      <c r="A3659" s="108" t="s">
        <v>1</v>
      </c>
      <c r="B3659" s="109"/>
      <c r="C3659" s="110"/>
      <c r="D3659" s="109"/>
      <c r="E3659" s="109"/>
    </row>
    <row r="3660" spans="1:5" x14ac:dyDescent="0.25">
      <c r="A3660" s="108"/>
      <c r="B3660" s="109"/>
      <c r="C3660" s="110"/>
      <c r="D3660" s="109"/>
      <c r="E3660" s="109"/>
    </row>
    <row r="3661" spans="1:5" x14ac:dyDescent="0.25">
      <c r="A3661" s="111" t="s">
        <v>101</v>
      </c>
      <c r="B3661" s="111"/>
      <c r="C3661" s="111"/>
      <c r="D3661" s="111"/>
      <c r="E3661" s="111"/>
    </row>
    <row r="3662" spans="1:5" x14ac:dyDescent="0.25">
      <c r="A3662" s="575" t="s">
        <v>119</v>
      </c>
      <c r="B3662" s="576"/>
      <c r="C3662" s="576"/>
      <c r="D3662" s="576"/>
      <c r="E3662" s="576"/>
    </row>
    <row r="3663" spans="1:5" x14ac:dyDescent="0.25">
      <c r="A3663" s="110"/>
      <c r="B3663" s="110"/>
      <c r="C3663" s="110"/>
      <c r="D3663" s="110"/>
      <c r="E3663" s="110"/>
    </row>
    <row r="3664" spans="1:5" ht="15.75" thickBot="1" x14ac:dyDescent="0.3">
      <c r="A3664" s="109"/>
      <c r="B3664" s="109"/>
      <c r="C3664" s="110"/>
      <c r="D3664" s="109"/>
      <c r="E3664" s="124" t="s">
        <v>2832</v>
      </c>
    </row>
    <row r="3665" spans="1:5" x14ac:dyDescent="0.25">
      <c r="A3665" s="112" t="s">
        <v>21</v>
      </c>
      <c r="B3665" s="113" t="s">
        <v>96</v>
      </c>
      <c r="C3665" s="113" t="s">
        <v>97</v>
      </c>
      <c r="D3665" s="113" t="s">
        <v>91</v>
      </c>
      <c r="E3665" s="114" t="s">
        <v>15</v>
      </c>
    </row>
    <row r="3666" spans="1:5" x14ac:dyDescent="0.25">
      <c r="A3666" s="115">
        <v>1</v>
      </c>
      <c r="B3666" s="166" t="s">
        <v>1657</v>
      </c>
      <c r="C3666" s="167" t="s">
        <v>2834</v>
      </c>
      <c r="D3666" s="118"/>
      <c r="E3666" s="119">
        <v>20000</v>
      </c>
    </row>
    <row r="3667" spans="1:5" x14ac:dyDescent="0.25">
      <c r="A3667" s="115">
        <f>A3666+1</f>
        <v>2</v>
      </c>
      <c r="B3667" s="166" t="s">
        <v>137</v>
      </c>
      <c r="C3667" s="167" t="s">
        <v>2835</v>
      </c>
      <c r="D3667" s="118"/>
      <c r="E3667" s="119">
        <v>42500</v>
      </c>
    </row>
    <row r="3668" spans="1:5" x14ac:dyDescent="0.25">
      <c r="A3668" s="115">
        <f t="shared" ref="A3668:A3711" si="63">A3667+1</f>
        <v>3</v>
      </c>
      <c r="B3668" s="166" t="s">
        <v>1087</v>
      </c>
      <c r="C3668" s="167" t="s">
        <v>1083</v>
      </c>
      <c r="D3668" s="118"/>
      <c r="E3668" s="172">
        <v>5000</v>
      </c>
    </row>
    <row r="3669" spans="1:5" x14ac:dyDescent="0.25">
      <c r="A3669" s="115">
        <f t="shared" si="63"/>
        <v>4</v>
      </c>
      <c r="B3669" s="166" t="s">
        <v>2838</v>
      </c>
      <c r="C3669" s="167" t="s">
        <v>2836</v>
      </c>
      <c r="D3669" s="118"/>
      <c r="E3669" s="172">
        <v>22500</v>
      </c>
    </row>
    <row r="3670" spans="1:5" x14ac:dyDescent="0.25">
      <c r="A3670" s="115">
        <f t="shared" si="63"/>
        <v>5</v>
      </c>
      <c r="B3670" s="166" t="s">
        <v>2839</v>
      </c>
      <c r="C3670" s="167" t="s">
        <v>2837</v>
      </c>
      <c r="D3670" s="118"/>
      <c r="E3670" s="172">
        <v>22500</v>
      </c>
    </row>
    <row r="3671" spans="1:5" x14ac:dyDescent="0.25">
      <c r="A3671" s="115">
        <f t="shared" si="63"/>
        <v>6</v>
      </c>
      <c r="B3671" s="166" t="s">
        <v>122</v>
      </c>
      <c r="C3671" s="167" t="s">
        <v>128</v>
      </c>
      <c r="D3671" s="118"/>
      <c r="E3671" s="172">
        <v>5000</v>
      </c>
    </row>
    <row r="3672" spans="1:5" x14ac:dyDescent="0.25">
      <c r="A3672" s="115">
        <f t="shared" si="63"/>
        <v>7</v>
      </c>
      <c r="B3672" s="166" t="s">
        <v>871</v>
      </c>
      <c r="C3672" s="167" t="s">
        <v>861</v>
      </c>
      <c r="D3672" s="118"/>
      <c r="E3672" s="172">
        <v>5000</v>
      </c>
    </row>
    <row r="3673" spans="1:5" x14ac:dyDescent="0.25">
      <c r="A3673" s="115">
        <f t="shared" si="63"/>
        <v>8</v>
      </c>
      <c r="B3673" s="166" t="s">
        <v>2840</v>
      </c>
      <c r="C3673" s="167" t="s">
        <v>2845</v>
      </c>
      <c r="D3673" s="118"/>
      <c r="E3673" s="172">
        <v>5000</v>
      </c>
    </row>
    <row r="3674" spans="1:5" x14ac:dyDescent="0.25">
      <c r="A3674" s="115">
        <f t="shared" si="63"/>
        <v>9</v>
      </c>
      <c r="B3674" s="166" t="s">
        <v>1660</v>
      </c>
      <c r="C3674" s="167" t="s">
        <v>1667</v>
      </c>
      <c r="D3674" s="118"/>
      <c r="E3674" s="172">
        <v>5000</v>
      </c>
    </row>
    <row r="3675" spans="1:5" x14ac:dyDescent="0.25">
      <c r="A3675" s="115">
        <f t="shared" si="63"/>
        <v>10</v>
      </c>
      <c r="B3675" s="166" t="s">
        <v>2841</v>
      </c>
      <c r="C3675" s="167" t="s">
        <v>2846</v>
      </c>
      <c r="D3675" s="118"/>
      <c r="E3675" s="172">
        <v>22500</v>
      </c>
    </row>
    <row r="3676" spans="1:5" x14ac:dyDescent="0.25">
      <c r="A3676" s="115">
        <f t="shared" si="63"/>
        <v>11</v>
      </c>
      <c r="B3676" s="166" t="s">
        <v>2842</v>
      </c>
      <c r="C3676" s="167" t="s">
        <v>2847</v>
      </c>
      <c r="D3676" s="118"/>
      <c r="E3676" s="172">
        <v>20000</v>
      </c>
    </row>
    <row r="3677" spans="1:5" x14ac:dyDescent="0.25">
      <c r="A3677" s="115">
        <f t="shared" si="63"/>
        <v>12</v>
      </c>
      <c r="B3677" s="166" t="s">
        <v>2843</v>
      </c>
      <c r="C3677" s="167" t="s">
        <v>2848</v>
      </c>
      <c r="D3677" s="118"/>
      <c r="E3677" s="172">
        <v>12500</v>
      </c>
    </row>
    <row r="3678" spans="1:5" x14ac:dyDescent="0.25">
      <c r="A3678" s="115">
        <f t="shared" si="63"/>
        <v>13</v>
      </c>
      <c r="B3678" s="166" t="s">
        <v>565</v>
      </c>
      <c r="C3678" s="167" t="s">
        <v>574</v>
      </c>
      <c r="D3678" s="118"/>
      <c r="E3678" s="172">
        <v>5000</v>
      </c>
    </row>
    <row r="3679" spans="1:5" x14ac:dyDescent="0.25">
      <c r="A3679" s="115">
        <f t="shared" si="63"/>
        <v>14</v>
      </c>
      <c r="B3679" s="166" t="s">
        <v>2844</v>
      </c>
      <c r="C3679" s="167" t="s">
        <v>2849</v>
      </c>
      <c r="D3679" s="118"/>
      <c r="E3679" s="172">
        <v>40000</v>
      </c>
    </row>
    <row r="3680" spans="1:5" x14ac:dyDescent="0.25">
      <c r="A3680" s="115">
        <f t="shared" si="63"/>
        <v>15</v>
      </c>
      <c r="B3680" s="166" t="s">
        <v>2857</v>
      </c>
      <c r="C3680" s="167" t="s">
        <v>2850</v>
      </c>
      <c r="D3680" s="118"/>
      <c r="E3680" s="172">
        <v>5000</v>
      </c>
    </row>
    <row r="3681" spans="1:5" x14ac:dyDescent="0.25">
      <c r="A3681" s="115">
        <f t="shared" si="63"/>
        <v>16</v>
      </c>
      <c r="B3681" s="166" t="s">
        <v>2858</v>
      </c>
      <c r="C3681" s="167" t="s">
        <v>2851</v>
      </c>
      <c r="D3681" s="118"/>
      <c r="E3681" s="172">
        <v>12500</v>
      </c>
    </row>
    <row r="3682" spans="1:5" x14ac:dyDescent="0.25">
      <c r="A3682" s="115">
        <f t="shared" si="63"/>
        <v>17</v>
      </c>
      <c r="B3682" s="166" t="s">
        <v>1045</v>
      </c>
      <c r="C3682" s="167" t="s">
        <v>1033</v>
      </c>
      <c r="D3682" s="118"/>
      <c r="E3682" s="172">
        <v>5000</v>
      </c>
    </row>
    <row r="3683" spans="1:5" x14ac:dyDescent="0.25">
      <c r="A3683" s="115">
        <f t="shared" si="63"/>
        <v>18</v>
      </c>
      <c r="B3683" s="166" t="s">
        <v>737</v>
      </c>
      <c r="C3683" s="167" t="s">
        <v>731</v>
      </c>
      <c r="D3683" s="118"/>
      <c r="E3683" s="172">
        <v>5000</v>
      </c>
    </row>
    <row r="3684" spans="1:5" x14ac:dyDescent="0.25">
      <c r="A3684" s="115">
        <f t="shared" si="63"/>
        <v>19</v>
      </c>
      <c r="B3684" s="166" t="s">
        <v>2859</v>
      </c>
      <c r="C3684" s="167" t="s">
        <v>2852</v>
      </c>
      <c r="D3684" s="118"/>
      <c r="E3684" s="172">
        <v>5000</v>
      </c>
    </row>
    <row r="3685" spans="1:5" x14ac:dyDescent="0.25">
      <c r="A3685" s="115">
        <f t="shared" si="63"/>
        <v>20</v>
      </c>
      <c r="B3685" s="166" t="s">
        <v>1132</v>
      </c>
      <c r="C3685" s="167" t="s">
        <v>1128</v>
      </c>
      <c r="D3685" s="118"/>
      <c r="E3685" s="172">
        <v>5000</v>
      </c>
    </row>
    <row r="3686" spans="1:5" x14ac:dyDescent="0.25">
      <c r="A3686" s="115">
        <f t="shared" si="63"/>
        <v>21</v>
      </c>
      <c r="B3686" s="166" t="s">
        <v>1178</v>
      </c>
      <c r="C3686" s="167" t="s">
        <v>1184</v>
      </c>
      <c r="D3686" s="118"/>
      <c r="E3686" s="172">
        <v>5000</v>
      </c>
    </row>
    <row r="3687" spans="1:5" x14ac:dyDescent="0.25">
      <c r="A3687" s="115">
        <f t="shared" si="63"/>
        <v>22</v>
      </c>
      <c r="B3687" s="166" t="s">
        <v>320</v>
      </c>
      <c r="C3687" s="167" t="s">
        <v>307</v>
      </c>
      <c r="D3687" s="118"/>
      <c r="E3687" s="172">
        <v>5000</v>
      </c>
    </row>
    <row r="3688" spans="1:5" x14ac:dyDescent="0.25">
      <c r="A3688" s="115">
        <f t="shared" si="63"/>
        <v>23</v>
      </c>
      <c r="B3688" s="166" t="s">
        <v>2860</v>
      </c>
      <c r="C3688" s="167" t="s">
        <v>2853</v>
      </c>
      <c r="D3688" s="118"/>
      <c r="E3688" s="172">
        <v>12500</v>
      </c>
    </row>
    <row r="3689" spans="1:5" x14ac:dyDescent="0.25">
      <c r="A3689" s="115">
        <f t="shared" si="63"/>
        <v>24</v>
      </c>
      <c r="B3689" s="166" t="s">
        <v>2861</v>
      </c>
      <c r="C3689" s="167" t="s">
        <v>2854</v>
      </c>
      <c r="D3689" s="170"/>
      <c r="E3689" s="174">
        <v>12500</v>
      </c>
    </row>
    <row r="3690" spans="1:5" x14ac:dyDescent="0.25">
      <c r="A3690" s="115">
        <f t="shared" si="63"/>
        <v>25</v>
      </c>
      <c r="B3690" s="166" t="s">
        <v>2862</v>
      </c>
      <c r="C3690" s="167" t="s">
        <v>2855</v>
      </c>
      <c r="D3690" s="170"/>
      <c r="E3690" s="174">
        <v>5000</v>
      </c>
    </row>
    <row r="3691" spans="1:5" x14ac:dyDescent="0.25">
      <c r="A3691" s="115">
        <f t="shared" si="63"/>
        <v>26</v>
      </c>
      <c r="B3691" s="166" t="s">
        <v>323</v>
      </c>
      <c r="C3691" s="167" t="s">
        <v>310</v>
      </c>
      <c r="D3691" s="170"/>
      <c r="E3691" s="174">
        <v>5000</v>
      </c>
    </row>
    <row r="3692" spans="1:5" x14ac:dyDescent="0.25">
      <c r="A3692" s="115">
        <f t="shared" si="63"/>
        <v>27</v>
      </c>
      <c r="B3692" s="166" t="s">
        <v>2863</v>
      </c>
      <c r="C3692" s="167" t="s">
        <v>2856</v>
      </c>
      <c r="D3692" s="170"/>
      <c r="E3692" s="174">
        <v>5000</v>
      </c>
    </row>
    <row r="3693" spans="1:5" x14ac:dyDescent="0.25">
      <c r="A3693" s="115">
        <f t="shared" si="63"/>
        <v>28</v>
      </c>
      <c r="B3693" s="166" t="s">
        <v>2864</v>
      </c>
      <c r="C3693" s="167" t="s">
        <v>2868</v>
      </c>
      <c r="D3693" s="170"/>
      <c r="E3693" s="174">
        <v>5000</v>
      </c>
    </row>
    <row r="3694" spans="1:5" x14ac:dyDescent="0.25">
      <c r="A3694" s="115">
        <f t="shared" si="63"/>
        <v>29</v>
      </c>
      <c r="B3694" s="166" t="s">
        <v>513</v>
      </c>
      <c r="C3694" s="167" t="s">
        <v>521</v>
      </c>
      <c r="D3694" s="170"/>
      <c r="E3694" s="174">
        <v>5000</v>
      </c>
    </row>
    <row r="3695" spans="1:5" x14ac:dyDescent="0.25">
      <c r="A3695" s="115">
        <f t="shared" si="63"/>
        <v>30</v>
      </c>
      <c r="B3695" s="166" t="s">
        <v>2865</v>
      </c>
      <c r="C3695" s="167" t="s">
        <v>1186</v>
      </c>
      <c r="D3695" s="170"/>
      <c r="E3695" s="174">
        <v>5000</v>
      </c>
    </row>
    <row r="3696" spans="1:5" x14ac:dyDescent="0.25">
      <c r="A3696" s="115">
        <f t="shared" si="63"/>
        <v>31</v>
      </c>
      <c r="B3696" s="166" t="s">
        <v>2152</v>
      </c>
      <c r="C3696" s="167" t="s">
        <v>2162</v>
      </c>
      <c r="D3696" s="170"/>
      <c r="E3696" s="174">
        <v>5000</v>
      </c>
    </row>
    <row r="3697" spans="1:5" x14ac:dyDescent="0.25">
      <c r="A3697" s="115">
        <f t="shared" si="63"/>
        <v>32</v>
      </c>
      <c r="B3697" s="166" t="s">
        <v>826</v>
      </c>
      <c r="C3697" s="167" t="s">
        <v>838</v>
      </c>
      <c r="D3697" s="170"/>
      <c r="E3697" s="174">
        <v>5000</v>
      </c>
    </row>
    <row r="3698" spans="1:5" x14ac:dyDescent="0.25">
      <c r="A3698" s="115">
        <f t="shared" si="63"/>
        <v>33</v>
      </c>
      <c r="B3698" s="166" t="s">
        <v>921</v>
      </c>
      <c r="C3698" s="167" t="s">
        <v>915</v>
      </c>
      <c r="D3698" s="170"/>
      <c r="E3698" s="174">
        <v>5000</v>
      </c>
    </row>
    <row r="3699" spans="1:5" x14ac:dyDescent="0.25">
      <c r="A3699" s="115">
        <f t="shared" si="63"/>
        <v>34</v>
      </c>
      <c r="B3699" s="166" t="s">
        <v>2866</v>
      </c>
      <c r="C3699" s="167" t="s">
        <v>2869</v>
      </c>
      <c r="D3699" s="170"/>
      <c r="E3699" s="174">
        <v>5000</v>
      </c>
    </row>
    <row r="3700" spans="1:5" x14ac:dyDescent="0.25">
      <c r="A3700" s="115">
        <f t="shared" si="63"/>
        <v>35</v>
      </c>
      <c r="B3700" s="166" t="s">
        <v>2867</v>
      </c>
      <c r="C3700" s="167" t="s">
        <v>2870</v>
      </c>
      <c r="D3700" s="170"/>
      <c r="E3700" s="174">
        <v>12500</v>
      </c>
    </row>
    <row r="3701" spans="1:5" x14ac:dyDescent="0.25">
      <c r="A3701" s="115">
        <f t="shared" si="63"/>
        <v>36</v>
      </c>
      <c r="B3701" s="166" t="s">
        <v>2876</v>
      </c>
      <c r="C3701" s="167" t="s">
        <v>2871</v>
      </c>
      <c r="D3701" s="170"/>
      <c r="E3701" s="174">
        <v>5000</v>
      </c>
    </row>
    <row r="3702" spans="1:5" x14ac:dyDescent="0.25">
      <c r="A3702" s="115">
        <f t="shared" si="63"/>
        <v>37</v>
      </c>
      <c r="B3702" s="166" t="s">
        <v>753</v>
      </c>
      <c r="C3702" s="167" t="s">
        <v>748</v>
      </c>
      <c r="D3702" s="170"/>
      <c r="E3702" s="174">
        <v>5000</v>
      </c>
    </row>
    <row r="3703" spans="1:5" x14ac:dyDescent="0.25">
      <c r="A3703" s="115">
        <f t="shared" si="63"/>
        <v>38</v>
      </c>
      <c r="B3703" s="166" t="s">
        <v>2877</v>
      </c>
      <c r="C3703" s="167" t="s">
        <v>2872</v>
      </c>
      <c r="D3703" s="170"/>
      <c r="E3703" s="174">
        <v>12500</v>
      </c>
    </row>
    <row r="3704" spans="1:5" x14ac:dyDescent="0.25">
      <c r="A3704" s="115">
        <f t="shared" si="63"/>
        <v>39</v>
      </c>
      <c r="B3704" s="166" t="s">
        <v>392</v>
      </c>
      <c r="C3704" s="167" t="s">
        <v>401</v>
      </c>
      <c r="D3704" s="170"/>
      <c r="E3704" s="174">
        <v>5000</v>
      </c>
    </row>
    <row r="3705" spans="1:5" x14ac:dyDescent="0.25">
      <c r="A3705" s="115">
        <f t="shared" si="63"/>
        <v>40</v>
      </c>
      <c r="B3705" s="166" t="s">
        <v>2878</v>
      </c>
      <c r="C3705" s="167" t="s">
        <v>2873</v>
      </c>
      <c r="D3705" s="170"/>
      <c r="E3705" s="174">
        <v>5000</v>
      </c>
    </row>
    <row r="3706" spans="1:5" x14ac:dyDescent="0.25">
      <c r="A3706" s="115">
        <f t="shared" si="63"/>
        <v>41</v>
      </c>
      <c r="B3706" s="166" t="s">
        <v>2879</v>
      </c>
      <c r="C3706" s="167" t="s">
        <v>2874</v>
      </c>
      <c r="D3706" s="170"/>
      <c r="E3706" s="174">
        <v>5000</v>
      </c>
    </row>
    <row r="3707" spans="1:5" x14ac:dyDescent="0.25">
      <c r="A3707" s="115">
        <f t="shared" si="63"/>
        <v>42</v>
      </c>
      <c r="B3707" s="166" t="s">
        <v>2880</v>
      </c>
      <c r="C3707" s="167" t="s">
        <v>2875</v>
      </c>
      <c r="D3707" s="170"/>
      <c r="E3707" s="174">
        <v>5000</v>
      </c>
    </row>
    <row r="3708" spans="1:5" x14ac:dyDescent="0.25">
      <c r="A3708" s="115">
        <f t="shared" si="63"/>
        <v>43</v>
      </c>
      <c r="B3708" s="166" t="s">
        <v>2881</v>
      </c>
      <c r="C3708" s="167" t="s">
        <v>1145</v>
      </c>
      <c r="D3708" s="170"/>
      <c r="E3708" s="174">
        <v>5000</v>
      </c>
    </row>
    <row r="3709" spans="1:5" x14ac:dyDescent="0.25">
      <c r="A3709" s="115">
        <f t="shared" si="63"/>
        <v>44</v>
      </c>
      <c r="B3709" s="166" t="s">
        <v>407</v>
      </c>
      <c r="C3709" s="167" t="s">
        <v>337</v>
      </c>
      <c r="D3709" s="170"/>
      <c r="E3709" s="174">
        <v>5000</v>
      </c>
    </row>
    <row r="3710" spans="1:5" x14ac:dyDescent="0.25">
      <c r="A3710" s="115">
        <f t="shared" si="63"/>
        <v>45</v>
      </c>
      <c r="B3710" s="166" t="s">
        <v>2882</v>
      </c>
      <c r="C3710" s="167" t="s">
        <v>2884</v>
      </c>
      <c r="D3710" s="170"/>
      <c r="E3710" s="174">
        <v>22500</v>
      </c>
    </row>
    <row r="3711" spans="1:5" x14ac:dyDescent="0.25">
      <c r="A3711" s="115">
        <f t="shared" si="63"/>
        <v>46</v>
      </c>
      <c r="B3711" s="166" t="s">
        <v>2883</v>
      </c>
      <c r="C3711" s="167" t="s">
        <v>2885</v>
      </c>
      <c r="D3711" s="170"/>
      <c r="E3711" s="174">
        <v>5000</v>
      </c>
    </row>
    <row r="3712" spans="1:5" x14ac:dyDescent="0.25">
      <c r="A3712" s="169"/>
      <c r="B3712" s="166"/>
      <c r="C3712" s="167"/>
      <c r="D3712" s="170"/>
      <c r="E3712" s="171"/>
    </row>
    <row r="3713" spans="1:5" ht="15.75" thickBot="1" x14ac:dyDescent="0.3">
      <c r="A3713" s="120"/>
      <c r="B3713" s="577" t="s">
        <v>15</v>
      </c>
      <c r="C3713" s="578"/>
      <c r="D3713" s="579"/>
      <c r="E3713" s="121">
        <f>SUM(E3666:E3712)</f>
        <v>447500</v>
      </c>
    </row>
    <row r="3714" spans="1:5" x14ac:dyDescent="0.25">
      <c r="A3714" s="110"/>
      <c r="B3714" s="145"/>
      <c r="C3714" s="145"/>
      <c r="E3714" s="146"/>
    </row>
    <row r="3715" spans="1:5" x14ac:dyDescent="0.25">
      <c r="A3715" s="109"/>
      <c r="B3715" s="109"/>
      <c r="C3715" s="110"/>
      <c r="D3715" s="123" t="s">
        <v>2833</v>
      </c>
      <c r="E3715" s="109"/>
    </row>
    <row r="3716" spans="1:5" x14ac:dyDescent="0.25">
      <c r="D3716" s="123" t="s">
        <v>100</v>
      </c>
    </row>
    <row r="3764" spans="1:5" x14ac:dyDescent="0.25">
      <c r="A3764" s="108" t="s">
        <v>0</v>
      </c>
      <c r="B3764" s="144"/>
      <c r="C3764" s="144"/>
      <c r="D3764" s="144"/>
      <c r="E3764" s="144"/>
    </row>
    <row r="3765" spans="1:5" x14ac:dyDescent="0.25">
      <c r="A3765" s="108" t="s">
        <v>1</v>
      </c>
      <c r="B3765" s="109"/>
      <c r="C3765" s="110"/>
      <c r="D3765" s="109"/>
      <c r="E3765" s="109"/>
    </row>
    <row r="3766" spans="1:5" x14ac:dyDescent="0.25">
      <c r="A3766" s="108"/>
      <c r="B3766" s="109"/>
      <c r="C3766" s="110"/>
      <c r="D3766" s="109"/>
      <c r="E3766" s="109"/>
    </row>
    <row r="3767" spans="1:5" x14ac:dyDescent="0.25">
      <c r="A3767" s="111" t="s">
        <v>101</v>
      </c>
      <c r="B3767" s="111"/>
      <c r="C3767" s="111"/>
      <c r="D3767" s="111"/>
      <c r="E3767" s="111"/>
    </row>
    <row r="3768" spans="1:5" x14ac:dyDescent="0.25">
      <c r="A3768" s="575" t="s">
        <v>119</v>
      </c>
      <c r="B3768" s="576"/>
      <c r="C3768" s="576"/>
      <c r="D3768" s="576"/>
      <c r="E3768" s="576"/>
    </row>
    <row r="3769" spans="1:5" x14ac:dyDescent="0.25">
      <c r="A3769" s="110"/>
      <c r="B3769" s="110"/>
      <c r="C3769" s="110"/>
      <c r="D3769" s="110"/>
      <c r="E3769" s="110"/>
    </row>
    <row r="3770" spans="1:5" ht="15.75" thickBot="1" x14ac:dyDescent="0.3">
      <c r="A3770" s="109"/>
      <c r="B3770" s="109"/>
      <c r="C3770" s="110"/>
      <c r="D3770" s="109"/>
      <c r="E3770" s="124" t="s">
        <v>2886</v>
      </c>
    </row>
    <row r="3771" spans="1:5" x14ac:dyDescent="0.25">
      <c r="A3771" s="112" t="s">
        <v>21</v>
      </c>
      <c r="B3771" s="113" t="s">
        <v>96</v>
      </c>
      <c r="C3771" s="113" t="s">
        <v>97</v>
      </c>
      <c r="D3771" s="113" t="s">
        <v>91</v>
      </c>
      <c r="E3771" s="114" t="s">
        <v>15</v>
      </c>
    </row>
    <row r="3772" spans="1:5" x14ac:dyDescent="0.25">
      <c r="A3772" s="115">
        <v>1</v>
      </c>
      <c r="B3772" s="166" t="s">
        <v>760</v>
      </c>
      <c r="C3772" s="167" t="s">
        <v>766</v>
      </c>
      <c r="D3772" s="118"/>
      <c r="E3772" s="119">
        <v>5000</v>
      </c>
    </row>
    <row r="3773" spans="1:5" x14ac:dyDescent="0.25">
      <c r="A3773" s="115">
        <f>A3772+1</f>
        <v>2</v>
      </c>
      <c r="B3773" s="166" t="s">
        <v>2888</v>
      </c>
      <c r="C3773" s="167" t="s">
        <v>2889</v>
      </c>
      <c r="D3773" s="118"/>
      <c r="E3773" s="119">
        <v>132500</v>
      </c>
    </row>
    <row r="3774" spans="1:5" x14ac:dyDescent="0.25">
      <c r="A3774" s="115">
        <f t="shared" ref="A3774:A3810" si="64">A3773+1</f>
        <v>3</v>
      </c>
      <c r="B3774" s="166" t="s">
        <v>2895</v>
      </c>
      <c r="C3774" s="167" t="s">
        <v>2890</v>
      </c>
      <c r="D3774" s="118"/>
      <c r="E3774" s="172">
        <v>22500</v>
      </c>
    </row>
    <row r="3775" spans="1:5" x14ac:dyDescent="0.25">
      <c r="A3775" s="115">
        <f t="shared" si="64"/>
        <v>4</v>
      </c>
      <c r="B3775" s="166" t="s">
        <v>942</v>
      </c>
      <c r="C3775" s="167" t="s">
        <v>937</v>
      </c>
      <c r="D3775" s="118"/>
      <c r="E3775" s="172">
        <v>5000</v>
      </c>
    </row>
    <row r="3776" spans="1:5" x14ac:dyDescent="0.25">
      <c r="A3776" s="115">
        <f t="shared" si="64"/>
        <v>5</v>
      </c>
      <c r="B3776" s="166" t="s">
        <v>2896</v>
      </c>
      <c r="C3776" s="167" t="s">
        <v>2891</v>
      </c>
      <c r="D3776" s="118"/>
      <c r="E3776" s="172">
        <v>22500</v>
      </c>
    </row>
    <row r="3777" spans="1:5" x14ac:dyDescent="0.25">
      <c r="A3777" s="115">
        <f t="shared" si="64"/>
        <v>6</v>
      </c>
      <c r="B3777" s="166" t="s">
        <v>2897</v>
      </c>
      <c r="C3777" s="167" t="s">
        <v>2892</v>
      </c>
      <c r="D3777" s="118"/>
      <c r="E3777" s="172">
        <v>102500</v>
      </c>
    </row>
    <row r="3778" spans="1:5" x14ac:dyDescent="0.25">
      <c r="A3778" s="115">
        <f t="shared" si="64"/>
        <v>7</v>
      </c>
      <c r="B3778" s="166" t="s">
        <v>2898</v>
      </c>
      <c r="C3778" s="167" t="s">
        <v>2893</v>
      </c>
      <c r="D3778" s="118"/>
      <c r="E3778" s="172">
        <v>12500</v>
      </c>
    </row>
    <row r="3779" spans="1:5" x14ac:dyDescent="0.25">
      <c r="A3779" s="115">
        <f t="shared" si="64"/>
        <v>8</v>
      </c>
      <c r="B3779" s="166" t="s">
        <v>2899</v>
      </c>
      <c r="C3779" s="167" t="s">
        <v>2894</v>
      </c>
      <c r="D3779" s="118"/>
      <c r="E3779" s="172">
        <v>112500</v>
      </c>
    </row>
    <row r="3780" spans="1:5" x14ac:dyDescent="0.25">
      <c r="A3780" s="115">
        <f t="shared" si="64"/>
        <v>9</v>
      </c>
      <c r="B3780" s="166" t="s">
        <v>2900</v>
      </c>
      <c r="C3780" s="167" t="s">
        <v>2903</v>
      </c>
      <c r="D3780" s="118"/>
      <c r="E3780" s="172">
        <v>12500</v>
      </c>
    </row>
    <row r="3781" spans="1:5" x14ac:dyDescent="0.25">
      <c r="A3781" s="115">
        <f t="shared" si="64"/>
        <v>10</v>
      </c>
      <c r="B3781" s="166" t="s">
        <v>665</v>
      </c>
      <c r="C3781" s="167" t="s">
        <v>675</v>
      </c>
      <c r="D3781" s="118"/>
      <c r="E3781" s="172">
        <v>5000</v>
      </c>
    </row>
    <row r="3782" spans="1:5" x14ac:dyDescent="0.25">
      <c r="A3782" s="115">
        <f t="shared" si="64"/>
        <v>11</v>
      </c>
      <c r="B3782" s="166" t="s">
        <v>2901</v>
      </c>
      <c r="C3782" s="167" t="s">
        <v>2904</v>
      </c>
      <c r="D3782" s="118"/>
      <c r="E3782" s="172">
        <v>12500</v>
      </c>
    </row>
    <row r="3783" spans="1:5" x14ac:dyDescent="0.25">
      <c r="A3783" s="115">
        <f t="shared" si="64"/>
        <v>12</v>
      </c>
      <c r="B3783" s="166" t="s">
        <v>2902</v>
      </c>
      <c r="C3783" s="167" t="s">
        <v>2905</v>
      </c>
      <c r="D3783" s="118"/>
      <c r="E3783" s="172">
        <v>20000</v>
      </c>
    </row>
    <row r="3784" spans="1:5" x14ac:dyDescent="0.25">
      <c r="A3784" s="115">
        <f t="shared" si="64"/>
        <v>13</v>
      </c>
      <c r="B3784" s="166" t="s">
        <v>2910</v>
      </c>
      <c r="C3784" s="167" t="s">
        <v>2906</v>
      </c>
      <c r="D3784" s="118"/>
      <c r="E3784" s="172">
        <v>12500</v>
      </c>
    </row>
    <row r="3785" spans="1:5" x14ac:dyDescent="0.25">
      <c r="A3785" s="115">
        <f t="shared" si="64"/>
        <v>14</v>
      </c>
      <c r="B3785" s="166" t="s">
        <v>2911</v>
      </c>
      <c r="C3785" s="167" t="s">
        <v>2907</v>
      </c>
      <c r="D3785" s="118"/>
      <c r="E3785" s="172">
        <v>12500</v>
      </c>
    </row>
    <row r="3786" spans="1:5" x14ac:dyDescent="0.25">
      <c r="A3786" s="115">
        <f t="shared" si="64"/>
        <v>15</v>
      </c>
      <c r="B3786" s="166" t="s">
        <v>2912</v>
      </c>
      <c r="C3786" s="167" t="s">
        <v>2908</v>
      </c>
      <c r="D3786" s="118"/>
      <c r="E3786" s="172">
        <v>12500</v>
      </c>
    </row>
    <row r="3787" spans="1:5" x14ac:dyDescent="0.25">
      <c r="A3787" s="115">
        <f t="shared" si="64"/>
        <v>16</v>
      </c>
      <c r="B3787" s="166" t="s">
        <v>2913</v>
      </c>
      <c r="C3787" s="167" t="s">
        <v>2909</v>
      </c>
      <c r="D3787" s="118"/>
      <c r="E3787" s="172">
        <v>52500</v>
      </c>
    </row>
    <row r="3788" spans="1:5" x14ac:dyDescent="0.25">
      <c r="A3788" s="115">
        <f t="shared" si="64"/>
        <v>17</v>
      </c>
      <c r="B3788" s="166" t="s">
        <v>1092</v>
      </c>
      <c r="C3788" s="167" t="s">
        <v>1099</v>
      </c>
      <c r="D3788" s="118"/>
      <c r="E3788" s="172">
        <v>5000</v>
      </c>
    </row>
    <row r="3789" spans="1:5" x14ac:dyDescent="0.25">
      <c r="A3789" s="115">
        <f t="shared" si="64"/>
        <v>18</v>
      </c>
      <c r="B3789" s="166" t="s">
        <v>2914</v>
      </c>
      <c r="C3789" s="167" t="s">
        <v>2917</v>
      </c>
      <c r="D3789" s="118"/>
      <c r="E3789" s="172">
        <v>32500</v>
      </c>
    </row>
    <row r="3790" spans="1:5" x14ac:dyDescent="0.25">
      <c r="A3790" s="115">
        <f t="shared" si="64"/>
        <v>19</v>
      </c>
      <c r="B3790" s="166" t="s">
        <v>2915</v>
      </c>
      <c r="C3790" s="167" t="s">
        <v>2918</v>
      </c>
      <c r="D3790" s="118"/>
      <c r="E3790" s="172">
        <v>12500</v>
      </c>
    </row>
    <row r="3791" spans="1:5" x14ac:dyDescent="0.25">
      <c r="A3791" s="115">
        <f t="shared" si="64"/>
        <v>20</v>
      </c>
      <c r="B3791" s="166" t="s">
        <v>2919</v>
      </c>
      <c r="C3791" s="167" t="s">
        <v>2920</v>
      </c>
      <c r="D3791" s="118"/>
      <c r="E3791" s="172">
        <v>10000</v>
      </c>
    </row>
    <row r="3792" spans="1:5" x14ac:dyDescent="0.25">
      <c r="A3792" s="115">
        <f t="shared" si="64"/>
        <v>21</v>
      </c>
      <c r="B3792" s="166" t="s">
        <v>967</v>
      </c>
      <c r="C3792" s="167" t="s">
        <v>961</v>
      </c>
      <c r="D3792" s="118"/>
      <c r="E3792" s="172">
        <v>5000</v>
      </c>
    </row>
    <row r="3793" spans="1:5" x14ac:dyDescent="0.25">
      <c r="A3793" s="115">
        <f t="shared" si="64"/>
        <v>22</v>
      </c>
      <c r="B3793" s="166" t="s">
        <v>2916</v>
      </c>
      <c r="C3793" s="167" t="s">
        <v>2921</v>
      </c>
      <c r="D3793" s="118"/>
      <c r="E3793" s="172">
        <v>12500</v>
      </c>
    </row>
    <row r="3794" spans="1:5" x14ac:dyDescent="0.25">
      <c r="A3794" s="115">
        <f t="shared" si="64"/>
        <v>23</v>
      </c>
      <c r="B3794" s="166" t="s">
        <v>1565</v>
      </c>
      <c r="C3794" s="167" t="s">
        <v>2922</v>
      </c>
      <c r="D3794" s="118"/>
      <c r="E3794" s="172">
        <v>12500</v>
      </c>
    </row>
    <row r="3795" spans="1:5" x14ac:dyDescent="0.25">
      <c r="A3795" s="115">
        <f t="shared" si="64"/>
        <v>24</v>
      </c>
      <c r="B3795" s="166" t="s">
        <v>2923</v>
      </c>
      <c r="C3795" s="167" t="s">
        <v>2926</v>
      </c>
      <c r="D3795" s="118"/>
      <c r="E3795" s="172">
        <v>92500</v>
      </c>
    </row>
    <row r="3796" spans="1:5" x14ac:dyDescent="0.25">
      <c r="A3796" s="115">
        <f t="shared" si="64"/>
        <v>25</v>
      </c>
      <c r="B3796" s="166" t="s">
        <v>2924</v>
      </c>
      <c r="C3796" s="167" t="s">
        <v>2927</v>
      </c>
      <c r="D3796" s="170"/>
      <c r="E3796" s="174">
        <v>12500</v>
      </c>
    </row>
    <row r="3797" spans="1:5" x14ac:dyDescent="0.25">
      <c r="A3797" s="115">
        <f t="shared" si="64"/>
        <v>26</v>
      </c>
      <c r="B3797" s="166" t="s">
        <v>1744</v>
      </c>
      <c r="C3797" s="167" t="s">
        <v>2928</v>
      </c>
      <c r="D3797" s="170"/>
      <c r="E3797" s="174">
        <v>12500</v>
      </c>
    </row>
    <row r="3798" spans="1:5" x14ac:dyDescent="0.25">
      <c r="A3798" s="115">
        <f t="shared" si="64"/>
        <v>27</v>
      </c>
      <c r="B3798" s="166" t="s">
        <v>788</v>
      </c>
      <c r="C3798" s="167" t="s">
        <v>778</v>
      </c>
      <c r="D3798" s="170"/>
      <c r="E3798" s="174">
        <v>5000</v>
      </c>
    </row>
    <row r="3799" spans="1:5" x14ac:dyDescent="0.25">
      <c r="A3799" s="115">
        <f t="shared" si="64"/>
        <v>28</v>
      </c>
      <c r="B3799" s="166" t="s">
        <v>791</v>
      </c>
      <c r="C3799" s="167" t="s">
        <v>780</v>
      </c>
      <c r="D3799" s="170"/>
      <c r="E3799" s="174">
        <v>5000</v>
      </c>
    </row>
    <row r="3800" spans="1:5" x14ac:dyDescent="0.25">
      <c r="A3800" s="115">
        <f t="shared" si="64"/>
        <v>29</v>
      </c>
      <c r="B3800" s="166" t="s">
        <v>708</v>
      </c>
      <c r="C3800" s="167" t="s">
        <v>715</v>
      </c>
      <c r="D3800" s="170"/>
      <c r="E3800" s="174">
        <v>5000</v>
      </c>
    </row>
    <row r="3801" spans="1:5" x14ac:dyDescent="0.25">
      <c r="A3801" s="115">
        <f t="shared" si="64"/>
        <v>30</v>
      </c>
      <c r="B3801" s="166" t="s">
        <v>2147</v>
      </c>
      <c r="C3801" s="167" t="s">
        <v>2157</v>
      </c>
      <c r="D3801" s="170"/>
      <c r="E3801" s="174">
        <v>5000</v>
      </c>
    </row>
    <row r="3802" spans="1:5" x14ac:dyDescent="0.25">
      <c r="A3802" s="115">
        <f t="shared" si="64"/>
        <v>31</v>
      </c>
      <c r="B3802" s="166" t="s">
        <v>2925</v>
      </c>
      <c r="C3802" s="167" t="s">
        <v>2929</v>
      </c>
      <c r="D3802" s="170"/>
      <c r="E3802" s="174">
        <v>22500</v>
      </c>
    </row>
    <row r="3803" spans="1:5" x14ac:dyDescent="0.25">
      <c r="A3803" s="115">
        <f t="shared" si="64"/>
        <v>32</v>
      </c>
      <c r="B3803" s="166" t="s">
        <v>2934</v>
      </c>
      <c r="C3803" s="167" t="s">
        <v>2930</v>
      </c>
      <c r="D3803" s="170"/>
      <c r="E3803" s="174">
        <v>102500</v>
      </c>
    </row>
    <row r="3804" spans="1:5" x14ac:dyDescent="0.25">
      <c r="A3804" s="115">
        <f t="shared" si="64"/>
        <v>33</v>
      </c>
      <c r="B3804" s="166" t="s">
        <v>2935</v>
      </c>
      <c r="C3804" s="167" t="s">
        <v>2931</v>
      </c>
      <c r="D3804" s="170"/>
      <c r="E3804" s="174">
        <v>32500</v>
      </c>
    </row>
    <row r="3805" spans="1:5" x14ac:dyDescent="0.25">
      <c r="A3805" s="115">
        <f t="shared" si="64"/>
        <v>34</v>
      </c>
      <c r="B3805" s="166" t="s">
        <v>2936</v>
      </c>
      <c r="C3805" s="167" t="s">
        <v>2932</v>
      </c>
      <c r="D3805" s="170"/>
      <c r="E3805" s="174">
        <v>12500</v>
      </c>
    </row>
    <row r="3806" spans="1:5" x14ac:dyDescent="0.25">
      <c r="A3806" s="115">
        <f t="shared" si="64"/>
        <v>35</v>
      </c>
      <c r="B3806" s="166" t="s">
        <v>2937</v>
      </c>
      <c r="C3806" s="167" t="s">
        <v>1366</v>
      </c>
      <c r="D3806" s="170"/>
      <c r="E3806" s="174">
        <v>5000</v>
      </c>
    </row>
    <row r="3807" spans="1:5" x14ac:dyDescent="0.25">
      <c r="A3807" s="115">
        <f t="shared" si="64"/>
        <v>36</v>
      </c>
      <c r="B3807" s="166" t="s">
        <v>2938</v>
      </c>
      <c r="C3807" s="167" t="s">
        <v>2933</v>
      </c>
      <c r="D3807" s="170"/>
      <c r="E3807" s="174">
        <v>22500</v>
      </c>
    </row>
    <row r="3808" spans="1:5" x14ac:dyDescent="0.25">
      <c r="A3808" s="115">
        <f t="shared" si="64"/>
        <v>37</v>
      </c>
      <c r="B3808" s="166" t="s">
        <v>1433</v>
      </c>
      <c r="C3808" s="167" t="s">
        <v>1440</v>
      </c>
      <c r="D3808" s="170"/>
      <c r="E3808" s="174">
        <v>5000</v>
      </c>
    </row>
    <row r="3809" spans="1:5" x14ac:dyDescent="0.25">
      <c r="A3809" s="115">
        <f t="shared" si="64"/>
        <v>38</v>
      </c>
      <c r="B3809" s="166" t="s">
        <v>1090</v>
      </c>
      <c r="C3809" s="167" t="s">
        <v>1341</v>
      </c>
      <c r="D3809" s="170"/>
      <c r="E3809" s="174">
        <v>5000</v>
      </c>
    </row>
    <row r="3810" spans="1:5" x14ac:dyDescent="0.25">
      <c r="A3810" s="115">
        <f t="shared" si="64"/>
        <v>39</v>
      </c>
      <c r="B3810" s="166" t="s">
        <v>1377</v>
      </c>
      <c r="C3810" s="167" t="s">
        <v>1386</v>
      </c>
      <c r="D3810" s="170"/>
      <c r="E3810" s="174">
        <v>5000</v>
      </c>
    </row>
    <row r="3811" spans="1:5" x14ac:dyDescent="0.25">
      <c r="A3811" s="169"/>
      <c r="B3811" s="166"/>
      <c r="C3811" s="167"/>
      <c r="D3811" s="170"/>
      <c r="E3811" s="171"/>
    </row>
    <row r="3812" spans="1:5" ht="15.75" thickBot="1" x14ac:dyDescent="0.3">
      <c r="A3812" s="120"/>
      <c r="B3812" s="577" t="s">
        <v>15</v>
      </c>
      <c r="C3812" s="578"/>
      <c r="D3812" s="579"/>
      <c r="E3812" s="121">
        <f>SUM(E3772:E3811)</f>
        <v>995000</v>
      </c>
    </row>
    <row r="3813" spans="1:5" x14ac:dyDescent="0.25">
      <c r="A3813" s="110"/>
      <c r="B3813" s="145"/>
      <c r="C3813" s="145"/>
      <c r="E3813" s="146"/>
    </row>
    <row r="3814" spans="1:5" x14ac:dyDescent="0.25">
      <c r="A3814" s="109"/>
      <c r="B3814" s="109"/>
      <c r="C3814" s="110"/>
      <c r="D3814" s="123" t="s">
        <v>2887</v>
      </c>
      <c r="E3814" s="109"/>
    </row>
    <row r="3815" spans="1:5" x14ac:dyDescent="0.25">
      <c r="D3815" s="123" t="s">
        <v>100</v>
      </c>
    </row>
    <row r="3817" spans="1:5" x14ac:dyDescent="0.25">
      <c r="A3817" s="108" t="s">
        <v>0</v>
      </c>
      <c r="B3817" s="144"/>
      <c r="C3817" s="144"/>
      <c r="D3817" s="144"/>
      <c r="E3817" s="144"/>
    </row>
    <row r="3818" spans="1:5" x14ac:dyDescent="0.25">
      <c r="A3818" s="108" t="s">
        <v>1</v>
      </c>
      <c r="B3818" s="109"/>
      <c r="C3818" s="110"/>
      <c r="D3818" s="109"/>
      <c r="E3818" s="109"/>
    </row>
    <row r="3819" spans="1:5" x14ac:dyDescent="0.25">
      <c r="A3819" s="108"/>
      <c r="B3819" s="109"/>
      <c r="C3819" s="110"/>
      <c r="D3819" s="109"/>
      <c r="E3819" s="109"/>
    </row>
    <row r="3820" spans="1:5" x14ac:dyDescent="0.25">
      <c r="A3820" s="111" t="s">
        <v>101</v>
      </c>
      <c r="B3820" s="111"/>
      <c r="C3820" s="111"/>
      <c r="D3820" s="111"/>
      <c r="E3820" s="111"/>
    </row>
    <row r="3821" spans="1:5" x14ac:dyDescent="0.25">
      <c r="A3821" s="575" t="s">
        <v>119</v>
      </c>
      <c r="B3821" s="576"/>
      <c r="C3821" s="576"/>
      <c r="D3821" s="576"/>
      <c r="E3821" s="576"/>
    </row>
    <row r="3822" spans="1:5" x14ac:dyDescent="0.25">
      <c r="A3822" s="110"/>
      <c r="B3822" s="110"/>
      <c r="C3822" s="110"/>
      <c r="D3822" s="110"/>
      <c r="E3822" s="110"/>
    </row>
    <row r="3823" spans="1:5" ht="15.75" thickBot="1" x14ac:dyDescent="0.3">
      <c r="A3823" s="109"/>
      <c r="B3823" s="109"/>
      <c r="C3823" s="110"/>
      <c r="D3823" s="109"/>
      <c r="E3823" s="124" t="s">
        <v>2939</v>
      </c>
    </row>
    <row r="3824" spans="1:5" x14ac:dyDescent="0.25">
      <c r="A3824" s="112" t="s">
        <v>21</v>
      </c>
      <c r="B3824" s="113" t="s">
        <v>96</v>
      </c>
      <c r="C3824" s="113" t="s">
        <v>97</v>
      </c>
      <c r="D3824" s="113" t="s">
        <v>91</v>
      </c>
      <c r="E3824" s="114" t="s">
        <v>15</v>
      </c>
    </row>
    <row r="3825" spans="1:5" x14ac:dyDescent="0.25">
      <c r="A3825" s="115">
        <v>1</v>
      </c>
      <c r="B3825" s="166" t="s">
        <v>1046</v>
      </c>
      <c r="C3825" s="167" t="s">
        <v>2945</v>
      </c>
      <c r="D3825" s="118"/>
      <c r="E3825" s="119">
        <v>22500</v>
      </c>
    </row>
    <row r="3826" spans="1:5" x14ac:dyDescent="0.25">
      <c r="A3826" s="115">
        <f>A3825+1</f>
        <v>2</v>
      </c>
      <c r="B3826" s="166" t="s">
        <v>2941</v>
      </c>
      <c r="C3826" s="167" t="s">
        <v>2946</v>
      </c>
      <c r="D3826" s="118"/>
      <c r="E3826" s="119">
        <v>52500</v>
      </c>
    </row>
    <row r="3827" spans="1:5" x14ac:dyDescent="0.25">
      <c r="A3827" s="115">
        <f t="shared" ref="A3827:A3856" si="65">A3826+1</f>
        <v>3</v>
      </c>
      <c r="B3827" s="166" t="s">
        <v>2942</v>
      </c>
      <c r="C3827" s="167" t="s">
        <v>2947</v>
      </c>
      <c r="D3827" s="118"/>
      <c r="E3827" s="172">
        <v>5000</v>
      </c>
    </row>
    <row r="3828" spans="1:5" x14ac:dyDescent="0.25">
      <c r="A3828" s="115">
        <f t="shared" si="65"/>
        <v>4</v>
      </c>
      <c r="B3828" s="166" t="s">
        <v>2943</v>
      </c>
      <c r="C3828" s="167" t="s">
        <v>2948</v>
      </c>
      <c r="D3828" s="118"/>
      <c r="E3828" s="172">
        <v>102500</v>
      </c>
    </row>
    <row r="3829" spans="1:5" x14ac:dyDescent="0.25">
      <c r="A3829" s="115">
        <f t="shared" si="65"/>
        <v>5</v>
      </c>
      <c r="B3829" s="166" t="s">
        <v>1276</v>
      </c>
      <c r="C3829" s="167" t="s">
        <v>1249</v>
      </c>
      <c r="D3829" s="118"/>
      <c r="E3829" s="172">
        <v>5000</v>
      </c>
    </row>
    <row r="3830" spans="1:5" x14ac:dyDescent="0.25">
      <c r="A3830" s="115">
        <f t="shared" si="65"/>
        <v>6</v>
      </c>
      <c r="B3830" s="166" t="s">
        <v>1090</v>
      </c>
      <c r="C3830" s="167" t="s">
        <v>1097</v>
      </c>
      <c r="D3830" s="118"/>
      <c r="E3830" s="172">
        <v>5000</v>
      </c>
    </row>
    <row r="3831" spans="1:5" x14ac:dyDescent="0.25">
      <c r="A3831" s="115">
        <f t="shared" si="65"/>
        <v>7</v>
      </c>
      <c r="B3831" s="166" t="s">
        <v>2944</v>
      </c>
      <c r="C3831" s="167" t="s">
        <v>2949</v>
      </c>
      <c r="D3831" s="118"/>
      <c r="E3831" s="172">
        <v>97500</v>
      </c>
    </row>
    <row r="3832" spans="1:5" x14ac:dyDescent="0.25">
      <c r="A3832" s="115">
        <f t="shared" si="65"/>
        <v>8</v>
      </c>
      <c r="B3832" s="166" t="s">
        <v>2950</v>
      </c>
      <c r="C3832" s="167" t="s">
        <v>2961</v>
      </c>
      <c r="D3832" s="118"/>
      <c r="E3832" s="172">
        <v>5000</v>
      </c>
    </row>
    <row r="3833" spans="1:5" x14ac:dyDescent="0.25">
      <c r="A3833" s="115">
        <f t="shared" si="65"/>
        <v>9</v>
      </c>
      <c r="B3833" s="166" t="s">
        <v>1129</v>
      </c>
      <c r="C3833" s="167" t="s">
        <v>1125</v>
      </c>
      <c r="D3833" s="118"/>
      <c r="E3833" s="172">
        <v>5000</v>
      </c>
    </row>
    <row r="3834" spans="1:5" x14ac:dyDescent="0.25">
      <c r="A3834" s="115">
        <f t="shared" si="65"/>
        <v>10</v>
      </c>
      <c r="B3834" s="166" t="s">
        <v>2951</v>
      </c>
      <c r="C3834" s="167" t="s">
        <v>2962</v>
      </c>
      <c r="D3834" s="118"/>
      <c r="E3834" s="172">
        <v>5000</v>
      </c>
    </row>
    <row r="3835" spans="1:5" x14ac:dyDescent="0.25">
      <c r="A3835" s="115">
        <f t="shared" si="65"/>
        <v>11</v>
      </c>
      <c r="B3835" s="166" t="s">
        <v>2952</v>
      </c>
      <c r="C3835" s="167" t="s">
        <v>2963</v>
      </c>
      <c r="D3835" s="118"/>
      <c r="E3835" s="172">
        <v>5000</v>
      </c>
    </row>
    <row r="3836" spans="1:5" x14ac:dyDescent="0.25">
      <c r="A3836" s="115">
        <f t="shared" si="65"/>
        <v>12</v>
      </c>
      <c r="B3836" s="166" t="s">
        <v>2953</v>
      </c>
      <c r="C3836" s="167" t="s">
        <v>2964</v>
      </c>
      <c r="D3836" s="118"/>
      <c r="E3836" s="172">
        <v>5000</v>
      </c>
    </row>
    <row r="3837" spans="1:5" x14ac:dyDescent="0.25">
      <c r="A3837" s="115">
        <f t="shared" si="65"/>
        <v>13</v>
      </c>
      <c r="B3837" s="166" t="s">
        <v>2954</v>
      </c>
      <c r="C3837" s="167" t="s">
        <v>2965</v>
      </c>
      <c r="D3837" s="118"/>
      <c r="E3837" s="172">
        <v>62500</v>
      </c>
    </row>
    <row r="3838" spans="1:5" x14ac:dyDescent="0.25">
      <c r="A3838" s="115">
        <f t="shared" si="65"/>
        <v>14</v>
      </c>
      <c r="B3838" s="166" t="s">
        <v>2955</v>
      </c>
      <c r="C3838" s="167" t="s">
        <v>2966</v>
      </c>
      <c r="D3838" s="118"/>
      <c r="E3838" s="172">
        <v>22500</v>
      </c>
    </row>
    <row r="3839" spans="1:5" x14ac:dyDescent="0.25">
      <c r="A3839" s="115">
        <f t="shared" si="65"/>
        <v>15</v>
      </c>
      <c r="B3839" s="166" t="s">
        <v>2956</v>
      </c>
      <c r="C3839" s="167" t="s">
        <v>2967</v>
      </c>
      <c r="D3839" s="118"/>
      <c r="E3839" s="172">
        <v>10000</v>
      </c>
    </row>
    <row r="3840" spans="1:5" x14ac:dyDescent="0.25">
      <c r="A3840" s="115">
        <f t="shared" si="65"/>
        <v>16</v>
      </c>
      <c r="B3840" s="166" t="s">
        <v>1001</v>
      </c>
      <c r="C3840" s="167" t="s">
        <v>1004</v>
      </c>
      <c r="D3840" s="118"/>
      <c r="E3840" s="172">
        <v>5000</v>
      </c>
    </row>
    <row r="3841" spans="1:5" x14ac:dyDescent="0.25">
      <c r="A3841" s="115">
        <f t="shared" si="65"/>
        <v>17</v>
      </c>
      <c r="B3841" s="166" t="s">
        <v>880</v>
      </c>
      <c r="C3841" s="167" t="s">
        <v>2968</v>
      </c>
      <c r="D3841" s="118"/>
      <c r="E3841" s="172">
        <v>92500</v>
      </c>
    </row>
    <row r="3842" spans="1:5" x14ac:dyDescent="0.25">
      <c r="A3842" s="115">
        <f t="shared" si="65"/>
        <v>18</v>
      </c>
      <c r="B3842" s="166" t="s">
        <v>2957</v>
      </c>
      <c r="C3842" s="167" t="s">
        <v>2969</v>
      </c>
      <c r="D3842" s="118"/>
      <c r="E3842" s="172">
        <v>20000</v>
      </c>
    </row>
    <row r="3843" spans="1:5" x14ac:dyDescent="0.25">
      <c r="A3843" s="115">
        <f t="shared" si="65"/>
        <v>19</v>
      </c>
      <c r="B3843" s="166" t="s">
        <v>327</v>
      </c>
      <c r="C3843" s="167" t="s">
        <v>334</v>
      </c>
      <c r="D3843" s="118"/>
      <c r="E3843" s="172">
        <v>12500</v>
      </c>
    </row>
    <row r="3844" spans="1:5" x14ac:dyDescent="0.25">
      <c r="A3844" s="115">
        <f t="shared" si="65"/>
        <v>20</v>
      </c>
      <c r="B3844" s="166" t="s">
        <v>2958</v>
      </c>
      <c r="C3844" s="167" t="s">
        <v>2970</v>
      </c>
      <c r="D3844" s="118"/>
      <c r="E3844" s="172">
        <v>42500</v>
      </c>
    </row>
    <row r="3845" spans="1:5" x14ac:dyDescent="0.25">
      <c r="A3845" s="115">
        <f t="shared" si="65"/>
        <v>21</v>
      </c>
      <c r="B3845" s="166" t="s">
        <v>2959</v>
      </c>
      <c r="C3845" s="167" t="s">
        <v>2971</v>
      </c>
      <c r="D3845" s="118"/>
      <c r="E3845" s="172">
        <v>5000</v>
      </c>
    </row>
    <row r="3846" spans="1:5" x14ac:dyDescent="0.25">
      <c r="A3846" s="115">
        <f t="shared" si="65"/>
        <v>22</v>
      </c>
      <c r="B3846" s="166" t="s">
        <v>2960</v>
      </c>
      <c r="C3846" s="167" t="s">
        <v>2972</v>
      </c>
      <c r="D3846" s="118"/>
      <c r="E3846" s="172">
        <v>102500</v>
      </c>
    </row>
    <row r="3847" spans="1:5" x14ac:dyDescent="0.25">
      <c r="A3847" s="115">
        <f t="shared" si="65"/>
        <v>23</v>
      </c>
      <c r="B3847" s="166" t="s">
        <v>2982</v>
      </c>
      <c r="C3847" s="167" t="s">
        <v>2973</v>
      </c>
      <c r="D3847" s="118"/>
      <c r="E3847" s="172">
        <v>22500</v>
      </c>
    </row>
    <row r="3848" spans="1:5" x14ac:dyDescent="0.25">
      <c r="A3848" s="115">
        <f t="shared" si="65"/>
        <v>24</v>
      </c>
      <c r="B3848" s="166" t="s">
        <v>436</v>
      </c>
      <c r="C3848" s="167" t="s">
        <v>2974</v>
      </c>
      <c r="D3848" s="118"/>
      <c r="E3848" s="172">
        <v>122500</v>
      </c>
    </row>
    <row r="3849" spans="1:5" x14ac:dyDescent="0.25">
      <c r="A3849" s="115">
        <f t="shared" si="65"/>
        <v>25</v>
      </c>
      <c r="B3849" s="166" t="s">
        <v>2983</v>
      </c>
      <c r="C3849" s="167" t="s">
        <v>2975</v>
      </c>
      <c r="D3849" s="170"/>
      <c r="E3849" s="174">
        <v>22500</v>
      </c>
    </row>
    <row r="3850" spans="1:5" x14ac:dyDescent="0.25">
      <c r="A3850" s="115">
        <f t="shared" si="65"/>
        <v>26</v>
      </c>
      <c r="B3850" s="166" t="s">
        <v>2984</v>
      </c>
      <c r="C3850" s="167" t="s">
        <v>2976</v>
      </c>
      <c r="D3850" s="170"/>
      <c r="E3850" s="174">
        <v>5000</v>
      </c>
    </row>
    <row r="3851" spans="1:5" x14ac:dyDescent="0.25">
      <c r="A3851" s="115">
        <f t="shared" si="65"/>
        <v>27</v>
      </c>
      <c r="B3851" s="166" t="s">
        <v>2985</v>
      </c>
      <c r="C3851" s="167" t="s">
        <v>2977</v>
      </c>
      <c r="D3851" s="170"/>
      <c r="E3851" s="174">
        <v>5000</v>
      </c>
    </row>
    <row r="3852" spans="1:5" x14ac:dyDescent="0.25">
      <c r="A3852" s="115">
        <f t="shared" si="65"/>
        <v>28</v>
      </c>
      <c r="B3852" s="166" t="s">
        <v>2986</v>
      </c>
      <c r="C3852" s="167" t="s">
        <v>2978</v>
      </c>
      <c r="D3852" s="170"/>
      <c r="E3852" s="174">
        <v>42500</v>
      </c>
    </row>
    <row r="3853" spans="1:5" x14ac:dyDescent="0.25">
      <c r="A3853" s="115">
        <f t="shared" si="65"/>
        <v>29</v>
      </c>
      <c r="B3853" s="166" t="s">
        <v>1346</v>
      </c>
      <c r="C3853" s="167" t="s">
        <v>1337</v>
      </c>
      <c r="D3853" s="170"/>
      <c r="E3853" s="174">
        <v>5000</v>
      </c>
    </row>
    <row r="3854" spans="1:5" x14ac:dyDescent="0.25">
      <c r="A3854" s="115">
        <f t="shared" si="65"/>
        <v>30</v>
      </c>
      <c r="B3854" s="166" t="s">
        <v>2987</v>
      </c>
      <c r="C3854" s="167" t="s">
        <v>2979</v>
      </c>
      <c r="D3854" s="170"/>
      <c r="E3854" s="174">
        <v>5000</v>
      </c>
    </row>
    <row r="3855" spans="1:5" x14ac:dyDescent="0.25">
      <c r="A3855" s="115">
        <f t="shared" si="65"/>
        <v>31</v>
      </c>
      <c r="B3855" s="166" t="s">
        <v>1288</v>
      </c>
      <c r="C3855" s="167" t="s">
        <v>2980</v>
      </c>
      <c r="D3855" s="170"/>
      <c r="E3855" s="174">
        <v>5000</v>
      </c>
    </row>
    <row r="3856" spans="1:5" x14ac:dyDescent="0.25">
      <c r="A3856" s="115">
        <f t="shared" si="65"/>
        <v>32</v>
      </c>
      <c r="B3856" s="166" t="s">
        <v>2988</v>
      </c>
      <c r="C3856" s="167" t="s">
        <v>2981</v>
      </c>
      <c r="D3856" s="170"/>
      <c r="E3856" s="174">
        <v>5000</v>
      </c>
    </row>
    <row r="3857" spans="1:5" x14ac:dyDescent="0.25">
      <c r="A3857" s="169"/>
      <c r="B3857" s="166"/>
      <c r="C3857" s="167"/>
      <c r="D3857" s="170"/>
      <c r="E3857" s="171"/>
    </row>
    <row r="3858" spans="1:5" ht="15.75" thickBot="1" x14ac:dyDescent="0.3">
      <c r="A3858" s="120"/>
      <c r="B3858" s="577" t="s">
        <v>15</v>
      </c>
      <c r="C3858" s="578"/>
      <c r="D3858" s="579"/>
      <c r="E3858" s="121">
        <f>SUM(E3825:E3857)</f>
        <v>930000</v>
      </c>
    </row>
    <row r="3859" spans="1:5" x14ac:dyDescent="0.25">
      <c r="A3859" s="110"/>
      <c r="B3859" s="145"/>
      <c r="C3859" s="145"/>
      <c r="E3859" s="146"/>
    </row>
    <row r="3860" spans="1:5" x14ac:dyDescent="0.25">
      <c r="A3860" s="109"/>
      <c r="B3860" s="109"/>
      <c r="C3860" s="110"/>
      <c r="D3860" s="123" t="s">
        <v>2940</v>
      </c>
      <c r="E3860" s="109"/>
    </row>
    <row r="3861" spans="1:5" x14ac:dyDescent="0.25">
      <c r="D3861" s="123" t="s">
        <v>100</v>
      </c>
    </row>
    <row r="3870" spans="1:5" x14ac:dyDescent="0.25">
      <c r="A3870" s="108" t="s">
        <v>0</v>
      </c>
      <c r="B3870" s="144"/>
      <c r="C3870" s="144"/>
      <c r="D3870" s="144"/>
      <c r="E3870" s="144"/>
    </row>
    <row r="3871" spans="1:5" x14ac:dyDescent="0.25">
      <c r="A3871" s="108" t="s">
        <v>1</v>
      </c>
      <c r="B3871" s="109"/>
      <c r="C3871" s="110"/>
      <c r="D3871" s="109"/>
      <c r="E3871" s="109"/>
    </row>
    <row r="3872" spans="1:5" x14ac:dyDescent="0.25">
      <c r="A3872" s="108"/>
      <c r="B3872" s="109"/>
      <c r="C3872" s="110"/>
      <c r="D3872" s="109"/>
      <c r="E3872" s="109"/>
    </row>
    <row r="3873" spans="1:5" x14ac:dyDescent="0.25">
      <c r="A3873" s="111" t="s">
        <v>101</v>
      </c>
      <c r="B3873" s="111"/>
      <c r="C3873" s="111"/>
      <c r="D3873" s="111"/>
      <c r="E3873" s="111"/>
    </row>
    <row r="3874" spans="1:5" x14ac:dyDescent="0.25">
      <c r="A3874" s="575" t="s">
        <v>119</v>
      </c>
      <c r="B3874" s="576"/>
      <c r="C3874" s="576"/>
      <c r="D3874" s="576"/>
      <c r="E3874" s="576"/>
    </row>
    <row r="3875" spans="1:5" x14ac:dyDescent="0.25">
      <c r="A3875" s="110"/>
      <c r="B3875" s="110"/>
      <c r="C3875" s="110"/>
      <c r="D3875" s="110"/>
      <c r="E3875" s="110"/>
    </row>
    <row r="3876" spans="1:5" ht="15.75" thickBot="1" x14ac:dyDescent="0.3">
      <c r="A3876" s="109"/>
      <c r="B3876" s="109"/>
      <c r="C3876" s="110"/>
      <c r="D3876" s="109"/>
      <c r="E3876" s="124" t="s">
        <v>2989</v>
      </c>
    </row>
    <row r="3877" spans="1:5" x14ac:dyDescent="0.25">
      <c r="A3877" s="112" t="s">
        <v>21</v>
      </c>
      <c r="B3877" s="113" t="s">
        <v>96</v>
      </c>
      <c r="C3877" s="113" t="s">
        <v>97</v>
      </c>
      <c r="D3877" s="113" t="s">
        <v>91</v>
      </c>
      <c r="E3877" s="114" t="s">
        <v>15</v>
      </c>
    </row>
    <row r="3878" spans="1:5" x14ac:dyDescent="0.25">
      <c r="A3878" s="115">
        <v>1</v>
      </c>
      <c r="B3878" s="166" t="s">
        <v>2369</v>
      </c>
      <c r="C3878" s="167" t="s">
        <v>2378</v>
      </c>
      <c r="D3878" s="118"/>
      <c r="E3878" s="119">
        <v>5000</v>
      </c>
    </row>
    <row r="3879" spans="1:5" x14ac:dyDescent="0.25">
      <c r="A3879" s="115">
        <f>A3878+1</f>
        <v>2</v>
      </c>
      <c r="B3879" s="166" t="s">
        <v>2991</v>
      </c>
      <c r="C3879" s="167" t="s">
        <v>3000</v>
      </c>
      <c r="D3879" s="118"/>
      <c r="E3879" s="119">
        <v>10000</v>
      </c>
    </row>
    <row r="3880" spans="1:5" x14ac:dyDescent="0.25">
      <c r="A3880" s="115">
        <f t="shared" ref="A3880:A3906" si="66">A3879+1</f>
        <v>3</v>
      </c>
      <c r="B3880" s="166" t="s">
        <v>1309</v>
      </c>
      <c r="C3880" s="167" t="s">
        <v>1322</v>
      </c>
      <c r="D3880" s="118"/>
      <c r="E3880" s="172">
        <v>5000</v>
      </c>
    </row>
    <row r="3881" spans="1:5" x14ac:dyDescent="0.25">
      <c r="A3881" s="115">
        <f t="shared" si="66"/>
        <v>4</v>
      </c>
      <c r="B3881" s="166" t="s">
        <v>2992</v>
      </c>
      <c r="C3881" s="167" t="s">
        <v>3001</v>
      </c>
      <c r="D3881" s="118"/>
      <c r="E3881" s="172">
        <v>5000</v>
      </c>
    </row>
    <row r="3882" spans="1:5" x14ac:dyDescent="0.25">
      <c r="A3882" s="115">
        <f t="shared" si="66"/>
        <v>5</v>
      </c>
      <c r="B3882" s="166" t="s">
        <v>2993</v>
      </c>
      <c r="C3882" s="167" t="s">
        <v>3002</v>
      </c>
      <c r="D3882" s="118"/>
      <c r="E3882" s="172">
        <v>5000</v>
      </c>
    </row>
    <row r="3883" spans="1:5" x14ac:dyDescent="0.25">
      <c r="A3883" s="115">
        <f t="shared" si="66"/>
        <v>6</v>
      </c>
      <c r="B3883" s="166" t="s">
        <v>2994</v>
      </c>
      <c r="C3883" s="167" t="s">
        <v>3003</v>
      </c>
      <c r="D3883" s="118"/>
      <c r="E3883" s="172">
        <v>5000</v>
      </c>
    </row>
    <row r="3884" spans="1:5" x14ac:dyDescent="0.25">
      <c r="A3884" s="115">
        <f t="shared" si="66"/>
        <v>7</v>
      </c>
      <c r="B3884" s="166" t="s">
        <v>669</v>
      </c>
      <c r="C3884" s="167" t="s">
        <v>679</v>
      </c>
      <c r="D3884" s="118"/>
      <c r="E3884" s="172">
        <v>5000</v>
      </c>
    </row>
    <row r="3885" spans="1:5" x14ac:dyDescent="0.25">
      <c r="A3885" s="115">
        <f t="shared" si="66"/>
        <v>8</v>
      </c>
      <c r="B3885" s="166" t="s">
        <v>2995</v>
      </c>
      <c r="C3885" s="167" t="s">
        <v>3009</v>
      </c>
      <c r="D3885" s="118"/>
      <c r="E3885" s="172">
        <v>5000</v>
      </c>
    </row>
    <row r="3886" spans="1:5" x14ac:dyDescent="0.25">
      <c r="A3886" s="115">
        <f t="shared" si="66"/>
        <v>9</v>
      </c>
      <c r="B3886" s="166" t="s">
        <v>2996</v>
      </c>
      <c r="C3886" s="167" t="s">
        <v>3004</v>
      </c>
      <c r="D3886" s="118"/>
      <c r="E3886" s="172">
        <v>32500</v>
      </c>
    </row>
    <row r="3887" spans="1:5" x14ac:dyDescent="0.25">
      <c r="A3887" s="115">
        <f t="shared" si="66"/>
        <v>10</v>
      </c>
      <c r="B3887" s="166" t="s">
        <v>1047</v>
      </c>
      <c r="C3887" s="167" t="s">
        <v>1036</v>
      </c>
      <c r="D3887" s="118"/>
      <c r="E3887" s="172">
        <v>20000</v>
      </c>
    </row>
    <row r="3888" spans="1:5" x14ac:dyDescent="0.25">
      <c r="A3888" s="115">
        <f t="shared" si="66"/>
        <v>11</v>
      </c>
      <c r="B3888" s="166" t="s">
        <v>2997</v>
      </c>
      <c r="C3888" s="167" t="s">
        <v>3005</v>
      </c>
      <c r="D3888" s="118"/>
      <c r="E3888" s="172">
        <v>12500</v>
      </c>
    </row>
    <row r="3889" spans="1:5" x14ac:dyDescent="0.25">
      <c r="A3889" s="115">
        <f t="shared" si="66"/>
        <v>12</v>
      </c>
      <c r="B3889" s="166" t="s">
        <v>785</v>
      </c>
      <c r="C3889" s="167" t="s">
        <v>775</v>
      </c>
      <c r="D3889" s="118"/>
      <c r="E3889" s="172">
        <v>20000</v>
      </c>
    </row>
    <row r="3890" spans="1:5" x14ac:dyDescent="0.25">
      <c r="A3890" s="115">
        <f t="shared" si="66"/>
        <v>13</v>
      </c>
      <c r="B3890" s="166" t="s">
        <v>1095</v>
      </c>
      <c r="C3890" s="167" t="s">
        <v>1102</v>
      </c>
      <c r="D3890" s="118"/>
      <c r="E3890" s="172">
        <v>22500</v>
      </c>
    </row>
    <row r="3891" spans="1:5" x14ac:dyDescent="0.25">
      <c r="A3891" s="115">
        <f t="shared" si="66"/>
        <v>14</v>
      </c>
      <c r="B3891" s="166" t="s">
        <v>2073</v>
      </c>
      <c r="C3891" s="167" t="s">
        <v>2077</v>
      </c>
      <c r="D3891" s="118"/>
      <c r="E3891" s="172">
        <v>5000</v>
      </c>
    </row>
    <row r="3892" spans="1:5" x14ac:dyDescent="0.25">
      <c r="A3892" s="115">
        <f t="shared" si="66"/>
        <v>15</v>
      </c>
      <c r="B3892" s="166" t="s">
        <v>2998</v>
      </c>
      <c r="C3892" s="167" t="s">
        <v>3006</v>
      </c>
      <c r="D3892" s="118"/>
      <c r="E3892" s="172">
        <v>5000</v>
      </c>
    </row>
    <row r="3893" spans="1:5" x14ac:dyDescent="0.25">
      <c r="A3893" s="115">
        <f t="shared" si="66"/>
        <v>16</v>
      </c>
      <c r="B3893" s="166" t="s">
        <v>2999</v>
      </c>
      <c r="C3893" s="167" t="s">
        <v>3007</v>
      </c>
      <c r="D3893" s="118"/>
      <c r="E3893" s="172">
        <v>5000</v>
      </c>
    </row>
    <row r="3894" spans="1:5" x14ac:dyDescent="0.25">
      <c r="A3894" s="115">
        <f t="shared" si="66"/>
        <v>17</v>
      </c>
      <c r="B3894" s="166" t="s">
        <v>2284</v>
      </c>
      <c r="C3894" s="167" t="s">
        <v>3008</v>
      </c>
      <c r="D3894" s="118"/>
      <c r="E3894" s="172">
        <v>100000</v>
      </c>
    </row>
    <row r="3895" spans="1:5" x14ac:dyDescent="0.25">
      <c r="A3895" s="115">
        <f t="shared" si="66"/>
        <v>18</v>
      </c>
      <c r="B3895" s="166" t="s">
        <v>1798</v>
      </c>
      <c r="C3895" s="167" t="s">
        <v>3010</v>
      </c>
      <c r="D3895" s="118"/>
      <c r="E3895" s="172">
        <v>40000</v>
      </c>
    </row>
    <row r="3896" spans="1:5" x14ac:dyDescent="0.25">
      <c r="A3896" s="115">
        <f t="shared" si="66"/>
        <v>19</v>
      </c>
      <c r="B3896" s="166" t="s">
        <v>3018</v>
      </c>
      <c r="C3896" s="167" t="s">
        <v>3011</v>
      </c>
      <c r="D3896" s="118"/>
      <c r="E3896" s="172">
        <v>17500</v>
      </c>
    </row>
    <row r="3897" spans="1:5" x14ac:dyDescent="0.25">
      <c r="A3897" s="115">
        <f t="shared" si="66"/>
        <v>20</v>
      </c>
      <c r="B3897" s="166" t="s">
        <v>1289</v>
      </c>
      <c r="C3897" s="167" t="s">
        <v>3012</v>
      </c>
      <c r="D3897" s="118"/>
      <c r="E3897" s="172">
        <v>80000</v>
      </c>
    </row>
    <row r="3898" spans="1:5" x14ac:dyDescent="0.25">
      <c r="A3898" s="115">
        <f t="shared" si="66"/>
        <v>21</v>
      </c>
      <c r="B3898" s="166" t="s">
        <v>1684</v>
      </c>
      <c r="C3898" s="167" t="s">
        <v>1962</v>
      </c>
      <c r="D3898" s="118"/>
      <c r="E3898" s="172">
        <v>5000</v>
      </c>
    </row>
    <row r="3899" spans="1:5" x14ac:dyDescent="0.25">
      <c r="A3899" s="115">
        <f t="shared" si="66"/>
        <v>22</v>
      </c>
      <c r="B3899" s="166" t="s">
        <v>3019</v>
      </c>
      <c r="C3899" s="167" t="s">
        <v>3013</v>
      </c>
      <c r="D3899" s="118"/>
      <c r="E3899" s="172">
        <v>12500</v>
      </c>
    </row>
    <row r="3900" spans="1:5" x14ac:dyDescent="0.25">
      <c r="A3900" s="115">
        <f t="shared" si="66"/>
        <v>23</v>
      </c>
      <c r="B3900" s="166" t="s">
        <v>3020</v>
      </c>
      <c r="C3900" s="167" t="s">
        <v>2362</v>
      </c>
      <c r="D3900" s="118"/>
      <c r="E3900" s="172">
        <v>5000</v>
      </c>
    </row>
    <row r="3901" spans="1:5" x14ac:dyDescent="0.25">
      <c r="A3901" s="115">
        <f t="shared" si="66"/>
        <v>24</v>
      </c>
      <c r="B3901" s="166" t="s">
        <v>924</v>
      </c>
      <c r="C3901" s="167" t="s">
        <v>918</v>
      </c>
      <c r="D3901" s="118"/>
      <c r="E3901" s="172">
        <v>5000</v>
      </c>
    </row>
    <row r="3902" spans="1:5" x14ac:dyDescent="0.25">
      <c r="A3902" s="115">
        <f t="shared" si="66"/>
        <v>25</v>
      </c>
      <c r="B3902" s="166" t="s">
        <v>3021</v>
      </c>
      <c r="C3902" s="167" t="s">
        <v>3014</v>
      </c>
      <c r="D3902" s="170"/>
      <c r="E3902" s="174">
        <v>32500</v>
      </c>
    </row>
    <row r="3903" spans="1:5" x14ac:dyDescent="0.25">
      <c r="A3903" s="115">
        <f t="shared" si="66"/>
        <v>26</v>
      </c>
      <c r="B3903" s="166" t="s">
        <v>3022</v>
      </c>
      <c r="C3903" s="167" t="s">
        <v>3015</v>
      </c>
      <c r="D3903" s="170"/>
      <c r="E3903" s="174">
        <v>5000</v>
      </c>
    </row>
    <row r="3904" spans="1:5" x14ac:dyDescent="0.25">
      <c r="A3904" s="115">
        <f t="shared" si="66"/>
        <v>27</v>
      </c>
      <c r="B3904" s="166" t="s">
        <v>3023</v>
      </c>
      <c r="C3904" s="167" t="s">
        <v>3016</v>
      </c>
      <c r="D3904" s="170"/>
      <c r="E3904" s="174">
        <v>5000</v>
      </c>
    </row>
    <row r="3905" spans="1:5" x14ac:dyDescent="0.25">
      <c r="A3905" s="115">
        <f t="shared" si="66"/>
        <v>28</v>
      </c>
      <c r="B3905" s="166" t="s">
        <v>710</v>
      </c>
      <c r="C3905" s="167" t="s">
        <v>716</v>
      </c>
      <c r="D3905" s="170"/>
      <c r="E3905" s="174">
        <v>5000</v>
      </c>
    </row>
    <row r="3906" spans="1:5" x14ac:dyDescent="0.25">
      <c r="A3906" s="115">
        <f t="shared" si="66"/>
        <v>29</v>
      </c>
      <c r="B3906" s="166" t="s">
        <v>1621</v>
      </c>
      <c r="C3906" s="167" t="s">
        <v>3017</v>
      </c>
      <c r="D3906" s="170"/>
      <c r="E3906" s="174">
        <v>5000</v>
      </c>
    </row>
    <row r="3907" spans="1:5" x14ac:dyDescent="0.25">
      <c r="A3907" s="169"/>
      <c r="B3907" s="166"/>
      <c r="C3907" s="167"/>
      <c r="D3907" s="170"/>
      <c r="E3907" s="171"/>
    </row>
    <row r="3908" spans="1:5" ht="15.75" thickBot="1" x14ac:dyDescent="0.3">
      <c r="A3908" s="120"/>
      <c r="B3908" s="577" t="s">
        <v>15</v>
      </c>
      <c r="C3908" s="578"/>
      <c r="D3908" s="579"/>
      <c r="E3908" s="121">
        <f>SUM(E3878:E3907)</f>
        <v>485000</v>
      </c>
    </row>
    <row r="3909" spans="1:5" x14ac:dyDescent="0.25">
      <c r="A3909" s="110"/>
      <c r="B3909" s="145"/>
      <c r="C3909" s="145"/>
      <c r="E3909" s="146"/>
    </row>
    <row r="3910" spans="1:5" x14ac:dyDescent="0.25">
      <c r="A3910" s="109"/>
      <c r="B3910" s="109"/>
      <c r="C3910" s="110"/>
      <c r="D3910" s="123" t="s">
        <v>2990</v>
      </c>
      <c r="E3910" s="109"/>
    </row>
    <row r="3911" spans="1:5" x14ac:dyDescent="0.25">
      <c r="D3911" s="123" t="s">
        <v>100</v>
      </c>
    </row>
    <row r="3923" spans="1:5" x14ac:dyDescent="0.25">
      <c r="A3923" s="108" t="s">
        <v>0</v>
      </c>
      <c r="B3923" s="144"/>
      <c r="C3923" s="144"/>
      <c r="D3923" s="144"/>
      <c r="E3923" s="144"/>
    </row>
    <row r="3924" spans="1:5" x14ac:dyDescent="0.25">
      <c r="A3924" s="108" t="s">
        <v>1</v>
      </c>
      <c r="B3924" s="109"/>
      <c r="C3924" s="110"/>
      <c r="D3924" s="109"/>
      <c r="E3924" s="109"/>
    </row>
    <row r="3925" spans="1:5" x14ac:dyDescent="0.25">
      <c r="A3925" s="108"/>
      <c r="B3925" s="109"/>
      <c r="C3925" s="110"/>
      <c r="D3925" s="109"/>
      <c r="E3925" s="109"/>
    </row>
    <row r="3926" spans="1:5" x14ac:dyDescent="0.25">
      <c r="A3926" s="111" t="s">
        <v>101</v>
      </c>
      <c r="B3926" s="111"/>
      <c r="C3926" s="111"/>
      <c r="D3926" s="111"/>
      <c r="E3926" s="111"/>
    </row>
    <row r="3927" spans="1:5" x14ac:dyDescent="0.25">
      <c r="A3927" s="575" t="s">
        <v>119</v>
      </c>
      <c r="B3927" s="576"/>
      <c r="C3927" s="576"/>
      <c r="D3927" s="576"/>
      <c r="E3927" s="576"/>
    </row>
    <row r="3928" spans="1:5" x14ac:dyDescent="0.25">
      <c r="A3928" s="110"/>
      <c r="B3928" s="110"/>
      <c r="C3928" s="110"/>
      <c r="D3928" s="110"/>
      <c r="E3928" s="110"/>
    </row>
    <row r="3929" spans="1:5" ht="15.75" thickBot="1" x14ac:dyDescent="0.3">
      <c r="A3929" s="109"/>
      <c r="B3929" s="109"/>
      <c r="C3929" s="110"/>
      <c r="D3929" s="109"/>
      <c r="E3929" s="124" t="s">
        <v>3024</v>
      </c>
    </row>
    <row r="3930" spans="1:5" x14ac:dyDescent="0.25">
      <c r="A3930" s="112" t="s">
        <v>21</v>
      </c>
      <c r="B3930" s="113" t="s">
        <v>96</v>
      </c>
      <c r="C3930" s="113" t="s">
        <v>97</v>
      </c>
      <c r="D3930" s="113" t="s">
        <v>91</v>
      </c>
      <c r="E3930" s="114" t="s">
        <v>15</v>
      </c>
    </row>
    <row r="3931" spans="1:5" x14ac:dyDescent="0.25">
      <c r="A3931" s="115">
        <v>1</v>
      </c>
      <c r="B3931" s="166" t="s">
        <v>929</v>
      </c>
      <c r="C3931" s="167" t="s">
        <v>933</v>
      </c>
      <c r="D3931" s="118"/>
      <c r="E3931" s="119">
        <v>5000</v>
      </c>
    </row>
    <row r="3932" spans="1:5" x14ac:dyDescent="0.25">
      <c r="A3932" s="115">
        <f>A3931+1</f>
        <v>2</v>
      </c>
      <c r="B3932" s="166" t="s">
        <v>3028</v>
      </c>
      <c r="C3932" s="167" t="s">
        <v>3034</v>
      </c>
      <c r="D3932" s="118"/>
      <c r="E3932" s="119">
        <v>5000</v>
      </c>
    </row>
    <row r="3933" spans="1:5" x14ac:dyDescent="0.25">
      <c r="A3933" s="115">
        <f t="shared" ref="A3933:A3952" si="67">A3932+1</f>
        <v>3</v>
      </c>
      <c r="B3933" s="166" t="s">
        <v>3029</v>
      </c>
      <c r="C3933" s="167" t="s">
        <v>3035</v>
      </c>
      <c r="D3933" s="118"/>
      <c r="E3933" s="172">
        <v>92500</v>
      </c>
    </row>
    <row r="3934" spans="1:5" x14ac:dyDescent="0.25">
      <c r="A3934" s="115">
        <f t="shared" si="67"/>
        <v>4</v>
      </c>
      <c r="B3934" s="166" t="s">
        <v>455</v>
      </c>
      <c r="C3934" s="167" t="s">
        <v>460</v>
      </c>
      <c r="D3934" s="118"/>
      <c r="E3934" s="172">
        <v>7500</v>
      </c>
    </row>
    <row r="3935" spans="1:5" x14ac:dyDescent="0.25">
      <c r="A3935" s="115">
        <f t="shared" si="67"/>
        <v>5</v>
      </c>
      <c r="B3935" s="166" t="s">
        <v>2053</v>
      </c>
      <c r="C3935" s="167" t="s">
        <v>2060</v>
      </c>
      <c r="D3935" s="118"/>
      <c r="E3935" s="172">
        <v>5000</v>
      </c>
    </row>
    <row r="3936" spans="1:5" x14ac:dyDescent="0.25">
      <c r="A3936" s="115">
        <f t="shared" si="67"/>
        <v>6</v>
      </c>
      <c r="B3936" s="166" t="s">
        <v>3030</v>
      </c>
      <c r="C3936" s="167" t="s">
        <v>3036</v>
      </c>
      <c r="D3936" s="118"/>
      <c r="E3936" s="172">
        <v>22500</v>
      </c>
    </row>
    <row r="3937" spans="1:5" x14ac:dyDescent="0.25">
      <c r="A3937" s="115">
        <f t="shared" si="67"/>
        <v>7</v>
      </c>
      <c r="B3937" s="166" t="s">
        <v>3031</v>
      </c>
      <c r="C3937" s="167" t="s">
        <v>3037</v>
      </c>
      <c r="D3937" s="118"/>
      <c r="E3937" s="172">
        <v>22500</v>
      </c>
    </row>
    <row r="3938" spans="1:5" x14ac:dyDescent="0.25">
      <c r="A3938" s="115">
        <f t="shared" si="67"/>
        <v>8</v>
      </c>
      <c r="B3938" s="166" t="s">
        <v>2123</v>
      </c>
      <c r="C3938" s="167" t="s">
        <v>2130</v>
      </c>
      <c r="D3938" s="118"/>
      <c r="E3938" s="172">
        <v>5000</v>
      </c>
    </row>
    <row r="3939" spans="1:5" x14ac:dyDescent="0.25">
      <c r="A3939" s="115">
        <f t="shared" si="67"/>
        <v>9</v>
      </c>
      <c r="B3939" s="166" t="s">
        <v>3032</v>
      </c>
      <c r="C3939" s="167" t="s">
        <v>3038</v>
      </c>
      <c r="D3939" s="118"/>
      <c r="E3939" s="172">
        <v>32500</v>
      </c>
    </row>
    <row r="3940" spans="1:5" x14ac:dyDescent="0.25">
      <c r="A3940" s="115">
        <f t="shared" si="67"/>
        <v>10</v>
      </c>
      <c r="B3940" s="166" t="s">
        <v>3033</v>
      </c>
      <c r="C3940" s="167" t="s">
        <v>3039</v>
      </c>
      <c r="D3940" s="118"/>
      <c r="E3940" s="172">
        <v>92500</v>
      </c>
    </row>
    <row r="3941" spans="1:5" x14ac:dyDescent="0.25">
      <c r="A3941" s="115">
        <f t="shared" si="67"/>
        <v>11</v>
      </c>
      <c r="B3941" s="166" t="s">
        <v>3047</v>
      </c>
      <c r="C3941" s="167" t="s">
        <v>3040</v>
      </c>
      <c r="D3941" s="118"/>
      <c r="E3941" s="172">
        <v>42500</v>
      </c>
    </row>
    <row r="3942" spans="1:5" x14ac:dyDescent="0.25">
      <c r="A3942" s="115">
        <f t="shared" si="67"/>
        <v>12</v>
      </c>
      <c r="B3942" s="166" t="s">
        <v>3048</v>
      </c>
      <c r="C3942" s="167" t="s">
        <v>3041</v>
      </c>
      <c r="D3942" s="118"/>
      <c r="E3942" s="172">
        <v>17500</v>
      </c>
    </row>
    <row r="3943" spans="1:5" x14ac:dyDescent="0.25">
      <c r="A3943" s="115">
        <f t="shared" si="67"/>
        <v>13</v>
      </c>
      <c r="B3943" s="166" t="s">
        <v>207</v>
      </c>
      <c r="C3943" s="167" t="s">
        <v>197</v>
      </c>
      <c r="D3943" s="118"/>
      <c r="E3943" s="172">
        <v>12500</v>
      </c>
    </row>
    <row r="3944" spans="1:5" x14ac:dyDescent="0.25">
      <c r="A3944" s="115">
        <f t="shared" si="67"/>
        <v>14</v>
      </c>
      <c r="B3944" s="166" t="s">
        <v>3049</v>
      </c>
      <c r="C3944" s="167" t="s">
        <v>3042</v>
      </c>
      <c r="D3944" s="118"/>
      <c r="E3944" s="172">
        <v>12500</v>
      </c>
    </row>
    <row r="3945" spans="1:5" x14ac:dyDescent="0.25">
      <c r="A3945" s="115">
        <f t="shared" si="67"/>
        <v>15</v>
      </c>
      <c r="B3945" s="166" t="s">
        <v>514</v>
      </c>
      <c r="C3945" s="167" t="s">
        <v>522</v>
      </c>
      <c r="D3945" s="118"/>
      <c r="E3945" s="172">
        <v>12500</v>
      </c>
    </row>
    <row r="3946" spans="1:5" x14ac:dyDescent="0.25">
      <c r="A3946" s="115">
        <f t="shared" si="67"/>
        <v>16</v>
      </c>
      <c r="B3946" s="166" t="s">
        <v>2747</v>
      </c>
      <c r="C3946" s="167" t="s">
        <v>3043</v>
      </c>
      <c r="D3946" s="118"/>
      <c r="E3946" s="172">
        <v>5000</v>
      </c>
    </row>
    <row r="3947" spans="1:5" x14ac:dyDescent="0.25">
      <c r="A3947" s="115">
        <f t="shared" si="67"/>
        <v>17</v>
      </c>
      <c r="B3947" s="166" t="s">
        <v>3050</v>
      </c>
      <c r="C3947" s="167" t="s">
        <v>3044</v>
      </c>
      <c r="D3947" s="118"/>
      <c r="E3947" s="172">
        <v>32500</v>
      </c>
    </row>
    <row r="3948" spans="1:5" x14ac:dyDescent="0.25">
      <c r="A3948" s="115">
        <f t="shared" si="67"/>
        <v>18</v>
      </c>
      <c r="B3948" s="166" t="s">
        <v>1831</v>
      </c>
      <c r="C3948" s="167" t="s">
        <v>3045</v>
      </c>
      <c r="D3948" s="118"/>
      <c r="E3948" s="172">
        <v>12500</v>
      </c>
    </row>
    <row r="3949" spans="1:5" x14ac:dyDescent="0.25">
      <c r="A3949" s="115">
        <f t="shared" si="67"/>
        <v>19</v>
      </c>
      <c r="B3949" s="166" t="s">
        <v>3051</v>
      </c>
      <c r="C3949" s="167" t="s">
        <v>2295</v>
      </c>
      <c r="D3949" s="118"/>
      <c r="E3949" s="172">
        <v>5000</v>
      </c>
    </row>
    <row r="3950" spans="1:5" x14ac:dyDescent="0.25">
      <c r="A3950" s="115">
        <f t="shared" si="67"/>
        <v>20</v>
      </c>
      <c r="B3950" s="166" t="s">
        <v>1302</v>
      </c>
      <c r="C3950" s="167" t="s">
        <v>1297</v>
      </c>
      <c r="D3950" s="118"/>
      <c r="E3950" s="172">
        <v>12500</v>
      </c>
    </row>
    <row r="3951" spans="1:5" x14ac:dyDescent="0.25">
      <c r="A3951" s="115">
        <f t="shared" si="67"/>
        <v>21</v>
      </c>
      <c r="B3951" s="166" t="s">
        <v>1303</v>
      </c>
      <c r="C3951" s="167" t="s">
        <v>1298</v>
      </c>
      <c r="D3951" s="118"/>
      <c r="E3951" s="172">
        <v>12500</v>
      </c>
    </row>
    <row r="3952" spans="1:5" x14ac:dyDescent="0.25">
      <c r="A3952" s="115">
        <f t="shared" si="67"/>
        <v>22</v>
      </c>
      <c r="B3952" s="166" t="s">
        <v>3052</v>
      </c>
      <c r="C3952" s="167" t="s">
        <v>3046</v>
      </c>
      <c r="D3952" s="118"/>
      <c r="E3952" s="172">
        <v>22500</v>
      </c>
    </row>
    <row r="3953" spans="1:5" x14ac:dyDescent="0.25">
      <c r="A3953" s="169"/>
      <c r="B3953" s="166"/>
      <c r="C3953" s="167"/>
      <c r="D3953" s="170"/>
      <c r="E3953" s="171"/>
    </row>
    <row r="3954" spans="1:5" ht="15.75" thickBot="1" x14ac:dyDescent="0.3">
      <c r="A3954" s="120"/>
      <c r="B3954" s="577" t="s">
        <v>15</v>
      </c>
      <c r="C3954" s="578"/>
      <c r="D3954" s="579"/>
      <c r="E3954" s="121">
        <f>SUM(E3931:E3953)</f>
        <v>490000</v>
      </c>
    </row>
    <row r="3955" spans="1:5" x14ac:dyDescent="0.25">
      <c r="A3955" s="110"/>
      <c r="B3955" s="145"/>
      <c r="C3955" s="145"/>
      <c r="E3955" s="146"/>
    </row>
    <row r="3956" spans="1:5" x14ac:dyDescent="0.25">
      <c r="A3956" s="109"/>
      <c r="B3956" s="109"/>
      <c r="C3956" s="110"/>
      <c r="D3956" s="123" t="s">
        <v>3025</v>
      </c>
      <c r="E3956" s="109"/>
    </row>
    <row r="3957" spans="1:5" x14ac:dyDescent="0.25">
      <c r="D3957" s="123" t="s">
        <v>100</v>
      </c>
    </row>
    <row r="3976" spans="1:5" x14ac:dyDescent="0.25">
      <c r="A3976" s="108" t="s">
        <v>0</v>
      </c>
      <c r="B3976" s="144"/>
      <c r="C3976" s="144"/>
      <c r="D3976" s="144"/>
      <c r="E3976" s="144"/>
    </row>
    <row r="3977" spans="1:5" x14ac:dyDescent="0.25">
      <c r="A3977" s="108" t="s">
        <v>1</v>
      </c>
      <c r="B3977" s="109"/>
      <c r="C3977" s="110"/>
      <c r="D3977" s="109"/>
      <c r="E3977" s="109"/>
    </row>
    <row r="3978" spans="1:5" x14ac:dyDescent="0.25">
      <c r="A3978" s="108"/>
      <c r="B3978" s="109"/>
      <c r="C3978" s="110"/>
      <c r="D3978" s="109"/>
      <c r="E3978" s="109"/>
    </row>
    <row r="3979" spans="1:5" x14ac:dyDescent="0.25">
      <c r="A3979" s="111" t="s">
        <v>101</v>
      </c>
      <c r="B3979" s="111"/>
      <c r="C3979" s="111"/>
      <c r="D3979" s="111"/>
      <c r="E3979" s="111"/>
    </row>
    <row r="3980" spans="1:5" x14ac:dyDescent="0.25">
      <c r="A3980" s="575" t="s">
        <v>119</v>
      </c>
      <c r="B3980" s="576"/>
      <c r="C3980" s="576"/>
      <c r="D3980" s="576"/>
      <c r="E3980" s="576"/>
    </row>
    <row r="3981" spans="1:5" x14ac:dyDescent="0.25">
      <c r="A3981" s="110"/>
      <c r="B3981" s="110"/>
      <c r="C3981" s="110"/>
      <c r="D3981" s="110"/>
      <c r="E3981" s="110"/>
    </row>
    <row r="3982" spans="1:5" ht="15.75" thickBot="1" x14ac:dyDescent="0.3">
      <c r="A3982" s="109"/>
      <c r="B3982" s="109"/>
      <c r="C3982" s="110"/>
      <c r="D3982" s="109"/>
      <c r="E3982" s="124" t="s">
        <v>3026</v>
      </c>
    </row>
    <row r="3983" spans="1:5" x14ac:dyDescent="0.25">
      <c r="A3983" s="112" t="s">
        <v>21</v>
      </c>
      <c r="B3983" s="113" t="s">
        <v>96</v>
      </c>
      <c r="C3983" s="113" t="s">
        <v>97</v>
      </c>
      <c r="D3983" s="113" t="s">
        <v>91</v>
      </c>
      <c r="E3983" s="114" t="s">
        <v>15</v>
      </c>
    </row>
    <row r="3984" spans="1:5" x14ac:dyDescent="0.25">
      <c r="A3984" s="115">
        <v>1</v>
      </c>
      <c r="B3984" s="166" t="s">
        <v>3053</v>
      </c>
      <c r="C3984" s="167" t="s">
        <v>3058</v>
      </c>
      <c r="D3984" s="118"/>
      <c r="E3984" s="119">
        <v>42500</v>
      </c>
    </row>
    <row r="3985" spans="1:5" x14ac:dyDescent="0.25">
      <c r="A3985" s="115">
        <f>A3984+1</f>
        <v>2</v>
      </c>
      <c r="B3985" s="166" t="s">
        <v>3054</v>
      </c>
      <c r="C3985" s="167" t="s">
        <v>3059</v>
      </c>
      <c r="D3985" s="118"/>
      <c r="E3985" s="119">
        <v>92500</v>
      </c>
    </row>
    <row r="3986" spans="1:5" x14ac:dyDescent="0.25">
      <c r="A3986" s="115">
        <f t="shared" ref="A3986:A3996" si="68">A3985+1</f>
        <v>3</v>
      </c>
      <c r="B3986" s="166" t="s">
        <v>3055</v>
      </c>
      <c r="C3986" s="167" t="s">
        <v>3060</v>
      </c>
      <c r="D3986" s="118"/>
      <c r="E3986" s="172">
        <v>42500</v>
      </c>
    </row>
    <row r="3987" spans="1:5" x14ac:dyDescent="0.25">
      <c r="A3987" s="115">
        <f t="shared" si="68"/>
        <v>4</v>
      </c>
      <c r="B3987" s="166" t="s">
        <v>331</v>
      </c>
      <c r="C3987" s="167" t="s">
        <v>3061</v>
      </c>
      <c r="D3987" s="118"/>
      <c r="E3987" s="172">
        <v>30000</v>
      </c>
    </row>
    <row r="3988" spans="1:5" x14ac:dyDescent="0.25">
      <c r="A3988" s="115">
        <f t="shared" si="68"/>
        <v>5</v>
      </c>
      <c r="B3988" s="166" t="s">
        <v>3056</v>
      </c>
      <c r="C3988" s="167" t="s">
        <v>296</v>
      </c>
      <c r="D3988" s="118"/>
      <c r="E3988" s="172">
        <v>30000</v>
      </c>
    </row>
    <row r="3989" spans="1:5" x14ac:dyDescent="0.25">
      <c r="A3989" s="115">
        <f t="shared" si="68"/>
        <v>6</v>
      </c>
      <c r="B3989" s="166" t="s">
        <v>3057</v>
      </c>
      <c r="C3989" s="167" t="s">
        <v>425</v>
      </c>
      <c r="D3989" s="118"/>
      <c r="E3989" s="172">
        <v>12500</v>
      </c>
    </row>
    <row r="3990" spans="1:5" x14ac:dyDescent="0.25">
      <c r="A3990" s="115">
        <f t="shared" si="68"/>
        <v>7</v>
      </c>
      <c r="B3990" s="166" t="s">
        <v>2084</v>
      </c>
      <c r="C3990" s="167" t="s">
        <v>3062</v>
      </c>
      <c r="D3990" s="118"/>
      <c r="E3990" s="172">
        <v>20000</v>
      </c>
    </row>
    <row r="3991" spans="1:5" x14ac:dyDescent="0.25">
      <c r="A3991" s="115">
        <f t="shared" si="68"/>
        <v>8</v>
      </c>
      <c r="B3991" s="166" t="s">
        <v>3065</v>
      </c>
      <c r="C3991" s="167" t="s">
        <v>3063</v>
      </c>
      <c r="D3991" s="118"/>
      <c r="E3991" s="172">
        <v>70000</v>
      </c>
    </row>
    <row r="3992" spans="1:5" x14ac:dyDescent="0.25">
      <c r="A3992" s="115">
        <f t="shared" si="68"/>
        <v>9</v>
      </c>
      <c r="B3992" s="166" t="s">
        <v>3066</v>
      </c>
      <c r="C3992" s="167" t="s">
        <v>3064</v>
      </c>
      <c r="D3992" s="118"/>
      <c r="E3992" s="172">
        <v>112500</v>
      </c>
    </row>
    <row r="3993" spans="1:5" x14ac:dyDescent="0.25">
      <c r="A3993" s="115">
        <f t="shared" si="68"/>
        <v>10</v>
      </c>
      <c r="B3993" s="166" t="s">
        <v>1860</v>
      </c>
      <c r="C3993" s="167" t="s">
        <v>1870</v>
      </c>
      <c r="D3993" s="118"/>
      <c r="E3993" s="172">
        <v>5000</v>
      </c>
    </row>
    <row r="3994" spans="1:5" x14ac:dyDescent="0.25">
      <c r="A3994" s="115">
        <f t="shared" si="68"/>
        <v>11</v>
      </c>
      <c r="B3994" s="166" t="s">
        <v>2349</v>
      </c>
      <c r="C3994" s="167" t="s">
        <v>1188</v>
      </c>
      <c r="D3994" s="118"/>
      <c r="E3994" s="172">
        <v>5000</v>
      </c>
    </row>
    <row r="3995" spans="1:5" x14ac:dyDescent="0.25">
      <c r="A3995" s="115">
        <f t="shared" si="68"/>
        <v>12</v>
      </c>
      <c r="B3995" s="166" t="s">
        <v>1378</v>
      </c>
      <c r="C3995" s="167" t="s">
        <v>1387</v>
      </c>
      <c r="D3995" s="118"/>
      <c r="E3995" s="172">
        <v>12500</v>
      </c>
    </row>
    <row r="3996" spans="1:5" x14ac:dyDescent="0.25">
      <c r="A3996" s="115">
        <f t="shared" si="68"/>
        <v>13</v>
      </c>
      <c r="B3996" s="166" t="s">
        <v>974</v>
      </c>
      <c r="C3996" s="167" t="s">
        <v>977</v>
      </c>
      <c r="D3996" s="118"/>
      <c r="E3996" s="172">
        <v>12500</v>
      </c>
    </row>
    <row r="3997" spans="1:5" x14ac:dyDescent="0.25">
      <c r="A3997" s="169"/>
      <c r="B3997" s="166"/>
      <c r="C3997" s="167"/>
      <c r="D3997" s="170"/>
      <c r="E3997" s="171"/>
    </row>
    <row r="3998" spans="1:5" ht="15.75" thickBot="1" x14ac:dyDescent="0.3">
      <c r="A3998" s="120"/>
      <c r="B3998" s="577" t="s">
        <v>15</v>
      </c>
      <c r="C3998" s="578"/>
      <c r="D3998" s="579"/>
      <c r="E3998" s="121">
        <f>SUM(E3984:E3997)</f>
        <v>487500</v>
      </c>
    </row>
    <row r="3999" spans="1:5" x14ac:dyDescent="0.25">
      <c r="A3999" s="110"/>
      <c r="B3999" s="145"/>
      <c r="C3999" s="145"/>
      <c r="E3999" s="146"/>
    </row>
    <row r="4000" spans="1:5" x14ac:dyDescent="0.25">
      <c r="A4000" s="109"/>
      <c r="B4000" s="109"/>
      <c r="C4000" s="110"/>
      <c r="D4000" s="123" t="s">
        <v>3027</v>
      </c>
      <c r="E4000" s="109"/>
    </row>
    <row r="4001" spans="4:4" x14ac:dyDescent="0.25">
      <c r="D4001" s="123" t="s">
        <v>100</v>
      </c>
    </row>
    <row r="4029" spans="1:5" x14ac:dyDescent="0.25">
      <c r="A4029" s="108" t="s">
        <v>0</v>
      </c>
      <c r="B4029" s="144"/>
      <c r="C4029" s="144"/>
      <c r="D4029" s="144"/>
      <c r="E4029" s="144"/>
    </row>
    <row r="4030" spans="1:5" x14ac:dyDescent="0.25">
      <c r="A4030" s="108" t="s">
        <v>1</v>
      </c>
      <c r="B4030" s="109"/>
      <c r="C4030" s="110"/>
      <c r="D4030" s="109"/>
      <c r="E4030" s="109"/>
    </row>
    <row r="4031" spans="1:5" x14ac:dyDescent="0.25">
      <c r="A4031" s="108"/>
      <c r="B4031" s="109"/>
      <c r="C4031" s="110"/>
      <c r="D4031" s="109"/>
      <c r="E4031" s="109"/>
    </row>
    <row r="4032" spans="1:5" x14ac:dyDescent="0.25">
      <c r="A4032" s="111" t="s">
        <v>101</v>
      </c>
      <c r="B4032" s="111"/>
      <c r="C4032" s="111"/>
      <c r="D4032" s="111"/>
      <c r="E4032" s="111"/>
    </row>
    <row r="4033" spans="1:5" x14ac:dyDescent="0.25">
      <c r="A4033" s="575" t="s">
        <v>119</v>
      </c>
      <c r="B4033" s="576"/>
      <c r="C4033" s="576"/>
      <c r="D4033" s="576"/>
      <c r="E4033" s="576"/>
    </row>
    <row r="4034" spans="1:5" x14ac:dyDescent="0.25">
      <c r="A4034" s="110"/>
      <c r="B4034" s="110"/>
      <c r="C4034" s="110"/>
      <c r="D4034" s="110"/>
      <c r="E4034" s="110"/>
    </row>
    <row r="4035" spans="1:5" ht="15.75" thickBot="1" x14ac:dyDescent="0.3">
      <c r="A4035" s="109"/>
      <c r="B4035" s="109"/>
      <c r="C4035" s="110"/>
      <c r="D4035" s="109"/>
      <c r="E4035" s="124" t="s">
        <v>3067</v>
      </c>
    </row>
    <row r="4036" spans="1:5" x14ac:dyDescent="0.25">
      <c r="A4036" s="112" t="s">
        <v>21</v>
      </c>
      <c r="B4036" s="113" t="s">
        <v>96</v>
      </c>
      <c r="C4036" s="113" t="s">
        <v>97</v>
      </c>
      <c r="D4036" s="113" t="s">
        <v>91</v>
      </c>
      <c r="E4036" s="114" t="s">
        <v>15</v>
      </c>
    </row>
    <row r="4037" spans="1:5" x14ac:dyDescent="0.25">
      <c r="A4037" s="115">
        <v>1</v>
      </c>
      <c r="B4037" s="166" t="s">
        <v>3068</v>
      </c>
      <c r="C4037" s="167" t="s">
        <v>3073</v>
      </c>
      <c r="D4037" s="118"/>
      <c r="E4037" s="119">
        <v>5000</v>
      </c>
    </row>
    <row r="4038" spans="1:5" x14ac:dyDescent="0.25">
      <c r="A4038" s="115">
        <f>A4037+1</f>
        <v>2</v>
      </c>
      <c r="B4038" s="166" t="s">
        <v>3069</v>
      </c>
      <c r="C4038" s="167" t="s">
        <v>3074</v>
      </c>
      <c r="D4038" s="118"/>
      <c r="E4038" s="119">
        <v>5000</v>
      </c>
    </row>
    <row r="4039" spans="1:5" x14ac:dyDescent="0.25">
      <c r="A4039" s="115">
        <f t="shared" ref="A4039:A4055" si="69">A4038+1</f>
        <v>3</v>
      </c>
      <c r="B4039" s="166" t="s">
        <v>1075</v>
      </c>
      <c r="C4039" s="167" t="s">
        <v>1081</v>
      </c>
      <c r="D4039" s="118"/>
      <c r="E4039" s="172">
        <v>12500</v>
      </c>
    </row>
    <row r="4040" spans="1:5" x14ac:dyDescent="0.25">
      <c r="A4040" s="115">
        <f t="shared" si="69"/>
        <v>4</v>
      </c>
      <c r="B4040" s="166" t="s">
        <v>3070</v>
      </c>
      <c r="C4040" s="167" t="s">
        <v>3075</v>
      </c>
      <c r="D4040" s="118"/>
      <c r="E4040" s="172">
        <v>5000</v>
      </c>
    </row>
    <row r="4041" spans="1:5" x14ac:dyDescent="0.25">
      <c r="A4041" s="115">
        <f t="shared" si="69"/>
        <v>5</v>
      </c>
      <c r="B4041" s="166" t="s">
        <v>3071</v>
      </c>
      <c r="C4041" s="167" t="s">
        <v>3076</v>
      </c>
      <c r="D4041" s="118"/>
      <c r="E4041" s="172">
        <v>192500</v>
      </c>
    </row>
    <row r="4042" spans="1:5" x14ac:dyDescent="0.25">
      <c r="A4042" s="115">
        <f t="shared" si="69"/>
        <v>6</v>
      </c>
      <c r="B4042" s="166" t="s">
        <v>3072</v>
      </c>
      <c r="C4042" s="167" t="s">
        <v>3077</v>
      </c>
      <c r="D4042" s="118"/>
      <c r="E4042" s="172">
        <v>50000</v>
      </c>
    </row>
    <row r="4043" spans="1:5" x14ac:dyDescent="0.25">
      <c r="A4043" s="115">
        <f t="shared" si="69"/>
        <v>7</v>
      </c>
      <c r="B4043" s="166" t="s">
        <v>2315</v>
      </c>
      <c r="C4043" s="167" t="s">
        <v>2322</v>
      </c>
      <c r="D4043" s="118"/>
      <c r="E4043" s="172">
        <v>5000</v>
      </c>
    </row>
    <row r="4044" spans="1:5" x14ac:dyDescent="0.25">
      <c r="A4044" s="115">
        <f t="shared" si="69"/>
        <v>8</v>
      </c>
      <c r="B4044" s="166" t="s">
        <v>1723</v>
      </c>
      <c r="C4044" s="167" t="s">
        <v>1728</v>
      </c>
      <c r="D4044" s="118"/>
      <c r="E4044" s="172">
        <v>5000</v>
      </c>
    </row>
    <row r="4045" spans="1:5" x14ac:dyDescent="0.25">
      <c r="A4045" s="115">
        <f t="shared" si="69"/>
        <v>9</v>
      </c>
      <c r="B4045" s="166" t="s">
        <v>3078</v>
      </c>
      <c r="C4045" s="167" t="s">
        <v>3082</v>
      </c>
      <c r="D4045" s="118"/>
      <c r="E4045" s="172">
        <v>82500</v>
      </c>
    </row>
    <row r="4046" spans="1:5" x14ac:dyDescent="0.25">
      <c r="A4046" s="115">
        <f t="shared" si="69"/>
        <v>10</v>
      </c>
      <c r="B4046" s="166" t="s">
        <v>3079</v>
      </c>
      <c r="C4046" s="167" t="s">
        <v>3083</v>
      </c>
      <c r="D4046" s="118"/>
      <c r="E4046" s="172">
        <v>5000</v>
      </c>
    </row>
    <row r="4047" spans="1:5" x14ac:dyDescent="0.25">
      <c r="A4047" s="115">
        <f t="shared" si="69"/>
        <v>11</v>
      </c>
      <c r="B4047" s="166" t="s">
        <v>3080</v>
      </c>
      <c r="C4047" s="167" t="s">
        <v>3084</v>
      </c>
      <c r="D4047" s="118"/>
      <c r="E4047" s="172">
        <v>82500</v>
      </c>
    </row>
    <row r="4048" spans="1:5" x14ac:dyDescent="0.25">
      <c r="A4048" s="115">
        <f t="shared" si="69"/>
        <v>12</v>
      </c>
      <c r="B4048" s="166" t="s">
        <v>1177</v>
      </c>
      <c r="C4048" s="167" t="s">
        <v>1170</v>
      </c>
      <c r="D4048" s="118"/>
      <c r="E4048" s="172">
        <v>12500</v>
      </c>
    </row>
    <row r="4049" spans="1:5" x14ac:dyDescent="0.25">
      <c r="A4049" s="115">
        <f t="shared" si="69"/>
        <v>13</v>
      </c>
      <c r="B4049" s="166" t="s">
        <v>2482</v>
      </c>
      <c r="C4049" s="167" t="s">
        <v>3085</v>
      </c>
      <c r="D4049" s="118"/>
      <c r="E4049" s="172">
        <v>92500</v>
      </c>
    </row>
    <row r="4050" spans="1:5" x14ac:dyDescent="0.25">
      <c r="A4050" s="115">
        <f t="shared" si="69"/>
        <v>14</v>
      </c>
      <c r="B4050" s="166" t="s">
        <v>2250</v>
      </c>
      <c r="C4050" s="167" t="s">
        <v>2289</v>
      </c>
      <c r="D4050" s="118"/>
      <c r="E4050" s="172">
        <v>5000</v>
      </c>
    </row>
    <row r="4051" spans="1:5" x14ac:dyDescent="0.25">
      <c r="A4051" s="115">
        <f t="shared" si="69"/>
        <v>15</v>
      </c>
      <c r="B4051" s="166" t="s">
        <v>137</v>
      </c>
      <c r="C4051" s="167" t="s">
        <v>200</v>
      </c>
      <c r="D4051" s="118"/>
      <c r="E4051" s="172">
        <v>12500</v>
      </c>
    </row>
    <row r="4052" spans="1:5" x14ac:dyDescent="0.25">
      <c r="A4052" s="115">
        <f t="shared" si="69"/>
        <v>16</v>
      </c>
      <c r="B4052" s="166" t="s">
        <v>3081</v>
      </c>
      <c r="C4052" s="167" t="s">
        <v>3086</v>
      </c>
      <c r="D4052" s="118"/>
      <c r="E4052" s="172">
        <v>92500</v>
      </c>
    </row>
    <row r="4053" spans="1:5" x14ac:dyDescent="0.25">
      <c r="A4053" s="115">
        <f t="shared" si="69"/>
        <v>17</v>
      </c>
      <c r="B4053" s="166" t="s">
        <v>3087</v>
      </c>
      <c r="C4053" s="167" t="s">
        <v>3088</v>
      </c>
      <c r="D4053" s="118"/>
      <c r="E4053" s="172">
        <v>5000</v>
      </c>
    </row>
    <row r="4054" spans="1:5" x14ac:dyDescent="0.25">
      <c r="A4054" s="115">
        <f t="shared" si="69"/>
        <v>18</v>
      </c>
      <c r="B4054" s="166" t="s">
        <v>1431</v>
      </c>
      <c r="C4054" s="167" t="s">
        <v>1438</v>
      </c>
      <c r="D4054" s="118"/>
      <c r="E4054" s="172">
        <v>52500</v>
      </c>
    </row>
    <row r="4055" spans="1:5" x14ac:dyDescent="0.25">
      <c r="A4055" s="115">
        <f t="shared" si="69"/>
        <v>19</v>
      </c>
      <c r="B4055" s="166" t="s">
        <v>827</v>
      </c>
      <c r="C4055" s="167" t="s">
        <v>839</v>
      </c>
      <c r="D4055" s="118"/>
      <c r="E4055" s="172">
        <v>12500</v>
      </c>
    </row>
    <row r="4056" spans="1:5" x14ac:dyDescent="0.25">
      <c r="A4056" s="169"/>
      <c r="B4056" s="166"/>
      <c r="C4056" s="167"/>
      <c r="D4056" s="170"/>
      <c r="E4056" s="171"/>
    </row>
    <row r="4057" spans="1:5" ht="15.75" thickBot="1" x14ac:dyDescent="0.3">
      <c r="A4057" s="120"/>
      <c r="B4057" s="577" t="s">
        <v>15</v>
      </c>
      <c r="C4057" s="578"/>
      <c r="D4057" s="579"/>
      <c r="E4057" s="121">
        <f>SUM(E4037:E4056)</f>
        <v>735000</v>
      </c>
    </row>
    <row r="4058" spans="1:5" x14ac:dyDescent="0.25">
      <c r="A4058" s="110"/>
      <c r="B4058" s="145"/>
      <c r="C4058" s="145"/>
      <c r="E4058" s="146"/>
    </row>
    <row r="4059" spans="1:5" x14ac:dyDescent="0.25">
      <c r="A4059" s="109"/>
      <c r="B4059" s="109"/>
      <c r="C4059" s="110"/>
      <c r="D4059" s="123" t="s">
        <v>3089</v>
      </c>
      <c r="E4059" s="109"/>
    </row>
    <row r="4060" spans="1:5" x14ac:dyDescent="0.25">
      <c r="D4060" s="123" t="s">
        <v>100</v>
      </c>
    </row>
    <row r="4082" spans="1:5" x14ac:dyDescent="0.25">
      <c r="A4082" s="108" t="s">
        <v>0</v>
      </c>
      <c r="B4082" s="144"/>
      <c r="C4082" s="144"/>
      <c r="D4082" s="144"/>
      <c r="E4082" s="144"/>
    </row>
    <row r="4083" spans="1:5" x14ac:dyDescent="0.25">
      <c r="A4083" s="108" t="s">
        <v>1</v>
      </c>
      <c r="B4083" s="109"/>
      <c r="C4083" s="110"/>
      <c r="D4083" s="109"/>
      <c r="E4083" s="109"/>
    </row>
    <row r="4084" spans="1:5" x14ac:dyDescent="0.25">
      <c r="A4084" s="108"/>
      <c r="B4084" s="109"/>
      <c r="C4084" s="110"/>
      <c r="D4084" s="109"/>
      <c r="E4084" s="109"/>
    </row>
    <row r="4085" spans="1:5" x14ac:dyDescent="0.25">
      <c r="A4085" s="111" t="s">
        <v>101</v>
      </c>
      <c r="B4085" s="111"/>
      <c r="C4085" s="111"/>
      <c r="D4085" s="111"/>
      <c r="E4085" s="111"/>
    </row>
    <row r="4086" spans="1:5" x14ac:dyDescent="0.25">
      <c r="A4086" s="575" t="s">
        <v>119</v>
      </c>
      <c r="B4086" s="576"/>
      <c r="C4086" s="576"/>
      <c r="D4086" s="576"/>
      <c r="E4086" s="576"/>
    </row>
    <row r="4087" spans="1:5" x14ac:dyDescent="0.25">
      <c r="A4087" s="110"/>
      <c r="B4087" s="110"/>
      <c r="C4087" s="110"/>
      <c r="D4087" s="110"/>
      <c r="E4087" s="110"/>
    </row>
    <row r="4088" spans="1:5" ht="15.75" thickBot="1" x14ac:dyDescent="0.3">
      <c r="A4088" s="109"/>
      <c r="B4088" s="109"/>
      <c r="C4088" s="110"/>
      <c r="D4088" s="109"/>
      <c r="E4088" s="124" t="s">
        <v>3090</v>
      </c>
    </row>
    <row r="4089" spans="1:5" x14ac:dyDescent="0.25">
      <c r="A4089" s="112" t="s">
        <v>21</v>
      </c>
      <c r="B4089" s="113" t="s">
        <v>96</v>
      </c>
      <c r="C4089" s="113" t="s">
        <v>97</v>
      </c>
      <c r="D4089" s="113" t="s">
        <v>91</v>
      </c>
      <c r="E4089" s="114" t="s">
        <v>15</v>
      </c>
    </row>
    <row r="4090" spans="1:5" x14ac:dyDescent="0.25">
      <c r="A4090" s="115">
        <v>1</v>
      </c>
      <c r="B4090" s="166" t="s">
        <v>3092</v>
      </c>
      <c r="C4090" s="167" t="s">
        <v>3096</v>
      </c>
      <c r="D4090" s="118"/>
      <c r="E4090" s="119">
        <v>27500</v>
      </c>
    </row>
    <row r="4091" spans="1:5" x14ac:dyDescent="0.25">
      <c r="A4091" s="115">
        <f>A4090+1</f>
        <v>2</v>
      </c>
      <c r="B4091" s="166" t="s">
        <v>1392</v>
      </c>
      <c r="C4091" s="167" t="s">
        <v>1403</v>
      </c>
      <c r="D4091" s="118"/>
      <c r="E4091" s="119">
        <v>5000</v>
      </c>
    </row>
    <row r="4092" spans="1:5" x14ac:dyDescent="0.25">
      <c r="A4092" s="115">
        <f t="shared" ref="A4092:A4115" si="70">A4091+1</f>
        <v>3</v>
      </c>
      <c r="B4092" s="166" t="s">
        <v>1198</v>
      </c>
      <c r="C4092" s="167" t="s">
        <v>1210</v>
      </c>
      <c r="D4092" s="118"/>
      <c r="E4092" s="172">
        <v>5000</v>
      </c>
    </row>
    <row r="4093" spans="1:5" x14ac:dyDescent="0.25">
      <c r="A4093" s="115">
        <f t="shared" si="70"/>
        <v>4</v>
      </c>
      <c r="B4093" s="166" t="s">
        <v>272</v>
      </c>
      <c r="C4093" s="167" t="s">
        <v>264</v>
      </c>
      <c r="D4093" s="118"/>
      <c r="E4093" s="172">
        <v>12500</v>
      </c>
    </row>
    <row r="4094" spans="1:5" x14ac:dyDescent="0.25">
      <c r="A4094" s="115">
        <f t="shared" si="70"/>
        <v>5</v>
      </c>
      <c r="B4094" s="166" t="s">
        <v>3093</v>
      </c>
      <c r="C4094" s="167" t="s">
        <v>3097</v>
      </c>
      <c r="D4094" s="118"/>
      <c r="E4094" s="172">
        <v>72500</v>
      </c>
    </row>
    <row r="4095" spans="1:5" x14ac:dyDescent="0.25">
      <c r="A4095" s="115">
        <f t="shared" si="70"/>
        <v>6</v>
      </c>
      <c r="B4095" s="166" t="s">
        <v>273</v>
      </c>
      <c r="C4095" s="167" t="s">
        <v>3098</v>
      </c>
      <c r="D4095" s="118"/>
      <c r="E4095" s="172">
        <v>22500</v>
      </c>
    </row>
    <row r="4096" spans="1:5" x14ac:dyDescent="0.25">
      <c r="A4096" s="115">
        <f t="shared" si="70"/>
        <v>7</v>
      </c>
      <c r="B4096" s="166" t="s">
        <v>722</v>
      </c>
      <c r="C4096" s="167" t="s">
        <v>725</v>
      </c>
      <c r="D4096" s="118"/>
      <c r="E4096" s="172">
        <v>5000</v>
      </c>
    </row>
    <row r="4097" spans="1:5" x14ac:dyDescent="0.25">
      <c r="A4097" s="115">
        <f t="shared" si="70"/>
        <v>8</v>
      </c>
      <c r="B4097" s="166" t="s">
        <v>1088</v>
      </c>
      <c r="C4097" s="167" t="s">
        <v>1084</v>
      </c>
      <c r="D4097" s="118"/>
      <c r="E4097" s="172">
        <v>12500</v>
      </c>
    </row>
    <row r="4098" spans="1:5" x14ac:dyDescent="0.25">
      <c r="A4098" s="115">
        <f t="shared" si="70"/>
        <v>9</v>
      </c>
      <c r="B4098" s="166" t="s">
        <v>1024</v>
      </c>
      <c r="C4098" s="167" t="s">
        <v>1030</v>
      </c>
      <c r="D4098" s="118"/>
      <c r="E4098" s="172">
        <v>12500</v>
      </c>
    </row>
    <row r="4099" spans="1:5" x14ac:dyDescent="0.25">
      <c r="A4099" s="115">
        <f t="shared" si="70"/>
        <v>10</v>
      </c>
      <c r="B4099" s="166" t="s">
        <v>3094</v>
      </c>
      <c r="C4099" s="167" t="s">
        <v>3099</v>
      </c>
      <c r="D4099" s="118"/>
      <c r="E4099" s="172">
        <v>30000</v>
      </c>
    </row>
    <row r="4100" spans="1:5" x14ac:dyDescent="0.25">
      <c r="A4100" s="115">
        <f t="shared" si="70"/>
        <v>11</v>
      </c>
      <c r="B4100" s="166" t="s">
        <v>1199</v>
      </c>
      <c r="C4100" s="167" t="s">
        <v>1211</v>
      </c>
      <c r="D4100" s="118"/>
      <c r="E4100" s="172">
        <v>5000</v>
      </c>
    </row>
    <row r="4101" spans="1:5" x14ac:dyDescent="0.25">
      <c r="A4101" s="115">
        <f t="shared" si="70"/>
        <v>12</v>
      </c>
      <c r="B4101" s="166" t="s">
        <v>3095</v>
      </c>
      <c r="C4101" s="167" t="s">
        <v>3100</v>
      </c>
      <c r="D4101" s="118"/>
      <c r="E4101" s="172">
        <v>30000</v>
      </c>
    </row>
    <row r="4102" spans="1:5" x14ac:dyDescent="0.25">
      <c r="A4102" s="115">
        <f t="shared" si="70"/>
        <v>13</v>
      </c>
      <c r="B4102" s="166" t="s">
        <v>1181</v>
      </c>
      <c r="C4102" s="167" t="s">
        <v>3101</v>
      </c>
      <c r="D4102" s="118"/>
      <c r="E4102" s="172">
        <v>52500</v>
      </c>
    </row>
    <row r="4103" spans="1:5" x14ac:dyDescent="0.25">
      <c r="A4103" s="115">
        <f t="shared" si="70"/>
        <v>14</v>
      </c>
      <c r="B4103" s="166" t="s">
        <v>3107</v>
      </c>
      <c r="C4103" s="167" t="s">
        <v>3102</v>
      </c>
      <c r="D4103" s="118"/>
      <c r="E4103" s="172">
        <v>20000</v>
      </c>
    </row>
    <row r="4104" spans="1:5" x14ac:dyDescent="0.25">
      <c r="A4104" s="115">
        <f t="shared" si="70"/>
        <v>15</v>
      </c>
      <c r="B4104" s="166" t="s">
        <v>735</v>
      </c>
      <c r="C4104" s="167" t="s">
        <v>729</v>
      </c>
      <c r="D4104" s="118"/>
      <c r="E4104" s="172">
        <v>5000</v>
      </c>
    </row>
    <row r="4105" spans="1:5" x14ac:dyDescent="0.25">
      <c r="A4105" s="115">
        <f t="shared" si="70"/>
        <v>16</v>
      </c>
      <c r="B4105" s="166" t="s">
        <v>1399</v>
      </c>
      <c r="C4105" s="167" t="s">
        <v>1410</v>
      </c>
      <c r="D4105" s="118"/>
      <c r="E4105" s="172">
        <v>10000</v>
      </c>
    </row>
    <row r="4106" spans="1:5" x14ac:dyDescent="0.25">
      <c r="A4106" s="115">
        <f t="shared" si="70"/>
        <v>17</v>
      </c>
      <c r="B4106" s="166" t="s">
        <v>3108</v>
      </c>
      <c r="C4106" s="167" t="s">
        <v>3103</v>
      </c>
      <c r="D4106" s="118"/>
      <c r="E4106" s="172">
        <v>30000</v>
      </c>
    </row>
    <row r="4107" spans="1:5" x14ac:dyDescent="0.25">
      <c r="A4107" s="115">
        <f t="shared" si="70"/>
        <v>18</v>
      </c>
      <c r="B4107" s="166" t="s">
        <v>1289</v>
      </c>
      <c r="C4107" s="167" t="s">
        <v>3104</v>
      </c>
      <c r="D4107" s="118"/>
      <c r="E4107" s="172">
        <v>92500</v>
      </c>
    </row>
    <row r="4108" spans="1:5" x14ac:dyDescent="0.25">
      <c r="A4108" s="115">
        <f t="shared" si="70"/>
        <v>19</v>
      </c>
      <c r="B4108" s="166" t="s">
        <v>3109</v>
      </c>
      <c r="C4108" s="167" t="s">
        <v>3105</v>
      </c>
      <c r="D4108" s="118"/>
      <c r="E4108" s="172">
        <v>92500</v>
      </c>
    </row>
    <row r="4109" spans="1:5" x14ac:dyDescent="0.25">
      <c r="A4109" s="115">
        <f t="shared" si="70"/>
        <v>20</v>
      </c>
      <c r="B4109" s="166" t="s">
        <v>1024</v>
      </c>
      <c r="C4109" s="167" t="s">
        <v>1035</v>
      </c>
      <c r="D4109" s="118"/>
      <c r="E4109" s="172">
        <v>12500</v>
      </c>
    </row>
    <row r="4110" spans="1:5" x14ac:dyDescent="0.25">
      <c r="A4110" s="115">
        <f t="shared" si="70"/>
        <v>21</v>
      </c>
      <c r="B4110" s="166" t="s">
        <v>3110</v>
      </c>
      <c r="C4110" s="167" t="s">
        <v>3106</v>
      </c>
      <c r="D4110" s="118"/>
      <c r="E4110" s="172">
        <v>72500</v>
      </c>
    </row>
    <row r="4111" spans="1:5" x14ac:dyDescent="0.25">
      <c r="A4111" s="115">
        <f t="shared" si="70"/>
        <v>22</v>
      </c>
      <c r="B4111" s="166" t="s">
        <v>1203</v>
      </c>
      <c r="C4111" s="167" t="s">
        <v>1215</v>
      </c>
      <c r="D4111" s="118"/>
      <c r="E4111" s="172">
        <v>5000</v>
      </c>
    </row>
    <row r="4112" spans="1:5" x14ac:dyDescent="0.25">
      <c r="A4112" s="115">
        <f t="shared" si="70"/>
        <v>23</v>
      </c>
      <c r="B4112" s="166" t="s">
        <v>3114</v>
      </c>
      <c r="C4112" s="167" t="s">
        <v>3111</v>
      </c>
      <c r="D4112" s="118"/>
      <c r="E4112" s="172">
        <v>40000</v>
      </c>
    </row>
    <row r="4113" spans="1:5" x14ac:dyDescent="0.25">
      <c r="A4113" s="115">
        <f t="shared" si="70"/>
        <v>24</v>
      </c>
      <c r="B4113" s="166" t="s">
        <v>3115</v>
      </c>
      <c r="C4113" s="167" t="s">
        <v>3112</v>
      </c>
      <c r="D4113" s="118"/>
      <c r="E4113" s="172">
        <v>5000</v>
      </c>
    </row>
    <row r="4114" spans="1:5" x14ac:dyDescent="0.25">
      <c r="A4114" s="115">
        <f t="shared" si="70"/>
        <v>25</v>
      </c>
      <c r="B4114" s="166" t="s">
        <v>2092</v>
      </c>
      <c r="C4114" s="167" t="s">
        <v>2096</v>
      </c>
      <c r="D4114" s="118"/>
      <c r="E4114" s="172">
        <v>40000</v>
      </c>
    </row>
    <row r="4115" spans="1:5" x14ac:dyDescent="0.25">
      <c r="A4115" s="115">
        <f t="shared" si="70"/>
        <v>26</v>
      </c>
      <c r="B4115" s="166" t="s">
        <v>3116</v>
      </c>
      <c r="C4115" s="167" t="s">
        <v>3113</v>
      </c>
      <c r="D4115" s="118"/>
      <c r="E4115" s="172">
        <v>22500</v>
      </c>
    </row>
    <row r="4116" spans="1:5" x14ac:dyDescent="0.25">
      <c r="A4116" s="169"/>
      <c r="B4116" s="166"/>
      <c r="C4116" s="167"/>
      <c r="D4116" s="170"/>
      <c r="E4116" s="171"/>
    </row>
    <row r="4117" spans="1:5" ht="15.75" thickBot="1" x14ac:dyDescent="0.3">
      <c r="A4117" s="120"/>
      <c r="B4117" s="577" t="s">
        <v>15</v>
      </c>
      <c r="C4117" s="578"/>
      <c r="D4117" s="579"/>
      <c r="E4117" s="121">
        <f>SUM(E4090:E4116)</f>
        <v>740000</v>
      </c>
    </row>
    <row r="4118" spans="1:5" x14ac:dyDescent="0.25">
      <c r="A4118" s="110"/>
      <c r="B4118" s="145"/>
      <c r="C4118" s="145"/>
      <c r="E4118" s="146"/>
    </row>
    <row r="4119" spans="1:5" x14ac:dyDescent="0.25">
      <c r="A4119" s="109"/>
      <c r="B4119" s="109"/>
      <c r="C4119" s="110"/>
      <c r="D4119" s="123" t="s">
        <v>3091</v>
      </c>
      <c r="E4119" s="109"/>
    </row>
    <row r="4120" spans="1:5" x14ac:dyDescent="0.25">
      <c r="D4120" s="123" t="s">
        <v>100</v>
      </c>
    </row>
    <row r="4135" spans="1:5" x14ac:dyDescent="0.25">
      <c r="A4135" s="108" t="s">
        <v>0</v>
      </c>
      <c r="B4135" s="144"/>
      <c r="C4135" s="144"/>
      <c r="D4135" s="144"/>
      <c r="E4135" s="144"/>
    </row>
    <row r="4136" spans="1:5" x14ac:dyDescent="0.25">
      <c r="A4136" s="108" t="s">
        <v>1</v>
      </c>
      <c r="B4136" s="109"/>
      <c r="C4136" s="110"/>
      <c r="D4136" s="109"/>
      <c r="E4136" s="109"/>
    </row>
    <row r="4137" spans="1:5" x14ac:dyDescent="0.25">
      <c r="A4137" s="108"/>
      <c r="B4137" s="109"/>
      <c r="C4137" s="110"/>
      <c r="D4137" s="109"/>
      <c r="E4137" s="109"/>
    </row>
    <row r="4138" spans="1:5" x14ac:dyDescent="0.25">
      <c r="A4138" s="111" t="s">
        <v>101</v>
      </c>
      <c r="B4138" s="111"/>
      <c r="C4138" s="111"/>
      <c r="D4138" s="111"/>
      <c r="E4138" s="111"/>
    </row>
    <row r="4139" spans="1:5" x14ac:dyDescent="0.25">
      <c r="A4139" s="575" t="s">
        <v>119</v>
      </c>
      <c r="B4139" s="576"/>
      <c r="C4139" s="576"/>
      <c r="D4139" s="576"/>
      <c r="E4139" s="576"/>
    </row>
    <row r="4140" spans="1:5" x14ac:dyDescent="0.25">
      <c r="A4140" s="110"/>
      <c r="B4140" s="110"/>
      <c r="C4140" s="110"/>
      <c r="D4140" s="110"/>
      <c r="E4140" s="110"/>
    </row>
    <row r="4141" spans="1:5" ht="15.75" thickBot="1" x14ac:dyDescent="0.3">
      <c r="A4141" s="109"/>
      <c r="B4141" s="109"/>
      <c r="C4141" s="110"/>
      <c r="D4141" s="109"/>
      <c r="E4141" s="124" t="s">
        <v>3117</v>
      </c>
    </row>
    <row r="4142" spans="1:5" x14ac:dyDescent="0.25">
      <c r="A4142" s="112" t="s">
        <v>21</v>
      </c>
      <c r="B4142" s="113" t="s">
        <v>96</v>
      </c>
      <c r="C4142" s="113" t="s">
        <v>97</v>
      </c>
      <c r="D4142" s="113" t="s">
        <v>91</v>
      </c>
      <c r="E4142" s="114" t="s">
        <v>15</v>
      </c>
    </row>
    <row r="4143" spans="1:5" x14ac:dyDescent="0.25">
      <c r="A4143" s="115">
        <v>1</v>
      </c>
      <c r="B4143" s="166" t="s">
        <v>536</v>
      </c>
      <c r="C4143" s="167" t="s">
        <v>542</v>
      </c>
      <c r="D4143" s="118"/>
      <c r="E4143" s="119">
        <v>20000</v>
      </c>
    </row>
    <row r="4144" spans="1:5" x14ac:dyDescent="0.25">
      <c r="A4144" s="115">
        <f>A4143+1</f>
        <v>2</v>
      </c>
      <c r="B4144" s="166" t="s">
        <v>3119</v>
      </c>
      <c r="C4144" s="167" t="s">
        <v>3123</v>
      </c>
      <c r="D4144" s="118"/>
      <c r="E4144" s="119">
        <v>20000</v>
      </c>
    </row>
    <row r="4145" spans="1:5" x14ac:dyDescent="0.25">
      <c r="A4145" s="115">
        <f t="shared" ref="A4145:A4156" si="71">A4144+1</f>
        <v>3</v>
      </c>
      <c r="B4145" s="166" t="s">
        <v>3120</v>
      </c>
      <c r="C4145" s="167" t="s">
        <v>3124</v>
      </c>
      <c r="D4145" s="118"/>
      <c r="E4145" s="172">
        <v>50000</v>
      </c>
    </row>
    <row r="4146" spans="1:5" x14ac:dyDescent="0.25">
      <c r="A4146" s="115">
        <f t="shared" si="71"/>
        <v>4</v>
      </c>
      <c r="B4146" s="166" t="s">
        <v>1714</v>
      </c>
      <c r="C4146" s="167" t="s">
        <v>1706</v>
      </c>
      <c r="D4146" s="118"/>
      <c r="E4146" s="172">
        <v>22500</v>
      </c>
    </row>
    <row r="4147" spans="1:5" x14ac:dyDescent="0.25">
      <c r="A4147" s="115">
        <f t="shared" si="71"/>
        <v>5</v>
      </c>
      <c r="B4147" s="166" t="s">
        <v>3121</v>
      </c>
      <c r="C4147" s="167" t="s">
        <v>3125</v>
      </c>
      <c r="D4147" s="118"/>
      <c r="E4147" s="172">
        <v>82500</v>
      </c>
    </row>
    <row r="4148" spans="1:5" x14ac:dyDescent="0.25">
      <c r="A4148" s="115">
        <f t="shared" si="71"/>
        <v>6</v>
      </c>
      <c r="B4148" s="166" t="s">
        <v>3122</v>
      </c>
      <c r="C4148" s="167" t="s">
        <v>3126</v>
      </c>
      <c r="D4148" s="118"/>
      <c r="E4148" s="172">
        <v>72500</v>
      </c>
    </row>
    <row r="4149" spans="1:5" x14ac:dyDescent="0.25">
      <c r="A4149" s="115">
        <f t="shared" si="71"/>
        <v>7</v>
      </c>
      <c r="B4149" s="166" t="s">
        <v>1372</v>
      </c>
      <c r="C4149" s="167" t="s">
        <v>1381</v>
      </c>
      <c r="D4149" s="118"/>
      <c r="E4149" s="172">
        <v>12500</v>
      </c>
    </row>
    <row r="4150" spans="1:5" x14ac:dyDescent="0.25">
      <c r="A4150" s="115">
        <f t="shared" si="71"/>
        <v>8</v>
      </c>
      <c r="B4150" s="166" t="s">
        <v>3132</v>
      </c>
      <c r="C4150" s="167" t="s">
        <v>3127</v>
      </c>
      <c r="D4150" s="118"/>
      <c r="E4150" s="172">
        <v>22500</v>
      </c>
    </row>
    <row r="4151" spans="1:5" x14ac:dyDescent="0.25">
      <c r="A4151" s="115">
        <f t="shared" si="71"/>
        <v>9</v>
      </c>
      <c r="B4151" s="166" t="s">
        <v>3133</v>
      </c>
      <c r="C4151" s="167" t="s">
        <v>3128</v>
      </c>
      <c r="D4151" s="118"/>
      <c r="E4151" s="172">
        <v>62500</v>
      </c>
    </row>
    <row r="4152" spans="1:5" x14ac:dyDescent="0.25">
      <c r="A4152" s="115">
        <f t="shared" si="71"/>
        <v>10</v>
      </c>
      <c r="B4152" s="166" t="s">
        <v>1919</v>
      </c>
      <c r="C4152" s="167" t="s">
        <v>1926</v>
      </c>
      <c r="D4152" s="118"/>
      <c r="E4152" s="172">
        <v>5000</v>
      </c>
    </row>
    <row r="4153" spans="1:5" x14ac:dyDescent="0.25">
      <c r="A4153" s="115">
        <f t="shared" si="71"/>
        <v>11</v>
      </c>
      <c r="B4153" s="166" t="s">
        <v>3134</v>
      </c>
      <c r="C4153" s="167" t="s">
        <v>3129</v>
      </c>
      <c r="D4153" s="118"/>
      <c r="E4153" s="172">
        <v>5000</v>
      </c>
    </row>
    <row r="4154" spans="1:5" x14ac:dyDescent="0.25">
      <c r="A4154" s="115">
        <f t="shared" si="71"/>
        <v>12</v>
      </c>
      <c r="B4154" s="166" t="s">
        <v>3135</v>
      </c>
      <c r="C4154" s="167" t="s">
        <v>3130</v>
      </c>
      <c r="D4154" s="118"/>
      <c r="E4154" s="172">
        <v>12500</v>
      </c>
    </row>
    <row r="4155" spans="1:5" x14ac:dyDescent="0.25">
      <c r="A4155" s="115">
        <f t="shared" si="71"/>
        <v>13</v>
      </c>
      <c r="B4155" s="166" t="s">
        <v>3136</v>
      </c>
      <c r="C4155" s="167" t="s">
        <v>3131</v>
      </c>
      <c r="D4155" s="118"/>
      <c r="E4155" s="172">
        <v>22500</v>
      </c>
    </row>
    <row r="4156" spans="1:5" x14ac:dyDescent="0.25">
      <c r="A4156" s="115">
        <f t="shared" si="71"/>
        <v>14</v>
      </c>
      <c r="B4156" s="166" t="s">
        <v>1419</v>
      </c>
      <c r="C4156" s="167" t="s">
        <v>1425</v>
      </c>
      <c r="D4156" s="118"/>
      <c r="E4156" s="172">
        <v>12500</v>
      </c>
    </row>
    <row r="4157" spans="1:5" x14ac:dyDescent="0.25">
      <c r="A4157" s="169"/>
      <c r="B4157" s="166"/>
      <c r="C4157" s="167"/>
      <c r="D4157" s="170"/>
      <c r="E4157" s="171"/>
    </row>
    <row r="4158" spans="1:5" ht="15.75" thickBot="1" x14ac:dyDescent="0.3">
      <c r="A4158" s="120"/>
      <c r="B4158" s="577" t="s">
        <v>15</v>
      </c>
      <c r="C4158" s="578"/>
      <c r="D4158" s="579"/>
      <c r="E4158" s="121">
        <f>SUM(E4143:E4157)</f>
        <v>422500</v>
      </c>
    </row>
    <row r="4159" spans="1:5" x14ac:dyDescent="0.25">
      <c r="A4159" s="110"/>
      <c r="B4159" s="145"/>
      <c r="C4159" s="145"/>
      <c r="E4159" s="146"/>
    </row>
    <row r="4160" spans="1:5" x14ac:dyDescent="0.25">
      <c r="A4160" s="109"/>
      <c r="B4160" s="109"/>
      <c r="C4160" s="110"/>
      <c r="D4160" s="123" t="s">
        <v>3118</v>
      </c>
      <c r="E4160" s="109"/>
    </row>
    <row r="4161" spans="4:4" x14ac:dyDescent="0.25">
      <c r="D4161" s="123" t="s">
        <v>100</v>
      </c>
    </row>
    <row r="4188" spans="1:5" x14ac:dyDescent="0.25">
      <c r="A4188" s="108" t="s">
        <v>0</v>
      </c>
      <c r="B4188" s="144"/>
      <c r="C4188" s="144"/>
      <c r="D4188" s="144"/>
      <c r="E4188" s="144"/>
    </row>
    <row r="4189" spans="1:5" x14ac:dyDescent="0.25">
      <c r="A4189" s="108" t="s">
        <v>1</v>
      </c>
      <c r="B4189" s="109"/>
      <c r="C4189" s="110"/>
      <c r="D4189" s="109"/>
      <c r="E4189" s="109"/>
    </row>
    <row r="4190" spans="1:5" x14ac:dyDescent="0.25">
      <c r="A4190" s="108"/>
      <c r="B4190" s="109"/>
      <c r="C4190" s="110"/>
      <c r="D4190" s="109"/>
      <c r="E4190" s="109"/>
    </row>
    <row r="4191" spans="1:5" x14ac:dyDescent="0.25">
      <c r="A4191" s="111" t="s">
        <v>101</v>
      </c>
      <c r="B4191" s="111"/>
      <c r="C4191" s="111"/>
      <c r="D4191" s="111"/>
      <c r="E4191" s="111"/>
    </row>
    <row r="4192" spans="1:5" x14ac:dyDescent="0.25">
      <c r="A4192" s="575" t="s">
        <v>119</v>
      </c>
      <c r="B4192" s="576"/>
      <c r="C4192" s="576"/>
      <c r="D4192" s="576"/>
      <c r="E4192" s="576"/>
    </row>
    <row r="4193" spans="1:5" x14ac:dyDescent="0.25">
      <c r="A4193" s="110"/>
      <c r="B4193" s="110"/>
      <c r="C4193" s="110"/>
      <c r="D4193" s="110"/>
      <c r="E4193" s="110"/>
    </row>
    <row r="4194" spans="1:5" ht="15.75" thickBot="1" x14ac:dyDescent="0.3">
      <c r="A4194" s="109"/>
      <c r="B4194" s="109"/>
      <c r="C4194" s="110"/>
      <c r="D4194" s="109"/>
      <c r="E4194" s="124" t="s">
        <v>3137</v>
      </c>
    </row>
    <row r="4195" spans="1:5" x14ac:dyDescent="0.25">
      <c r="A4195" s="112" t="s">
        <v>21</v>
      </c>
      <c r="B4195" s="113" t="s">
        <v>96</v>
      </c>
      <c r="C4195" s="113" t="s">
        <v>97</v>
      </c>
      <c r="D4195" s="113" t="s">
        <v>91</v>
      </c>
      <c r="E4195" s="114" t="s">
        <v>15</v>
      </c>
    </row>
    <row r="4196" spans="1:5" x14ac:dyDescent="0.25">
      <c r="A4196" s="115">
        <v>1</v>
      </c>
      <c r="B4196" s="166" t="s">
        <v>1295</v>
      </c>
      <c r="C4196" s="167" t="s">
        <v>3142</v>
      </c>
      <c r="D4196" s="118"/>
      <c r="E4196" s="119">
        <v>22500</v>
      </c>
    </row>
    <row r="4197" spans="1:5" x14ac:dyDescent="0.25">
      <c r="A4197" s="115">
        <f>A4196+1</f>
        <v>2</v>
      </c>
      <c r="B4197" s="166" t="s">
        <v>3139</v>
      </c>
      <c r="C4197" s="167" t="s">
        <v>3143</v>
      </c>
      <c r="D4197" s="118"/>
      <c r="E4197" s="119">
        <v>72500</v>
      </c>
    </row>
    <row r="4198" spans="1:5" x14ac:dyDescent="0.25">
      <c r="A4198" s="115">
        <f t="shared" ref="A4198:A4216" si="72">A4197+1</f>
        <v>3</v>
      </c>
      <c r="B4198" s="166" t="s">
        <v>2601</v>
      </c>
      <c r="C4198" s="167" t="s">
        <v>3144</v>
      </c>
      <c r="D4198" s="118"/>
      <c r="E4198" s="172">
        <v>22500</v>
      </c>
    </row>
    <row r="4199" spans="1:5" x14ac:dyDescent="0.25">
      <c r="A4199" s="115">
        <f t="shared" si="72"/>
        <v>4</v>
      </c>
      <c r="B4199" s="166" t="s">
        <v>3140</v>
      </c>
      <c r="C4199" s="167" t="s">
        <v>3145</v>
      </c>
      <c r="D4199" s="118"/>
      <c r="E4199" s="172">
        <v>62500</v>
      </c>
    </row>
    <row r="4200" spans="1:5" x14ac:dyDescent="0.25">
      <c r="A4200" s="115">
        <f t="shared" si="72"/>
        <v>5</v>
      </c>
      <c r="B4200" s="166" t="s">
        <v>137</v>
      </c>
      <c r="C4200" s="167" t="s">
        <v>3146</v>
      </c>
      <c r="D4200" s="118"/>
      <c r="E4200" s="172">
        <v>32500</v>
      </c>
    </row>
    <row r="4201" spans="1:5" x14ac:dyDescent="0.25">
      <c r="A4201" s="115">
        <f t="shared" si="72"/>
        <v>6</v>
      </c>
      <c r="B4201" s="166" t="s">
        <v>3141</v>
      </c>
      <c r="C4201" s="167" t="s">
        <v>3147</v>
      </c>
      <c r="D4201" s="118"/>
      <c r="E4201" s="172">
        <v>62500</v>
      </c>
    </row>
    <row r="4202" spans="1:5" x14ac:dyDescent="0.25">
      <c r="A4202" s="115">
        <f t="shared" si="72"/>
        <v>7</v>
      </c>
      <c r="B4202" s="166" t="s">
        <v>3154</v>
      </c>
      <c r="C4202" s="167" t="s">
        <v>3148</v>
      </c>
      <c r="D4202" s="118"/>
      <c r="E4202" s="172">
        <v>5000</v>
      </c>
    </row>
    <row r="4203" spans="1:5" x14ac:dyDescent="0.25">
      <c r="A4203" s="115">
        <f t="shared" si="72"/>
        <v>8</v>
      </c>
      <c r="B4203" s="166" t="s">
        <v>1834</v>
      </c>
      <c r="C4203" s="167" t="s">
        <v>1840</v>
      </c>
      <c r="D4203" s="118"/>
      <c r="E4203" s="172">
        <v>5000</v>
      </c>
    </row>
    <row r="4204" spans="1:5" x14ac:dyDescent="0.25">
      <c r="A4204" s="115">
        <f t="shared" si="72"/>
        <v>9</v>
      </c>
      <c r="B4204" s="166" t="s">
        <v>3155</v>
      </c>
      <c r="C4204" s="167" t="s">
        <v>3149</v>
      </c>
      <c r="D4204" s="118"/>
      <c r="E4204" s="172">
        <v>62500</v>
      </c>
    </row>
    <row r="4205" spans="1:5" x14ac:dyDescent="0.25">
      <c r="A4205" s="115">
        <f t="shared" si="72"/>
        <v>10</v>
      </c>
      <c r="B4205" s="166" t="s">
        <v>3156</v>
      </c>
      <c r="C4205" s="167" t="s">
        <v>3150</v>
      </c>
      <c r="D4205" s="118"/>
      <c r="E4205" s="172">
        <v>22500</v>
      </c>
    </row>
    <row r="4206" spans="1:5" x14ac:dyDescent="0.25">
      <c r="A4206" s="115">
        <f t="shared" si="72"/>
        <v>11</v>
      </c>
      <c r="B4206" s="166" t="s">
        <v>1049</v>
      </c>
      <c r="C4206" s="167" t="s">
        <v>1038</v>
      </c>
      <c r="D4206" s="118"/>
      <c r="E4206" s="172">
        <v>5000</v>
      </c>
    </row>
    <row r="4207" spans="1:5" x14ac:dyDescent="0.25">
      <c r="A4207" s="115">
        <f t="shared" si="72"/>
        <v>12</v>
      </c>
      <c r="B4207" s="166" t="s">
        <v>1202</v>
      </c>
      <c r="C4207" s="167" t="s">
        <v>1214</v>
      </c>
      <c r="D4207" s="118"/>
      <c r="E4207" s="172">
        <v>5000</v>
      </c>
    </row>
    <row r="4208" spans="1:5" x14ac:dyDescent="0.25">
      <c r="A4208" s="115">
        <f t="shared" si="72"/>
        <v>13</v>
      </c>
      <c r="B4208" s="166" t="s">
        <v>1430</v>
      </c>
      <c r="C4208" s="167" t="s">
        <v>1437</v>
      </c>
      <c r="D4208" s="118"/>
      <c r="E4208" s="172">
        <v>5000</v>
      </c>
    </row>
    <row r="4209" spans="1:5" x14ac:dyDescent="0.25">
      <c r="A4209" s="115">
        <f t="shared" si="72"/>
        <v>14</v>
      </c>
      <c r="B4209" s="166" t="s">
        <v>3157</v>
      </c>
      <c r="C4209" s="167" t="s">
        <v>912</v>
      </c>
      <c r="D4209" s="118"/>
      <c r="E4209" s="172">
        <v>12500</v>
      </c>
    </row>
    <row r="4210" spans="1:5" x14ac:dyDescent="0.25">
      <c r="A4210" s="115">
        <f t="shared" si="72"/>
        <v>15</v>
      </c>
      <c r="B4210" s="166" t="s">
        <v>3116</v>
      </c>
      <c r="C4210" s="167" t="s">
        <v>3151</v>
      </c>
      <c r="D4210" s="170"/>
      <c r="E4210" s="174">
        <v>20000</v>
      </c>
    </row>
    <row r="4211" spans="1:5" x14ac:dyDescent="0.25">
      <c r="A4211" s="115">
        <f t="shared" si="72"/>
        <v>16</v>
      </c>
      <c r="B4211" s="166" t="s">
        <v>211</v>
      </c>
      <c r="C4211" s="167" t="s">
        <v>223</v>
      </c>
      <c r="D4211" s="170"/>
      <c r="E4211" s="174">
        <v>12500</v>
      </c>
    </row>
    <row r="4212" spans="1:5" x14ac:dyDescent="0.25">
      <c r="A4212" s="115">
        <f t="shared" si="72"/>
        <v>17</v>
      </c>
      <c r="B4212" s="166" t="s">
        <v>617</v>
      </c>
      <c r="C4212" s="167" t="s">
        <v>608</v>
      </c>
      <c r="D4212" s="170"/>
      <c r="E4212" s="174">
        <v>5000</v>
      </c>
    </row>
    <row r="4213" spans="1:5" x14ac:dyDescent="0.25">
      <c r="A4213" s="115">
        <f t="shared" si="72"/>
        <v>18</v>
      </c>
      <c r="B4213" s="166" t="s">
        <v>3159</v>
      </c>
      <c r="C4213" s="167" t="s">
        <v>3152</v>
      </c>
      <c r="D4213" s="170"/>
      <c r="E4213" s="174">
        <v>5000</v>
      </c>
    </row>
    <row r="4214" spans="1:5" x14ac:dyDescent="0.25">
      <c r="A4214" s="115">
        <f t="shared" si="72"/>
        <v>19</v>
      </c>
      <c r="B4214" s="166" t="s">
        <v>3158</v>
      </c>
      <c r="C4214" s="167" t="s">
        <v>3153</v>
      </c>
      <c r="D4214" s="170"/>
      <c r="E4214" s="174">
        <v>42500</v>
      </c>
    </row>
    <row r="4215" spans="1:5" x14ac:dyDescent="0.25">
      <c r="A4215" s="115">
        <f t="shared" si="72"/>
        <v>20</v>
      </c>
      <c r="B4215" s="166" t="s">
        <v>1205</v>
      </c>
      <c r="C4215" s="167" t="s">
        <v>1217</v>
      </c>
      <c r="D4215" s="170"/>
      <c r="E4215" s="174">
        <v>5000</v>
      </c>
    </row>
    <row r="4216" spans="1:5" x14ac:dyDescent="0.25">
      <c r="A4216" s="115">
        <f t="shared" si="72"/>
        <v>21</v>
      </c>
      <c r="B4216" s="166" t="s">
        <v>757</v>
      </c>
      <c r="C4216" s="167" t="s">
        <v>752</v>
      </c>
      <c r="D4216" s="170"/>
      <c r="E4216" s="174">
        <v>12500</v>
      </c>
    </row>
    <row r="4217" spans="1:5" x14ac:dyDescent="0.25">
      <c r="A4217" s="169"/>
      <c r="B4217" s="166"/>
      <c r="C4217" s="167"/>
      <c r="D4217" s="170"/>
      <c r="E4217" s="174"/>
    </row>
    <row r="4218" spans="1:5" ht="15.75" thickBot="1" x14ac:dyDescent="0.3">
      <c r="A4218" s="120"/>
      <c r="B4218" s="577" t="s">
        <v>15</v>
      </c>
      <c r="C4218" s="578"/>
      <c r="D4218" s="579"/>
      <c r="E4218" s="121">
        <f>SUM(E4196:E4217)</f>
        <v>500000</v>
      </c>
    </row>
    <row r="4219" spans="1:5" x14ac:dyDescent="0.25">
      <c r="A4219" s="110"/>
      <c r="B4219" s="145"/>
      <c r="C4219" s="145"/>
      <c r="E4219" s="146"/>
    </row>
    <row r="4220" spans="1:5" x14ac:dyDescent="0.25">
      <c r="A4220" s="109"/>
      <c r="B4220" s="109"/>
      <c r="C4220" s="110"/>
      <c r="D4220" s="123" t="s">
        <v>3138</v>
      </c>
      <c r="E4220" s="109"/>
    </row>
    <row r="4221" spans="1:5" x14ac:dyDescent="0.25">
      <c r="D4221" s="123" t="s">
        <v>100</v>
      </c>
    </row>
    <row r="4241" spans="1:5" x14ac:dyDescent="0.25">
      <c r="A4241" s="108" t="s">
        <v>0</v>
      </c>
      <c r="B4241" s="144"/>
      <c r="C4241" s="144"/>
      <c r="D4241" s="144"/>
      <c r="E4241" s="144"/>
    </row>
    <row r="4242" spans="1:5" x14ac:dyDescent="0.25">
      <c r="A4242" s="108" t="s">
        <v>1</v>
      </c>
      <c r="B4242" s="109"/>
      <c r="C4242" s="110"/>
      <c r="D4242" s="109"/>
      <c r="E4242" s="109"/>
    </row>
    <row r="4243" spans="1:5" x14ac:dyDescent="0.25">
      <c r="A4243" s="108"/>
      <c r="B4243" s="109"/>
      <c r="C4243" s="110"/>
      <c r="D4243" s="109"/>
      <c r="E4243" s="109"/>
    </row>
    <row r="4244" spans="1:5" x14ac:dyDescent="0.25">
      <c r="A4244" s="111" t="s">
        <v>101</v>
      </c>
      <c r="B4244" s="111"/>
      <c r="C4244" s="111"/>
      <c r="D4244" s="111"/>
      <c r="E4244" s="111"/>
    </row>
    <row r="4245" spans="1:5" x14ac:dyDescent="0.25">
      <c r="A4245" s="575" t="s">
        <v>119</v>
      </c>
      <c r="B4245" s="576"/>
      <c r="C4245" s="576"/>
      <c r="D4245" s="576"/>
      <c r="E4245" s="576"/>
    </row>
    <row r="4246" spans="1:5" x14ac:dyDescent="0.25">
      <c r="A4246" s="110"/>
      <c r="B4246" s="110"/>
      <c r="C4246" s="110"/>
      <c r="D4246" s="110"/>
      <c r="E4246" s="110"/>
    </row>
    <row r="4247" spans="1:5" ht="15.75" thickBot="1" x14ac:dyDescent="0.3">
      <c r="A4247" s="109"/>
      <c r="B4247" s="109"/>
      <c r="C4247" s="110"/>
      <c r="D4247" s="109"/>
      <c r="E4247" s="124" t="s">
        <v>3161</v>
      </c>
    </row>
    <row r="4248" spans="1:5" x14ac:dyDescent="0.25">
      <c r="A4248" s="112" t="s">
        <v>21</v>
      </c>
      <c r="B4248" s="113" t="s">
        <v>96</v>
      </c>
      <c r="C4248" s="113" t="s">
        <v>97</v>
      </c>
      <c r="D4248" s="113" t="s">
        <v>91</v>
      </c>
      <c r="E4248" s="114" t="s">
        <v>15</v>
      </c>
    </row>
    <row r="4249" spans="1:5" x14ac:dyDescent="0.25">
      <c r="A4249" s="115">
        <v>1</v>
      </c>
      <c r="B4249" s="166"/>
      <c r="C4249" s="167"/>
      <c r="D4249" s="118"/>
      <c r="E4249" s="119"/>
    </row>
    <row r="4250" spans="1:5" x14ac:dyDescent="0.25">
      <c r="A4250" s="115">
        <f>A4249+1</f>
        <v>2</v>
      </c>
      <c r="B4250" s="166"/>
      <c r="C4250" s="167"/>
      <c r="D4250" s="118"/>
      <c r="E4250" s="119"/>
    </row>
    <row r="4251" spans="1:5" x14ac:dyDescent="0.25">
      <c r="A4251" s="115">
        <f t="shared" ref="A4251:A4269" si="73">A4250+1</f>
        <v>3</v>
      </c>
      <c r="B4251" s="166"/>
      <c r="C4251" s="167"/>
      <c r="D4251" s="118"/>
      <c r="E4251" s="172"/>
    </row>
    <row r="4252" spans="1:5" x14ac:dyDescent="0.25">
      <c r="A4252" s="115">
        <f t="shared" si="73"/>
        <v>4</v>
      </c>
      <c r="B4252" s="592" t="s">
        <v>1559</v>
      </c>
      <c r="C4252" s="593"/>
      <c r="D4252" s="593"/>
      <c r="E4252" s="594"/>
    </row>
    <row r="4253" spans="1:5" x14ac:dyDescent="0.25">
      <c r="A4253" s="115">
        <f t="shared" si="73"/>
        <v>5</v>
      </c>
      <c r="B4253" s="595"/>
      <c r="C4253" s="596"/>
      <c r="D4253" s="596"/>
      <c r="E4253" s="597"/>
    </row>
    <row r="4254" spans="1:5" x14ac:dyDescent="0.25">
      <c r="A4254" s="115">
        <f t="shared" si="73"/>
        <v>6</v>
      </c>
      <c r="B4254" s="166"/>
      <c r="C4254" s="167"/>
      <c r="D4254" s="118"/>
      <c r="E4254" s="172"/>
    </row>
    <row r="4255" spans="1:5" x14ac:dyDescent="0.25">
      <c r="A4255" s="115">
        <f t="shared" si="73"/>
        <v>7</v>
      </c>
      <c r="B4255" s="166"/>
      <c r="C4255" s="167"/>
      <c r="D4255" s="118"/>
      <c r="E4255" s="172"/>
    </row>
    <row r="4256" spans="1:5" x14ac:dyDescent="0.25">
      <c r="A4256" s="115">
        <f t="shared" si="73"/>
        <v>8</v>
      </c>
      <c r="B4256" s="166"/>
      <c r="C4256" s="167"/>
      <c r="D4256" s="118"/>
      <c r="E4256" s="172"/>
    </row>
    <row r="4257" spans="1:5" x14ac:dyDescent="0.25">
      <c r="A4257" s="115">
        <f t="shared" si="73"/>
        <v>9</v>
      </c>
      <c r="B4257" s="166"/>
      <c r="C4257" s="167"/>
      <c r="D4257" s="118"/>
      <c r="E4257" s="172"/>
    </row>
    <row r="4258" spans="1:5" x14ac:dyDescent="0.25">
      <c r="A4258" s="115">
        <f t="shared" si="73"/>
        <v>10</v>
      </c>
      <c r="B4258" s="166"/>
      <c r="C4258" s="167"/>
      <c r="D4258" s="118"/>
      <c r="E4258" s="172"/>
    </row>
    <row r="4259" spans="1:5" x14ac:dyDescent="0.25">
      <c r="A4259" s="115">
        <f t="shared" si="73"/>
        <v>11</v>
      </c>
      <c r="B4259" s="166"/>
      <c r="C4259" s="167"/>
      <c r="D4259" s="118"/>
      <c r="E4259" s="172"/>
    </row>
    <row r="4260" spans="1:5" x14ac:dyDescent="0.25">
      <c r="A4260" s="115">
        <f t="shared" si="73"/>
        <v>12</v>
      </c>
      <c r="B4260" s="166"/>
      <c r="C4260" s="167"/>
      <c r="D4260" s="118"/>
      <c r="E4260" s="172"/>
    </row>
    <row r="4261" spans="1:5" x14ac:dyDescent="0.25">
      <c r="A4261" s="115">
        <f t="shared" si="73"/>
        <v>13</v>
      </c>
      <c r="B4261" s="166"/>
      <c r="C4261" s="167"/>
      <c r="D4261" s="118"/>
      <c r="E4261" s="172"/>
    </row>
    <row r="4262" spans="1:5" x14ac:dyDescent="0.25">
      <c r="A4262" s="115">
        <f t="shared" si="73"/>
        <v>14</v>
      </c>
      <c r="B4262" s="166"/>
      <c r="C4262" s="167"/>
      <c r="D4262" s="118"/>
      <c r="E4262" s="172"/>
    </row>
    <row r="4263" spans="1:5" x14ac:dyDescent="0.25">
      <c r="A4263" s="115">
        <f t="shared" si="73"/>
        <v>15</v>
      </c>
      <c r="B4263" s="166"/>
      <c r="C4263" s="167"/>
      <c r="D4263" s="170"/>
      <c r="E4263" s="174"/>
    </row>
    <row r="4264" spans="1:5" x14ac:dyDescent="0.25">
      <c r="A4264" s="115">
        <f t="shared" si="73"/>
        <v>16</v>
      </c>
      <c r="B4264" s="166"/>
      <c r="C4264" s="167"/>
      <c r="D4264" s="170"/>
      <c r="E4264" s="174"/>
    </row>
    <row r="4265" spans="1:5" x14ac:dyDescent="0.25">
      <c r="A4265" s="115">
        <f t="shared" si="73"/>
        <v>17</v>
      </c>
      <c r="B4265" s="166"/>
      <c r="C4265" s="167"/>
      <c r="D4265" s="170"/>
      <c r="E4265" s="174"/>
    </row>
    <row r="4266" spans="1:5" x14ac:dyDescent="0.25">
      <c r="A4266" s="115">
        <f t="shared" si="73"/>
        <v>18</v>
      </c>
      <c r="B4266" s="166"/>
      <c r="C4266" s="167"/>
      <c r="D4266" s="170"/>
      <c r="E4266" s="174"/>
    </row>
    <row r="4267" spans="1:5" x14ac:dyDescent="0.25">
      <c r="A4267" s="115">
        <f t="shared" si="73"/>
        <v>19</v>
      </c>
      <c r="B4267" s="166"/>
      <c r="C4267" s="167"/>
      <c r="D4267" s="170"/>
      <c r="E4267" s="174"/>
    </row>
    <row r="4268" spans="1:5" x14ac:dyDescent="0.25">
      <c r="A4268" s="115">
        <f t="shared" si="73"/>
        <v>20</v>
      </c>
      <c r="B4268" s="166"/>
      <c r="C4268" s="167"/>
      <c r="D4268" s="170"/>
      <c r="E4268" s="174"/>
    </row>
    <row r="4269" spans="1:5" x14ac:dyDescent="0.25">
      <c r="A4269" s="115">
        <f t="shared" si="73"/>
        <v>21</v>
      </c>
      <c r="B4269" s="166"/>
      <c r="C4269" s="167"/>
      <c r="D4269" s="170"/>
      <c r="E4269" s="174"/>
    </row>
    <row r="4270" spans="1:5" x14ac:dyDescent="0.25">
      <c r="A4270" s="169"/>
      <c r="B4270" s="166"/>
      <c r="C4270" s="167"/>
      <c r="D4270" s="170"/>
      <c r="E4270" s="174"/>
    </row>
    <row r="4271" spans="1:5" ht="15.75" thickBot="1" x14ac:dyDescent="0.3">
      <c r="A4271" s="120"/>
      <c r="B4271" s="577" t="s">
        <v>15</v>
      </c>
      <c r="C4271" s="578"/>
      <c r="D4271" s="579"/>
      <c r="E4271" s="121">
        <f>SUM(E4249:E4270)</f>
        <v>0</v>
      </c>
    </row>
    <row r="4272" spans="1:5" x14ac:dyDescent="0.25">
      <c r="A4272" s="110"/>
      <c r="B4272" s="145"/>
      <c r="C4272" s="145"/>
      <c r="E4272" s="146"/>
    </row>
    <row r="4273" spans="1:5" x14ac:dyDescent="0.25">
      <c r="A4273" s="109"/>
      <c r="B4273" s="109"/>
      <c r="C4273" s="110"/>
      <c r="D4273" s="123" t="s">
        <v>3162</v>
      </c>
      <c r="E4273" s="109"/>
    </row>
    <row r="4274" spans="1:5" x14ac:dyDescent="0.25">
      <c r="D4274" s="123" t="s">
        <v>100</v>
      </c>
    </row>
    <row r="4294" spans="1:5" x14ac:dyDescent="0.25">
      <c r="A4294" s="108" t="s">
        <v>0</v>
      </c>
      <c r="B4294" s="144"/>
      <c r="C4294" s="144"/>
      <c r="D4294" s="144"/>
      <c r="E4294" s="144"/>
    </row>
    <row r="4295" spans="1:5" x14ac:dyDescent="0.25">
      <c r="A4295" s="108" t="s">
        <v>1</v>
      </c>
      <c r="B4295" s="109"/>
      <c r="C4295" s="110"/>
      <c r="D4295" s="109"/>
      <c r="E4295" s="109"/>
    </row>
    <row r="4296" spans="1:5" x14ac:dyDescent="0.25">
      <c r="A4296" s="108"/>
      <c r="B4296" s="109"/>
      <c r="C4296" s="110"/>
      <c r="D4296" s="109"/>
      <c r="E4296" s="109"/>
    </row>
    <row r="4297" spans="1:5" x14ac:dyDescent="0.25">
      <c r="A4297" s="111" t="s">
        <v>101</v>
      </c>
      <c r="B4297" s="111"/>
      <c r="C4297" s="111"/>
      <c r="D4297" s="111"/>
      <c r="E4297" s="111"/>
    </row>
    <row r="4298" spans="1:5" x14ac:dyDescent="0.25">
      <c r="A4298" s="575" t="s">
        <v>120</v>
      </c>
      <c r="B4298" s="576"/>
      <c r="C4298" s="576"/>
      <c r="D4298" s="576"/>
      <c r="E4298" s="576"/>
    </row>
    <row r="4299" spans="1:5" x14ac:dyDescent="0.25">
      <c r="A4299" s="110"/>
      <c r="B4299" s="110"/>
      <c r="C4299" s="110"/>
      <c r="D4299" s="110"/>
      <c r="E4299" s="110"/>
    </row>
    <row r="4300" spans="1:5" ht="15.75" thickBot="1" x14ac:dyDescent="0.3">
      <c r="A4300" s="109"/>
      <c r="B4300" s="109"/>
      <c r="C4300" s="110"/>
      <c r="D4300" s="109"/>
      <c r="E4300" s="124" t="s">
        <v>3163</v>
      </c>
    </row>
    <row r="4301" spans="1:5" x14ac:dyDescent="0.25">
      <c r="A4301" s="112" t="s">
        <v>21</v>
      </c>
      <c r="B4301" s="113" t="s">
        <v>96</v>
      </c>
      <c r="C4301" s="113" t="s">
        <v>97</v>
      </c>
      <c r="D4301" s="113" t="s">
        <v>91</v>
      </c>
      <c r="E4301" s="114" t="s">
        <v>15</v>
      </c>
    </row>
    <row r="4302" spans="1:5" x14ac:dyDescent="0.25">
      <c r="A4302" s="115">
        <v>1</v>
      </c>
      <c r="B4302" s="166" t="s">
        <v>3165</v>
      </c>
      <c r="C4302" s="167" t="s">
        <v>2191</v>
      </c>
      <c r="D4302" s="118"/>
      <c r="E4302" s="119">
        <v>5000</v>
      </c>
    </row>
    <row r="4303" spans="1:5" x14ac:dyDescent="0.25">
      <c r="A4303" s="115">
        <f>A4302+1</f>
        <v>2</v>
      </c>
      <c r="B4303" s="166" t="s">
        <v>2176</v>
      </c>
      <c r="C4303" s="167" t="s">
        <v>2195</v>
      </c>
      <c r="D4303" s="118"/>
      <c r="E4303" s="119">
        <v>30000</v>
      </c>
    </row>
    <row r="4304" spans="1:5" x14ac:dyDescent="0.25">
      <c r="A4304" s="115">
        <f t="shared" ref="A4304:A4344" si="74">A4303+1</f>
        <v>3</v>
      </c>
      <c r="B4304" s="166" t="s">
        <v>3164</v>
      </c>
      <c r="C4304" s="167" t="s">
        <v>3166</v>
      </c>
      <c r="D4304" s="118"/>
      <c r="E4304" s="172">
        <v>122500</v>
      </c>
    </row>
    <row r="4305" spans="1:5" x14ac:dyDescent="0.25">
      <c r="A4305" s="115">
        <f t="shared" si="74"/>
        <v>4</v>
      </c>
      <c r="B4305" s="166" t="s">
        <v>2179</v>
      </c>
      <c r="C4305" s="167" t="s">
        <v>2198</v>
      </c>
      <c r="D4305" s="118"/>
      <c r="E4305" s="172">
        <v>5000</v>
      </c>
    </row>
    <row r="4306" spans="1:5" x14ac:dyDescent="0.25">
      <c r="A4306" s="115">
        <f t="shared" si="74"/>
        <v>5</v>
      </c>
      <c r="B4306" s="166" t="s">
        <v>3165</v>
      </c>
      <c r="C4306" s="167" t="s">
        <v>2199</v>
      </c>
      <c r="D4306" s="118"/>
      <c r="E4306" s="172">
        <v>5000</v>
      </c>
    </row>
    <row r="4307" spans="1:5" x14ac:dyDescent="0.25">
      <c r="A4307" s="115">
        <f t="shared" si="74"/>
        <v>6</v>
      </c>
      <c r="B4307" s="166" t="s">
        <v>3174</v>
      </c>
      <c r="C4307" s="167" t="s">
        <v>3167</v>
      </c>
      <c r="D4307" s="118"/>
      <c r="E4307" s="172">
        <v>22500</v>
      </c>
    </row>
    <row r="4308" spans="1:5" x14ac:dyDescent="0.25">
      <c r="A4308" s="115">
        <f t="shared" si="74"/>
        <v>7</v>
      </c>
      <c r="B4308" s="166" t="s">
        <v>3175</v>
      </c>
      <c r="C4308" s="167" t="s">
        <v>3168</v>
      </c>
      <c r="D4308" s="118"/>
      <c r="E4308" s="172">
        <v>5000</v>
      </c>
    </row>
    <row r="4309" spans="1:5" x14ac:dyDescent="0.25">
      <c r="A4309" s="115">
        <f t="shared" si="74"/>
        <v>8</v>
      </c>
      <c r="B4309" s="166" t="s">
        <v>358</v>
      </c>
      <c r="C4309" s="167" t="s">
        <v>365</v>
      </c>
      <c r="D4309" s="118"/>
      <c r="E4309" s="172">
        <v>5000</v>
      </c>
    </row>
    <row r="4310" spans="1:5" x14ac:dyDescent="0.25">
      <c r="A4310" s="115">
        <f t="shared" si="74"/>
        <v>9</v>
      </c>
      <c r="B4310" s="166" t="s">
        <v>3176</v>
      </c>
      <c r="C4310" s="167" t="s">
        <v>3169</v>
      </c>
      <c r="D4310" s="118"/>
      <c r="E4310" s="172">
        <v>30000</v>
      </c>
    </row>
    <row r="4311" spans="1:5" x14ac:dyDescent="0.25">
      <c r="A4311" s="115">
        <f t="shared" si="74"/>
        <v>10</v>
      </c>
      <c r="B4311" s="166" t="s">
        <v>3177</v>
      </c>
      <c r="C4311" s="167" t="s">
        <v>3170</v>
      </c>
      <c r="D4311" s="118"/>
      <c r="E4311" s="172">
        <v>42500</v>
      </c>
    </row>
    <row r="4312" spans="1:5" x14ac:dyDescent="0.25">
      <c r="A4312" s="115">
        <f t="shared" si="74"/>
        <v>11</v>
      </c>
      <c r="B4312" s="166" t="s">
        <v>664</v>
      </c>
      <c r="C4312" s="167" t="s">
        <v>673</v>
      </c>
      <c r="D4312" s="118"/>
      <c r="E4312" s="172">
        <v>5000</v>
      </c>
    </row>
    <row r="4313" spans="1:5" x14ac:dyDescent="0.25">
      <c r="A4313" s="115">
        <f t="shared" si="74"/>
        <v>12</v>
      </c>
      <c r="B4313" s="166" t="s">
        <v>3178</v>
      </c>
      <c r="C4313" s="167" t="s">
        <v>3171</v>
      </c>
      <c r="D4313" s="118"/>
      <c r="E4313" s="172">
        <v>22500</v>
      </c>
    </row>
    <row r="4314" spans="1:5" x14ac:dyDescent="0.25">
      <c r="A4314" s="115">
        <f t="shared" si="74"/>
        <v>13</v>
      </c>
      <c r="B4314" s="166" t="s">
        <v>1516</v>
      </c>
      <c r="C4314" s="167" t="s">
        <v>1519</v>
      </c>
      <c r="D4314" s="118"/>
      <c r="E4314" s="172">
        <v>5000</v>
      </c>
    </row>
    <row r="4315" spans="1:5" x14ac:dyDescent="0.25">
      <c r="A4315" s="115">
        <f t="shared" si="74"/>
        <v>14</v>
      </c>
      <c r="B4315" s="166" t="s">
        <v>3179</v>
      </c>
      <c r="C4315" s="167" t="s">
        <v>3172</v>
      </c>
      <c r="D4315" s="118"/>
      <c r="E4315" s="172">
        <v>62500</v>
      </c>
    </row>
    <row r="4316" spans="1:5" x14ac:dyDescent="0.25">
      <c r="A4316" s="115">
        <f t="shared" si="74"/>
        <v>15</v>
      </c>
      <c r="B4316" s="166" t="s">
        <v>279</v>
      </c>
      <c r="C4316" s="167" t="s">
        <v>290</v>
      </c>
      <c r="D4316" s="170"/>
      <c r="E4316" s="174">
        <v>12500</v>
      </c>
    </row>
    <row r="4317" spans="1:5" x14ac:dyDescent="0.25">
      <c r="A4317" s="115">
        <f t="shared" si="74"/>
        <v>16</v>
      </c>
      <c r="B4317" s="166" t="s">
        <v>3180</v>
      </c>
      <c r="C4317" s="167" t="s">
        <v>3173</v>
      </c>
      <c r="D4317" s="170"/>
      <c r="E4317" s="174">
        <v>5000</v>
      </c>
    </row>
    <row r="4318" spans="1:5" x14ac:dyDescent="0.25">
      <c r="A4318" s="115">
        <f t="shared" si="74"/>
        <v>17</v>
      </c>
      <c r="B4318" s="166" t="s">
        <v>816</v>
      </c>
      <c r="C4318" s="167" t="s">
        <v>809</v>
      </c>
      <c r="D4318" s="170"/>
      <c r="E4318" s="174">
        <v>12500</v>
      </c>
    </row>
    <row r="4319" spans="1:5" x14ac:dyDescent="0.25">
      <c r="A4319" s="115">
        <f t="shared" si="74"/>
        <v>18</v>
      </c>
      <c r="B4319" s="166" t="s">
        <v>3181</v>
      </c>
      <c r="C4319" s="167" t="s">
        <v>678</v>
      </c>
      <c r="D4319" s="170"/>
      <c r="E4319" s="174">
        <v>17500</v>
      </c>
    </row>
    <row r="4320" spans="1:5" x14ac:dyDescent="0.25">
      <c r="A4320" s="115">
        <f t="shared" si="74"/>
        <v>19</v>
      </c>
      <c r="B4320" s="166" t="s">
        <v>3182</v>
      </c>
      <c r="C4320" s="167" t="s">
        <v>3185</v>
      </c>
      <c r="D4320" s="170"/>
      <c r="E4320" s="174">
        <v>92500</v>
      </c>
    </row>
    <row r="4321" spans="1:5" x14ac:dyDescent="0.25">
      <c r="A4321" s="115">
        <f t="shared" si="74"/>
        <v>20</v>
      </c>
      <c r="B4321" s="166" t="s">
        <v>889</v>
      </c>
      <c r="C4321" s="167" t="s">
        <v>890</v>
      </c>
      <c r="D4321" s="170"/>
      <c r="E4321" s="174">
        <v>20000</v>
      </c>
    </row>
    <row r="4322" spans="1:5" x14ac:dyDescent="0.25">
      <c r="A4322" s="115">
        <f t="shared" si="74"/>
        <v>21</v>
      </c>
      <c r="B4322" s="166" t="s">
        <v>2213</v>
      </c>
      <c r="C4322" s="167" t="s">
        <v>2227</v>
      </c>
      <c r="D4322" s="170"/>
      <c r="E4322" s="174">
        <v>5000</v>
      </c>
    </row>
    <row r="4323" spans="1:5" x14ac:dyDescent="0.25">
      <c r="A4323" s="115">
        <f t="shared" si="74"/>
        <v>22</v>
      </c>
      <c r="B4323" s="166" t="s">
        <v>3183</v>
      </c>
      <c r="C4323" s="167" t="s">
        <v>3186</v>
      </c>
      <c r="D4323" s="170"/>
      <c r="E4323" s="174">
        <v>62500</v>
      </c>
    </row>
    <row r="4324" spans="1:5" x14ac:dyDescent="0.25">
      <c r="A4324" s="115">
        <f t="shared" si="74"/>
        <v>23</v>
      </c>
      <c r="B4324" s="166" t="s">
        <v>3184</v>
      </c>
      <c r="C4324" s="167" t="s">
        <v>3187</v>
      </c>
      <c r="D4324" s="170"/>
      <c r="E4324" s="174">
        <v>92500</v>
      </c>
    </row>
    <row r="4325" spans="1:5" x14ac:dyDescent="0.25">
      <c r="A4325" s="115">
        <f t="shared" si="74"/>
        <v>24</v>
      </c>
      <c r="B4325" s="166" t="s">
        <v>1856</v>
      </c>
      <c r="C4325" s="167" t="s">
        <v>1849</v>
      </c>
      <c r="D4325" s="170"/>
      <c r="E4325" s="174">
        <v>12500</v>
      </c>
    </row>
    <row r="4326" spans="1:5" x14ac:dyDescent="0.25">
      <c r="A4326" s="115">
        <f t="shared" si="74"/>
        <v>25</v>
      </c>
      <c r="B4326" s="166" t="s">
        <v>3188</v>
      </c>
      <c r="C4326" s="167" t="s">
        <v>3191</v>
      </c>
      <c r="D4326" s="170"/>
      <c r="E4326" s="174">
        <v>30000</v>
      </c>
    </row>
    <row r="4327" spans="1:5" x14ac:dyDescent="0.25">
      <c r="A4327" s="115">
        <f t="shared" si="74"/>
        <v>26</v>
      </c>
      <c r="B4327" s="166" t="s">
        <v>3189</v>
      </c>
      <c r="C4327" s="167" t="s">
        <v>3192</v>
      </c>
      <c r="D4327" s="170"/>
      <c r="E4327" s="174">
        <v>67500</v>
      </c>
    </row>
    <row r="4328" spans="1:5" x14ac:dyDescent="0.25">
      <c r="A4328" s="115">
        <f t="shared" si="74"/>
        <v>27</v>
      </c>
      <c r="B4328" s="166" t="s">
        <v>610</v>
      </c>
      <c r="C4328" s="167" t="s">
        <v>600</v>
      </c>
      <c r="D4328" s="170"/>
      <c r="E4328" s="174">
        <v>12500</v>
      </c>
    </row>
    <row r="4329" spans="1:5" x14ac:dyDescent="0.25">
      <c r="A4329" s="115">
        <f t="shared" si="74"/>
        <v>28</v>
      </c>
      <c r="B4329" s="166" t="s">
        <v>2675</v>
      </c>
      <c r="C4329" s="167" t="s">
        <v>3193</v>
      </c>
      <c r="D4329" s="170"/>
      <c r="E4329" s="174">
        <v>72500</v>
      </c>
    </row>
    <row r="4330" spans="1:5" x14ac:dyDescent="0.25">
      <c r="A4330" s="115">
        <f t="shared" si="74"/>
        <v>29</v>
      </c>
      <c r="B4330" s="166" t="s">
        <v>3190</v>
      </c>
      <c r="C4330" s="167" t="s">
        <v>3194</v>
      </c>
      <c r="D4330" s="170"/>
      <c r="E4330" s="174">
        <v>37500</v>
      </c>
    </row>
    <row r="4331" spans="1:5" x14ac:dyDescent="0.25">
      <c r="A4331" s="115">
        <f t="shared" si="74"/>
        <v>30</v>
      </c>
      <c r="B4331" s="166" t="s">
        <v>710</v>
      </c>
      <c r="C4331" s="167" t="s">
        <v>3195</v>
      </c>
      <c r="D4331" s="170"/>
      <c r="E4331" s="174">
        <v>92500</v>
      </c>
    </row>
    <row r="4332" spans="1:5" x14ac:dyDescent="0.25">
      <c r="A4332" s="115">
        <f t="shared" si="74"/>
        <v>31</v>
      </c>
      <c r="B4332" s="166" t="s">
        <v>3200</v>
      </c>
      <c r="C4332" s="167" t="s">
        <v>3196</v>
      </c>
      <c r="D4332" s="170"/>
      <c r="E4332" s="174">
        <v>22500</v>
      </c>
    </row>
    <row r="4333" spans="1:5" x14ac:dyDescent="0.25">
      <c r="A4333" s="115">
        <f t="shared" si="74"/>
        <v>32</v>
      </c>
      <c r="B4333" s="166" t="s">
        <v>3201</v>
      </c>
      <c r="C4333" s="167" t="s">
        <v>3197</v>
      </c>
      <c r="D4333" s="170"/>
      <c r="E4333" s="174">
        <v>5000</v>
      </c>
    </row>
    <row r="4334" spans="1:5" x14ac:dyDescent="0.25">
      <c r="A4334" s="115">
        <f t="shared" si="74"/>
        <v>33</v>
      </c>
      <c r="B4334" s="166" t="s">
        <v>610</v>
      </c>
      <c r="C4334" s="167" t="s">
        <v>3198</v>
      </c>
      <c r="D4334" s="170"/>
      <c r="E4334" s="174">
        <v>32500</v>
      </c>
    </row>
    <row r="4335" spans="1:5" x14ac:dyDescent="0.25">
      <c r="A4335" s="115">
        <f t="shared" si="74"/>
        <v>34</v>
      </c>
      <c r="B4335" s="166" t="s">
        <v>1799</v>
      </c>
      <c r="C4335" s="167" t="s">
        <v>1804</v>
      </c>
      <c r="D4335" s="170"/>
      <c r="E4335" s="174">
        <v>5000</v>
      </c>
    </row>
    <row r="4336" spans="1:5" x14ac:dyDescent="0.25">
      <c r="A4336" s="115">
        <f t="shared" si="74"/>
        <v>35</v>
      </c>
      <c r="B4336" s="166" t="s">
        <v>388</v>
      </c>
      <c r="C4336" s="167" t="s">
        <v>397</v>
      </c>
      <c r="D4336" s="170"/>
      <c r="E4336" s="174">
        <v>12500</v>
      </c>
    </row>
    <row r="4337" spans="1:5" x14ac:dyDescent="0.25">
      <c r="A4337" s="115">
        <f t="shared" si="74"/>
        <v>36</v>
      </c>
      <c r="B4337" s="166" t="s">
        <v>3202</v>
      </c>
      <c r="C4337" s="167" t="s">
        <v>3199</v>
      </c>
      <c r="D4337" s="170"/>
      <c r="E4337" s="174">
        <v>12500</v>
      </c>
    </row>
    <row r="4338" spans="1:5" x14ac:dyDescent="0.25">
      <c r="A4338" s="115">
        <f t="shared" si="74"/>
        <v>37</v>
      </c>
      <c r="B4338" s="166" t="s">
        <v>1887</v>
      </c>
      <c r="C4338" s="167" t="s">
        <v>1880</v>
      </c>
      <c r="D4338" s="170"/>
      <c r="E4338" s="174">
        <v>5000</v>
      </c>
    </row>
    <row r="4339" spans="1:5" x14ac:dyDescent="0.25">
      <c r="A4339" s="115">
        <f t="shared" si="74"/>
        <v>38</v>
      </c>
      <c r="B4339" s="166" t="s">
        <v>1616</v>
      </c>
      <c r="C4339" s="167" t="s">
        <v>1623</v>
      </c>
      <c r="D4339" s="170"/>
      <c r="E4339" s="174">
        <v>5000</v>
      </c>
    </row>
    <row r="4340" spans="1:5" x14ac:dyDescent="0.25">
      <c r="A4340" s="115">
        <f t="shared" si="74"/>
        <v>39</v>
      </c>
      <c r="B4340" s="166" t="s">
        <v>829</v>
      </c>
      <c r="C4340" s="167" t="s">
        <v>841</v>
      </c>
      <c r="D4340" s="170"/>
      <c r="E4340" s="174">
        <v>12500</v>
      </c>
    </row>
    <row r="4341" spans="1:5" x14ac:dyDescent="0.25">
      <c r="A4341" s="115">
        <f t="shared" si="74"/>
        <v>40</v>
      </c>
      <c r="B4341" s="166" t="s">
        <v>1976</v>
      </c>
      <c r="C4341" s="167" t="s">
        <v>1977</v>
      </c>
      <c r="D4341" s="170"/>
      <c r="E4341" s="174">
        <v>5000</v>
      </c>
    </row>
    <row r="4342" spans="1:5" x14ac:dyDescent="0.25">
      <c r="A4342" s="115">
        <f t="shared" si="74"/>
        <v>41</v>
      </c>
      <c r="B4342" s="166" t="s">
        <v>2505</v>
      </c>
      <c r="C4342" s="167" t="s">
        <v>2511</v>
      </c>
      <c r="D4342" s="170"/>
      <c r="E4342" s="174">
        <v>5000</v>
      </c>
    </row>
    <row r="4343" spans="1:5" x14ac:dyDescent="0.25">
      <c r="A4343" s="115">
        <f t="shared" si="74"/>
        <v>42</v>
      </c>
      <c r="B4343" s="166" t="s">
        <v>2377</v>
      </c>
      <c r="C4343" s="167" t="s">
        <v>2389</v>
      </c>
      <c r="D4343" s="170"/>
      <c r="E4343" s="174">
        <v>5000</v>
      </c>
    </row>
    <row r="4344" spans="1:5" x14ac:dyDescent="0.25">
      <c r="A4344" s="115">
        <f t="shared" si="74"/>
        <v>43</v>
      </c>
      <c r="B4344" s="166" t="s">
        <v>3203</v>
      </c>
      <c r="C4344" s="167" t="s">
        <v>3204</v>
      </c>
      <c r="D4344" s="170"/>
      <c r="E4344" s="174">
        <v>5000</v>
      </c>
    </row>
    <row r="4345" spans="1:5" ht="15.75" thickBot="1" x14ac:dyDescent="0.3">
      <c r="A4345" s="120"/>
      <c r="B4345" s="577" t="s">
        <v>15</v>
      </c>
      <c r="C4345" s="578"/>
      <c r="D4345" s="579"/>
      <c r="E4345" s="121">
        <f>SUM(E4302:E4344)</f>
        <v>1145000</v>
      </c>
    </row>
    <row r="4346" spans="1:5" x14ac:dyDescent="0.25">
      <c r="A4346" s="110"/>
      <c r="B4346" s="145"/>
      <c r="C4346" s="145"/>
      <c r="D4346" s="123" t="s">
        <v>3160</v>
      </c>
      <c r="E4346" s="146"/>
    </row>
    <row r="4347" spans="1:5" x14ac:dyDescent="0.25">
      <c r="A4347" s="108" t="s">
        <v>0</v>
      </c>
      <c r="B4347" s="144"/>
      <c r="C4347" s="144"/>
      <c r="D4347" s="144"/>
      <c r="E4347" s="144"/>
    </row>
    <row r="4348" spans="1:5" x14ac:dyDescent="0.25">
      <c r="A4348" s="108" t="s">
        <v>1</v>
      </c>
      <c r="B4348" s="109"/>
      <c r="C4348" s="110"/>
      <c r="D4348" s="109"/>
      <c r="E4348" s="109"/>
    </row>
    <row r="4349" spans="1:5" x14ac:dyDescent="0.25">
      <c r="A4349" s="108"/>
      <c r="B4349" s="109"/>
      <c r="C4349" s="110"/>
      <c r="D4349" s="109"/>
      <c r="E4349" s="109"/>
    </row>
    <row r="4350" spans="1:5" x14ac:dyDescent="0.25">
      <c r="A4350" s="111" t="s">
        <v>101</v>
      </c>
      <c r="B4350" s="111"/>
      <c r="C4350" s="111"/>
      <c r="D4350" s="111"/>
      <c r="E4350" s="111"/>
    </row>
    <row r="4351" spans="1:5" x14ac:dyDescent="0.25">
      <c r="A4351" s="575" t="s">
        <v>120</v>
      </c>
      <c r="B4351" s="576"/>
      <c r="C4351" s="576"/>
      <c r="D4351" s="576"/>
      <c r="E4351" s="576"/>
    </row>
    <row r="4352" spans="1:5" x14ac:dyDescent="0.25">
      <c r="A4352" s="110"/>
      <c r="B4352" s="110"/>
      <c r="C4352" s="110"/>
      <c r="D4352" s="110"/>
      <c r="E4352" s="110"/>
    </row>
    <row r="4353" spans="1:5" ht="15.75" thickBot="1" x14ac:dyDescent="0.3">
      <c r="A4353" s="109"/>
      <c r="B4353" s="109"/>
      <c r="C4353" s="110"/>
      <c r="D4353" s="109"/>
      <c r="E4353" s="124" t="s">
        <v>3205</v>
      </c>
    </row>
    <row r="4354" spans="1:5" x14ac:dyDescent="0.25">
      <c r="A4354" s="112" t="s">
        <v>21</v>
      </c>
      <c r="B4354" s="113" t="s">
        <v>96</v>
      </c>
      <c r="C4354" s="113" t="s">
        <v>97</v>
      </c>
      <c r="D4354" s="113" t="s">
        <v>91</v>
      </c>
      <c r="E4354" s="114" t="s">
        <v>15</v>
      </c>
    </row>
    <row r="4355" spans="1:5" x14ac:dyDescent="0.25">
      <c r="A4355" s="115">
        <v>1</v>
      </c>
      <c r="B4355" s="166" t="s">
        <v>1638</v>
      </c>
      <c r="C4355" s="167" t="s">
        <v>1644</v>
      </c>
      <c r="D4355" s="118"/>
      <c r="E4355" s="119">
        <v>5000</v>
      </c>
    </row>
    <row r="4356" spans="1:5" x14ac:dyDescent="0.25">
      <c r="A4356" s="115">
        <f>A4355+1</f>
        <v>2</v>
      </c>
      <c r="B4356" s="166" t="s">
        <v>634</v>
      </c>
      <c r="C4356" s="167" t="s">
        <v>642</v>
      </c>
      <c r="D4356" s="118"/>
      <c r="E4356" s="119">
        <v>12500</v>
      </c>
    </row>
    <row r="4357" spans="1:5" x14ac:dyDescent="0.25">
      <c r="A4357" s="115">
        <f t="shared" ref="A4357:A4393" si="75">A4356+1</f>
        <v>3</v>
      </c>
      <c r="B4357" s="166" t="s">
        <v>635</v>
      </c>
      <c r="C4357" s="167" t="s">
        <v>643</v>
      </c>
      <c r="D4357" s="118"/>
      <c r="E4357" s="172">
        <v>12500</v>
      </c>
    </row>
    <row r="4358" spans="1:5" x14ac:dyDescent="0.25">
      <c r="A4358" s="115">
        <f t="shared" si="75"/>
        <v>4</v>
      </c>
      <c r="B4358" s="166" t="s">
        <v>640</v>
      </c>
      <c r="C4358" s="167" t="s">
        <v>648</v>
      </c>
      <c r="D4358" s="118"/>
      <c r="E4358" s="172">
        <v>12500</v>
      </c>
    </row>
    <row r="4359" spans="1:5" x14ac:dyDescent="0.25">
      <c r="A4359" s="115">
        <f t="shared" si="75"/>
        <v>5</v>
      </c>
      <c r="B4359" s="166" t="s">
        <v>1640</v>
      </c>
      <c r="C4359" s="167" t="s">
        <v>1647</v>
      </c>
      <c r="D4359" s="118"/>
      <c r="E4359" s="172">
        <v>5000</v>
      </c>
    </row>
    <row r="4360" spans="1:5" x14ac:dyDescent="0.25">
      <c r="A4360" s="115">
        <f t="shared" si="75"/>
        <v>6</v>
      </c>
      <c r="B4360" s="166" t="s">
        <v>3206</v>
      </c>
      <c r="C4360" s="167" t="s">
        <v>3207</v>
      </c>
      <c r="D4360" s="118"/>
      <c r="E4360" s="172">
        <v>20000</v>
      </c>
    </row>
    <row r="4361" spans="1:5" x14ac:dyDescent="0.25">
      <c r="A4361" s="115">
        <f t="shared" si="75"/>
        <v>7</v>
      </c>
      <c r="B4361" s="166" t="s">
        <v>3212</v>
      </c>
      <c r="C4361" s="167" t="s">
        <v>3208</v>
      </c>
      <c r="D4361" s="118"/>
      <c r="E4361" s="172">
        <v>12500</v>
      </c>
    </row>
    <row r="4362" spans="1:5" x14ac:dyDescent="0.25">
      <c r="A4362" s="115">
        <f t="shared" si="75"/>
        <v>8</v>
      </c>
      <c r="B4362" s="166" t="s">
        <v>3213</v>
      </c>
      <c r="C4362" s="167" t="s">
        <v>3209</v>
      </c>
      <c r="D4362" s="118"/>
      <c r="E4362" s="172">
        <v>5000</v>
      </c>
    </row>
    <row r="4363" spans="1:5" x14ac:dyDescent="0.25">
      <c r="A4363" s="115">
        <f t="shared" si="75"/>
        <v>9</v>
      </c>
      <c r="B4363" s="166" t="s">
        <v>1493</v>
      </c>
      <c r="C4363" s="167" t="s">
        <v>1496</v>
      </c>
      <c r="D4363" s="118"/>
      <c r="E4363" s="172">
        <v>5000</v>
      </c>
    </row>
    <row r="4364" spans="1:5" x14ac:dyDescent="0.25">
      <c r="A4364" s="115">
        <f t="shared" si="75"/>
        <v>10</v>
      </c>
      <c r="B4364" s="166" t="s">
        <v>1450</v>
      </c>
      <c r="C4364" s="167" t="s">
        <v>1463</v>
      </c>
      <c r="D4364" s="118"/>
      <c r="E4364" s="172">
        <v>12500</v>
      </c>
    </row>
    <row r="4365" spans="1:5" x14ac:dyDescent="0.25">
      <c r="A4365" s="115">
        <f t="shared" si="75"/>
        <v>11</v>
      </c>
      <c r="B4365" s="166" t="s">
        <v>3214</v>
      </c>
      <c r="C4365" s="167" t="s">
        <v>3210</v>
      </c>
      <c r="D4365" s="118"/>
      <c r="E4365" s="172">
        <v>92500</v>
      </c>
    </row>
    <row r="4366" spans="1:5" x14ac:dyDescent="0.25">
      <c r="A4366" s="115">
        <f t="shared" si="75"/>
        <v>12</v>
      </c>
      <c r="B4366" s="166" t="s">
        <v>3215</v>
      </c>
      <c r="C4366" s="167" t="s">
        <v>3211</v>
      </c>
      <c r="D4366" s="118"/>
      <c r="E4366" s="172">
        <v>30000</v>
      </c>
    </row>
    <row r="4367" spans="1:5" x14ac:dyDescent="0.25">
      <c r="A4367" s="115">
        <f t="shared" si="75"/>
        <v>13</v>
      </c>
      <c r="B4367" s="166" t="s">
        <v>994</v>
      </c>
      <c r="C4367" s="167" t="s">
        <v>988</v>
      </c>
      <c r="D4367" s="118"/>
      <c r="E4367" s="172">
        <v>12500</v>
      </c>
    </row>
    <row r="4368" spans="1:5" x14ac:dyDescent="0.25">
      <c r="A4368" s="115">
        <f t="shared" si="75"/>
        <v>14</v>
      </c>
      <c r="B4368" s="166" t="s">
        <v>2251</v>
      </c>
      <c r="C4368" s="167" t="s">
        <v>2259</v>
      </c>
      <c r="D4368" s="118"/>
      <c r="E4368" s="172">
        <v>5000</v>
      </c>
    </row>
    <row r="4369" spans="1:5" x14ac:dyDescent="0.25">
      <c r="A4369" s="115">
        <f t="shared" si="75"/>
        <v>15</v>
      </c>
      <c r="B4369" s="166" t="s">
        <v>3216</v>
      </c>
      <c r="C4369" s="167" t="s">
        <v>3220</v>
      </c>
      <c r="D4369" s="170"/>
      <c r="E4369" s="174">
        <v>22500</v>
      </c>
    </row>
    <row r="4370" spans="1:5" x14ac:dyDescent="0.25">
      <c r="A4370" s="115">
        <f t="shared" si="75"/>
        <v>16</v>
      </c>
      <c r="B4370" s="166" t="s">
        <v>2187</v>
      </c>
      <c r="C4370" s="167" t="s">
        <v>3221</v>
      </c>
      <c r="D4370" s="170"/>
      <c r="E4370" s="174">
        <v>5000</v>
      </c>
    </row>
    <row r="4371" spans="1:5" x14ac:dyDescent="0.25">
      <c r="A4371" s="115">
        <f t="shared" si="75"/>
        <v>17</v>
      </c>
      <c r="B4371" s="166" t="s">
        <v>3217</v>
      </c>
      <c r="C4371" s="167" t="s">
        <v>3222</v>
      </c>
      <c r="D4371" s="170"/>
      <c r="E4371" s="174">
        <v>50000</v>
      </c>
    </row>
    <row r="4372" spans="1:5" x14ac:dyDescent="0.25">
      <c r="A4372" s="115">
        <f t="shared" si="75"/>
        <v>18</v>
      </c>
      <c r="B4372" s="166" t="s">
        <v>1356</v>
      </c>
      <c r="C4372" s="167" t="s">
        <v>1362</v>
      </c>
      <c r="D4372" s="170"/>
      <c r="E4372" s="174">
        <v>12500</v>
      </c>
    </row>
    <row r="4373" spans="1:5" x14ac:dyDescent="0.25">
      <c r="A4373" s="115">
        <f t="shared" si="75"/>
        <v>19</v>
      </c>
      <c r="B4373" s="166" t="s">
        <v>1555</v>
      </c>
      <c r="C4373" s="167" t="s">
        <v>1554</v>
      </c>
      <c r="D4373" s="170"/>
      <c r="E4373" s="174">
        <v>5000</v>
      </c>
    </row>
    <row r="4374" spans="1:5" x14ac:dyDescent="0.25">
      <c r="A4374" s="115">
        <f t="shared" si="75"/>
        <v>20</v>
      </c>
      <c r="B4374" s="166" t="s">
        <v>482</v>
      </c>
      <c r="C4374" s="167" t="s">
        <v>491</v>
      </c>
      <c r="D4374" s="170"/>
      <c r="E4374" s="174">
        <v>12500</v>
      </c>
    </row>
    <row r="4375" spans="1:5" x14ac:dyDescent="0.25">
      <c r="A4375" s="115">
        <f t="shared" si="75"/>
        <v>21</v>
      </c>
      <c r="B4375" s="166" t="s">
        <v>3218</v>
      </c>
      <c r="C4375" s="167" t="s">
        <v>3223</v>
      </c>
      <c r="D4375" s="170"/>
      <c r="E4375" s="174">
        <v>40000</v>
      </c>
    </row>
    <row r="4376" spans="1:5" x14ac:dyDescent="0.25">
      <c r="A4376" s="115">
        <f t="shared" si="75"/>
        <v>22</v>
      </c>
      <c r="B4376" s="166" t="s">
        <v>1664</v>
      </c>
      <c r="C4376" s="167" t="s">
        <v>1672</v>
      </c>
      <c r="D4376" s="170"/>
      <c r="E4376" s="174">
        <v>5000</v>
      </c>
    </row>
    <row r="4377" spans="1:5" x14ac:dyDescent="0.25">
      <c r="A4377" s="115">
        <f t="shared" si="75"/>
        <v>23</v>
      </c>
      <c r="B4377" s="166" t="s">
        <v>2956</v>
      </c>
      <c r="C4377" s="167" t="s">
        <v>2967</v>
      </c>
      <c r="D4377" s="170"/>
      <c r="E4377" s="174">
        <v>20000</v>
      </c>
    </row>
    <row r="4378" spans="1:5" x14ac:dyDescent="0.25">
      <c r="A4378" s="115">
        <f t="shared" si="75"/>
        <v>24</v>
      </c>
      <c r="B4378" s="166" t="s">
        <v>3219</v>
      </c>
      <c r="C4378" s="167" t="s">
        <v>1600</v>
      </c>
      <c r="D4378" s="170"/>
      <c r="E4378" s="174">
        <v>5000</v>
      </c>
    </row>
    <row r="4379" spans="1:5" x14ac:dyDescent="0.25">
      <c r="A4379" s="115">
        <f t="shared" si="75"/>
        <v>25</v>
      </c>
      <c r="B4379" s="166" t="s">
        <v>1283</v>
      </c>
      <c r="C4379" s="167" t="s">
        <v>1256</v>
      </c>
      <c r="D4379" s="170"/>
      <c r="E4379" s="174">
        <v>12500</v>
      </c>
    </row>
    <row r="4380" spans="1:5" x14ac:dyDescent="0.25">
      <c r="A4380" s="115">
        <f t="shared" si="75"/>
        <v>26</v>
      </c>
      <c r="B4380" s="166" t="s">
        <v>612</v>
      </c>
      <c r="C4380" s="167" t="s">
        <v>603</v>
      </c>
      <c r="D4380" s="170"/>
      <c r="E4380" s="174">
        <v>17500</v>
      </c>
    </row>
    <row r="4381" spans="1:5" x14ac:dyDescent="0.25">
      <c r="A4381" s="115">
        <f t="shared" si="75"/>
        <v>27</v>
      </c>
      <c r="B4381" s="166" t="s">
        <v>1345</v>
      </c>
      <c r="C4381" s="167" t="s">
        <v>1336</v>
      </c>
      <c r="D4381" s="170"/>
      <c r="E4381" s="174">
        <v>12500</v>
      </c>
    </row>
    <row r="4382" spans="1:5" x14ac:dyDescent="0.25">
      <c r="A4382" s="115">
        <f t="shared" si="75"/>
        <v>28</v>
      </c>
      <c r="B4382" s="166" t="s">
        <v>702</v>
      </c>
      <c r="C4382" s="167" t="s">
        <v>3224</v>
      </c>
      <c r="D4382" s="170"/>
      <c r="E4382" s="174">
        <v>62500</v>
      </c>
    </row>
    <row r="4383" spans="1:5" x14ac:dyDescent="0.25">
      <c r="A4383" s="115">
        <f t="shared" si="75"/>
        <v>29</v>
      </c>
      <c r="B4383" s="166" t="s">
        <v>3226</v>
      </c>
      <c r="C4383" s="167" t="s">
        <v>3225</v>
      </c>
      <c r="D4383" s="170"/>
      <c r="E4383" s="174">
        <v>22500</v>
      </c>
    </row>
    <row r="4384" spans="1:5" x14ac:dyDescent="0.25">
      <c r="A4384" s="115">
        <f t="shared" si="75"/>
        <v>30</v>
      </c>
      <c r="B4384" s="166" t="s">
        <v>1614</v>
      </c>
      <c r="C4384" s="167" t="s">
        <v>1608</v>
      </c>
      <c r="D4384" s="170"/>
      <c r="E4384" s="174">
        <v>5000</v>
      </c>
    </row>
    <row r="4385" spans="1:5" x14ac:dyDescent="0.25">
      <c r="A4385" s="115">
        <f t="shared" si="75"/>
        <v>31</v>
      </c>
      <c r="B4385" s="166" t="s">
        <v>215</v>
      </c>
      <c r="C4385" s="167" t="s">
        <v>227</v>
      </c>
      <c r="D4385" s="170"/>
      <c r="E4385" s="174">
        <v>5000</v>
      </c>
    </row>
    <row r="4386" spans="1:5" x14ac:dyDescent="0.25">
      <c r="A4386" s="115">
        <f t="shared" si="75"/>
        <v>32</v>
      </c>
      <c r="B4386" s="166" t="s">
        <v>1289</v>
      </c>
      <c r="C4386" s="167" t="s">
        <v>1622</v>
      </c>
      <c r="D4386" s="170"/>
      <c r="E4386" s="174">
        <v>5000</v>
      </c>
    </row>
    <row r="4387" spans="1:5" x14ac:dyDescent="0.25">
      <c r="A4387" s="115">
        <f t="shared" si="75"/>
        <v>33</v>
      </c>
      <c r="B4387" s="166" t="s">
        <v>2375</v>
      </c>
      <c r="C4387" s="167" t="s">
        <v>2387</v>
      </c>
      <c r="D4387" s="170"/>
      <c r="E4387" s="174">
        <v>5000</v>
      </c>
    </row>
    <row r="4388" spans="1:5" x14ac:dyDescent="0.25">
      <c r="A4388" s="115">
        <f t="shared" si="75"/>
        <v>34</v>
      </c>
      <c r="B4388" s="166" t="s">
        <v>1550</v>
      </c>
      <c r="C4388" s="167" t="s">
        <v>1546</v>
      </c>
      <c r="D4388" s="170"/>
      <c r="E4388" s="174">
        <v>5000</v>
      </c>
    </row>
    <row r="4389" spans="1:5" x14ac:dyDescent="0.25">
      <c r="A4389" s="115">
        <f t="shared" si="75"/>
        <v>35</v>
      </c>
      <c r="B4389" s="166" t="s">
        <v>3227</v>
      </c>
      <c r="C4389" s="167" t="s">
        <v>3231</v>
      </c>
      <c r="D4389" s="170"/>
      <c r="E4389" s="174">
        <v>42500</v>
      </c>
    </row>
    <row r="4390" spans="1:5" x14ac:dyDescent="0.25">
      <c r="A4390" s="115">
        <f t="shared" si="75"/>
        <v>36</v>
      </c>
      <c r="B4390" s="166" t="s">
        <v>1553</v>
      </c>
      <c r="C4390" s="167" t="s">
        <v>1549</v>
      </c>
      <c r="D4390" s="170"/>
      <c r="E4390" s="174">
        <v>5000</v>
      </c>
    </row>
    <row r="4391" spans="1:5" x14ac:dyDescent="0.25">
      <c r="A4391" s="115">
        <f t="shared" si="75"/>
        <v>37</v>
      </c>
      <c r="B4391" s="166" t="s">
        <v>3228</v>
      </c>
      <c r="C4391" s="167" t="s">
        <v>1934</v>
      </c>
      <c r="D4391" s="170"/>
      <c r="E4391" s="174">
        <v>5000</v>
      </c>
    </row>
    <row r="4392" spans="1:5" x14ac:dyDescent="0.25">
      <c r="A4392" s="115">
        <f t="shared" si="75"/>
        <v>38</v>
      </c>
      <c r="B4392" s="166" t="s">
        <v>3229</v>
      </c>
      <c r="C4392" s="167" t="s">
        <v>1627</v>
      </c>
      <c r="D4392" s="170"/>
      <c r="E4392" s="174">
        <v>5000</v>
      </c>
    </row>
    <row r="4393" spans="1:5" x14ac:dyDescent="0.25">
      <c r="A4393" s="115">
        <f t="shared" si="75"/>
        <v>39</v>
      </c>
      <c r="B4393" s="166" t="s">
        <v>3230</v>
      </c>
      <c r="C4393" s="167" t="s">
        <v>1629</v>
      </c>
      <c r="D4393" s="170"/>
      <c r="E4393" s="174">
        <v>5000</v>
      </c>
    </row>
    <row r="4394" spans="1:5" x14ac:dyDescent="0.25">
      <c r="A4394" s="115"/>
      <c r="B4394" s="166"/>
      <c r="C4394" s="167"/>
      <c r="D4394" s="170"/>
      <c r="E4394" s="174"/>
    </row>
    <row r="4395" spans="1:5" ht="15.75" thickBot="1" x14ac:dyDescent="0.3">
      <c r="A4395" s="120"/>
      <c r="B4395" s="577" t="s">
        <v>15</v>
      </c>
      <c r="C4395" s="578"/>
      <c r="D4395" s="579"/>
      <c r="E4395" s="121">
        <f>SUM(E4355:E4394)</f>
        <v>635000</v>
      </c>
    </row>
    <row r="4396" spans="1:5" x14ac:dyDescent="0.25">
      <c r="A4396" s="110"/>
      <c r="B4396" s="145"/>
      <c r="C4396" s="145"/>
      <c r="E4396" s="146"/>
    </row>
    <row r="4397" spans="1:5" x14ac:dyDescent="0.25">
      <c r="A4397" s="109"/>
      <c r="B4397" s="109"/>
      <c r="C4397" s="110"/>
      <c r="D4397" s="123" t="s">
        <v>3160</v>
      </c>
      <c r="E4397" s="109"/>
    </row>
    <row r="4398" spans="1:5" x14ac:dyDescent="0.25">
      <c r="D4398" s="123" t="s">
        <v>100</v>
      </c>
    </row>
  </sheetData>
  <mergeCells count="154">
    <mergeCell ref="B4395:D4395"/>
    <mergeCell ref="A4351:E4351"/>
    <mergeCell ref="A4245:E4245"/>
    <mergeCell ref="B4271:D4271"/>
    <mergeCell ref="A4298:E4298"/>
    <mergeCell ref="B4345:D4345"/>
    <mergeCell ref="B4252:E4253"/>
    <mergeCell ref="A4139:E4139"/>
    <mergeCell ref="B4158:D4158"/>
    <mergeCell ref="A4192:E4192"/>
    <mergeCell ref="B4218:D4218"/>
    <mergeCell ref="A2920:E2920"/>
    <mergeCell ref="B2945:D2945"/>
    <mergeCell ref="A2973:E2973"/>
    <mergeCell ref="A1966:E1966"/>
    <mergeCell ref="B2998:D2998"/>
    <mergeCell ref="A2814:E2814"/>
    <mergeCell ref="B2845:D2845"/>
    <mergeCell ref="A2867:E2867"/>
    <mergeCell ref="B2887:D2887"/>
    <mergeCell ref="B2259:D2259"/>
    <mergeCell ref="B2487:D2487"/>
    <mergeCell ref="A2496:E2496"/>
    <mergeCell ref="B2548:D2548"/>
    <mergeCell ref="A2337:E2337"/>
    <mergeCell ref="B2351:D2351"/>
    <mergeCell ref="A2390:E2390"/>
    <mergeCell ref="A2761:E2761"/>
    <mergeCell ref="B2779:D2779"/>
    <mergeCell ref="A2655:E2655"/>
    <mergeCell ref="B2673:D2673"/>
    <mergeCell ref="A2708:E2708"/>
    <mergeCell ref="B2721:D2721"/>
    <mergeCell ref="A2231:E2231"/>
    <mergeCell ref="B2039:D2039"/>
    <mergeCell ref="A853:E853"/>
    <mergeCell ref="A376:E376"/>
    <mergeCell ref="B421:D421"/>
    <mergeCell ref="A429:E429"/>
    <mergeCell ref="B483:D483"/>
    <mergeCell ref="A535:E535"/>
    <mergeCell ref="B877:D877"/>
    <mergeCell ref="A800:E800"/>
    <mergeCell ref="B830:D830"/>
    <mergeCell ref="B664:D664"/>
    <mergeCell ref="A588:E588"/>
    <mergeCell ref="A641:E641"/>
    <mergeCell ref="A2602:E2602"/>
    <mergeCell ref="B2630:D2630"/>
    <mergeCell ref="A2284:E2284"/>
    <mergeCell ref="B2315:D2315"/>
    <mergeCell ref="A1065:E1065"/>
    <mergeCell ref="B1093:D1093"/>
    <mergeCell ref="A1436:E1436"/>
    <mergeCell ref="B1459:D1459"/>
    <mergeCell ref="A1118:E1118"/>
    <mergeCell ref="B1169:D1169"/>
    <mergeCell ref="A1224:E1224"/>
    <mergeCell ref="B1253:D1253"/>
    <mergeCell ref="A1277:E1277"/>
    <mergeCell ref="B1289:D1289"/>
    <mergeCell ref="A1330:E1330"/>
    <mergeCell ref="B1344:D1344"/>
    <mergeCell ref="A2019:E2019"/>
    <mergeCell ref="A1595:E1595"/>
    <mergeCell ref="B1613:D1613"/>
    <mergeCell ref="A1648:E1648"/>
    <mergeCell ref="A1489:E1489"/>
    <mergeCell ref="B1501:D1501"/>
    <mergeCell ref="A1542:E1542"/>
    <mergeCell ref="B1572:D1572"/>
    <mergeCell ref="A1383:E1383"/>
    <mergeCell ref="B1400:D1400"/>
    <mergeCell ref="A5:E5"/>
    <mergeCell ref="B24:D24"/>
    <mergeCell ref="A58:E58"/>
    <mergeCell ref="B112:D112"/>
    <mergeCell ref="A164:E164"/>
    <mergeCell ref="B1032:D1032"/>
    <mergeCell ref="A906:E906"/>
    <mergeCell ref="B938:D938"/>
    <mergeCell ref="A959:E959"/>
    <mergeCell ref="B988:D988"/>
    <mergeCell ref="A1012:E1012"/>
    <mergeCell ref="B219:D219"/>
    <mergeCell ref="A270:E270"/>
    <mergeCell ref="B304:D304"/>
    <mergeCell ref="A323:E323"/>
    <mergeCell ref="B348:D348"/>
    <mergeCell ref="A694:E694"/>
    <mergeCell ref="B724:D724"/>
    <mergeCell ref="A747:E747"/>
    <mergeCell ref="B791:D791"/>
    <mergeCell ref="B582:D582"/>
    <mergeCell ref="B612:D612"/>
    <mergeCell ref="A3397:E3397"/>
    <mergeCell ref="B3438:D3438"/>
    <mergeCell ref="A3450:E3450"/>
    <mergeCell ref="B3474:D3474"/>
    <mergeCell ref="A3503:E3503"/>
    <mergeCell ref="A2178:E2178"/>
    <mergeCell ref="B2204:D2204"/>
    <mergeCell ref="B1660:D1660"/>
    <mergeCell ref="A1701:E1701"/>
    <mergeCell ref="B1718:D1718"/>
    <mergeCell ref="A2072:E2072"/>
    <mergeCell ref="B2121:D2121"/>
    <mergeCell ref="A1754:E1754"/>
    <mergeCell ref="B1771:D1771"/>
    <mergeCell ref="A1807:E1807"/>
    <mergeCell ref="B1849:D1849"/>
    <mergeCell ref="B1895:D1895"/>
    <mergeCell ref="A1913:E1913"/>
    <mergeCell ref="B1951:D1951"/>
    <mergeCell ref="B1761:E1762"/>
    <mergeCell ref="B1985:D1985"/>
    <mergeCell ref="A1860:E1860"/>
    <mergeCell ref="B2425:D2425"/>
    <mergeCell ref="A2443:E2443"/>
    <mergeCell ref="A3026:E3026"/>
    <mergeCell ref="B3056:D3056"/>
    <mergeCell ref="A3344:E3344"/>
    <mergeCell ref="B3368:D3368"/>
    <mergeCell ref="B3321:D3321"/>
    <mergeCell ref="A3079:E3079"/>
    <mergeCell ref="B3107:D3107"/>
    <mergeCell ref="A3132:E3132"/>
    <mergeCell ref="B3166:D3166"/>
    <mergeCell ref="A3185:E3185"/>
    <mergeCell ref="B3217:D3217"/>
    <mergeCell ref="A3238:E3238"/>
    <mergeCell ref="B3262:D3262"/>
    <mergeCell ref="A3291:E3291"/>
    <mergeCell ref="B3526:D3526"/>
    <mergeCell ref="A3556:E3556"/>
    <mergeCell ref="B3585:D3585"/>
    <mergeCell ref="A3662:E3662"/>
    <mergeCell ref="A4086:E4086"/>
    <mergeCell ref="B4117:D4117"/>
    <mergeCell ref="A3927:E3927"/>
    <mergeCell ref="B3954:D3954"/>
    <mergeCell ref="A3980:E3980"/>
    <mergeCell ref="B3998:D3998"/>
    <mergeCell ref="A3821:E3821"/>
    <mergeCell ref="B3858:D3858"/>
    <mergeCell ref="A3768:E3768"/>
    <mergeCell ref="B3812:D3812"/>
    <mergeCell ref="A4033:E4033"/>
    <mergeCell ref="B4057:D4057"/>
    <mergeCell ref="B3713:D3713"/>
    <mergeCell ref="A3609:E3609"/>
    <mergeCell ref="B3637:D3637"/>
    <mergeCell ref="A3874:E3874"/>
    <mergeCell ref="B3908:D3908"/>
  </mergeCells>
  <pageMargins left="0.70866141732283472" right="0.70866141732283472" top="0.74803149606299213" bottom="0.74803149606299213" header="0.31496062992125984" footer="0.31496062992125984"/>
  <pageSetup paperSize="9" scale="95"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746"/>
  <sheetViews>
    <sheetView showWhiteSpace="0" view="pageLayout" topLeftCell="A722" zoomScale="80" zoomScalePageLayoutView="80" workbookViewId="0">
      <selection activeCell="I738" sqref="I738"/>
    </sheetView>
  </sheetViews>
  <sheetFormatPr defaultRowHeight="15" x14ac:dyDescent="0.25"/>
  <cols>
    <col min="1" max="1" width="5" customWidth="1"/>
    <col min="2" max="2" width="29.42578125" customWidth="1"/>
    <col min="3" max="3" width="18.42578125" customWidth="1"/>
    <col min="4" max="4" width="14" customWidth="1"/>
    <col min="5" max="5" width="16.42578125" customWidth="1"/>
    <col min="6" max="6" width="12.42578125" customWidth="1"/>
    <col min="7" max="7" width="11.42578125" customWidth="1"/>
    <col min="8" max="8" width="12.5703125" customWidth="1"/>
    <col min="9" max="9" width="18.28515625" customWidth="1"/>
  </cols>
  <sheetData>
    <row r="1" spans="1:9" x14ac:dyDescent="0.25">
      <c r="A1" t="s">
        <v>92</v>
      </c>
    </row>
    <row r="2" spans="1:9" x14ac:dyDescent="0.25">
      <c r="A2" t="s">
        <v>1</v>
      </c>
    </row>
    <row r="5" spans="1:9" x14ac:dyDescent="0.25">
      <c r="A5" s="598" t="s">
        <v>103</v>
      </c>
      <c r="B5" s="598"/>
      <c r="C5" s="598"/>
      <c r="D5" s="598"/>
      <c r="E5" s="598"/>
      <c r="F5" s="598"/>
      <c r="G5" s="598"/>
      <c r="H5" s="598"/>
      <c r="I5" s="598"/>
    </row>
    <row r="6" spans="1:9" x14ac:dyDescent="0.25">
      <c r="A6" s="598" t="s">
        <v>3591</v>
      </c>
      <c r="B6" s="598"/>
      <c r="C6" s="598"/>
      <c r="D6" s="598"/>
      <c r="E6" s="598"/>
      <c r="F6" s="598"/>
      <c r="G6" s="598"/>
      <c r="H6" s="598"/>
      <c r="I6" s="598"/>
    </row>
    <row r="7" spans="1:9" ht="15.75" thickBot="1" x14ac:dyDescent="0.3">
      <c r="I7" t="s">
        <v>3588</v>
      </c>
    </row>
    <row r="8" spans="1:9" x14ac:dyDescent="0.25">
      <c r="A8" s="599" t="s">
        <v>21</v>
      </c>
      <c r="B8" s="601" t="s">
        <v>13</v>
      </c>
      <c r="C8" s="601" t="s">
        <v>91</v>
      </c>
      <c r="D8" s="603" t="s">
        <v>104</v>
      </c>
      <c r="E8" s="603"/>
      <c r="F8" s="603"/>
      <c r="G8" s="603"/>
      <c r="H8" s="603"/>
      <c r="I8" s="604" t="s">
        <v>15</v>
      </c>
    </row>
    <row r="9" spans="1:9" x14ac:dyDescent="0.25">
      <c r="A9" s="600"/>
      <c r="B9" s="602"/>
      <c r="C9" s="602"/>
      <c r="D9" s="102" t="s">
        <v>105</v>
      </c>
      <c r="E9" s="102" t="s">
        <v>106</v>
      </c>
      <c r="F9" s="102" t="s">
        <v>107</v>
      </c>
      <c r="G9" s="102" t="s">
        <v>108</v>
      </c>
      <c r="H9" s="102" t="s">
        <v>109</v>
      </c>
      <c r="I9" s="605"/>
    </row>
    <row r="10" spans="1:9" x14ac:dyDescent="0.25">
      <c r="A10" s="600"/>
      <c r="B10" s="602"/>
      <c r="C10" s="602"/>
      <c r="D10" s="99" t="s">
        <v>110</v>
      </c>
      <c r="E10" s="99" t="s">
        <v>111</v>
      </c>
      <c r="F10" s="99" t="s">
        <v>111</v>
      </c>
      <c r="G10" s="99" t="s">
        <v>112</v>
      </c>
      <c r="H10" s="99" t="s">
        <v>89</v>
      </c>
      <c r="I10" s="605"/>
    </row>
    <row r="11" spans="1:9" x14ac:dyDescent="0.25">
      <c r="A11" s="600"/>
      <c r="B11" s="602"/>
      <c r="C11" s="602"/>
      <c r="D11" s="100" t="s">
        <v>113</v>
      </c>
      <c r="E11" s="100" t="s">
        <v>114</v>
      </c>
      <c r="F11" s="100" t="s">
        <v>113</v>
      </c>
      <c r="G11" s="100" t="s">
        <v>115</v>
      </c>
      <c r="H11" s="100"/>
      <c r="I11" s="605"/>
    </row>
    <row r="12" spans="1:9" x14ac:dyDescent="0.25">
      <c r="A12" s="147">
        <v>1</v>
      </c>
      <c r="B12" s="101" t="s">
        <v>116</v>
      </c>
      <c r="C12" s="148" t="s">
        <v>3589</v>
      </c>
      <c r="D12" s="606" t="s">
        <v>1559</v>
      </c>
      <c r="E12" s="607"/>
      <c r="F12" s="607"/>
      <c r="G12" s="607"/>
      <c r="H12" s="608"/>
      <c r="I12" s="150">
        <f>SUM(D12:H12)</f>
        <v>0</v>
      </c>
    </row>
    <row r="13" spans="1:9" x14ac:dyDescent="0.25">
      <c r="A13" s="151"/>
      <c r="B13" s="152"/>
      <c r="C13" s="153"/>
      <c r="D13" s="153"/>
      <c r="E13" s="153"/>
      <c r="F13" s="153"/>
      <c r="G13" s="152"/>
      <c r="H13" s="154"/>
      <c r="I13" s="150">
        <f>SUM(D13:H13)</f>
        <v>0</v>
      </c>
    </row>
    <row r="14" spans="1:9" x14ac:dyDescent="0.25">
      <c r="A14" s="151"/>
      <c r="B14" s="152"/>
      <c r="C14" s="153"/>
      <c r="D14" s="152"/>
      <c r="E14" s="153"/>
      <c r="F14" s="153"/>
      <c r="G14" s="152"/>
      <c r="H14" s="154"/>
      <c r="I14" s="150">
        <f t="shared" ref="I14:I15" si="0">SUM(D14:H14)</f>
        <v>0</v>
      </c>
    </row>
    <row r="15" spans="1:9" x14ac:dyDescent="0.25">
      <c r="A15" s="151"/>
      <c r="B15" s="152"/>
      <c r="C15" s="152"/>
      <c r="D15" s="152"/>
      <c r="E15" s="153"/>
      <c r="F15" s="152"/>
      <c r="G15" s="152"/>
      <c r="H15" s="154"/>
      <c r="I15" s="150">
        <f t="shared" si="0"/>
        <v>0</v>
      </c>
    </row>
    <row r="16" spans="1:9" x14ac:dyDescent="0.25">
      <c r="A16" s="155"/>
      <c r="B16" s="152"/>
      <c r="C16" s="152"/>
      <c r="D16" s="152"/>
      <c r="E16" s="152"/>
      <c r="F16" s="152"/>
      <c r="G16" s="152"/>
      <c r="H16" s="154"/>
      <c r="I16" s="156"/>
    </row>
    <row r="17" spans="1:9" x14ac:dyDescent="0.25">
      <c r="A17" s="157"/>
      <c r="B17" s="158"/>
      <c r="C17" s="158"/>
      <c r="D17" s="158"/>
      <c r="E17" s="158"/>
      <c r="F17" s="158"/>
      <c r="G17" s="158"/>
      <c r="H17" s="159"/>
      <c r="I17" s="160"/>
    </row>
    <row r="18" spans="1:9" ht="15.75" thickBot="1" x14ac:dyDescent="0.3">
      <c r="A18" s="161"/>
      <c r="B18" s="162" t="s">
        <v>15</v>
      </c>
      <c r="C18" s="163"/>
      <c r="D18" s="163">
        <f t="shared" ref="D18" si="1">SUM(D12:D17)</f>
        <v>0</v>
      </c>
      <c r="E18" s="163">
        <f>SUM(E12:E17)</f>
        <v>0</v>
      </c>
      <c r="F18" s="163">
        <f>SUM(F12:F17)</f>
        <v>0</v>
      </c>
      <c r="G18" s="163">
        <f>SUM(G12:G17)</f>
        <v>0</v>
      </c>
      <c r="H18" s="163">
        <f t="shared" ref="H18:I18" si="2">SUM(H12:H17)</f>
        <v>0</v>
      </c>
      <c r="I18" s="164">
        <f t="shared" si="2"/>
        <v>0</v>
      </c>
    </row>
    <row r="20" spans="1:9" x14ac:dyDescent="0.25">
      <c r="G20" s="98" t="s">
        <v>3590</v>
      </c>
      <c r="H20" s="98"/>
    </row>
    <row r="23" spans="1:9" x14ac:dyDescent="0.25">
      <c r="F23" t="s">
        <v>3360</v>
      </c>
    </row>
    <row r="34" spans="1:9" x14ac:dyDescent="0.25">
      <c r="A34" t="s">
        <v>92</v>
      </c>
    </row>
    <row r="35" spans="1:9" x14ac:dyDescent="0.25">
      <c r="A35" t="s">
        <v>1</v>
      </c>
    </row>
    <row r="38" spans="1:9" x14ac:dyDescent="0.25">
      <c r="A38" s="598" t="s">
        <v>103</v>
      </c>
      <c r="B38" s="598"/>
      <c r="C38" s="598"/>
      <c r="D38" s="598"/>
      <c r="E38" s="598"/>
      <c r="F38" s="598"/>
      <c r="G38" s="598"/>
      <c r="H38" s="598"/>
      <c r="I38" s="598"/>
    </row>
    <row r="39" spans="1:9" x14ac:dyDescent="0.25">
      <c r="A39" s="598" t="s">
        <v>3591</v>
      </c>
      <c r="B39" s="598"/>
      <c r="C39" s="598"/>
      <c r="D39" s="598"/>
      <c r="E39" s="598"/>
      <c r="F39" s="598"/>
      <c r="G39" s="598"/>
      <c r="H39" s="598"/>
      <c r="I39" s="598"/>
    </row>
    <row r="40" spans="1:9" ht="15.75" thickBot="1" x14ac:dyDescent="0.3">
      <c r="I40" t="s">
        <v>3592</v>
      </c>
    </row>
    <row r="41" spans="1:9" x14ac:dyDescent="0.25">
      <c r="A41" s="599" t="s">
        <v>21</v>
      </c>
      <c r="B41" s="601" t="s">
        <v>13</v>
      </c>
      <c r="C41" s="601" t="s">
        <v>91</v>
      </c>
      <c r="D41" s="603" t="s">
        <v>104</v>
      </c>
      <c r="E41" s="603"/>
      <c r="F41" s="603"/>
      <c r="G41" s="603"/>
      <c r="H41" s="603"/>
      <c r="I41" s="604" t="s">
        <v>15</v>
      </c>
    </row>
    <row r="42" spans="1:9" x14ac:dyDescent="0.25">
      <c r="A42" s="600"/>
      <c r="B42" s="602"/>
      <c r="C42" s="602"/>
      <c r="D42" s="102" t="s">
        <v>105</v>
      </c>
      <c r="E42" s="102" t="s">
        <v>106</v>
      </c>
      <c r="F42" s="102" t="s">
        <v>107</v>
      </c>
      <c r="G42" s="102" t="s">
        <v>108</v>
      </c>
      <c r="H42" s="102" t="s">
        <v>109</v>
      </c>
      <c r="I42" s="605"/>
    </row>
    <row r="43" spans="1:9" x14ac:dyDescent="0.25">
      <c r="A43" s="600"/>
      <c r="B43" s="602"/>
      <c r="C43" s="602"/>
      <c r="D43" s="99" t="s">
        <v>110</v>
      </c>
      <c r="E43" s="99" t="s">
        <v>111</v>
      </c>
      <c r="F43" s="99" t="s">
        <v>111</v>
      </c>
      <c r="G43" s="99" t="s">
        <v>112</v>
      </c>
      <c r="H43" s="99" t="s">
        <v>89</v>
      </c>
      <c r="I43" s="605"/>
    </row>
    <row r="44" spans="1:9" x14ac:dyDescent="0.25">
      <c r="A44" s="600"/>
      <c r="B44" s="602"/>
      <c r="C44" s="602"/>
      <c r="D44" s="100" t="s">
        <v>113</v>
      </c>
      <c r="E44" s="100" t="s">
        <v>114</v>
      </c>
      <c r="F44" s="100" t="s">
        <v>113</v>
      </c>
      <c r="G44" s="100" t="s">
        <v>115</v>
      </c>
      <c r="H44" s="100"/>
      <c r="I44" s="605"/>
    </row>
    <row r="45" spans="1:9" x14ac:dyDescent="0.25">
      <c r="A45" s="147">
        <v>1</v>
      </c>
      <c r="B45" s="101" t="s">
        <v>116</v>
      </c>
      <c r="C45" s="148" t="s">
        <v>3593</v>
      </c>
      <c r="D45" s="148">
        <v>412045</v>
      </c>
      <c r="E45" s="148"/>
      <c r="F45" s="175">
        <v>10000</v>
      </c>
      <c r="G45" s="101"/>
      <c r="H45" s="149">
        <v>120000</v>
      </c>
      <c r="I45" s="150">
        <f>SUM(D45:H45)</f>
        <v>542045</v>
      </c>
    </row>
    <row r="46" spans="1:9" x14ac:dyDescent="0.25">
      <c r="A46" s="151"/>
      <c r="B46" s="152"/>
      <c r="C46" s="153"/>
      <c r="D46" s="153"/>
      <c r="E46" s="153"/>
      <c r="F46" s="153"/>
      <c r="G46" s="152"/>
      <c r="H46" s="154"/>
      <c r="I46" s="150">
        <f>SUM(D46:H46)</f>
        <v>0</v>
      </c>
    </row>
    <row r="47" spans="1:9" x14ac:dyDescent="0.25">
      <c r="A47" s="151"/>
      <c r="B47" s="152"/>
      <c r="C47" s="153"/>
      <c r="D47" s="152"/>
      <c r="E47" s="153"/>
      <c r="F47" s="153"/>
      <c r="G47" s="152"/>
      <c r="H47" s="154"/>
      <c r="I47" s="150">
        <f t="shared" ref="I47:I48" si="3">SUM(D47:H47)</f>
        <v>0</v>
      </c>
    </row>
    <row r="48" spans="1:9" x14ac:dyDescent="0.25">
      <c r="A48" s="151"/>
      <c r="B48" s="152"/>
      <c r="C48" s="152"/>
      <c r="D48" s="152"/>
      <c r="E48" s="153"/>
      <c r="F48" s="152"/>
      <c r="G48" s="152"/>
      <c r="H48" s="154"/>
      <c r="I48" s="150">
        <f t="shared" si="3"/>
        <v>0</v>
      </c>
    </row>
    <row r="49" spans="1:9" x14ac:dyDescent="0.25">
      <c r="A49" s="155"/>
      <c r="B49" s="152"/>
      <c r="C49" s="152"/>
      <c r="D49" s="152"/>
      <c r="E49" s="152"/>
      <c r="F49" s="152"/>
      <c r="G49" s="152"/>
      <c r="H49" s="154"/>
      <c r="I49" s="156"/>
    </row>
    <row r="50" spans="1:9" x14ac:dyDescent="0.25">
      <c r="A50" s="157"/>
      <c r="B50" s="158"/>
      <c r="C50" s="158"/>
      <c r="D50" s="158"/>
      <c r="E50" s="158"/>
      <c r="F50" s="158"/>
      <c r="G50" s="158"/>
      <c r="H50" s="159"/>
      <c r="I50" s="160"/>
    </row>
    <row r="51" spans="1:9" ht="15.75" thickBot="1" x14ac:dyDescent="0.3">
      <c r="A51" s="161"/>
      <c r="B51" s="162" t="s">
        <v>15</v>
      </c>
      <c r="C51" s="163"/>
      <c r="D51" s="163">
        <f t="shared" ref="D51" si="4">SUM(D45:D50)</f>
        <v>412045</v>
      </c>
      <c r="E51" s="163">
        <f>SUM(E45:E50)</f>
        <v>0</v>
      </c>
      <c r="F51" s="163">
        <f>SUM(F45:F50)</f>
        <v>10000</v>
      </c>
      <c r="G51" s="163">
        <f>SUM(G45:G50)</f>
        <v>0</v>
      </c>
      <c r="H51" s="163">
        <f t="shared" ref="H51:I51" si="5">SUM(H45:H50)</f>
        <v>120000</v>
      </c>
      <c r="I51" s="164">
        <f t="shared" si="5"/>
        <v>542045</v>
      </c>
    </row>
    <row r="53" spans="1:9" x14ac:dyDescent="0.25">
      <c r="G53" s="98" t="s">
        <v>3597</v>
      </c>
      <c r="H53" s="98"/>
    </row>
    <row r="56" spans="1:9" x14ac:dyDescent="0.25">
      <c r="F56" t="s">
        <v>3360</v>
      </c>
    </row>
    <row r="67" spans="1:9" x14ac:dyDescent="0.25">
      <c r="A67" t="s">
        <v>92</v>
      </c>
    </row>
    <row r="68" spans="1:9" x14ac:dyDescent="0.25">
      <c r="A68" t="s">
        <v>1</v>
      </c>
    </row>
    <row r="71" spans="1:9" x14ac:dyDescent="0.25">
      <c r="A71" s="598" t="s">
        <v>103</v>
      </c>
      <c r="B71" s="598"/>
      <c r="C71" s="598"/>
      <c r="D71" s="598"/>
      <c r="E71" s="598"/>
      <c r="F71" s="598"/>
      <c r="G71" s="598"/>
      <c r="H71" s="598"/>
      <c r="I71" s="598"/>
    </row>
    <row r="72" spans="1:9" x14ac:dyDescent="0.25">
      <c r="A72" s="598" t="s">
        <v>3591</v>
      </c>
      <c r="B72" s="598"/>
      <c r="C72" s="598"/>
      <c r="D72" s="598"/>
      <c r="E72" s="598"/>
      <c r="F72" s="598"/>
      <c r="G72" s="598"/>
      <c r="H72" s="598"/>
      <c r="I72" s="598"/>
    </row>
    <row r="73" spans="1:9" ht="15.75" thickBot="1" x14ac:dyDescent="0.3">
      <c r="I73" t="s">
        <v>3594</v>
      </c>
    </row>
    <row r="74" spans="1:9" x14ac:dyDescent="0.25">
      <c r="A74" s="599" t="s">
        <v>21</v>
      </c>
      <c r="B74" s="601" t="s">
        <v>13</v>
      </c>
      <c r="C74" s="601" t="s">
        <v>91</v>
      </c>
      <c r="D74" s="603" t="s">
        <v>104</v>
      </c>
      <c r="E74" s="603"/>
      <c r="F74" s="603"/>
      <c r="G74" s="603"/>
      <c r="H74" s="603"/>
      <c r="I74" s="604" t="s">
        <v>15</v>
      </c>
    </row>
    <row r="75" spans="1:9" x14ac:dyDescent="0.25">
      <c r="A75" s="600"/>
      <c r="B75" s="602"/>
      <c r="C75" s="602"/>
      <c r="D75" s="102" t="s">
        <v>105</v>
      </c>
      <c r="E75" s="102" t="s">
        <v>106</v>
      </c>
      <c r="F75" s="102" t="s">
        <v>107</v>
      </c>
      <c r="G75" s="102" t="s">
        <v>108</v>
      </c>
      <c r="H75" s="102" t="s">
        <v>109</v>
      </c>
      <c r="I75" s="605"/>
    </row>
    <row r="76" spans="1:9" x14ac:dyDescent="0.25">
      <c r="A76" s="600"/>
      <c r="B76" s="602"/>
      <c r="C76" s="602"/>
      <c r="D76" s="99" t="s">
        <v>110</v>
      </c>
      <c r="E76" s="99" t="s">
        <v>111</v>
      </c>
      <c r="F76" s="99" t="s">
        <v>111</v>
      </c>
      <c r="G76" s="99" t="s">
        <v>112</v>
      </c>
      <c r="H76" s="99" t="s">
        <v>89</v>
      </c>
      <c r="I76" s="605"/>
    </row>
    <row r="77" spans="1:9" x14ac:dyDescent="0.25">
      <c r="A77" s="600"/>
      <c r="B77" s="602"/>
      <c r="C77" s="602"/>
      <c r="D77" s="100" t="s">
        <v>113</v>
      </c>
      <c r="E77" s="100" t="s">
        <v>114</v>
      </c>
      <c r="F77" s="100" t="s">
        <v>113</v>
      </c>
      <c r="G77" s="100" t="s">
        <v>115</v>
      </c>
      <c r="H77" s="100"/>
      <c r="I77" s="605"/>
    </row>
    <row r="78" spans="1:9" x14ac:dyDescent="0.25">
      <c r="A78" s="147">
        <v>1</v>
      </c>
      <c r="B78" s="101" t="s">
        <v>116</v>
      </c>
      <c r="C78" s="148" t="s">
        <v>3595</v>
      </c>
      <c r="D78" s="148">
        <v>96478</v>
      </c>
      <c r="E78" s="148"/>
      <c r="F78" s="175">
        <v>10000</v>
      </c>
      <c r="G78" s="101"/>
      <c r="H78" s="149">
        <v>40000</v>
      </c>
      <c r="I78" s="150">
        <f>SUM(D78:H78)</f>
        <v>146478</v>
      </c>
    </row>
    <row r="79" spans="1:9" x14ac:dyDescent="0.25">
      <c r="A79" s="151"/>
      <c r="B79" s="152"/>
      <c r="C79" s="153"/>
      <c r="D79" s="153"/>
      <c r="E79" s="153"/>
      <c r="F79" s="153"/>
      <c r="G79" s="152"/>
      <c r="H79" s="154"/>
      <c r="I79" s="150">
        <f>SUM(D79:H79)</f>
        <v>0</v>
      </c>
    </row>
    <row r="80" spans="1:9" x14ac:dyDescent="0.25">
      <c r="A80" s="151"/>
      <c r="B80" s="152"/>
      <c r="C80" s="153"/>
      <c r="D80" s="152"/>
      <c r="E80" s="153"/>
      <c r="F80" s="153"/>
      <c r="G80" s="152"/>
      <c r="H80" s="154"/>
      <c r="I80" s="150">
        <f t="shared" ref="I80:I81" si="6">SUM(D80:H80)</f>
        <v>0</v>
      </c>
    </row>
    <row r="81" spans="1:9" x14ac:dyDescent="0.25">
      <c r="A81" s="151"/>
      <c r="B81" s="152"/>
      <c r="C81" s="152"/>
      <c r="D81" s="152"/>
      <c r="E81" s="153"/>
      <c r="F81" s="152"/>
      <c r="G81" s="152"/>
      <c r="H81" s="154"/>
      <c r="I81" s="150">
        <f t="shared" si="6"/>
        <v>0</v>
      </c>
    </row>
    <row r="82" spans="1:9" x14ac:dyDescent="0.25">
      <c r="A82" s="155"/>
      <c r="B82" s="152"/>
      <c r="C82" s="152"/>
      <c r="D82" s="152"/>
      <c r="E82" s="152"/>
      <c r="F82" s="152"/>
      <c r="G82" s="152"/>
      <c r="H82" s="154"/>
      <c r="I82" s="156"/>
    </row>
    <row r="83" spans="1:9" x14ac:dyDescent="0.25">
      <c r="A83" s="157"/>
      <c r="B83" s="158"/>
      <c r="C83" s="158"/>
      <c r="D83" s="158"/>
      <c r="E83" s="158"/>
      <c r="F83" s="158"/>
      <c r="G83" s="158"/>
      <c r="H83" s="159"/>
      <c r="I83" s="160"/>
    </row>
    <row r="84" spans="1:9" ht="15.75" thickBot="1" x14ac:dyDescent="0.3">
      <c r="A84" s="161"/>
      <c r="B84" s="162" t="s">
        <v>15</v>
      </c>
      <c r="C84" s="163"/>
      <c r="D84" s="163">
        <f t="shared" ref="D84" si="7">SUM(D78:D83)</f>
        <v>96478</v>
      </c>
      <c r="E84" s="163">
        <f>SUM(E78:E83)</f>
        <v>0</v>
      </c>
      <c r="F84" s="163">
        <f>SUM(F78:F83)</f>
        <v>10000</v>
      </c>
      <c r="G84" s="163">
        <f>SUM(G78:G83)</f>
        <v>0</v>
      </c>
      <c r="H84" s="163">
        <f t="shared" ref="H84:I84" si="8">SUM(H78:H83)</f>
        <v>40000</v>
      </c>
      <c r="I84" s="164">
        <f t="shared" si="8"/>
        <v>146478</v>
      </c>
    </row>
    <row r="86" spans="1:9" x14ac:dyDescent="0.25">
      <c r="G86" s="98" t="s">
        <v>3596</v>
      </c>
      <c r="H86" s="98"/>
    </row>
    <row r="89" spans="1:9" x14ac:dyDescent="0.25">
      <c r="F89" t="s">
        <v>3360</v>
      </c>
    </row>
    <row r="100" spans="1:9" x14ac:dyDescent="0.25">
      <c r="A100" t="s">
        <v>92</v>
      </c>
    </row>
    <row r="101" spans="1:9" x14ac:dyDescent="0.25">
      <c r="A101" t="s">
        <v>1</v>
      </c>
    </row>
    <row r="104" spans="1:9" x14ac:dyDescent="0.25">
      <c r="A104" s="598" t="s">
        <v>103</v>
      </c>
      <c r="B104" s="598"/>
      <c r="C104" s="598"/>
      <c r="D104" s="598"/>
      <c r="E104" s="598"/>
      <c r="F104" s="598"/>
      <c r="G104" s="598"/>
      <c r="H104" s="598"/>
      <c r="I104" s="598"/>
    </row>
    <row r="105" spans="1:9" x14ac:dyDescent="0.25">
      <c r="A105" s="598" t="s">
        <v>3591</v>
      </c>
      <c r="B105" s="598"/>
      <c r="C105" s="598"/>
      <c r="D105" s="598"/>
      <c r="E105" s="598"/>
      <c r="F105" s="598"/>
      <c r="G105" s="598"/>
      <c r="H105" s="598"/>
      <c r="I105" s="598"/>
    </row>
    <row r="106" spans="1:9" ht="15.75" thickBot="1" x14ac:dyDescent="0.3">
      <c r="I106" t="s">
        <v>3598</v>
      </c>
    </row>
    <row r="107" spans="1:9" x14ac:dyDescent="0.25">
      <c r="A107" s="599" t="s">
        <v>21</v>
      </c>
      <c r="B107" s="601" t="s">
        <v>13</v>
      </c>
      <c r="C107" s="601" t="s">
        <v>91</v>
      </c>
      <c r="D107" s="603" t="s">
        <v>104</v>
      </c>
      <c r="E107" s="603"/>
      <c r="F107" s="603"/>
      <c r="G107" s="603"/>
      <c r="H107" s="603"/>
      <c r="I107" s="604" t="s">
        <v>15</v>
      </c>
    </row>
    <row r="108" spans="1:9" x14ac:dyDescent="0.25">
      <c r="A108" s="600"/>
      <c r="B108" s="602"/>
      <c r="C108" s="602"/>
      <c r="D108" s="102" t="s">
        <v>105</v>
      </c>
      <c r="E108" s="102" t="s">
        <v>106</v>
      </c>
      <c r="F108" s="102" t="s">
        <v>107</v>
      </c>
      <c r="G108" s="102" t="s">
        <v>108</v>
      </c>
      <c r="H108" s="102" t="s">
        <v>109</v>
      </c>
      <c r="I108" s="605"/>
    </row>
    <row r="109" spans="1:9" x14ac:dyDescent="0.25">
      <c r="A109" s="600"/>
      <c r="B109" s="602"/>
      <c r="C109" s="602"/>
      <c r="D109" s="99" t="s">
        <v>110</v>
      </c>
      <c r="E109" s="99" t="s">
        <v>111</v>
      </c>
      <c r="F109" s="99" t="s">
        <v>111</v>
      </c>
      <c r="G109" s="99" t="s">
        <v>112</v>
      </c>
      <c r="H109" s="99" t="s">
        <v>89</v>
      </c>
      <c r="I109" s="605"/>
    </row>
    <row r="110" spans="1:9" x14ac:dyDescent="0.25">
      <c r="A110" s="600"/>
      <c r="B110" s="602"/>
      <c r="C110" s="602"/>
      <c r="D110" s="100" t="s">
        <v>113</v>
      </c>
      <c r="E110" s="100" t="s">
        <v>114</v>
      </c>
      <c r="F110" s="100" t="s">
        <v>113</v>
      </c>
      <c r="G110" s="100" t="s">
        <v>115</v>
      </c>
      <c r="H110" s="100"/>
      <c r="I110" s="605"/>
    </row>
    <row r="111" spans="1:9" x14ac:dyDescent="0.25">
      <c r="A111" s="147">
        <v>1</v>
      </c>
      <c r="B111" s="101" t="s">
        <v>116</v>
      </c>
      <c r="C111" s="148" t="s">
        <v>3599</v>
      </c>
      <c r="D111" s="148">
        <v>12219303</v>
      </c>
      <c r="E111" s="148"/>
      <c r="F111" s="175">
        <v>665000</v>
      </c>
      <c r="G111" s="101"/>
      <c r="H111" s="149">
        <f>2460000*2</f>
        <v>4920000</v>
      </c>
      <c r="I111" s="150">
        <f>SUM(D111:H111)</f>
        <v>17804303</v>
      </c>
    </row>
    <row r="112" spans="1:9" x14ac:dyDescent="0.25">
      <c r="A112" s="151"/>
      <c r="B112" s="152"/>
      <c r="C112" s="153"/>
      <c r="D112" s="153"/>
      <c r="E112" s="153"/>
      <c r="F112" s="153"/>
      <c r="G112" s="152"/>
      <c r="H112" s="154"/>
      <c r="I112" s="150">
        <f>SUM(D112:H112)</f>
        <v>0</v>
      </c>
    </row>
    <row r="113" spans="1:9" x14ac:dyDescent="0.25">
      <c r="A113" s="151"/>
      <c r="B113" s="152"/>
      <c r="C113" s="153"/>
      <c r="D113" s="152"/>
      <c r="E113" s="153"/>
      <c r="F113" s="153"/>
      <c r="G113" s="152"/>
      <c r="H113" s="154"/>
      <c r="I113" s="150">
        <f t="shared" ref="I113:I114" si="9">SUM(D113:H113)</f>
        <v>0</v>
      </c>
    </row>
    <row r="114" spans="1:9" x14ac:dyDescent="0.25">
      <c r="A114" s="151"/>
      <c r="B114" s="152"/>
      <c r="C114" s="152"/>
      <c r="D114" s="152"/>
      <c r="E114" s="153"/>
      <c r="F114" s="152"/>
      <c r="G114" s="152"/>
      <c r="H114" s="154"/>
      <c r="I114" s="150">
        <f t="shared" si="9"/>
        <v>0</v>
      </c>
    </row>
    <row r="115" spans="1:9" x14ac:dyDescent="0.25">
      <c r="A115" s="155"/>
      <c r="B115" s="152"/>
      <c r="C115" s="152"/>
      <c r="D115" s="152"/>
      <c r="E115" s="152"/>
      <c r="F115" s="152"/>
      <c r="G115" s="152"/>
      <c r="H115" s="154"/>
      <c r="I115" s="156"/>
    </row>
    <row r="116" spans="1:9" x14ac:dyDescent="0.25">
      <c r="A116" s="157"/>
      <c r="B116" s="158"/>
      <c r="C116" s="158"/>
      <c r="D116" s="158"/>
      <c r="E116" s="158"/>
      <c r="F116" s="158"/>
      <c r="G116" s="158"/>
      <c r="H116" s="159"/>
      <c r="I116" s="160"/>
    </row>
    <row r="117" spans="1:9" ht="15.75" thickBot="1" x14ac:dyDescent="0.3">
      <c r="A117" s="161"/>
      <c r="B117" s="162" t="s">
        <v>15</v>
      </c>
      <c r="C117" s="163"/>
      <c r="D117" s="163">
        <f t="shared" ref="D117" si="10">SUM(D111:D116)</f>
        <v>12219303</v>
      </c>
      <c r="E117" s="163">
        <f>SUM(E111:E116)</f>
        <v>0</v>
      </c>
      <c r="F117" s="163">
        <f>SUM(F111:F116)</f>
        <v>665000</v>
      </c>
      <c r="G117" s="163">
        <f>SUM(G111:G116)</f>
        <v>0</v>
      </c>
      <c r="H117" s="163">
        <f t="shared" ref="H117:I117" si="11">SUM(H111:H116)</f>
        <v>4920000</v>
      </c>
      <c r="I117" s="164">
        <f t="shared" si="11"/>
        <v>17804303</v>
      </c>
    </row>
    <row r="119" spans="1:9" x14ac:dyDescent="0.25">
      <c r="G119" s="98" t="s">
        <v>3600</v>
      </c>
      <c r="H119" s="98"/>
    </row>
    <row r="122" spans="1:9" x14ac:dyDescent="0.25">
      <c r="F122" t="s">
        <v>3360</v>
      </c>
    </row>
    <row r="133" spans="1:9" x14ac:dyDescent="0.25">
      <c r="A133" t="s">
        <v>92</v>
      </c>
    </row>
    <row r="134" spans="1:9" x14ac:dyDescent="0.25">
      <c r="A134" t="s">
        <v>1</v>
      </c>
    </row>
    <row r="137" spans="1:9" x14ac:dyDescent="0.25">
      <c r="A137" s="598" t="s">
        <v>103</v>
      </c>
      <c r="B137" s="598"/>
      <c r="C137" s="598"/>
      <c r="D137" s="598"/>
      <c r="E137" s="598"/>
      <c r="F137" s="598"/>
      <c r="G137" s="598"/>
      <c r="H137" s="598"/>
      <c r="I137" s="598"/>
    </row>
    <row r="138" spans="1:9" x14ac:dyDescent="0.25">
      <c r="A138" s="598" t="s">
        <v>3591</v>
      </c>
      <c r="B138" s="598"/>
      <c r="C138" s="598"/>
      <c r="D138" s="598"/>
      <c r="E138" s="598"/>
      <c r="F138" s="598"/>
      <c r="G138" s="598"/>
      <c r="H138" s="598"/>
      <c r="I138" s="598"/>
    </row>
    <row r="139" spans="1:9" ht="15.75" thickBot="1" x14ac:dyDescent="0.3">
      <c r="I139" t="s">
        <v>3601</v>
      </c>
    </row>
    <row r="140" spans="1:9" x14ac:dyDescent="0.25">
      <c r="A140" s="599" t="s">
        <v>21</v>
      </c>
      <c r="B140" s="601" t="s">
        <v>13</v>
      </c>
      <c r="C140" s="601" t="s">
        <v>91</v>
      </c>
      <c r="D140" s="603" t="s">
        <v>104</v>
      </c>
      <c r="E140" s="603"/>
      <c r="F140" s="603"/>
      <c r="G140" s="603"/>
      <c r="H140" s="603"/>
      <c r="I140" s="604" t="s">
        <v>15</v>
      </c>
    </row>
    <row r="141" spans="1:9" x14ac:dyDescent="0.25">
      <c r="A141" s="600"/>
      <c r="B141" s="602"/>
      <c r="C141" s="602"/>
      <c r="D141" s="102" t="s">
        <v>105</v>
      </c>
      <c r="E141" s="102" t="s">
        <v>106</v>
      </c>
      <c r="F141" s="102" t="s">
        <v>107</v>
      </c>
      <c r="G141" s="102" t="s">
        <v>108</v>
      </c>
      <c r="H141" s="102" t="s">
        <v>109</v>
      </c>
      <c r="I141" s="605"/>
    </row>
    <row r="142" spans="1:9" x14ac:dyDescent="0.25">
      <c r="A142" s="600"/>
      <c r="B142" s="602"/>
      <c r="C142" s="602"/>
      <c r="D142" s="99" t="s">
        <v>110</v>
      </c>
      <c r="E142" s="99" t="s">
        <v>111</v>
      </c>
      <c r="F142" s="99" t="s">
        <v>111</v>
      </c>
      <c r="G142" s="99" t="s">
        <v>112</v>
      </c>
      <c r="H142" s="99" t="s">
        <v>89</v>
      </c>
      <c r="I142" s="605"/>
    </row>
    <row r="143" spans="1:9" x14ac:dyDescent="0.25">
      <c r="A143" s="600"/>
      <c r="B143" s="602"/>
      <c r="C143" s="602"/>
      <c r="D143" s="100" t="s">
        <v>113</v>
      </c>
      <c r="E143" s="100" t="s">
        <v>114</v>
      </c>
      <c r="F143" s="100" t="s">
        <v>113</v>
      </c>
      <c r="G143" s="100" t="s">
        <v>115</v>
      </c>
      <c r="H143" s="100"/>
      <c r="I143" s="605"/>
    </row>
    <row r="144" spans="1:9" x14ac:dyDescent="0.25">
      <c r="A144" s="147">
        <v>1</v>
      </c>
      <c r="B144" s="101" t="s">
        <v>116</v>
      </c>
      <c r="C144" s="148" t="s">
        <v>3602</v>
      </c>
      <c r="D144" s="148">
        <v>9090558</v>
      </c>
      <c r="E144" s="148"/>
      <c r="F144" s="175">
        <v>380000</v>
      </c>
      <c r="G144" s="101"/>
      <c r="H144" s="149">
        <f>1430000*2</f>
        <v>2860000</v>
      </c>
      <c r="I144" s="150">
        <f>SUM(D144:H144)</f>
        <v>12330558</v>
      </c>
    </row>
    <row r="145" spans="1:9" x14ac:dyDescent="0.25">
      <c r="A145" s="151"/>
      <c r="B145" s="152"/>
      <c r="C145" s="153"/>
      <c r="D145" s="153"/>
      <c r="E145" s="153"/>
      <c r="F145" s="153"/>
      <c r="G145" s="152"/>
      <c r="H145" s="154"/>
      <c r="I145" s="150">
        <f>SUM(D145:H145)</f>
        <v>0</v>
      </c>
    </row>
    <row r="146" spans="1:9" x14ac:dyDescent="0.25">
      <c r="A146" s="151"/>
      <c r="B146" s="152"/>
      <c r="C146" s="153"/>
      <c r="D146" s="152"/>
      <c r="E146" s="153"/>
      <c r="F146" s="153"/>
      <c r="G146" s="152"/>
      <c r="H146" s="154"/>
      <c r="I146" s="150">
        <f t="shared" ref="I146:I147" si="12">SUM(D146:H146)</f>
        <v>0</v>
      </c>
    </row>
    <row r="147" spans="1:9" x14ac:dyDescent="0.25">
      <c r="A147" s="151"/>
      <c r="B147" s="152"/>
      <c r="C147" s="152"/>
      <c r="D147" s="152"/>
      <c r="E147" s="153"/>
      <c r="F147" s="152"/>
      <c r="G147" s="152"/>
      <c r="H147" s="154"/>
      <c r="I147" s="150">
        <f t="shared" si="12"/>
        <v>0</v>
      </c>
    </row>
    <row r="148" spans="1:9" x14ac:dyDescent="0.25">
      <c r="A148" s="155"/>
      <c r="B148" s="152"/>
      <c r="C148" s="152"/>
      <c r="D148" s="152"/>
      <c r="E148" s="152"/>
      <c r="F148" s="152"/>
      <c r="G148" s="152"/>
      <c r="H148" s="154"/>
      <c r="I148" s="156"/>
    </row>
    <row r="149" spans="1:9" x14ac:dyDescent="0.25">
      <c r="A149" s="157"/>
      <c r="B149" s="158"/>
      <c r="C149" s="158"/>
      <c r="D149" s="158"/>
      <c r="E149" s="158"/>
      <c r="F149" s="158"/>
      <c r="G149" s="158"/>
      <c r="H149" s="159"/>
      <c r="I149" s="160"/>
    </row>
    <row r="150" spans="1:9" ht="15.75" thickBot="1" x14ac:dyDescent="0.3">
      <c r="A150" s="161"/>
      <c r="B150" s="162" t="s">
        <v>15</v>
      </c>
      <c r="C150" s="163"/>
      <c r="D150" s="163">
        <f t="shared" ref="D150" si="13">SUM(D144:D149)</f>
        <v>9090558</v>
      </c>
      <c r="E150" s="163">
        <f>SUM(E144:E149)</f>
        <v>0</v>
      </c>
      <c r="F150" s="163">
        <f>SUM(F144:F149)</f>
        <v>380000</v>
      </c>
      <c r="G150" s="163">
        <f>SUM(G144:G149)</f>
        <v>0</v>
      </c>
      <c r="H150" s="163">
        <f t="shared" ref="H150:I150" si="14">SUM(H144:H149)</f>
        <v>2860000</v>
      </c>
      <c r="I150" s="164">
        <f t="shared" si="14"/>
        <v>12330558</v>
      </c>
    </row>
    <row r="152" spans="1:9" x14ac:dyDescent="0.25">
      <c r="G152" s="98" t="s">
        <v>3603</v>
      </c>
      <c r="H152" s="98"/>
    </row>
    <row r="155" spans="1:9" x14ac:dyDescent="0.25">
      <c r="F155" t="s">
        <v>3360</v>
      </c>
    </row>
    <row r="166" spans="1:9" x14ac:dyDescent="0.25">
      <c r="A166" t="s">
        <v>92</v>
      </c>
    </row>
    <row r="167" spans="1:9" x14ac:dyDescent="0.25">
      <c r="A167" t="s">
        <v>1</v>
      </c>
    </row>
    <row r="170" spans="1:9" x14ac:dyDescent="0.25">
      <c r="A170" s="598" t="s">
        <v>103</v>
      </c>
      <c r="B170" s="598"/>
      <c r="C170" s="598"/>
      <c r="D170" s="598"/>
      <c r="E170" s="598"/>
      <c r="F170" s="598"/>
      <c r="G170" s="598"/>
      <c r="H170" s="598"/>
      <c r="I170" s="598"/>
    </row>
    <row r="171" spans="1:9" x14ac:dyDescent="0.25">
      <c r="A171" s="598" t="s">
        <v>3591</v>
      </c>
      <c r="B171" s="598"/>
      <c r="C171" s="598"/>
      <c r="D171" s="598"/>
      <c r="E171" s="598"/>
      <c r="F171" s="598"/>
      <c r="G171" s="598"/>
      <c r="H171" s="598"/>
      <c r="I171" s="598"/>
    </row>
    <row r="172" spans="1:9" ht="15.75" thickBot="1" x14ac:dyDescent="0.3">
      <c r="I172" t="s">
        <v>3606</v>
      </c>
    </row>
    <row r="173" spans="1:9" x14ac:dyDescent="0.25">
      <c r="A173" s="599" t="s">
        <v>21</v>
      </c>
      <c r="B173" s="601" t="s">
        <v>13</v>
      </c>
      <c r="C173" s="601" t="s">
        <v>91</v>
      </c>
      <c r="D173" s="603" t="s">
        <v>104</v>
      </c>
      <c r="E173" s="603"/>
      <c r="F173" s="603"/>
      <c r="G173" s="603"/>
      <c r="H173" s="603"/>
      <c r="I173" s="604" t="s">
        <v>15</v>
      </c>
    </row>
    <row r="174" spans="1:9" x14ac:dyDescent="0.25">
      <c r="A174" s="600"/>
      <c r="B174" s="602"/>
      <c r="C174" s="602"/>
      <c r="D174" s="102" t="s">
        <v>105</v>
      </c>
      <c r="E174" s="102" t="s">
        <v>106</v>
      </c>
      <c r="F174" s="102" t="s">
        <v>107</v>
      </c>
      <c r="G174" s="102" t="s">
        <v>108</v>
      </c>
      <c r="H174" s="102" t="s">
        <v>109</v>
      </c>
      <c r="I174" s="605"/>
    </row>
    <row r="175" spans="1:9" x14ac:dyDescent="0.25">
      <c r="A175" s="600"/>
      <c r="B175" s="602"/>
      <c r="C175" s="602"/>
      <c r="D175" s="99" t="s">
        <v>110</v>
      </c>
      <c r="E175" s="99" t="s">
        <v>111</v>
      </c>
      <c r="F175" s="99" t="s">
        <v>111</v>
      </c>
      <c r="G175" s="99" t="s">
        <v>112</v>
      </c>
      <c r="H175" s="99" t="s">
        <v>89</v>
      </c>
      <c r="I175" s="605"/>
    </row>
    <row r="176" spans="1:9" x14ac:dyDescent="0.25">
      <c r="A176" s="600"/>
      <c r="B176" s="602"/>
      <c r="C176" s="602"/>
      <c r="D176" s="100" t="s">
        <v>113</v>
      </c>
      <c r="E176" s="100" t="s">
        <v>114</v>
      </c>
      <c r="F176" s="100" t="s">
        <v>113</v>
      </c>
      <c r="G176" s="100" t="s">
        <v>115</v>
      </c>
      <c r="H176" s="100"/>
      <c r="I176" s="605"/>
    </row>
    <row r="177" spans="1:9" x14ac:dyDescent="0.25">
      <c r="A177" s="147">
        <v>1</v>
      </c>
      <c r="B177" s="101" t="s">
        <v>116</v>
      </c>
      <c r="C177" s="148" t="s">
        <v>3607</v>
      </c>
      <c r="D177" s="148">
        <v>11501270</v>
      </c>
      <c r="E177" s="148">
        <f>BPTRNA!E17</f>
        <v>2625000</v>
      </c>
      <c r="F177" s="175">
        <v>780000</v>
      </c>
      <c r="G177" s="101"/>
      <c r="H177" s="149">
        <f>2560000*2</f>
        <v>5120000</v>
      </c>
      <c r="I177" s="150">
        <f>SUM(D177:H177)</f>
        <v>20026270</v>
      </c>
    </row>
    <row r="178" spans="1:9" x14ac:dyDescent="0.25">
      <c r="A178" s="151"/>
      <c r="B178" s="152"/>
      <c r="C178" s="153"/>
      <c r="D178" s="153"/>
      <c r="E178" s="153"/>
      <c r="F178" s="153"/>
      <c r="G178" s="152"/>
      <c r="H178" s="154"/>
      <c r="I178" s="150">
        <f>SUM(D178:H178)</f>
        <v>0</v>
      </c>
    </row>
    <row r="179" spans="1:9" x14ac:dyDescent="0.25">
      <c r="A179" s="151"/>
      <c r="B179" s="152"/>
      <c r="C179" s="153"/>
      <c r="D179" s="152"/>
      <c r="E179" s="153"/>
      <c r="F179" s="153"/>
      <c r="G179" s="152"/>
      <c r="H179" s="154"/>
      <c r="I179" s="150">
        <f t="shared" ref="I179:I180" si="15">SUM(D179:H179)</f>
        <v>0</v>
      </c>
    </row>
    <row r="180" spans="1:9" x14ac:dyDescent="0.25">
      <c r="A180" s="151"/>
      <c r="B180" s="152"/>
      <c r="C180" s="152"/>
      <c r="D180" s="152"/>
      <c r="E180" s="153"/>
      <c r="F180" s="152"/>
      <c r="G180" s="152"/>
      <c r="H180" s="154"/>
      <c r="I180" s="150">
        <f t="shared" si="15"/>
        <v>0</v>
      </c>
    </row>
    <row r="181" spans="1:9" x14ac:dyDescent="0.25">
      <c r="A181" s="155"/>
      <c r="B181" s="152"/>
      <c r="C181" s="152"/>
      <c r="D181" s="152"/>
      <c r="E181" s="152"/>
      <c r="F181" s="152"/>
      <c r="G181" s="152"/>
      <c r="H181" s="154"/>
      <c r="I181" s="156"/>
    </row>
    <row r="182" spans="1:9" x14ac:dyDescent="0.25">
      <c r="A182" s="157"/>
      <c r="B182" s="158"/>
      <c r="C182" s="158"/>
      <c r="D182" s="158"/>
      <c r="E182" s="158"/>
      <c r="F182" s="158"/>
      <c r="G182" s="158"/>
      <c r="H182" s="159"/>
      <c r="I182" s="160"/>
    </row>
    <row r="183" spans="1:9" ht="15.75" thickBot="1" x14ac:dyDescent="0.3">
      <c r="A183" s="161"/>
      <c r="B183" s="162" t="s">
        <v>15</v>
      </c>
      <c r="C183" s="163"/>
      <c r="D183" s="163">
        <f t="shared" ref="D183" si="16">SUM(D177:D182)</f>
        <v>11501270</v>
      </c>
      <c r="E183" s="163">
        <f>SUM(E177:E182)</f>
        <v>2625000</v>
      </c>
      <c r="F183" s="163">
        <f>SUM(F177:F182)</f>
        <v>780000</v>
      </c>
      <c r="G183" s="163">
        <f>SUM(G177:G182)</f>
        <v>0</v>
      </c>
      <c r="H183" s="163">
        <f t="shared" ref="H183:I183" si="17">SUM(H177:H182)</f>
        <v>5120000</v>
      </c>
      <c r="I183" s="164">
        <f t="shared" si="17"/>
        <v>20026270</v>
      </c>
    </row>
    <row r="185" spans="1:9" x14ac:dyDescent="0.25">
      <c r="G185" s="98" t="s">
        <v>3604</v>
      </c>
      <c r="H185" s="98"/>
    </row>
    <row r="188" spans="1:9" x14ac:dyDescent="0.25">
      <c r="F188" t="s">
        <v>3360</v>
      </c>
    </row>
    <row r="199" spans="1:9" x14ac:dyDescent="0.25">
      <c r="A199" t="s">
        <v>92</v>
      </c>
    </row>
    <row r="200" spans="1:9" x14ac:dyDescent="0.25">
      <c r="A200" t="s">
        <v>1</v>
      </c>
    </row>
    <row r="203" spans="1:9" x14ac:dyDescent="0.25">
      <c r="A203" s="598" t="s">
        <v>103</v>
      </c>
      <c r="B203" s="598"/>
      <c r="C203" s="598"/>
      <c r="D203" s="598"/>
      <c r="E203" s="598"/>
      <c r="F203" s="598"/>
      <c r="G203" s="598"/>
      <c r="H203" s="598"/>
      <c r="I203" s="598"/>
    </row>
    <row r="204" spans="1:9" x14ac:dyDescent="0.25">
      <c r="A204" s="598" t="s">
        <v>3591</v>
      </c>
      <c r="B204" s="598"/>
      <c r="C204" s="598"/>
      <c r="D204" s="598"/>
      <c r="E204" s="598"/>
      <c r="F204" s="598"/>
      <c r="G204" s="598"/>
      <c r="H204" s="598"/>
      <c r="I204" s="598"/>
    </row>
    <row r="205" spans="1:9" ht="15.75" thickBot="1" x14ac:dyDescent="0.3">
      <c r="I205" t="s">
        <v>3608</v>
      </c>
    </row>
    <row r="206" spans="1:9" x14ac:dyDescent="0.25">
      <c r="A206" s="599" t="s">
        <v>21</v>
      </c>
      <c r="B206" s="601" t="s">
        <v>13</v>
      </c>
      <c r="C206" s="601" t="s">
        <v>91</v>
      </c>
      <c r="D206" s="603" t="s">
        <v>104</v>
      </c>
      <c r="E206" s="603"/>
      <c r="F206" s="603"/>
      <c r="G206" s="603"/>
      <c r="H206" s="603"/>
      <c r="I206" s="604" t="s">
        <v>15</v>
      </c>
    </row>
    <row r="207" spans="1:9" x14ac:dyDescent="0.25">
      <c r="A207" s="600"/>
      <c r="B207" s="602"/>
      <c r="C207" s="602"/>
      <c r="D207" s="102" t="s">
        <v>105</v>
      </c>
      <c r="E207" s="102" t="s">
        <v>106</v>
      </c>
      <c r="F207" s="102" t="s">
        <v>107</v>
      </c>
      <c r="G207" s="102" t="s">
        <v>108</v>
      </c>
      <c r="H207" s="102" t="s">
        <v>109</v>
      </c>
      <c r="I207" s="605"/>
    </row>
    <row r="208" spans="1:9" x14ac:dyDescent="0.25">
      <c r="A208" s="600"/>
      <c r="B208" s="602"/>
      <c r="C208" s="602"/>
      <c r="D208" s="99" t="s">
        <v>110</v>
      </c>
      <c r="E208" s="99" t="s">
        <v>111</v>
      </c>
      <c r="F208" s="99" t="s">
        <v>111</v>
      </c>
      <c r="G208" s="99" t="s">
        <v>112</v>
      </c>
      <c r="H208" s="99" t="s">
        <v>89</v>
      </c>
      <c r="I208" s="605"/>
    </row>
    <row r="209" spans="1:9" x14ac:dyDescent="0.25">
      <c r="A209" s="600"/>
      <c r="B209" s="602"/>
      <c r="C209" s="602"/>
      <c r="D209" s="100" t="s">
        <v>113</v>
      </c>
      <c r="E209" s="100" t="s">
        <v>114</v>
      </c>
      <c r="F209" s="100" t="s">
        <v>113</v>
      </c>
      <c r="G209" s="100" t="s">
        <v>115</v>
      </c>
      <c r="H209" s="100"/>
      <c r="I209" s="605"/>
    </row>
    <row r="210" spans="1:9" x14ac:dyDescent="0.25">
      <c r="A210" s="147">
        <v>1</v>
      </c>
      <c r="B210" s="101" t="s">
        <v>116</v>
      </c>
      <c r="C210" s="148" t="s">
        <v>3609</v>
      </c>
      <c r="D210" s="148">
        <v>4588042</v>
      </c>
      <c r="E210" s="148"/>
      <c r="F210" s="175">
        <v>290000</v>
      </c>
      <c r="G210" s="101"/>
      <c r="H210" s="149">
        <f>930000*2</f>
        <v>1860000</v>
      </c>
      <c r="I210" s="150">
        <f>SUM(D210:H210)</f>
        <v>6738042</v>
      </c>
    </row>
    <row r="211" spans="1:9" x14ac:dyDescent="0.25">
      <c r="A211" s="151"/>
      <c r="B211" s="152"/>
      <c r="C211" s="153"/>
      <c r="D211" s="153"/>
      <c r="E211" s="153"/>
      <c r="F211" s="153"/>
      <c r="G211" s="152"/>
      <c r="H211" s="154"/>
      <c r="I211" s="150">
        <f>SUM(D211:H211)</f>
        <v>0</v>
      </c>
    </row>
    <row r="212" spans="1:9" x14ac:dyDescent="0.25">
      <c r="A212" s="151"/>
      <c r="B212" s="152"/>
      <c r="C212" s="153"/>
      <c r="D212" s="152"/>
      <c r="E212" s="153"/>
      <c r="F212" s="153"/>
      <c r="G212" s="152"/>
      <c r="H212" s="154"/>
      <c r="I212" s="150">
        <f t="shared" ref="I212:I213" si="18">SUM(D212:H212)</f>
        <v>0</v>
      </c>
    </row>
    <row r="213" spans="1:9" x14ac:dyDescent="0.25">
      <c r="A213" s="151"/>
      <c r="B213" s="152"/>
      <c r="C213" s="152"/>
      <c r="D213" s="152"/>
      <c r="E213" s="153"/>
      <c r="F213" s="152"/>
      <c r="G213" s="152"/>
      <c r="H213" s="154"/>
      <c r="I213" s="150">
        <f t="shared" si="18"/>
        <v>0</v>
      </c>
    </row>
    <row r="214" spans="1:9" x14ac:dyDescent="0.25">
      <c r="A214" s="155"/>
      <c r="B214" s="152"/>
      <c r="C214" s="152"/>
      <c r="D214" s="152"/>
      <c r="E214" s="152"/>
      <c r="F214" s="152"/>
      <c r="G214" s="152"/>
      <c r="H214" s="154"/>
      <c r="I214" s="156"/>
    </row>
    <row r="215" spans="1:9" x14ac:dyDescent="0.25">
      <c r="A215" s="157"/>
      <c r="B215" s="158"/>
      <c r="C215" s="158"/>
      <c r="D215" s="158"/>
      <c r="E215" s="158"/>
      <c r="F215" s="158"/>
      <c r="G215" s="158"/>
      <c r="H215" s="159"/>
      <c r="I215" s="160"/>
    </row>
    <row r="216" spans="1:9" ht="15.75" thickBot="1" x14ac:dyDescent="0.3">
      <c r="A216" s="161"/>
      <c r="B216" s="162" t="s">
        <v>15</v>
      </c>
      <c r="C216" s="163"/>
      <c r="D216" s="163">
        <f t="shared" ref="D216" si="19">SUM(D210:D215)</f>
        <v>4588042</v>
      </c>
      <c r="E216" s="163">
        <f>SUM(E210:E215)</f>
        <v>0</v>
      </c>
      <c r="F216" s="163">
        <f>SUM(F210:F215)</f>
        <v>290000</v>
      </c>
      <c r="G216" s="163">
        <f>SUM(G210:G215)</f>
        <v>0</v>
      </c>
      <c r="H216" s="163">
        <f t="shared" ref="H216:I216" si="20">SUM(H210:H215)</f>
        <v>1860000</v>
      </c>
      <c r="I216" s="164">
        <f t="shared" si="20"/>
        <v>6738042</v>
      </c>
    </row>
    <row r="218" spans="1:9" x14ac:dyDescent="0.25">
      <c r="G218" s="98" t="s">
        <v>3610</v>
      </c>
      <c r="H218" s="98"/>
    </row>
    <row r="221" spans="1:9" x14ac:dyDescent="0.25">
      <c r="F221" t="s">
        <v>3360</v>
      </c>
    </row>
    <row r="232" spans="1:9" x14ac:dyDescent="0.25">
      <c r="A232" t="s">
        <v>92</v>
      </c>
    </row>
    <row r="233" spans="1:9" x14ac:dyDescent="0.25">
      <c r="A233" t="s">
        <v>1</v>
      </c>
    </row>
    <row r="236" spans="1:9" x14ac:dyDescent="0.25">
      <c r="A236" s="598" t="s">
        <v>103</v>
      </c>
      <c r="B236" s="598"/>
      <c r="C236" s="598"/>
      <c r="D236" s="598"/>
      <c r="E236" s="598"/>
      <c r="F236" s="598"/>
      <c r="G236" s="598"/>
      <c r="H236" s="598"/>
      <c r="I236" s="598"/>
    </row>
    <row r="237" spans="1:9" x14ac:dyDescent="0.25">
      <c r="A237" s="598" t="s">
        <v>3591</v>
      </c>
      <c r="B237" s="598"/>
      <c r="C237" s="598"/>
      <c r="D237" s="598"/>
      <c r="E237" s="598"/>
      <c r="F237" s="598"/>
      <c r="G237" s="598"/>
      <c r="H237" s="598"/>
      <c r="I237" s="598"/>
    </row>
    <row r="238" spans="1:9" ht="15.75" thickBot="1" x14ac:dyDescent="0.3">
      <c r="I238" t="s">
        <v>3611</v>
      </c>
    </row>
    <row r="239" spans="1:9" x14ac:dyDescent="0.25">
      <c r="A239" s="599" t="s">
        <v>21</v>
      </c>
      <c r="B239" s="601" t="s">
        <v>13</v>
      </c>
      <c r="C239" s="601" t="s">
        <v>91</v>
      </c>
      <c r="D239" s="603" t="s">
        <v>104</v>
      </c>
      <c r="E239" s="603"/>
      <c r="F239" s="603"/>
      <c r="G239" s="603"/>
      <c r="H239" s="603"/>
      <c r="I239" s="604" t="s">
        <v>15</v>
      </c>
    </row>
    <row r="240" spans="1:9" x14ac:dyDescent="0.25">
      <c r="A240" s="600"/>
      <c r="B240" s="602"/>
      <c r="C240" s="602"/>
      <c r="D240" s="102" t="s">
        <v>105</v>
      </c>
      <c r="E240" s="102" t="s">
        <v>106</v>
      </c>
      <c r="F240" s="102" t="s">
        <v>107</v>
      </c>
      <c r="G240" s="102" t="s">
        <v>108</v>
      </c>
      <c r="H240" s="102" t="s">
        <v>109</v>
      </c>
      <c r="I240" s="605"/>
    </row>
    <row r="241" spans="1:9" x14ac:dyDescent="0.25">
      <c r="A241" s="600"/>
      <c r="B241" s="602"/>
      <c r="C241" s="602"/>
      <c r="D241" s="99" t="s">
        <v>110</v>
      </c>
      <c r="E241" s="99" t="s">
        <v>111</v>
      </c>
      <c r="F241" s="99" t="s">
        <v>111</v>
      </c>
      <c r="G241" s="99" t="s">
        <v>112</v>
      </c>
      <c r="H241" s="99" t="s">
        <v>89</v>
      </c>
      <c r="I241" s="605"/>
    </row>
    <row r="242" spans="1:9" x14ac:dyDescent="0.25">
      <c r="A242" s="600"/>
      <c r="B242" s="602"/>
      <c r="C242" s="602"/>
      <c r="D242" s="100" t="s">
        <v>113</v>
      </c>
      <c r="E242" s="100" t="s">
        <v>114</v>
      </c>
      <c r="F242" s="100" t="s">
        <v>113</v>
      </c>
      <c r="G242" s="100" t="s">
        <v>115</v>
      </c>
      <c r="H242" s="100"/>
      <c r="I242" s="605"/>
    </row>
    <row r="243" spans="1:9" x14ac:dyDescent="0.25">
      <c r="A243" s="147">
        <v>1</v>
      </c>
      <c r="B243" s="101" t="s">
        <v>116</v>
      </c>
      <c r="C243" s="148" t="s">
        <v>3612</v>
      </c>
      <c r="D243" s="148">
        <v>9621600</v>
      </c>
      <c r="E243" s="148"/>
      <c r="F243" s="175">
        <v>775000</v>
      </c>
      <c r="G243" s="101"/>
      <c r="H243" s="149">
        <f>2100000*2</f>
        <v>4200000</v>
      </c>
      <c r="I243" s="150">
        <f>SUM(D243:H243)</f>
        <v>14596600</v>
      </c>
    </row>
    <row r="244" spans="1:9" x14ac:dyDescent="0.25">
      <c r="A244" s="151"/>
      <c r="B244" s="152"/>
      <c r="C244" s="153"/>
      <c r="D244" s="153"/>
      <c r="E244" s="153"/>
      <c r="F244" s="153"/>
      <c r="G244" s="152"/>
      <c r="H244" s="154"/>
      <c r="I244" s="150">
        <f>SUM(D244:H244)</f>
        <v>0</v>
      </c>
    </row>
    <row r="245" spans="1:9" x14ac:dyDescent="0.25">
      <c r="A245" s="151"/>
      <c r="B245" s="152"/>
      <c r="C245" s="153"/>
      <c r="D245" s="152"/>
      <c r="E245" s="153"/>
      <c r="F245" s="153"/>
      <c r="G245" s="152"/>
      <c r="H245" s="154"/>
      <c r="I245" s="150">
        <f t="shared" ref="I245:I246" si="21">SUM(D245:H245)</f>
        <v>0</v>
      </c>
    </row>
    <row r="246" spans="1:9" x14ac:dyDescent="0.25">
      <c r="A246" s="151"/>
      <c r="B246" s="152"/>
      <c r="C246" s="152"/>
      <c r="D246" s="152"/>
      <c r="E246" s="153"/>
      <c r="F246" s="152"/>
      <c r="G246" s="152"/>
      <c r="H246" s="154"/>
      <c r="I246" s="150">
        <f t="shared" si="21"/>
        <v>0</v>
      </c>
    </row>
    <row r="247" spans="1:9" x14ac:dyDescent="0.25">
      <c r="A247" s="155"/>
      <c r="B247" s="152"/>
      <c r="C247" s="152"/>
      <c r="D247" s="152"/>
      <c r="E247" s="152"/>
      <c r="F247" s="152"/>
      <c r="G247" s="152"/>
      <c r="H247" s="154"/>
      <c r="I247" s="156"/>
    </row>
    <row r="248" spans="1:9" x14ac:dyDescent="0.25">
      <c r="A248" s="157"/>
      <c r="B248" s="158"/>
      <c r="C248" s="158"/>
      <c r="D248" s="158"/>
      <c r="E248" s="158"/>
      <c r="F248" s="158"/>
      <c r="G248" s="158"/>
      <c r="H248" s="159"/>
      <c r="I248" s="160"/>
    </row>
    <row r="249" spans="1:9" ht="15.75" thickBot="1" x14ac:dyDescent="0.3">
      <c r="A249" s="161"/>
      <c r="B249" s="162" t="s">
        <v>15</v>
      </c>
      <c r="C249" s="163"/>
      <c r="D249" s="163">
        <f t="shared" ref="D249" si="22">SUM(D243:D248)</f>
        <v>9621600</v>
      </c>
      <c r="E249" s="163">
        <f>SUM(E243:E248)</f>
        <v>0</v>
      </c>
      <c r="F249" s="163">
        <f>SUM(F243:F248)</f>
        <v>775000</v>
      </c>
      <c r="G249" s="163">
        <f>SUM(G243:G248)</f>
        <v>0</v>
      </c>
      <c r="H249" s="163">
        <f t="shared" ref="H249:I249" si="23">SUM(H243:H248)</f>
        <v>4200000</v>
      </c>
      <c r="I249" s="164">
        <f t="shared" si="23"/>
        <v>14596600</v>
      </c>
    </row>
    <row r="251" spans="1:9" x14ac:dyDescent="0.25">
      <c r="G251" s="98" t="s">
        <v>3613</v>
      </c>
      <c r="H251" s="98"/>
    </row>
    <row r="265" spans="1:9" x14ac:dyDescent="0.25">
      <c r="A265" t="s">
        <v>92</v>
      </c>
    </row>
    <row r="266" spans="1:9" x14ac:dyDescent="0.25">
      <c r="A266" t="s">
        <v>1</v>
      </c>
    </row>
    <row r="269" spans="1:9" x14ac:dyDescent="0.25">
      <c r="A269" s="598" t="s">
        <v>103</v>
      </c>
      <c r="B269" s="598"/>
      <c r="C269" s="598"/>
      <c r="D269" s="598"/>
      <c r="E269" s="598"/>
      <c r="F269" s="598"/>
      <c r="G269" s="598"/>
      <c r="H269" s="598"/>
      <c r="I269" s="598"/>
    </row>
    <row r="270" spans="1:9" x14ac:dyDescent="0.25">
      <c r="A270" s="598" t="s">
        <v>3591</v>
      </c>
      <c r="B270" s="598"/>
      <c r="C270" s="598"/>
      <c r="D270" s="598"/>
      <c r="E270" s="598"/>
      <c r="F270" s="598"/>
      <c r="G270" s="598"/>
      <c r="H270" s="598"/>
      <c r="I270" s="598"/>
    </row>
    <row r="271" spans="1:9" ht="15.75" thickBot="1" x14ac:dyDescent="0.3">
      <c r="I271" t="s">
        <v>3614</v>
      </c>
    </row>
    <row r="272" spans="1:9" x14ac:dyDescent="0.25">
      <c r="A272" s="599" t="s">
        <v>21</v>
      </c>
      <c r="B272" s="601" t="s">
        <v>13</v>
      </c>
      <c r="C272" s="601" t="s">
        <v>91</v>
      </c>
      <c r="D272" s="603" t="s">
        <v>104</v>
      </c>
      <c r="E272" s="603"/>
      <c r="F272" s="603"/>
      <c r="G272" s="603"/>
      <c r="H272" s="603"/>
      <c r="I272" s="604" t="s">
        <v>15</v>
      </c>
    </row>
    <row r="273" spans="1:9" x14ac:dyDescent="0.25">
      <c r="A273" s="600"/>
      <c r="B273" s="602"/>
      <c r="C273" s="602"/>
      <c r="D273" s="102" t="s">
        <v>105</v>
      </c>
      <c r="E273" s="102" t="s">
        <v>106</v>
      </c>
      <c r="F273" s="102" t="s">
        <v>107</v>
      </c>
      <c r="G273" s="102" t="s">
        <v>108</v>
      </c>
      <c r="H273" s="102" t="s">
        <v>109</v>
      </c>
      <c r="I273" s="605"/>
    </row>
    <row r="274" spans="1:9" x14ac:dyDescent="0.25">
      <c r="A274" s="600"/>
      <c r="B274" s="602"/>
      <c r="C274" s="602"/>
      <c r="D274" s="99" t="s">
        <v>110</v>
      </c>
      <c r="E274" s="99" t="s">
        <v>111</v>
      </c>
      <c r="F274" s="99" t="s">
        <v>111</v>
      </c>
      <c r="G274" s="99" t="s">
        <v>112</v>
      </c>
      <c r="H274" s="99" t="s">
        <v>89</v>
      </c>
      <c r="I274" s="605"/>
    </row>
    <row r="275" spans="1:9" x14ac:dyDescent="0.25">
      <c r="A275" s="600"/>
      <c r="B275" s="602"/>
      <c r="C275" s="602"/>
      <c r="D275" s="100" t="s">
        <v>113</v>
      </c>
      <c r="E275" s="100" t="s">
        <v>114</v>
      </c>
      <c r="F275" s="100" t="s">
        <v>113</v>
      </c>
      <c r="G275" s="100" t="s">
        <v>115</v>
      </c>
      <c r="H275" s="100"/>
      <c r="I275" s="605"/>
    </row>
    <row r="276" spans="1:9" x14ac:dyDescent="0.25">
      <c r="A276" s="147">
        <v>1</v>
      </c>
      <c r="B276" s="101" t="s">
        <v>116</v>
      </c>
      <c r="C276" s="148" t="s">
        <v>3615</v>
      </c>
      <c r="D276" s="148">
        <v>1152711</v>
      </c>
      <c r="E276" s="148"/>
      <c r="F276" s="175">
        <v>115000</v>
      </c>
      <c r="G276" s="101"/>
      <c r="H276" s="149">
        <f>360000*2</f>
        <v>720000</v>
      </c>
      <c r="I276" s="150">
        <f>SUM(D276:H276)</f>
        <v>1987711</v>
      </c>
    </row>
    <row r="277" spans="1:9" x14ac:dyDescent="0.25">
      <c r="A277" s="151"/>
      <c r="B277" s="152"/>
      <c r="C277" s="153"/>
      <c r="D277" s="153"/>
      <c r="E277" s="153"/>
      <c r="F277" s="153"/>
      <c r="G277" s="152"/>
      <c r="H277" s="154"/>
      <c r="I277" s="150">
        <f>SUM(D277:H277)</f>
        <v>0</v>
      </c>
    </row>
    <row r="278" spans="1:9" x14ac:dyDescent="0.25">
      <c r="A278" s="151"/>
      <c r="B278" s="152"/>
      <c r="C278" s="153"/>
      <c r="D278" s="152"/>
      <c r="E278" s="153"/>
      <c r="F278" s="153"/>
      <c r="G278" s="152"/>
      <c r="H278" s="154"/>
      <c r="I278" s="150">
        <f t="shared" ref="I278:I279" si="24">SUM(D278:H278)</f>
        <v>0</v>
      </c>
    </row>
    <row r="279" spans="1:9" x14ac:dyDescent="0.25">
      <c r="A279" s="151"/>
      <c r="B279" s="152"/>
      <c r="C279" s="152"/>
      <c r="D279" s="152"/>
      <c r="E279" s="153"/>
      <c r="F279" s="152"/>
      <c r="G279" s="152"/>
      <c r="H279" s="154"/>
      <c r="I279" s="150">
        <f t="shared" si="24"/>
        <v>0</v>
      </c>
    </row>
    <row r="280" spans="1:9" x14ac:dyDescent="0.25">
      <c r="A280" s="155"/>
      <c r="B280" s="152"/>
      <c r="C280" s="152"/>
      <c r="D280" s="152"/>
      <c r="E280" s="152"/>
      <c r="F280" s="152"/>
      <c r="G280" s="152"/>
      <c r="H280" s="154"/>
      <c r="I280" s="156"/>
    </row>
    <row r="281" spans="1:9" x14ac:dyDescent="0.25">
      <c r="A281" s="157"/>
      <c r="B281" s="158"/>
      <c r="C281" s="158"/>
      <c r="D281" s="158"/>
      <c r="E281" s="158"/>
      <c r="F281" s="158"/>
      <c r="G281" s="158"/>
      <c r="H281" s="159"/>
      <c r="I281" s="160"/>
    </row>
    <row r="282" spans="1:9" ht="15.75" thickBot="1" x14ac:dyDescent="0.3">
      <c r="A282" s="161"/>
      <c r="B282" s="162" t="s">
        <v>15</v>
      </c>
      <c r="C282" s="163"/>
      <c r="D282" s="163">
        <f t="shared" ref="D282" si="25">SUM(D276:D281)</f>
        <v>1152711</v>
      </c>
      <c r="E282" s="163">
        <f>SUM(E276:E281)</f>
        <v>0</v>
      </c>
      <c r="F282" s="163">
        <f>SUM(F276:F281)</f>
        <v>115000</v>
      </c>
      <c r="G282" s="163">
        <f>SUM(G276:G281)</f>
        <v>0</v>
      </c>
      <c r="H282" s="163">
        <f t="shared" ref="H282:I282" si="26">SUM(H276:H281)</f>
        <v>720000</v>
      </c>
      <c r="I282" s="164">
        <f t="shared" si="26"/>
        <v>1987711</v>
      </c>
    </row>
    <row r="284" spans="1:9" x14ac:dyDescent="0.25">
      <c r="G284" s="98" t="s">
        <v>3616</v>
      </c>
      <c r="H284" s="98"/>
    </row>
    <row r="298" spans="1:9" x14ac:dyDescent="0.25">
      <c r="A298" t="s">
        <v>92</v>
      </c>
    </row>
    <row r="299" spans="1:9" x14ac:dyDescent="0.25">
      <c r="A299" t="s">
        <v>1</v>
      </c>
    </row>
    <row r="302" spans="1:9" x14ac:dyDescent="0.25">
      <c r="A302" s="598" t="s">
        <v>103</v>
      </c>
      <c r="B302" s="598"/>
      <c r="C302" s="598"/>
      <c r="D302" s="598"/>
      <c r="E302" s="598"/>
      <c r="F302" s="598"/>
      <c r="G302" s="598"/>
      <c r="H302" s="598"/>
      <c r="I302" s="598"/>
    </row>
    <row r="303" spans="1:9" x14ac:dyDescent="0.25">
      <c r="A303" s="598" t="s">
        <v>3591</v>
      </c>
      <c r="B303" s="598"/>
      <c r="C303" s="598"/>
      <c r="D303" s="598"/>
      <c r="E303" s="598"/>
      <c r="F303" s="598"/>
      <c r="G303" s="598"/>
      <c r="H303" s="598"/>
      <c r="I303" s="598"/>
    </row>
    <row r="304" spans="1:9" ht="15.75" thickBot="1" x14ac:dyDescent="0.3">
      <c r="I304" t="s">
        <v>3617</v>
      </c>
    </row>
    <row r="305" spans="1:9" x14ac:dyDescent="0.25">
      <c r="A305" s="599" t="s">
        <v>21</v>
      </c>
      <c r="B305" s="601" t="s">
        <v>13</v>
      </c>
      <c r="C305" s="601" t="s">
        <v>91</v>
      </c>
      <c r="D305" s="603" t="s">
        <v>104</v>
      </c>
      <c r="E305" s="603"/>
      <c r="F305" s="603"/>
      <c r="G305" s="603"/>
      <c r="H305" s="603"/>
      <c r="I305" s="604" t="s">
        <v>15</v>
      </c>
    </row>
    <row r="306" spans="1:9" x14ac:dyDescent="0.25">
      <c r="A306" s="600"/>
      <c r="B306" s="602"/>
      <c r="C306" s="602"/>
      <c r="D306" s="102" t="s">
        <v>105</v>
      </c>
      <c r="E306" s="102" t="s">
        <v>106</v>
      </c>
      <c r="F306" s="102" t="s">
        <v>107</v>
      </c>
      <c r="G306" s="102" t="s">
        <v>108</v>
      </c>
      <c r="H306" s="102" t="s">
        <v>109</v>
      </c>
      <c r="I306" s="605"/>
    </row>
    <row r="307" spans="1:9" x14ac:dyDescent="0.25">
      <c r="A307" s="600"/>
      <c r="B307" s="602"/>
      <c r="C307" s="602"/>
      <c r="D307" s="99" t="s">
        <v>110</v>
      </c>
      <c r="E307" s="99" t="s">
        <v>111</v>
      </c>
      <c r="F307" s="99" t="s">
        <v>111</v>
      </c>
      <c r="G307" s="99" t="s">
        <v>112</v>
      </c>
      <c r="H307" s="99" t="s">
        <v>89</v>
      </c>
      <c r="I307" s="605"/>
    </row>
    <row r="308" spans="1:9" x14ac:dyDescent="0.25">
      <c r="A308" s="600"/>
      <c r="B308" s="602"/>
      <c r="C308" s="602"/>
      <c r="D308" s="100" t="s">
        <v>113</v>
      </c>
      <c r="E308" s="100" t="s">
        <v>114</v>
      </c>
      <c r="F308" s="100" t="s">
        <v>113</v>
      </c>
      <c r="G308" s="100" t="s">
        <v>115</v>
      </c>
      <c r="H308" s="100"/>
      <c r="I308" s="605"/>
    </row>
    <row r="309" spans="1:9" x14ac:dyDescent="0.25">
      <c r="A309" s="147">
        <v>1</v>
      </c>
      <c r="B309" s="101" t="s">
        <v>116</v>
      </c>
      <c r="C309" s="148" t="s">
        <v>3618</v>
      </c>
      <c r="D309" s="148">
        <v>468958</v>
      </c>
      <c r="E309" s="148"/>
      <c r="F309" s="175">
        <v>10000</v>
      </c>
      <c r="G309" s="101"/>
      <c r="H309" s="149">
        <f>140000</f>
        <v>140000</v>
      </c>
      <c r="I309" s="150">
        <f>SUM(D309:H309)</f>
        <v>618958</v>
      </c>
    </row>
    <row r="310" spans="1:9" x14ac:dyDescent="0.25">
      <c r="A310" s="151"/>
      <c r="B310" s="152"/>
      <c r="C310" s="153"/>
      <c r="D310" s="153"/>
      <c r="E310" s="153"/>
      <c r="F310" s="153"/>
      <c r="G310" s="152"/>
      <c r="H310" s="154"/>
      <c r="I310" s="150">
        <f>SUM(D310:H310)</f>
        <v>0</v>
      </c>
    </row>
    <row r="311" spans="1:9" x14ac:dyDescent="0.25">
      <c r="A311" s="151"/>
      <c r="B311" s="152"/>
      <c r="C311" s="153"/>
      <c r="D311" s="152"/>
      <c r="E311" s="153"/>
      <c r="F311" s="153"/>
      <c r="G311" s="152"/>
      <c r="H311" s="154"/>
      <c r="I311" s="150">
        <f t="shared" ref="I311:I312" si="27">SUM(D311:H311)</f>
        <v>0</v>
      </c>
    </row>
    <row r="312" spans="1:9" x14ac:dyDescent="0.25">
      <c r="A312" s="151"/>
      <c r="B312" s="152"/>
      <c r="C312" s="152"/>
      <c r="D312" s="152"/>
      <c r="E312" s="153"/>
      <c r="F312" s="152"/>
      <c r="G312" s="152"/>
      <c r="H312" s="154"/>
      <c r="I312" s="150">
        <f t="shared" si="27"/>
        <v>0</v>
      </c>
    </row>
    <row r="313" spans="1:9" x14ac:dyDescent="0.25">
      <c r="A313" s="155"/>
      <c r="B313" s="152"/>
      <c r="C313" s="152"/>
      <c r="D313" s="152"/>
      <c r="E313" s="152"/>
      <c r="F313" s="152"/>
      <c r="G313" s="152"/>
      <c r="H313" s="154"/>
      <c r="I313" s="156"/>
    </row>
    <row r="314" spans="1:9" x14ac:dyDescent="0.25">
      <c r="A314" s="157"/>
      <c r="B314" s="158"/>
      <c r="C314" s="158"/>
      <c r="D314" s="158"/>
      <c r="E314" s="158"/>
      <c r="F314" s="158"/>
      <c r="G314" s="158"/>
      <c r="H314" s="159"/>
      <c r="I314" s="160"/>
    </row>
    <row r="315" spans="1:9" ht="15.75" thickBot="1" x14ac:dyDescent="0.3">
      <c r="A315" s="161"/>
      <c r="B315" s="162" t="s">
        <v>15</v>
      </c>
      <c r="C315" s="163"/>
      <c r="D315" s="163">
        <f t="shared" ref="D315" si="28">SUM(D309:D314)</f>
        <v>468958</v>
      </c>
      <c r="E315" s="163">
        <f>SUM(E309:E314)</f>
        <v>0</v>
      </c>
      <c r="F315" s="163">
        <f>SUM(F309:F314)</f>
        <v>10000</v>
      </c>
      <c r="G315" s="163">
        <f>SUM(G309:G314)</f>
        <v>0</v>
      </c>
      <c r="H315" s="163">
        <f t="shared" ref="H315:I315" si="29">SUM(H309:H314)</f>
        <v>140000</v>
      </c>
      <c r="I315" s="164">
        <f t="shared" si="29"/>
        <v>618958</v>
      </c>
    </row>
    <row r="317" spans="1:9" x14ac:dyDescent="0.25">
      <c r="G317" s="98" t="s">
        <v>3619</v>
      </c>
      <c r="H317" s="98"/>
    </row>
    <row r="331" spans="1:9" x14ac:dyDescent="0.25">
      <c r="A331" t="s">
        <v>92</v>
      </c>
    </row>
    <row r="332" spans="1:9" x14ac:dyDescent="0.25">
      <c r="A332" t="s">
        <v>1</v>
      </c>
    </row>
    <row r="335" spans="1:9" x14ac:dyDescent="0.25">
      <c r="A335" s="598" t="s">
        <v>103</v>
      </c>
      <c r="B335" s="598"/>
      <c r="C335" s="598"/>
      <c r="D335" s="598"/>
      <c r="E335" s="598"/>
      <c r="F335" s="598"/>
      <c r="G335" s="598"/>
      <c r="H335" s="598"/>
      <c r="I335" s="598"/>
    </row>
    <row r="336" spans="1:9" x14ac:dyDescent="0.25">
      <c r="A336" s="598" t="s">
        <v>3591</v>
      </c>
      <c r="B336" s="598"/>
      <c r="C336" s="598"/>
      <c r="D336" s="598"/>
      <c r="E336" s="598"/>
      <c r="F336" s="598"/>
      <c r="G336" s="598"/>
      <c r="H336" s="598"/>
      <c r="I336" s="598"/>
    </row>
    <row r="337" spans="1:9" ht="15.75" thickBot="1" x14ac:dyDescent="0.3">
      <c r="I337" t="s">
        <v>3621</v>
      </c>
    </row>
    <row r="338" spans="1:9" x14ac:dyDescent="0.25">
      <c r="A338" s="599" t="s">
        <v>21</v>
      </c>
      <c r="B338" s="601" t="s">
        <v>13</v>
      </c>
      <c r="C338" s="601" t="s">
        <v>91</v>
      </c>
      <c r="D338" s="603" t="s">
        <v>104</v>
      </c>
      <c r="E338" s="603"/>
      <c r="F338" s="603"/>
      <c r="G338" s="603"/>
      <c r="H338" s="603"/>
      <c r="I338" s="604" t="s">
        <v>15</v>
      </c>
    </row>
    <row r="339" spans="1:9" x14ac:dyDescent="0.25">
      <c r="A339" s="600"/>
      <c r="B339" s="602"/>
      <c r="C339" s="602"/>
      <c r="D339" s="102" t="s">
        <v>105</v>
      </c>
      <c r="E339" s="102" t="s">
        <v>106</v>
      </c>
      <c r="F339" s="102" t="s">
        <v>107</v>
      </c>
      <c r="G339" s="102" t="s">
        <v>108</v>
      </c>
      <c r="H339" s="102" t="s">
        <v>109</v>
      </c>
      <c r="I339" s="605"/>
    </row>
    <row r="340" spans="1:9" x14ac:dyDescent="0.25">
      <c r="A340" s="600"/>
      <c r="B340" s="602"/>
      <c r="C340" s="602"/>
      <c r="D340" s="99" t="s">
        <v>110</v>
      </c>
      <c r="E340" s="99" t="s">
        <v>111</v>
      </c>
      <c r="F340" s="99" t="s">
        <v>111</v>
      </c>
      <c r="G340" s="99" t="s">
        <v>112</v>
      </c>
      <c r="H340" s="99" t="s">
        <v>89</v>
      </c>
      <c r="I340" s="605"/>
    </row>
    <row r="341" spans="1:9" x14ac:dyDescent="0.25">
      <c r="A341" s="600"/>
      <c r="B341" s="602"/>
      <c r="C341" s="602"/>
      <c r="D341" s="100" t="s">
        <v>113</v>
      </c>
      <c r="E341" s="100" t="s">
        <v>114</v>
      </c>
      <c r="F341" s="100" t="s">
        <v>113</v>
      </c>
      <c r="G341" s="100" t="s">
        <v>115</v>
      </c>
      <c r="H341" s="100"/>
      <c r="I341" s="605"/>
    </row>
    <row r="342" spans="1:9" x14ac:dyDescent="0.25">
      <c r="A342" s="147">
        <v>1</v>
      </c>
      <c r="B342" s="101" t="s">
        <v>116</v>
      </c>
      <c r="C342" s="148" t="s">
        <v>3620</v>
      </c>
      <c r="D342" s="148">
        <v>15712977</v>
      </c>
      <c r="E342" s="148"/>
      <c r="F342" s="175">
        <v>670000</v>
      </c>
      <c r="G342" s="101"/>
      <c r="H342" s="149">
        <f>2370000*2</f>
        <v>4740000</v>
      </c>
      <c r="I342" s="150">
        <f>SUM(D342:H342)</f>
        <v>21122977</v>
      </c>
    </row>
    <row r="343" spans="1:9" x14ac:dyDescent="0.25">
      <c r="A343" s="151"/>
      <c r="B343" s="152"/>
      <c r="C343" s="153"/>
      <c r="D343" s="153"/>
      <c r="E343" s="153"/>
      <c r="F343" s="153"/>
      <c r="G343" s="152"/>
      <c r="H343" s="154"/>
      <c r="I343" s="150">
        <f>SUM(D343:H343)</f>
        <v>0</v>
      </c>
    </row>
    <row r="344" spans="1:9" x14ac:dyDescent="0.25">
      <c r="A344" s="151"/>
      <c r="B344" s="152"/>
      <c r="C344" s="153"/>
      <c r="D344" s="152"/>
      <c r="E344" s="153"/>
      <c r="F344" s="153"/>
      <c r="G344" s="152"/>
      <c r="H344" s="154"/>
      <c r="I344" s="150">
        <f t="shared" ref="I344:I345" si="30">SUM(D344:H344)</f>
        <v>0</v>
      </c>
    </row>
    <row r="345" spans="1:9" x14ac:dyDescent="0.25">
      <c r="A345" s="151"/>
      <c r="B345" s="152"/>
      <c r="C345" s="152"/>
      <c r="D345" s="152"/>
      <c r="E345" s="153"/>
      <c r="F345" s="152"/>
      <c r="G345" s="152"/>
      <c r="H345" s="154"/>
      <c r="I345" s="150">
        <f t="shared" si="30"/>
        <v>0</v>
      </c>
    </row>
    <row r="346" spans="1:9" x14ac:dyDescent="0.25">
      <c r="A346" s="155"/>
      <c r="B346" s="152"/>
      <c r="C346" s="152"/>
      <c r="D346" s="152"/>
      <c r="E346" s="152"/>
      <c r="F346" s="152"/>
      <c r="G346" s="152"/>
      <c r="H346" s="154"/>
      <c r="I346" s="156"/>
    </row>
    <row r="347" spans="1:9" x14ac:dyDescent="0.25">
      <c r="A347" s="157"/>
      <c r="B347" s="158"/>
      <c r="C347" s="158"/>
      <c r="D347" s="158"/>
      <c r="E347" s="158"/>
      <c r="F347" s="158"/>
      <c r="G347" s="158"/>
      <c r="H347" s="159"/>
      <c r="I347" s="160"/>
    </row>
    <row r="348" spans="1:9" ht="15.75" thickBot="1" x14ac:dyDescent="0.3">
      <c r="A348" s="161"/>
      <c r="B348" s="162" t="s">
        <v>15</v>
      </c>
      <c r="C348" s="163"/>
      <c r="D348" s="163">
        <f t="shared" ref="D348" si="31">SUM(D342:D347)</f>
        <v>15712977</v>
      </c>
      <c r="E348" s="163">
        <f>SUM(E342:E347)</f>
        <v>0</v>
      </c>
      <c r="F348" s="163">
        <f>SUM(F342:F347)</f>
        <v>670000</v>
      </c>
      <c r="G348" s="163">
        <f>SUM(G342:G347)</f>
        <v>0</v>
      </c>
      <c r="H348" s="163">
        <f t="shared" ref="H348:I348" si="32">SUM(H342:H347)</f>
        <v>4740000</v>
      </c>
      <c r="I348" s="164">
        <f t="shared" si="32"/>
        <v>21122977</v>
      </c>
    </row>
    <row r="350" spans="1:9" x14ac:dyDescent="0.25">
      <c r="G350" s="98" t="s">
        <v>3622</v>
      </c>
      <c r="H350" s="98"/>
    </row>
    <row r="364" spans="1:9" x14ac:dyDescent="0.25">
      <c r="A364" t="s">
        <v>92</v>
      </c>
    </row>
    <row r="365" spans="1:9" x14ac:dyDescent="0.25">
      <c r="A365" t="s">
        <v>1</v>
      </c>
    </row>
    <row r="368" spans="1:9" x14ac:dyDescent="0.25">
      <c r="A368" s="598" t="s">
        <v>103</v>
      </c>
      <c r="B368" s="598"/>
      <c r="C368" s="598"/>
      <c r="D368" s="598"/>
      <c r="E368" s="598"/>
      <c r="F368" s="598"/>
      <c r="G368" s="598"/>
      <c r="H368" s="598"/>
      <c r="I368" s="598"/>
    </row>
    <row r="369" spans="1:9" x14ac:dyDescent="0.25">
      <c r="A369" s="598" t="s">
        <v>3591</v>
      </c>
      <c r="B369" s="598"/>
      <c r="C369" s="598"/>
      <c r="D369" s="598"/>
      <c r="E369" s="598"/>
      <c r="F369" s="598"/>
      <c r="G369" s="598"/>
      <c r="H369" s="598"/>
      <c r="I369" s="598"/>
    </row>
    <row r="370" spans="1:9" ht="15.75" thickBot="1" x14ac:dyDescent="0.3">
      <c r="I370" t="s">
        <v>3623</v>
      </c>
    </row>
    <row r="371" spans="1:9" x14ac:dyDescent="0.25">
      <c r="A371" s="599" t="s">
        <v>21</v>
      </c>
      <c r="B371" s="601" t="s">
        <v>13</v>
      </c>
      <c r="C371" s="601" t="s">
        <v>91</v>
      </c>
      <c r="D371" s="603" t="s">
        <v>104</v>
      </c>
      <c r="E371" s="603"/>
      <c r="F371" s="603"/>
      <c r="G371" s="603"/>
      <c r="H371" s="603"/>
      <c r="I371" s="604" t="s">
        <v>15</v>
      </c>
    </row>
    <row r="372" spans="1:9" x14ac:dyDescent="0.25">
      <c r="A372" s="600"/>
      <c r="B372" s="602"/>
      <c r="C372" s="602"/>
      <c r="D372" s="102" t="s">
        <v>105</v>
      </c>
      <c r="E372" s="102" t="s">
        <v>106</v>
      </c>
      <c r="F372" s="102" t="s">
        <v>107</v>
      </c>
      <c r="G372" s="102" t="s">
        <v>108</v>
      </c>
      <c r="H372" s="102" t="s">
        <v>109</v>
      </c>
      <c r="I372" s="605"/>
    </row>
    <row r="373" spans="1:9" x14ac:dyDescent="0.25">
      <c r="A373" s="600"/>
      <c r="B373" s="602"/>
      <c r="C373" s="602"/>
      <c r="D373" s="99" t="s">
        <v>110</v>
      </c>
      <c r="E373" s="99" t="s">
        <v>111</v>
      </c>
      <c r="F373" s="99" t="s">
        <v>111</v>
      </c>
      <c r="G373" s="99" t="s">
        <v>112</v>
      </c>
      <c r="H373" s="99" t="s">
        <v>89</v>
      </c>
      <c r="I373" s="605"/>
    </row>
    <row r="374" spans="1:9" x14ac:dyDescent="0.25">
      <c r="A374" s="600"/>
      <c r="B374" s="602"/>
      <c r="C374" s="602"/>
      <c r="D374" s="100" t="s">
        <v>113</v>
      </c>
      <c r="E374" s="100" t="s">
        <v>114</v>
      </c>
      <c r="F374" s="100" t="s">
        <v>113</v>
      </c>
      <c r="G374" s="100" t="s">
        <v>115</v>
      </c>
      <c r="H374" s="100"/>
      <c r="I374" s="605"/>
    </row>
    <row r="375" spans="1:9" x14ac:dyDescent="0.25">
      <c r="A375" s="147">
        <v>1</v>
      </c>
      <c r="B375" s="101" t="s">
        <v>116</v>
      </c>
      <c r="C375" s="148" t="s">
        <v>3624</v>
      </c>
      <c r="D375" s="148">
        <v>12706668</v>
      </c>
      <c r="E375" s="148"/>
      <c r="F375" s="175">
        <v>815000</v>
      </c>
      <c r="G375" s="101"/>
      <c r="H375" s="149">
        <f>2340000*2</f>
        <v>4680000</v>
      </c>
      <c r="I375" s="150">
        <f>SUM(D375:H375)</f>
        <v>18201668</v>
      </c>
    </row>
    <row r="376" spans="1:9" x14ac:dyDescent="0.25">
      <c r="A376" s="151">
        <v>2</v>
      </c>
      <c r="B376" s="152" t="s">
        <v>3631</v>
      </c>
      <c r="C376" s="153" t="str">
        <f>BPTRNA!E60</f>
        <v>BPTRNA/02/I/2021</v>
      </c>
      <c r="D376" s="153"/>
      <c r="E376" s="153">
        <f>BPTRNA!E70</f>
        <v>16625000</v>
      </c>
      <c r="F376" s="153"/>
      <c r="G376" s="152"/>
      <c r="H376" s="154"/>
      <c r="I376" s="150">
        <f>SUM(D376:H376)</f>
        <v>16625000</v>
      </c>
    </row>
    <row r="377" spans="1:9" x14ac:dyDescent="0.25">
      <c r="A377" s="151"/>
      <c r="B377" s="152"/>
      <c r="C377" s="153"/>
      <c r="D377" s="152"/>
      <c r="E377" s="153"/>
      <c r="F377" s="153"/>
      <c r="G377" s="152"/>
      <c r="H377" s="154"/>
      <c r="I377" s="150">
        <f t="shared" ref="I377:I378" si="33">SUM(D377:H377)</f>
        <v>0</v>
      </c>
    </row>
    <row r="378" spans="1:9" x14ac:dyDescent="0.25">
      <c r="A378" s="151"/>
      <c r="B378" s="152"/>
      <c r="C378" s="152"/>
      <c r="D378" s="152"/>
      <c r="E378" s="153"/>
      <c r="F378" s="152"/>
      <c r="G378" s="152"/>
      <c r="H378" s="154"/>
      <c r="I378" s="150">
        <f t="shared" si="33"/>
        <v>0</v>
      </c>
    </row>
    <row r="379" spans="1:9" x14ac:dyDescent="0.25">
      <c r="A379" s="155"/>
      <c r="B379" s="152"/>
      <c r="C379" s="152"/>
      <c r="D379" s="152"/>
      <c r="E379" s="152"/>
      <c r="F379" s="152"/>
      <c r="G379" s="152"/>
      <c r="H379" s="154"/>
      <c r="I379" s="156"/>
    </row>
    <row r="380" spans="1:9" x14ac:dyDescent="0.25">
      <c r="A380" s="157"/>
      <c r="B380" s="158"/>
      <c r="C380" s="158"/>
      <c r="D380" s="158"/>
      <c r="E380" s="158"/>
      <c r="F380" s="158"/>
      <c r="G380" s="158"/>
      <c r="H380" s="159"/>
      <c r="I380" s="160"/>
    </row>
    <row r="381" spans="1:9" ht="15.75" thickBot="1" x14ac:dyDescent="0.3">
      <c r="A381" s="161"/>
      <c r="B381" s="162" t="s">
        <v>15</v>
      </c>
      <c r="C381" s="163"/>
      <c r="D381" s="163">
        <f t="shared" ref="D381" si="34">SUM(D375:D380)</f>
        <v>12706668</v>
      </c>
      <c r="E381" s="163">
        <f>SUM(E375:E380)</f>
        <v>16625000</v>
      </c>
      <c r="F381" s="163">
        <f>SUM(F375:F380)</f>
        <v>815000</v>
      </c>
      <c r="G381" s="163">
        <f>SUM(G375:G380)</f>
        <v>0</v>
      </c>
      <c r="H381" s="163">
        <f t="shared" ref="H381:I381" si="35">SUM(H375:H380)</f>
        <v>4680000</v>
      </c>
      <c r="I381" s="164">
        <f t="shared" si="35"/>
        <v>34826668</v>
      </c>
    </row>
    <row r="383" spans="1:9" x14ac:dyDescent="0.25">
      <c r="G383" s="98" t="s">
        <v>3625</v>
      </c>
      <c r="H383" s="98"/>
    </row>
    <row r="397" spans="1:1" x14ac:dyDescent="0.25">
      <c r="A397" t="s">
        <v>92</v>
      </c>
    </row>
    <row r="398" spans="1:1" x14ac:dyDescent="0.25">
      <c r="A398" t="s">
        <v>1</v>
      </c>
    </row>
    <row r="401" spans="1:9" x14ac:dyDescent="0.25">
      <c r="A401" s="598" t="s">
        <v>103</v>
      </c>
      <c r="B401" s="598"/>
      <c r="C401" s="598"/>
      <c r="D401" s="598"/>
      <c r="E401" s="598"/>
      <c r="F401" s="598"/>
      <c r="G401" s="598"/>
      <c r="H401" s="598"/>
      <c r="I401" s="598"/>
    </row>
    <row r="402" spans="1:9" x14ac:dyDescent="0.25">
      <c r="A402" s="598" t="s">
        <v>3591</v>
      </c>
      <c r="B402" s="598"/>
      <c r="C402" s="598"/>
      <c r="D402" s="598"/>
      <c r="E402" s="598"/>
      <c r="F402" s="598"/>
      <c r="G402" s="598"/>
      <c r="H402" s="598"/>
      <c r="I402" s="598"/>
    </row>
    <row r="403" spans="1:9" ht="15.75" thickBot="1" x14ac:dyDescent="0.3">
      <c r="I403" t="s">
        <v>3626</v>
      </c>
    </row>
    <row r="404" spans="1:9" x14ac:dyDescent="0.25">
      <c r="A404" s="599" t="s">
        <v>21</v>
      </c>
      <c r="B404" s="601" t="s">
        <v>13</v>
      </c>
      <c r="C404" s="601" t="s">
        <v>91</v>
      </c>
      <c r="D404" s="603" t="s">
        <v>104</v>
      </c>
      <c r="E404" s="603"/>
      <c r="F404" s="603"/>
      <c r="G404" s="603"/>
      <c r="H404" s="603"/>
      <c r="I404" s="604" t="s">
        <v>15</v>
      </c>
    </row>
    <row r="405" spans="1:9" x14ac:dyDescent="0.25">
      <c r="A405" s="600"/>
      <c r="B405" s="602"/>
      <c r="C405" s="602"/>
      <c r="D405" s="102" t="s">
        <v>105</v>
      </c>
      <c r="E405" s="102" t="s">
        <v>106</v>
      </c>
      <c r="F405" s="102" t="s">
        <v>107</v>
      </c>
      <c r="G405" s="102" t="s">
        <v>108</v>
      </c>
      <c r="H405" s="102" t="s">
        <v>109</v>
      </c>
      <c r="I405" s="605"/>
    </row>
    <row r="406" spans="1:9" x14ac:dyDescent="0.25">
      <c r="A406" s="600"/>
      <c r="B406" s="602"/>
      <c r="C406" s="602"/>
      <c r="D406" s="99" t="s">
        <v>110</v>
      </c>
      <c r="E406" s="99" t="s">
        <v>111</v>
      </c>
      <c r="F406" s="99" t="s">
        <v>111</v>
      </c>
      <c r="G406" s="99" t="s">
        <v>112</v>
      </c>
      <c r="H406" s="99" t="s">
        <v>89</v>
      </c>
      <c r="I406" s="605"/>
    </row>
    <row r="407" spans="1:9" x14ac:dyDescent="0.25">
      <c r="A407" s="600"/>
      <c r="B407" s="602"/>
      <c r="C407" s="602"/>
      <c r="D407" s="100" t="s">
        <v>113</v>
      </c>
      <c r="E407" s="100" t="s">
        <v>114</v>
      </c>
      <c r="F407" s="100" t="s">
        <v>113</v>
      </c>
      <c r="G407" s="100" t="s">
        <v>115</v>
      </c>
      <c r="H407" s="100"/>
      <c r="I407" s="605"/>
    </row>
    <row r="408" spans="1:9" x14ac:dyDescent="0.25">
      <c r="A408" s="147">
        <v>1</v>
      </c>
      <c r="B408" s="101" t="s">
        <v>116</v>
      </c>
      <c r="C408" s="148" t="s">
        <v>3627</v>
      </c>
      <c r="D408" s="148">
        <v>9182636</v>
      </c>
      <c r="E408" s="148"/>
      <c r="F408" s="175">
        <v>670000</v>
      </c>
      <c r="G408" s="101"/>
      <c r="H408" s="149">
        <f>1590000*2</f>
        <v>3180000</v>
      </c>
      <c r="I408" s="150">
        <f>SUM(D408:H408)</f>
        <v>13032636</v>
      </c>
    </row>
    <row r="409" spans="1:9" x14ac:dyDescent="0.25">
      <c r="A409" s="151"/>
      <c r="B409" s="152"/>
      <c r="C409" s="153"/>
      <c r="D409" s="153"/>
      <c r="E409" s="153"/>
      <c r="F409" s="153"/>
      <c r="G409" s="152"/>
      <c r="H409" s="154"/>
      <c r="I409" s="150">
        <f>SUM(D409:H409)</f>
        <v>0</v>
      </c>
    </row>
    <row r="410" spans="1:9" x14ac:dyDescent="0.25">
      <c r="A410" s="151"/>
      <c r="B410" s="152"/>
      <c r="C410" s="153"/>
      <c r="D410" s="152"/>
      <c r="E410" s="153"/>
      <c r="F410" s="153"/>
      <c r="G410" s="152"/>
      <c r="H410" s="154"/>
      <c r="I410" s="150">
        <f t="shared" ref="I410:I411" si="36">SUM(D410:H410)</f>
        <v>0</v>
      </c>
    </row>
    <row r="411" spans="1:9" x14ac:dyDescent="0.25">
      <c r="A411" s="151"/>
      <c r="B411" s="152"/>
      <c r="C411" s="152"/>
      <c r="D411" s="152"/>
      <c r="E411" s="153"/>
      <c r="F411" s="152"/>
      <c r="G411" s="152"/>
      <c r="H411" s="154"/>
      <c r="I411" s="150">
        <f t="shared" si="36"/>
        <v>0</v>
      </c>
    </row>
    <row r="412" spans="1:9" x14ac:dyDescent="0.25">
      <c r="A412" s="155"/>
      <c r="B412" s="152"/>
      <c r="C412" s="152"/>
      <c r="D412" s="152"/>
      <c r="E412" s="152"/>
      <c r="F412" s="152"/>
      <c r="G412" s="152"/>
      <c r="H412" s="154"/>
      <c r="I412" s="156"/>
    </row>
    <row r="413" spans="1:9" x14ac:dyDescent="0.25">
      <c r="A413" s="157"/>
      <c r="B413" s="158"/>
      <c r="C413" s="158"/>
      <c r="D413" s="158"/>
      <c r="E413" s="158"/>
      <c r="F413" s="158"/>
      <c r="G413" s="158"/>
      <c r="H413" s="159"/>
      <c r="I413" s="160"/>
    </row>
    <row r="414" spans="1:9" ht="15.75" thickBot="1" x14ac:dyDescent="0.3">
      <c r="A414" s="161"/>
      <c r="B414" s="162" t="s">
        <v>15</v>
      </c>
      <c r="C414" s="163"/>
      <c r="D414" s="163">
        <f t="shared" ref="D414" si="37">SUM(D408:D413)</f>
        <v>9182636</v>
      </c>
      <c r="E414" s="163">
        <f>SUM(E408:E413)</f>
        <v>0</v>
      </c>
      <c r="F414" s="163">
        <f>SUM(F408:F413)</f>
        <v>670000</v>
      </c>
      <c r="G414" s="163">
        <f>SUM(G408:G413)</f>
        <v>0</v>
      </c>
      <c r="H414" s="163">
        <f t="shared" ref="H414:I414" si="38">SUM(H408:H413)</f>
        <v>3180000</v>
      </c>
      <c r="I414" s="164">
        <f t="shared" si="38"/>
        <v>13032636</v>
      </c>
    </row>
    <row r="416" spans="1:9" x14ac:dyDescent="0.25">
      <c r="G416" s="98" t="s">
        <v>3628</v>
      </c>
      <c r="H416" s="98"/>
    </row>
    <row r="430" spans="1:1" x14ac:dyDescent="0.25">
      <c r="A430" t="s">
        <v>92</v>
      </c>
    </row>
    <row r="431" spans="1:1" x14ac:dyDescent="0.25">
      <c r="A431" t="s">
        <v>1</v>
      </c>
    </row>
    <row r="434" spans="1:9" x14ac:dyDescent="0.25">
      <c r="A434" s="598" t="s">
        <v>103</v>
      </c>
      <c r="B434" s="598"/>
      <c r="C434" s="598"/>
      <c r="D434" s="598"/>
      <c r="E434" s="598"/>
      <c r="F434" s="598"/>
      <c r="G434" s="598"/>
      <c r="H434" s="598"/>
      <c r="I434" s="598"/>
    </row>
    <row r="435" spans="1:9" x14ac:dyDescent="0.25">
      <c r="A435" s="598" t="s">
        <v>3591</v>
      </c>
      <c r="B435" s="598"/>
      <c r="C435" s="598"/>
      <c r="D435" s="598"/>
      <c r="E435" s="598"/>
      <c r="F435" s="598"/>
      <c r="G435" s="598"/>
      <c r="H435" s="598"/>
      <c r="I435" s="598"/>
    </row>
    <row r="436" spans="1:9" ht="15.75" thickBot="1" x14ac:dyDescent="0.3">
      <c r="I436" t="s">
        <v>3632</v>
      </c>
    </row>
    <row r="437" spans="1:9" x14ac:dyDescent="0.25">
      <c r="A437" s="599" t="s">
        <v>21</v>
      </c>
      <c r="B437" s="601" t="s">
        <v>13</v>
      </c>
      <c r="C437" s="601" t="s">
        <v>91</v>
      </c>
      <c r="D437" s="603" t="s">
        <v>104</v>
      </c>
      <c r="E437" s="603"/>
      <c r="F437" s="603"/>
      <c r="G437" s="603"/>
      <c r="H437" s="603"/>
      <c r="I437" s="604" t="s">
        <v>15</v>
      </c>
    </row>
    <row r="438" spans="1:9" x14ac:dyDescent="0.25">
      <c r="A438" s="600"/>
      <c r="B438" s="602"/>
      <c r="C438" s="602"/>
      <c r="D438" s="102" t="s">
        <v>105</v>
      </c>
      <c r="E438" s="102" t="s">
        <v>106</v>
      </c>
      <c r="F438" s="102" t="s">
        <v>107</v>
      </c>
      <c r="G438" s="102" t="s">
        <v>108</v>
      </c>
      <c r="H438" s="102" t="s">
        <v>109</v>
      </c>
      <c r="I438" s="605"/>
    </row>
    <row r="439" spans="1:9" x14ac:dyDescent="0.25">
      <c r="A439" s="600"/>
      <c r="B439" s="602"/>
      <c r="C439" s="602"/>
      <c r="D439" s="99" t="s">
        <v>110</v>
      </c>
      <c r="E439" s="99" t="s">
        <v>111</v>
      </c>
      <c r="F439" s="99" t="s">
        <v>111</v>
      </c>
      <c r="G439" s="99" t="s">
        <v>112</v>
      </c>
      <c r="H439" s="99" t="s">
        <v>89</v>
      </c>
      <c r="I439" s="605"/>
    </row>
    <row r="440" spans="1:9" x14ac:dyDescent="0.25">
      <c r="A440" s="600"/>
      <c r="B440" s="602"/>
      <c r="C440" s="602"/>
      <c r="D440" s="100" t="s">
        <v>113</v>
      </c>
      <c r="E440" s="100" t="s">
        <v>114</v>
      </c>
      <c r="F440" s="100" t="s">
        <v>113</v>
      </c>
      <c r="G440" s="100" t="s">
        <v>115</v>
      </c>
      <c r="H440" s="100"/>
      <c r="I440" s="605"/>
    </row>
    <row r="441" spans="1:9" x14ac:dyDescent="0.25">
      <c r="A441" s="147">
        <v>1</v>
      </c>
      <c r="B441" s="101" t="s">
        <v>116</v>
      </c>
      <c r="C441" s="148" t="s">
        <v>3633</v>
      </c>
      <c r="D441" s="148">
        <v>2474794</v>
      </c>
      <c r="E441" s="148"/>
      <c r="F441" s="175">
        <v>260000</v>
      </c>
      <c r="G441" s="101"/>
      <c r="H441" s="149">
        <f>550000*2</f>
        <v>1100000</v>
      </c>
      <c r="I441" s="150">
        <f>SUM(D441:H441)</f>
        <v>3834794</v>
      </c>
    </row>
    <row r="442" spans="1:9" x14ac:dyDescent="0.25">
      <c r="A442" s="151">
        <v>2</v>
      </c>
      <c r="B442" s="152" t="s">
        <v>3648</v>
      </c>
      <c r="C442" s="153" t="str">
        <f>BPTRNA!E113</f>
        <v>BPTRNA/03/I/2021</v>
      </c>
      <c r="D442" s="153"/>
      <c r="E442" s="153">
        <f>BPTRNA!E123</f>
        <v>100000</v>
      </c>
      <c r="F442" s="153"/>
      <c r="G442" s="152"/>
      <c r="H442" s="154"/>
      <c r="I442" s="150">
        <f>SUM(D442:H442)</f>
        <v>100000</v>
      </c>
    </row>
    <row r="443" spans="1:9" x14ac:dyDescent="0.25">
      <c r="A443" s="151"/>
      <c r="B443" s="152"/>
      <c r="C443" s="153"/>
      <c r="D443" s="152"/>
      <c r="E443" s="153"/>
      <c r="F443" s="153"/>
      <c r="G443" s="152"/>
      <c r="H443" s="154"/>
      <c r="I443" s="150">
        <f t="shared" ref="I443:I444" si="39">SUM(D443:H443)</f>
        <v>0</v>
      </c>
    </row>
    <row r="444" spans="1:9" x14ac:dyDescent="0.25">
      <c r="A444" s="151"/>
      <c r="B444" s="152"/>
      <c r="C444" s="152"/>
      <c r="D444" s="152"/>
      <c r="E444" s="153"/>
      <c r="F444" s="152"/>
      <c r="G444" s="152"/>
      <c r="H444" s="154"/>
      <c r="I444" s="150">
        <f t="shared" si="39"/>
        <v>0</v>
      </c>
    </row>
    <row r="445" spans="1:9" x14ac:dyDescent="0.25">
      <c r="A445" s="155"/>
      <c r="B445" s="152"/>
      <c r="C445" s="152"/>
      <c r="D445" s="152"/>
      <c r="E445" s="152"/>
      <c r="F445" s="152"/>
      <c r="G445" s="152"/>
      <c r="H445" s="154"/>
      <c r="I445" s="156"/>
    </row>
    <row r="446" spans="1:9" x14ac:dyDescent="0.25">
      <c r="A446" s="157"/>
      <c r="B446" s="158"/>
      <c r="C446" s="158"/>
      <c r="D446" s="158"/>
      <c r="E446" s="158"/>
      <c r="F446" s="158"/>
      <c r="G446" s="158"/>
      <c r="H446" s="159"/>
      <c r="I446" s="160"/>
    </row>
    <row r="447" spans="1:9" ht="15.75" thickBot="1" x14ac:dyDescent="0.3">
      <c r="A447" s="161"/>
      <c r="B447" s="162" t="s">
        <v>15</v>
      </c>
      <c r="C447" s="163"/>
      <c r="D447" s="163">
        <f t="shared" ref="D447" si="40">SUM(D441:D446)</f>
        <v>2474794</v>
      </c>
      <c r="E447" s="163">
        <f>SUM(E441:E446)</f>
        <v>100000</v>
      </c>
      <c r="F447" s="163">
        <f>SUM(F441:F446)</f>
        <v>260000</v>
      </c>
      <c r="G447" s="163">
        <f>SUM(G441:G446)</f>
        <v>0</v>
      </c>
      <c r="H447" s="163">
        <f t="shared" ref="H447:I447" si="41">SUM(H441:H446)</f>
        <v>1100000</v>
      </c>
      <c r="I447" s="164">
        <f t="shared" si="41"/>
        <v>3934794</v>
      </c>
    </row>
    <row r="449" spans="1:8" x14ac:dyDescent="0.25">
      <c r="G449" s="98" t="s">
        <v>3634</v>
      </c>
      <c r="H449" s="98"/>
    </row>
    <row r="463" spans="1:8" x14ac:dyDescent="0.25">
      <c r="A463" t="s">
        <v>92</v>
      </c>
    </row>
    <row r="464" spans="1:8" x14ac:dyDescent="0.25">
      <c r="A464" t="s">
        <v>1</v>
      </c>
    </row>
    <row r="467" spans="1:9" x14ac:dyDescent="0.25">
      <c r="A467" s="598" t="s">
        <v>103</v>
      </c>
      <c r="B467" s="598"/>
      <c r="C467" s="598"/>
      <c r="D467" s="598"/>
      <c r="E467" s="598"/>
      <c r="F467" s="598"/>
      <c r="G467" s="598"/>
      <c r="H467" s="598"/>
      <c r="I467" s="598"/>
    </row>
    <row r="468" spans="1:9" x14ac:dyDescent="0.25">
      <c r="A468" s="598" t="s">
        <v>3591</v>
      </c>
      <c r="B468" s="598"/>
      <c r="C468" s="598"/>
      <c r="D468" s="598"/>
      <c r="E468" s="598"/>
      <c r="F468" s="598"/>
      <c r="G468" s="598"/>
      <c r="H468" s="598"/>
      <c r="I468" s="598"/>
    </row>
    <row r="469" spans="1:9" ht="15.75" thickBot="1" x14ac:dyDescent="0.3">
      <c r="I469" t="s">
        <v>3635</v>
      </c>
    </row>
    <row r="470" spans="1:9" x14ac:dyDescent="0.25">
      <c r="A470" s="599" t="s">
        <v>21</v>
      </c>
      <c r="B470" s="601" t="s">
        <v>13</v>
      </c>
      <c r="C470" s="601" t="s">
        <v>91</v>
      </c>
      <c r="D470" s="603" t="s">
        <v>104</v>
      </c>
      <c r="E470" s="603"/>
      <c r="F470" s="603"/>
      <c r="G470" s="603"/>
      <c r="H470" s="603"/>
      <c r="I470" s="604" t="s">
        <v>15</v>
      </c>
    </row>
    <row r="471" spans="1:9" x14ac:dyDescent="0.25">
      <c r="A471" s="600"/>
      <c r="B471" s="602"/>
      <c r="C471" s="602"/>
      <c r="D471" s="102" t="s">
        <v>105</v>
      </c>
      <c r="E471" s="102" t="s">
        <v>106</v>
      </c>
      <c r="F471" s="102" t="s">
        <v>107</v>
      </c>
      <c r="G471" s="102" t="s">
        <v>108</v>
      </c>
      <c r="H471" s="102" t="s">
        <v>109</v>
      </c>
      <c r="I471" s="605"/>
    </row>
    <row r="472" spans="1:9" x14ac:dyDescent="0.25">
      <c r="A472" s="600"/>
      <c r="B472" s="602"/>
      <c r="C472" s="602"/>
      <c r="D472" s="99" t="s">
        <v>110</v>
      </c>
      <c r="E472" s="99" t="s">
        <v>111</v>
      </c>
      <c r="F472" s="99" t="s">
        <v>111</v>
      </c>
      <c r="G472" s="99" t="s">
        <v>112</v>
      </c>
      <c r="H472" s="99" t="s">
        <v>89</v>
      </c>
      <c r="I472" s="605"/>
    </row>
    <row r="473" spans="1:9" x14ac:dyDescent="0.25">
      <c r="A473" s="600"/>
      <c r="B473" s="602"/>
      <c r="C473" s="602"/>
      <c r="D473" s="100" t="s">
        <v>113</v>
      </c>
      <c r="E473" s="100" t="s">
        <v>114</v>
      </c>
      <c r="F473" s="100" t="s">
        <v>113</v>
      </c>
      <c r="G473" s="100" t="s">
        <v>115</v>
      </c>
      <c r="H473" s="100"/>
      <c r="I473" s="605"/>
    </row>
    <row r="474" spans="1:9" x14ac:dyDescent="0.25">
      <c r="A474" s="147">
        <v>1</v>
      </c>
      <c r="B474" s="101" t="s">
        <v>116</v>
      </c>
      <c r="C474" s="148" t="s">
        <v>3636</v>
      </c>
      <c r="D474" s="148">
        <v>5687475</v>
      </c>
      <c r="E474" s="148"/>
      <c r="F474" s="175">
        <v>315000</v>
      </c>
      <c r="G474" s="101"/>
      <c r="H474" s="149">
        <f>1100000*2</f>
        <v>2200000</v>
      </c>
      <c r="I474" s="150">
        <f>SUM(D474:H474)</f>
        <v>8202475</v>
      </c>
    </row>
    <row r="475" spans="1:9" x14ac:dyDescent="0.25">
      <c r="A475" s="151"/>
      <c r="B475" s="152"/>
      <c r="C475" s="153"/>
      <c r="D475" s="153"/>
      <c r="E475" s="153"/>
      <c r="F475" s="153"/>
      <c r="G475" s="152"/>
      <c r="H475" s="154"/>
      <c r="I475" s="150">
        <f>SUM(D475:H475)</f>
        <v>0</v>
      </c>
    </row>
    <row r="476" spans="1:9" x14ac:dyDescent="0.25">
      <c r="A476" s="151"/>
      <c r="B476" s="152"/>
      <c r="C476" s="153"/>
      <c r="D476" s="152"/>
      <c r="E476" s="153"/>
      <c r="F476" s="153"/>
      <c r="G476" s="152"/>
      <c r="H476" s="154"/>
      <c r="I476" s="150">
        <f t="shared" ref="I476:I477" si="42">SUM(D476:H476)</f>
        <v>0</v>
      </c>
    </row>
    <row r="477" spans="1:9" x14ac:dyDescent="0.25">
      <c r="A477" s="151"/>
      <c r="B477" s="152"/>
      <c r="C477" s="152"/>
      <c r="D477" s="152"/>
      <c r="E477" s="153"/>
      <c r="F477" s="152"/>
      <c r="G477" s="152"/>
      <c r="H477" s="154"/>
      <c r="I477" s="150">
        <f t="shared" si="42"/>
        <v>0</v>
      </c>
    </row>
    <row r="478" spans="1:9" x14ac:dyDescent="0.25">
      <c r="A478" s="155"/>
      <c r="B478" s="152"/>
      <c r="C478" s="152"/>
      <c r="D478" s="152"/>
      <c r="E478" s="152"/>
      <c r="F478" s="152"/>
      <c r="G478" s="152"/>
      <c r="H478" s="154"/>
      <c r="I478" s="156"/>
    </row>
    <row r="479" spans="1:9" x14ac:dyDescent="0.25">
      <c r="A479" s="157"/>
      <c r="B479" s="158"/>
      <c r="C479" s="158"/>
      <c r="D479" s="158"/>
      <c r="E479" s="158"/>
      <c r="F479" s="158"/>
      <c r="G479" s="158"/>
      <c r="H479" s="159"/>
      <c r="I479" s="160"/>
    </row>
    <row r="480" spans="1:9" ht="15.75" thickBot="1" x14ac:dyDescent="0.3">
      <c r="A480" s="161"/>
      <c r="B480" s="162" t="s">
        <v>15</v>
      </c>
      <c r="C480" s="163"/>
      <c r="D480" s="163">
        <f t="shared" ref="D480" si="43">SUM(D474:D479)</f>
        <v>5687475</v>
      </c>
      <c r="E480" s="163">
        <f>SUM(E474:E479)</f>
        <v>0</v>
      </c>
      <c r="F480" s="163">
        <f>SUM(F474:F479)</f>
        <v>315000</v>
      </c>
      <c r="G480" s="163">
        <f>SUM(G474:G479)</f>
        <v>0</v>
      </c>
      <c r="H480" s="163">
        <f t="shared" ref="H480:I480" si="44">SUM(H474:H479)</f>
        <v>2200000</v>
      </c>
      <c r="I480" s="164">
        <f t="shared" si="44"/>
        <v>8202475</v>
      </c>
    </row>
    <row r="482" spans="1:8" x14ac:dyDescent="0.25">
      <c r="G482" s="98" t="s">
        <v>3637</v>
      </c>
      <c r="H482" s="98"/>
    </row>
    <row r="496" spans="1:8" x14ac:dyDescent="0.25">
      <c r="A496" t="s">
        <v>92</v>
      </c>
    </row>
    <row r="497" spans="1:9" x14ac:dyDescent="0.25">
      <c r="A497" t="s">
        <v>1</v>
      </c>
    </row>
    <row r="500" spans="1:9" x14ac:dyDescent="0.25">
      <c r="A500" s="598" t="s">
        <v>103</v>
      </c>
      <c r="B500" s="598"/>
      <c r="C500" s="598"/>
      <c r="D500" s="598"/>
      <c r="E500" s="598"/>
      <c r="F500" s="598"/>
      <c r="G500" s="598"/>
      <c r="H500" s="598"/>
      <c r="I500" s="598"/>
    </row>
    <row r="501" spans="1:9" x14ac:dyDescent="0.25">
      <c r="A501" s="598" t="s">
        <v>3591</v>
      </c>
      <c r="B501" s="598"/>
      <c r="C501" s="598"/>
      <c r="D501" s="598"/>
      <c r="E501" s="598"/>
      <c r="F501" s="598"/>
      <c r="G501" s="598"/>
      <c r="H501" s="598"/>
      <c r="I501" s="598"/>
    </row>
    <row r="502" spans="1:9" ht="15.75" thickBot="1" x14ac:dyDescent="0.3">
      <c r="I502" t="s">
        <v>3638</v>
      </c>
    </row>
    <row r="503" spans="1:9" x14ac:dyDescent="0.25">
      <c r="A503" s="599" t="s">
        <v>21</v>
      </c>
      <c r="B503" s="601" t="s">
        <v>13</v>
      </c>
      <c r="C503" s="601" t="s">
        <v>91</v>
      </c>
      <c r="D503" s="603" t="s">
        <v>104</v>
      </c>
      <c r="E503" s="603"/>
      <c r="F503" s="603"/>
      <c r="G503" s="603"/>
      <c r="H503" s="603"/>
      <c r="I503" s="604" t="s">
        <v>15</v>
      </c>
    </row>
    <row r="504" spans="1:9" x14ac:dyDescent="0.25">
      <c r="A504" s="600"/>
      <c r="B504" s="602"/>
      <c r="C504" s="602"/>
      <c r="D504" s="102" t="s">
        <v>105</v>
      </c>
      <c r="E504" s="102" t="s">
        <v>106</v>
      </c>
      <c r="F504" s="102" t="s">
        <v>107</v>
      </c>
      <c r="G504" s="102" t="s">
        <v>108</v>
      </c>
      <c r="H504" s="102" t="s">
        <v>109</v>
      </c>
      <c r="I504" s="605"/>
    </row>
    <row r="505" spans="1:9" x14ac:dyDescent="0.25">
      <c r="A505" s="600"/>
      <c r="B505" s="602"/>
      <c r="C505" s="602"/>
      <c r="D505" s="99" t="s">
        <v>110</v>
      </c>
      <c r="E505" s="99" t="s">
        <v>111</v>
      </c>
      <c r="F505" s="99" t="s">
        <v>111</v>
      </c>
      <c r="G505" s="99" t="s">
        <v>112</v>
      </c>
      <c r="H505" s="99" t="s">
        <v>89</v>
      </c>
      <c r="I505" s="605"/>
    </row>
    <row r="506" spans="1:9" x14ac:dyDescent="0.25">
      <c r="A506" s="600"/>
      <c r="B506" s="602"/>
      <c r="C506" s="602"/>
      <c r="D506" s="100" t="s">
        <v>113</v>
      </c>
      <c r="E506" s="100" t="s">
        <v>114</v>
      </c>
      <c r="F506" s="100" t="s">
        <v>113</v>
      </c>
      <c r="G506" s="100" t="s">
        <v>115</v>
      </c>
      <c r="H506" s="100"/>
      <c r="I506" s="605"/>
    </row>
    <row r="507" spans="1:9" x14ac:dyDescent="0.25">
      <c r="A507" s="147">
        <v>1</v>
      </c>
      <c r="B507" s="101" t="s">
        <v>116</v>
      </c>
      <c r="C507" s="148" t="s">
        <v>3639</v>
      </c>
      <c r="D507" s="148">
        <v>1104894</v>
      </c>
      <c r="E507" s="148"/>
      <c r="F507" s="175">
        <v>60000</v>
      </c>
      <c r="G507" s="101"/>
      <c r="H507" s="149">
        <f>660000</f>
        <v>660000</v>
      </c>
      <c r="I507" s="150">
        <f>SUM(D507:H507)</f>
        <v>1824894</v>
      </c>
    </row>
    <row r="508" spans="1:9" x14ac:dyDescent="0.25">
      <c r="A508" s="151"/>
      <c r="B508" s="152"/>
      <c r="C508" s="153"/>
      <c r="D508" s="153"/>
      <c r="E508" s="153"/>
      <c r="F508" s="153"/>
      <c r="G508" s="152"/>
      <c r="H508" s="154"/>
      <c r="I508" s="150">
        <f>SUM(D508:H508)</f>
        <v>0</v>
      </c>
    </row>
    <row r="509" spans="1:9" x14ac:dyDescent="0.25">
      <c r="A509" s="151"/>
      <c r="B509" s="152"/>
      <c r="C509" s="153"/>
      <c r="D509" s="152"/>
      <c r="E509" s="153"/>
      <c r="F509" s="153"/>
      <c r="G509" s="152"/>
      <c r="H509" s="154"/>
      <c r="I509" s="150">
        <f t="shared" ref="I509:I510" si="45">SUM(D509:H509)</f>
        <v>0</v>
      </c>
    </row>
    <row r="510" spans="1:9" x14ac:dyDescent="0.25">
      <c r="A510" s="151"/>
      <c r="B510" s="152"/>
      <c r="C510" s="152"/>
      <c r="D510" s="152"/>
      <c r="E510" s="153"/>
      <c r="F510" s="152"/>
      <c r="G510" s="152"/>
      <c r="H510" s="154"/>
      <c r="I510" s="150">
        <f t="shared" si="45"/>
        <v>0</v>
      </c>
    </row>
    <row r="511" spans="1:9" x14ac:dyDescent="0.25">
      <c r="A511" s="155"/>
      <c r="B511" s="152"/>
      <c r="C511" s="152"/>
      <c r="D511" s="152"/>
      <c r="E511" s="152"/>
      <c r="F511" s="152"/>
      <c r="G511" s="152"/>
      <c r="H511" s="154"/>
      <c r="I511" s="156"/>
    </row>
    <row r="512" spans="1:9" x14ac:dyDescent="0.25">
      <c r="A512" s="157"/>
      <c r="B512" s="158"/>
      <c r="C512" s="158"/>
      <c r="D512" s="158"/>
      <c r="E512" s="158"/>
      <c r="F512" s="158"/>
      <c r="G512" s="158"/>
      <c r="H512" s="159"/>
      <c r="I512" s="160"/>
    </row>
    <row r="513" spans="1:9" ht="15.75" thickBot="1" x14ac:dyDescent="0.3">
      <c r="A513" s="161"/>
      <c r="B513" s="162" t="s">
        <v>15</v>
      </c>
      <c r="C513" s="163"/>
      <c r="D513" s="163">
        <f t="shared" ref="D513" si="46">SUM(D507:D512)</f>
        <v>1104894</v>
      </c>
      <c r="E513" s="163">
        <f>SUM(E507:E512)</f>
        <v>0</v>
      </c>
      <c r="F513" s="163">
        <f>SUM(F507:F512)</f>
        <v>60000</v>
      </c>
      <c r="G513" s="163">
        <f>SUM(G507:G512)</f>
        <v>0</v>
      </c>
      <c r="H513" s="163">
        <f t="shared" ref="H513:I513" si="47">SUM(H507:H512)</f>
        <v>660000</v>
      </c>
      <c r="I513" s="164">
        <f t="shared" si="47"/>
        <v>1824894</v>
      </c>
    </row>
    <row r="515" spans="1:9" x14ac:dyDescent="0.25">
      <c r="G515" s="98" t="s">
        <v>3640</v>
      </c>
      <c r="H515" s="98"/>
    </row>
    <row r="529" spans="1:9" x14ac:dyDescent="0.25">
      <c r="A529" t="s">
        <v>92</v>
      </c>
    </row>
    <row r="530" spans="1:9" x14ac:dyDescent="0.25">
      <c r="A530" t="s">
        <v>1</v>
      </c>
    </row>
    <row r="533" spans="1:9" x14ac:dyDescent="0.25">
      <c r="A533" s="598" t="s">
        <v>103</v>
      </c>
      <c r="B533" s="598"/>
      <c r="C533" s="598"/>
      <c r="D533" s="598"/>
      <c r="E533" s="598"/>
      <c r="F533" s="598"/>
      <c r="G533" s="598"/>
      <c r="H533" s="598"/>
      <c r="I533" s="598"/>
    </row>
    <row r="534" spans="1:9" x14ac:dyDescent="0.25">
      <c r="A534" s="598" t="s">
        <v>3591</v>
      </c>
      <c r="B534" s="598"/>
      <c r="C534" s="598"/>
      <c r="D534" s="598"/>
      <c r="E534" s="598"/>
      <c r="F534" s="598"/>
      <c r="G534" s="598"/>
      <c r="H534" s="598"/>
      <c r="I534" s="598"/>
    </row>
    <row r="535" spans="1:9" ht="15.75" thickBot="1" x14ac:dyDescent="0.3">
      <c r="I535" t="s">
        <v>3641</v>
      </c>
    </row>
    <row r="536" spans="1:9" x14ac:dyDescent="0.25">
      <c r="A536" s="599" t="s">
        <v>21</v>
      </c>
      <c r="B536" s="601" t="s">
        <v>13</v>
      </c>
      <c r="C536" s="601" t="s">
        <v>91</v>
      </c>
      <c r="D536" s="603" t="s">
        <v>104</v>
      </c>
      <c r="E536" s="603"/>
      <c r="F536" s="603"/>
      <c r="G536" s="603"/>
      <c r="H536" s="603"/>
      <c r="I536" s="604" t="s">
        <v>15</v>
      </c>
    </row>
    <row r="537" spans="1:9" x14ac:dyDescent="0.25">
      <c r="A537" s="600"/>
      <c r="B537" s="602"/>
      <c r="C537" s="602"/>
      <c r="D537" s="102" t="s">
        <v>105</v>
      </c>
      <c r="E537" s="102" t="s">
        <v>106</v>
      </c>
      <c r="F537" s="102" t="s">
        <v>107</v>
      </c>
      <c r="G537" s="102" t="s">
        <v>108</v>
      </c>
      <c r="H537" s="102" t="s">
        <v>109</v>
      </c>
      <c r="I537" s="605"/>
    </row>
    <row r="538" spans="1:9" x14ac:dyDescent="0.25">
      <c r="A538" s="600"/>
      <c r="B538" s="602"/>
      <c r="C538" s="602"/>
      <c r="D538" s="99" t="s">
        <v>110</v>
      </c>
      <c r="E538" s="99" t="s">
        <v>111</v>
      </c>
      <c r="F538" s="99" t="s">
        <v>111</v>
      </c>
      <c r="G538" s="99" t="s">
        <v>112</v>
      </c>
      <c r="H538" s="99" t="s">
        <v>89</v>
      </c>
      <c r="I538" s="605"/>
    </row>
    <row r="539" spans="1:9" x14ac:dyDescent="0.25">
      <c r="A539" s="600"/>
      <c r="B539" s="602"/>
      <c r="C539" s="602"/>
      <c r="D539" s="100" t="s">
        <v>113</v>
      </c>
      <c r="E539" s="100" t="s">
        <v>114</v>
      </c>
      <c r="F539" s="100" t="s">
        <v>113</v>
      </c>
      <c r="G539" s="100" t="s">
        <v>115</v>
      </c>
      <c r="H539" s="100"/>
      <c r="I539" s="605"/>
    </row>
    <row r="540" spans="1:9" x14ac:dyDescent="0.25">
      <c r="A540" s="147">
        <v>1</v>
      </c>
      <c r="B540" s="101" t="s">
        <v>116</v>
      </c>
      <c r="C540" s="148" t="s">
        <v>3642</v>
      </c>
      <c r="D540" s="148">
        <v>325536</v>
      </c>
      <c r="E540" s="148"/>
      <c r="F540" s="175">
        <v>65000</v>
      </c>
      <c r="G540" s="101"/>
      <c r="H540" s="149">
        <f>240000</f>
        <v>240000</v>
      </c>
      <c r="I540" s="150">
        <f>SUM(D540:H540)</f>
        <v>630536</v>
      </c>
    </row>
    <row r="541" spans="1:9" x14ac:dyDescent="0.25">
      <c r="A541" s="151"/>
      <c r="B541" s="152"/>
      <c r="C541" s="153"/>
      <c r="D541" s="153"/>
      <c r="E541" s="153"/>
      <c r="F541" s="153"/>
      <c r="G541" s="152"/>
      <c r="H541" s="154"/>
      <c r="I541" s="150">
        <f>SUM(D541:H541)</f>
        <v>0</v>
      </c>
    </row>
    <row r="542" spans="1:9" x14ac:dyDescent="0.25">
      <c r="A542" s="151"/>
      <c r="B542" s="152"/>
      <c r="C542" s="153"/>
      <c r="D542" s="152"/>
      <c r="E542" s="153"/>
      <c r="F542" s="153"/>
      <c r="G542" s="152"/>
      <c r="H542" s="154"/>
      <c r="I542" s="150">
        <f t="shared" ref="I542:I543" si="48">SUM(D542:H542)</f>
        <v>0</v>
      </c>
    </row>
    <row r="543" spans="1:9" x14ac:dyDescent="0.25">
      <c r="A543" s="151"/>
      <c r="B543" s="152"/>
      <c r="C543" s="152"/>
      <c r="D543" s="152"/>
      <c r="E543" s="153"/>
      <c r="F543" s="152"/>
      <c r="G543" s="152"/>
      <c r="H543" s="154"/>
      <c r="I543" s="150">
        <f t="shared" si="48"/>
        <v>0</v>
      </c>
    </row>
    <row r="544" spans="1:9" x14ac:dyDescent="0.25">
      <c r="A544" s="155"/>
      <c r="B544" s="152"/>
      <c r="C544" s="152"/>
      <c r="D544" s="152"/>
      <c r="E544" s="152"/>
      <c r="F544" s="152"/>
      <c r="G544" s="152"/>
      <c r="H544" s="154"/>
      <c r="I544" s="156"/>
    </row>
    <row r="545" spans="1:9" x14ac:dyDescent="0.25">
      <c r="A545" s="157"/>
      <c r="B545" s="158"/>
      <c r="C545" s="158"/>
      <c r="D545" s="158"/>
      <c r="E545" s="158"/>
      <c r="F545" s="158"/>
      <c r="G545" s="158"/>
      <c r="H545" s="159"/>
      <c r="I545" s="160"/>
    </row>
    <row r="546" spans="1:9" ht="15.75" thickBot="1" x14ac:dyDescent="0.3">
      <c r="A546" s="161"/>
      <c r="B546" s="162" t="s">
        <v>15</v>
      </c>
      <c r="C546" s="163"/>
      <c r="D546" s="163">
        <f t="shared" ref="D546" si="49">SUM(D540:D545)</f>
        <v>325536</v>
      </c>
      <c r="E546" s="163">
        <f>SUM(E540:E545)</f>
        <v>0</v>
      </c>
      <c r="F546" s="163">
        <f>SUM(F540:F545)</f>
        <v>65000</v>
      </c>
      <c r="G546" s="163">
        <f>SUM(G540:G545)</f>
        <v>0</v>
      </c>
      <c r="H546" s="163">
        <f t="shared" ref="H546:I546" si="50">SUM(H540:H545)</f>
        <v>240000</v>
      </c>
      <c r="I546" s="164">
        <f t="shared" si="50"/>
        <v>630536</v>
      </c>
    </row>
    <row r="548" spans="1:9" x14ac:dyDescent="0.25">
      <c r="G548" s="98" t="s">
        <v>3643</v>
      </c>
      <c r="H548" s="98"/>
    </row>
    <row r="562" spans="1:9" x14ac:dyDescent="0.25">
      <c r="A562" t="s">
        <v>92</v>
      </c>
    </row>
    <row r="563" spans="1:9" x14ac:dyDescent="0.25">
      <c r="A563" t="s">
        <v>1</v>
      </c>
    </row>
    <row r="566" spans="1:9" x14ac:dyDescent="0.25">
      <c r="A566" s="598" t="s">
        <v>103</v>
      </c>
      <c r="B566" s="598"/>
      <c r="C566" s="598"/>
      <c r="D566" s="598"/>
      <c r="E566" s="598"/>
      <c r="F566" s="598"/>
      <c r="G566" s="598"/>
      <c r="H566" s="598"/>
      <c r="I566" s="598"/>
    </row>
    <row r="567" spans="1:9" x14ac:dyDescent="0.25">
      <c r="A567" s="598" t="s">
        <v>3591</v>
      </c>
      <c r="B567" s="598"/>
      <c r="C567" s="598"/>
      <c r="D567" s="598"/>
      <c r="E567" s="598"/>
      <c r="F567" s="598"/>
      <c r="G567" s="598"/>
      <c r="H567" s="598"/>
      <c r="I567" s="598"/>
    </row>
    <row r="568" spans="1:9" ht="15.75" thickBot="1" x14ac:dyDescent="0.3">
      <c r="I568" t="s">
        <v>3644</v>
      </c>
    </row>
    <row r="569" spans="1:9" x14ac:dyDescent="0.25">
      <c r="A569" s="599" t="s">
        <v>21</v>
      </c>
      <c r="B569" s="601" t="s">
        <v>13</v>
      </c>
      <c r="C569" s="601" t="s">
        <v>91</v>
      </c>
      <c r="D569" s="603" t="s">
        <v>104</v>
      </c>
      <c r="E569" s="603"/>
      <c r="F569" s="603"/>
      <c r="G569" s="603"/>
      <c r="H569" s="603"/>
      <c r="I569" s="604" t="s">
        <v>15</v>
      </c>
    </row>
    <row r="570" spans="1:9" x14ac:dyDescent="0.25">
      <c r="A570" s="600"/>
      <c r="B570" s="602"/>
      <c r="C570" s="602"/>
      <c r="D570" s="102" t="s">
        <v>105</v>
      </c>
      <c r="E570" s="102" t="s">
        <v>106</v>
      </c>
      <c r="F570" s="102" t="s">
        <v>107</v>
      </c>
      <c r="G570" s="102" t="s">
        <v>108</v>
      </c>
      <c r="H570" s="102" t="s">
        <v>109</v>
      </c>
      <c r="I570" s="605"/>
    </row>
    <row r="571" spans="1:9" x14ac:dyDescent="0.25">
      <c r="A571" s="600"/>
      <c r="B571" s="602"/>
      <c r="C571" s="602"/>
      <c r="D571" s="99" t="s">
        <v>110</v>
      </c>
      <c r="E571" s="99" t="s">
        <v>111</v>
      </c>
      <c r="F571" s="99" t="s">
        <v>111</v>
      </c>
      <c r="G571" s="99" t="s">
        <v>112</v>
      </c>
      <c r="H571" s="99" t="s">
        <v>89</v>
      </c>
      <c r="I571" s="605"/>
    </row>
    <row r="572" spans="1:9" x14ac:dyDescent="0.25">
      <c r="A572" s="600"/>
      <c r="B572" s="602"/>
      <c r="C572" s="602"/>
      <c r="D572" s="100" t="s">
        <v>113</v>
      </c>
      <c r="E572" s="100" t="s">
        <v>114</v>
      </c>
      <c r="F572" s="100" t="s">
        <v>113</v>
      </c>
      <c r="G572" s="100" t="s">
        <v>115</v>
      </c>
      <c r="H572" s="100"/>
      <c r="I572" s="605"/>
    </row>
    <row r="573" spans="1:9" x14ac:dyDescent="0.25">
      <c r="A573" s="147">
        <v>1</v>
      </c>
      <c r="B573" s="101" t="s">
        <v>116</v>
      </c>
      <c r="C573" s="148" t="s">
        <v>3645</v>
      </c>
      <c r="D573" s="148">
        <v>22065813</v>
      </c>
      <c r="E573" s="148"/>
      <c r="F573" s="175">
        <v>890000</v>
      </c>
      <c r="G573" s="101"/>
      <c r="H573" s="149">
        <f>4150000*2</f>
        <v>8300000</v>
      </c>
      <c r="I573" s="150">
        <f>SUM(D573:H573)</f>
        <v>31255813</v>
      </c>
    </row>
    <row r="574" spans="1:9" x14ac:dyDescent="0.25">
      <c r="A574" s="151"/>
      <c r="B574" s="152"/>
      <c r="C574" s="153"/>
      <c r="D574" s="153"/>
      <c r="E574" s="153"/>
      <c r="F574" s="153"/>
      <c r="G574" s="152"/>
      <c r="H574" s="154"/>
      <c r="I574" s="150">
        <f>SUM(D574:H574)</f>
        <v>0</v>
      </c>
    </row>
    <row r="575" spans="1:9" x14ac:dyDescent="0.25">
      <c r="A575" s="151"/>
      <c r="B575" s="152"/>
      <c r="C575" s="153"/>
      <c r="D575" s="152"/>
      <c r="E575" s="153"/>
      <c r="F575" s="153"/>
      <c r="G575" s="152"/>
      <c r="H575" s="154"/>
      <c r="I575" s="150">
        <f t="shared" ref="I575:I576" si="51">SUM(D575:H575)</f>
        <v>0</v>
      </c>
    </row>
    <row r="576" spans="1:9" x14ac:dyDescent="0.25">
      <c r="A576" s="151"/>
      <c r="B576" s="152"/>
      <c r="C576" s="152"/>
      <c r="D576" s="152"/>
      <c r="E576" s="153"/>
      <c r="F576" s="152"/>
      <c r="G576" s="152"/>
      <c r="H576" s="154"/>
      <c r="I576" s="150">
        <f t="shared" si="51"/>
        <v>0</v>
      </c>
    </row>
    <row r="577" spans="1:9" x14ac:dyDescent="0.25">
      <c r="A577" s="155"/>
      <c r="B577" s="152"/>
      <c r="C577" s="152"/>
      <c r="D577" s="152"/>
      <c r="E577" s="152"/>
      <c r="F577" s="152"/>
      <c r="G577" s="152"/>
      <c r="H577" s="154"/>
      <c r="I577" s="156"/>
    </row>
    <row r="578" spans="1:9" x14ac:dyDescent="0.25">
      <c r="A578" s="157"/>
      <c r="B578" s="158"/>
      <c r="C578" s="158"/>
      <c r="D578" s="158"/>
      <c r="E578" s="158"/>
      <c r="F578" s="158"/>
      <c r="G578" s="158"/>
      <c r="H578" s="159"/>
      <c r="I578" s="160"/>
    </row>
    <row r="579" spans="1:9" ht="15.75" thickBot="1" x14ac:dyDescent="0.3">
      <c r="A579" s="161"/>
      <c r="B579" s="162" t="s">
        <v>15</v>
      </c>
      <c r="C579" s="163"/>
      <c r="D579" s="163">
        <f t="shared" ref="D579" si="52">SUM(D573:D578)</f>
        <v>22065813</v>
      </c>
      <c r="E579" s="163">
        <f>SUM(E573:E578)</f>
        <v>0</v>
      </c>
      <c r="F579" s="163">
        <f>SUM(F573:F578)</f>
        <v>890000</v>
      </c>
      <c r="G579" s="163">
        <f>SUM(G573:G578)</f>
        <v>0</v>
      </c>
      <c r="H579" s="163">
        <f t="shared" ref="H579:I579" si="53">SUM(H573:H578)</f>
        <v>8300000</v>
      </c>
      <c r="I579" s="164">
        <f t="shared" si="53"/>
        <v>31255813</v>
      </c>
    </row>
    <row r="581" spans="1:9" x14ac:dyDescent="0.25">
      <c r="G581" s="98" t="s">
        <v>3646</v>
      </c>
      <c r="H581" s="98"/>
    </row>
    <row r="595" spans="1:9" x14ac:dyDescent="0.25">
      <c r="A595" t="s">
        <v>92</v>
      </c>
    </row>
    <row r="596" spans="1:9" x14ac:dyDescent="0.25">
      <c r="A596" t="s">
        <v>1</v>
      </c>
    </row>
    <row r="599" spans="1:9" x14ac:dyDescent="0.25">
      <c r="A599" s="598" t="s">
        <v>103</v>
      </c>
      <c r="B599" s="598"/>
      <c r="C599" s="598"/>
      <c r="D599" s="598"/>
      <c r="E599" s="598"/>
      <c r="F599" s="598"/>
      <c r="G599" s="598"/>
      <c r="H599" s="598"/>
      <c r="I599" s="598"/>
    </row>
    <row r="600" spans="1:9" x14ac:dyDescent="0.25">
      <c r="A600" s="598" t="s">
        <v>3591</v>
      </c>
      <c r="B600" s="598"/>
      <c r="C600" s="598"/>
      <c r="D600" s="598"/>
      <c r="E600" s="598"/>
      <c r="F600" s="598"/>
      <c r="G600" s="598"/>
      <c r="H600" s="598"/>
      <c r="I600" s="598"/>
    </row>
    <row r="601" spans="1:9" ht="15.75" thickBot="1" x14ac:dyDescent="0.3">
      <c r="I601" t="s">
        <v>3649</v>
      </c>
    </row>
    <row r="602" spans="1:9" x14ac:dyDescent="0.25">
      <c r="A602" s="599" t="s">
        <v>21</v>
      </c>
      <c r="B602" s="601" t="s">
        <v>13</v>
      </c>
      <c r="C602" s="601" t="s">
        <v>91</v>
      </c>
      <c r="D602" s="603" t="s">
        <v>104</v>
      </c>
      <c r="E602" s="603"/>
      <c r="F602" s="603"/>
      <c r="G602" s="603"/>
      <c r="H602" s="603"/>
      <c r="I602" s="604" t="s">
        <v>15</v>
      </c>
    </row>
    <row r="603" spans="1:9" x14ac:dyDescent="0.25">
      <c r="A603" s="600"/>
      <c r="B603" s="602"/>
      <c r="C603" s="602"/>
      <c r="D603" s="102" t="s">
        <v>105</v>
      </c>
      <c r="E603" s="102" t="s">
        <v>106</v>
      </c>
      <c r="F603" s="102" t="s">
        <v>107</v>
      </c>
      <c r="G603" s="102" t="s">
        <v>108</v>
      </c>
      <c r="H603" s="102" t="s">
        <v>109</v>
      </c>
      <c r="I603" s="605"/>
    </row>
    <row r="604" spans="1:9" x14ac:dyDescent="0.25">
      <c r="A604" s="600"/>
      <c r="B604" s="602"/>
      <c r="C604" s="602"/>
      <c r="D604" s="99" t="s">
        <v>110</v>
      </c>
      <c r="E604" s="99" t="s">
        <v>111</v>
      </c>
      <c r="F604" s="99" t="s">
        <v>111</v>
      </c>
      <c r="G604" s="99" t="s">
        <v>112</v>
      </c>
      <c r="H604" s="99" t="s">
        <v>89</v>
      </c>
      <c r="I604" s="605"/>
    </row>
    <row r="605" spans="1:9" x14ac:dyDescent="0.25">
      <c r="A605" s="600"/>
      <c r="B605" s="602"/>
      <c r="C605" s="602"/>
      <c r="D605" s="100" t="s">
        <v>113</v>
      </c>
      <c r="E605" s="100" t="s">
        <v>114</v>
      </c>
      <c r="F605" s="100" t="s">
        <v>113</v>
      </c>
      <c r="G605" s="100" t="s">
        <v>115</v>
      </c>
      <c r="H605" s="100"/>
      <c r="I605" s="605"/>
    </row>
    <row r="606" spans="1:9" x14ac:dyDescent="0.25">
      <c r="A606" s="147">
        <v>1</v>
      </c>
      <c r="B606" s="101" t="s">
        <v>116</v>
      </c>
      <c r="C606" s="148" t="s">
        <v>3650</v>
      </c>
      <c r="D606" s="148">
        <v>17079442</v>
      </c>
      <c r="E606" s="148"/>
      <c r="F606" s="175">
        <v>1055000</v>
      </c>
      <c r="G606" s="101"/>
      <c r="H606" s="149">
        <f>3260000*2</f>
        <v>6520000</v>
      </c>
      <c r="I606" s="150">
        <f>SUM(D606:H606)</f>
        <v>24654442</v>
      </c>
    </row>
    <row r="607" spans="1:9" x14ac:dyDescent="0.25">
      <c r="A607" s="151">
        <v>2</v>
      </c>
      <c r="B607" s="101" t="s">
        <v>3656</v>
      </c>
      <c r="C607" s="153" t="str">
        <f>BPTRNA!E166</f>
        <v>BPTRNA/04/I/2021</v>
      </c>
      <c r="D607" s="153"/>
      <c r="E607" s="153">
        <f>BPTRNA!E176</f>
        <v>875000</v>
      </c>
      <c r="F607" s="153"/>
      <c r="G607" s="152"/>
      <c r="H607" s="154"/>
      <c r="I607" s="150">
        <f>SUM(D607:H607)</f>
        <v>875000</v>
      </c>
    </row>
    <row r="608" spans="1:9" x14ac:dyDescent="0.25">
      <c r="A608" s="151"/>
      <c r="B608" s="152"/>
      <c r="C608" s="153"/>
      <c r="D608" s="152"/>
      <c r="E608" s="153"/>
      <c r="F608" s="153"/>
      <c r="G608" s="152"/>
      <c r="H608" s="154"/>
      <c r="I608" s="150">
        <f t="shared" ref="I608:I609" si="54">SUM(D608:H608)</f>
        <v>0</v>
      </c>
    </row>
    <row r="609" spans="1:9" x14ac:dyDescent="0.25">
      <c r="A609" s="151"/>
      <c r="B609" s="152"/>
      <c r="C609" s="152"/>
      <c r="D609" s="152"/>
      <c r="E609" s="153"/>
      <c r="F609" s="152"/>
      <c r="G609" s="152"/>
      <c r="H609" s="154"/>
      <c r="I609" s="150">
        <f t="shared" si="54"/>
        <v>0</v>
      </c>
    </row>
    <row r="610" spans="1:9" x14ac:dyDescent="0.25">
      <c r="A610" s="155"/>
      <c r="B610" s="152"/>
      <c r="C610" s="152"/>
      <c r="D610" s="152"/>
      <c r="E610" s="152"/>
      <c r="F610" s="152"/>
      <c r="G610" s="152"/>
      <c r="H610" s="154"/>
      <c r="I610" s="156"/>
    </row>
    <row r="611" spans="1:9" x14ac:dyDescent="0.25">
      <c r="A611" s="157"/>
      <c r="B611" s="158"/>
      <c r="C611" s="158"/>
      <c r="D611" s="158"/>
      <c r="E611" s="158"/>
      <c r="F611" s="158"/>
      <c r="G611" s="158"/>
      <c r="H611" s="159"/>
      <c r="I611" s="160"/>
    </row>
    <row r="612" spans="1:9" ht="15.75" thickBot="1" x14ac:dyDescent="0.3">
      <c r="A612" s="161"/>
      <c r="B612" s="162" t="s">
        <v>15</v>
      </c>
      <c r="C612" s="163"/>
      <c r="D612" s="163">
        <f t="shared" ref="D612" si="55">SUM(D606:D611)</f>
        <v>17079442</v>
      </c>
      <c r="E612" s="163">
        <f>SUM(E606:E611)</f>
        <v>875000</v>
      </c>
      <c r="F612" s="163">
        <f>SUM(F606:F611)</f>
        <v>1055000</v>
      </c>
      <c r="G612" s="163">
        <f>SUM(G606:G611)</f>
        <v>0</v>
      </c>
      <c r="H612" s="163">
        <f t="shared" ref="H612:I612" si="56">SUM(H606:H611)</f>
        <v>6520000</v>
      </c>
      <c r="I612" s="164">
        <f t="shared" si="56"/>
        <v>25529442</v>
      </c>
    </row>
    <row r="614" spans="1:9" x14ac:dyDescent="0.25">
      <c r="G614" s="98" t="s">
        <v>3651</v>
      </c>
      <c r="H614" s="98"/>
    </row>
    <row r="628" spans="1:9" x14ac:dyDescent="0.25">
      <c r="A628" t="s">
        <v>92</v>
      </c>
    </row>
    <row r="629" spans="1:9" x14ac:dyDescent="0.25">
      <c r="A629" t="s">
        <v>1</v>
      </c>
    </row>
    <row r="632" spans="1:9" x14ac:dyDescent="0.25">
      <c r="A632" s="598" t="s">
        <v>103</v>
      </c>
      <c r="B632" s="598"/>
      <c r="C632" s="598"/>
      <c r="D632" s="598"/>
      <c r="E632" s="598"/>
      <c r="F632" s="598"/>
      <c r="G632" s="598"/>
      <c r="H632" s="598"/>
      <c r="I632" s="598"/>
    </row>
    <row r="633" spans="1:9" x14ac:dyDescent="0.25">
      <c r="A633" s="598" t="s">
        <v>3591</v>
      </c>
      <c r="B633" s="598"/>
      <c r="C633" s="598"/>
      <c r="D633" s="598"/>
      <c r="E633" s="598"/>
      <c r="F633" s="598"/>
      <c r="G633" s="598"/>
      <c r="H633" s="598"/>
      <c r="I633" s="598"/>
    </row>
    <row r="634" spans="1:9" ht="15.75" thickBot="1" x14ac:dyDescent="0.3">
      <c r="I634" t="s">
        <v>3652</v>
      </c>
    </row>
    <row r="635" spans="1:9" x14ac:dyDescent="0.25">
      <c r="A635" s="599" t="s">
        <v>21</v>
      </c>
      <c r="B635" s="601" t="s">
        <v>13</v>
      </c>
      <c r="C635" s="601" t="s">
        <v>91</v>
      </c>
      <c r="D635" s="603" t="s">
        <v>104</v>
      </c>
      <c r="E635" s="603"/>
      <c r="F635" s="603"/>
      <c r="G635" s="603"/>
      <c r="H635" s="603"/>
      <c r="I635" s="604" t="s">
        <v>15</v>
      </c>
    </row>
    <row r="636" spans="1:9" x14ac:dyDescent="0.25">
      <c r="A636" s="600"/>
      <c r="B636" s="602"/>
      <c r="C636" s="602"/>
      <c r="D636" s="102" t="s">
        <v>105</v>
      </c>
      <c r="E636" s="102" t="s">
        <v>106</v>
      </c>
      <c r="F636" s="102" t="s">
        <v>107</v>
      </c>
      <c r="G636" s="102" t="s">
        <v>108</v>
      </c>
      <c r="H636" s="102" t="s">
        <v>109</v>
      </c>
      <c r="I636" s="605"/>
    </row>
    <row r="637" spans="1:9" x14ac:dyDescent="0.25">
      <c r="A637" s="600"/>
      <c r="B637" s="602"/>
      <c r="C637" s="602"/>
      <c r="D637" s="99" t="s">
        <v>110</v>
      </c>
      <c r="E637" s="99" t="s">
        <v>111</v>
      </c>
      <c r="F637" s="99" t="s">
        <v>111</v>
      </c>
      <c r="G637" s="99" t="s">
        <v>112</v>
      </c>
      <c r="H637" s="99" t="s">
        <v>89</v>
      </c>
      <c r="I637" s="605"/>
    </row>
    <row r="638" spans="1:9" x14ac:dyDescent="0.25">
      <c r="A638" s="600"/>
      <c r="B638" s="602"/>
      <c r="C638" s="602"/>
      <c r="D638" s="100" t="s">
        <v>113</v>
      </c>
      <c r="E638" s="100" t="s">
        <v>114</v>
      </c>
      <c r="F638" s="100" t="s">
        <v>113</v>
      </c>
      <c r="G638" s="100" t="s">
        <v>115</v>
      </c>
      <c r="H638" s="100"/>
      <c r="I638" s="605"/>
    </row>
    <row r="639" spans="1:9" x14ac:dyDescent="0.25">
      <c r="A639" s="147">
        <v>1</v>
      </c>
      <c r="B639" s="101" t="s">
        <v>116</v>
      </c>
      <c r="C639" s="148" t="s">
        <v>3653</v>
      </c>
      <c r="D639" s="148">
        <v>16420667</v>
      </c>
      <c r="E639" s="148"/>
      <c r="F639" s="175">
        <v>1000000</v>
      </c>
      <c r="G639" s="101"/>
      <c r="H639" s="149">
        <f>3010000*2</f>
        <v>6020000</v>
      </c>
      <c r="I639" s="150">
        <f>SUM(D639:H639)</f>
        <v>23440667</v>
      </c>
    </row>
    <row r="640" spans="1:9" x14ac:dyDescent="0.25">
      <c r="A640" s="151"/>
      <c r="B640" s="152"/>
      <c r="C640" s="153"/>
      <c r="D640" s="153"/>
      <c r="E640" s="153"/>
      <c r="F640" s="153"/>
      <c r="G640" s="152"/>
      <c r="H640" s="154"/>
      <c r="I640" s="150">
        <f>SUM(D640:H640)</f>
        <v>0</v>
      </c>
    </row>
    <row r="641" spans="1:9" x14ac:dyDescent="0.25">
      <c r="A641" s="151"/>
      <c r="B641" s="152"/>
      <c r="C641" s="153"/>
      <c r="D641" s="152"/>
      <c r="E641" s="153"/>
      <c r="F641" s="153"/>
      <c r="G641" s="152"/>
      <c r="H641" s="154"/>
      <c r="I641" s="150">
        <f t="shared" ref="I641:I642" si="57">SUM(D641:H641)</f>
        <v>0</v>
      </c>
    </row>
    <row r="642" spans="1:9" x14ac:dyDescent="0.25">
      <c r="A642" s="151"/>
      <c r="B642" s="152"/>
      <c r="C642" s="152"/>
      <c r="D642" s="152"/>
      <c r="E642" s="153"/>
      <c r="F642" s="152"/>
      <c r="G642" s="152"/>
      <c r="H642" s="154"/>
      <c r="I642" s="150">
        <f t="shared" si="57"/>
        <v>0</v>
      </c>
    </row>
    <row r="643" spans="1:9" x14ac:dyDescent="0.25">
      <c r="A643" s="155"/>
      <c r="B643" s="152"/>
      <c r="C643" s="152"/>
      <c r="D643" s="152"/>
      <c r="E643" s="152"/>
      <c r="F643" s="152"/>
      <c r="G643" s="152"/>
      <c r="H643" s="154"/>
      <c r="I643" s="156"/>
    </row>
    <row r="644" spans="1:9" x14ac:dyDescent="0.25">
      <c r="A644" s="157"/>
      <c r="B644" s="158"/>
      <c r="C644" s="158"/>
      <c r="D644" s="158"/>
      <c r="E644" s="158"/>
      <c r="F644" s="158"/>
      <c r="G644" s="158"/>
      <c r="H644" s="159"/>
      <c r="I644" s="160"/>
    </row>
    <row r="645" spans="1:9" ht="15.75" thickBot="1" x14ac:dyDescent="0.3">
      <c r="A645" s="161"/>
      <c r="B645" s="162" t="s">
        <v>15</v>
      </c>
      <c r="C645" s="163"/>
      <c r="D645" s="163">
        <f t="shared" ref="D645" si="58">SUM(D639:D644)</f>
        <v>16420667</v>
      </c>
      <c r="E645" s="163">
        <f>SUM(E639:E644)</f>
        <v>0</v>
      </c>
      <c r="F645" s="163">
        <f>SUM(F639:F644)</f>
        <v>1000000</v>
      </c>
      <c r="G645" s="163">
        <f>SUM(G639:G644)</f>
        <v>0</v>
      </c>
      <c r="H645" s="163">
        <f t="shared" ref="H645:I645" si="59">SUM(H639:H644)</f>
        <v>6020000</v>
      </c>
      <c r="I645" s="164">
        <f t="shared" si="59"/>
        <v>23440667</v>
      </c>
    </row>
    <row r="647" spans="1:9" x14ac:dyDescent="0.25">
      <c r="G647" s="98" t="s">
        <v>3654</v>
      </c>
      <c r="H647" s="98"/>
    </row>
    <row r="661" spans="1:9" x14ac:dyDescent="0.25">
      <c r="A661" t="s">
        <v>92</v>
      </c>
    </row>
    <row r="662" spans="1:9" x14ac:dyDescent="0.25">
      <c r="A662" t="s">
        <v>1</v>
      </c>
    </row>
    <row r="665" spans="1:9" x14ac:dyDescent="0.25">
      <c r="A665" s="598" t="s">
        <v>103</v>
      </c>
      <c r="B665" s="598"/>
      <c r="C665" s="598"/>
      <c r="D665" s="598"/>
      <c r="E665" s="598"/>
      <c r="F665" s="598"/>
      <c r="G665" s="598"/>
      <c r="H665" s="598"/>
      <c r="I665" s="598"/>
    </row>
    <row r="666" spans="1:9" x14ac:dyDescent="0.25">
      <c r="A666" s="598" t="s">
        <v>3591</v>
      </c>
      <c r="B666" s="598"/>
      <c r="C666" s="598"/>
      <c r="D666" s="598"/>
      <c r="E666" s="598"/>
      <c r="F666" s="598"/>
      <c r="G666" s="598"/>
      <c r="H666" s="598"/>
      <c r="I666" s="598"/>
    </row>
    <row r="667" spans="1:9" ht="15.75" thickBot="1" x14ac:dyDescent="0.3">
      <c r="I667" t="s">
        <v>3657</v>
      </c>
    </row>
    <row r="668" spans="1:9" x14ac:dyDescent="0.25">
      <c r="A668" s="599" t="s">
        <v>21</v>
      </c>
      <c r="B668" s="601" t="s">
        <v>13</v>
      </c>
      <c r="C668" s="601" t="s">
        <v>91</v>
      </c>
      <c r="D668" s="603" t="s">
        <v>104</v>
      </c>
      <c r="E668" s="603"/>
      <c r="F668" s="603"/>
      <c r="G668" s="603"/>
      <c r="H668" s="603"/>
      <c r="I668" s="604" t="s">
        <v>15</v>
      </c>
    </row>
    <row r="669" spans="1:9" x14ac:dyDescent="0.25">
      <c r="A669" s="600"/>
      <c r="B669" s="602"/>
      <c r="C669" s="602"/>
      <c r="D669" s="102" t="s">
        <v>105</v>
      </c>
      <c r="E669" s="102" t="s">
        <v>106</v>
      </c>
      <c r="F669" s="102" t="s">
        <v>107</v>
      </c>
      <c r="G669" s="102" t="s">
        <v>108</v>
      </c>
      <c r="H669" s="102" t="s">
        <v>109</v>
      </c>
      <c r="I669" s="605"/>
    </row>
    <row r="670" spans="1:9" x14ac:dyDescent="0.25">
      <c r="A670" s="600"/>
      <c r="B670" s="602"/>
      <c r="C670" s="602"/>
      <c r="D670" s="99" t="s">
        <v>110</v>
      </c>
      <c r="E670" s="99" t="s">
        <v>111</v>
      </c>
      <c r="F670" s="99" t="s">
        <v>111</v>
      </c>
      <c r="G670" s="99" t="s">
        <v>112</v>
      </c>
      <c r="H670" s="99" t="s">
        <v>89</v>
      </c>
      <c r="I670" s="605"/>
    </row>
    <row r="671" spans="1:9" x14ac:dyDescent="0.25">
      <c r="A671" s="600"/>
      <c r="B671" s="602"/>
      <c r="C671" s="602"/>
      <c r="D671" s="100" t="s">
        <v>113</v>
      </c>
      <c r="E671" s="100" t="s">
        <v>114</v>
      </c>
      <c r="F671" s="100" t="s">
        <v>113</v>
      </c>
      <c r="G671" s="100" t="s">
        <v>115</v>
      </c>
      <c r="H671" s="100"/>
      <c r="I671" s="605"/>
    </row>
    <row r="672" spans="1:9" x14ac:dyDescent="0.25">
      <c r="A672" s="147">
        <v>1</v>
      </c>
      <c r="B672" s="101" t="s">
        <v>116</v>
      </c>
      <c r="C672" s="148" t="s">
        <v>3658</v>
      </c>
      <c r="D672" s="148">
        <v>11771697</v>
      </c>
      <c r="E672" s="148"/>
      <c r="F672" s="175">
        <v>1600000</v>
      </c>
      <c r="G672" s="101"/>
      <c r="H672" s="149">
        <f>1250000*2</f>
        <v>2500000</v>
      </c>
      <c r="I672" s="150">
        <f>SUM(D672:H672)</f>
        <v>15871697</v>
      </c>
    </row>
    <row r="673" spans="1:9" x14ac:dyDescent="0.25">
      <c r="A673" s="151"/>
      <c r="B673" s="152"/>
      <c r="C673" s="153"/>
      <c r="D673" s="153"/>
      <c r="E673" s="153"/>
      <c r="F673" s="153"/>
      <c r="G673" s="152"/>
      <c r="H673" s="154"/>
      <c r="I673" s="150">
        <f>SUM(D673:H673)</f>
        <v>0</v>
      </c>
    </row>
    <row r="674" spans="1:9" x14ac:dyDescent="0.25">
      <c r="A674" s="151"/>
      <c r="B674" s="152"/>
      <c r="C674" s="153"/>
      <c r="D674" s="152"/>
      <c r="E674" s="153"/>
      <c r="F674" s="153"/>
      <c r="G674" s="152"/>
      <c r="H674" s="154"/>
      <c r="I674" s="150">
        <f t="shared" ref="I674:I675" si="60">SUM(D674:H674)</f>
        <v>0</v>
      </c>
    </row>
    <row r="675" spans="1:9" x14ac:dyDescent="0.25">
      <c r="A675" s="151"/>
      <c r="B675" s="152"/>
      <c r="C675" s="152"/>
      <c r="D675" s="152"/>
      <c r="E675" s="153"/>
      <c r="F675" s="152"/>
      <c r="G675" s="152"/>
      <c r="H675" s="154"/>
      <c r="I675" s="150">
        <f t="shared" si="60"/>
        <v>0</v>
      </c>
    </row>
    <row r="676" spans="1:9" x14ac:dyDescent="0.25">
      <c r="A676" s="155"/>
      <c r="B676" s="152"/>
      <c r="C676" s="152"/>
      <c r="D676" s="152"/>
      <c r="E676" s="152"/>
      <c r="F676" s="152"/>
      <c r="G676" s="152"/>
      <c r="H676" s="154"/>
      <c r="I676" s="156"/>
    </row>
    <row r="677" spans="1:9" x14ac:dyDescent="0.25">
      <c r="A677" s="157"/>
      <c r="B677" s="158"/>
      <c r="C677" s="158"/>
      <c r="D677" s="158"/>
      <c r="E677" s="158"/>
      <c r="F677" s="158"/>
      <c r="G677" s="158"/>
      <c r="H677" s="159"/>
      <c r="I677" s="160"/>
    </row>
    <row r="678" spans="1:9" ht="15.75" thickBot="1" x14ac:dyDescent="0.3">
      <c r="A678" s="161"/>
      <c r="B678" s="162" t="s">
        <v>15</v>
      </c>
      <c r="C678" s="163"/>
      <c r="D678" s="163">
        <f t="shared" ref="D678" si="61">SUM(D672:D677)</f>
        <v>11771697</v>
      </c>
      <c r="E678" s="163">
        <f>SUM(E672:E677)</f>
        <v>0</v>
      </c>
      <c r="F678" s="163">
        <f>SUM(F672:F677)</f>
        <v>1600000</v>
      </c>
      <c r="G678" s="163">
        <f>SUM(G672:G677)</f>
        <v>0</v>
      </c>
      <c r="H678" s="163">
        <f t="shared" ref="H678:I678" si="62">SUM(H672:H677)</f>
        <v>2500000</v>
      </c>
      <c r="I678" s="164">
        <f t="shared" si="62"/>
        <v>15871697</v>
      </c>
    </row>
    <row r="680" spans="1:9" x14ac:dyDescent="0.25">
      <c r="G680" s="98" t="s">
        <v>3659</v>
      </c>
      <c r="H680" s="98"/>
    </row>
    <row r="694" spans="1:9" x14ac:dyDescent="0.25">
      <c r="A694" t="s">
        <v>92</v>
      </c>
    </row>
    <row r="695" spans="1:9" x14ac:dyDescent="0.25">
      <c r="A695" t="s">
        <v>1</v>
      </c>
    </row>
    <row r="698" spans="1:9" x14ac:dyDescent="0.25">
      <c r="A698" s="598" t="s">
        <v>103</v>
      </c>
      <c r="B698" s="598"/>
      <c r="C698" s="598"/>
      <c r="D698" s="598"/>
      <c r="E698" s="598"/>
      <c r="F698" s="598"/>
      <c r="G698" s="598"/>
      <c r="H698" s="598"/>
      <c r="I698" s="598"/>
    </row>
    <row r="699" spans="1:9" x14ac:dyDescent="0.25">
      <c r="A699" s="598" t="s">
        <v>3591</v>
      </c>
      <c r="B699" s="598"/>
      <c r="C699" s="598"/>
      <c r="D699" s="598"/>
      <c r="E699" s="598"/>
      <c r="F699" s="598"/>
      <c r="G699" s="598"/>
      <c r="H699" s="598"/>
      <c r="I699" s="598"/>
    </row>
    <row r="700" spans="1:9" ht="15.75" thickBot="1" x14ac:dyDescent="0.3">
      <c r="I700" t="s">
        <v>3660</v>
      </c>
    </row>
    <row r="701" spans="1:9" x14ac:dyDescent="0.25">
      <c r="A701" s="599" t="s">
        <v>21</v>
      </c>
      <c r="B701" s="601" t="s">
        <v>13</v>
      </c>
      <c r="C701" s="601" t="s">
        <v>91</v>
      </c>
      <c r="D701" s="603" t="s">
        <v>104</v>
      </c>
      <c r="E701" s="603"/>
      <c r="F701" s="603"/>
      <c r="G701" s="603"/>
      <c r="H701" s="603"/>
      <c r="I701" s="604" t="s">
        <v>15</v>
      </c>
    </row>
    <row r="702" spans="1:9" x14ac:dyDescent="0.25">
      <c r="A702" s="600"/>
      <c r="B702" s="602"/>
      <c r="C702" s="602"/>
      <c r="D702" s="102" t="s">
        <v>105</v>
      </c>
      <c r="E702" s="102" t="s">
        <v>106</v>
      </c>
      <c r="F702" s="102" t="s">
        <v>107</v>
      </c>
      <c r="G702" s="102" t="s">
        <v>108</v>
      </c>
      <c r="H702" s="102" t="s">
        <v>109</v>
      </c>
      <c r="I702" s="605"/>
    </row>
    <row r="703" spans="1:9" x14ac:dyDescent="0.25">
      <c r="A703" s="600"/>
      <c r="B703" s="602"/>
      <c r="C703" s="602"/>
      <c r="D703" s="99" t="s">
        <v>110</v>
      </c>
      <c r="E703" s="99" t="s">
        <v>111</v>
      </c>
      <c r="F703" s="99" t="s">
        <v>111</v>
      </c>
      <c r="G703" s="99" t="s">
        <v>112</v>
      </c>
      <c r="H703" s="99" t="s">
        <v>89</v>
      </c>
      <c r="I703" s="605"/>
    </row>
    <row r="704" spans="1:9" x14ac:dyDescent="0.25">
      <c r="A704" s="600"/>
      <c r="B704" s="602"/>
      <c r="C704" s="602"/>
      <c r="D704" s="100" t="s">
        <v>113</v>
      </c>
      <c r="E704" s="100" t="s">
        <v>114</v>
      </c>
      <c r="F704" s="100" t="s">
        <v>113</v>
      </c>
      <c r="G704" s="100" t="s">
        <v>115</v>
      </c>
      <c r="H704" s="100"/>
      <c r="I704" s="605"/>
    </row>
    <row r="705" spans="1:9" x14ac:dyDescent="0.25">
      <c r="A705" s="147">
        <v>1</v>
      </c>
      <c r="B705" s="101" t="s">
        <v>116</v>
      </c>
      <c r="C705" s="148" t="s">
        <v>3661</v>
      </c>
      <c r="D705" s="148">
        <v>3766133</v>
      </c>
      <c r="E705" s="148"/>
      <c r="F705" s="175">
        <v>565000</v>
      </c>
      <c r="G705" s="101"/>
      <c r="H705" s="149">
        <f>450000*2</f>
        <v>900000</v>
      </c>
      <c r="I705" s="150">
        <f>SUM(D705:H705)</f>
        <v>5231133</v>
      </c>
    </row>
    <row r="706" spans="1:9" x14ac:dyDescent="0.25">
      <c r="A706" s="151"/>
      <c r="B706" s="152"/>
      <c r="C706" s="153"/>
      <c r="D706" s="153"/>
      <c r="E706" s="153"/>
      <c r="F706" s="153"/>
      <c r="G706" s="152"/>
      <c r="H706" s="154"/>
      <c r="I706" s="150">
        <f>SUM(D706:H706)</f>
        <v>0</v>
      </c>
    </row>
    <row r="707" spans="1:9" x14ac:dyDescent="0.25">
      <c r="A707" s="151"/>
      <c r="B707" s="152"/>
      <c r="C707" s="153"/>
      <c r="D707" s="152"/>
      <c r="E707" s="153"/>
      <c r="F707" s="153"/>
      <c r="G707" s="152"/>
      <c r="H707" s="154"/>
      <c r="I707" s="150">
        <f t="shared" ref="I707:I708" si="63">SUM(D707:H707)</f>
        <v>0</v>
      </c>
    </row>
    <row r="708" spans="1:9" x14ac:dyDescent="0.25">
      <c r="A708" s="151"/>
      <c r="B708" s="152"/>
      <c r="C708" s="152"/>
      <c r="D708" s="152"/>
      <c r="E708" s="153"/>
      <c r="F708" s="152"/>
      <c r="G708" s="152"/>
      <c r="H708" s="154"/>
      <c r="I708" s="150">
        <f t="shared" si="63"/>
        <v>0</v>
      </c>
    </row>
    <row r="709" spans="1:9" x14ac:dyDescent="0.25">
      <c r="A709" s="155"/>
      <c r="B709" s="152"/>
      <c r="C709" s="152"/>
      <c r="D709" s="152"/>
      <c r="E709" s="152"/>
      <c r="F709" s="152"/>
      <c r="G709" s="152"/>
      <c r="H709" s="154"/>
      <c r="I709" s="156"/>
    </row>
    <row r="710" spans="1:9" x14ac:dyDescent="0.25">
      <c r="A710" s="157"/>
      <c r="B710" s="158"/>
      <c r="C710" s="158"/>
      <c r="D710" s="158"/>
      <c r="E710" s="158"/>
      <c r="F710" s="158"/>
      <c r="G710" s="158"/>
      <c r="H710" s="159"/>
      <c r="I710" s="160"/>
    </row>
    <row r="711" spans="1:9" ht="15.75" thickBot="1" x14ac:dyDescent="0.3">
      <c r="A711" s="161"/>
      <c r="B711" s="162" t="s">
        <v>15</v>
      </c>
      <c r="C711" s="163"/>
      <c r="D711" s="163">
        <f t="shared" ref="D711" si="64">SUM(D705:D710)</f>
        <v>3766133</v>
      </c>
      <c r="E711" s="163">
        <f>SUM(E705:E710)</f>
        <v>0</v>
      </c>
      <c r="F711" s="163">
        <f>SUM(F705:F710)</f>
        <v>565000</v>
      </c>
      <c r="G711" s="163">
        <f>SUM(G705:G710)</f>
        <v>0</v>
      </c>
      <c r="H711" s="163">
        <f t="shared" ref="H711:I711" si="65">SUM(H705:H710)</f>
        <v>900000</v>
      </c>
      <c r="I711" s="164">
        <f t="shared" si="65"/>
        <v>5231133</v>
      </c>
    </row>
    <row r="713" spans="1:9" x14ac:dyDescent="0.25">
      <c r="G713" s="98" t="s">
        <v>3662</v>
      </c>
      <c r="H713" s="98"/>
    </row>
    <row r="727" spans="1:9" x14ac:dyDescent="0.25">
      <c r="A727" t="s">
        <v>92</v>
      </c>
    </row>
    <row r="728" spans="1:9" x14ac:dyDescent="0.25">
      <c r="A728" t="s">
        <v>1</v>
      </c>
    </row>
    <row r="731" spans="1:9" x14ac:dyDescent="0.25">
      <c r="A731" s="598" t="s">
        <v>103</v>
      </c>
      <c r="B731" s="598"/>
      <c r="C731" s="598"/>
      <c r="D731" s="598"/>
      <c r="E731" s="598"/>
      <c r="F731" s="598"/>
      <c r="G731" s="598"/>
      <c r="H731" s="598"/>
      <c r="I731" s="598"/>
    </row>
    <row r="732" spans="1:9" x14ac:dyDescent="0.25">
      <c r="A732" s="598" t="s">
        <v>3591</v>
      </c>
      <c r="B732" s="598"/>
      <c r="C732" s="598"/>
      <c r="D732" s="598"/>
      <c r="E732" s="598"/>
      <c r="F732" s="598"/>
      <c r="G732" s="598"/>
      <c r="H732" s="598"/>
      <c r="I732" s="598"/>
    </row>
    <row r="733" spans="1:9" ht="15.75" thickBot="1" x14ac:dyDescent="0.3">
      <c r="I733" t="s">
        <v>3663</v>
      </c>
    </row>
    <row r="734" spans="1:9" x14ac:dyDescent="0.25">
      <c r="A734" s="599" t="s">
        <v>21</v>
      </c>
      <c r="B734" s="601" t="s">
        <v>13</v>
      </c>
      <c r="C734" s="601" t="s">
        <v>91</v>
      </c>
      <c r="D734" s="603" t="s">
        <v>104</v>
      </c>
      <c r="E734" s="603"/>
      <c r="F734" s="603"/>
      <c r="G734" s="603"/>
      <c r="H734" s="603"/>
      <c r="I734" s="604" t="s">
        <v>15</v>
      </c>
    </row>
    <row r="735" spans="1:9" x14ac:dyDescent="0.25">
      <c r="A735" s="600"/>
      <c r="B735" s="602"/>
      <c r="C735" s="602"/>
      <c r="D735" s="102" t="s">
        <v>105</v>
      </c>
      <c r="E735" s="102" t="s">
        <v>106</v>
      </c>
      <c r="F735" s="102" t="s">
        <v>107</v>
      </c>
      <c r="G735" s="102" t="s">
        <v>108</v>
      </c>
      <c r="H735" s="102" t="s">
        <v>109</v>
      </c>
      <c r="I735" s="605"/>
    </row>
    <row r="736" spans="1:9" x14ac:dyDescent="0.25">
      <c r="A736" s="600"/>
      <c r="B736" s="602"/>
      <c r="C736" s="602"/>
      <c r="D736" s="99" t="s">
        <v>110</v>
      </c>
      <c r="E736" s="99" t="s">
        <v>111</v>
      </c>
      <c r="F736" s="99" t="s">
        <v>111</v>
      </c>
      <c r="G736" s="99" t="s">
        <v>112</v>
      </c>
      <c r="H736" s="99" t="s">
        <v>89</v>
      </c>
      <c r="I736" s="605"/>
    </row>
    <row r="737" spans="1:9" x14ac:dyDescent="0.25">
      <c r="A737" s="600"/>
      <c r="B737" s="602"/>
      <c r="C737" s="602"/>
      <c r="D737" s="100" t="s">
        <v>113</v>
      </c>
      <c r="E737" s="100" t="s">
        <v>114</v>
      </c>
      <c r="F737" s="100" t="s">
        <v>113</v>
      </c>
      <c r="G737" s="100" t="s">
        <v>115</v>
      </c>
      <c r="H737" s="100"/>
      <c r="I737" s="605"/>
    </row>
    <row r="738" spans="1:9" x14ac:dyDescent="0.25">
      <c r="A738" s="147">
        <v>1</v>
      </c>
      <c r="B738" s="101" t="s">
        <v>116</v>
      </c>
      <c r="C738" s="148" t="s">
        <v>3664</v>
      </c>
      <c r="D738" s="148">
        <v>180065</v>
      </c>
      <c r="E738" s="148"/>
      <c r="F738" s="175">
        <v>130000</v>
      </c>
      <c r="G738" s="101"/>
      <c r="H738" s="149">
        <f>110000*2</f>
        <v>220000</v>
      </c>
      <c r="I738" s="150">
        <f>SUM(D738:H738)</f>
        <v>530065</v>
      </c>
    </row>
    <row r="739" spans="1:9" x14ac:dyDescent="0.25">
      <c r="A739" s="151"/>
      <c r="B739" s="152"/>
      <c r="C739" s="153"/>
      <c r="D739" s="153"/>
      <c r="E739" s="153"/>
      <c r="F739" s="153"/>
      <c r="G739" s="152"/>
      <c r="H739" s="154"/>
      <c r="I739" s="150">
        <f>SUM(D739:H739)</f>
        <v>0</v>
      </c>
    </row>
    <row r="740" spans="1:9" x14ac:dyDescent="0.25">
      <c r="A740" s="151"/>
      <c r="B740" s="152"/>
      <c r="C740" s="153"/>
      <c r="D740" s="152"/>
      <c r="E740" s="153"/>
      <c r="F740" s="153"/>
      <c r="G740" s="152"/>
      <c r="H740" s="154"/>
      <c r="I740" s="150">
        <f t="shared" ref="I740:I741" si="66">SUM(D740:H740)</f>
        <v>0</v>
      </c>
    </row>
    <row r="741" spans="1:9" x14ac:dyDescent="0.25">
      <c r="A741" s="151"/>
      <c r="B741" s="152"/>
      <c r="C741" s="152"/>
      <c r="D741" s="152"/>
      <c r="E741" s="153"/>
      <c r="F741" s="152"/>
      <c r="G741" s="152"/>
      <c r="H741" s="154"/>
      <c r="I741" s="150">
        <f t="shared" si="66"/>
        <v>0</v>
      </c>
    </row>
    <row r="742" spans="1:9" x14ac:dyDescent="0.25">
      <c r="A742" s="155"/>
      <c r="B742" s="152"/>
      <c r="C742" s="152"/>
      <c r="D742" s="152"/>
      <c r="E742" s="152"/>
      <c r="F742" s="152"/>
      <c r="G742" s="152"/>
      <c r="H742" s="154"/>
      <c r="I742" s="156"/>
    </row>
    <row r="743" spans="1:9" x14ac:dyDescent="0.25">
      <c r="A743" s="157"/>
      <c r="B743" s="158"/>
      <c r="C743" s="158"/>
      <c r="D743" s="158"/>
      <c r="E743" s="158"/>
      <c r="F743" s="158"/>
      <c r="G743" s="158"/>
      <c r="H743" s="159"/>
      <c r="I743" s="160"/>
    </row>
    <row r="744" spans="1:9" ht="15.75" thickBot="1" x14ac:dyDescent="0.3">
      <c r="A744" s="161"/>
      <c r="B744" s="162" t="s">
        <v>15</v>
      </c>
      <c r="C744" s="163"/>
      <c r="D744" s="163">
        <f t="shared" ref="D744" si="67">SUM(D738:D743)</f>
        <v>180065</v>
      </c>
      <c r="E744" s="163">
        <f>SUM(E738:E743)</f>
        <v>0</v>
      </c>
      <c r="F744" s="163">
        <f>SUM(F738:F743)</f>
        <v>130000</v>
      </c>
      <c r="G744" s="163">
        <f>SUM(G738:G743)</f>
        <v>0</v>
      </c>
      <c r="H744" s="163">
        <f t="shared" ref="H744:I744" si="68">SUM(H738:H743)</f>
        <v>220000</v>
      </c>
      <c r="I744" s="164">
        <f t="shared" si="68"/>
        <v>530065</v>
      </c>
    </row>
    <row r="746" spans="1:9" x14ac:dyDescent="0.25">
      <c r="G746" s="98" t="s">
        <v>3665</v>
      </c>
      <c r="H746" s="98"/>
    </row>
  </sheetData>
  <mergeCells count="162">
    <mergeCell ref="A734:A737"/>
    <mergeCell ref="B734:B737"/>
    <mergeCell ref="C734:C737"/>
    <mergeCell ref="D734:H734"/>
    <mergeCell ref="I734:I737"/>
    <mergeCell ref="A698:I698"/>
    <mergeCell ref="A699:I699"/>
    <mergeCell ref="A701:A704"/>
    <mergeCell ref="B701:B704"/>
    <mergeCell ref="C701:C704"/>
    <mergeCell ref="D701:H701"/>
    <mergeCell ref="I701:I704"/>
    <mergeCell ref="A731:I731"/>
    <mergeCell ref="A732:I732"/>
    <mergeCell ref="A338:A341"/>
    <mergeCell ref="B338:B341"/>
    <mergeCell ref="C338:C341"/>
    <mergeCell ref="D338:H338"/>
    <mergeCell ref="I338:I341"/>
    <mergeCell ref="A368:I368"/>
    <mergeCell ref="A369:I369"/>
    <mergeCell ref="A371:A374"/>
    <mergeCell ref="B371:B374"/>
    <mergeCell ref="C371:C374"/>
    <mergeCell ref="D371:H371"/>
    <mergeCell ref="I371:I374"/>
    <mergeCell ref="A533:I533"/>
    <mergeCell ref="A534:I534"/>
    <mergeCell ref="A536:A539"/>
    <mergeCell ref="B536:B539"/>
    <mergeCell ref="C536:C539"/>
    <mergeCell ref="A302:I302"/>
    <mergeCell ref="A303:I303"/>
    <mergeCell ref="A305:A308"/>
    <mergeCell ref="B305:B308"/>
    <mergeCell ref="C305:C308"/>
    <mergeCell ref="D305:H305"/>
    <mergeCell ref="I305:I308"/>
    <mergeCell ref="A335:I335"/>
    <mergeCell ref="A336:I336"/>
    <mergeCell ref="A467:I467"/>
    <mergeCell ref="A468:I468"/>
    <mergeCell ref="A470:A473"/>
    <mergeCell ref="B470:B473"/>
    <mergeCell ref="C470:C473"/>
    <mergeCell ref="D470:H470"/>
    <mergeCell ref="I470:I473"/>
    <mergeCell ref="A401:I401"/>
    <mergeCell ref="A402:I402"/>
    <mergeCell ref="A404:A407"/>
    <mergeCell ref="A239:A242"/>
    <mergeCell ref="B239:B242"/>
    <mergeCell ref="C239:C242"/>
    <mergeCell ref="D239:H239"/>
    <mergeCell ref="I239:I242"/>
    <mergeCell ref="A269:I269"/>
    <mergeCell ref="A270:I270"/>
    <mergeCell ref="A272:A275"/>
    <mergeCell ref="B272:B275"/>
    <mergeCell ref="C272:C275"/>
    <mergeCell ref="D272:H272"/>
    <mergeCell ref="I272:I275"/>
    <mergeCell ref="A170:I170"/>
    <mergeCell ref="A171:I171"/>
    <mergeCell ref="A173:A176"/>
    <mergeCell ref="B173:B176"/>
    <mergeCell ref="C173:C176"/>
    <mergeCell ref="D173:H173"/>
    <mergeCell ref="I173:I176"/>
    <mergeCell ref="A137:I137"/>
    <mergeCell ref="A138:I138"/>
    <mergeCell ref="A140:A143"/>
    <mergeCell ref="D140:H140"/>
    <mergeCell ref="I140:I143"/>
    <mergeCell ref="B140:B143"/>
    <mergeCell ref="C140:C143"/>
    <mergeCell ref="A236:I236"/>
    <mergeCell ref="A237:I237"/>
    <mergeCell ref="A203:I203"/>
    <mergeCell ref="A204:I204"/>
    <mergeCell ref="A206:A209"/>
    <mergeCell ref="B206:B209"/>
    <mergeCell ref="C206:C209"/>
    <mergeCell ref="D206:H206"/>
    <mergeCell ref="I206:I209"/>
    <mergeCell ref="I74:I77"/>
    <mergeCell ref="A38:I38"/>
    <mergeCell ref="A39:I39"/>
    <mergeCell ref="A72:I72"/>
    <mergeCell ref="A104:I104"/>
    <mergeCell ref="A105:I105"/>
    <mergeCell ref="A74:A77"/>
    <mergeCell ref="B74:B77"/>
    <mergeCell ref="A107:A110"/>
    <mergeCell ref="B107:B110"/>
    <mergeCell ref="C107:C110"/>
    <mergeCell ref="C74:C77"/>
    <mergeCell ref="D74:H74"/>
    <mergeCell ref="D107:H107"/>
    <mergeCell ref="I107:I110"/>
    <mergeCell ref="D12:H12"/>
    <mergeCell ref="A5:I5"/>
    <mergeCell ref="A6:I6"/>
    <mergeCell ref="A8:A11"/>
    <mergeCell ref="B8:B11"/>
    <mergeCell ref="C8:C11"/>
    <mergeCell ref="D8:H8"/>
    <mergeCell ref="I8:I11"/>
    <mergeCell ref="A71:I71"/>
    <mergeCell ref="A41:A44"/>
    <mergeCell ref="B41:B44"/>
    <mergeCell ref="C41:C44"/>
    <mergeCell ref="D41:H41"/>
    <mergeCell ref="I41:I44"/>
    <mergeCell ref="A500:I500"/>
    <mergeCell ref="A501:I501"/>
    <mergeCell ref="A503:A506"/>
    <mergeCell ref="B503:B506"/>
    <mergeCell ref="C503:C506"/>
    <mergeCell ref="D503:H503"/>
    <mergeCell ref="I503:I506"/>
    <mergeCell ref="B404:B407"/>
    <mergeCell ref="C404:C407"/>
    <mergeCell ref="D404:H404"/>
    <mergeCell ref="I404:I407"/>
    <mergeCell ref="A434:I434"/>
    <mergeCell ref="A435:I435"/>
    <mergeCell ref="A437:A440"/>
    <mergeCell ref="B437:B440"/>
    <mergeCell ref="C437:C440"/>
    <mergeCell ref="D437:H437"/>
    <mergeCell ref="I437:I440"/>
    <mergeCell ref="D536:H536"/>
    <mergeCell ref="I536:I539"/>
    <mergeCell ref="A599:I599"/>
    <mergeCell ref="A600:I600"/>
    <mergeCell ref="A602:A605"/>
    <mergeCell ref="B602:B605"/>
    <mergeCell ref="C602:C605"/>
    <mergeCell ref="D602:H602"/>
    <mergeCell ref="I602:I605"/>
    <mergeCell ref="A566:I566"/>
    <mergeCell ref="A567:I567"/>
    <mergeCell ref="A569:A572"/>
    <mergeCell ref="B569:B572"/>
    <mergeCell ref="C569:C572"/>
    <mergeCell ref="D569:H569"/>
    <mergeCell ref="I569:I572"/>
    <mergeCell ref="A665:I665"/>
    <mergeCell ref="A666:I666"/>
    <mergeCell ref="A668:A671"/>
    <mergeCell ref="B668:B671"/>
    <mergeCell ref="C668:C671"/>
    <mergeCell ref="D668:H668"/>
    <mergeCell ref="I668:I671"/>
    <mergeCell ref="A632:I632"/>
    <mergeCell ref="A633:I633"/>
    <mergeCell ref="A635:A638"/>
    <mergeCell ref="B635:B638"/>
    <mergeCell ref="C635:C638"/>
    <mergeCell ref="D635:H635"/>
    <mergeCell ref="I635:I638"/>
  </mergeCells>
  <pageMargins left="0.51181102362204722" right="0.31496062992125984" top="0.74803149606299213" bottom="0.74803149606299213" header="0.31496062992125984" footer="0.31496062992125984"/>
  <pageSetup paperSize="9" orientation="landscape"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574"/>
  <sheetViews>
    <sheetView view="pageLayout" topLeftCell="A12" workbookViewId="0">
      <selection activeCell="A46" sqref="A46"/>
    </sheetView>
  </sheetViews>
  <sheetFormatPr defaultColWidth="9.140625" defaultRowHeight="13.5" customHeight="1" x14ac:dyDescent="0.2"/>
  <cols>
    <col min="1" max="1" width="10.7109375" style="1" customWidth="1"/>
    <col min="2" max="2" width="13.85546875" style="1" customWidth="1"/>
    <col min="3" max="3" width="22.7109375" style="1" customWidth="1"/>
    <col min="4" max="4" width="13.42578125" style="1" customWidth="1"/>
    <col min="5" max="5" width="11.85546875" style="1" customWidth="1"/>
    <col min="6" max="6" width="13.5703125" style="1" customWidth="1"/>
    <col min="7" max="7" width="10.7109375" style="1" customWidth="1"/>
    <col min="8" max="8" width="16" style="73" customWidth="1"/>
    <col min="9" max="9" width="11" style="73" customWidth="1"/>
    <col min="10" max="10" width="11" style="1" customWidth="1"/>
    <col min="11" max="11" width="9.5703125" style="1" bestFit="1" customWidth="1"/>
    <col min="12" max="12" width="17.28515625" style="73" customWidth="1"/>
    <col min="13" max="13" width="9.5703125" style="73" bestFit="1" customWidth="1"/>
    <col min="14" max="14" width="9.140625" style="1"/>
    <col min="15" max="15" width="3.85546875" style="1" customWidth="1"/>
    <col min="16" max="16" width="13.85546875" style="1" customWidth="1"/>
    <col min="17" max="16384" width="9.140625" style="1"/>
  </cols>
  <sheetData>
    <row r="1" spans="1:12" ht="13.5" customHeight="1" x14ac:dyDescent="0.25">
      <c r="A1" s="372" t="s">
        <v>3811</v>
      </c>
      <c r="B1" s="372"/>
      <c r="C1" s="372"/>
      <c r="D1" s="372"/>
      <c r="E1" s="372"/>
      <c r="F1" s="372"/>
      <c r="G1" s="372"/>
      <c r="H1" s="109"/>
      <c r="I1" s="109"/>
      <c r="J1" s="109"/>
      <c r="K1" s="73"/>
      <c r="L1" s="1"/>
    </row>
    <row r="2" spans="1:12" ht="13.5" customHeight="1" x14ac:dyDescent="0.25">
      <c r="A2" s="372" t="s">
        <v>3748</v>
      </c>
      <c r="B2" s="372"/>
      <c r="C2" s="372"/>
      <c r="D2" s="372"/>
      <c r="E2" s="372"/>
      <c r="F2" s="372"/>
      <c r="G2" s="372"/>
      <c r="H2" s="109"/>
      <c r="I2" s="109"/>
      <c r="J2" s="109"/>
      <c r="K2" s="73"/>
      <c r="L2" s="1"/>
    </row>
    <row r="3" spans="1:12" ht="13.5" customHeight="1" x14ac:dyDescent="0.2">
      <c r="A3" s="609" t="s">
        <v>3812</v>
      </c>
      <c r="B3" s="609"/>
      <c r="C3" s="609"/>
      <c r="D3" s="609"/>
      <c r="E3" s="609"/>
      <c r="F3" s="609"/>
      <c r="G3" s="609"/>
      <c r="H3" s="609"/>
      <c r="I3" s="609"/>
      <c r="J3" s="609"/>
      <c r="K3" s="73"/>
      <c r="L3" s="1"/>
    </row>
    <row r="4" spans="1:12" ht="13.5" customHeight="1" x14ac:dyDescent="0.2">
      <c r="A4" s="609" t="s">
        <v>3813</v>
      </c>
      <c r="B4" s="609"/>
      <c r="C4" s="609"/>
      <c r="D4" s="609"/>
      <c r="E4" s="609"/>
      <c r="F4" s="609"/>
      <c r="G4" s="609"/>
      <c r="H4" s="609"/>
      <c r="I4" s="609"/>
      <c r="J4" s="609"/>
      <c r="K4" s="73"/>
      <c r="L4" s="1"/>
    </row>
    <row r="5" spans="1:12" ht="13.5" customHeight="1" x14ac:dyDescent="0.2">
      <c r="A5" s="609" t="s">
        <v>5248</v>
      </c>
      <c r="B5" s="609"/>
      <c r="C5" s="609"/>
      <c r="D5" s="609"/>
      <c r="E5" s="609"/>
      <c r="F5" s="609"/>
      <c r="G5" s="609"/>
      <c r="H5" s="609"/>
      <c r="I5" s="609"/>
      <c r="J5" s="609"/>
      <c r="K5" s="73"/>
      <c r="L5" s="1"/>
    </row>
    <row r="6" spans="1:12" ht="13.5" customHeight="1" x14ac:dyDescent="0.25">
      <c r="A6" s="372"/>
      <c r="B6" s="372"/>
      <c r="C6" s="372"/>
      <c r="D6" s="372"/>
      <c r="E6" s="372"/>
      <c r="F6" s="372"/>
      <c r="G6" s="372"/>
      <c r="H6" s="109"/>
      <c r="I6" s="109"/>
      <c r="J6" s="109"/>
      <c r="K6" s="73"/>
      <c r="L6" s="1"/>
    </row>
    <row r="7" spans="1:12" ht="13.5" customHeight="1" x14ac:dyDescent="0.2">
      <c r="A7" s="610" t="s">
        <v>12</v>
      </c>
      <c r="B7" s="610" t="s">
        <v>91</v>
      </c>
      <c r="C7" s="610" t="s">
        <v>13</v>
      </c>
      <c r="D7" s="373" t="s">
        <v>90</v>
      </c>
      <c r="E7" s="611" t="s">
        <v>14</v>
      </c>
      <c r="F7" s="612"/>
      <c r="G7" s="613" t="s">
        <v>29</v>
      </c>
      <c r="H7" s="614"/>
      <c r="I7" s="614"/>
      <c r="J7" s="615"/>
      <c r="K7" s="73"/>
      <c r="L7" s="1"/>
    </row>
    <row r="8" spans="1:12" ht="13.5" customHeight="1" x14ac:dyDescent="0.2">
      <c r="A8" s="610"/>
      <c r="B8" s="610"/>
      <c r="C8" s="610"/>
      <c r="D8" s="616" t="s">
        <v>3814</v>
      </c>
      <c r="E8" s="374" t="s">
        <v>3815</v>
      </c>
      <c r="F8" s="374" t="s">
        <v>3815</v>
      </c>
      <c r="G8" s="618" t="s">
        <v>3816</v>
      </c>
      <c r="H8" s="618" t="s">
        <v>3282</v>
      </c>
      <c r="I8" s="618" t="s">
        <v>90</v>
      </c>
      <c r="J8" s="616" t="s">
        <v>10</v>
      </c>
      <c r="K8" s="73"/>
      <c r="L8" s="1"/>
    </row>
    <row r="9" spans="1:12" ht="13.5" customHeight="1" x14ac:dyDescent="0.2">
      <c r="A9" s="610"/>
      <c r="B9" s="610"/>
      <c r="C9" s="610"/>
      <c r="D9" s="617"/>
      <c r="E9" s="376" t="s">
        <v>3817</v>
      </c>
      <c r="F9" s="376" t="s">
        <v>3818</v>
      </c>
      <c r="G9" s="619"/>
      <c r="H9" s="619"/>
      <c r="I9" s="619"/>
      <c r="J9" s="617"/>
      <c r="K9" s="73"/>
      <c r="L9" s="1"/>
    </row>
    <row r="10" spans="1:12" ht="13.5" customHeight="1" x14ac:dyDescent="0.2">
      <c r="A10" s="610"/>
      <c r="B10" s="610"/>
      <c r="C10" s="610"/>
      <c r="D10" s="377" t="s">
        <v>3819</v>
      </c>
      <c r="E10" s="377" t="s">
        <v>3820</v>
      </c>
      <c r="F10" s="377" t="s">
        <v>3820</v>
      </c>
      <c r="G10" s="620"/>
      <c r="H10" s="620"/>
      <c r="I10" s="620"/>
      <c r="J10" s="621"/>
      <c r="K10" s="73"/>
      <c r="L10" s="1"/>
    </row>
    <row r="11" spans="1:12" ht="13.5" customHeight="1" x14ac:dyDescent="0.2">
      <c r="A11" s="375"/>
      <c r="B11" s="375"/>
      <c r="C11" s="375"/>
      <c r="D11" s="378"/>
      <c r="E11" s="376"/>
      <c r="F11" s="376"/>
      <c r="G11" s="379"/>
      <c r="H11" s="380"/>
      <c r="I11" s="381"/>
      <c r="J11" s="382"/>
      <c r="K11" s="73"/>
      <c r="L11" s="1"/>
    </row>
    <row r="12" spans="1:12" ht="13.5" customHeight="1" x14ac:dyDescent="0.2">
      <c r="A12" s="383">
        <v>46023</v>
      </c>
      <c r="B12" s="384" t="s">
        <v>5249</v>
      </c>
      <c r="C12" s="385" t="s">
        <v>3821</v>
      </c>
      <c r="D12" s="386">
        <f>SUM(E12:F12)</f>
        <v>0</v>
      </c>
      <c r="E12" s="386">
        <v>0</v>
      </c>
      <c r="F12" s="386">
        <v>0</v>
      </c>
      <c r="G12" s="387"/>
      <c r="H12" s="388"/>
      <c r="I12" s="389"/>
      <c r="J12" s="390"/>
      <c r="K12" s="362"/>
      <c r="L12" s="361"/>
    </row>
    <row r="13" spans="1:12" ht="13.5" customHeight="1" x14ac:dyDescent="0.2">
      <c r="A13" s="383">
        <v>46024</v>
      </c>
      <c r="B13" s="384" t="s">
        <v>5250</v>
      </c>
      <c r="C13" s="385" t="s">
        <v>3821</v>
      </c>
      <c r="D13" s="386">
        <f t="shared" ref="D13:D43" si="0">SUM(E13:F13)</f>
        <v>0</v>
      </c>
      <c r="E13" s="386">
        <v>0</v>
      </c>
      <c r="F13" s="386">
        <v>0</v>
      </c>
      <c r="G13" s="387"/>
      <c r="H13" s="388"/>
      <c r="I13" s="389"/>
      <c r="J13" s="390"/>
      <c r="K13" s="362"/>
      <c r="L13" s="361"/>
    </row>
    <row r="14" spans="1:12" ht="13.5" customHeight="1" x14ac:dyDescent="0.2">
      <c r="A14" s="383">
        <v>46025</v>
      </c>
      <c r="B14" s="384" t="s">
        <v>5251</v>
      </c>
      <c r="C14" s="385" t="s">
        <v>3821</v>
      </c>
      <c r="D14" s="386">
        <f t="shared" si="0"/>
        <v>0</v>
      </c>
      <c r="E14" s="386">
        <v>0</v>
      </c>
      <c r="F14" s="386">
        <v>0</v>
      </c>
      <c r="G14" s="387"/>
      <c r="H14" s="388"/>
      <c r="I14" s="389"/>
      <c r="J14" s="390"/>
      <c r="K14" s="73"/>
      <c r="L14" s="1"/>
    </row>
    <row r="15" spans="1:12" ht="13.5" customHeight="1" x14ac:dyDescent="0.2">
      <c r="A15" s="383">
        <v>46026</v>
      </c>
      <c r="B15" s="391" t="s">
        <v>5252</v>
      </c>
      <c r="C15" s="385" t="s">
        <v>3821</v>
      </c>
      <c r="D15" s="386">
        <f t="shared" si="0"/>
        <v>0</v>
      </c>
      <c r="E15" s="386">
        <v>0</v>
      </c>
      <c r="F15" s="386">
        <v>0</v>
      </c>
      <c r="G15" s="392"/>
      <c r="H15" s="388"/>
      <c r="I15" s="389"/>
      <c r="J15" s="393"/>
      <c r="K15" s="73"/>
      <c r="L15" s="1"/>
    </row>
    <row r="16" spans="1:12" ht="13.5" customHeight="1" x14ac:dyDescent="0.2">
      <c r="A16" s="383">
        <v>46027</v>
      </c>
      <c r="B16" s="394" t="s">
        <v>5253</v>
      </c>
      <c r="C16" s="385" t="s">
        <v>3821</v>
      </c>
      <c r="D16" s="386">
        <f t="shared" si="0"/>
        <v>0</v>
      </c>
      <c r="E16" s="386">
        <v>0</v>
      </c>
      <c r="F16" s="386">
        <v>0</v>
      </c>
      <c r="G16" s="387"/>
      <c r="H16" s="388"/>
      <c r="I16" s="389"/>
      <c r="J16" s="390"/>
      <c r="K16" s="73"/>
      <c r="L16" s="1"/>
    </row>
    <row r="17" spans="1:12" ht="13.5" customHeight="1" x14ac:dyDescent="0.2">
      <c r="A17" s="383">
        <v>46028</v>
      </c>
      <c r="B17" s="394" t="s">
        <v>5254</v>
      </c>
      <c r="C17" s="385" t="s">
        <v>3821</v>
      </c>
      <c r="D17" s="386">
        <f t="shared" si="0"/>
        <v>0</v>
      </c>
      <c r="E17" s="386">
        <v>0</v>
      </c>
      <c r="F17" s="386">
        <v>0</v>
      </c>
      <c r="G17" s="387"/>
      <c r="H17" s="388"/>
      <c r="I17" s="389"/>
      <c r="J17" s="390"/>
      <c r="K17" s="73"/>
      <c r="L17" s="1"/>
    </row>
    <row r="18" spans="1:12" ht="13.5" customHeight="1" x14ac:dyDescent="0.2">
      <c r="A18" s="383">
        <v>46029</v>
      </c>
      <c r="B18" s="394" t="s">
        <v>5255</v>
      </c>
      <c r="C18" s="385" t="s">
        <v>3821</v>
      </c>
      <c r="D18" s="386">
        <f t="shared" si="0"/>
        <v>0</v>
      </c>
      <c r="E18" s="386">
        <v>0</v>
      </c>
      <c r="F18" s="386">
        <v>0</v>
      </c>
      <c r="G18" s="387"/>
      <c r="H18" s="388"/>
      <c r="I18" s="389"/>
      <c r="J18" s="390"/>
      <c r="K18" s="73"/>
      <c r="L18" s="1"/>
    </row>
    <row r="19" spans="1:12" ht="13.5" customHeight="1" x14ac:dyDescent="0.2">
      <c r="A19" s="383">
        <v>46030</v>
      </c>
      <c r="B19" s="394" t="s">
        <v>5256</v>
      </c>
      <c r="C19" s="385" t="s">
        <v>3821</v>
      </c>
      <c r="D19" s="386">
        <f t="shared" si="0"/>
        <v>0</v>
      </c>
      <c r="E19" s="386">
        <v>0</v>
      </c>
      <c r="F19" s="386">
        <v>0</v>
      </c>
      <c r="G19" s="387"/>
      <c r="H19" s="388"/>
      <c r="I19" s="389"/>
      <c r="J19" s="390"/>
      <c r="K19" s="73"/>
      <c r="L19" s="70"/>
    </row>
    <row r="20" spans="1:12" ht="13.5" customHeight="1" x14ac:dyDescent="0.2">
      <c r="A20" s="383">
        <v>46031</v>
      </c>
      <c r="B20" s="391" t="s">
        <v>5257</v>
      </c>
      <c r="C20" s="385" t="s">
        <v>3821</v>
      </c>
      <c r="D20" s="386">
        <f t="shared" si="0"/>
        <v>0</v>
      </c>
      <c r="E20" s="386">
        <v>0</v>
      </c>
      <c r="F20" s="386">
        <v>0</v>
      </c>
      <c r="G20" s="392"/>
      <c r="H20" s="388"/>
      <c r="I20" s="389"/>
      <c r="J20" s="393"/>
      <c r="K20" s="73"/>
      <c r="L20" s="1"/>
    </row>
    <row r="21" spans="1:12" ht="13.5" customHeight="1" x14ac:dyDescent="0.2">
      <c r="A21" s="383">
        <v>46032</v>
      </c>
      <c r="B21" s="394" t="s">
        <v>5258</v>
      </c>
      <c r="C21" s="385" t="s">
        <v>3821</v>
      </c>
      <c r="D21" s="386">
        <f t="shared" si="0"/>
        <v>0</v>
      </c>
      <c r="E21" s="386">
        <v>0</v>
      </c>
      <c r="F21" s="386">
        <v>0</v>
      </c>
      <c r="G21" s="387"/>
      <c r="H21" s="388"/>
      <c r="I21" s="389"/>
      <c r="J21" s="390"/>
      <c r="K21" s="73"/>
      <c r="L21" s="1"/>
    </row>
    <row r="22" spans="1:12" ht="13.5" customHeight="1" x14ac:dyDescent="0.2">
      <c r="A22" s="383">
        <v>46033</v>
      </c>
      <c r="B22" s="394" t="s">
        <v>5259</v>
      </c>
      <c r="C22" s="385" t="s">
        <v>3821</v>
      </c>
      <c r="D22" s="386">
        <f t="shared" si="0"/>
        <v>0</v>
      </c>
      <c r="E22" s="386">
        <v>0</v>
      </c>
      <c r="F22" s="386">
        <v>0</v>
      </c>
      <c r="G22" s="392"/>
      <c r="H22" s="388"/>
      <c r="I22" s="389"/>
      <c r="J22" s="393"/>
      <c r="K22" s="73"/>
      <c r="L22" s="1"/>
    </row>
    <row r="23" spans="1:12" ht="13.5" customHeight="1" x14ac:dyDescent="0.2">
      <c r="A23" s="383">
        <v>46034</v>
      </c>
      <c r="B23" s="394" t="s">
        <v>5260</v>
      </c>
      <c r="C23" s="385" t="s">
        <v>3821</v>
      </c>
      <c r="D23" s="386">
        <f t="shared" si="0"/>
        <v>0</v>
      </c>
      <c r="E23" s="386">
        <v>0</v>
      </c>
      <c r="F23" s="386">
        <v>0</v>
      </c>
      <c r="G23" s="392"/>
      <c r="H23" s="388"/>
      <c r="I23" s="389"/>
      <c r="J23" s="393"/>
      <c r="K23" s="534"/>
      <c r="L23" s="1"/>
    </row>
    <row r="24" spans="1:12" ht="13.5" customHeight="1" x14ac:dyDescent="0.2">
      <c r="A24" s="383">
        <v>46035</v>
      </c>
      <c r="B24" s="391" t="s">
        <v>5261</v>
      </c>
      <c r="C24" s="385" t="s">
        <v>3821</v>
      </c>
      <c r="D24" s="386">
        <f t="shared" si="0"/>
        <v>0</v>
      </c>
      <c r="E24" s="386">
        <v>0</v>
      </c>
      <c r="F24" s="386">
        <v>0</v>
      </c>
      <c r="G24" s="387"/>
      <c r="H24" s="388"/>
      <c r="I24" s="389"/>
      <c r="J24" s="390"/>
      <c r="K24" s="73"/>
      <c r="L24" s="1"/>
    </row>
    <row r="25" spans="1:12" ht="13.5" customHeight="1" x14ac:dyDescent="0.2">
      <c r="A25" s="383">
        <v>46036</v>
      </c>
      <c r="B25" s="391" t="s">
        <v>5262</v>
      </c>
      <c r="C25" s="385" t="s">
        <v>3821</v>
      </c>
      <c r="D25" s="386">
        <f t="shared" si="0"/>
        <v>0</v>
      </c>
      <c r="E25" s="386">
        <v>0</v>
      </c>
      <c r="F25" s="386">
        <v>0</v>
      </c>
      <c r="G25" s="387"/>
      <c r="H25" s="388"/>
      <c r="I25" s="389"/>
      <c r="J25" s="390"/>
      <c r="K25" s="73"/>
      <c r="L25" s="1"/>
    </row>
    <row r="26" spans="1:12" ht="13.5" customHeight="1" x14ac:dyDescent="0.2">
      <c r="A26" s="383">
        <v>46037</v>
      </c>
      <c r="B26" s="391" t="s">
        <v>5263</v>
      </c>
      <c r="C26" s="385" t="s">
        <v>3821</v>
      </c>
      <c r="D26" s="386">
        <f t="shared" si="0"/>
        <v>0</v>
      </c>
      <c r="E26" s="386">
        <v>0</v>
      </c>
      <c r="F26" s="386">
        <v>0</v>
      </c>
      <c r="G26" s="387"/>
      <c r="H26" s="388"/>
      <c r="I26" s="389"/>
      <c r="J26" s="390"/>
      <c r="K26" s="73"/>
      <c r="L26" s="1"/>
    </row>
    <row r="27" spans="1:12" ht="13.5" customHeight="1" x14ac:dyDescent="0.2">
      <c r="A27" s="383">
        <v>46038</v>
      </c>
      <c r="B27" s="394" t="s">
        <v>5264</v>
      </c>
      <c r="C27" s="385" t="s">
        <v>3821</v>
      </c>
      <c r="D27" s="386">
        <f t="shared" si="0"/>
        <v>0</v>
      </c>
      <c r="E27" s="386">
        <v>0</v>
      </c>
      <c r="F27" s="386">
        <v>0</v>
      </c>
      <c r="G27" s="392"/>
      <c r="H27" s="388"/>
      <c r="I27" s="389"/>
      <c r="J27" s="393"/>
      <c r="K27" s="73"/>
      <c r="L27" s="70"/>
    </row>
    <row r="28" spans="1:12" ht="13.5" customHeight="1" x14ac:dyDescent="0.2">
      <c r="A28" s="383">
        <v>46039</v>
      </c>
      <c r="B28" s="394" t="str">
        <f>[1]BKM!I567</f>
        <v>No. KM/17/I/2026</v>
      </c>
      <c r="C28" s="385" t="s">
        <v>3821</v>
      </c>
      <c r="D28" s="386">
        <f t="shared" si="0"/>
        <v>0</v>
      </c>
      <c r="E28" s="386">
        <v>0</v>
      </c>
      <c r="F28" s="386">
        <v>0</v>
      </c>
      <c r="G28" s="387"/>
      <c r="H28" s="388"/>
      <c r="I28" s="389"/>
      <c r="J28" s="390"/>
      <c r="K28" s="73"/>
      <c r="L28" s="1"/>
    </row>
    <row r="29" spans="1:12" ht="13.5" customHeight="1" x14ac:dyDescent="0.2">
      <c r="A29" s="383">
        <v>46040</v>
      </c>
      <c r="B29" s="394" t="str">
        <f>[1]BKM!I602</f>
        <v>No. KM/18/I/2026</v>
      </c>
      <c r="C29" s="385" t="s">
        <v>3821</v>
      </c>
      <c r="D29" s="386">
        <f t="shared" si="0"/>
        <v>0</v>
      </c>
      <c r="E29" s="386">
        <v>0</v>
      </c>
      <c r="F29" s="386">
        <v>0</v>
      </c>
      <c r="G29" s="392"/>
      <c r="H29" s="388"/>
      <c r="I29" s="389"/>
      <c r="J29" s="393"/>
      <c r="K29" s="73"/>
      <c r="L29" s="70"/>
    </row>
    <row r="30" spans="1:12" ht="13.5" customHeight="1" x14ac:dyDescent="0.2">
      <c r="A30" s="383">
        <v>46041</v>
      </c>
      <c r="B30" s="394" t="str">
        <f>[1]BKM!I637</f>
        <v>No. KM/19/I/2026</v>
      </c>
      <c r="C30" s="385" t="s">
        <v>3821</v>
      </c>
      <c r="D30" s="386">
        <f t="shared" si="0"/>
        <v>0</v>
      </c>
      <c r="E30" s="386">
        <v>0</v>
      </c>
      <c r="F30" s="386">
        <v>0</v>
      </c>
      <c r="G30" s="387"/>
      <c r="H30" s="388"/>
      <c r="I30" s="389"/>
      <c r="J30" s="390"/>
      <c r="K30" s="73"/>
      <c r="L30" s="1"/>
    </row>
    <row r="31" spans="1:12" ht="13.5" customHeight="1" x14ac:dyDescent="0.2">
      <c r="A31" s="383">
        <v>46042</v>
      </c>
      <c r="B31" s="394" t="str">
        <f>[1]BKM!I672</f>
        <v>No. KM/20/I/2026</v>
      </c>
      <c r="C31" s="385" t="s">
        <v>3821</v>
      </c>
      <c r="D31" s="386">
        <f t="shared" si="0"/>
        <v>0</v>
      </c>
      <c r="E31" s="386">
        <v>0</v>
      </c>
      <c r="F31" s="386">
        <v>0</v>
      </c>
      <c r="G31" s="387"/>
      <c r="H31" s="388"/>
      <c r="I31" s="389"/>
      <c r="J31" s="390"/>
      <c r="K31" s="73"/>
      <c r="L31" s="1"/>
    </row>
    <row r="32" spans="1:12" ht="13.5" customHeight="1" x14ac:dyDescent="0.2">
      <c r="A32" s="383">
        <v>46043</v>
      </c>
      <c r="B32" s="394" t="str">
        <f>[1]BKM!I707</f>
        <v>No. KM/21/I/2026</v>
      </c>
      <c r="C32" s="385" t="s">
        <v>3821</v>
      </c>
      <c r="D32" s="386">
        <f t="shared" si="0"/>
        <v>0</v>
      </c>
      <c r="E32" s="386">
        <v>0</v>
      </c>
      <c r="F32" s="386">
        <v>0</v>
      </c>
      <c r="G32" s="392"/>
      <c r="H32" s="388"/>
      <c r="I32" s="389"/>
      <c r="J32" s="393"/>
      <c r="K32" s="73"/>
      <c r="L32" s="1"/>
    </row>
    <row r="33" spans="1:12" ht="13.5" customHeight="1" x14ac:dyDescent="0.2">
      <c r="A33" s="383">
        <v>46044</v>
      </c>
      <c r="B33" s="394" t="str">
        <f>[1]BKM!I742</f>
        <v>No. KM/22/I/2026</v>
      </c>
      <c r="C33" s="385" t="s">
        <v>3821</v>
      </c>
      <c r="D33" s="386">
        <f t="shared" si="0"/>
        <v>0</v>
      </c>
      <c r="E33" s="386">
        <v>0</v>
      </c>
      <c r="F33" s="386">
        <v>0</v>
      </c>
      <c r="G33" s="387"/>
      <c r="H33" s="388"/>
      <c r="I33" s="389"/>
      <c r="J33" s="390"/>
      <c r="K33" s="73"/>
      <c r="L33" s="1"/>
    </row>
    <row r="34" spans="1:12" ht="13.5" customHeight="1" x14ac:dyDescent="0.2">
      <c r="A34" s="383">
        <v>46045</v>
      </c>
      <c r="B34" s="394" t="str">
        <f>[1]BKM!I777</f>
        <v>No. KM/23/I/2026</v>
      </c>
      <c r="C34" s="385" t="s">
        <v>3821</v>
      </c>
      <c r="D34" s="386">
        <f t="shared" si="0"/>
        <v>0</v>
      </c>
      <c r="E34" s="386">
        <v>0</v>
      </c>
      <c r="F34" s="386">
        <v>0</v>
      </c>
      <c r="G34" s="387"/>
      <c r="H34" s="388"/>
      <c r="I34" s="389"/>
      <c r="J34" s="390"/>
      <c r="K34" s="73"/>
      <c r="L34" s="70"/>
    </row>
    <row r="35" spans="1:12" ht="13.5" customHeight="1" x14ac:dyDescent="0.2">
      <c r="A35" s="383">
        <v>46046</v>
      </c>
      <c r="B35" s="394" t="str">
        <f>[1]BKM!I812</f>
        <v>No. KM/24/I/2026</v>
      </c>
      <c r="C35" s="385" t="s">
        <v>3821</v>
      </c>
      <c r="D35" s="386">
        <f t="shared" si="0"/>
        <v>0</v>
      </c>
      <c r="E35" s="386">
        <v>0</v>
      </c>
      <c r="F35" s="386">
        <v>0</v>
      </c>
      <c r="G35" s="387"/>
      <c r="H35" s="388"/>
      <c r="I35" s="389"/>
      <c r="J35" s="390"/>
      <c r="K35" s="73"/>
      <c r="L35" s="1"/>
    </row>
    <row r="36" spans="1:12" ht="13.5" customHeight="1" x14ac:dyDescent="0.2">
      <c r="A36" s="383">
        <v>46047</v>
      </c>
      <c r="B36" s="394" t="str">
        <f>[1]BKM!I847</f>
        <v>No. KM/25/I/2026</v>
      </c>
      <c r="C36" s="385" t="s">
        <v>3821</v>
      </c>
      <c r="D36" s="386">
        <f t="shared" si="0"/>
        <v>0</v>
      </c>
      <c r="E36" s="386">
        <v>0</v>
      </c>
      <c r="F36" s="386">
        <v>0</v>
      </c>
      <c r="G36" s="392"/>
      <c r="H36" s="388"/>
      <c r="I36" s="389"/>
      <c r="J36" s="393"/>
      <c r="K36" s="73"/>
      <c r="L36" s="1"/>
    </row>
    <row r="37" spans="1:12" ht="13.5" customHeight="1" x14ac:dyDescent="0.2">
      <c r="A37" s="383">
        <v>46048</v>
      </c>
      <c r="B37" s="394" t="str">
        <f>[1]BKM!I882</f>
        <v>No. KM/26/I/2026</v>
      </c>
      <c r="C37" s="385" t="s">
        <v>3821</v>
      </c>
      <c r="D37" s="386">
        <f t="shared" si="0"/>
        <v>0</v>
      </c>
      <c r="E37" s="386">
        <v>0</v>
      </c>
      <c r="F37" s="386">
        <v>0</v>
      </c>
      <c r="G37" s="392"/>
      <c r="H37" s="388"/>
      <c r="I37" s="389"/>
      <c r="J37" s="393"/>
      <c r="K37" s="73"/>
      <c r="L37" s="1"/>
    </row>
    <row r="38" spans="1:12" ht="13.5" customHeight="1" x14ac:dyDescent="0.2">
      <c r="A38" s="383">
        <v>46049</v>
      </c>
      <c r="B38" s="394" t="str">
        <f>[1]BKM!I917</f>
        <v>No. KM/27/I/2026</v>
      </c>
      <c r="C38" s="385" t="s">
        <v>3821</v>
      </c>
      <c r="D38" s="386">
        <f t="shared" si="0"/>
        <v>0</v>
      </c>
      <c r="E38" s="386">
        <v>0</v>
      </c>
      <c r="F38" s="386">
        <v>0</v>
      </c>
      <c r="G38" s="392" t="s">
        <v>3312</v>
      </c>
      <c r="H38" s="388" t="s">
        <v>5666</v>
      </c>
      <c r="I38" s="396"/>
      <c r="J38" s="397"/>
      <c r="K38" s="73"/>
      <c r="L38" s="1"/>
    </row>
    <row r="39" spans="1:12" ht="13.5" customHeight="1" x14ac:dyDescent="0.2">
      <c r="A39" s="383"/>
      <c r="B39" s="394"/>
      <c r="C39" s="385"/>
      <c r="D39" s="386">
        <f t="shared" si="0"/>
        <v>0</v>
      </c>
      <c r="E39" s="386">
        <v>0</v>
      </c>
      <c r="F39" s="386">
        <v>0</v>
      </c>
      <c r="G39" s="392" t="s">
        <v>3562</v>
      </c>
      <c r="H39" s="388" t="s">
        <v>3822</v>
      </c>
      <c r="I39" s="396"/>
      <c r="J39" s="492"/>
      <c r="K39" s="73"/>
      <c r="L39" s="1"/>
    </row>
    <row r="40" spans="1:12" ht="13.5" customHeight="1" x14ac:dyDescent="0.2">
      <c r="A40" s="383">
        <v>46050</v>
      </c>
      <c r="B40" s="394" t="str">
        <f>[1]BKM!I952</f>
        <v>No. KM/28/I/2026</v>
      </c>
      <c r="C40" s="385" t="s">
        <v>3821</v>
      </c>
      <c r="D40" s="386">
        <f t="shared" si="0"/>
        <v>0</v>
      </c>
      <c r="E40" s="386">
        <v>0</v>
      </c>
      <c r="F40" s="386">
        <v>0</v>
      </c>
      <c r="G40" s="387"/>
      <c r="H40" s="395"/>
      <c r="I40" s="396"/>
      <c r="J40" s="397"/>
      <c r="K40" s="73"/>
      <c r="L40" s="1"/>
    </row>
    <row r="41" spans="1:12" ht="13.5" customHeight="1" x14ac:dyDescent="0.2">
      <c r="A41" s="383">
        <v>46051</v>
      </c>
      <c r="B41" s="384" t="str">
        <f>[1]BKM!I987</f>
        <v>No. KM/29/I/2026</v>
      </c>
      <c r="C41" s="385" t="s">
        <v>3821</v>
      </c>
      <c r="D41" s="386">
        <f t="shared" si="0"/>
        <v>0</v>
      </c>
      <c r="E41" s="386">
        <v>0</v>
      </c>
      <c r="F41" s="386">
        <v>0</v>
      </c>
      <c r="G41" s="387"/>
      <c r="H41" s="395"/>
      <c r="I41" s="396"/>
      <c r="J41" s="397"/>
      <c r="K41" s="73"/>
      <c r="L41" s="1"/>
    </row>
    <row r="42" spans="1:12" ht="13.5" customHeight="1" x14ac:dyDescent="0.2">
      <c r="A42" s="383">
        <v>46052</v>
      </c>
      <c r="B42" s="394" t="str">
        <f>[1]BKM!I1022</f>
        <v>No. KM/30/I/2026</v>
      </c>
      <c r="C42" s="385" t="s">
        <v>3821</v>
      </c>
      <c r="D42" s="386">
        <f t="shared" si="0"/>
        <v>0</v>
      </c>
      <c r="E42" s="386">
        <v>0</v>
      </c>
      <c r="F42" s="386">
        <v>0</v>
      </c>
      <c r="G42" s="387"/>
      <c r="H42" s="395"/>
      <c r="I42" s="396"/>
      <c r="J42" s="397"/>
      <c r="K42" s="73"/>
      <c r="L42" s="1"/>
    </row>
    <row r="43" spans="1:12" ht="13.5" customHeight="1" x14ac:dyDescent="0.2">
      <c r="A43" s="383">
        <v>46053</v>
      </c>
      <c r="B43" s="394" t="str">
        <f>[1]BKM!I1057</f>
        <v>No. KM/31/I/2026</v>
      </c>
      <c r="C43" s="385" t="s">
        <v>3821</v>
      </c>
      <c r="D43" s="386">
        <f t="shared" si="0"/>
        <v>0</v>
      </c>
      <c r="E43" s="386">
        <v>0</v>
      </c>
      <c r="F43" s="386">
        <v>0</v>
      </c>
      <c r="G43" s="387"/>
      <c r="H43" s="395"/>
      <c r="I43" s="396"/>
      <c r="J43" s="397"/>
      <c r="K43" s="73"/>
      <c r="L43" s="1"/>
    </row>
    <row r="44" spans="1:12" ht="13.5" customHeight="1" x14ac:dyDescent="0.2">
      <c r="A44" s="398"/>
      <c r="B44" s="394"/>
      <c r="C44" s="385"/>
      <c r="D44" s="386">
        <f t="shared" ref="D44" si="1">SUM(E44:F44)</f>
        <v>0</v>
      </c>
      <c r="E44" s="399"/>
      <c r="F44" s="399"/>
      <c r="G44" s="400"/>
      <c r="H44" s="395"/>
      <c r="I44" s="396"/>
      <c r="J44" s="397"/>
      <c r="K44" s="73"/>
      <c r="L44" s="1"/>
    </row>
    <row r="45" spans="1:12" ht="13.5" customHeight="1" thickBot="1" x14ac:dyDescent="0.25">
      <c r="A45" s="401"/>
      <c r="B45" s="402"/>
      <c r="C45" s="402" t="s">
        <v>3823</v>
      </c>
      <c r="D45" s="403">
        <f>SUM(D12:D44)</f>
        <v>0</v>
      </c>
      <c r="E45" s="403">
        <f>SUM(E12:E44)</f>
        <v>0</v>
      </c>
      <c r="F45" s="403">
        <f>SUM(F12:F44)</f>
        <v>0</v>
      </c>
      <c r="G45" s="403"/>
      <c r="H45" s="403"/>
      <c r="I45" s="403">
        <f>SUM(I12:I44)</f>
        <v>0</v>
      </c>
      <c r="J45" s="403">
        <f>SUM(J12:J44)</f>
        <v>0</v>
      </c>
      <c r="K45" s="73"/>
      <c r="L45" s="1"/>
    </row>
    <row r="46" spans="1:12" ht="13.5" customHeight="1" x14ac:dyDescent="0.25">
      <c r="A46" s="372"/>
      <c r="B46" s="372"/>
      <c r="C46" s="372"/>
      <c r="D46" s="404"/>
      <c r="E46" s="372"/>
      <c r="F46" s="372"/>
      <c r="G46" s="372"/>
      <c r="H46" s="109"/>
      <c r="I46" s="109"/>
      <c r="J46" s="109"/>
      <c r="K46" s="73"/>
      <c r="L46" s="1"/>
    </row>
    <row r="47" spans="1:12" ht="13.5" customHeight="1" x14ac:dyDescent="0.25">
      <c r="A47" s="372"/>
      <c r="B47" s="372"/>
      <c r="C47" s="372"/>
      <c r="D47" s="404"/>
      <c r="E47" s="372"/>
      <c r="F47" s="372"/>
      <c r="G47" s="372"/>
      <c r="H47" s="109"/>
      <c r="I47" s="109"/>
      <c r="J47" s="109"/>
      <c r="K47" s="73"/>
      <c r="L47" s="1"/>
    </row>
    <row r="48" spans="1:12" ht="13.5" customHeight="1" x14ac:dyDescent="0.25">
      <c r="A48" s="372"/>
      <c r="B48" s="372"/>
      <c r="C48" s="372"/>
      <c r="D48" s="404"/>
      <c r="E48" s="372"/>
      <c r="F48" s="372"/>
      <c r="G48" s="372"/>
      <c r="H48" s="109"/>
      <c r="I48" s="109"/>
      <c r="J48" s="109"/>
      <c r="K48" s="73"/>
      <c r="L48" s="1"/>
    </row>
    <row r="49" spans="1:12" ht="13.5" customHeight="1" x14ac:dyDescent="0.25">
      <c r="A49" s="372" t="s">
        <v>3811</v>
      </c>
      <c r="B49" s="372"/>
      <c r="C49" s="372"/>
      <c r="D49" s="372"/>
      <c r="E49" s="372"/>
      <c r="F49" s="372"/>
      <c r="G49" s="372"/>
      <c r="H49" s="109"/>
      <c r="I49" s="109"/>
      <c r="J49" s="109"/>
      <c r="K49" s="73"/>
      <c r="L49" s="1"/>
    </row>
    <row r="50" spans="1:12" ht="13.5" customHeight="1" x14ac:dyDescent="0.25">
      <c r="A50" s="372" t="s">
        <v>3748</v>
      </c>
      <c r="B50" s="372"/>
      <c r="C50" s="372"/>
      <c r="D50" s="372"/>
      <c r="E50" s="372"/>
      <c r="F50" s="372"/>
      <c r="G50" s="372"/>
      <c r="H50" s="109"/>
      <c r="I50" s="109"/>
      <c r="J50" s="109"/>
      <c r="K50" s="73"/>
      <c r="L50" s="1"/>
    </row>
    <row r="51" spans="1:12" ht="13.5" customHeight="1" x14ac:dyDescent="0.2">
      <c r="A51" s="609" t="s">
        <v>3812</v>
      </c>
      <c r="B51" s="609"/>
      <c r="C51" s="609"/>
      <c r="D51" s="609"/>
      <c r="E51" s="609"/>
      <c r="F51" s="609"/>
      <c r="G51" s="609"/>
      <c r="H51" s="609"/>
      <c r="I51" s="609"/>
      <c r="J51" s="609"/>
      <c r="K51" s="73"/>
      <c r="L51" s="1"/>
    </row>
    <row r="52" spans="1:12" ht="13.5" customHeight="1" x14ac:dyDescent="0.2">
      <c r="A52" s="609" t="s">
        <v>3813</v>
      </c>
      <c r="B52" s="609"/>
      <c r="C52" s="609"/>
      <c r="D52" s="609"/>
      <c r="E52" s="609"/>
      <c r="F52" s="609"/>
      <c r="G52" s="609"/>
      <c r="H52" s="609"/>
      <c r="I52" s="609"/>
      <c r="J52" s="609"/>
      <c r="K52" s="73"/>
      <c r="L52" s="1"/>
    </row>
    <row r="53" spans="1:12" ht="13.5" customHeight="1" x14ac:dyDescent="0.2">
      <c r="A53" s="609" t="s">
        <v>5383</v>
      </c>
      <c r="B53" s="609"/>
      <c r="C53" s="609"/>
      <c r="D53" s="609"/>
      <c r="E53" s="609"/>
      <c r="F53" s="609"/>
      <c r="G53" s="609"/>
      <c r="H53" s="609"/>
      <c r="I53" s="609"/>
      <c r="J53" s="609"/>
      <c r="K53" s="73"/>
      <c r="L53" s="1"/>
    </row>
    <row r="54" spans="1:12" ht="13.5" customHeight="1" x14ac:dyDescent="0.25">
      <c r="A54" s="372"/>
      <c r="B54" s="372"/>
      <c r="C54" s="372"/>
      <c r="D54" s="372"/>
      <c r="E54" s="372"/>
      <c r="F54" s="372"/>
      <c r="G54" s="372"/>
      <c r="H54" s="109"/>
      <c r="I54" s="109"/>
      <c r="J54" s="109"/>
      <c r="K54" s="73"/>
      <c r="L54" s="1"/>
    </row>
    <row r="55" spans="1:12" ht="13.5" customHeight="1" x14ac:dyDescent="0.2">
      <c r="A55" s="610" t="s">
        <v>12</v>
      </c>
      <c r="B55" s="610" t="s">
        <v>91</v>
      </c>
      <c r="C55" s="610" t="s">
        <v>13</v>
      </c>
      <c r="D55" s="373" t="s">
        <v>90</v>
      </c>
      <c r="E55" s="611" t="s">
        <v>14</v>
      </c>
      <c r="F55" s="612"/>
      <c r="G55" s="613" t="s">
        <v>29</v>
      </c>
      <c r="H55" s="614"/>
      <c r="I55" s="614"/>
      <c r="J55" s="615"/>
      <c r="K55" s="73"/>
      <c r="L55" s="1"/>
    </row>
    <row r="56" spans="1:12" ht="13.5" customHeight="1" x14ac:dyDescent="0.2">
      <c r="A56" s="610"/>
      <c r="B56" s="610"/>
      <c r="C56" s="610"/>
      <c r="D56" s="616" t="s">
        <v>3814</v>
      </c>
      <c r="E56" s="374" t="s">
        <v>3815</v>
      </c>
      <c r="F56" s="374" t="s">
        <v>3815</v>
      </c>
      <c r="G56" s="618" t="s">
        <v>3816</v>
      </c>
      <c r="H56" s="618" t="s">
        <v>3282</v>
      </c>
      <c r="I56" s="618" t="s">
        <v>90</v>
      </c>
      <c r="J56" s="616" t="s">
        <v>10</v>
      </c>
      <c r="K56" s="73"/>
      <c r="L56" s="1"/>
    </row>
    <row r="57" spans="1:12" ht="13.5" customHeight="1" x14ac:dyDescent="0.2">
      <c r="A57" s="610"/>
      <c r="B57" s="610"/>
      <c r="C57" s="610"/>
      <c r="D57" s="617"/>
      <c r="E57" s="376" t="s">
        <v>3817</v>
      </c>
      <c r="F57" s="376" t="s">
        <v>3818</v>
      </c>
      <c r="G57" s="619"/>
      <c r="H57" s="619"/>
      <c r="I57" s="619"/>
      <c r="J57" s="617"/>
      <c r="K57" s="73"/>
      <c r="L57" s="1"/>
    </row>
    <row r="58" spans="1:12" ht="13.5" customHeight="1" x14ac:dyDescent="0.2">
      <c r="A58" s="610"/>
      <c r="B58" s="610"/>
      <c r="C58" s="610"/>
      <c r="D58" s="377" t="s">
        <v>3819</v>
      </c>
      <c r="E58" s="377" t="s">
        <v>3820</v>
      </c>
      <c r="F58" s="377" t="s">
        <v>3820</v>
      </c>
      <c r="G58" s="620"/>
      <c r="H58" s="620"/>
      <c r="I58" s="620"/>
      <c r="J58" s="621"/>
      <c r="K58" s="73"/>
      <c r="L58" s="1"/>
    </row>
    <row r="59" spans="1:12" ht="13.5" customHeight="1" x14ac:dyDescent="0.2">
      <c r="A59" s="375"/>
      <c r="B59" s="375"/>
      <c r="C59" s="375"/>
      <c r="D59" s="378"/>
      <c r="E59" s="376"/>
      <c r="F59" s="376"/>
      <c r="G59" s="379"/>
      <c r="H59" s="380"/>
      <c r="I59" s="381"/>
      <c r="J59" s="382"/>
      <c r="K59" s="73"/>
      <c r="L59" s="1"/>
    </row>
    <row r="60" spans="1:12" ht="13.5" customHeight="1" x14ac:dyDescent="0.2">
      <c r="A60" s="445" t="s">
        <v>5265</v>
      </c>
      <c r="B60" s="384" t="s">
        <v>5293</v>
      </c>
      <c r="C60" s="385" t="s">
        <v>3821</v>
      </c>
      <c r="D60" s="386">
        <f>SUM(E60:F60)</f>
        <v>0</v>
      </c>
      <c r="E60" s="386">
        <v>0</v>
      </c>
      <c r="F60" s="386">
        <v>0</v>
      </c>
      <c r="G60" s="392"/>
      <c r="H60" s="388"/>
      <c r="I60" s="389"/>
      <c r="J60" s="393"/>
      <c r="K60" s="73"/>
      <c r="L60" s="1"/>
    </row>
    <row r="61" spans="1:12" ht="13.5" customHeight="1" x14ac:dyDescent="0.2">
      <c r="A61" s="445" t="s">
        <v>5266</v>
      </c>
      <c r="B61" s="384" t="s">
        <v>5294</v>
      </c>
      <c r="C61" s="385" t="s">
        <v>3821</v>
      </c>
      <c r="D61" s="386">
        <f t="shared" ref="D61:D89" si="2">SUM(E61:F61)</f>
        <v>0</v>
      </c>
      <c r="E61" s="386">
        <v>0</v>
      </c>
      <c r="F61" s="386">
        <v>0</v>
      </c>
      <c r="G61" s="387"/>
      <c r="H61" s="388"/>
      <c r="I61" s="389"/>
      <c r="J61" s="390"/>
      <c r="K61" s="73"/>
      <c r="L61" s="1"/>
    </row>
    <row r="62" spans="1:12" ht="13.5" customHeight="1" x14ac:dyDescent="0.2">
      <c r="A62" s="445" t="s">
        <v>5267</v>
      </c>
      <c r="B62" s="384" t="s">
        <v>5295</v>
      </c>
      <c r="C62" s="385" t="s">
        <v>3821</v>
      </c>
      <c r="D62" s="386">
        <f t="shared" si="2"/>
        <v>0</v>
      </c>
      <c r="E62" s="386">
        <v>0</v>
      </c>
      <c r="F62" s="386">
        <v>0</v>
      </c>
      <c r="G62" s="387"/>
      <c r="H62" s="388"/>
      <c r="I62" s="389"/>
      <c r="J62" s="390"/>
      <c r="K62" s="73"/>
      <c r="L62" s="1"/>
    </row>
    <row r="63" spans="1:12" ht="13.5" customHeight="1" x14ac:dyDescent="0.2">
      <c r="A63" s="445" t="s">
        <v>5268</v>
      </c>
      <c r="B63" s="391" t="s">
        <v>5296</v>
      </c>
      <c r="C63" s="385" t="s">
        <v>3821</v>
      </c>
      <c r="D63" s="386">
        <f t="shared" si="2"/>
        <v>0</v>
      </c>
      <c r="E63" s="386">
        <v>0</v>
      </c>
      <c r="F63" s="386">
        <v>0</v>
      </c>
      <c r="G63" s="392"/>
      <c r="H63" s="388"/>
      <c r="I63" s="389"/>
      <c r="J63" s="393"/>
      <c r="K63" s="73"/>
      <c r="L63" s="1"/>
    </row>
    <row r="64" spans="1:12" ht="13.5" customHeight="1" x14ac:dyDescent="0.2">
      <c r="A64" s="445" t="s">
        <v>5269</v>
      </c>
      <c r="B64" s="394" t="s">
        <v>5297</v>
      </c>
      <c r="C64" s="385" t="s">
        <v>3821</v>
      </c>
      <c r="D64" s="386">
        <f t="shared" si="2"/>
        <v>0</v>
      </c>
      <c r="E64" s="386">
        <v>0</v>
      </c>
      <c r="F64" s="386">
        <v>0</v>
      </c>
      <c r="G64" s="387"/>
      <c r="H64" s="388"/>
      <c r="I64" s="389"/>
      <c r="J64" s="390"/>
      <c r="K64" s="73"/>
      <c r="L64" s="1"/>
    </row>
    <row r="65" spans="1:12" ht="13.5" customHeight="1" x14ac:dyDescent="0.2">
      <c r="A65" s="445" t="s">
        <v>5270</v>
      </c>
      <c r="B65" s="394" t="s">
        <v>5298</v>
      </c>
      <c r="C65" s="385" t="s">
        <v>3821</v>
      </c>
      <c r="D65" s="386">
        <f t="shared" si="2"/>
        <v>0</v>
      </c>
      <c r="E65" s="386">
        <v>0</v>
      </c>
      <c r="F65" s="386">
        <v>0</v>
      </c>
      <c r="G65" s="392"/>
      <c r="H65" s="388"/>
      <c r="I65" s="389"/>
      <c r="J65" s="393"/>
      <c r="K65" s="73"/>
      <c r="L65" s="1"/>
    </row>
    <row r="66" spans="1:12" ht="13.5" customHeight="1" x14ac:dyDescent="0.2">
      <c r="A66" s="445" t="s">
        <v>5271</v>
      </c>
      <c r="B66" s="394" t="s">
        <v>5299</v>
      </c>
      <c r="C66" s="385" t="s">
        <v>3821</v>
      </c>
      <c r="D66" s="386">
        <f t="shared" si="2"/>
        <v>0</v>
      </c>
      <c r="E66" s="386">
        <v>0</v>
      </c>
      <c r="F66" s="386">
        <v>0</v>
      </c>
      <c r="G66" s="387"/>
      <c r="H66" s="388"/>
      <c r="I66" s="389"/>
      <c r="J66" s="390"/>
      <c r="K66" s="73"/>
      <c r="L66" s="1"/>
    </row>
    <row r="67" spans="1:12" ht="13.5" customHeight="1" x14ac:dyDescent="0.2">
      <c r="A67" s="445" t="s">
        <v>5272</v>
      </c>
      <c r="B67" s="394" t="s">
        <v>5300</v>
      </c>
      <c r="C67" s="385" t="s">
        <v>3821</v>
      </c>
      <c r="D67" s="386">
        <f t="shared" si="2"/>
        <v>0</v>
      </c>
      <c r="E67" s="386">
        <v>0</v>
      </c>
      <c r="F67" s="386">
        <v>0</v>
      </c>
      <c r="G67" s="387"/>
      <c r="H67" s="388"/>
      <c r="I67" s="389"/>
      <c r="J67" s="390"/>
      <c r="K67" s="73"/>
      <c r="L67" s="1"/>
    </row>
    <row r="68" spans="1:12" ht="13.5" customHeight="1" x14ac:dyDescent="0.2">
      <c r="A68" s="445" t="s">
        <v>5273</v>
      </c>
      <c r="B68" s="391" t="s">
        <v>5301</v>
      </c>
      <c r="C68" s="385" t="s">
        <v>3821</v>
      </c>
      <c r="D68" s="386">
        <f t="shared" si="2"/>
        <v>0</v>
      </c>
      <c r="E68" s="386">
        <v>0</v>
      </c>
      <c r="F68" s="386">
        <v>0</v>
      </c>
      <c r="G68" s="387"/>
      <c r="H68" s="388"/>
      <c r="I68" s="389"/>
      <c r="J68" s="390"/>
      <c r="K68" s="446"/>
      <c r="L68" s="447"/>
    </row>
    <row r="69" spans="1:12" ht="13.5" customHeight="1" x14ac:dyDescent="0.2">
      <c r="A69" s="445" t="s">
        <v>5274</v>
      </c>
      <c r="B69" s="394" t="s">
        <v>5302</v>
      </c>
      <c r="C69" s="385" t="s">
        <v>3821</v>
      </c>
      <c r="D69" s="386">
        <f t="shared" si="2"/>
        <v>0</v>
      </c>
      <c r="E69" s="386">
        <v>0</v>
      </c>
      <c r="F69" s="386">
        <v>0</v>
      </c>
      <c r="G69" s="392"/>
      <c r="H69" s="388"/>
      <c r="I69" s="389"/>
      <c r="J69" s="393"/>
      <c r="K69" s="448"/>
      <c r="L69" s="449"/>
    </row>
    <row r="70" spans="1:12" ht="13.5" customHeight="1" x14ac:dyDescent="0.2">
      <c r="A70" s="445" t="s">
        <v>5275</v>
      </c>
      <c r="B70" s="394" t="s">
        <v>5303</v>
      </c>
      <c r="C70" s="385" t="s">
        <v>3821</v>
      </c>
      <c r="D70" s="386">
        <f t="shared" si="2"/>
        <v>0</v>
      </c>
      <c r="E70" s="386">
        <v>0</v>
      </c>
      <c r="F70" s="386">
        <v>0</v>
      </c>
      <c r="G70" s="392"/>
      <c r="H70" s="388"/>
      <c r="I70" s="389"/>
      <c r="J70" s="393"/>
      <c r="K70" s="448"/>
      <c r="L70" s="573"/>
    </row>
    <row r="71" spans="1:12" ht="13.5" customHeight="1" x14ac:dyDescent="0.2">
      <c r="A71" s="445" t="s">
        <v>5276</v>
      </c>
      <c r="B71" s="394" t="s">
        <v>5304</v>
      </c>
      <c r="C71" s="385" t="s">
        <v>3821</v>
      </c>
      <c r="D71" s="386">
        <f t="shared" si="2"/>
        <v>0</v>
      </c>
      <c r="E71" s="386">
        <v>0</v>
      </c>
      <c r="F71" s="386">
        <v>0</v>
      </c>
      <c r="G71" s="392"/>
      <c r="H71" s="388"/>
      <c r="I71" s="389"/>
      <c r="J71" s="393"/>
      <c r="K71" s="73"/>
      <c r="L71" s="573"/>
    </row>
    <row r="72" spans="1:12" ht="13.5" customHeight="1" x14ac:dyDescent="0.2">
      <c r="A72" s="445" t="s">
        <v>5277</v>
      </c>
      <c r="B72" s="391" t="s">
        <v>5305</v>
      </c>
      <c r="C72" s="385" t="s">
        <v>3821</v>
      </c>
      <c r="D72" s="386">
        <f t="shared" si="2"/>
        <v>0</v>
      </c>
      <c r="E72" s="386">
        <v>0</v>
      </c>
      <c r="F72" s="386">
        <v>0</v>
      </c>
      <c r="G72" s="392"/>
      <c r="H72" s="388"/>
      <c r="I72" s="389"/>
      <c r="J72" s="390"/>
      <c r="K72" s="73"/>
      <c r="L72" s="1"/>
    </row>
    <row r="73" spans="1:12" ht="13.5" customHeight="1" x14ac:dyDescent="0.2">
      <c r="A73" s="445" t="s">
        <v>5278</v>
      </c>
      <c r="B73" s="391" t="s">
        <v>5306</v>
      </c>
      <c r="C73" s="385" t="s">
        <v>3821</v>
      </c>
      <c r="D73" s="386">
        <f t="shared" si="2"/>
        <v>0</v>
      </c>
      <c r="E73" s="386">
        <v>0</v>
      </c>
      <c r="F73" s="386">
        <v>0</v>
      </c>
      <c r="G73" s="387"/>
      <c r="H73" s="388"/>
      <c r="I73" s="389"/>
      <c r="J73" s="390"/>
      <c r="K73" s="73"/>
      <c r="L73" s="1"/>
    </row>
    <row r="74" spans="1:12" ht="13.5" customHeight="1" x14ac:dyDescent="0.2">
      <c r="A74" s="445" t="s">
        <v>5279</v>
      </c>
      <c r="B74" s="391" t="s">
        <v>5307</v>
      </c>
      <c r="C74" s="385" t="s">
        <v>3821</v>
      </c>
      <c r="D74" s="386">
        <f t="shared" si="2"/>
        <v>0</v>
      </c>
      <c r="E74" s="386">
        <v>0</v>
      </c>
      <c r="F74" s="386">
        <v>0</v>
      </c>
      <c r="G74" s="387"/>
      <c r="H74" s="388"/>
      <c r="I74" s="389"/>
      <c r="J74" s="390"/>
      <c r="K74" s="73"/>
      <c r="L74" s="1"/>
    </row>
    <row r="75" spans="1:12" ht="13.5" customHeight="1" x14ac:dyDescent="0.2">
      <c r="A75" s="445" t="s">
        <v>5280</v>
      </c>
      <c r="B75" s="394" t="s">
        <v>5308</v>
      </c>
      <c r="C75" s="385" t="s">
        <v>3821</v>
      </c>
      <c r="D75" s="386">
        <f t="shared" si="2"/>
        <v>0</v>
      </c>
      <c r="E75" s="386">
        <v>0</v>
      </c>
      <c r="F75" s="386">
        <v>0</v>
      </c>
      <c r="G75" s="392"/>
      <c r="H75" s="388"/>
      <c r="I75" s="389"/>
      <c r="J75" s="393"/>
      <c r="K75" s="73"/>
      <c r="L75" s="1"/>
    </row>
    <row r="76" spans="1:12" ht="13.5" customHeight="1" x14ac:dyDescent="0.2">
      <c r="A76" s="445" t="s">
        <v>5281</v>
      </c>
      <c r="B76" s="394" t="s">
        <v>5309</v>
      </c>
      <c r="C76" s="385" t="s">
        <v>3821</v>
      </c>
      <c r="D76" s="386">
        <f t="shared" si="2"/>
        <v>0</v>
      </c>
      <c r="E76" s="386">
        <v>0</v>
      </c>
      <c r="F76" s="386">
        <v>0</v>
      </c>
      <c r="G76" s="387"/>
      <c r="H76" s="388"/>
      <c r="I76" s="389"/>
      <c r="J76" s="390"/>
      <c r="K76" s="73"/>
      <c r="L76" s="1"/>
    </row>
    <row r="77" spans="1:12" ht="13.5" customHeight="1" x14ac:dyDescent="0.2">
      <c r="A77" s="445" t="s">
        <v>5282</v>
      </c>
      <c r="B77" s="394" t="s">
        <v>5310</v>
      </c>
      <c r="C77" s="385" t="s">
        <v>3821</v>
      </c>
      <c r="D77" s="386">
        <f t="shared" si="2"/>
        <v>0</v>
      </c>
      <c r="E77" s="386">
        <v>0</v>
      </c>
      <c r="F77" s="386">
        <v>0</v>
      </c>
      <c r="G77" s="387"/>
      <c r="H77" s="388"/>
      <c r="I77" s="389"/>
      <c r="J77" s="390"/>
      <c r="K77" s="73"/>
      <c r="L77" s="1"/>
    </row>
    <row r="78" spans="1:12" ht="13.5" customHeight="1" x14ac:dyDescent="0.2">
      <c r="A78" s="445" t="s">
        <v>5283</v>
      </c>
      <c r="B78" s="394" t="s">
        <v>5311</v>
      </c>
      <c r="C78" s="385" t="s">
        <v>3821</v>
      </c>
      <c r="D78" s="386">
        <f t="shared" si="2"/>
        <v>0</v>
      </c>
      <c r="E78" s="386">
        <v>0</v>
      </c>
      <c r="F78" s="386">
        <v>0</v>
      </c>
      <c r="G78" s="392"/>
      <c r="H78" s="388"/>
      <c r="I78" s="389"/>
      <c r="J78" s="393"/>
      <c r="K78" s="73"/>
      <c r="L78" s="1"/>
    </row>
    <row r="79" spans="1:12" ht="13.5" customHeight="1" x14ac:dyDescent="0.2">
      <c r="A79" s="445" t="s">
        <v>5284</v>
      </c>
      <c r="B79" s="394" t="s">
        <v>5312</v>
      </c>
      <c r="C79" s="385" t="s">
        <v>3821</v>
      </c>
      <c r="D79" s="386">
        <f t="shared" si="2"/>
        <v>0</v>
      </c>
      <c r="E79" s="386">
        <v>0</v>
      </c>
      <c r="F79" s="386">
        <v>0</v>
      </c>
      <c r="G79" s="392"/>
      <c r="H79" s="388"/>
      <c r="I79" s="389"/>
      <c r="J79" s="393"/>
      <c r="K79" s="73"/>
      <c r="L79" s="1"/>
    </row>
    <row r="80" spans="1:12" ht="13.5" customHeight="1" x14ac:dyDescent="0.2">
      <c r="A80" s="445" t="s">
        <v>5285</v>
      </c>
      <c r="B80" s="394" t="s">
        <v>5313</v>
      </c>
      <c r="C80" s="385" t="s">
        <v>3821</v>
      </c>
      <c r="D80" s="386">
        <f t="shared" si="2"/>
        <v>0</v>
      </c>
      <c r="E80" s="386">
        <v>0</v>
      </c>
      <c r="F80" s="386">
        <v>0</v>
      </c>
      <c r="G80" s="387"/>
      <c r="H80" s="388"/>
      <c r="I80" s="389"/>
      <c r="J80" s="390"/>
      <c r="K80" s="73"/>
      <c r="L80" s="1"/>
    </row>
    <row r="81" spans="1:12" ht="13.5" customHeight="1" x14ac:dyDescent="0.2">
      <c r="A81" s="445" t="s">
        <v>5286</v>
      </c>
      <c r="B81" s="394" t="s">
        <v>5314</v>
      </c>
      <c r="C81" s="385" t="s">
        <v>3821</v>
      </c>
      <c r="D81" s="386">
        <f t="shared" si="2"/>
        <v>0</v>
      </c>
      <c r="E81" s="386">
        <v>0</v>
      </c>
      <c r="F81" s="386">
        <v>0</v>
      </c>
      <c r="G81" s="387"/>
      <c r="H81" s="388"/>
      <c r="I81" s="389"/>
      <c r="J81" s="390"/>
      <c r="K81" s="73"/>
      <c r="L81" s="1"/>
    </row>
    <row r="82" spans="1:12" ht="13.5" customHeight="1" x14ac:dyDescent="0.2">
      <c r="A82" s="445" t="s">
        <v>5287</v>
      </c>
      <c r="B82" s="394" t="s">
        <v>5315</v>
      </c>
      <c r="C82" s="385" t="s">
        <v>3821</v>
      </c>
      <c r="D82" s="386">
        <f t="shared" si="2"/>
        <v>0</v>
      </c>
      <c r="E82" s="386">
        <v>0</v>
      </c>
      <c r="F82" s="386">
        <v>0</v>
      </c>
      <c r="G82" s="392" t="s">
        <v>3312</v>
      </c>
      <c r="H82" s="388" t="s">
        <v>59</v>
      </c>
      <c r="I82" s="389"/>
      <c r="J82" s="390"/>
      <c r="K82" s="73"/>
      <c r="L82" s="1"/>
    </row>
    <row r="83" spans="1:12" ht="13.5" customHeight="1" x14ac:dyDescent="0.2">
      <c r="A83" s="445"/>
      <c r="B83" s="394"/>
      <c r="C83" s="385"/>
      <c r="D83" s="386"/>
      <c r="E83" s="386"/>
      <c r="F83" s="386"/>
      <c r="G83" s="392" t="s">
        <v>3562</v>
      </c>
      <c r="H83" s="388" t="s">
        <v>3822</v>
      </c>
      <c r="I83" s="389"/>
      <c r="J83" s="390"/>
      <c r="K83" s="73"/>
      <c r="L83" s="1"/>
    </row>
    <row r="84" spans="1:12" ht="13.5" customHeight="1" x14ac:dyDescent="0.2">
      <c r="A84" s="445" t="s">
        <v>5288</v>
      </c>
      <c r="B84" s="394" t="s">
        <v>5316</v>
      </c>
      <c r="C84" s="385" t="s">
        <v>3821</v>
      </c>
      <c r="D84" s="386">
        <f t="shared" si="2"/>
        <v>0</v>
      </c>
      <c r="E84" s="386">
        <v>0</v>
      </c>
      <c r="F84" s="386">
        <v>0</v>
      </c>
      <c r="G84" s="387"/>
      <c r="H84" s="388"/>
      <c r="I84" s="389"/>
      <c r="J84" s="390"/>
      <c r="K84" s="73"/>
      <c r="L84" s="1"/>
    </row>
    <row r="85" spans="1:12" ht="13.5" customHeight="1" x14ac:dyDescent="0.2">
      <c r="A85" s="445" t="s">
        <v>5289</v>
      </c>
      <c r="B85" s="394" t="s">
        <v>5317</v>
      </c>
      <c r="C85" s="385" t="s">
        <v>3821</v>
      </c>
      <c r="D85" s="386">
        <f t="shared" si="2"/>
        <v>0</v>
      </c>
      <c r="E85" s="386">
        <v>0</v>
      </c>
      <c r="F85" s="386">
        <v>0</v>
      </c>
      <c r="G85" s="392"/>
      <c r="H85" s="388"/>
      <c r="I85" s="389"/>
      <c r="J85" s="393"/>
      <c r="K85" s="73"/>
      <c r="L85" s="1"/>
    </row>
    <row r="86" spans="1:12" ht="13.5" customHeight="1" x14ac:dyDescent="0.2">
      <c r="A86" s="445" t="s">
        <v>5290</v>
      </c>
      <c r="B86" s="394" t="s">
        <v>5318</v>
      </c>
      <c r="C86" s="385" t="s">
        <v>3821</v>
      </c>
      <c r="D86" s="386">
        <f t="shared" si="2"/>
        <v>0</v>
      </c>
      <c r="E86" s="386">
        <v>0</v>
      </c>
      <c r="F86" s="386">
        <v>0</v>
      </c>
      <c r="G86" s="392"/>
      <c r="H86" s="388"/>
      <c r="I86" s="389"/>
      <c r="J86" s="393"/>
      <c r="K86" s="73"/>
      <c r="L86" s="1"/>
    </row>
    <row r="87" spans="1:12" ht="13.5" customHeight="1" x14ac:dyDescent="0.2">
      <c r="A87" s="445" t="s">
        <v>5291</v>
      </c>
      <c r="B87" s="394" t="s">
        <v>5319</v>
      </c>
      <c r="C87" s="385" t="s">
        <v>3821</v>
      </c>
      <c r="D87" s="386">
        <f t="shared" si="2"/>
        <v>0</v>
      </c>
      <c r="E87" s="386">
        <v>0</v>
      </c>
      <c r="F87" s="386">
        <v>0</v>
      </c>
      <c r="G87" s="387"/>
      <c r="H87" s="395"/>
      <c r="I87" s="396"/>
      <c r="J87" s="397"/>
      <c r="K87" s="73"/>
    </row>
    <row r="88" spans="1:12" ht="13.5" customHeight="1" x14ac:dyDescent="0.2">
      <c r="A88" s="445" t="s">
        <v>5292</v>
      </c>
      <c r="B88" s="394" t="s">
        <v>5320</v>
      </c>
      <c r="C88" s="385" t="s">
        <v>3821</v>
      </c>
      <c r="D88" s="386">
        <f t="shared" si="2"/>
        <v>0</v>
      </c>
      <c r="E88" s="386">
        <v>0</v>
      </c>
      <c r="F88" s="386">
        <v>0</v>
      </c>
      <c r="G88" s="387"/>
      <c r="H88" s="395"/>
      <c r="I88" s="396"/>
      <c r="J88" s="397"/>
      <c r="K88" s="73"/>
      <c r="L88" s="1"/>
    </row>
    <row r="89" spans="1:12" ht="13.5" customHeight="1" x14ac:dyDescent="0.2">
      <c r="A89" s="445" t="s">
        <v>4034</v>
      </c>
      <c r="B89" s="384" t="s">
        <v>4036</v>
      </c>
      <c r="C89" s="385" t="s">
        <v>3821</v>
      </c>
      <c r="D89" s="386">
        <f t="shared" si="2"/>
        <v>0</v>
      </c>
      <c r="E89" s="386">
        <v>0</v>
      </c>
      <c r="F89" s="386">
        <v>0</v>
      </c>
      <c r="G89" s="450"/>
      <c r="H89" s="388"/>
      <c r="I89" s="389"/>
      <c r="J89" s="451"/>
      <c r="K89" s="452"/>
      <c r="L89" s="452"/>
    </row>
    <row r="90" spans="1:12" ht="13.5" customHeight="1" x14ac:dyDescent="0.2">
      <c r="A90" s="383"/>
      <c r="B90" s="394"/>
      <c r="C90" s="385"/>
      <c r="D90" s="386"/>
      <c r="E90" s="386"/>
      <c r="F90" s="386"/>
      <c r="G90" s="450"/>
      <c r="H90" s="388"/>
      <c r="I90" s="389"/>
      <c r="J90" s="451"/>
      <c r="K90" s="452"/>
      <c r="L90" s="452"/>
    </row>
    <row r="91" spans="1:12" ht="13.5" customHeight="1" x14ac:dyDescent="0.2">
      <c r="A91" s="398"/>
      <c r="B91" s="394"/>
      <c r="C91" s="385"/>
      <c r="D91" s="386"/>
      <c r="E91" s="399"/>
      <c r="F91" s="399"/>
      <c r="G91" s="400"/>
      <c r="H91" s="395"/>
      <c r="I91" s="396"/>
      <c r="J91" s="397"/>
      <c r="K91" s="452"/>
      <c r="L91" s="1"/>
    </row>
    <row r="92" spans="1:12" ht="13.5" customHeight="1" thickBot="1" x14ac:dyDescent="0.25">
      <c r="A92" s="401"/>
      <c r="B92" s="402"/>
      <c r="C92" s="402" t="s">
        <v>3823</v>
      </c>
      <c r="D92" s="403">
        <f>SUM(D60:D91)</f>
        <v>0</v>
      </c>
      <c r="E92" s="403">
        <f>SUM(E60:E91)</f>
        <v>0</v>
      </c>
      <c r="F92" s="403">
        <f>SUM(F60:F91)</f>
        <v>0</v>
      </c>
      <c r="G92" s="403"/>
      <c r="H92" s="403"/>
      <c r="I92" s="403">
        <f>SUM(I60:I91)</f>
        <v>0</v>
      </c>
      <c r="J92" s="403">
        <f>SUM(J60:J91)</f>
        <v>0</v>
      </c>
      <c r="K92" s="73"/>
      <c r="L92" s="1"/>
    </row>
    <row r="93" spans="1:12" ht="13.5" customHeight="1" x14ac:dyDescent="0.25">
      <c r="A93"/>
      <c r="B93"/>
      <c r="C93"/>
      <c r="D93"/>
      <c r="E93" s="98"/>
      <c r="F93"/>
      <c r="G93"/>
      <c r="H93"/>
      <c r="I93"/>
      <c r="J93"/>
      <c r="K93" s="73"/>
      <c r="L93" s="1"/>
    </row>
    <row r="94" spans="1:12" ht="13.5" customHeight="1" x14ac:dyDescent="0.25">
      <c r="A94"/>
      <c r="B94"/>
      <c r="C94"/>
      <c r="D94"/>
      <c r="E94" s="98"/>
      <c r="F94"/>
      <c r="G94"/>
      <c r="H94"/>
      <c r="I94"/>
      <c r="J94"/>
      <c r="K94" s="73"/>
      <c r="L94" s="1"/>
    </row>
    <row r="95" spans="1:12" ht="13.5" customHeight="1" x14ac:dyDescent="0.25">
      <c r="A95"/>
      <c r="B95"/>
      <c r="C95"/>
      <c r="D95"/>
      <c r="E95" s="98"/>
      <c r="F95"/>
      <c r="G95"/>
      <c r="H95"/>
      <c r="I95"/>
      <c r="J95"/>
      <c r="K95" s="73"/>
      <c r="L95" s="1"/>
    </row>
    <row r="96" spans="1:12" ht="13.5" customHeight="1" x14ac:dyDescent="0.25">
      <c r="A96"/>
      <c r="B96"/>
      <c r="C96"/>
      <c r="D96"/>
      <c r="E96" s="98"/>
      <c r="F96"/>
      <c r="G96"/>
      <c r="H96"/>
      <c r="I96"/>
      <c r="J96"/>
      <c r="K96" s="73"/>
      <c r="L96" s="1"/>
    </row>
    <row r="97" spans="1:12" ht="13.5" customHeight="1" x14ac:dyDescent="0.25">
      <c r="A97"/>
      <c r="B97"/>
      <c r="C97"/>
      <c r="D97"/>
      <c r="E97" s="98"/>
      <c r="F97"/>
      <c r="G97"/>
      <c r="H97"/>
      <c r="I97"/>
      <c r="J97"/>
      <c r="K97" s="73"/>
      <c r="L97" s="1"/>
    </row>
    <row r="98" spans="1:12" ht="13.5" customHeight="1" x14ac:dyDescent="0.25">
      <c r="A98"/>
      <c r="B98"/>
      <c r="C98"/>
      <c r="D98"/>
      <c r="E98" s="98"/>
      <c r="F98"/>
      <c r="G98"/>
      <c r="H98"/>
      <c r="I98"/>
      <c r="J98"/>
      <c r="K98" s="73"/>
      <c r="L98" s="1"/>
    </row>
    <row r="99" spans="1:12" ht="13.5" customHeight="1" x14ac:dyDescent="0.25">
      <c r="A99"/>
      <c r="B99"/>
      <c r="C99"/>
      <c r="D99"/>
      <c r="E99" s="98"/>
      <c r="F99"/>
      <c r="G99"/>
      <c r="H99"/>
      <c r="I99"/>
      <c r="J99"/>
      <c r="K99" s="73"/>
      <c r="L99" s="1"/>
    </row>
    <row r="100" spans="1:12" ht="13.5" customHeight="1" x14ac:dyDescent="0.25">
      <c r="A100" s="372" t="s">
        <v>3811</v>
      </c>
      <c r="B100" s="372"/>
      <c r="C100" s="372"/>
      <c r="D100" s="372"/>
      <c r="E100" s="372"/>
      <c r="F100" s="372"/>
      <c r="G100" s="372"/>
      <c r="H100" s="109"/>
      <c r="I100" s="109"/>
      <c r="J100" s="109"/>
      <c r="K100" s="73"/>
      <c r="L100" s="1"/>
    </row>
    <row r="101" spans="1:12" ht="13.5" customHeight="1" x14ac:dyDescent="0.25">
      <c r="A101" s="372" t="s">
        <v>3748</v>
      </c>
      <c r="B101" s="372"/>
      <c r="C101" s="372"/>
      <c r="D101" s="372"/>
      <c r="E101" s="372"/>
      <c r="F101" s="372"/>
      <c r="G101" s="372"/>
      <c r="H101" s="109"/>
      <c r="I101" s="109"/>
      <c r="J101" s="109"/>
      <c r="K101" s="73"/>
      <c r="L101" s="1"/>
    </row>
    <row r="102" spans="1:12" ht="13.5" customHeight="1" x14ac:dyDescent="0.2">
      <c r="A102" s="609" t="s">
        <v>3812</v>
      </c>
      <c r="B102" s="609"/>
      <c r="C102" s="609"/>
      <c r="D102" s="609"/>
      <c r="E102" s="609"/>
      <c r="F102" s="609"/>
      <c r="G102" s="609"/>
      <c r="H102" s="609"/>
      <c r="I102" s="609"/>
      <c r="J102" s="609"/>
      <c r="K102" s="73"/>
      <c r="L102" s="1"/>
    </row>
    <row r="103" spans="1:12" ht="13.5" customHeight="1" x14ac:dyDescent="0.2">
      <c r="A103" s="609" t="s">
        <v>3813</v>
      </c>
      <c r="B103" s="609"/>
      <c r="C103" s="609"/>
      <c r="D103" s="609"/>
      <c r="E103" s="609"/>
      <c r="F103" s="609"/>
      <c r="G103" s="609"/>
      <c r="H103" s="609"/>
      <c r="I103" s="609"/>
      <c r="J103" s="609"/>
      <c r="K103" s="73"/>
      <c r="L103" s="1"/>
    </row>
    <row r="104" spans="1:12" ht="13.5" customHeight="1" x14ac:dyDescent="0.2">
      <c r="A104" s="609" t="s">
        <v>5384</v>
      </c>
      <c r="B104" s="609"/>
      <c r="C104" s="609"/>
      <c r="D104" s="609"/>
      <c r="E104" s="609"/>
      <c r="F104" s="609"/>
      <c r="G104" s="609"/>
      <c r="H104" s="609"/>
      <c r="I104" s="609"/>
      <c r="J104" s="609"/>
      <c r="K104" s="73"/>
      <c r="L104" s="1"/>
    </row>
    <row r="105" spans="1:12" ht="13.5" customHeight="1" x14ac:dyDescent="0.25">
      <c r="A105" s="372"/>
      <c r="B105" s="372"/>
      <c r="C105" s="372"/>
      <c r="D105" s="372"/>
      <c r="E105" s="372"/>
      <c r="F105" s="372"/>
      <c r="G105" s="372"/>
      <c r="H105" s="109"/>
      <c r="I105" s="109"/>
      <c r="J105" s="109"/>
      <c r="K105" s="73"/>
      <c r="L105" s="1"/>
    </row>
    <row r="106" spans="1:12" ht="13.5" customHeight="1" x14ac:dyDescent="0.2">
      <c r="A106" s="610" t="s">
        <v>12</v>
      </c>
      <c r="B106" s="610" t="s">
        <v>91</v>
      </c>
      <c r="C106" s="610" t="s">
        <v>13</v>
      </c>
      <c r="D106" s="373" t="s">
        <v>90</v>
      </c>
      <c r="E106" s="611" t="s">
        <v>14</v>
      </c>
      <c r="F106" s="612"/>
      <c r="G106" s="613" t="s">
        <v>29</v>
      </c>
      <c r="H106" s="614"/>
      <c r="I106" s="614"/>
      <c r="J106" s="615"/>
      <c r="K106" s="73"/>
      <c r="L106" s="1"/>
    </row>
    <row r="107" spans="1:12" ht="13.5" customHeight="1" x14ac:dyDescent="0.2">
      <c r="A107" s="610"/>
      <c r="B107" s="610"/>
      <c r="C107" s="610"/>
      <c r="D107" s="616" t="s">
        <v>3814</v>
      </c>
      <c r="E107" s="374" t="s">
        <v>3815</v>
      </c>
      <c r="F107" s="374" t="s">
        <v>3815</v>
      </c>
      <c r="G107" s="618" t="s">
        <v>3816</v>
      </c>
      <c r="H107" s="618" t="s">
        <v>3282</v>
      </c>
      <c r="I107" s="618" t="s">
        <v>90</v>
      </c>
      <c r="J107" s="616" t="s">
        <v>10</v>
      </c>
      <c r="K107" s="73"/>
      <c r="L107" s="1"/>
    </row>
    <row r="108" spans="1:12" ht="13.5" customHeight="1" x14ac:dyDescent="0.2">
      <c r="A108" s="610"/>
      <c r="B108" s="610"/>
      <c r="C108" s="610"/>
      <c r="D108" s="617"/>
      <c r="E108" s="376" t="s">
        <v>3817</v>
      </c>
      <c r="F108" s="376" t="s">
        <v>3818</v>
      </c>
      <c r="G108" s="619"/>
      <c r="H108" s="619"/>
      <c r="I108" s="619"/>
      <c r="J108" s="617"/>
      <c r="K108" s="73"/>
      <c r="L108" s="1"/>
    </row>
    <row r="109" spans="1:12" ht="13.5" customHeight="1" x14ac:dyDescent="0.2">
      <c r="A109" s="610"/>
      <c r="B109" s="610"/>
      <c r="C109" s="610"/>
      <c r="D109" s="377" t="s">
        <v>3819</v>
      </c>
      <c r="E109" s="377" t="s">
        <v>3820</v>
      </c>
      <c r="F109" s="377" t="s">
        <v>3820</v>
      </c>
      <c r="G109" s="620"/>
      <c r="H109" s="620"/>
      <c r="I109" s="620"/>
      <c r="J109" s="621"/>
      <c r="K109" s="73"/>
      <c r="L109" s="1"/>
    </row>
    <row r="110" spans="1:12" ht="13.5" customHeight="1" x14ac:dyDescent="0.2">
      <c r="A110" s="375"/>
      <c r="B110" s="375"/>
      <c r="C110" s="375"/>
      <c r="D110" s="378"/>
      <c r="E110" s="376"/>
      <c r="F110" s="376"/>
      <c r="G110" s="379"/>
      <c r="H110" s="380"/>
      <c r="I110" s="381"/>
      <c r="J110" s="382"/>
      <c r="K110" s="73"/>
      <c r="L110" s="1"/>
    </row>
    <row r="111" spans="1:12" ht="13.5" customHeight="1" x14ac:dyDescent="0.2">
      <c r="A111" s="445" t="s">
        <v>5321</v>
      </c>
      <c r="B111" s="384" t="s">
        <v>5352</v>
      </c>
      <c r="C111" s="385" t="s">
        <v>3821</v>
      </c>
      <c r="D111" s="386">
        <f>SUM(E111:F111)</f>
        <v>0</v>
      </c>
      <c r="E111" s="386">
        <v>0</v>
      </c>
      <c r="F111" s="386">
        <v>0</v>
      </c>
      <c r="G111" s="387"/>
      <c r="H111" s="388"/>
      <c r="I111" s="389"/>
      <c r="J111" s="390"/>
      <c r="K111" s="73"/>
      <c r="L111" s="1"/>
    </row>
    <row r="112" spans="1:12" ht="13.5" customHeight="1" x14ac:dyDescent="0.2">
      <c r="A112" s="445" t="s">
        <v>5322</v>
      </c>
      <c r="B112" s="384" t="s">
        <v>5353</v>
      </c>
      <c r="C112" s="385" t="s">
        <v>3821</v>
      </c>
      <c r="D112" s="386">
        <f t="shared" ref="D112:D113" si="3">SUM(E112:F112)</f>
        <v>0</v>
      </c>
      <c r="E112" s="386">
        <v>0</v>
      </c>
      <c r="F112" s="386">
        <v>0</v>
      </c>
      <c r="G112" s="387"/>
      <c r="H112" s="388"/>
      <c r="I112" s="389"/>
      <c r="J112" s="390"/>
      <c r="K112" s="73"/>
      <c r="L112" s="1"/>
    </row>
    <row r="113" spans="1:12" ht="13.5" customHeight="1" x14ac:dyDescent="0.2">
      <c r="A113" s="445" t="s">
        <v>5323</v>
      </c>
      <c r="B113" s="384" t="s">
        <v>5354</v>
      </c>
      <c r="C113" s="385" t="s">
        <v>3821</v>
      </c>
      <c r="D113" s="386">
        <f t="shared" si="3"/>
        <v>0</v>
      </c>
      <c r="E113" s="386">
        <v>0</v>
      </c>
      <c r="F113" s="386">
        <v>0</v>
      </c>
      <c r="G113" s="387"/>
      <c r="H113" s="388"/>
      <c r="I113" s="389"/>
      <c r="J113" s="390"/>
      <c r="K113" s="73"/>
      <c r="L113" s="254"/>
    </row>
    <row r="114" spans="1:12" ht="13.5" customHeight="1" x14ac:dyDescent="0.2">
      <c r="A114" s="445" t="s">
        <v>5324</v>
      </c>
      <c r="B114" s="391" t="s">
        <v>5355</v>
      </c>
      <c r="C114" s="385" t="s">
        <v>3821</v>
      </c>
      <c r="D114" s="386">
        <f>SUM(E114:F114)</f>
        <v>0</v>
      </c>
      <c r="E114" s="386">
        <v>0</v>
      </c>
      <c r="F114" s="386">
        <v>0</v>
      </c>
      <c r="G114" s="450"/>
      <c r="H114" s="388"/>
      <c r="I114" s="389"/>
      <c r="J114" s="451"/>
      <c r="K114" s="73"/>
      <c r="L114" s="1"/>
    </row>
    <row r="115" spans="1:12" ht="13.5" customHeight="1" x14ac:dyDescent="0.2">
      <c r="A115" s="445" t="s">
        <v>5325</v>
      </c>
      <c r="B115" s="394" t="s">
        <v>5356</v>
      </c>
      <c r="C115" s="385" t="s">
        <v>3821</v>
      </c>
      <c r="D115" s="386">
        <f t="shared" ref="D115:D142" si="4">SUM(E115:F115)</f>
        <v>0</v>
      </c>
      <c r="E115" s="386">
        <v>0</v>
      </c>
      <c r="F115" s="386">
        <v>0</v>
      </c>
      <c r="G115" s="387"/>
      <c r="H115" s="388"/>
      <c r="I115" s="389"/>
      <c r="J115" s="390"/>
      <c r="K115" s="73"/>
      <c r="L115" s="1"/>
    </row>
    <row r="116" spans="1:12" ht="13.5" customHeight="1" x14ac:dyDescent="0.2">
      <c r="A116" s="445" t="s">
        <v>5326</v>
      </c>
      <c r="B116" s="394" t="s">
        <v>5357</v>
      </c>
      <c r="C116" s="385" t="s">
        <v>3821</v>
      </c>
      <c r="D116" s="386">
        <f t="shared" si="4"/>
        <v>0</v>
      </c>
      <c r="E116" s="386">
        <v>0</v>
      </c>
      <c r="F116" s="386">
        <v>0</v>
      </c>
      <c r="G116" s="387"/>
      <c r="H116" s="388"/>
      <c r="I116" s="389"/>
      <c r="J116" s="390"/>
      <c r="K116" s="73"/>
      <c r="L116" s="1"/>
    </row>
    <row r="117" spans="1:12" ht="13.5" customHeight="1" x14ac:dyDescent="0.2">
      <c r="A117" s="445" t="s">
        <v>5327</v>
      </c>
      <c r="B117" s="394" t="s">
        <v>5358</v>
      </c>
      <c r="C117" s="385" t="s">
        <v>3821</v>
      </c>
      <c r="D117" s="386">
        <f t="shared" si="4"/>
        <v>0</v>
      </c>
      <c r="E117" s="386">
        <v>0</v>
      </c>
      <c r="F117" s="386">
        <v>0</v>
      </c>
      <c r="G117" s="387"/>
      <c r="H117" s="388"/>
      <c r="I117" s="389"/>
      <c r="J117" s="390"/>
      <c r="K117" s="73"/>
      <c r="L117" s="1"/>
    </row>
    <row r="118" spans="1:12" ht="13.5" customHeight="1" x14ac:dyDescent="0.2">
      <c r="A118" s="445" t="s">
        <v>5328</v>
      </c>
      <c r="B118" s="394" t="s">
        <v>5359</v>
      </c>
      <c r="C118" s="385" t="s">
        <v>3821</v>
      </c>
      <c r="D118" s="386">
        <f t="shared" si="4"/>
        <v>0</v>
      </c>
      <c r="E118" s="386">
        <v>0</v>
      </c>
      <c r="F118" s="386">
        <v>0</v>
      </c>
      <c r="G118" s="387"/>
      <c r="H118" s="388"/>
      <c r="I118" s="389"/>
      <c r="J118" s="390"/>
      <c r="K118" s="73"/>
      <c r="L118" s="1"/>
    </row>
    <row r="119" spans="1:12" ht="13.5" customHeight="1" x14ac:dyDescent="0.2">
      <c r="A119" s="445" t="s">
        <v>5329</v>
      </c>
      <c r="B119" s="391" t="s">
        <v>5360</v>
      </c>
      <c r="C119" s="385" t="s">
        <v>3821</v>
      </c>
      <c r="D119" s="386">
        <f t="shared" si="4"/>
        <v>0</v>
      </c>
      <c r="E119" s="386">
        <v>0</v>
      </c>
      <c r="F119" s="386">
        <v>0</v>
      </c>
      <c r="G119" s="387"/>
      <c r="H119" s="388"/>
      <c r="I119" s="389"/>
      <c r="J119" s="390"/>
      <c r="K119" s="446"/>
      <c r="L119" s="447"/>
    </row>
    <row r="120" spans="1:12" ht="13.5" customHeight="1" x14ac:dyDescent="0.2">
      <c r="A120" s="445" t="s">
        <v>5330</v>
      </c>
      <c r="B120" s="394" t="s">
        <v>5361</v>
      </c>
      <c r="C120" s="385" t="s">
        <v>3821</v>
      </c>
      <c r="D120" s="386">
        <f t="shared" si="4"/>
        <v>0</v>
      </c>
      <c r="E120" s="386">
        <v>0</v>
      </c>
      <c r="F120" s="386">
        <v>0</v>
      </c>
      <c r="G120" s="392"/>
      <c r="H120" s="388"/>
      <c r="I120" s="389"/>
      <c r="J120" s="393"/>
      <c r="K120" s="446" t="s">
        <v>4035</v>
      </c>
      <c r="L120" s="447"/>
    </row>
    <row r="121" spans="1:12" ht="13.5" customHeight="1" x14ac:dyDescent="0.2">
      <c r="A121" s="445" t="s">
        <v>5331</v>
      </c>
      <c r="B121" s="394" t="s">
        <v>5362</v>
      </c>
      <c r="C121" s="385" t="s">
        <v>3821</v>
      </c>
      <c r="D121" s="386">
        <f t="shared" si="4"/>
        <v>0</v>
      </c>
      <c r="E121" s="386">
        <v>0</v>
      </c>
      <c r="F121" s="386">
        <v>0</v>
      </c>
      <c r="G121" s="392"/>
      <c r="H121" s="388"/>
      <c r="I121" s="389"/>
      <c r="J121" s="393"/>
      <c r="K121" s="73"/>
      <c r="L121" s="1"/>
    </row>
    <row r="122" spans="1:12" ht="13.5" customHeight="1" x14ac:dyDescent="0.2">
      <c r="A122" s="445" t="s">
        <v>5332</v>
      </c>
      <c r="B122" s="394" t="s">
        <v>5363</v>
      </c>
      <c r="C122" s="385" t="s">
        <v>3821</v>
      </c>
      <c r="D122" s="386">
        <f t="shared" si="4"/>
        <v>0</v>
      </c>
      <c r="E122" s="386">
        <v>0</v>
      </c>
      <c r="F122" s="386">
        <v>0</v>
      </c>
      <c r="G122" s="392"/>
      <c r="H122" s="388"/>
      <c r="I122" s="389"/>
      <c r="J122" s="393"/>
      <c r="K122" s="73"/>
      <c r="L122" s="1"/>
    </row>
    <row r="123" spans="1:12" ht="13.5" customHeight="1" x14ac:dyDescent="0.2">
      <c r="A123" s="445" t="s">
        <v>5333</v>
      </c>
      <c r="B123" s="391" t="s">
        <v>5364</v>
      </c>
      <c r="C123" s="385" t="s">
        <v>3821</v>
      </c>
      <c r="D123" s="386">
        <f t="shared" si="4"/>
        <v>0</v>
      </c>
      <c r="E123" s="386">
        <v>0</v>
      </c>
      <c r="F123" s="386">
        <v>0</v>
      </c>
      <c r="G123" s="392"/>
      <c r="H123" s="388"/>
      <c r="I123" s="389"/>
      <c r="J123" s="390"/>
      <c r="K123" s="73"/>
      <c r="L123" s="1"/>
    </row>
    <row r="124" spans="1:12" ht="13.5" customHeight="1" x14ac:dyDescent="0.2">
      <c r="A124" s="445" t="s">
        <v>5334</v>
      </c>
      <c r="B124" s="391" t="s">
        <v>5365</v>
      </c>
      <c r="C124" s="385" t="s">
        <v>3821</v>
      </c>
      <c r="D124" s="386">
        <f t="shared" si="4"/>
        <v>0</v>
      </c>
      <c r="E124" s="386">
        <v>0</v>
      </c>
      <c r="F124" s="386">
        <v>0</v>
      </c>
      <c r="G124" s="387"/>
      <c r="H124" s="388"/>
      <c r="I124" s="389"/>
      <c r="J124" s="390"/>
      <c r="K124" s="73"/>
      <c r="L124" s="1"/>
    </row>
    <row r="125" spans="1:12" ht="13.5" customHeight="1" x14ac:dyDescent="0.2">
      <c r="A125" s="445" t="s">
        <v>5335</v>
      </c>
      <c r="B125" s="391" t="s">
        <v>5366</v>
      </c>
      <c r="C125" s="385" t="s">
        <v>3821</v>
      </c>
      <c r="D125" s="386">
        <f t="shared" si="4"/>
        <v>0</v>
      </c>
      <c r="E125" s="386">
        <v>0</v>
      </c>
      <c r="F125" s="386">
        <v>0</v>
      </c>
      <c r="G125" s="392"/>
      <c r="H125" s="388"/>
      <c r="I125" s="389"/>
      <c r="J125" s="390"/>
      <c r="K125" s="73"/>
      <c r="L125" s="1"/>
    </row>
    <row r="126" spans="1:12" ht="13.5" customHeight="1" x14ac:dyDescent="0.2">
      <c r="A126" s="445" t="s">
        <v>5336</v>
      </c>
      <c r="B126" s="394" t="s">
        <v>5367</v>
      </c>
      <c r="C126" s="385" t="s">
        <v>3821</v>
      </c>
      <c r="D126" s="386">
        <f t="shared" si="4"/>
        <v>0</v>
      </c>
      <c r="E126" s="386">
        <v>0</v>
      </c>
      <c r="F126" s="386">
        <v>0</v>
      </c>
      <c r="G126" s="392"/>
      <c r="H126" s="388"/>
      <c r="I126" s="389" t="s">
        <v>3679</v>
      </c>
      <c r="J126" s="393"/>
      <c r="K126" s="73"/>
      <c r="L126" s="1"/>
    </row>
    <row r="127" spans="1:12" ht="13.5" customHeight="1" x14ac:dyDescent="0.2">
      <c r="A127" s="445" t="s">
        <v>5337</v>
      </c>
      <c r="B127" s="394" t="s">
        <v>5368</v>
      </c>
      <c r="C127" s="385" t="s">
        <v>3821</v>
      </c>
      <c r="D127" s="386">
        <f t="shared" si="4"/>
        <v>0</v>
      </c>
      <c r="E127" s="386">
        <v>0</v>
      </c>
      <c r="F127" s="386">
        <v>0</v>
      </c>
      <c r="G127" s="387"/>
      <c r="H127" s="388"/>
      <c r="I127" s="389"/>
      <c r="J127" s="390"/>
      <c r="K127" s="73"/>
      <c r="L127" s="1"/>
    </row>
    <row r="128" spans="1:12" ht="13.5" customHeight="1" x14ac:dyDescent="0.2">
      <c r="A128" s="445" t="s">
        <v>5338</v>
      </c>
      <c r="B128" s="394" t="s">
        <v>5369</v>
      </c>
      <c r="C128" s="385" t="s">
        <v>3821</v>
      </c>
      <c r="D128" s="386">
        <f t="shared" si="4"/>
        <v>0</v>
      </c>
      <c r="E128" s="386">
        <v>0</v>
      </c>
      <c r="F128" s="386">
        <v>0</v>
      </c>
      <c r="G128" s="387"/>
      <c r="H128" s="388"/>
      <c r="I128" s="389"/>
      <c r="J128" s="390"/>
      <c r="K128" s="73"/>
      <c r="L128" s="1"/>
    </row>
    <row r="129" spans="1:12" ht="13.5" customHeight="1" x14ac:dyDescent="0.2">
      <c r="A129" s="445" t="s">
        <v>5339</v>
      </c>
      <c r="B129" s="394" t="s">
        <v>5370</v>
      </c>
      <c r="C129" s="385" t="s">
        <v>3821</v>
      </c>
      <c r="D129" s="386">
        <f t="shared" si="4"/>
        <v>0</v>
      </c>
      <c r="E129" s="386">
        <v>0</v>
      </c>
      <c r="F129" s="386">
        <v>0</v>
      </c>
      <c r="G129" s="387"/>
      <c r="H129" s="388"/>
      <c r="I129" s="389"/>
      <c r="J129" s="390"/>
      <c r="K129" s="73"/>
      <c r="L129" s="1"/>
    </row>
    <row r="130" spans="1:12" ht="13.5" customHeight="1" x14ac:dyDescent="0.2">
      <c r="A130" s="445" t="s">
        <v>5340</v>
      </c>
      <c r="B130" s="394" t="s">
        <v>5371</v>
      </c>
      <c r="C130" s="385" t="s">
        <v>3821</v>
      </c>
      <c r="D130" s="386">
        <f t="shared" si="4"/>
        <v>0</v>
      </c>
      <c r="E130" s="386">
        <v>0</v>
      </c>
      <c r="F130" s="386">
        <v>0</v>
      </c>
      <c r="G130" s="392"/>
      <c r="H130" s="388"/>
      <c r="I130" s="389"/>
      <c r="J130" s="390"/>
      <c r="K130" s="271"/>
      <c r="L130" s="1"/>
    </row>
    <row r="131" spans="1:12" ht="13.5" customHeight="1" x14ac:dyDescent="0.2">
      <c r="A131" s="445" t="s">
        <v>5341</v>
      </c>
      <c r="B131" s="394" t="s">
        <v>5372</v>
      </c>
      <c r="C131" s="385" t="s">
        <v>3821</v>
      </c>
      <c r="D131" s="386">
        <f t="shared" si="4"/>
        <v>0</v>
      </c>
      <c r="E131" s="386">
        <v>0</v>
      </c>
      <c r="F131" s="386">
        <v>0</v>
      </c>
      <c r="G131" s="392"/>
      <c r="H131" s="388"/>
      <c r="I131" s="389"/>
      <c r="J131" s="393"/>
      <c r="K131" s="73"/>
      <c r="L131" s="1"/>
    </row>
    <row r="132" spans="1:12" ht="13.5" customHeight="1" x14ac:dyDescent="0.2">
      <c r="A132" s="445" t="s">
        <v>5342</v>
      </c>
      <c r="B132" s="394" t="s">
        <v>5373</v>
      </c>
      <c r="C132" s="385" t="s">
        <v>3821</v>
      </c>
      <c r="D132" s="386">
        <f t="shared" si="4"/>
        <v>0</v>
      </c>
      <c r="E132" s="386">
        <v>0</v>
      </c>
      <c r="F132" s="386">
        <v>0</v>
      </c>
      <c r="G132" s="387"/>
      <c r="H132" s="388"/>
      <c r="I132" s="389"/>
      <c r="J132" s="390"/>
      <c r="K132" s="73"/>
      <c r="L132" s="1"/>
    </row>
    <row r="133" spans="1:12" ht="13.5" customHeight="1" x14ac:dyDescent="0.2">
      <c r="A133" s="445" t="s">
        <v>5343</v>
      </c>
      <c r="B133" s="394" t="s">
        <v>5374</v>
      </c>
      <c r="C133" s="385" t="s">
        <v>3821</v>
      </c>
      <c r="D133" s="386">
        <f t="shared" si="4"/>
        <v>0</v>
      </c>
      <c r="E133" s="386">
        <v>0</v>
      </c>
      <c r="F133" s="386">
        <v>0</v>
      </c>
      <c r="G133" s="387"/>
      <c r="H133" s="388"/>
      <c r="I133" s="389"/>
      <c r="J133" s="390"/>
      <c r="K133" s="73"/>
      <c r="L133" s="1"/>
    </row>
    <row r="134" spans="1:12" ht="13.5" customHeight="1" x14ac:dyDescent="0.2">
      <c r="A134" s="445" t="s">
        <v>5344</v>
      </c>
      <c r="B134" s="394" t="s">
        <v>5375</v>
      </c>
      <c r="C134" s="385" t="s">
        <v>3821</v>
      </c>
      <c r="D134" s="386">
        <f t="shared" si="4"/>
        <v>0</v>
      </c>
      <c r="E134" s="386">
        <v>0</v>
      </c>
      <c r="F134" s="386">
        <v>0</v>
      </c>
      <c r="G134" s="392"/>
      <c r="H134" s="388"/>
      <c r="I134" s="389"/>
      <c r="J134" s="393"/>
      <c r="K134" s="73"/>
      <c r="L134" s="1"/>
    </row>
    <row r="135" spans="1:12" ht="13.5" customHeight="1" x14ac:dyDescent="0.2">
      <c r="A135" s="445" t="s">
        <v>5345</v>
      </c>
      <c r="B135" s="394" t="s">
        <v>5376</v>
      </c>
      <c r="C135" s="385" t="s">
        <v>3821</v>
      </c>
      <c r="D135" s="386">
        <f t="shared" si="4"/>
        <v>0</v>
      </c>
      <c r="E135" s="386">
        <v>0</v>
      </c>
      <c r="F135" s="386">
        <v>0</v>
      </c>
      <c r="G135" s="392"/>
      <c r="H135" s="388"/>
      <c r="I135" s="389"/>
      <c r="J135" s="393"/>
      <c r="K135" s="73"/>
      <c r="L135" s="1"/>
    </row>
    <row r="136" spans="1:12" ht="13.5" customHeight="1" x14ac:dyDescent="0.2">
      <c r="A136" s="445" t="s">
        <v>5346</v>
      </c>
      <c r="B136" s="394" t="s">
        <v>5377</v>
      </c>
      <c r="C136" s="385" t="s">
        <v>3821</v>
      </c>
      <c r="D136" s="386">
        <f t="shared" si="4"/>
        <v>0</v>
      </c>
      <c r="E136" s="386">
        <v>0</v>
      </c>
      <c r="F136" s="386">
        <v>0</v>
      </c>
      <c r="G136" s="392" t="s">
        <v>3312</v>
      </c>
      <c r="H136" s="388" t="s">
        <v>59</v>
      </c>
      <c r="I136" s="389"/>
      <c r="J136" s="393"/>
      <c r="K136" s="73"/>
      <c r="L136" s="1"/>
    </row>
    <row r="137" spans="1:12" ht="13.5" customHeight="1" x14ac:dyDescent="0.2">
      <c r="A137" s="445"/>
      <c r="B137" s="394"/>
      <c r="C137" s="385"/>
      <c r="D137" s="386"/>
      <c r="E137" s="386"/>
      <c r="F137" s="386"/>
      <c r="G137" s="392" t="s">
        <v>3562</v>
      </c>
      <c r="H137" s="388" t="s">
        <v>3822</v>
      </c>
      <c r="I137" s="389"/>
      <c r="J137" s="393"/>
      <c r="K137" s="73"/>
      <c r="L137" s="1"/>
    </row>
    <row r="138" spans="1:12" ht="13.5" customHeight="1" x14ac:dyDescent="0.2">
      <c r="A138" s="445" t="s">
        <v>5347</v>
      </c>
      <c r="B138" s="394" t="s">
        <v>5378</v>
      </c>
      <c r="C138" s="385" t="s">
        <v>3821</v>
      </c>
      <c r="D138" s="386">
        <f t="shared" si="4"/>
        <v>0</v>
      </c>
      <c r="E138" s="386">
        <v>0</v>
      </c>
      <c r="F138" s="386">
        <v>0</v>
      </c>
      <c r="G138" s="392"/>
      <c r="H138" s="388"/>
      <c r="I138" s="389"/>
      <c r="J138" s="393"/>
      <c r="K138" s="73"/>
      <c r="L138" s="1"/>
    </row>
    <row r="139" spans="1:12" ht="13.5" customHeight="1" x14ac:dyDescent="0.2">
      <c r="A139" s="445" t="s">
        <v>5348</v>
      </c>
      <c r="B139" s="394" t="s">
        <v>5379</v>
      </c>
      <c r="C139" s="385" t="s">
        <v>3821</v>
      </c>
      <c r="D139" s="386">
        <f t="shared" si="4"/>
        <v>0</v>
      </c>
      <c r="E139" s="386">
        <v>0</v>
      </c>
      <c r="F139" s="386">
        <v>0</v>
      </c>
      <c r="G139" s="387"/>
      <c r="H139" s="395"/>
      <c r="I139" s="396"/>
      <c r="J139" s="397"/>
      <c r="K139" s="73"/>
      <c r="L139" s="1"/>
    </row>
    <row r="140" spans="1:12" ht="13.5" customHeight="1" x14ac:dyDescent="0.2">
      <c r="A140" s="445" t="s">
        <v>5349</v>
      </c>
      <c r="B140" s="394" t="s">
        <v>5380</v>
      </c>
      <c r="C140" s="385" t="s">
        <v>3821</v>
      </c>
      <c r="D140" s="386">
        <f t="shared" si="4"/>
        <v>0</v>
      </c>
      <c r="E140" s="386">
        <v>0</v>
      </c>
      <c r="F140" s="386">
        <v>0</v>
      </c>
      <c r="G140" s="450"/>
      <c r="H140" s="388"/>
      <c r="I140" s="389"/>
      <c r="J140" s="451"/>
      <c r="K140" s="452"/>
      <c r="L140" s="452"/>
    </row>
    <row r="141" spans="1:12" ht="13.5" customHeight="1" x14ac:dyDescent="0.2">
      <c r="A141" s="445" t="s">
        <v>5350</v>
      </c>
      <c r="B141" s="384" t="s">
        <v>5381</v>
      </c>
      <c r="C141" s="385" t="s">
        <v>3821</v>
      </c>
      <c r="D141" s="386">
        <f t="shared" si="4"/>
        <v>0</v>
      </c>
      <c r="E141" s="386">
        <v>0</v>
      </c>
      <c r="F141" s="386">
        <v>0</v>
      </c>
      <c r="G141" s="387"/>
      <c r="H141" s="395"/>
      <c r="I141" s="396"/>
      <c r="J141" s="397"/>
      <c r="K141" s="452"/>
      <c r="L141" s="1"/>
    </row>
    <row r="142" spans="1:12" ht="13.5" customHeight="1" x14ac:dyDescent="0.2">
      <c r="A142" s="445" t="s">
        <v>5351</v>
      </c>
      <c r="B142" s="394" t="s">
        <v>5382</v>
      </c>
      <c r="C142" s="385" t="s">
        <v>3821</v>
      </c>
      <c r="D142" s="386">
        <f t="shared" si="4"/>
        <v>0</v>
      </c>
      <c r="E142" s="386">
        <v>0</v>
      </c>
      <c r="F142" s="386">
        <v>0</v>
      </c>
      <c r="G142" s="400"/>
      <c r="H142" s="395"/>
      <c r="I142" s="396"/>
      <c r="J142" s="397"/>
      <c r="K142" s="452"/>
      <c r="L142" s="1"/>
    </row>
    <row r="143" spans="1:12" ht="13.5" customHeight="1" thickBot="1" x14ac:dyDescent="0.25">
      <c r="A143" s="401"/>
      <c r="B143" s="402"/>
      <c r="C143" s="402" t="s">
        <v>3823</v>
      </c>
      <c r="D143" s="403">
        <f>SUM(D111:D142)</f>
        <v>0</v>
      </c>
      <c r="E143" s="403">
        <f>SUM(E111:E142)</f>
        <v>0</v>
      </c>
      <c r="F143" s="403">
        <f>SUM(F111:F142)</f>
        <v>0</v>
      </c>
      <c r="G143" s="403"/>
      <c r="H143" s="403"/>
      <c r="I143" s="403">
        <f>SUM(I111:I142)</f>
        <v>0</v>
      </c>
      <c r="J143" s="403">
        <f>SUM(J111:J142)</f>
        <v>0</v>
      </c>
      <c r="K143" s="73"/>
      <c r="L143" s="1"/>
    </row>
    <row r="144" spans="1:12" ht="13.5" customHeight="1" x14ac:dyDescent="0.25">
      <c r="A144" s="372" t="s">
        <v>3811</v>
      </c>
      <c r="B144" s="372"/>
      <c r="C144" s="372"/>
      <c r="D144" s="372"/>
      <c r="E144" s="372"/>
      <c r="F144" s="372"/>
      <c r="G144" s="372"/>
      <c r="H144" s="109"/>
      <c r="I144" s="109"/>
      <c r="J144" s="109"/>
      <c r="K144" s="73"/>
      <c r="L144" s="1"/>
    </row>
    <row r="145" spans="1:12" ht="13.5" customHeight="1" x14ac:dyDescent="0.25">
      <c r="A145" s="372" t="s">
        <v>3748</v>
      </c>
      <c r="B145" s="372"/>
      <c r="C145" s="372"/>
      <c r="D145" s="372"/>
      <c r="E145" s="372"/>
      <c r="F145" s="372"/>
      <c r="G145" s="372"/>
      <c r="H145" s="109"/>
      <c r="I145" s="109"/>
      <c r="J145" s="109"/>
      <c r="K145" s="73"/>
      <c r="L145" s="1"/>
    </row>
    <row r="146" spans="1:12" ht="13.5" customHeight="1" x14ac:dyDescent="0.2">
      <c r="A146" s="609" t="s">
        <v>3812</v>
      </c>
      <c r="B146" s="609"/>
      <c r="C146" s="609"/>
      <c r="D146" s="609"/>
      <c r="E146" s="609"/>
      <c r="F146" s="609"/>
      <c r="G146" s="609"/>
      <c r="H146" s="609"/>
      <c r="I146" s="609"/>
      <c r="J146" s="609"/>
      <c r="K146" s="73"/>
      <c r="L146" s="1"/>
    </row>
    <row r="147" spans="1:12" ht="13.5" customHeight="1" x14ac:dyDescent="0.2">
      <c r="A147" s="609" t="s">
        <v>3813</v>
      </c>
      <c r="B147" s="609"/>
      <c r="C147" s="609"/>
      <c r="D147" s="609"/>
      <c r="E147" s="609"/>
      <c r="F147" s="609"/>
      <c r="G147" s="609"/>
      <c r="H147" s="609"/>
      <c r="I147" s="609"/>
      <c r="J147" s="609"/>
    </row>
    <row r="148" spans="1:12" ht="13.5" customHeight="1" x14ac:dyDescent="0.2">
      <c r="A148" s="609" t="s">
        <v>5657</v>
      </c>
      <c r="B148" s="609"/>
      <c r="C148" s="609"/>
      <c r="D148" s="609"/>
      <c r="E148" s="609"/>
      <c r="F148" s="609"/>
      <c r="G148" s="609"/>
      <c r="H148" s="609"/>
      <c r="I148" s="609"/>
      <c r="J148" s="609"/>
    </row>
    <row r="149" spans="1:12" ht="13.5" customHeight="1" x14ac:dyDescent="0.25">
      <c r="A149" s="372"/>
      <c r="B149" s="372"/>
      <c r="C149" s="372"/>
      <c r="D149" s="372"/>
      <c r="E149" s="372"/>
      <c r="F149" s="372"/>
      <c r="G149" s="372"/>
      <c r="H149" s="109"/>
      <c r="I149" s="109"/>
      <c r="J149" s="109"/>
    </row>
    <row r="150" spans="1:12" ht="13.5" customHeight="1" x14ac:dyDescent="0.2">
      <c r="A150" s="610" t="s">
        <v>12</v>
      </c>
      <c r="B150" s="610" t="s">
        <v>91</v>
      </c>
      <c r="C150" s="610" t="s">
        <v>13</v>
      </c>
      <c r="D150" s="373" t="s">
        <v>90</v>
      </c>
      <c r="E150" s="611" t="s">
        <v>14</v>
      </c>
      <c r="F150" s="612"/>
      <c r="G150" s="613" t="s">
        <v>29</v>
      </c>
      <c r="H150" s="614"/>
      <c r="I150" s="614"/>
      <c r="J150" s="615"/>
    </row>
    <row r="151" spans="1:12" ht="13.5" customHeight="1" x14ac:dyDescent="0.2">
      <c r="A151" s="610"/>
      <c r="B151" s="610"/>
      <c r="C151" s="610"/>
      <c r="D151" s="616" t="s">
        <v>3814</v>
      </c>
      <c r="E151" s="374" t="s">
        <v>3815</v>
      </c>
      <c r="F151" s="374" t="s">
        <v>3815</v>
      </c>
      <c r="G151" s="618" t="s">
        <v>3816</v>
      </c>
      <c r="H151" s="618" t="s">
        <v>3282</v>
      </c>
      <c r="I151" s="618" t="s">
        <v>90</v>
      </c>
      <c r="J151" s="616" t="s">
        <v>10</v>
      </c>
    </row>
    <row r="152" spans="1:12" ht="13.5" customHeight="1" x14ac:dyDescent="0.2">
      <c r="A152" s="610"/>
      <c r="B152" s="610"/>
      <c r="C152" s="610"/>
      <c r="D152" s="617"/>
      <c r="E152" s="376" t="s">
        <v>3817</v>
      </c>
      <c r="F152" s="376" t="s">
        <v>3818</v>
      </c>
      <c r="G152" s="619"/>
      <c r="H152" s="619"/>
      <c r="I152" s="619"/>
      <c r="J152" s="617"/>
    </row>
    <row r="153" spans="1:12" ht="13.5" customHeight="1" x14ac:dyDescent="0.2">
      <c r="A153" s="610"/>
      <c r="B153" s="610"/>
      <c r="C153" s="610"/>
      <c r="D153" s="377" t="s">
        <v>3819</v>
      </c>
      <c r="E153" s="377" t="s">
        <v>3820</v>
      </c>
      <c r="F153" s="377" t="s">
        <v>3820</v>
      </c>
      <c r="G153" s="620"/>
      <c r="H153" s="620"/>
      <c r="I153" s="620"/>
      <c r="J153" s="621"/>
    </row>
    <row r="154" spans="1:12" ht="13.5" customHeight="1" x14ac:dyDescent="0.2">
      <c r="A154" s="375"/>
      <c r="B154" s="375"/>
      <c r="C154" s="375"/>
      <c r="D154" s="378"/>
      <c r="E154" s="376"/>
      <c r="F154" s="376"/>
      <c r="G154" s="379"/>
      <c r="H154" s="380"/>
      <c r="I154" s="381"/>
      <c r="J154" s="382"/>
    </row>
    <row r="155" spans="1:12" ht="13.5" customHeight="1" x14ac:dyDescent="0.2">
      <c r="A155" s="445" t="s">
        <v>4074</v>
      </c>
      <c r="B155" s="384" t="s">
        <v>4104</v>
      </c>
      <c r="C155" s="385" t="s">
        <v>3821</v>
      </c>
      <c r="D155" s="386">
        <f>SUM(E155:F155)</f>
        <v>0</v>
      </c>
      <c r="E155" s="386">
        <v>0</v>
      </c>
      <c r="F155" s="386">
        <v>0</v>
      </c>
      <c r="G155" s="387"/>
      <c r="H155" s="388"/>
      <c r="I155" s="389"/>
      <c r="J155" s="390"/>
    </row>
    <row r="156" spans="1:12" ht="13.5" customHeight="1" x14ac:dyDescent="0.2">
      <c r="A156" s="445" t="s">
        <v>4075</v>
      </c>
      <c r="B156" s="384" t="s">
        <v>4105</v>
      </c>
      <c r="C156" s="385" t="s">
        <v>3821</v>
      </c>
      <c r="D156" s="386">
        <f t="shared" ref="D156:D185" si="5">SUM(E156:F156)</f>
        <v>0</v>
      </c>
      <c r="E156" s="386">
        <v>0</v>
      </c>
      <c r="F156" s="386">
        <v>0</v>
      </c>
      <c r="G156" s="450"/>
      <c r="H156" s="388"/>
      <c r="I156" s="465"/>
      <c r="J156" s="466"/>
    </row>
    <row r="157" spans="1:12" ht="13.5" customHeight="1" x14ac:dyDescent="0.2">
      <c r="A157" s="445" t="s">
        <v>4076</v>
      </c>
      <c r="B157" s="384" t="s">
        <v>4106</v>
      </c>
      <c r="C157" s="385" t="s">
        <v>3821</v>
      </c>
      <c r="D157" s="386">
        <f t="shared" si="5"/>
        <v>0</v>
      </c>
      <c r="E157" s="386">
        <v>0</v>
      </c>
      <c r="F157" s="386">
        <v>0</v>
      </c>
      <c r="G157" s="387"/>
      <c r="H157" s="388"/>
      <c r="I157" s="389"/>
      <c r="J157" s="390"/>
    </row>
    <row r="158" spans="1:12" ht="13.5" customHeight="1" x14ac:dyDescent="0.2">
      <c r="A158" s="445" t="s">
        <v>4077</v>
      </c>
      <c r="B158" s="391" t="s">
        <v>4107</v>
      </c>
      <c r="C158" s="385" t="s">
        <v>3821</v>
      </c>
      <c r="D158" s="386">
        <f t="shared" si="5"/>
        <v>0</v>
      </c>
      <c r="E158" s="386">
        <v>0</v>
      </c>
      <c r="F158" s="386">
        <v>0</v>
      </c>
      <c r="G158" s="392"/>
      <c r="H158" s="388"/>
      <c r="I158" s="389"/>
      <c r="J158" s="393"/>
    </row>
    <row r="159" spans="1:12" ht="13.5" customHeight="1" x14ac:dyDescent="0.2">
      <c r="A159" s="445" t="s">
        <v>4078</v>
      </c>
      <c r="B159" s="394" t="s">
        <v>4108</v>
      </c>
      <c r="C159" s="385" t="s">
        <v>3821</v>
      </c>
      <c r="D159" s="386">
        <f t="shared" si="5"/>
        <v>0</v>
      </c>
      <c r="E159" s="386">
        <v>0</v>
      </c>
      <c r="F159" s="386">
        <v>0</v>
      </c>
      <c r="G159" s="387"/>
      <c r="H159" s="388"/>
      <c r="I159" s="389"/>
      <c r="J159" s="390"/>
    </row>
    <row r="160" spans="1:12" ht="13.5" customHeight="1" x14ac:dyDescent="0.2">
      <c r="A160" s="445" t="s">
        <v>4079</v>
      </c>
      <c r="B160" s="394" t="s">
        <v>4109</v>
      </c>
      <c r="C160" s="385" t="s">
        <v>3821</v>
      </c>
      <c r="D160" s="386">
        <f t="shared" si="5"/>
        <v>0</v>
      </c>
      <c r="E160" s="386">
        <v>0</v>
      </c>
      <c r="F160" s="386">
        <v>0</v>
      </c>
      <c r="G160" s="387"/>
      <c r="H160" s="388"/>
      <c r="I160" s="389"/>
      <c r="J160" s="390"/>
    </row>
    <row r="161" spans="1:10" ht="13.5" customHeight="1" x14ac:dyDescent="0.2">
      <c r="A161" s="445" t="s">
        <v>4080</v>
      </c>
      <c r="B161" s="394" t="s">
        <v>4110</v>
      </c>
      <c r="C161" s="385" t="s">
        <v>3821</v>
      </c>
      <c r="D161" s="386">
        <f t="shared" si="5"/>
        <v>0</v>
      </c>
      <c r="E161" s="386">
        <v>0</v>
      </c>
      <c r="F161" s="386">
        <v>0</v>
      </c>
      <c r="G161" s="387"/>
      <c r="H161" s="388"/>
      <c r="I161" s="389"/>
      <c r="J161" s="390"/>
    </row>
    <row r="162" spans="1:10" ht="13.5" customHeight="1" x14ac:dyDescent="0.2">
      <c r="A162" s="445" t="s">
        <v>4081</v>
      </c>
      <c r="B162" s="394" t="s">
        <v>4111</v>
      </c>
      <c r="C162" s="385" t="s">
        <v>3821</v>
      </c>
      <c r="D162" s="386">
        <f t="shared" si="5"/>
        <v>0</v>
      </c>
      <c r="E162" s="386">
        <v>0</v>
      </c>
      <c r="F162" s="386">
        <v>0</v>
      </c>
      <c r="G162" s="387" t="s">
        <v>3312</v>
      </c>
      <c r="H162" s="388" t="s">
        <v>59</v>
      </c>
      <c r="I162" s="389"/>
      <c r="J162" s="390"/>
    </row>
    <row r="163" spans="1:10" ht="13.5" customHeight="1" x14ac:dyDescent="0.2">
      <c r="A163" s="445"/>
      <c r="B163" s="394"/>
      <c r="C163" s="385"/>
      <c r="D163" s="386"/>
      <c r="E163" s="386"/>
      <c r="F163" s="386"/>
      <c r="G163" s="387" t="s">
        <v>3562</v>
      </c>
      <c r="H163" s="388" t="s">
        <v>3822</v>
      </c>
      <c r="I163" s="389"/>
      <c r="J163" s="572"/>
    </row>
    <row r="164" spans="1:10" ht="13.5" customHeight="1" x14ac:dyDescent="0.2">
      <c r="A164" s="445" t="s">
        <v>4082</v>
      </c>
      <c r="B164" s="391" t="s">
        <v>4112</v>
      </c>
      <c r="C164" s="385" t="s">
        <v>3821</v>
      </c>
      <c r="D164" s="386">
        <f t="shared" si="5"/>
        <v>0</v>
      </c>
      <c r="E164" s="386">
        <v>0</v>
      </c>
      <c r="F164" s="386">
        <v>0</v>
      </c>
      <c r="G164" s="387"/>
      <c r="H164" s="388"/>
      <c r="I164" s="389"/>
      <c r="J164" s="390"/>
    </row>
    <row r="165" spans="1:10" ht="13.5" customHeight="1" x14ac:dyDescent="0.2">
      <c r="A165" s="445" t="s">
        <v>4083</v>
      </c>
      <c r="B165" s="394" t="s">
        <v>4113</v>
      </c>
      <c r="C165" s="385" t="s">
        <v>3821</v>
      </c>
      <c r="D165" s="386">
        <f t="shared" si="5"/>
        <v>0</v>
      </c>
      <c r="E165" s="386">
        <v>0</v>
      </c>
      <c r="F165" s="386">
        <v>0</v>
      </c>
      <c r="G165" s="392"/>
      <c r="H165" s="388"/>
      <c r="I165" s="389"/>
      <c r="J165" s="393"/>
    </row>
    <row r="166" spans="1:10" ht="13.5" customHeight="1" x14ac:dyDescent="0.2">
      <c r="A166" s="445" t="s">
        <v>4084</v>
      </c>
      <c r="B166" s="394" t="s">
        <v>4114</v>
      </c>
      <c r="C166" s="385" t="s">
        <v>3821</v>
      </c>
      <c r="D166" s="386">
        <f t="shared" si="5"/>
        <v>0</v>
      </c>
      <c r="E166" s="386">
        <v>0</v>
      </c>
      <c r="F166" s="386">
        <v>0</v>
      </c>
      <c r="G166" s="392"/>
      <c r="H166" s="388"/>
      <c r="I166" s="389"/>
      <c r="J166" s="393"/>
    </row>
    <row r="167" spans="1:10" ht="13.5" customHeight="1" x14ac:dyDescent="0.2">
      <c r="A167" s="445" t="s">
        <v>4085</v>
      </c>
      <c r="B167" s="394" t="s">
        <v>4115</v>
      </c>
      <c r="C167" s="385" t="s">
        <v>3821</v>
      </c>
      <c r="D167" s="386">
        <f t="shared" si="5"/>
        <v>0</v>
      </c>
      <c r="E167" s="386">
        <v>0</v>
      </c>
      <c r="F167" s="386">
        <v>0</v>
      </c>
      <c r="G167" s="392"/>
      <c r="H167" s="388"/>
      <c r="I167" s="389"/>
      <c r="J167" s="393"/>
    </row>
    <row r="168" spans="1:10" ht="13.5" customHeight="1" x14ac:dyDescent="0.2">
      <c r="A168" s="445" t="s">
        <v>4086</v>
      </c>
      <c r="B168" s="391" t="s">
        <v>4116</v>
      </c>
      <c r="C168" s="385" t="s">
        <v>3821</v>
      </c>
      <c r="D168" s="386">
        <f t="shared" si="5"/>
        <v>0</v>
      </c>
      <c r="E168" s="386">
        <v>0</v>
      </c>
      <c r="F168" s="386">
        <v>0</v>
      </c>
      <c r="G168" s="387" t="s">
        <v>3312</v>
      </c>
      <c r="H168" s="388" t="s">
        <v>59</v>
      </c>
      <c r="I168" s="389"/>
      <c r="J168" s="390"/>
    </row>
    <row r="169" spans="1:10" ht="13.5" customHeight="1" x14ac:dyDescent="0.2">
      <c r="A169" s="445"/>
      <c r="B169" s="391"/>
      <c r="C169" s="385"/>
      <c r="D169" s="386"/>
      <c r="E169" s="386"/>
      <c r="F169" s="386"/>
      <c r="G169" s="387" t="s">
        <v>3562</v>
      </c>
      <c r="H169" s="388" t="s">
        <v>3822</v>
      </c>
      <c r="I169" s="389"/>
      <c r="J169" s="572"/>
    </row>
    <row r="170" spans="1:10" ht="13.5" customHeight="1" x14ac:dyDescent="0.2">
      <c r="A170" s="445" t="s">
        <v>4087</v>
      </c>
      <c r="B170" s="391" t="s">
        <v>4117</v>
      </c>
      <c r="C170" s="385" t="s">
        <v>3821</v>
      </c>
      <c r="D170" s="386">
        <f t="shared" si="5"/>
        <v>0</v>
      </c>
      <c r="E170" s="386">
        <v>0</v>
      </c>
      <c r="F170" s="386">
        <v>0</v>
      </c>
      <c r="G170" s="387"/>
      <c r="H170" s="388"/>
      <c r="I170" s="389"/>
      <c r="J170" s="390"/>
    </row>
    <row r="171" spans="1:10" ht="13.5" customHeight="1" x14ac:dyDescent="0.2">
      <c r="A171" s="445" t="s">
        <v>4088</v>
      </c>
      <c r="B171" s="391" t="s">
        <v>4118</v>
      </c>
      <c r="C171" s="385" t="s">
        <v>3821</v>
      </c>
      <c r="D171" s="386">
        <f t="shared" si="5"/>
        <v>0</v>
      </c>
      <c r="E171" s="386">
        <v>0</v>
      </c>
      <c r="F171" s="386">
        <v>0</v>
      </c>
      <c r="G171" s="387"/>
      <c r="H171" s="388"/>
      <c r="I171" s="389"/>
      <c r="J171" s="390"/>
    </row>
    <row r="172" spans="1:10" ht="13.5" customHeight="1" x14ac:dyDescent="0.2">
      <c r="A172" s="445" t="s">
        <v>4089</v>
      </c>
      <c r="B172" s="394" t="s">
        <v>4119</v>
      </c>
      <c r="C172" s="385" t="s">
        <v>3821</v>
      </c>
      <c r="D172" s="386">
        <f t="shared" si="5"/>
        <v>0</v>
      </c>
      <c r="E172" s="386">
        <v>0</v>
      </c>
      <c r="F172" s="386">
        <v>0</v>
      </c>
      <c r="G172" s="392"/>
      <c r="H172" s="388"/>
      <c r="I172" s="389"/>
      <c r="J172" s="393"/>
    </row>
    <row r="173" spans="1:10" ht="13.5" customHeight="1" x14ac:dyDescent="0.2">
      <c r="A173" s="445" t="s">
        <v>4090</v>
      </c>
      <c r="B173" s="394" t="s">
        <v>4120</v>
      </c>
      <c r="C173" s="385" t="s">
        <v>3821</v>
      </c>
      <c r="D173" s="386">
        <f t="shared" si="5"/>
        <v>0</v>
      </c>
      <c r="E173" s="386">
        <v>0</v>
      </c>
      <c r="F173" s="386">
        <v>0</v>
      </c>
      <c r="G173" s="387"/>
      <c r="H173" s="388"/>
      <c r="I173" s="389"/>
      <c r="J173" s="390"/>
    </row>
    <row r="174" spans="1:10" ht="13.5" customHeight="1" x14ac:dyDescent="0.2">
      <c r="A174" s="445" t="s">
        <v>4091</v>
      </c>
      <c r="B174" s="394" t="s">
        <v>4121</v>
      </c>
      <c r="C174" s="385" t="s">
        <v>3821</v>
      </c>
      <c r="D174" s="386">
        <f t="shared" si="5"/>
        <v>0</v>
      </c>
      <c r="E174" s="386">
        <v>0</v>
      </c>
      <c r="F174" s="386">
        <v>0</v>
      </c>
      <c r="G174" s="392"/>
      <c r="H174" s="388"/>
      <c r="I174" s="389"/>
      <c r="J174" s="390"/>
    </row>
    <row r="175" spans="1:10" ht="13.5" customHeight="1" x14ac:dyDescent="0.2">
      <c r="A175" s="445" t="s">
        <v>4092</v>
      </c>
      <c r="B175" s="394" t="s">
        <v>4122</v>
      </c>
      <c r="C175" s="385" t="s">
        <v>3821</v>
      </c>
      <c r="D175" s="386">
        <f t="shared" si="5"/>
        <v>0</v>
      </c>
      <c r="E175" s="386">
        <v>0</v>
      </c>
      <c r="F175" s="386">
        <v>0</v>
      </c>
      <c r="G175" s="387"/>
      <c r="H175" s="388"/>
      <c r="I175" s="389"/>
      <c r="J175" s="390"/>
    </row>
    <row r="176" spans="1:10" ht="13.5" customHeight="1" x14ac:dyDescent="0.2">
      <c r="A176" s="445" t="s">
        <v>4093</v>
      </c>
      <c r="B176" s="394" t="s">
        <v>4123</v>
      </c>
      <c r="C176" s="385" t="s">
        <v>3821</v>
      </c>
      <c r="D176" s="386">
        <f t="shared" si="5"/>
        <v>0</v>
      </c>
      <c r="E176" s="386">
        <v>0</v>
      </c>
      <c r="F176" s="386">
        <v>0</v>
      </c>
      <c r="G176" s="387"/>
      <c r="H176" s="388"/>
      <c r="I176" s="389"/>
      <c r="J176" s="390"/>
    </row>
    <row r="177" spans="1:10" ht="13.5" customHeight="1" x14ac:dyDescent="0.2">
      <c r="A177" s="445" t="s">
        <v>4094</v>
      </c>
      <c r="B177" s="394" t="s">
        <v>4124</v>
      </c>
      <c r="C177" s="385" t="s">
        <v>3821</v>
      </c>
      <c r="D177" s="386">
        <f t="shared" si="5"/>
        <v>0</v>
      </c>
      <c r="E177" s="386">
        <v>0</v>
      </c>
      <c r="F177" s="386">
        <v>0</v>
      </c>
      <c r="G177" s="392"/>
      <c r="H177" s="388"/>
      <c r="I177" s="389"/>
      <c r="J177" s="393"/>
    </row>
    <row r="178" spans="1:10" ht="13.5" customHeight="1" x14ac:dyDescent="0.2">
      <c r="A178" s="445" t="s">
        <v>4095</v>
      </c>
      <c r="B178" s="394" t="s">
        <v>4125</v>
      </c>
      <c r="C178" s="385" t="s">
        <v>3821</v>
      </c>
      <c r="D178" s="386">
        <f t="shared" si="5"/>
        <v>0</v>
      </c>
      <c r="E178" s="386">
        <v>0</v>
      </c>
      <c r="F178" s="386">
        <v>0</v>
      </c>
      <c r="G178" s="387"/>
      <c r="H178" s="388"/>
      <c r="I178" s="389"/>
      <c r="J178" s="390"/>
    </row>
    <row r="179" spans="1:10" ht="13.5" customHeight="1" x14ac:dyDescent="0.2">
      <c r="A179" s="445" t="s">
        <v>4096</v>
      </c>
      <c r="B179" s="394" t="s">
        <v>4126</v>
      </c>
      <c r="C179" s="385" t="s">
        <v>3821</v>
      </c>
      <c r="D179" s="386">
        <f t="shared" si="5"/>
        <v>0</v>
      </c>
      <c r="E179" s="386">
        <v>0</v>
      </c>
      <c r="F179" s="386">
        <v>0</v>
      </c>
      <c r="G179" s="387"/>
      <c r="H179" s="388"/>
      <c r="I179" s="389"/>
      <c r="J179" s="390"/>
    </row>
    <row r="180" spans="1:10" ht="13.5" customHeight="1" x14ac:dyDescent="0.2">
      <c r="A180" s="445" t="s">
        <v>4097</v>
      </c>
      <c r="B180" s="394" t="s">
        <v>4127</v>
      </c>
      <c r="C180" s="385" t="s">
        <v>3821</v>
      </c>
      <c r="D180" s="386">
        <f t="shared" si="5"/>
        <v>0</v>
      </c>
      <c r="E180" s="386">
        <v>0</v>
      </c>
      <c r="F180" s="386">
        <v>0</v>
      </c>
      <c r="G180" s="387"/>
      <c r="H180" s="388"/>
      <c r="I180" s="389"/>
      <c r="J180" s="390"/>
    </row>
    <row r="181" spans="1:10" ht="13.5" customHeight="1" x14ac:dyDescent="0.2">
      <c r="A181" s="445" t="s">
        <v>4098</v>
      </c>
      <c r="B181" s="394" t="s">
        <v>4128</v>
      </c>
      <c r="C181" s="385" t="s">
        <v>3821</v>
      </c>
      <c r="D181" s="386">
        <f t="shared" si="5"/>
        <v>0</v>
      </c>
      <c r="E181" s="386">
        <v>0</v>
      </c>
      <c r="F181" s="386">
        <v>0</v>
      </c>
      <c r="G181" s="392"/>
      <c r="H181" s="388"/>
      <c r="I181" s="389"/>
      <c r="J181" s="393"/>
    </row>
    <row r="182" spans="1:10" ht="13.5" customHeight="1" x14ac:dyDescent="0.25">
      <c r="A182" s="445" t="s">
        <v>4099</v>
      </c>
      <c r="B182" s="394" t="s">
        <v>4129</v>
      </c>
      <c r="C182" s="385" t="s">
        <v>3821</v>
      </c>
      <c r="D182" s="386">
        <f t="shared" si="5"/>
        <v>0</v>
      </c>
      <c r="E182" s="386">
        <v>0</v>
      </c>
      <c r="F182" s="386">
        <v>0</v>
      </c>
      <c r="G182" s="392"/>
      <c r="H182" s="467"/>
      <c r="I182" s="389"/>
      <c r="J182" s="393"/>
    </row>
    <row r="183" spans="1:10" ht="13.5" customHeight="1" x14ac:dyDescent="0.2">
      <c r="A183" s="445" t="s">
        <v>4100</v>
      </c>
      <c r="B183" s="394" t="s">
        <v>4130</v>
      </c>
      <c r="C183" s="385" t="s">
        <v>3821</v>
      </c>
      <c r="D183" s="386">
        <f t="shared" si="5"/>
        <v>0</v>
      </c>
      <c r="E183" s="386">
        <v>0</v>
      </c>
      <c r="F183" s="386">
        <v>0</v>
      </c>
      <c r="G183" s="387"/>
      <c r="H183" s="395"/>
      <c r="I183" s="396"/>
      <c r="J183" s="397"/>
    </row>
    <row r="184" spans="1:10" ht="13.5" customHeight="1" x14ac:dyDescent="0.2">
      <c r="A184" s="445" t="s">
        <v>4101</v>
      </c>
      <c r="B184" s="394" t="s">
        <v>4131</v>
      </c>
      <c r="C184" s="385" t="s">
        <v>3821</v>
      </c>
      <c r="D184" s="386">
        <f t="shared" si="5"/>
        <v>0</v>
      </c>
      <c r="E184" s="386">
        <v>0</v>
      </c>
      <c r="F184" s="386">
        <v>0</v>
      </c>
      <c r="G184" s="392"/>
      <c r="H184" s="388"/>
      <c r="I184" s="389"/>
      <c r="J184" s="393"/>
    </row>
    <row r="185" spans="1:10" ht="13.5" customHeight="1" x14ac:dyDescent="0.2">
      <c r="A185" s="445" t="s">
        <v>4102</v>
      </c>
      <c r="B185" s="384" t="s">
        <v>4132</v>
      </c>
      <c r="C185" s="385" t="s">
        <v>3821</v>
      </c>
      <c r="D185" s="386">
        <f t="shared" si="5"/>
        <v>0</v>
      </c>
      <c r="E185" s="386">
        <v>0</v>
      </c>
      <c r="F185" s="386">
        <v>0</v>
      </c>
      <c r="G185" s="450"/>
      <c r="H185" s="388"/>
      <c r="I185" s="389"/>
      <c r="J185" s="451"/>
    </row>
    <row r="186" spans="1:10" ht="13.5" customHeight="1" x14ac:dyDescent="0.2">
      <c r="A186" s="445" t="s">
        <v>4103</v>
      </c>
      <c r="B186" s="394" t="s">
        <v>4133</v>
      </c>
      <c r="C186" s="385" t="s">
        <v>3821</v>
      </c>
      <c r="D186" s="386">
        <f t="shared" ref="D186" si="6">SUM(E186:F186)</f>
        <v>0</v>
      </c>
      <c r="E186" s="386">
        <v>0</v>
      </c>
      <c r="F186" s="386">
        <v>0</v>
      </c>
      <c r="G186" s="450"/>
      <c r="H186" s="388"/>
      <c r="I186" s="389"/>
      <c r="J186" s="451"/>
    </row>
    <row r="187" spans="1:10" ht="13.5" customHeight="1" x14ac:dyDescent="0.2">
      <c r="A187" s="398"/>
      <c r="B187" s="394"/>
      <c r="C187" s="385"/>
      <c r="D187" s="386"/>
      <c r="E187" s="399"/>
      <c r="F187" s="399"/>
      <c r="G187" s="400"/>
      <c r="H187" s="395"/>
      <c r="I187" s="396"/>
      <c r="J187" s="397"/>
    </row>
    <row r="188" spans="1:10" ht="13.5" customHeight="1" thickBot="1" x14ac:dyDescent="0.25">
      <c r="A188" s="401"/>
      <c r="B188" s="402"/>
      <c r="C188" s="402" t="s">
        <v>3823</v>
      </c>
      <c r="D188" s="403">
        <f>SUM(D155:D187)</f>
        <v>0</v>
      </c>
      <c r="E188" s="403">
        <f>SUM(E155:E187)</f>
        <v>0</v>
      </c>
      <c r="F188" s="403">
        <f>SUM(F155:F187)</f>
        <v>0</v>
      </c>
      <c r="G188" s="403"/>
      <c r="H188" s="403"/>
      <c r="I188" s="403">
        <f>SUM(I155:I187)</f>
        <v>0</v>
      </c>
      <c r="J188" s="403">
        <f>SUM(J155:J187)</f>
        <v>0</v>
      </c>
    </row>
    <row r="193" spans="1:10" ht="13.5" customHeight="1" x14ac:dyDescent="0.25">
      <c r="A193" s="372" t="s">
        <v>3811</v>
      </c>
      <c r="B193" s="372"/>
      <c r="C193" s="372"/>
      <c r="D193" s="372"/>
      <c r="E193" s="372"/>
      <c r="F193" s="372"/>
      <c r="G193" s="372"/>
      <c r="H193" s="109"/>
      <c r="I193" s="109"/>
      <c r="J193" s="109"/>
    </row>
    <row r="194" spans="1:10" ht="13.5" customHeight="1" x14ac:dyDescent="0.25">
      <c r="A194" s="372" t="s">
        <v>3748</v>
      </c>
      <c r="B194" s="372"/>
      <c r="C194" s="372"/>
      <c r="D194" s="372"/>
      <c r="E194" s="372"/>
      <c r="F194" s="372"/>
      <c r="G194" s="372"/>
      <c r="H194" s="109"/>
      <c r="I194" s="109"/>
      <c r="J194" s="109"/>
    </row>
    <row r="195" spans="1:10" ht="13.5" customHeight="1" x14ac:dyDescent="0.2">
      <c r="A195" s="609" t="s">
        <v>3812</v>
      </c>
      <c r="B195" s="609"/>
      <c r="C195" s="609"/>
      <c r="D195" s="609"/>
      <c r="E195" s="609"/>
      <c r="F195" s="609"/>
      <c r="G195" s="609"/>
      <c r="H195" s="609"/>
      <c r="I195" s="609"/>
      <c r="J195" s="609"/>
    </row>
    <row r="196" spans="1:10" ht="13.5" customHeight="1" x14ac:dyDescent="0.2">
      <c r="A196" s="609" t="s">
        <v>3813</v>
      </c>
      <c r="B196" s="609"/>
      <c r="C196" s="609"/>
      <c r="D196" s="609"/>
      <c r="E196" s="609"/>
      <c r="F196" s="609"/>
      <c r="G196" s="609"/>
      <c r="H196" s="609"/>
      <c r="I196" s="609"/>
      <c r="J196" s="609"/>
    </row>
    <row r="197" spans="1:10" ht="13.5" customHeight="1" x14ac:dyDescent="0.2">
      <c r="A197" s="609" t="s">
        <v>3795</v>
      </c>
      <c r="B197" s="609"/>
      <c r="C197" s="609"/>
      <c r="D197" s="609"/>
      <c r="E197" s="609"/>
      <c r="F197" s="609"/>
      <c r="G197" s="609"/>
      <c r="H197" s="609"/>
      <c r="I197" s="609"/>
      <c r="J197" s="609"/>
    </row>
    <row r="198" spans="1:10" ht="13.5" customHeight="1" x14ac:dyDescent="0.25">
      <c r="A198" s="372"/>
      <c r="B198" s="372"/>
      <c r="C198" s="372"/>
      <c r="D198" s="372"/>
      <c r="E198" s="372"/>
      <c r="F198" s="372"/>
      <c r="G198" s="372"/>
      <c r="H198" s="109"/>
      <c r="I198" s="109"/>
      <c r="J198" s="109"/>
    </row>
    <row r="199" spans="1:10" ht="13.5" customHeight="1" x14ac:dyDescent="0.2">
      <c r="A199" s="610" t="s">
        <v>12</v>
      </c>
      <c r="B199" s="610" t="s">
        <v>91</v>
      </c>
      <c r="C199" s="610" t="s">
        <v>13</v>
      </c>
      <c r="D199" s="373" t="s">
        <v>90</v>
      </c>
      <c r="E199" s="611" t="s">
        <v>14</v>
      </c>
      <c r="F199" s="612"/>
      <c r="G199" s="613" t="s">
        <v>29</v>
      </c>
      <c r="H199" s="614"/>
      <c r="I199" s="614"/>
      <c r="J199" s="615"/>
    </row>
    <row r="200" spans="1:10" ht="13.5" customHeight="1" x14ac:dyDescent="0.2">
      <c r="A200" s="610"/>
      <c r="B200" s="610"/>
      <c r="C200" s="610"/>
      <c r="D200" s="616" t="s">
        <v>3814</v>
      </c>
      <c r="E200" s="374" t="s">
        <v>3815</v>
      </c>
      <c r="F200" s="374" t="s">
        <v>3815</v>
      </c>
      <c r="G200" s="618" t="s">
        <v>3816</v>
      </c>
      <c r="H200" s="618" t="s">
        <v>3282</v>
      </c>
      <c r="I200" s="618" t="s">
        <v>90</v>
      </c>
      <c r="J200" s="616" t="s">
        <v>10</v>
      </c>
    </row>
    <row r="201" spans="1:10" ht="13.5" customHeight="1" x14ac:dyDescent="0.2">
      <c r="A201" s="610"/>
      <c r="B201" s="610"/>
      <c r="C201" s="610"/>
      <c r="D201" s="617"/>
      <c r="E201" s="376" t="s">
        <v>3817</v>
      </c>
      <c r="F201" s="376" t="s">
        <v>3818</v>
      </c>
      <c r="G201" s="619"/>
      <c r="H201" s="619"/>
      <c r="I201" s="619"/>
      <c r="J201" s="617"/>
    </row>
    <row r="202" spans="1:10" ht="13.5" customHeight="1" x14ac:dyDescent="0.2">
      <c r="A202" s="610"/>
      <c r="B202" s="610"/>
      <c r="C202" s="610"/>
      <c r="D202" s="377" t="s">
        <v>3819</v>
      </c>
      <c r="E202" s="377" t="s">
        <v>3820</v>
      </c>
      <c r="F202" s="377" t="s">
        <v>3820</v>
      </c>
      <c r="G202" s="620"/>
      <c r="H202" s="620"/>
      <c r="I202" s="620"/>
      <c r="J202" s="621"/>
    </row>
    <row r="203" spans="1:10" ht="13.5" customHeight="1" x14ac:dyDescent="0.2">
      <c r="A203" s="375"/>
      <c r="B203" s="375"/>
      <c r="C203" s="375"/>
      <c r="D203" s="378"/>
      <c r="E203" s="376"/>
      <c r="F203" s="376"/>
      <c r="G203" s="379"/>
      <c r="H203" s="380"/>
      <c r="I203" s="381"/>
      <c r="J203" s="382"/>
    </row>
    <row r="204" spans="1:10" ht="13.5" customHeight="1" x14ac:dyDescent="0.2">
      <c r="A204" s="445" t="s">
        <v>4207</v>
      </c>
      <c r="B204" s="384" t="s">
        <v>4238</v>
      </c>
      <c r="C204" s="385" t="s">
        <v>3821</v>
      </c>
      <c r="D204" s="386">
        <f>SUM(E204:F204)</f>
        <v>0</v>
      </c>
      <c r="E204" s="386">
        <v>0</v>
      </c>
      <c r="F204" s="386">
        <v>0</v>
      </c>
      <c r="G204" s="387"/>
      <c r="H204" s="388"/>
      <c r="I204" s="389"/>
      <c r="J204" s="390"/>
    </row>
    <row r="205" spans="1:10" ht="13.5" customHeight="1" x14ac:dyDescent="0.2">
      <c r="A205" s="445" t="s">
        <v>4208</v>
      </c>
      <c r="B205" s="384" t="s">
        <v>4239</v>
      </c>
      <c r="C205" s="385" t="s">
        <v>3821</v>
      </c>
      <c r="D205" s="386">
        <f t="shared" ref="D205:D221" si="7">SUM(E205:F205)</f>
        <v>0</v>
      </c>
      <c r="E205" s="386">
        <v>0</v>
      </c>
      <c r="F205" s="386">
        <v>0</v>
      </c>
      <c r="G205" s="387"/>
      <c r="H205" s="388"/>
      <c r="I205" s="389"/>
      <c r="J205" s="390"/>
    </row>
    <row r="206" spans="1:10" ht="13.5" customHeight="1" x14ac:dyDescent="0.2">
      <c r="A206" s="445" t="s">
        <v>4209</v>
      </c>
      <c r="B206" s="384" t="s">
        <v>4240</v>
      </c>
      <c r="C206" s="385" t="s">
        <v>3821</v>
      </c>
      <c r="D206" s="386">
        <f t="shared" si="7"/>
        <v>0</v>
      </c>
      <c r="E206" s="386">
        <v>0</v>
      </c>
      <c r="F206" s="386">
        <v>0</v>
      </c>
      <c r="G206" s="387"/>
      <c r="H206" s="388"/>
      <c r="I206" s="389"/>
      <c r="J206" s="390"/>
    </row>
    <row r="207" spans="1:10" ht="13.5" customHeight="1" x14ac:dyDescent="0.2">
      <c r="A207" s="445" t="s">
        <v>4210</v>
      </c>
      <c r="B207" s="391" t="s">
        <v>4241</v>
      </c>
      <c r="C207" s="385" t="s">
        <v>3821</v>
      </c>
      <c r="D207" s="386">
        <f t="shared" si="7"/>
        <v>0</v>
      </c>
      <c r="E207" s="386">
        <v>0</v>
      </c>
      <c r="F207" s="386">
        <v>0</v>
      </c>
      <c r="G207" s="392"/>
      <c r="H207" s="388"/>
      <c r="I207" s="389"/>
      <c r="J207" s="393"/>
    </row>
    <row r="208" spans="1:10" ht="13.5" customHeight="1" x14ac:dyDescent="0.2">
      <c r="A208" s="445" t="s">
        <v>4211</v>
      </c>
      <c r="B208" s="394" t="s">
        <v>4242</v>
      </c>
      <c r="C208" s="385" t="s">
        <v>3821</v>
      </c>
      <c r="D208" s="386">
        <f t="shared" si="7"/>
        <v>0</v>
      </c>
      <c r="E208" s="386">
        <v>0</v>
      </c>
      <c r="F208" s="386">
        <v>0</v>
      </c>
      <c r="G208" s="387"/>
      <c r="H208" s="388"/>
      <c r="I208" s="389"/>
      <c r="J208" s="390"/>
    </row>
    <row r="209" spans="1:12" ht="13.5" customHeight="1" x14ac:dyDescent="0.2">
      <c r="A209" s="445" t="s">
        <v>4212</v>
      </c>
      <c r="B209" s="394" t="s">
        <v>4243</v>
      </c>
      <c r="C209" s="385" t="s">
        <v>3821</v>
      </c>
      <c r="D209" s="386">
        <f t="shared" si="7"/>
        <v>0</v>
      </c>
      <c r="E209" s="386">
        <v>0</v>
      </c>
      <c r="F209" s="386">
        <v>0</v>
      </c>
      <c r="G209" s="387"/>
      <c r="H209" s="388"/>
      <c r="I209" s="389"/>
      <c r="J209" s="390"/>
    </row>
    <row r="210" spans="1:12" ht="13.5" customHeight="1" x14ac:dyDescent="0.2">
      <c r="A210" s="445" t="s">
        <v>4213</v>
      </c>
      <c r="B210" s="394" t="s">
        <v>4244</v>
      </c>
      <c r="C210" s="385" t="s">
        <v>3821</v>
      </c>
      <c r="D210" s="386">
        <f t="shared" si="7"/>
        <v>0</v>
      </c>
      <c r="E210" s="386">
        <v>0</v>
      </c>
      <c r="F210" s="386">
        <v>0</v>
      </c>
      <c r="G210" s="387"/>
      <c r="H210" s="388"/>
      <c r="I210" s="389"/>
      <c r="J210" s="390"/>
    </row>
    <row r="211" spans="1:12" ht="13.5" customHeight="1" x14ac:dyDescent="0.2">
      <c r="A211" s="445" t="s">
        <v>4214</v>
      </c>
      <c r="B211" s="394" t="s">
        <v>4245</v>
      </c>
      <c r="C211" s="385" t="s">
        <v>3821</v>
      </c>
      <c r="D211" s="386">
        <f t="shared" si="7"/>
        <v>0</v>
      </c>
      <c r="E211" s="386">
        <v>0</v>
      </c>
      <c r="F211" s="386">
        <v>0</v>
      </c>
      <c r="G211" s="387"/>
      <c r="H211" s="388"/>
      <c r="I211" s="389"/>
      <c r="J211" s="390"/>
    </row>
    <row r="212" spans="1:12" ht="13.5" customHeight="1" x14ac:dyDescent="0.2">
      <c r="A212" s="445" t="s">
        <v>4215</v>
      </c>
      <c r="B212" s="391" t="s">
        <v>4246</v>
      </c>
      <c r="C212" s="385" t="s">
        <v>3821</v>
      </c>
      <c r="D212" s="386">
        <f t="shared" si="7"/>
        <v>0</v>
      </c>
      <c r="E212" s="386">
        <v>0</v>
      </c>
      <c r="F212" s="386">
        <v>0</v>
      </c>
      <c r="G212" s="387"/>
      <c r="H212" s="388"/>
      <c r="I212" s="389"/>
      <c r="J212" s="390"/>
      <c r="K212" s="73"/>
      <c r="L212" s="1"/>
    </row>
    <row r="213" spans="1:12" ht="13.5" customHeight="1" x14ac:dyDescent="0.2">
      <c r="A213" s="445" t="s">
        <v>4216</v>
      </c>
      <c r="B213" s="394" t="s">
        <v>4247</v>
      </c>
      <c r="C213" s="385" t="s">
        <v>3821</v>
      </c>
      <c r="D213" s="386">
        <f t="shared" si="7"/>
        <v>0</v>
      </c>
      <c r="E213" s="386">
        <v>0</v>
      </c>
      <c r="F213" s="386">
        <v>0</v>
      </c>
      <c r="G213" s="392"/>
      <c r="H213" s="388"/>
      <c r="I213" s="389"/>
      <c r="J213" s="393"/>
    </row>
    <row r="214" spans="1:12" ht="13.5" customHeight="1" x14ac:dyDescent="0.2">
      <c r="A214" s="445" t="s">
        <v>4217</v>
      </c>
      <c r="B214" s="394" t="s">
        <v>4248</v>
      </c>
      <c r="C214" s="385" t="s">
        <v>3821</v>
      </c>
      <c r="D214" s="386">
        <f t="shared" si="7"/>
        <v>0</v>
      </c>
      <c r="E214" s="386">
        <v>0</v>
      </c>
      <c r="F214" s="386">
        <v>0</v>
      </c>
      <c r="G214" s="392"/>
      <c r="H214" s="388"/>
      <c r="I214" s="389"/>
      <c r="J214" s="393"/>
    </row>
    <row r="215" spans="1:12" ht="13.5" customHeight="1" x14ac:dyDescent="0.2">
      <c r="A215" s="445" t="s">
        <v>4218</v>
      </c>
      <c r="B215" s="394" t="s">
        <v>4249</v>
      </c>
      <c r="C215" s="385" t="s">
        <v>3821</v>
      </c>
      <c r="D215" s="386">
        <f t="shared" si="7"/>
        <v>0</v>
      </c>
      <c r="E215" s="386">
        <v>0</v>
      </c>
      <c r="F215" s="386">
        <v>0</v>
      </c>
      <c r="G215" s="392"/>
      <c r="H215" s="388"/>
      <c r="I215" s="389"/>
      <c r="J215" s="393"/>
    </row>
    <row r="216" spans="1:12" ht="13.5" customHeight="1" x14ac:dyDescent="0.2">
      <c r="A216" s="445" t="s">
        <v>4219</v>
      </c>
      <c r="B216" s="391" t="s">
        <v>4250</v>
      </c>
      <c r="C216" s="385" t="s">
        <v>3821</v>
      </c>
      <c r="D216" s="386">
        <f t="shared" si="7"/>
        <v>0</v>
      </c>
      <c r="E216" s="386">
        <v>0</v>
      </c>
      <c r="F216" s="386">
        <v>0</v>
      </c>
      <c r="G216" s="387"/>
      <c r="H216" s="388"/>
      <c r="I216" s="389"/>
      <c r="J216" s="390"/>
    </row>
    <row r="217" spans="1:12" ht="13.5" customHeight="1" x14ac:dyDescent="0.2">
      <c r="A217" s="445" t="s">
        <v>4220</v>
      </c>
      <c r="B217" s="391" t="s">
        <v>4251</v>
      </c>
      <c r="C217" s="385" t="s">
        <v>3821</v>
      </c>
      <c r="D217" s="386">
        <f t="shared" si="7"/>
        <v>0</v>
      </c>
      <c r="E217" s="386">
        <v>0</v>
      </c>
      <c r="F217" s="386">
        <v>0</v>
      </c>
      <c r="G217" s="392"/>
      <c r="H217" s="388"/>
      <c r="I217" s="389"/>
      <c r="J217" s="390"/>
    </row>
    <row r="218" spans="1:12" ht="13.5" customHeight="1" x14ac:dyDescent="0.2">
      <c r="A218" s="445" t="s">
        <v>4221</v>
      </c>
      <c r="B218" s="391" t="s">
        <v>4252</v>
      </c>
      <c r="C218" s="385" t="s">
        <v>3821</v>
      </c>
      <c r="D218" s="386">
        <f t="shared" si="7"/>
        <v>0</v>
      </c>
      <c r="E218" s="386">
        <v>0</v>
      </c>
      <c r="F218" s="386">
        <v>0</v>
      </c>
      <c r="G218" s="387"/>
      <c r="H218" s="388"/>
      <c r="I218" s="389"/>
      <c r="J218" s="390"/>
    </row>
    <row r="219" spans="1:12" ht="13.5" customHeight="1" x14ac:dyDescent="0.2">
      <c r="A219" s="445" t="s">
        <v>4222</v>
      </c>
      <c r="B219" s="394" t="s">
        <v>4253</v>
      </c>
      <c r="C219" s="385" t="s">
        <v>3821</v>
      </c>
      <c r="D219" s="386">
        <f t="shared" si="7"/>
        <v>0</v>
      </c>
      <c r="E219" s="386">
        <v>0</v>
      </c>
      <c r="F219" s="386">
        <v>0</v>
      </c>
      <c r="G219" s="392"/>
      <c r="H219" s="388"/>
      <c r="I219" s="389"/>
      <c r="J219" s="393"/>
    </row>
    <row r="220" spans="1:12" ht="13.5" customHeight="1" x14ac:dyDescent="0.2">
      <c r="A220" s="445" t="s">
        <v>4223</v>
      </c>
      <c r="B220" s="394" t="s">
        <v>4254</v>
      </c>
      <c r="C220" s="385" t="s">
        <v>3821</v>
      </c>
      <c r="D220" s="386">
        <f t="shared" si="7"/>
        <v>0</v>
      </c>
      <c r="E220" s="386">
        <v>0</v>
      </c>
      <c r="F220" s="386">
        <v>0</v>
      </c>
      <c r="G220" s="387"/>
      <c r="H220" s="388"/>
      <c r="I220" s="389"/>
      <c r="J220" s="390"/>
    </row>
    <row r="221" spans="1:12" ht="13.5" customHeight="1" x14ac:dyDescent="0.2">
      <c r="A221" s="445" t="s">
        <v>4224</v>
      </c>
      <c r="B221" s="394" t="s">
        <v>4255</v>
      </c>
      <c r="C221" s="385" t="s">
        <v>3821</v>
      </c>
      <c r="D221" s="386">
        <f t="shared" si="7"/>
        <v>0</v>
      </c>
      <c r="E221" s="386">
        <v>0</v>
      </c>
      <c r="F221" s="386">
        <v>0</v>
      </c>
      <c r="G221" s="392"/>
      <c r="H221" s="388"/>
      <c r="I221" s="389"/>
      <c r="J221" s="390"/>
    </row>
    <row r="222" spans="1:12" ht="13.5" customHeight="1" x14ac:dyDescent="0.2">
      <c r="A222" s="445" t="s">
        <v>4225</v>
      </c>
      <c r="B222" s="394" t="s">
        <v>4256</v>
      </c>
      <c r="C222" s="385" t="s">
        <v>3821</v>
      </c>
      <c r="D222" s="386">
        <f t="shared" ref="D222:D224" si="8">SUM(E222:F222)</f>
        <v>0</v>
      </c>
      <c r="E222" s="386">
        <v>0</v>
      </c>
      <c r="F222" s="386">
        <v>0</v>
      </c>
      <c r="G222" s="387"/>
      <c r="H222" s="388"/>
      <c r="I222" s="389"/>
      <c r="J222" s="390"/>
    </row>
    <row r="223" spans="1:12" ht="13.5" customHeight="1" x14ac:dyDescent="0.2">
      <c r="A223" s="445" t="s">
        <v>4226</v>
      </c>
      <c r="B223" s="394" t="s">
        <v>4257</v>
      </c>
      <c r="C223" s="385" t="s">
        <v>3821</v>
      </c>
      <c r="D223" s="386">
        <f t="shared" si="8"/>
        <v>0</v>
      </c>
      <c r="E223" s="386">
        <v>0</v>
      </c>
      <c r="F223" s="386">
        <v>0</v>
      </c>
      <c r="G223" s="387"/>
      <c r="H223" s="388"/>
      <c r="I223" s="389"/>
      <c r="J223" s="390"/>
    </row>
    <row r="224" spans="1:12" ht="13.5" customHeight="1" x14ac:dyDescent="0.2">
      <c r="A224" s="445" t="s">
        <v>4227</v>
      </c>
      <c r="B224" s="394" t="s">
        <v>4258</v>
      </c>
      <c r="C224" s="385" t="s">
        <v>3821</v>
      </c>
      <c r="D224" s="386">
        <f t="shared" si="8"/>
        <v>0</v>
      </c>
      <c r="E224" s="386">
        <v>0</v>
      </c>
      <c r="F224" s="386">
        <v>0</v>
      </c>
      <c r="G224" s="392"/>
      <c r="H224" s="388"/>
      <c r="I224" s="389"/>
      <c r="J224" s="393"/>
    </row>
    <row r="225" spans="1:10" ht="13.5" customHeight="1" x14ac:dyDescent="0.2">
      <c r="A225" s="445" t="s">
        <v>4228</v>
      </c>
      <c r="B225" s="394" t="s">
        <v>4259</v>
      </c>
      <c r="C225" s="385" t="s">
        <v>3821</v>
      </c>
      <c r="D225" s="386">
        <f t="shared" ref="D225:D234" si="9">SUM(E225:F225)</f>
        <v>0</v>
      </c>
      <c r="E225" s="386">
        <v>0</v>
      </c>
      <c r="F225" s="386">
        <v>0</v>
      </c>
      <c r="G225" s="387"/>
      <c r="H225" s="388"/>
      <c r="I225" s="389"/>
      <c r="J225" s="390"/>
    </row>
    <row r="226" spans="1:10" ht="13.5" customHeight="1" x14ac:dyDescent="0.2">
      <c r="A226" s="445" t="s">
        <v>4229</v>
      </c>
      <c r="B226" s="394" t="s">
        <v>4260</v>
      </c>
      <c r="C226" s="385" t="s">
        <v>3821</v>
      </c>
      <c r="D226" s="386">
        <f t="shared" si="9"/>
        <v>0</v>
      </c>
      <c r="E226" s="386">
        <v>0</v>
      </c>
      <c r="F226" s="386">
        <v>0</v>
      </c>
      <c r="G226" s="387"/>
      <c r="H226" s="388"/>
      <c r="I226" s="389"/>
      <c r="J226" s="390"/>
    </row>
    <row r="227" spans="1:10" ht="13.5" customHeight="1" x14ac:dyDescent="0.2">
      <c r="A227" s="445" t="s">
        <v>4230</v>
      </c>
      <c r="B227" s="394" t="s">
        <v>4261</v>
      </c>
      <c r="C227" s="385" t="s">
        <v>3821</v>
      </c>
      <c r="D227" s="386">
        <f t="shared" si="9"/>
        <v>0</v>
      </c>
      <c r="E227" s="386">
        <v>0</v>
      </c>
      <c r="F227" s="386">
        <v>0</v>
      </c>
      <c r="G227" s="387"/>
      <c r="H227" s="388"/>
      <c r="I227" s="389"/>
      <c r="J227" s="390"/>
    </row>
    <row r="228" spans="1:10" ht="13.5" customHeight="1" x14ac:dyDescent="0.2">
      <c r="A228" s="445" t="s">
        <v>4231</v>
      </c>
      <c r="B228" s="394" t="s">
        <v>4262</v>
      </c>
      <c r="C228" s="385" t="s">
        <v>3821</v>
      </c>
      <c r="D228" s="386">
        <f t="shared" si="9"/>
        <v>0</v>
      </c>
      <c r="E228" s="386">
        <v>0</v>
      </c>
      <c r="F228" s="386">
        <v>0</v>
      </c>
      <c r="G228" s="392"/>
      <c r="H228" s="388"/>
      <c r="I228" s="389"/>
      <c r="J228" s="393"/>
    </row>
    <row r="229" spans="1:10" ht="13.5" customHeight="1" x14ac:dyDescent="0.2">
      <c r="A229" s="445" t="s">
        <v>4232</v>
      </c>
      <c r="B229" s="394" t="s">
        <v>4263</v>
      </c>
      <c r="C229" s="385" t="s">
        <v>3821</v>
      </c>
      <c r="D229" s="386">
        <f t="shared" si="9"/>
        <v>0</v>
      </c>
      <c r="E229" s="386">
        <v>0</v>
      </c>
      <c r="F229" s="386">
        <v>0</v>
      </c>
      <c r="G229" s="392"/>
      <c r="H229" s="388"/>
      <c r="I229" s="389"/>
      <c r="J229" s="393"/>
    </row>
    <row r="230" spans="1:10" ht="13.5" customHeight="1" x14ac:dyDescent="0.2">
      <c r="A230" s="445" t="s">
        <v>4233</v>
      </c>
      <c r="B230" s="394" t="s">
        <v>4264</v>
      </c>
      <c r="C230" s="385" t="s">
        <v>3821</v>
      </c>
      <c r="D230" s="386">
        <f t="shared" si="9"/>
        <v>0</v>
      </c>
      <c r="E230" s="386">
        <v>0</v>
      </c>
      <c r="F230" s="386">
        <v>0</v>
      </c>
      <c r="G230" s="387"/>
      <c r="H230" s="395"/>
      <c r="I230" s="396"/>
      <c r="J230" s="397"/>
    </row>
    <row r="231" spans="1:10" ht="13.5" customHeight="1" x14ac:dyDescent="0.2">
      <c r="A231" s="445" t="s">
        <v>4234</v>
      </c>
      <c r="B231" s="394" t="s">
        <v>4265</v>
      </c>
      <c r="C231" s="385" t="s">
        <v>3821</v>
      </c>
      <c r="D231" s="386">
        <f t="shared" si="9"/>
        <v>0</v>
      </c>
      <c r="E231" s="386">
        <v>0</v>
      </c>
      <c r="F231" s="386">
        <v>0</v>
      </c>
      <c r="G231" s="450"/>
      <c r="H231" s="388"/>
      <c r="I231" s="396"/>
      <c r="J231" s="397"/>
    </row>
    <row r="232" spans="1:10" ht="13.5" customHeight="1" x14ac:dyDescent="0.2">
      <c r="A232" s="445" t="s">
        <v>4235</v>
      </c>
      <c r="B232" s="384" t="s">
        <v>4266</v>
      </c>
      <c r="C232" s="385" t="s">
        <v>3821</v>
      </c>
      <c r="D232" s="386">
        <f t="shared" si="9"/>
        <v>0</v>
      </c>
      <c r="E232" s="386">
        <v>0</v>
      </c>
      <c r="F232" s="386">
        <v>0</v>
      </c>
      <c r="G232" s="450"/>
      <c r="H232" s="388"/>
      <c r="I232" s="396"/>
      <c r="J232" s="397"/>
    </row>
    <row r="233" spans="1:10" ht="13.5" customHeight="1" x14ac:dyDescent="0.2">
      <c r="A233" s="445" t="s">
        <v>4236</v>
      </c>
      <c r="B233" s="394" t="s">
        <v>4267</v>
      </c>
      <c r="C233" s="385" t="s">
        <v>3821</v>
      </c>
      <c r="D233" s="386">
        <f t="shared" si="9"/>
        <v>0</v>
      </c>
      <c r="E233" s="386">
        <v>0</v>
      </c>
      <c r="F233" s="386">
        <v>0</v>
      </c>
      <c r="G233" s="387"/>
      <c r="H233" s="395"/>
      <c r="I233" s="396"/>
      <c r="J233" s="397"/>
    </row>
    <row r="234" spans="1:10" ht="13.5" customHeight="1" x14ac:dyDescent="0.2">
      <c r="A234" s="445" t="s">
        <v>4237</v>
      </c>
      <c r="B234" s="394" t="s">
        <v>4268</v>
      </c>
      <c r="C234" s="385" t="s">
        <v>3821</v>
      </c>
      <c r="D234" s="386">
        <f t="shared" si="9"/>
        <v>0</v>
      </c>
      <c r="E234" s="386">
        <v>0</v>
      </c>
      <c r="F234" s="386">
        <v>0</v>
      </c>
      <c r="G234" s="387"/>
      <c r="H234" s="395"/>
      <c r="I234" s="396"/>
      <c r="J234" s="397"/>
    </row>
    <row r="235" spans="1:10" ht="13.5" customHeight="1" thickBot="1" x14ac:dyDescent="0.25">
      <c r="A235" s="401"/>
      <c r="B235" s="402"/>
      <c r="C235" s="402" t="s">
        <v>3823</v>
      </c>
      <c r="D235" s="403">
        <f>SUM(D204:D234)</f>
        <v>0</v>
      </c>
      <c r="E235" s="403">
        <f>SUM(E204:E234)</f>
        <v>0</v>
      </c>
      <c r="F235" s="403">
        <f>SUM(F204:F234)</f>
        <v>0</v>
      </c>
      <c r="G235" s="403"/>
      <c r="H235" s="403"/>
      <c r="I235" s="403">
        <f>SUM(I204:I234)</f>
        <v>0</v>
      </c>
      <c r="J235" s="403">
        <f>SUM(J204:J234)</f>
        <v>0</v>
      </c>
    </row>
    <row r="236" spans="1:10" ht="13.5" customHeight="1" x14ac:dyDescent="0.25">
      <c r="A236"/>
      <c r="B236"/>
      <c r="C236"/>
      <c r="D236"/>
      <c r="E236"/>
      <c r="F236"/>
      <c r="G236"/>
      <c r="H236"/>
      <c r="I236"/>
      <c r="J236"/>
    </row>
    <row r="241" spans="1:12" ht="13.5" customHeight="1" x14ac:dyDescent="0.25">
      <c r="A241" s="372" t="s">
        <v>3811</v>
      </c>
      <c r="B241" s="372"/>
      <c r="C241" s="372"/>
      <c r="D241" s="372"/>
      <c r="E241" s="372"/>
      <c r="F241" s="372"/>
      <c r="G241" s="372"/>
      <c r="H241" s="109"/>
      <c r="I241" s="109"/>
      <c r="J241" s="109"/>
      <c r="K241" s="73"/>
      <c r="L241" s="1"/>
    </row>
    <row r="242" spans="1:12" ht="13.5" customHeight="1" x14ac:dyDescent="0.25">
      <c r="A242" s="372" t="s">
        <v>3748</v>
      </c>
      <c r="B242" s="372"/>
      <c r="C242" s="372"/>
      <c r="D242" s="372"/>
      <c r="E242" s="372"/>
      <c r="F242" s="372"/>
      <c r="G242" s="372"/>
      <c r="H242" s="469"/>
      <c r="I242" s="109"/>
      <c r="J242" s="109"/>
      <c r="K242" s="73"/>
      <c r="L242" s="1"/>
    </row>
    <row r="243" spans="1:12" ht="13.5" customHeight="1" x14ac:dyDescent="0.2">
      <c r="A243" s="609" t="s">
        <v>3812</v>
      </c>
      <c r="B243" s="609"/>
      <c r="C243" s="609"/>
      <c r="D243" s="609"/>
      <c r="E243" s="609"/>
      <c r="F243" s="609"/>
      <c r="G243" s="609"/>
      <c r="H243" s="609"/>
      <c r="I243" s="609"/>
      <c r="J243" s="609"/>
      <c r="K243" s="73"/>
      <c r="L243" s="1"/>
    </row>
    <row r="244" spans="1:12" ht="13.5" customHeight="1" x14ac:dyDescent="0.2">
      <c r="A244" s="609" t="s">
        <v>3813</v>
      </c>
      <c r="B244" s="609"/>
      <c r="C244" s="609"/>
      <c r="D244" s="609"/>
      <c r="E244" s="609"/>
      <c r="F244" s="609"/>
      <c r="G244" s="609"/>
      <c r="H244" s="609"/>
      <c r="I244" s="609"/>
      <c r="J244" s="609"/>
      <c r="K244" s="73"/>
      <c r="L244" s="1"/>
    </row>
    <row r="245" spans="1:12" ht="13.5" customHeight="1" x14ac:dyDescent="0.2">
      <c r="A245" s="609" t="s">
        <v>3798</v>
      </c>
      <c r="B245" s="609"/>
      <c r="C245" s="609"/>
      <c r="D245" s="609"/>
      <c r="E245" s="609"/>
      <c r="F245" s="609"/>
      <c r="G245" s="609"/>
      <c r="H245" s="609"/>
      <c r="I245" s="609"/>
      <c r="J245" s="609"/>
      <c r="K245" s="73"/>
      <c r="L245" s="1"/>
    </row>
    <row r="246" spans="1:12" ht="13.5" customHeight="1" x14ac:dyDescent="0.25">
      <c r="A246" s="372"/>
      <c r="B246" s="372"/>
      <c r="C246" s="372"/>
      <c r="D246" s="372"/>
      <c r="E246" s="372"/>
      <c r="F246" s="372"/>
      <c r="G246" s="372"/>
      <c r="H246" s="109"/>
      <c r="I246" s="109"/>
      <c r="J246" s="109"/>
      <c r="K246" s="73"/>
      <c r="L246" s="1"/>
    </row>
    <row r="247" spans="1:12" ht="13.5" customHeight="1" x14ac:dyDescent="0.2">
      <c r="A247" s="610" t="s">
        <v>12</v>
      </c>
      <c r="B247" s="610" t="s">
        <v>91</v>
      </c>
      <c r="C247" s="610" t="s">
        <v>13</v>
      </c>
      <c r="D247" s="373" t="s">
        <v>90</v>
      </c>
      <c r="E247" s="611" t="s">
        <v>14</v>
      </c>
      <c r="F247" s="612"/>
      <c r="G247" s="613" t="s">
        <v>29</v>
      </c>
      <c r="H247" s="614"/>
      <c r="I247" s="614"/>
      <c r="J247" s="615"/>
      <c r="K247" s="73"/>
      <c r="L247" s="1"/>
    </row>
    <row r="248" spans="1:12" ht="13.5" customHeight="1" x14ac:dyDescent="0.2">
      <c r="A248" s="610"/>
      <c r="B248" s="610"/>
      <c r="C248" s="610"/>
      <c r="D248" s="616" t="s">
        <v>3814</v>
      </c>
      <c r="E248" s="374" t="s">
        <v>3815</v>
      </c>
      <c r="F248" s="374" t="s">
        <v>3815</v>
      </c>
      <c r="G248" s="618" t="s">
        <v>3816</v>
      </c>
      <c r="H248" s="618" t="s">
        <v>3282</v>
      </c>
      <c r="I248" s="618" t="s">
        <v>90</v>
      </c>
      <c r="J248" s="616" t="s">
        <v>10</v>
      </c>
      <c r="K248" s="73"/>
      <c r="L248" s="1"/>
    </row>
    <row r="249" spans="1:12" ht="13.5" customHeight="1" x14ac:dyDescent="0.2">
      <c r="A249" s="610"/>
      <c r="B249" s="610"/>
      <c r="C249" s="610"/>
      <c r="D249" s="617"/>
      <c r="E249" s="376" t="s">
        <v>3817</v>
      </c>
      <c r="F249" s="376" t="s">
        <v>3818</v>
      </c>
      <c r="G249" s="619"/>
      <c r="H249" s="619"/>
      <c r="I249" s="619"/>
      <c r="J249" s="617"/>
      <c r="K249" s="73"/>
      <c r="L249" s="1"/>
    </row>
    <row r="250" spans="1:12" ht="13.5" customHeight="1" x14ac:dyDescent="0.2">
      <c r="A250" s="610"/>
      <c r="B250" s="610"/>
      <c r="C250" s="610"/>
      <c r="D250" s="377" t="s">
        <v>3819</v>
      </c>
      <c r="E250" s="377" t="s">
        <v>3820</v>
      </c>
      <c r="F250" s="377" t="s">
        <v>3820</v>
      </c>
      <c r="G250" s="620"/>
      <c r="H250" s="620"/>
      <c r="I250" s="620"/>
      <c r="J250" s="621"/>
      <c r="K250" s="73"/>
      <c r="L250" s="1"/>
    </row>
    <row r="251" spans="1:12" ht="13.5" customHeight="1" x14ac:dyDescent="0.2">
      <c r="A251" s="375"/>
      <c r="B251" s="375"/>
      <c r="C251" s="375"/>
      <c r="D251" s="378"/>
      <c r="E251" s="376"/>
      <c r="F251" s="376"/>
      <c r="G251" s="379"/>
      <c r="H251" s="380"/>
      <c r="I251" s="381"/>
      <c r="J251" s="382"/>
      <c r="K251" s="73"/>
      <c r="L251" s="1"/>
    </row>
    <row r="252" spans="1:12" ht="13.5" customHeight="1" x14ac:dyDescent="0.2">
      <c r="A252" s="445" t="s">
        <v>4277</v>
      </c>
      <c r="B252" s="384" t="s">
        <v>4308</v>
      </c>
      <c r="C252" s="385" t="s">
        <v>3821</v>
      </c>
      <c r="D252" s="386">
        <f>SUM(E252:F252)</f>
        <v>0</v>
      </c>
      <c r="E252" s="386">
        <v>0</v>
      </c>
      <c r="F252" s="386">
        <v>0</v>
      </c>
      <c r="G252" s="387"/>
      <c r="H252" s="388"/>
      <c r="I252" s="389"/>
      <c r="J252" s="390"/>
      <c r="K252" s="73"/>
      <c r="L252" s="1"/>
    </row>
    <row r="253" spans="1:12" ht="13.5" customHeight="1" x14ac:dyDescent="0.2">
      <c r="A253" s="445" t="s">
        <v>4278</v>
      </c>
      <c r="B253" s="384" t="s">
        <v>4309</v>
      </c>
      <c r="C253" s="385" t="s">
        <v>3821</v>
      </c>
      <c r="D253" s="386">
        <f t="shared" ref="D253:D284" si="10">SUM(E253:F253)</f>
        <v>0</v>
      </c>
      <c r="E253" s="386">
        <v>0</v>
      </c>
      <c r="F253" s="386">
        <v>0</v>
      </c>
      <c r="G253" s="387"/>
      <c r="H253" s="388"/>
      <c r="I253" s="389"/>
      <c r="J253" s="390"/>
      <c r="K253" s="73"/>
      <c r="L253" s="1"/>
    </row>
    <row r="254" spans="1:12" ht="13.5" customHeight="1" x14ac:dyDescent="0.2">
      <c r="A254" s="445" t="s">
        <v>4279</v>
      </c>
      <c r="B254" s="384" t="s">
        <v>4310</v>
      </c>
      <c r="C254" s="385" t="s">
        <v>3821</v>
      </c>
      <c r="D254" s="386">
        <f t="shared" si="10"/>
        <v>0</v>
      </c>
      <c r="E254" s="386">
        <v>0</v>
      </c>
      <c r="F254" s="386">
        <v>0</v>
      </c>
      <c r="G254" s="387"/>
      <c r="H254" s="388"/>
      <c r="I254" s="389"/>
      <c r="J254" s="390"/>
      <c r="K254" s="73"/>
      <c r="L254" s="1"/>
    </row>
    <row r="255" spans="1:12" ht="13.5" customHeight="1" x14ac:dyDescent="0.2">
      <c r="A255" s="445" t="s">
        <v>4280</v>
      </c>
      <c r="B255" s="391" t="s">
        <v>4311</v>
      </c>
      <c r="C255" s="385" t="s">
        <v>3821</v>
      </c>
      <c r="D255" s="386">
        <f t="shared" si="10"/>
        <v>0</v>
      </c>
      <c r="E255" s="386">
        <v>0</v>
      </c>
      <c r="F255" s="386">
        <v>0</v>
      </c>
      <c r="G255" s="392"/>
      <c r="H255" s="388"/>
      <c r="I255" s="389"/>
      <c r="J255" s="393"/>
      <c r="K255" s="73"/>
      <c r="L255" s="1"/>
    </row>
    <row r="256" spans="1:12" ht="13.5" customHeight="1" x14ac:dyDescent="0.2">
      <c r="A256" s="445" t="s">
        <v>4281</v>
      </c>
      <c r="B256" s="394" t="s">
        <v>4312</v>
      </c>
      <c r="C256" s="385" t="s">
        <v>3821</v>
      </c>
      <c r="D256" s="386">
        <f t="shared" si="10"/>
        <v>0</v>
      </c>
      <c r="E256" s="386">
        <v>0</v>
      </c>
      <c r="F256" s="386">
        <v>0</v>
      </c>
      <c r="G256" s="387"/>
      <c r="H256" s="388"/>
      <c r="I256" s="389"/>
      <c r="J256" s="390"/>
      <c r="K256" s="73"/>
      <c r="L256" s="1"/>
    </row>
    <row r="257" spans="1:12" ht="13.5" customHeight="1" x14ac:dyDescent="0.2">
      <c r="A257" s="445" t="s">
        <v>4282</v>
      </c>
      <c r="B257" s="394" t="s">
        <v>4313</v>
      </c>
      <c r="C257" s="385" t="s">
        <v>3821</v>
      </c>
      <c r="D257" s="386">
        <f t="shared" si="10"/>
        <v>0</v>
      </c>
      <c r="E257" s="386">
        <v>0</v>
      </c>
      <c r="F257" s="386">
        <v>0</v>
      </c>
      <c r="G257" s="387"/>
      <c r="H257" s="388"/>
      <c r="I257" s="389"/>
      <c r="J257" s="390"/>
      <c r="K257" s="73"/>
      <c r="L257" s="1"/>
    </row>
    <row r="258" spans="1:12" ht="13.5" customHeight="1" x14ac:dyDescent="0.2">
      <c r="A258" s="445" t="s">
        <v>4283</v>
      </c>
      <c r="B258" s="394" t="s">
        <v>4314</v>
      </c>
      <c r="C258" s="385" t="s">
        <v>3821</v>
      </c>
      <c r="D258" s="386">
        <f t="shared" si="10"/>
        <v>0</v>
      </c>
      <c r="E258" s="386">
        <v>0</v>
      </c>
      <c r="F258" s="386">
        <v>0</v>
      </c>
      <c r="G258" s="392"/>
      <c r="H258" s="388"/>
      <c r="I258" s="389"/>
      <c r="J258" s="390"/>
      <c r="K258" s="73"/>
      <c r="L258" s="1"/>
    </row>
    <row r="259" spans="1:12" ht="13.5" customHeight="1" x14ac:dyDescent="0.2">
      <c r="A259" s="445" t="s">
        <v>4284</v>
      </c>
      <c r="B259" s="394" t="s">
        <v>4315</v>
      </c>
      <c r="C259" s="385" t="s">
        <v>3821</v>
      </c>
      <c r="D259" s="386">
        <f t="shared" si="10"/>
        <v>0</v>
      </c>
      <c r="E259" s="386">
        <v>0</v>
      </c>
      <c r="F259" s="386">
        <v>0</v>
      </c>
      <c r="G259" s="387"/>
      <c r="H259" s="388"/>
      <c r="I259" s="389"/>
      <c r="J259" s="390"/>
      <c r="K259" s="73"/>
      <c r="L259" s="1"/>
    </row>
    <row r="260" spans="1:12" ht="13.5" customHeight="1" x14ac:dyDescent="0.2">
      <c r="A260" s="445" t="s">
        <v>4285</v>
      </c>
      <c r="B260" s="391" t="s">
        <v>4316</v>
      </c>
      <c r="C260" s="385" t="s">
        <v>3821</v>
      </c>
      <c r="D260" s="386">
        <f t="shared" si="10"/>
        <v>0</v>
      </c>
      <c r="E260" s="386">
        <v>0</v>
      </c>
      <c r="F260" s="386">
        <v>0</v>
      </c>
      <c r="G260" s="387"/>
      <c r="H260" s="388"/>
      <c r="I260" s="389"/>
      <c r="J260" s="390"/>
      <c r="K260" s="73"/>
      <c r="L260" s="1"/>
    </row>
    <row r="261" spans="1:12" ht="13.5" customHeight="1" x14ac:dyDescent="0.2">
      <c r="A261" s="445" t="s">
        <v>4286</v>
      </c>
      <c r="B261" s="394" t="s">
        <v>4317</v>
      </c>
      <c r="C261" s="385" t="s">
        <v>3821</v>
      </c>
      <c r="D261" s="386">
        <f t="shared" si="10"/>
        <v>0</v>
      </c>
      <c r="E261" s="386">
        <v>0</v>
      </c>
      <c r="F261" s="386">
        <v>0</v>
      </c>
      <c r="G261" s="392"/>
      <c r="H261" s="388"/>
      <c r="I261" s="389"/>
      <c r="J261" s="393"/>
      <c r="K261" s="73"/>
      <c r="L261" s="1"/>
    </row>
    <row r="262" spans="1:12" ht="13.5" customHeight="1" x14ac:dyDescent="0.2">
      <c r="A262" s="445" t="s">
        <v>4287</v>
      </c>
      <c r="B262" s="394" t="s">
        <v>4318</v>
      </c>
      <c r="C262" s="385" t="s">
        <v>3821</v>
      </c>
      <c r="D262" s="386">
        <f t="shared" si="10"/>
        <v>0</v>
      </c>
      <c r="E262" s="386">
        <v>0</v>
      </c>
      <c r="F262" s="386">
        <v>0</v>
      </c>
      <c r="G262" s="392"/>
      <c r="H262" s="388"/>
      <c r="I262" s="389"/>
      <c r="J262" s="393"/>
      <c r="K262" s="73"/>
      <c r="L262" s="1"/>
    </row>
    <row r="263" spans="1:12" ht="13.5" customHeight="1" x14ac:dyDescent="0.2">
      <c r="A263" s="445" t="s">
        <v>4288</v>
      </c>
      <c r="B263" s="394" t="s">
        <v>4319</v>
      </c>
      <c r="C263" s="385" t="s">
        <v>3821</v>
      </c>
      <c r="D263" s="386">
        <f t="shared" si="10"/>
        <v>0</v>
      </c>
      <c r="E263" s="386">
        <v>0</v>
      </c>
      <c r="F263" s="386">
        <v>0</v>
      </c>
      <c r="G263" s="392"/>
      <c r="H263" s="388"/>
      <c r="I263" s="389"/>
      <c r="J263" s="393"/>
      <c r="K263" s="73"/>
      <c r="L263" s="1"/>
    </row>
    <row r="264" spans="1:12" ht="13.5" customHeight="1" x14ac:dyDescent="0.2">
      <c r="A264" s="445" t="s">
        <v>4289</v>
      </c>
      <c r="B264" s="391" t="s">
        <v>4320</v>
      </c>
      <c r="C264" s="385" t="s">
        <v>3821</v>
      </c>
      <c r="D264" s="386">
        <f t="shared" si="10"/>
        <v>0</v>
      </c>
      <c r="E264" s="386">
        <v>0</v>
      </c>
      <c r="F264" s="386">
        <v>0</v>
      </c>
      <c r="G264" s="387"/>
      <c r="H264" s="388"/>
      <c r="I264" s="389"/>
      <c r="J264" s="390"/>
      <c r="K264" s="73"/>
      <c r="L264" s="1"/>
    </row>
    <row r="265" spans="1:12" ht="13.5" customHeight="1" x14ac:dyDescent="0.2">
      <c r="A265" s="445" t="s">
        <v>4290</v>
      </c>
      <c r="B265" s="391" t="s">
        <v>4321</v>
      </c>
      <c r="C265" s="385" t="s">
        <v>3821</v>
      </c>
      <c r="D265" s="386">
        <f t="shared" si="10"/>
        <v>0</v>
      </c>
      <c r="E265" s="386">
        <v>0</v>
      </c>
      <c r="F265" s="386">
        <v>0</v>
      </c>
      <c r="G265" s="387"/>
      <c r="H265" s="388"/>
      <c r="I265" s="389"/>
      <c r="J265" s="390"/>
      <c r="K265" s="73"/>
      <c r="L265" s="1"/>
    </row>
    <row r="266" spans="1:12" ht="13.5" customHeight="1" x14ac:dyDescent="0.2">
      <c r="A266" s="445" t="s">
        <v>4291</v>
      </c>
      <c r="B266" s="391" t="s">
        <v>4322</v>
      </c>
      <c r="C266" s="385" t="s">
        <v>3821</v>
      </c>
      <c r="D266" s="386">
        <f t="shared" si="10"/>
        <v>0</v>
      </c>
      <c r="E266" s="386">
        <v>0</v>
      </c>
      <c r="F266" s="386">
        <v>0</v>
      </c>
      <c r="G266" s="387"/>
      <c r="H266" s="388"/>
      <c r="I266" s="389"/>
      <c r="J266" s="390"/>
      <c r="K266" s="73"/>
      <c r="L266" s="1"/>
    </row>
    <row r="267" spans="1:12" ht="13.5" customHeight="1" x14ac:dyDescent="0.2">
      <c r="A267" s="445" t="s">
        <v>4292</v>
      </c>
      <c r="B267" s="394" t="s">
        <v>4323</v>
      </c>
      <c r="C267" s="385" t="s">
        <v>3821</v>
      </c>
      <c r="D267" s="386">
        <f t="shared" si="10"/>
        <v>0</v>
      </c>
      <c r="E267" s="386">
        <v>0</v>
      </c>
      <c r="F267" s="386">
        <v>0</v>
      </c>
      <c r="G267" s="392"/>
      <c r="H267" s="388"/>
      <c r="I267" s="389"/>
      <c r="J267" s="393"/>
      <c r="K267" s="73"/>
      <c r="L267" s="1"/>
    </row>
    <row r="268" spans="1:12" ht="13.5" customHeight="1" x14ac:dyDescent="0.2">
      <c r="A268" s="445" t="s">
        <v>4293</v>
      </c>
      <c r="B268" s="394" t="s">
        <v>4324</v>
      </c>
      <c r="C268" s="385" t="s">
        <v>3821</v>
      </c>
      <c r="D268" s="386">
        <f t="shared" si="10"/>
        <v>0</v>
      </c>
      <c r="E268" s="386">
        <v>0</v>
      </c>
      <c r="F268" s="386">
        <v>0</v>
      </c>
      <c r="G268" s="387"/>
      <c r="H268" s="388"/>
      <c r="I268" s="389"/>
      <c r="J268" s="390"/>
      <c r="K268" s="73"/>
      <c r="L268" s="1"/>
    </row>
    <row r="269" spans="1:12" ht="13.5" customHeight="1" x14ac:dyDescent="0.2">
      <c r="A269" s="445" t="s">
        <v>4294</v>
      </c>
      <c r="B269" s="394" t="s">
        <v>4325</v>
      </c>
      <c r="C269" s="385" t="s">
        <v>3821</v>
      </c>
      <c r="D269" s="386">
        <f t="shared" si="10"/>
        <v>0</v>
      </c>
      <c r="E269" s="386">
        <v>0</v>
      </c>
      <c r="F269" s="386">
        <v>0</v>
      </c>
      <c r="G269" s="392" t="s">
        <v>3312</v>
      </c>
      <c r="H269" s="388" t="s">
        <v>59</v>
      </c>
      <c r="I269" s="389"/>
      <c r="J269" s="393"/>
      <c r="K269" s="73"/>
      <c r="L269" s="1"/>
    </row>
    <row r="270" spans="1:12" ht="13.5" customHeight="1" x14ac:dyDescent="0.2">
      <c r="A270" s="445"/>
      <c r="B270" s="394"/>
      <c r="C270" s="385"/>
      <c r="D270" s="386"/>
      <c r="E270" s="386"/>
      <c r="F270" s="386"/>
      <c r="G270" s="392" t="s">
        <v>3562</v>
      </c>
      <c r="H270" s="388" t="s">
        <v>3822</v>
      </c>
      <c r="I270" s="389"/>
      <c r="J270" s="393"/>
      <c r="K270" s="73"/>
      <c r="L270" s="1"/>
    </row>
    <row r="271" spans="1:12" ht="13.5" customHeight="1" x14ac:dyDescent="0.2">
      <c r="A271" s="445" t="s">
        <v>4295</v>
      </c>
      <c r="B271" s="394" t="s">
        <v>4326</v>
      </c>
      <c r="C271" s="385" t="s">
        <v>3821</v>
      </c>
      <c r="D271" s="386">
        <f t="shared" si="10"/>
        <v>0</v>
      </c>
      <c r="E271" s="386">
        <v>0</v>
      </c>
      <c r="F271" s="386">
        <v>0</v>
      </c>
      <c r="G271" s="392"/>
      <c r="H271" s="388"/>
      <c r="I271" s="389"/>
      <c r="J271" s="390"/>
      <c r="K271" s="73"/>
      <c r="L271" s="1"/>
    </row>
    <row r="272" spans="1:12" ht="13.5" customHeight="1" x14ac:dyDescent="0.2">
      <c r="A272" s="445" t="s">
        <v>4296</v>
      </c>
      <c r="B272" s="394" t="s">
        <v>4327</v>
      </c>
      <c r="C272" s="385" t="s">
        <v>3821</v>
      </c>
      <c r="D272" s="386">
        <f t="shared" si="10"/>
        <v>0</v>
      </c>
      <c r="E272" s="386">
        <v>0</v>
      </c>
      <c r="F272" s="386">
        <v>0</v>
      </c>
      <c r="G272" s="387"/>
      <c r="H272" s="388"/>
      <c r="I272" s="389"/>
      <c r="J272" s="390"/>
      <c r="K272" s="470"/>
      <c r="L272" s="1"/>
    </row>
    <row r="273" spans="1:12" ht="13.5" customHeight="1" x14ac:dyDescent="0.2">
      <c r="A273" s="445" t="s">
        <v>4297</v>
      </c>
      <c r="B273" s="394" t="s">
        <v>4328</v>
      </c>
      <c r="C273" s="385" t="s">
        <v>3821</v>
      </c>
      <c r="D273" s="386">
        <f t="shared" si="10"/>
        <v>0</v>
      </c>
      <c r="E273" s="386">
        <v>0</v>
      </c>
      <c r="F273" s="386">
        <v>0</v>
      </c>
      <c r="G273" s="392"/>
      <c r="H273" s="388"/>
      <c r="I273" s="389"/>
      <c r="J273" s="393"/>
      <c r="K273" s="73"/>
      <c r="L273" s="1"/>
    </row>
    <row r="274" spans="1:12" ht="13.5" customHeight="1" x14ac:dyDescent="0.2">
      <c r="A274" s="445" t="s">
        <v>4298</v>
      </c>
      <c r="B274" s="394" t="s">
        <v>4329</v>
      </c>
      <c r="C274" s="385" t="s">
        <v>3821</v>
      </c>
      <c r="D274" s="386">
        <f t="shared" si="10"/>
        <v>0</v>
      </c>
      <c r="E274" s="386">
        <v>0</v>
      </c>
      <c r="F274" s="386">
        <v>0</v>
      </c>
      <c r="G274" s="387"/>
      <c r="H274" s="388"/>
      <c r="I274" s="389"/>
      <c r="J274" s="390"/>
      <c r="K274" s="73"/>
      <c r="L274" s="1"/>
    </row>
    <row r="275" spans="1:12" ht="13.5" customHeight="1" x14ac:dyDescent="0.2">
      <c r="A275" s="445" t="s">
        <v>4299</v>
      </c>
      <c r="B275" s="394" t="s">
        <v>4330</v>
      </c>
      <c r="C275" s="385" t="s">
        <v>3821</v>
      </c>
      <c r="D275" s="386">
        <f t="shared" si="10"/>
        <v>0</v>
      </c>
      <c r="E275" s="386">
        <v>0</v>
      </c>
      <c r="F275" s="386">
        <v>0</v>
      </c>
      <c r="G275" s="387"/>
      <c r="H275" s="388"/>
      <c r="I275" s="389"/>
      <c r="J275" s="390"/>
      <c r="K275" s="73"/>
      <c r="L275" s="1"/>
    </row>
    <row r="276" spans="1:12" ht="13.5" customHeight="1" x14ac:dyDescent="0.2">
      <c r="A276" s="445" t="s">
        <v>4300</v>
      </c>
      <c r="B276" s="394" t="s">
        <v>4331</v>
      </c>
      <c r="C276" s="385" t="s">
        <v>3821</v>
      </c>
      <c r="D276" s="386">
        <f t="shared" si="10"/>
        <v>0</v>
      </c>
      <c r="E276" s="386">
        <v>0</v>
      </c>
      <c r="F276" s="386">
        <v>0</v>
      </c>
      <c r="G276" s="450" t="s">
        <v>3312</v>
      </c>
      <c r="H276" s="388" t="s">
        <v>59</v>
      </c>
      <c r="I276" s="389"/>
      <c r="J276" s="451"/>
      <c r="K276" s="622"/>
      <c r="L276" s="623"/>
    </row>
    <row r="277" spans="1:12" ht="13.5" customHeight="1" x14ac:dyDescent="0.2">
      <c r="A277" s="445"/>
      <c r="B277" s="394"/>
      <c r="C277" s="385"/>
      <c r="D277" s="386"/>
      <c r="E277" s="386"/>
      <c r="F277" s="386"/>
      <c r="G277" s="450" t="s">
        <v>3566</v>
      </c>
      <c r="H277" s="388" t="s">
        <v>4301</v>
      </c>
      <c r="I277" s="389"/>
      <c r="J277" s="451"/>
      <c r="K277" s="622"/>
      <c r="L277" s="623"/>
    </row>
    <row r="278" spans="1:12" ht="13.5" customHeight="1" x14ac:dyDescent="0.2">
      <c r="A278" s="445" t="s">
        <v>4302</v>
      </c>
      <c r="B278" s="394" t="s">
        <v>4332</v>
      </c>
      <c r="C278" s="385" t="s">
        <v>3821</v>
      </c>
      <c r="D278" s="386">
        <f t="shared" si="10"/>
        <v>0</v>
      </c>
      <c r="E278" s="386">
        <v>0</v>
      </c>
      <c r="F278" s="386">
        <v>0</v>
      </c>
      <c r="G278" s="392"/>
      <c r="H278" s="388"/>
      <c r="I278" s="389"/>
      <c r="J278" s="393"/>
      <c r="K278" s="73"/>
      <c r="L278" s="624"/>
    </row>
    <row r="279" spans="1:12" ht="13.5" customHeight="1" x14ac:dyDescent="0.2">
      <c r="A279" s="445" t="s">
        <v>4303</v>
      </c>
      <c r="B279" s="394" t="s">
        <v>4333</v>
      </c>
      <c r="C279" s="385" t="s">
        <v>3821</v>
      </c>
      <c r="D279" s="386">
        <f t="shared" si="10"/>
        <v>0</v>
      </c>
      <c r="E279" s="386">
        <v>0</v>
      </c>
      <c r="F279" s="386">
        <v>0</v>
      </c>
      <c r="G279" s="392"/>
      <c r="H279" s="388"/>
      <c r="I279" s="389"/>
      <c r="J279" s="393"/>
      <c r="K279" s="73"/>
      <c r="L279" s="624"/>
    </row>
    <row r="280" spans="1:12" ht="13.5" customHeight="1" x14ac:dyDescent="0.2">
      <c r="A280" s="445" t="s">
        <v>4304</v>
      </c>
      <c r="B280" s="394" t="s">
        <v>4334</v>
      </c>
      <c r="C280" s="385" t="s">
        <v>3821</v>
      </c>
      <c r="D280" s="386">
        <f t="shared" si="10"/>
        <v>0</v>
      </c>
      <c r="E280" s="386">
        <v>0</v>
      </c>
      <c r="F280" s="386">
        <v>0</v>
      </c>
      <c r="G280" s="387"/>
      <c r="H280" s="395"/>
      <c r="I280" s="396"/>
      <c r="J280" s="397"/>
      <c r="K280" s="73"/>
      <c r="L280" s="1"/>
    </row>
    <row r="281" spans="1:12" ht="13.5" customHeight="1" x14ac:dyDescent="0.2">
      <c r="A281" s="445" t="s">
        <v>4305</v>
      </c>
      <c r="B281" s="394" t="s">
        <v>4335</v>
      </c>
      <c r="C281" s="385" t="s">
        <v>3821</v>
      </c>
      <c r="D281" s="386">
        <f t="shared" si="10"/>
        <v>0</v>
      </c>
      <c r="E281" s="386">
        <v>0</v>
      </c>
      <c r="F281" s="386">
        <v>0</v>
      </c>
      <c r="G281" s="450"/>
      <c r="H281" s="388"/>
      <c r="I281" s="396"/>
      <c r="J281" s="397"/>
      <c r="K281" s="73"/>
      <c r="L281" s="624"/>
    </row>
    <row r="282" spans="1:12" ht="13.5" customHeight="1" x14ac:dyDescent="0.2">
      <c r="A282" s="445" t="s">
        <v>4306</v>
      </c>
      <c r="B282" s="384" t="s">
        <v>4336</v>
      </c>
      <c r="C282" s="385" t="s">
        <v>3821</v>
      </c>
      <c r="D282" s="386">
        <f t="shared" si="10"/>
        <v>0</v>
      </c>
      <c r="E282" s="386">
        <v>0</v>
      </c>
      <c r="F282" s="386">
        <v>0</v>
      </c>
      <c r="G282" s="387"/>
      <c r="H282" s="395"/>
      <c r="I282" s="396"/>
      <c r="J282" s="397"/>
      <c r="K282" s="73"/>
      <c r="L282" s="624"/>
    </row>
    <row r="283" spans="1:12" ht="13.5" customHeight="1" x14ac:dyDescent="0.2">
      <c r="A283" s="445" t="s">
        <v>4307</v>
      </c>
      <c r="B283" s="394" t="s">
        <v>4337</v>
      </c>
      <c r="C283" s="385" t="s">
        <v>3821</v>
      </c>
      <c r="D283" s="386">
        <f t="shared" si="10"/>
        <v>0</v>
      </c>
      <c r="E283" s="386">
        <v>0</v>
      </c>
      <c r="F283" s="386">
        <v>0</v>
      </c>
      <c r="G283" s="387"/>
      <c r="H283" s="395"/>
      <c r="I283" s="396"/>
      <c r="J283" s="397"/>
      <c r="K283" s="73"/>
      <c r="L283" s="1"/>
    </row>
    <row r="284" spans="1:12" ht="13.5" customHeight="1" x14ac:dyDescent="0.2">
      <c r="A284" s="445"/>
      <c r="B284" s="394"/>
      <c r="C284" s="385" t="s">
        <v>3821</v>
      </c>
      <c r="D284" s="386">
        <f t="shared" si="10"/>
        <v>0</v>
      </c>
      <c r="E284" s="386"/>
      <c r="F284" s="386"/>
      <c r="G284" s="387"/>
      <c r="H284" s="395"/>
      <c r="I284" s="396"/>
      <c r="J284" s="397"/>
      <c r="K284" s="73"/>
      <c r="L284" s="1"/>
    </row>
    <row r="285" spans="1:12" ht="13.5" customHeight="1" thickBot="1" x14ac:dyDescent="0.25">
      <c r="A285" s="401"/>
      <c r="B285" s="402"/>
      <c r="C285" s="402" t="s">
        <v>3823</v>
      </c>
      <c r="D285" s="403">
        <f>SUM(D252:D284)</f>
        <v>0</v>
      </c>
      <c r="E285" s="403">
        <f>SUM(E252:E284)</f>
        <v>0</v>
      </c>
      <c r="F285" s="403">
        <f>SUM(F252:F284)</f>
        <v>0</v>
      </c>
      <c r="G285" s="403"/>
      <c r="H285" s="403"/>
      <c r="I285" s="403">
        <f>SUM(I252:I284)</f>
        <v>0</v>
      </c>
      <c r="J285" s="403">
        <f>SUM(J252:J284)</f>
        <v>0</v>
      </c>
      <c r="K285" s="73"/>
      <c r="L285" s="1"/>
    </row>
    <row r="286" spans="1:12" ht="13.5" customHeight="1" x14ac:dyDescent="0.25">
      <c r="A286"/>
      <c r="B286"/>
      <c r="C286"/>
      <c r="D286"/>
      <c r="E286"/>
      <c r="F286"/>
      <c r="G286"/>
      <c r="H286"/>
      <c r="I286"/>
      <c r="J286"/>
      <c r="K286" s="73"/>
      <c r="L286" s="1"/>
    </row>
    <row r="289" spans="1:12" ht="13.5" customHeight="1" x14ac:dyDescent="0.25">
      <c r="A289" s="372" t="s">
        <v>3811</v>
      </c>
      <c r="B289" s="372"/>
      <c r="C289" s="372"/>
      <c r="D289" s="372"/>
      <c r="E289" s="372"/>
      <c r="F289" s="372"/>
      <c r="G289" s="372"/>
      <c r="H289" s="109"/>
      <c r="I289" s="109"/>
      <c r="J289" s="109"/>
      <c r="K289" s="73"/>
      <c r="L289" s="1"/>
    </row>
    <row r="290" spans="1:12" ht="13.5" customHeight="1" x14ac:dyDescent="0.25">
      <c r="A290" s="372" t="s">
        <v>3748</v>
      </c>
      <c r="B290" s="372"/>
      <c r="C290" s="372"/>
      <c r="D290" s="372"/>
      <c r="E290" s="372"/>
      <c r="F290" s="372"/>
      <c r="G290" s="372"/>
      <c r="H290" s="469"/>
      <c r="I290" s="109"/>
      <c r="J290" s="109"/>
      <c r="K290" s="73"/>
      <c r="L290" s="1"/>
    </row>
    <row r="291" spans="1:12" ht="13.5" customHeight="1" x14ac:dyDescent="0.2">
      <c r="A291" s="609" t="s">
        <v>3812</v>
      </c>
      <c r="B291" s="609"/>
      <c r="C291" s="609"/>
      <c r="D291" s="609"/>
      <c r="E291" s="609"/>
      <c r="F291" s="609"/>
      <c r="G291" s="609"/>
      <c r="H291" s="609"/>
      <c r="I291" s="609"/>
      <c r="J291" s="609"/>
      <c r="K291" s="73"/>
      <c r="L291" s="1"/>
    </row>
    <row r="292" spans="1:12" ht="13.5" customHeight="1" x14ac:dyDescent="0.2">
      <c r="A292" s="609" t="s">
        <v>3813</v>
      </c>
      <c r="B292" s="609"/>
      <c r="C292" s="609"/>
      <c r="D292" s="609"/>
      <c r="E292" s="609"/>
      <c r="F292" s="609"/>
      <c r="G292" s="609"/>
      <c r="H292" s="609"/>
      <c r="I292" s="609"/>
      <c r="J292" s="609"/>
      <c r="K292" s="73"/>
      <c r="L292" s="1"/>
    </row>
    <row r="293" spans="1:12" ht="13.5" customHeight="1" x14ac:dyDescent="0.2">
      <c r="A293" s="609" t="s">
        <v>3799</v>
      </c>
      <c r="B293" s="609"/>
      <c r="C293" s="609"/>
      <c r="D293" s="609"/>
      <c r="E293" s="609"/>
      <c r="F293" s="609"/>
      <c r="G293" s="609"/>
      <c r="H293" s="609"/>
      <c r="I293" s="609"/>
      <c r="J293" s="609"/>
      <c r="K293" s="73"/>
      <c r="L293" s="1"/>
    </row>
    <row r="294" spans="1:12" ht="13.5" customHeight="1" x14ac:dyDescent="0.25">
      <c r="A294" s="372"/>
      <c r="B294" s="372"/>
      <c r="C294" s="372"/>
      <c r="D294" s="372"/>
      <c r="E294" s="372"/>
      <c r="F294" s="372"/>
      <c r="G294" s="372"/>
      <c r="H294" s="109"/>
      <c r="I294" s="109"/>
      <c r="J294" s="109"/>
      <c r="K294" s="73"/>
      <c r="L294" s="1"/>
    </row>
    <row r="295" spans="1:12" ht="13.5" customHeight="1" x14ac:dyDescent="0.2">
      <c r="A295" s="610" t="s">
        <v>12</v>
      </c>
      <c r="B295" s="610" t="s">
        <v>91</v>
      </c>
      <c r="C295" s="610" t="s">
        <v>13</v>
      </c>
      <c r="D295" s="373" t="s">
        <v>90</v>
      </c>
      <c r="E295" s="611" t="s">
        <v>14</v>
      </c>
      <c r="F295" s="612"/>
      <c r="G295" s="613" t="s">
        <v>29</v>
      </c>
      <c r="H295" s="614"/>
      <c r="I295" s="614"/>
      <c r="J295" s="615"/>
      <c r="K295" s="73"/>
      <c r="L295" s="1"/>
    </row>
    <row r="296" spans="1:12" ht="13.5" customHeight="1" x14ac:dyDescent="0.2">
      <c r="A296" s="610"/>
      <c r="B296" s="610"/>
      <c r="C296" s="610"/>
      <c r="D296" s="616" t="s">
        <v>3814</v>
      </c>
      <c r="E296" s="374" t="s">
        <v>3815</v>
      </c>
      <c r="F296" s="374" t="s">
        <v>3815</v>
      </c>
      <c r="G296" s="618" t="s">
        <v>3816</v>
      </c>
      <c r="H296" s="618" t="s">
        <v>3282</v>
      </c>
      <c r="I296" s="618" t="s">
        <v>90</v>
      </c>
      <c r="J296" s="616" t="s">
        <v>10</v>
      </c>
      <c r="K296" s="73"/>
      <c r="L296" s="1"/>
    </row>
    <row r="297" spans="1:12" ht="13.5" customHeight="1" x14ac:dyDescent="0.2">
      <c r="A297" s="610"/>
      <c r="B297" s="610"/>
      <c r="C297" s="610"/>
      <c r="D297" s="617"/>
      <c r="E297" s="376" t="s">
        <v>3817</v>
      </c>
      <c r="F297" s="376" t="s">
        <v>3818</v>
      </c>
      <c r="G297" s="619"/>
      <c r="H297" s="619"/>
      <c r="I297" s="619"/>
      <c r="J297" s="617"/>
      <c r="K297" s="73"/>
      <c r="L297" s="1"/>
    </row>
    <row r="298" spans="1:12" ht="13.5" customHeight="1" x14ac:dyDescent="0.2">
      <c r="A298" s="610"/>
      <c r="B298" s="610"/>
      <c r="C298" s="610"/>
      <c r="D298" s="377" t="s">
        <v>3819</v>
      </c>
      <c r="E298" s="377" t="s">
        <v>3820</v>
      </c>
      <c r="F298" s="377" t="s">
        <v>3820</v>
      </c>
      <c r="G298" s="620"/>
      <c r="H298" s="620"/>
      <c r="I298" s="620"/>
      <c r="J298" s="621"/>
      <c r="K298" s="73"/>
      <c r="L298" s="1"/>
    </row>
    <row r="299" spans="1:12" ht="13.5" customHeight="1" x14ac:dyDescent="0.2">
      <c r="A299" s="375"/>
      <c r="B299" s="375"/>
      <c r="C299" s="375"/>
      <c r="D299" s="378"/>
      <c r="E299" s="376"/>
      <c r="F299" s="376"/>
      <c r="G299" s="379"/>
      <c r="H299" s="380"/>
      <c r="I299" s="381"/>
      <c r="J299" s="382"/>
      <c r="K299" s="73"/>
      <c r="L299" s="1"/>
    </row>
    <row r="300" spans="1:12" ht="13.5" customHeight="1" x14ac:dyDescent="0.2">
      <c r="A300" s="445" t="s">
        <v>4494</v>
      </c>
      <c r="B300" s="384" t="s">
        <v>4528</v>
      </c>
      <c r="C300" s="385" t="s">
        <v>3821</v>
      </c>
      <c r="D300" s="386">
        <f>SUM(E300:F300)</f>
        <v>0</v>
      </c>
      <c r="E300" s="386">
        <v>0</v>
      </c>
      <c r="F300" s="386">
        <v>0</v>
      </c>
      <c r="G300" s="450" t="s">
        <v>3566</v>
      </c>
      <c r="H300" s="388" t="s">
        <v>4495</v>
      </c>
      <c r="I300" s="465"/>
      <c r="J300" s="466"/>
      <c r="K300" s="622"/>
      <c r="L300" s="623"/>
    </row>
    <row r="301" spans="1:12" ht="13.5" customHeight="1" x14ac:dyDescent="0.2">
      <c r="A301" s="445"/>
      <c r="B301" s="384"/>
      <c r="C301" s="385"/>
      <c r="D301" s="386"/>
      <c r="E301" s="386"/>
      <c r="F301" s="386"/>
      <c r="G301" s="450" t="s">
        <v>3300</v>
      </c>
      <c r="H301" s="388" t="s">
        <v>4496</v>
      </c>
      <c r="I301" s="476"/>
      <c r="J301" s="477"/>
      <c r="K301" s="622"/>
      <c r="L301" s="623"/>
    </row>
    <row r="302" spans="1:12" ht="13.5" customHeight="1" x14ac:dyDescent="0.2">
      <c r="A302" s="445"/>
      <c r="B302" s="384"/>
      <c r="C302" s="385"/>
      <c r="D302" s="386"/>
      <c r="E302" s="386"/>
      <c r="F302" s="386"/>
      <c r="G302" s="450" t="s">
        <v>3300</v>
      </c>
      <c r="H302" s="388" t="s">
        <v>4497</v>
      </c>
      <c r="I302" s="476"/>
      <c r="J302" s="477"/>
      <c r="K302" s="478"/>
      <c r="L302" s="474"/>
    </row>
    <row r="303" spans="1:12" ht="13.5" customHeight="1" x14ac:dyDescent="0.2">
      <c r="A303" s="445" t="s">
        <v>4498</v>
      </c>
      <c r="B303" s="384" t="s">
        <v>4529</v>
      </c>
      <c r="C303" s="385" t="s">
        <v>3821</v>
      </c>
      <c r="D303" s="386">
        <f t="shared" ref="D303:D308" si="11">SUM(E303:F303)</f>
        <v>0</v>
      </c>
      <c r="E303" s="386">
        <v>0</v>
      </c>
      <c r="F303" s="386">
        <v>0</v>
      </c>
      <c r="G303" s="387"/>
      <c r="H303" s="388"/>
      <c r="I303" s="389"/>
      <c r="J303" s="390"/>
      <c r="K303" s="73"/>
      <c r="L303" s="1"/>
    </row>
    <row r="304" spans="1:12" ht="13.5" customHeight="1" x14ac:dyDescent="0.2">
      <c r="A304" s="445" t="s">
        <v>4499</v>
      </c>
      <c r="B304" s="384" t="s">
        <v>4530</v>
      </c>
      <c r="C304" s="385" t="s">
        <v>3821</v>
      </c>
      <c r="D304" s="386">
        <f t="shared" si="11"/>
        <v>0</v>
      </c>
      <c r="E304" s="386">
        <v>0</v>
      </c>
      <c r="F304" s="386">
        <v>0</v>
      </c>
      <c r="G304" s="450"/>
      <c r="H304" s="479"/>
      <c r="I304" s="471"/>
      <c r="J304" s="480"/>
      <c r="K304" s="73"/>
      <c r="L304" s="1"/>
    </row>
    <row r="305" spans="1:12" ht="13.5" customHeight="1" x14ac:dyDescent="0.2">
      <c r="A305" s="445" t="s">
        <v>4500</v>
      </c>
      <c r="B305" s="391" t="s">
        <v>4531</v>
      </c>
      <c r="C305" s="385" t="s">
        <v>3821</v>
      </c>
      <c r="D305" s="386">
        <f t="shared" si="11"/>
        <v>0</v>
      </c>
      <c r="E305" s="386">
        <v>0</v>
      </c>
      <c r="F305" s="386">
        <v>0</v>
      </c>
      <c r="G305" s="392"/>
      <c r="H305" s="388"/>
      <c r="I305" s="389"/>
      <c r="J305" s="393"/>
      <c r="K305" s="73"/>
      <c r="L305" s="1"/>
    </row>
    <row r="306" spans="1:12" ht="13.5" customHeight="1" x14ac:dyDescent="0.2">
      <c r="A306" s="445" t="s">
        <v>4501</v>
      </c>
      <c r="B306" s="394" t="s">
        <v>4532</v>
      </c>
      <c r="C306" s="385" t="s">
        <v>3821</v>
      </c>
      <c r="D306" s="386">
        <f t="shared" si="11"/>
        <v>0</v>
      </c>
      <c r="E306" s="386">
        <v>0</v>
      </c>
      <c r="F306" s="386">
        <v>0</v>
      </c>
      <c r="G306" s="387"/>
      <c r="H306" s="388"/>
      <c r="I306" s="389"/>
      <c r="J306" s="390"/>
      <c r="K306" s="73"/>
      <c r="L306" s="1"/>
    </row>
    <row r="307" spans="1:12" ht="13.5" customHeight="1" x14ac:dyDescent="0.2">
      <c r="A307" s="445" t="s">
        <v>4502</v>
      </c>
      <c r="B307" s="394" t="s">
        <v>4533</v>
      </c>
      <c r="C307" s="385" t="s">
        <v>3821</v>
      </c>
      <c r="D307" s="386">
        <f t="shared" si="11"/>
        <v>0</v>
      </c>
      <c r="E307" s="386">
        <v>0</v>
      </c>
      <c r="F307" s="386">
        <v>0</v>
      </c>
      <c r="G307" s="387"/>
      <c r="H307" s="388"/>
      <c r="I307" s="389"/>
      <c r="J307" s="390"/>
      <c r="K307" s="73"/>
      <c r="L307" s="1"/>
    </row>
    <row r="308" spans="1:12" ht="13.5" customHeight="1" x14ac:dyDescent="0.2">
      <c r="A308" s="445" t="s">
        <v>4503</v>
      </c>
      <c r="B308" s="394" t="s">
        <v>4534</v>
      </c>
      <c r="C308" s="385" t="s">
        <v>3821</v>
      </c>
      <c r="D308" s="386">
        <f t="shared" si="11"/>
        <v>0</v>
      </c>
      <c r="E308" s="386">
        <v>0</v>
      </c>
      <c r="F308" s="386">
        <v>0</v>
      </c>
      <c r="G308" s="392"/>
      <c r="H308" s="388"/>
      <c r="I308" s="389"/>
      <c r="J308" s="390"/>
      <c r="K308" s="73"/>
      <c r="L308" s="1"/>
    </row>
    <row r="309" spans="1:12" ht="13.5" customHeight="1" x14ac:dyDescent="0.2">
      <c r="A309" s="445" t="s">
        <v>4504</v>
      </c>
      <c r="B309" s="394" t="s">
        <v>4535</v>
      </c>
      <c r="C309" s="385" t="s">
        <v>3821</v>
      </c>
      <c r="D309" s="386">
        <f t="shared" ref="D309:D332" si="12">SUM(E309:F309)</f>
        <v>0</v>
      </c>
      <c r="E309" s="386">
        <v>0</v>
      </c>
      <c r="F309" s="386">
        <v>0</v>
      </c>
      <c r="G309" s="387"/>
      <c r="H309" s="388"/>
      <c r="I309" s="389"/>
      <c r="J309" s="390"/>
      <c r="K309" s="73"/>
      <c r="L309" s="1"/>
    </row>
    <row r="310" spans="1:12" ht="13.5" customHeight="1" x14ac:dyDescent="0.2">
      <c r="A310" s="445" t="s">
        <v>4505</v>
      </c>
      <c r="B310" s="391" t="s">
        <v>4536</v>
      </c>
      <c r="C310" s="385" t="s">
        <v>3821</v>
      </c>
      <c r="D310" s="386">
        <f t="shared" si="12"/>
        <v>0</v>
      </c>
      <c r="E310" s="386">
        <v>0</v>
      </c>
      <c r="F310" s="386">
        <v>0</v>
      </c>
      <c r="G310" s="392"/>
      <c r="H310" s="388"/>
      <c r="I310" s="389"/>
      <c r="J310" s="393"/>
      <c r="K310" s="73"/>
      <c r="L310" s="1"/>
    </row>
    <row r="311" spans="1:12" ht="13.5" customHeight="1" x14ac:dyDescent="0.2">
      <c r="A311" s="445" t="s">
        <v>4506</v>
      </c>
      <c r="B311" s="394" t="s">
        <v>4537</v>
      </c>
      <c r="C311" s="385" t="s">
        <v>3821</v>
      </c>
      <c r="D311" s="386">
        <f t="shared" si="12"/>
        <v>0</v>
      </c>
      <c r="E311" s="386">
        <v>0</v>
      </c>
      <c r="F311" s="386">
        <v>0</v>
      </c>
      <c r="G311" s="392"/>
      <c r="H311" s="388"/>
      <c r="I311" s="389"/>
      <c r="J311" s="393"/>
      <c r="K311" s="73"/>
      <c r="L311" s="1"/>
    </row>
    <row r="312" spans="1:12" ht="13.5" customHeight="1" x14ac:dyDescent="0.2">
      <c r="A312" s="445" t="s">
        <v>4507</v>
      </c>
      <c r="B312" s="394" t="s">
        <v>4538</v>
      </c>
      <c r="C312" s="385" t="s">
        <v>3821</v>
      </c>
      <c r="D312" s="386">
        <f t="shared" si="12"/>
        <v>0</v>
      </c>
      <c r="E312" s="386">
        <v>0</v>
      </c>
      <c r="F312" s="386">
        <v>0</v>
      </c>
      <c r="G312" s="392"/>
      <c r="H312" s="388"/>
      <c r="I312" s="389"/>
      <c r="J312" s="393"/>
      <c r="K312" s="73"/>
      <c r="L312" s="1"/>
    </row>
    <row r="313" spans="1:12" ht="13.5" customHeight="1" x14ac:dyDescent="0.2">
      <c r="A313" s="445" t="s">
        <v>4508</v>
      </c>
      <c r="B313" s="394" t="s">
        <v>4539</v>
      </c>
      <c r="C313" s="385" t="s">
        <v>3821</v>
      </c>
      <c r="D313" s="386">
        <f t="shared" si="12"/>
        <v>0</v>
      </c>
      <c r="E313" s="386">
        <v>0</v>
      </c>
      <c r="F313" s="386">
        <v>0</v>
      </c>
      <c r="G313" s="392"/>
      <c r="H313" s="388"/>
      <c r="I313" s="389"/>
      <c r="J313" s="393"/>
      <c r="K313" s="73"/>
      <c r="L313" s="1"/>
    </row>
    <row r="314" spans="1:12" ht="13.5" customHeight="1" x14ac:dyDescent="0.2">
      <c r="A314" s="445" t="s">
        <v>4509</v>
      </c>
      <c r="B314" s="391" t="s">
        <v>4540</v>
      </c>
      <c r="C314" s="385" t="s">
        <v>3821</v>
      </c>
      <c r="D314" s="386">
        <f t="shared" si="12"/>
        <v>0</v>
      </c>
      <c r="E314" s="386">
        <v>0</v>
      </c>
      <c r="F314" s="386">
        <v>0</v>
      </c>
      <c r="G314" s="387"/>
      <c r="H314" s="388"/>
      <c r="I314" s="389"/>
      <c r="J314" s="390"/>
      <c r="K314" s="73"/>
      <c r="L314" s="1"/>
    </row>
    <row r="315" spans="1:12" ht="13.5" customHeight="1" x14ac:dyDescent="0.2">
      <c r="A315" s="445" t="s">
        <v>4510</v>
      </c>
      <c r="B315" s="391" t="s">
        <v>4541</v>
      </c>
      <c r="C315" s="385" t="s">
        <v>3821</v>
      </c>
      <c r="D315" s="386">
        <f t="shared" si="12"/>
        <v>0</v>
      </c>
      <c r="E315" s="386">
        <v>0</v>
      </c>
      <c r="F315" s="386">
        <v>0</v>
      </c>
      <c r="G315" s="387"/>
      <c r="H315" s="388"/>
      <c r="I315" s="389"/>
      <c r="J315" s="390"/>
      <c r="K315" s="73"/>
      <c r="L315" s="1"/>
    </row>
    <row r="316" spans="1:12" ht="13.5" customHeight="1" x14ac:dyDescent="0.2">
      <c r="A316" s="445" t="s">
        <v>4511</v>
      </c>
      <c r="B316" s="391" t="s">
        <v>4542</v>
      </c>
      <c r="C316" s="385" t="s">
        <v>3821</v>
      </c>
      <c r="D316" s="386">
        <f t="shared" si="12"/>
        <v>0</v>
      </c>
      <c r="E316" s="386">
        <v>0</v>
      </c>
      <c r="F316" s="386">
        <v>0</v>
      </c>
      <c r="G316" s="387"/>
      <c r="H316" s="388"/>
      <c r="I316" s="389"/>
      <c r="J316" s="390"/>
      <c r="K316" s="73"/>
      <c r="L316" s="1"/>
    </row>
    <row r="317" spans="1:12" ht="13.5" customHeight="1" x14ac:dyDescent="0.2">
      <c r="A317" s="445" t="s">
        <v>4512</v>
      </c>
      <c r="B317" s="394" t="s">
        <v>4543</v>
      </c>
      <c r="C317" s="385" t="s">
        <v>3821</v>
      </c>
      <c r="D317" s="386">
        <f t="shared" si="12"/>
        <v>0</v>
      </c>
      <c r="E317" s="386">
        <v>0</v>
      </c>
      <c r="F317" s="386">
        <v>0</v>
      </c>
      <c r="G317" s="392"/>
      <c r="H317" s="388"/>
      <c r="I317" s="389"/>
      <c r="J317" s="393"/>
      <c r="K317" s="73"/>
      <c r="L317" s="1"/>
    </row>
    <row r="318" spans="1:12" ht="13.5" customHeight="1" x14ac:dyDescent="0.2">
      <c r="A318" s="445" t="s">
        <v>4513</v>
      </c>
      <c r="B318" s="394" t="s">
        <v>4544</v>
      </c>
      <c r="C318" s="385" t="s">
        <v>3821</v>
      </c>
      <c r="D318" s="386">
        <f t="shared" si="12"/>
        <v>0</v>
      </c>
      <c r="E318" s="386">
        <v>0</v>
      </c>
      <c r="F318" s="386">
        <v>0</v>
      </c>
      <c r="G318" s="387"/>
      <c r="H318" s="388"/>
      <c r="I318" s="389"/>
      <c r="J318" s="390"/>
      <c r="K318" s="73"/>
      <c r="L318" s="1"/>
    </row>
    <row r="319" spans="1:12" ht="13.5" customHeight="1" x14ac:dyDescent="0.2">
      <c r="A319" s="445" t="s">
        <v>4514</v>
      </c>
      <c r="B319" s="394" t="s">
        <v>4545</v>
      </c>
      <c r="C319" s="385" t="s">
        <v>3821</v>
      </c>
      <c r="D319" s="386">
        <f t="shared" si="12"/>
        <v>0</v>
      </c>
      <c r="E319" s="386">
        <v>0</v>
      </c>
      <c r="F319" s="386">
        <v>0</v>
      </c>
      <c r="G319" s="392"/>
      <c r="H319" s="388"/>
      <c r="I319" s="389"/>
      <c r="J319" s="390"/>
      <c r="K319" s="73"/>
      <c r="L319" s="1"/>
    </row>
    <row r="320" spans="1:12" ht="13.5" customHeight="1" x14ac:dyDescent="0.2">
      <c r="A320" s="445" t="s">
        <v>4515</v>
      </c>
      <c r="B320" s="394" t="s">
        <v>4546</v>
      </c>
      <c r="C320" s="385" t="s">
        <v>3821</v>
      </c>
      <c r="D320" s="386">
        <f t="shared" si="12"/>
        <v>0</v>
      </c>
      <c r="E320" s="386">
        <v>0</v>
      </c>
      <c r="F320" s="386">
        <v>0</v>
      </c>
      <c r="G320" s="392"/>
      <c r="H320" s="388"/>
      <c r="I320" s="389"/>
      <c r="J320" s="390"/>
      <c r="K320" s="73"/>
      <c r="L320" s="1"/>
    </row>
    <row r="321" spans="1:12" ht="13.5" customHeight="1" x14ac:dyDescent="0.2">
      <c r="A321" s="445" t="s">
        <v>4516</v>
      </c>
      <c r="B321" s="394" t="s">
        <v>4547</v>
      </c>
      <c r="C321" s="385" t="s">
        <v>3821</v>
      </c>
      <c r="D321" s="386">
        <f t="shared" si="12"/>
        <v>0</v>
      </c>
      <c r="E321" s="386">
        <v>0</v>
      </c>
      <c r="F321" s="386">
        <v>0</v>
      </c>
      <c r="G321" s="387"/>
      <c r="H321" s="388"/>
      <c r="I321" s="389"/>
      <c r="J321" s="390"/>
      <c r="K321" s="73"/>
      <c r="L321" s="1"/>
    </row>
    <row r="322" spans="1:12" ht="13.5" customHeight="1" x14ac:dyDescent="0.2">
      <c r="A322" s="445" t="s">
        <v>4517</v>
      </c>
      <c r="B322" s="394" t="s">
        <v>4548</v>
      </c>
      <c r="C322" s="385" t="s">
        <v>3821</v>
      </c>
      <c r="D322" s="386">
        <f t="shared" si="12"/>
        <v>0</v>
      </c>
      <c r="E322" s="386">
        <v>0</v>
      </c>
      <c r="F322" s="386">
        <v>0</v>
      </c>
      <c r="G322" s="392"/>
      <c r="H322" s="388"/>
      <c r="I322" s="389"/>
      <c r="J322" s="390"/>
      <c r="K322" s="73"/>
      <c r="L322" s="1"/>
    </row>
    <row r="323" spans="1:12" ht="13.5" customHeight="1" x14ac:dyDescent="0.2">
      <c r="A323" s="445" t="s">
        <v>4518</v>
      </c>
      <c r="B323" s="394" t="s">
        <v>4549</v>
      </c>
      <c r="C323" s="385" t="s">
        <v>3821</v>
      </c>
      <c r="D323" s="386">
        <f t="shared" si="12"/>
        <v>0</v>
      </c>
      <c r="E323" s="386">
        <v>0</v>
      </c>
      <c r="F323" s="386">
        <v>0</v>
      </c>
      <c r="G323" s="387"/>
      <c r="H323" s="388"/>
      <c r="I323" s="389"/>
      <c r="J323" s="390"/>
      <c r="K323" s="73"/>
      <c r="L323" s="1"/>
    </row>
    <row r="324" spans="1:12" ht="13.5" customHeight="1" x14ac:dyDescent="0.2">
      <c r="A324" s="445" t="s">
        <v>4519</v>
      </c>
      <c r="B324" s="394" t="s">
        <v>4550</v>
      </c>
      <c r="C324" s="385" t="s">
        <v>3821</v>
      </c>
      <c r="D324" s="386">
        <f t="shared" si="12"/>
        <v>0</v>
      </c>
      <c r="E324" s="386">
        <v>0</v>
      </c>
      <c r="F324" s="386">
        <v>0</v>
      </c>
      <c r="G324" s="392"/>
      <c r="H324" s="388"/>
      <c r="I324" s="389"/>
      <c r="J324" s="390"/>
      <c r="K324" s="73"/>
      <c r="L324" s="1"/>
    </row>
    <row r="325" spans="1:12" ht="13.5" customHeight="1" x14ac:dyDescent="0.2">
      <c r="A325" s="445" t="s">
        <v>4520</v>
      </c>
      <c r="B325" s="394" t="s">
        <v>4551</v>
      </c>
      <c r="C325" s="385" t="s">
        <v>3821</v>
      </c>
      <c r="D325" s="386">
        <f t="shared" si="12"/>
        <v>0</v>
      </c>
      <c r="E325" s="386">
        <v>0</v>
      </c>
      <c r="F325" s="386">
        <v>0</v>
      </c>
      <c r="G325" s="387"/>
      <c r="H325" s="388"/>
      <c r="I325" s="389"/>
      <c r="J325" s="390"/>
      <c r="K325" s="73"/>
      <c r="L325" s="1"/>
    </row>
    <row r="326" spans="1:12" ht="13.5" customHeight="1" x14ac:dyDescent="0.2">
      <c r="A326" s="445" t="s">
        <v>4521</v>
      </c>
      <c r="B326" s="394" t="s">
        <v>4552</v>
      </c>
      <c r="C326" s="385" t="s">
        <v>3821</v>
      </c>
      <c r="D326" s="386">
        <f t="shared" si="12"/>
        <v>0</v>
      </c>
      <c r="E326" s="386">
        <v>0</v>
      </c>
      <c r="F326" s="386">
        <v>0</v>
      </c>
      <c r="G326" s="392"/>
      <c r="H326" s="388"/>
      <c r="I326" s="389"/>
      <c r="J326" s="393"/>
      <c r="K326" s="73"/>
      <c r="L326" s="1"/>
    </row>
    <row r="327" spans="1:12" ht="13.5" customHeight="1" x14ac:dyDescent="0.2">
      <c r="A327" s="445" t="s">
        <v>4522</v>
      </c>
      <c r="B327" s="394" t="s">
        <v>4553</v>
      </c>
      <c r="C327" s="385" t="s">
        <v>3821</v>
      </c>
      <c r="D327" s="386">
        <f t="shared" si="12"/>
        <v>0</v>
      </c>
      <c r="E327" s="386">
        <v>0</v>
      </c>
      <c r="F327" s="386">
        <v>0</v>
      </c>
      <c r="G327" s="392"/>
      <c r="H327" s="388"/>
      <c r="I327" s="389"/>
      <c r="J327" s="393"/>
      <c r="K327" s="73"/>
      <c r="L327" s="1"/>
    </row>
    <row r="328" spans="1:12" ht="13.5" customHeight="1" x14ac:dyDescent="0.2">
      <c r="A328" s="445" t="s">
        <v>4523</v>
      </c>
      <c r="B328" s="394" t="s">
        <v>4554</v>
      </c>
      <c r="C328" s="385" t="s">
        <v>3821</v>
      </c>
      <c r="D328" s="386">
        <f t="shared" si="12"/>
        <v>0</v>
      </c>
      <c r="E328" s="386">
        <v>0</v>
      </c>
      <c r="F328" s="386">
        <v>0</v>
      </c>
      <c r="G328" s="387"/>
      <c r="H328" s="395"/>
      <c r="I328" s="396"/>
      <c r="J328" s="397"/>
      <c r="K328" s="73"/>
      <c r="L328" s="1"/>
    </row>
    <row r="329" spans="1:12" ht="13.5" customHeight="1" x14ac:dyDescent="0.2">
      <c r="A329" s="445" t="s">
        <v>4524</v>
      </c>
      <c r="B329" s="394" t="s">
        <v>4555</v>
      </c>
      <c r="C329" s="385" t="s">
        <v>3821</v>
      </c>
      <c r="D329" s="386">
        <f t="shared" si="12"/>
        <v>0</v>
      </c>
      <c r="E329" s="386">
        <v>0</v>
      </c>
      <c r="F329" s="386">
        <v>0</v>
      </c>
      <c r="G329" s="387"/>
      <c r="H329" s="395"/>
      <c r="I329" s="396"/>
      <c r="J329" s="397"/>
      <c r="K329" s="73"/>
      <c r="L329" s="1"/>
    </row>
    <row r="330" spans="1:12" ht="13.5" customHeight="1" x14ac:dyDescent="0.2">
      <c r="A330" s="445" t="s">
        <v>4525</v>
      </c>
      <c r="B330" s="384" t="s">
        <v>4556</v>
      </c>
      <c r="C330" s="385" t="s">
        <v>3821</v>
      </c>
      <c r="D330" s="386">
        <f t="shared" si="12"/>
        <v>0</v>
      </c>
      <c r="E330" s="386">
        <v>0</v>
      </c>
      <c r="F330" s="386">
        <v>0</v>
      </c>
      <c r="G330" s="387"/>
      <c r="H330" s="395"/>
      <c r="I330" s="396"/>
      <c r="J330" s="397"/>
      <c r="K330" s="73"/>
      <c r="L330" s="1"/>
    </row>
    <row r="331" spans="1:12" ht="13.5" customHeight="1" x14ac:dyDescent="0.2">
      <c r="A331" s="445" t="s">
        <v>4526</v>
      </c>
      <c r="B331" s="394" t="s">
        <v>4557</v>
      </c>
      <c r="C331" s="385" t="s">
        <v>3821</v>
      </c>
      <c r="D331" s="386">
        <f t="shared" si="12"/>
        <v>0</v>
      </c>
      <c r="E331" s="386">
        <v>0</v>
      </c>
      <c r="F331" s="386">
        <v>0</v>
      </c>
      <c r="G331" s="450"/>
      <c r="H331" s="388"/>
      <c r="I331" s="389"/>
      <c r="J331" s="451"/>
      <c r="K331" s="73"/>
      <c r="L331" s="1"/>
    </row>
    <row r="332" spans="1:12" ht="13.5" customHeight="1" x14ac:dyDescent="0.2">
      <c r="A332" s="481" t="s">
        <v>4527</v>
      </c>
      <c r="B332" s="482" t="s">
        <v>4558</v>
      </c>
      <c r="C332" s="427" t="s">
        <v>3821</v>
      </c>
      <c r="D332" s="426">
        <f t="shared" si="12"/>
        <v>0</v>
      </c>
      <c r="E332" s="386">
        <v>0</v>
      </c>
      <c r="F332" s="386">
        <v>0</v>
      </c>
      <c r="G332" s="392"/>
      <c r="H332" s="388"/>
      <c r="I332" s="389"/>
      <c r="J332" s="390"/>
      <c r="K332" s="73"/>
      <c r="L332" s="1"/>
    </row>
    <row r="333" spans="1:12" ht="13.5" customHeight="1" thickBot="1" x14ac:dyDescent="0.25">
      <c r="A333" s="401"/>
      <c r="B333" s="402"/>
      <c r="C333" s="402" t="s">
        <v>3823</v>
      </c>
      <c r="D333" s="403">
        <f>SUM(D300:D332)</f>
        <v>0</v>
      </c>
      <c r="E333" s="403">
        <f>SUM(E300:E332)</f>
        <v>0</v>
      </c>
      <c r="F333" s="403">
        <f>SUM(F300:F332)</f>
        <v>0</v>
      </c>
      <c r="G333" s="403"/>
      <c r="H333" s="403"/>
      <c r="I333" s="403">
        <f>SUM(I300:I332)</f>
        <v>0</v>
      </c>
      <c r="J333" s="403">
        <f>SUM(J300:J332)</f>
        <v>0</v>
      </c>
      <c r="K333" s="73"/>
      <c r="L333" s="1"/>
    </row>
    <row r="334" spans="1:12" ht="13.5" customHeight="1" x14ac:dyDescent="0.2">
      <c r="A334" s="475"/>
      <c r="B334" s="372"/>
      <c r="C334" s="372"/>
      <c r="D334" s="404"/>
      <c r="E334" s="404"/>
      <c r="F334" s="404"/>
      <c r="G334" s="404"/>
      <c r="H334" s="404"/>
      <c r="I334" s="404"/>
      <c r="J334" s="404"/>
      <c r="K334" s="73"/>
      <c r="L334" s="1"/>
    </row>
    <row r="335" spans="1:12" ht="13.5" customHeight="1" x14ac:dyDescent="0.2">
      <c r="A335" s="475"/>
      <c r="B335" s="372"/>
      <c r="C335" s="372"/>
      <c r="D335" s="404"/>
      <c r="E335" s="404"/>
      <c r="F335" s="404"/>
      <c r="G335" s="404"/>
      <c r="H335" s="404"/>
      <c r="I335" s="404"/>
      <c r="J335" s="404"/>
      <c r="K335" s="73"/>
      <c r="L335" s="1"/>
    </row>
    <row r="337" spans="1:10" ht="13.5" customHeight="1" x14ac:dyDescent="0.25">
      <c r="A337" s="372" t="s">
        <v>4632</v>
      </c>
      <c r="B337" s="372"/>
      <c r="C337" s="372"/>
      <c r="D337" s="372"/>
      <c r="E337" s="372"/>
      <c r="F337" s="372"/>
      <c r="G337" s="372"/>
      <c r="H337" s="109"/>
      <c r="I337" s="109"/>
      <c r="J337" s="109"/>
    </row>
    <row r="338" spans="1:10" ht="13.5" customHeight="1" x14ac:dyDescent="0.25">
      <c r="A338" s="372" t="s">
        <v>3748</v>
      </c>
      <c r="B338" s="372"/>
      <c r="C338" s="372"/>
      <c r="D338" s="372"/>
      <c r="E338" s="372"/>
      <c r="F338" s="372"/>
      <c r="G338" s="372"/>
      <c r="H338" s="469"/>
      <c r="I338" s="109"/>
      <c r="J338" s="109"/>
    </row>
    <row r="339" spans="1:10" ht="13.5" customHeight="1" x14ac:dyDescent="0.2">
      <c r="A339" s="609" t="s">
        <v>3812</v>
      </c>
      <c r="B339" s="609"/>
      <c r="C339" s="609"/>
      <c r="D339" s="609"/>
      <c r="E339" s="609"/>
      <c r="F339" s="609"/>
      <c r="G339" s="609"/>
      <c r="H339" s="609"/>
      <c r="I339" s="609"/>
      <c r="J339" s="609"/>
    </row>
    <row r="340" spans="1:10" ht="13.5" customHeight="1" x14ac:dyDescent="0.2">
      <c r="A340" s="609" t="s">
        <v>3813</v>
      </c>
      <c r="B340" s="609"/>
      <c r="C340" s="609"/>
      <c r="D340" s="609"/>
      <c r="E340" s="609"/>
      <c r="F340" s="609"/>
      <c r="G340" s="609"/>
      <c r="H340" s="609"/>
      <c r="I340" s="609"/>
      <c r="J340" s="609"/>
    </row>
    <row r="341" spans="1:10" ht="13.5" customHeight="1" x14ac:dyDescent="0.2">
      <c r="A341" s="609" t="s">
        <v>3805</v>
      </c>
      <c r="B341" s="609"/>
      <c r="C341" s="609"/>
      <c r="D341" s="609"/>
      <c r="E341" s="609"/>
      <c r="F341" s="609"/>
      <c r="G341" s="609"/>
      <c r="H341" s="609"/>
      <c r="I341" s="609"/>
      <c r="J341" s="609"/>
    </row>
    <row r="342" spans="1:10" ht="13.5" customHeight="1" x14ac:dyDescent="0.25">
      <c r="A342" s="372"/>
      <c r="B342" s="372"/>
      <c r="C342" s="372"/>
      <c r="D342" s="372"/>
      <c r="E342" s="372"/>
      <c r="F342" s="372"/>
      <c r="G342" s="372"/>
      <c r="H342" s="109"/>
      <c r="I342" s="109"/>
      <c r="J342" s="109"/>
    </row>
    <row r="343" spans="1:10" ht="13.5" customHeight="1" x14ac:dyDescent="0.2">
      <c r="A343" s="610" t="s">
        <v>12</v>
      </c>
      <c r="B343" s="610" t="s">
        <v>91</v>
      </c>
      <c r="C343" s="610" t="s">
        <v>13</v>
      </c>
      <c r="D343" s="373" t="s">
        <v>90</v>
      </c>
      <c r="E343" s="611" t="s">
        <v>14</v>
      </c>
      <c r="F343" s="612"/>
      <c r="G343" s="613" t="s">
        <v>29</v>
      </c>
      <c r="H343" s="614"/>
      <c r="I343" s="614"/>
      <c r="J343" s="615"/>
    </row>
    <row r="344" spans="1:10" ht="13.5" customHeight="1" x14ac:dyDescent="0.2">
      <c r="A344" s="610"/>
      <c r="B344" s="610"/>
      <c r="C344" s="610"/>
      <c r="D344" s="616" t="s">
        <v>3814</v>
      </c>
      <c r="E344" s="374" t="s">
        <v>3815</v>
      </c>
      <c r="F344" s="374" t="s">
        <v>3815</v>
      </c>
      <c r="G344" s="618" t="s">
        <v>3816</v>
      </c>
      <c r="H344" s="618" t="s">
        <v>3282</v>
      </c>
      <c r="I344" s="618" t="s">
        <v>90</v>
      </c>
      <c r="J344" s="616" t="s">
        <v>10</v>
      </c>
    </row>
    <row r="345" spans="1:10" ht="13.5" customHeight="1" x14ac:dyDescent="0.2">
      <c r="A345" s="610"/>
      <c r="B345" s="610"/>
      <c r="C345" s="610"/>
      <c r="D345" s="617"/>
      <c r="E345" s="376" t="s">
        <v>3817</v>
      </c>
      <c r="F345" s="376" t="s">
        <v>3818</v>
      </c>
      <c r="G345" s="619"/>
      <c r="H345" s="619"/>
      <c r="I345" s="619"/>
      <c r="J345" s="617"/>
    </row>
    <row r="346" spans="1:10" ht="13.5" customHeight="1" x14ac:dyDescent="0.2">
      <c r="A346" s="610"/>
      <c r="B346" s="610"/>
      <c r="C346" s="610"/>
      <c r="D346" s="377" t="s">
        <v>3819</v>
      </c>
      <c r="E346" s="377" t="s">
        <v>3820</v>
      </c>
      <c r="F346" s="377" t="s">
        <v>3820</v>
      </c>
      <c r="G346" s="620"/>
      <c r="H346" s="620"/>
      <c r="I346" s="620"/>
      <c r="J346" s="621"/>
    </row>
    <row r="347" spans="1:10" ht="13.5" customHeight="1" x14ac:dyDescent="0.2">
      <c r="A347" s="375"/>
      <c r="B347" s="375"/>
      <c r="C347" s="375"/>
      <c r="D347" s="378"/>
      <c r="E347" s="376"/>
      <c r="F347" s="376"/>
      <c r="G347" s="379"/>
      <c r="H347" s="380"/>
      <c r="I347" s="381"/>
      <c r="J347" s="382"/>
    </row>
    <row r="348" spans="1:10" ht="13.5" customHeight="1" x14ac:dyDescent="0.2">
      <c r="A348" s="445" t="s">
        <v>4633</v>
      </c>
      <c r="B348" s="384" t="s">
        <v>4664</v>
      </c>
      <c r="C348" s="385" t="s">
        <v>3821</v>
      </c>
      <c r="D348" s="386">
        <f>SUM(E348:F348)</f>
        <v>0</v>
      </c>
      <c r="E348" s="386">
        <v>0</v>
      </c>
      <c r="F348" s="386">
        <v>0</v>
      </c>
      <c r="G348" s="392"/>
      <c r="H348" s="388"/>
      <c r="I348" s="389"/>
      <c r="J348" s="390"/>
    </row>
    <row r="349" spans="1:10" ht="13.5" customHeight="1" x14ac:dyDescent="0.2">
      <c r="A349" s="445" t="s">
        <v>4634</v>
      </c>
      <c r="B349" s="384" t="s">
        <v>4665</v>
      </c>
      <c r="C349" s="385" t="s">
        <v>3821</v>
      </c>
      <c r="D349" s="386">
        <f t="shared" ref="D349:D369" si="13">SUM(E349:F349)</f>
        <v>0</v>
      </c>
      <c r="E349" s="386">
        <v>0</v>
      </c>
      <c r="F349" s="386">
        <v>0</v>
      </c>
      <c r="G349" s="387"/>
      <c r="H349" s="388"/>
      <c r="I349" s="389"/>
      <c r="J349" s="390"/>
    </row>
    <row r="350" spans="1:10" ht="13.5" customHeight="1" x14ac:dyDescent="0.2">
      <c r="A350" s="445" t="s">
        <v>4635</v>
      </c>
      <c r="B350" s="384" t="s">
        <v>4666</v>
      </c>
      <c r="C350" s="385" t="s">
        <v>3821</v>
      </c>
      <c r="D350" s="386">
        <f t="shared" si="13"/>
        <v>0</v>
      </c>
      <c r="E350" s="386">
        <v>0</v>
      </c>
      <c r="F350" s="386">
        <v>0</v>
      </c>
      <c r="G350" s="387"/>
      <c r="H350" s="388"/>
      <c r="I350" s="389"/>
      <c r="J350" s="390"/>
    </row>
    <row r="351" spans="1:10" ht="13.5" customHeight="1" x14ac:dyDescent="0.2">
      <c r="A351" s="445" t="s">
        <v>4636</v>
      </c>
      <c r="B351" s="391" t="s">
        <v>4667</v>
      </c>
      <c r="C351" s="385" t="s">
        <v>3821</v>
      </c>
      <c r="D351" s="386">
        <f t="shared" si="13"/>
        <v>0</v>
      </c>
      <c r="E351" s="386">
        <v>0</v>
      </c>
      <c r="F351" s="386">
        <v>0</v>
      </c>
      <c r="G351" s="392" t="s">
        <v>3312</v>
      </c>
      <c r="H351" s="388" t="s">
        <v>59</v>
      </c>
      <c r="I351" s="389"/>
      <c r="J351" s="390"/>
    </row>
    <row r="352" spans="1:10" ht="13.5" customHeight="1" x14ac:dyDescent="0.2">
      <c r="A352" s="445"/>
      <c r="B352" s="391"/>
      <c r="C352" s="385"/>
      <c r="D352" s="386"/>
      <c r="E352" s="386"/>
      <c r="F352" s="386"/>
      <c r="G352" s="392" t="s">
        <v>3562</v>
      </c>
      <c r="H352" s="388" t="s">
        <v>3822</v>
      </c>
      <c r="I352" s="389"/>
      <c r="J352" s="486"/>
    </row>
    <row r="353" spans="1:10" ht="13.5" customHeight="1" x14ac:dyDescent="0.2">
      <c r="A353" s="445" t="s">
        <v>4637</v>
      </c>
      <c r="B353" s="394" t="s">
        <v>4668</v>
      </c>
      <c r="C353" s="385" t="s">
        <v>3821</v>
      </c>
      <c r="D353" s="386">
        <f t="shared" si="13"/>
        <v>0</v>
      </c>
      <c r="E353" s="386">
        <v>0</v>
      </c>
      <c r="F353" s="386">
        <v>0</v>
      </c>
      <c r="G353" s="387"/>
      <c r="H353" s="388"/>
      <c r="I353" s="389"/>
      <c r="J353" s="486"/>
    </row>
    <row r="354" spans="1:10" ht="13.5" customHeight="1" x14ac:dyDescent="0.2">
      <c r="A354" s="445" t="s">
        <v>4638</v>
      </c>
      <c r="B354" s="394" t="s">
        <v>4669</v>
      </c>
      <c r="C354" s="385" t="s">
        <v>3821</v>
      </c>
      <c r="D354" s="386">
        <f t="shared" si="13"/>
        <v>0</v>
      </c>
      <c r="E354" s="386">
        <v>0</v>
      </c>
      <c r="F354" s="386">
        <v>0</v>
      </c>
      <c r="G354" s="450"/>
      <c r="H354" s="388"/>
      <c r="I354" s="465"/>
      <c r="J354" s="466"/>
    </row>
    <row r="355" spans="1:10" ht="13.5" customHeight="1" x14ac:dyDescent="0.2">
      <c r="A355" s="445" t="s">
        <v>4639</v>
      </c>
      <c r="B355" s="394" t="s">
        <v>4670</v>
      </c>
      <c r="C355" s="385" t="s">
        <v>3821</v>
      </c>
      <c r="D355" s="386">
        <f t="shared" si="13"/>
        <v>0</v>
      </c>
      <c r="E355" s="386">
        <v>0</v>
      </c>
      <c r="F355" s="386">
        <v>0</v>
      </c>
      <c r="G355" s="450"/>
      <c r="H355" s="388"/>
      <c r="I355" s="476"/>
      <c r="J355" s="477"/>
    </row>
    <row r="356" spans="1:10" ht="13.5" customHeight="1" x14ac:dyDescent="0.2">
      <c r="A356" s="445" t="s">
        <v>4640</v>
      </c>
      <c r="B356" s="394" t="s">
        <v>4671</v>
      </c>
      <c r="C356" s="385" t="s">
        <v>3821</v>
      </c>
      <c r="D356" s="386">
        <f t="shared" si="13"/>
        <v>0</v>
      </c>
      <c r="E356" s="386">
        <v>0</v>
      </c>
      <c r="F356" s="386">
        <v>0</v>
      </c>
      <c r="G356" s="392"/>
      <c r="H356" s="388"/>
      <c r="I356" s="389"/>
      <c r="J356" s="390"/>
    </row>
    <row r="357" spans="1:10" ht="13.5" customHeight="1" x14ac:dyDescent="0.2">
      <c r="A357" s="445" t="s">
        <v>4641</v>
      </c>
      <c r="B357" s="391" t="s">
        <v>4672</v>
      </c>
      <c r="C357" s="385" t="s">
        <v>3821</v>
      </c>
      <c r="D357" s="386">
        <f t="shared" si="13"/>
        <v>0</v>
      </c>
      <c r="E357" s="386">
        <v>0</v>
      </c>
      <c r="F357" s="386">
        <v>0</v>
      </c>
      <c r="G357" s="387"/>
      <c r="H357" s="388"/>
      <c r="I357" s="389"/>
      <c r="J357" s="390"/>
    </row>
    <row r="358" spans="1:10" ht="13.5" customHeight="1" x14ac:dyDescent="0.2">
      <c r="A358" s="445" t="s">
        <v>4642</v>
      </c>
      <c r="B358" s="394" t="s">
        <v>4673</v>
      </c>
      <c r="C358" s="385" t="s">
        <v>3821</v>
      </c>
      <c r="D358" s="386">
        <f t="shared" si="13"/>
        <v>0</v>
      </c>
      <c r="E358" s="386">
        <v>0</v>
      </c>
      <c r="F358" s="386">
        <v>0</v>
      </c>
      <c r="G358" s="392"/>
      <c r="H358" s="388"/>
      <c r="I358" s="389"/>
      <c r="J358" s="393"/>
    </row>
    <row r="359" spans="1:10" ht="13.5" customHeight="1" x14ac:dyDescent="0.2">
      <c r="A359" s="445" t="s">
        <v>4643</v>
      </c>
      <c r="B359" s="394" t="s">
        <v>4674</v>
      </c>
      <c r="C359" s="385" t="s">
        <v>3821</v>
      </c>
      <c r="D359" s="386">
        <f t="shared" si="13"/>
        <v>0</v>
      </c>
      <c r="E359" s="386">
        <v>0</v>
      </c>
      <c r="F359" s="386">
        <v>0</v>
      </c>
      <c r="G359" s="392"/>
      <c r="H359" s="388"/>
      <c r="I359" s="389"/>
      <c r="J359" s="393"/>
    </row>
    <row r="360" spans="1:10" ht="13.5" customHeight="1" x14ac:dyDescent="0.2">
      <c r="A360" s="445" t="s">
        <v>4644</v>
      </c>
      <c r="B360" s="394" t="s">
        <v>4675</v>
      </c>
      <c r="C360" s="385" t="s">
        <v>3821</v>
      </c>
      <c r="D360" s="386">
        <f t="shared" si="13"/>
        <v>0</v>
      </c>
      <c r="E360" s="386">
        <v>0</v>
      </c>
      <c r="F360" s="386">
        <v>0</v>
      </c>
      <c r="G360" s="392"/>
      <c r="H360" s="388"/>
      <c r="I360" s="389"/>
      <c r="J360" s="390"/>
    </row>
    <row r="361" spans="1:10" ht="13.5" customHeight="1" x14ac:dyDescent="0.2">
      <c r="A361" s="445" t="s">
        <v>4645</v>
      </c>
      <c r="B361" s="391" t="s">
        <v>4676</v>
      </c>
      <c r="C361" s="385" t="s">
        <v>3821</v>
      </c>
      <c r="D361" s="386">
        <f t="shared" si="13"/>
        <v>0</v>
      </c>
      <c r="E361" s="386">
        <v>0</v>
      </c>
      <c r="F361" s="386">
        <v>0</v>
      </c>
      <c r="G361" s="387"/>
      <c r="H361" s="388"/>
      <c r="I361" s="389"/>
      <c r="J361" s="390"/>
    </row>
    <row r="362" spans="1:10" ht="13.5" customHeight="1" x14ac:dyDescent="0.2">
      <c r="A362" s="445" t="s">
        <v>4646</v>
      </c>
      <c r="B362" s="391" t="s">
        <v>4677</v>
      </c>
      <c r="C362" s="385" t="s">
        <v>3821</v>
      </c>
      <c r="D362" s="386">
        <f t="shared" si="13"/>
        <v>0</v>
      </c>
      <c r="E362" s="386">
        <v>0</v>
      </c>
      <c r="F362" s="386">
        <v>0</v>
      </c>
      <c r="G362" s="387"/>
      <c r="H362" s="388"/>
      <c r="I362" s="389"/>
      <c r="J362" s="390"/>
    </row>
    <row r="363" spans="1:10" ht="13.5" customHeight="1" x14ac:dyDescent="0.2">
      <c r="A363" s="445" t="s">
        <v>4647</v>
      </c>
      <c r="B363" s="391" t="s">
        <v>4678</v>
      </c>
      <c r="C363" s="385" t="s">
        <v>3821</v>
      </c>
      <c r="D363" s="386">
        <f t="shared" si="13"/>
        <v>0</v>
      </c>
      <c r="E363" s="386">
        <v>0</v>
      </c>
      <c r="F363" s="386">
        <v>0</v>
      </c>
      <c r="G363" s="387"/>
      <c r="H363" s="388"/>
      <c r="I363" s="389"/>
      <c r="J363" s="390"/>
    </row>
    <row r="364" spans="1:10" ht="13.5" customHeight="1" x14ac:dyDescent="0.2">
      <c r="A364" s="445" t="s">
        <v>4648</v>
      </c>
      <c r="B364" s="394" t="s">
        <v>4679</v>
      </c>
      <c r="C364" s="385" t="s">
        <v>3821</v>
      </c>
      <c r="D364" s="386">
        <f t="shared" si="13"/>
        <v>0</v>
      </c>
      <c r="E364" s="386">
        <v>0</v>
      </c>
      <c r="F364" s="386">
        <v>0</v>
      </c>
      <c r="G364" s="392"/>
      <c r="H364" s="388"/>
      <c r="I364" s="389"/>
      <c r="J364" s="393"/>
    </row>
    <row r="365" spans="1:10" ht="13.5" customHeight="1" x14ac:dyDescent="0.2">
      <c r="A365" s="445" t="s">
        <v>4649</v>
      </c>
      <c r="B365" s="394" t="s">
        <v>4680</v>
      </c>
      <c r="C365" s="385" t="s">
        <v>3821</v>
      </c>
      <c r="D365" s="386">
        <f t="shared" si="13"/>
        <v>0</v>
      </c>
      <c r="E365" s="386">
        <v>0</v>
      </c>
      <c r="F365" s="386">
        <v>0</v>
      </c>
      <c r="G365" s="387"/>
      <c r="H365" s="388"/>
      <c r="I365" s="389"/>
      <c r="J365" s="390"/>
    </row>
    <row r="366" spans="1:10" ht="13.5" customHeight="1" x14ac:dyDescent="0.2">
      <c r="A366" s="445" t="s">
        <v>4650</v>
      </c>
      <c r="B366" s="394" t="s">
        <v>4681</v>
      </c>
      <c r="C366" s="385" t="s">
        <v>3821</v>
      </c>
      <c r="D366" s="386">
        <f t="shared" si="13"/>
        <v>0</v>
      </c>
      <c r="E366" s="386">
        <v>0</v>
      </c>
      <c r="F366" s="386">
        <v>0</v>
      </c>
      <c r="G366" s="392"/>
      <c r="H366" s="388"/>
      <c r="I366" s="389"/>
      <c r="J366" s="390"/>
    </row>
    <row r="367" spans="1:10" ht="13.5" customHeight="1" x14ac:dyDescent="0.2">
      <c r="A367" s="445" t="s">
        <v>4651</v>
      </c>
      <c r="B367" s="394" t="s">
        <v>4682</v>
      </c>
      <c r="C367" s="385" t="s">
        <v>3821</v>
      </c>
      <c r="D367" s="386">
        <f t="shared" si="13"/>
        <v>0</v>
      </c>
      <c r="E367" s="386">
        <v>0</v>
      </c>
      <c r="F367" s="386">
        <v>0</v>
      </c>
      <c r="G367" s="392"/>
      <c r="H367" s="388"/>
      <c r="I367" s="389"/>
      <c r="J367" s="390"/>
    </row>
    <row r="368" spans="1:10" ht="13.5" customHeight="1" x14ac:dyDescent="0.2">
      <c r="A368" s="445" t="s">
        <v>4652</v>
      </c>
      <c r="B368" s="394" t="s">
        <v>4683</v>
      </c>
      <c r="C368" s="385" t="s">
        <v>3821</v>
      </c>
      <c r="D368" s="386">
        <f t="shared" si="13"/>
        <v>0</v>
      </c>
      <c r="E368" s="386">
        <v>0</v>
      </c>
      <c r="F368" s="386">
        <v>0</v>
      </c>
      <c r="G368" s="387"/>
      <c r="H368" s="388"/>
      <c r="I368" s="389"/>
      <c r="J368" s="390"/>
    </row>
    <row r="369" spans="1:10" ht="13.5" customHeight="1" x14ac:dyDescent="0.2">
      <c r="A369" s="445" t="s">
        <v>4653</v>
      </c>
      <c r="B369" s="394" t="s">
        <v>4684</v>
      </c>
      <c r="C369" s="385" t="s">
        <v>3821</v>
      </c>
      <c r="D369" s="386">
        <f t="shared" si="13"/>
        <v>0</v>
      </c>
      <c r="E369" s="386">
        <v>0</v>
      </c>
      <c r="F369" s="386">
        <v>0</v>
      </c>
      <c r="G369" s="392"/>
      <c r="H369" s="388"/>
      <c r="I369" s="389"/>
      <c r="J369" s="390"/>
    </row>
    <row r="370" spans="1:10" ht="13.5" customHeight="1" x14ac:dyDescent="0.2">
      <c r="A370" s="445" t="s">
        <v>4654</v>
      </c>
      <c r="B370" s="394" t="s">
        <v>4685</v>
      </c>
      <c r="C370" s="385" t="s">
        <v>3821</v>
      </c>
      <c r="D370" s="386">
        <f t="shared" ref="D370:D381" si="14">SUM(E370:F370)</f>
        <v>0</v>
      </c>
      <c r="E370" s="386">
        <v>0</v>
      </c>
      <c r="F370" s="386">
        <v>0</v>
      </c>
      <c r="G370" s="387"/>
      <c r="H370" s="388"/>
      <c r="I370" s="389"/>
      <c r="J370" s="390"/>
    </row>
    <row r="371" spans="1:10" ht="13.5" customHeight="1" x14ac:dyDescent="0.2">
      <c r="A371" s="445" t="s">
        <v>4655</v>
      </c>
      <c r="B371" s="394" t="s">
        <v>4686</v>
      </c>
      <c r="C371" s="385" t="s">
        <v>3821</v>
      </c>
      <c r="D371" s="386">
        <f t="shared" si="14"/>
        <v>0</v>
      </c>
      <c r="E371" s="386">
        <v>0</v>
      </c>
      <c r="F371" s="386">
        <v>0</v>
      </c>
      <c r="G371" s="387"/>
      <c r="H371" s="388"/>
      <c r="I371" s="389"/>
      <c r="J371" s="390"/>
    </row>
    <row r="372" spans="1:10" ht="13.5" customHeight="1" x14ac:dyDescent="0.2">
      <c r="A372" s="445" t="s">
        <v>4656</v>
      </c>
      <c r="B372" s="394" t="s">
        <v>4687</v>
      </c>
      <c r="C372" s="385" t="s">
        <v>3821</v>
      </c>
      <c r="D372" s="386">
        <f t="shared" si="14"/>
        <v>0</v>
      </c>
      <c r="E372" s="386">
        <v>0</v>
      </c>
      <c r="F372" s="386">
        <v>0</v>
      </c>
      <c r="G372" s="392"/>
      <c r="H372" s="388"/>
      <c r="I372" s="389"/>
      <c r="J372" s="390"/>
    </row>
    <row r="373" spans="1:10" ht="13.5" customHeight="1" x14ac:dyDescent="0.2">
      <c r="A373" s="445" t="s">
        <v>4657</v>
      </c>
      <c r="B373" s="394" t="s">
        <v>4688</v>
      </c>
      <c r="C373" s="385" t="s">
        <v>3821</v>
      </c>
      <c r="D373" s="386">
        <f t="shared" si="14"/>
        <v>0</v>
      </c>
      <c r="E373" s="386">
        <v>0</v>
      </c>
      <c r="F373" s="386">
        <v>0</v>
      </c>
      <c r="G373" s="392" t="s">
        <v>3312</v>
      </c>
      <c r="H373" s="388" t="s">
        <v>59</v>
      </c>
      <c r="I373" s="389"/>
      <c r="J373" s="393"/>
    </row>
    <row r="374" spans="1:10" ht="13.5" customHeight="1" x14ac:dyDescent="0.2">
      <c r="A374" s="445"/>
      <c r="B374" s="394"/>
      <c r="C374" s="385"/>
      <c r="D374" s="386"/>
      <c r="E374" s="386"/>
      <c r="F374" s="386"/>
      <c r="G374" s="392" t="s">
        <v>3562</v>
      </c>
      <c r="H374" s="388" t="s">
        <v>3822</v>
      </c>
      <c r="I374" s="389"/>
      <c r="J374" s="393"/>
    </row>
    <row r="375" spans="1:10" ht="13.5" customHeight="1" x14ac:dyDescent="0.2">
      <c r="A375" s="445" t="s">
        <v>4658</v>
      </c>
      <c r="B375" s="394" t="s">
        <v>4689</v>
      </c>
      <c r="C375" s="385" t="s">
        <v>3821</v>
      </c>
      <c r="D375" s="386">
        <f t="shared" si="14"/>
        <v>0</v>
      </c>
      <c r="E375" s="386">
        <v>0</v>
      </c>
      <c r="F375" s="386">
        <v>0</v>
      </c>
      <c r="G375" s="450"/>
      <c r="H375" s="388"/>
      <c r="I375" s="465"/>
      <c r="J375" s="477"/>
    </row>
    <row r="376" spans="1:10" ht="13.5" customHeight="1" x14ac:dyDescent="0.2">
      <c r="A376" s="445" t="s">
        <v>4659</v>
      </c>
      <c r="B376" s="394" t="s">
        <v>4690</v>
      </c>
      <c r="C376" s="385" t="s">
        <v>3821</v>
      </c>
      <c r="D376" s="386">
        <f t="shared" si="14"/>
        <v>0</v>
      </c>
      <c r="E376" s="386">
        <v>0</v>
      </c>
      <c r="F376" s="386">
        <v>0</v>
      </c>
      <c r="G376" s="392" t="s">
        <v>3312</v>
      </c>
      <c r="H376" s="388" t="s">
        <v>59</v>
      </c>
      <c r="I376" s="396"/>
      <c r="J376" s="397"/>
    </row>
    <row r="377" spans="1:10" ht="13.5" customHeight="1" x14ac:dyDescent="0.2">
      <c r="A377" s="445" t="s">
        <v>4660</v>
      </c>
      <c r="B377" s="394" t="s">
        <v>4691</v>
      </c>
      <c r="C377" s="385" t="s">
        <v>3821</v>
      </c>
      <c r="D377" s="386">
        <f t="shared" si="14"/>
        <v>0</v>
      </c>
      <c r="E377" s="386">
        <v>0</v>
      </c>
      <c r="F377" s="386">
        <v>0</v>
      </c>
      <c r="G377" s="392" t="s">
        <v>3562</v>
      </c>
      <c r="H377" s="388" t="s">
        <v>3822</v>
      </c>
      <c r="I377" s="396"/>
      <c r="J377" s="492"/>
    </row>
    <row r="378" spans="1:10" ht="13.5" customHeight="1" x14ac:dyDescent="0.2">
      <c r="A378" s="445"/>
      <c r="B378" s="394"/>
      <c r="C378" s="385"/>
      <c r="D378" s="386"/>
      <c r="E378" s="386"/>
      <c r="F378" s="386"/>
      <c r="G378" s="387"/>
      <c r="H378" s="395"/>
      <c r="I378" s="396"/>
      <c r="J378" s="397"/>
    </row>
    <row r="379" spans="1:10" ht="13.5" customHeight="1" x14ac:dyDescent="0.2">
      <c r="A379" s="445" t="s">
        <v>4661</v>
      </c>
      <c r="B379" s="384" t="s">
        <v>4692</v>
      </c>
      <c r="C379" s="385" t="s">
        <v>3821</v>
      </c>
      <c r="D379" s="386">
        <f t="shared" si="14"/>
        <v>0</v>
      </c>
      <c r="E379" s="386">
        <v>0</v>
      </c>
      <c r="F379" s="386">
        <v>0</v>
      </c>
      <c r="G379" s="387"/>
      <c r="H379" s="395"/>
      <c r="I379" s="396"/>
      <c r="J379" s="397"/>
    </row>
    <row r="380" spans="1:10" ht="13.5" customHeight="1" x14ac:dyDescent="0.2">
      <c r="A380" s="445" t="s">
        <v>4662</v>
      </c>
      <c r="B380" s="394" t="s">
        <v>4693</v>
      </c>
      <c r="C380" s="385" t="s">
        <v>3821</v>
      </c>
      <c r="D380" s="386">
        <f t="shared" si="14"/>
        <v>0</v>
      </c>
      <c r="E380" s="386">
        <v>0</v>
      </c>
      <c r="F380" s="386">
        <v>0</v>
      </c>
      <c r="G380" s="387"/>
      <c r="H380" s="395"/>
      <c r="I380" s="396"/>
      <c r="J380" s="397"/>
    </row>
    <row r="381" spans="1:10" ht="13.5" customHeight="1" x14ac:dyDescent="0.2">
      <c r="A381" s="445" t="s">
        <v>4663</v>
      </c>
      <c r="B381" s="482" t="s">
        <v>4694</v>
      </c>
      <c r="C381" s="427" t="s">
        <v>3821</v>
      </c>
      <c r="D381" s="426">
        <f t="shared" si="14"/>
        <v>0</v>
      </c>
      <c r="E381" s="386">
        <v>0</v>
      </c>
      <c r="F381" s="386">
        <v>0</v>
      </c>
      <c r="G381" s="392"/>
      <c r="H381" s="388"/>
      <c r="I381" s="389"/>
      <c r="J381" s="390"/>
    </row>
    <row r="382" spans="1:10" ht="13.5" customHeight="1" x14ac:dyDescent="0.2">
      <c r="A382" s="487"/>
      <c r="B382" s="488"/>
      <c r="C382" s="489"/>
      <c r="D382" s="490"/>
      <c r="E382" s="490"/>
      <c r="F382" s="490"/>
      <c r="G382" s="392"/>
      <c r="H382" s="388"/>
      <c r="I382" s="389"/>
      <c r="J382" s="491"/>
    </row>
    <row r="383" spans="1:10" ht="13.5" customHeight="1" thickBot="1" x14ac:dyDescent="0.25">
      <c r="A383" s="401"/>
      <c r="B383" s="402"/>
      <c r="C383" s="402" t="s">
        <v>3823</v>
      </c>
      <c r="D383" s="403">
        <f>SUM(D348:D381)</f>
        <v>0</v>
      </c>
      <c r="E383" s="403">
        <f>SUM(E348:E381)</f>
        <v>0</v>
      </c>
      <c r="F383" s="403">
        <f>SUM(F348:F381)</f>
        <v>0</v>
      </c>
      <c r="G383" s="403"/>
      <c r="H383" s="403"/>
      <c r="I383" s="403">
        <f>SUM(I348:I381)</f>
        <v>0</v>
      </c>
      <c r="J383" s="403">
        <f>SUM(J347:J382)</f>
        <v>0</v>
      </c>
    </row>
    <row r="385" spans="1:10" ht="13.5" customHeight="1" x14ac:dyDescent="0.25">
      <c r="A385" s="372" t="s">
        <v>4632</v>
      </c>
      <c r="B385" s="372"/>
      <c r="C385" s="372"/>
      <c r="D385" s="372"/>
      <c r="E385" s="372"/>
      <c r="F385" s="372"/>
      <c r="G385" s="372"/>
      <c r="H385" s="109"/>
      <c r="I385" s="109"/>
      <c r="J385" s="109"/>
    </row>
    <row r="386" spans="1:10" ht="13.5" customHeight="1" x14ac:dyDescent="0.25">
      <c r="A386" s="372" t="s">
        <v>3748</v>
      </c>
      <c r="B386" s="372"/>
      <c r="C386" s="372"/>
      <c r="D386" s="372"/>
      <c r="E386" s="372"/>
      <c r="F386" s="372"/>
      <c r="G386" s="372"/>
      <c r="H386" s="469"/>
      <c r="I386" s="109"/>
      <c r="J386" s="109"/>
    </row>
    <row r="387" spans="1:10" ht="13.5" customHeight="1" x14ac:dyDescent="0.2">
      <c r="A387" s="609" t="s">
        <v>3812</v>
      </c>
      <c r="B387" s="609"/>
      <c r="C387" s="609"/>
      <c r="D387" s="609"/>
      <c r="E387" s="609"/>
      <c r="F387" s="609"/>
      <c r="G387" s="609"/>
      <c r="H387" s="609"/>
      <c r="I387" s="609"/>
      <c r="J387" s="609"/>
    </row>
    <row r="388" spans="1:10" ht="13.5" customHeight="1" x14ac:dyDescent="0.2">
      <c r="A388" s="609" t="s">
        <v>3813</v>
      </c>
      <c r="B388" s="609"/>
      <c r="C388" s="609"/>
      <c r="D388" s="609"/>
      <c r="E388" s="609"/>
      <c r="F388" s="609"/>
      <c r="G388" s="609"/>
      <c r="H388" s="609"/>
      <c r="I388" s="609"/>
      <c r="J388" s="609"/>
    </row>
    <row r="389" spans="1:10" ht="13.5" customHeight="1" x14ac:dyDescent="0.2">
      <c r="A389" s="609" t="s">
        <v>3800</v>
      </c>
      <c r="B389" s="609"/>
      <c r="C389" s="609"/>
      <c r="D389" s="609"/>
      <c r="E389" s="609"/>
      <c r="F389" s="609"/>
      <c r="G389" s="609"/>
      <c r="H389" s="609"/>
      <c r="I389" s="609"/>
      <c r="J389" s="609"/>
    </row>
    <row r="390" spans="1:10" ht="13.5" customHeight="1" x14ac:dyDescent="0.25">
      <c r="A390" s="372"/>
      <c r="B390" s="372"/>
      <c r="C390" s="372"/>
      <c r="D390" s="372"/>
      <c r="E390" s="372"/>
      <c r="F390" s="372"/>
      <c r="G390" s="372"/>
      <c r="H390" s="109"/>
      <c r="I390" s="109"/>
      <c r="J390" s="109"/>
    </row>
    <row r="391" spans="1:10" ht="13.5" customHeight="1" x14ac:dyDescent="0.2">
      <c r="A391" s="610" t="s">
        <v>12</v>
      </c>
      <c r="B391" s="610" t="s">
        <v>91</v>
      </c>
      <c r="C391" s="610" t="s">
        <v>13</v>
      </c>
      <c r="D391" s="373" t="s">
        <v>90</v>
      </c>
      <c r="E391" s="611" t="s">
        <v>14</v>
      </c>
      <c r="F391" s="612"/>
      <c r="G391" s="613" t="s">
        <v>29</v>
      </c>
      <c r="H391" s="614"/>
      <c r="I391" s="614"/>
      <c r="J391" s="615"/>
    </row>
    <row r="392" spans="1:10" ht="13.5" customHeight="1" x14ac:dyDescent="0.2">
      <c r="A392" s="610"/>
      <c r="B392" s="610"/>
      <c r="C392" s="610"/>
      <c r="D392" s="616" t="s">
        <v>3814</v>
      </c>
      <c r="E392" s="374" t="s">
        <v>3815</v>
      </c>
      <c r="F392" s="374" t="s">
        <v>3815</v>
      </c>
      <c r="G392" s="618" t="s">
        <v>3816</v>
      </c>
      <c r="H392" s="618" t="s">
        <v>3282</v>
      </c>
      <c r="I392" s="618" t="s">
        <v>90</v>
      </c>
      <c r="J392" s="616" t="s">
        <v>10</v>
      </c>
    </row>
    <row r="393" spans="1:10" ht="13.5" customHeight="1" x14ac:dyDescent="0.2">
      <c r="A393" s="610"/>
      <c r="B393" s="610"/>
      <c r="C393" s="610"/>
      <c r="D393" s="617"/>
      <c r="E393" s="376" t="s">
        <v>3817</v>
      </c>
      <c r="F393" s="376" t="s">
        <v>3818</v>
      </c>
      <c r="G393" s="619"/>
      <c r="H393" s="619"/>
      <c r="I393" s="619"/>
      <c r="J393" s="617"/>
    </row>
    <row r="394" spans="1:10" ht="13.5" customHeight="1" x14ac:dyDescent="0.2">
      <c r="A394" s="610"/>
      <c r="B394" s="610"/>
      <c r="C394" s="610"/>
      <c r="D394" s="377" t="s">
        <v>3819</v>
      </c>
      <c r="E394" s="377" t="s">
        <v>3820</v>
      </c>
      <c r="F394" s="377" t="s">
        <v>3820</v>
      </c>
      <c r="G394" s="620"/>
      <c r="H394" s="620"/>
      <c r="I394" s="620"/>
      <c r="J394" s="621"/>
    </row>
    <row r="395" spans="1:10" ht="13.5" customHeight="1" x14ac:dyDescent="0.2">
      <c r="A395" s="375"/>
      <c r="B395" s="375"/>
      <c r="C395" s="375"/>
      <c r="D395" s="378"/>
      <c r="E395" s="376"/>
      <c r="F395" s="376"/>
      <c r="G395" s="379"/>
      <c r="H395" s="380"/>
      <c r="I395" s="381"/>
      <c r="J395" s="382"/>
    </row>
    <row r="396" spans="1:10" ht="13.5" customHeight="1" x14ac:dyDescent="0.2">
      <c r="A396" s="445" t="s">
        <v>4772</v>
      </c>
      <c r="B396" s="384" t="s">
        <v>4802</v>
      </c>
      <c r="C396" s="385" t="s">
        <v>3821</v>
      </c>
      <c r="D396" s="386">
        <f>SUM(E396:F396)</f>
        <v>0</v>
      </c>
      <c r="E396" s="386"/>
      <c r="F396" s="386"/>
      <c r="G396" s="392"/>
      <c r="H396" s="388"/>
      <c r="I396" s="389"/>
      <c r="J396" s="390"/>
    </row>
    <row r="397" spans="1:10" ht="13.5" customHeight="1" x14ac:dyDescent="0.2">
      <c r="A397" s="445" t="s">
        <v>4773</v>
      </c>
      <c r="B397" s="384" t="s">
        <v>4803</v>
      </c>
      <c r="C397" s="385" t="s">
        <v>3821</v>
      </c>
      <c r="D397" s="386">
        <f t="shared" ref="D397:D403" si="15">SUM(E397:F397)</f>
        <v>0</v>
      </c>
      <c r="E397" s="386"/>
      <c r="F397" s="386"/>
      <c r="G397" s="387"/>
      <c r="H397" s="388"/>
      <c r="I397" s="389"/>
      <c r="J397" s="390"/>
    </row>
    <row r="398" spans="1:10" ht="13.5" customHeight="1" x14ac:dyDescent="0.2">
      <c r="A398" s="445" t="s">
        <v>4774</v>
      </c>
      <c r="B398" s="384" t="s">
        <v>4804</v>
      </c>
      <c r="C398" s="385" t="s">
        <v>3821</v>
      </c>
      <c r="D398" s="386">
        <f t="shared" si="15"/>
        <v>0</v>
      </c>
      <c r="E398" s="386"/>
      <c r="F398" s="386"/>
      <c r="G398" s="387"/>
      <c r="H398" s="388"/>
      <c r="I398" s="389"/>
      <c r="J398" s="390"/>
    </row>
    <row r="399" spans="1:10" ht="13.5" customHeight="1" x14ac:dyDescent="0.2">
      <c r="A399" s="445" t="s">
        <v>4775</v>
      </c>
      <c r="B399" s="391" t="s">
        <v>4805</v>
      </c>
      <c r="C399" s="385" t="s">
        <v>3821</v>
      </c>
      <c r="D399" s="386">
        <f t="shared" si="15"/>
        <v>0</v>
      </c>
      <c r="E399" s="386"/>
      <c r="F399" s="386"/>
      <c r="G399" s="392"/>
      <c r="H399" s="388"/>
      <c r="I399" s="389"/>
      <c r="J399" s="390"/>
    </row>
    <row r="400" spans="1:10" ht="13.5" customHeight="1" x14ac:dyDescent="0.2">
      <c r="A400" s="445" t="s">
        <v>4776</v>
      </c>
      <c r="B400" s="394" t="s">
        <v>4806</v>
      </c>
      <c r="C400" s="385" t="s">
        <v>3821</v>
      </c>
      <c r="D400" s="386">
        <f t="shared" si="15"/>
        <v>0</v>
      </c>
      <c r="E400" s="386"/>
      <c r="F400" s="386"/>
      <c r="G400" s="392"/>
      <c r="H400" s="388"/>
      <c r="I400" s="389"/>
      <c r="J400" s="390"/>
    </row>
    <row r="401" spans="1:10" ht="13.5" customHeight="1" x14ac:dyDescent="0.2">
      <c r="A401" s="445" t="s">
        <v>4777</v>
      </c>
      <c r="B401" s="394" t="s">
        <v>4807</v>
      </c>
      <c r="C401" s="385" t="s">
        <v>3821</v>
      </c>
      <c r="D401" s="386">
        <f t="shared" si="15"/>
        <v>0</v>
      </c>
      <c r="E401" s="386"/>
      <c r="F401" s="386"/>
      <c r="G401" s="392"/>
      <c r="H401" s="388"/>
      <c r="I401" s="389"/>
      <c r="J401" s="390"/>
    </row>
    <row r="402" spans="1:10" ht="13.5" customHeight="1" x14ac:dyDescent="0.2">
      <c r="A402" s="445" t="s">
        <v>4778</v>
      </c>
      <c r="B402" s="394" t="s">
        <v>4808</v>
      </c>
      <c r="C402" s="385" t="s">
        <v>3821</v>
      </c>
      <c r="D402" s="386">
        <f t="shared" si="15"/>
        <v>0</v>
      </c>
      <c r="E402" s="386"/>
      <c r="F402" s="386"/>
      <c r="G402" s="392"/>
      <c r="H402" s="388"/>
      <c r="I402" s="389"/>
      <c r="J402" s="390"/>
    </row>
    <row r="403" spans="1:10" ht="13.5" customHeight="1" x14ac:dyDescent="0.2">
      <c r="A403" s="445" t="s">
        <v>4779</v>
      </c>
      <c r="B403" s="394" t="s">
        <v>4809</v>
      </c>
      <c r="C403" s="385" t="s">
        <v>3821</v>
      </c>
      <c r="D403" s="386">
        <f t="shared" si="15"/>
        <v>0</v>
      </c>
      <c r="E403" s="386"/>
      <c r="F403" s="386"/>
      <c r="G403" s="392"/>
      <c r="H403" s="388"/>
      <c r="I403" s="389"/>
      <c r="J403" s="390"/>
    </row>
    <row r="404" spans="1:10" ht="13.5" customHeight="1" x14ac:dyDescent="0.2">
      <c r="A404" s="445" t="s">
        <v>4780</v>
      </c>
      <c r="B404" s="391" t="s">
        <v>4810</v>
      </c>
      <c r="C404" s="385" t="s">
        <v>3821</v>
      </c>
      <c r="D404" s="386">
        <f t="shared" ref="D404:D420" si="16">SUM(E404:F404)</f>
        <v>0</v>
      </c>
      <c r="E404" s="386"/>
      <c r="F404" s="386"/>
      <c r="G404" s="387"/>
      <c r="H404" s="388"/>
      <c r="I404" s="389"/>
      <c r="J404" s="390"/>
    </row>
    <row r="405" spans="1:10" ht="13.5" customHeight="1" x14ac:dyDescent="0.2">
      <c r="A405" s="445" t="s">
        <v>4781</v>
      </c>
      <c r="B405" s="394" t="s">
        <v>4811</v>
      </c>
      <c r="C405" s="385" t="s">
        <v>3821</v>
      </c>
      <c r="D405" s="386">
        <f t="shared" si="16"/>
        <v>0</v>
      </c>
      <c r="E405" s="386"/>
      <c r="F405" s="386"/>
      <c r="G405" s="392"/>
      <c r="H405" s="388"/>
      <c r="I405" s="389"/>
      <c r="J405" s="393"/>
    </row>
    <row r="406" spans="1:10" ht="13.5" customHeight="1" x14ac:dyDescent="0.2">
      <c r="A406" s="445" t="s">
        <v>4782</v>
      </c>
      <c r="B406" s="394" t="s">
        <v>4812</v>
      </c>
      <c r="C406" s="385" t="s">
        <v>3821</v>
      </c>
      <c r="D406" s="386">
        <f t="shared" si="16"/>
        <v>0</v>
      </c>
      <c r="E406" s="386"/>
      <c r="F406" s="386"/>
      <c r="G406" s="392"/>
      <c r="H406" s="388"/>
      <c r="I406" s="389"/>
      <c r="J406" s="390"/>
    </row>
    <row r="407" spans="1:10" ht="13.5" customHeight="1" x14ac:dyDescent="0.2">
      <c r="A407" s="445" t="s">
        <v>4783</v>
      </c>
      <c r="B407" s="394" t="s">
        <v>4813</v>
      </c>
      <c r="C407" s="385" t="s">
        <v>3821</v>
      </c>
      <c r="D407" s="386">
        <f t="shared" si="16"/>
        <v>0</v>
      </c>
      <c r="E407" s="386"/>
      <c r="F407" s="386"/>
      <c r="G407" s="392"/>
      <c r="H407" s="388"/>
      <c r="I407" s="389"/>
      <c r="J407" s="393"/>
    </row>
    <row r="408" spans="1:10" ht="13.5" customHeight="1" x14ac:dyDescent="0.2">
      <c r="A408" s="445"/>
      <c r="B408" s="394"/>
      <c r="C408" s="385"/>
      <c r="D408" s="386"/>
      <c r="E408" s="386"/>
      <c r="F408" s="386"/>
      <c r="G408" s="392"/>
      <c r="H408" s="388"/>
      <c r="I408" s="389"/>
      <c r="J408" s="393"/>
    </row>
    <row r="409" spans="1:10" ht="13.5" customHeight="1" x14ac:dyDescent="0.2">
      <c r="A409" s="445" t="s">
        <v>4784</v>
      </c>
      <c r="B409" s="391" t="s">
        <v>4814</v>
      </c>
      <c r="C409" s="385" t="s">
        <v>3821</v>
      </c>
      <c r="D409" s="386">
        <f t="shared" si="16"/>
        <v>0</v>
      </c>
      <c r="E409" s="386"/>
      <c r="F409" s="386"/>
      <c r="G409" s="387"/>
      <c r="H409" s="388"/>
      <c r="I409" s="389"/>
      <c r="J409" s="390"/>
    </row>
    <row r="410" spans="1:10" ht="13.5" customHeight="1" x14ac:dyDescent="0.2">
      <c r="A410" s="445" t="s">
        <v>4785</v>
      </c>
      <c r="B410" s="391" t="s">
        <v>4815</v>
      </c>
      <c r="C410" s="385" t="s">
        <v>3821</v>
      </c>
      <c r="D410" s="386">
        <f t="shared" si="16"/>
        <v>0</v>
      </c>
      <c r="E410" s="386"/>
      <c r="F410" s="386"/>
      <c r="G410" s="392"/>
      <c r="H410" s="388"/>
      <c r="I410" s="389"/>
      <c r="J410" s="390"/>
    </row>
    <row r="411" spans="1:10" ht="13.5" customHeight="1" x14ac:dyDescent="0.2">
      <c r="A411" s="445" t="s">
        <v>4786</v>
      </c>
      <c r="B411" s="391" t="s">
        <v>4816</v>
      </c>
      <c r="C411" s="385" t="s">
        <v>3821</v>
      </c>
      <c r="D411" s="386">
        <f t="shared" si="16"/>
        <v>0</v>
      </c>
      <c r="E411" s="386"/>
      <c r="F411" s="386"/>
      <c r="G411" s="387"/>
      <c r="H411" s="388"/>
      <c r="I411" s="389"/>
      <c r="J411" s="390"/>
    </row>
    <row r="412" spans="1:10" ht="13.5" customHeight="1" x14ac:dyDescent="0.2">
      <c r="A412" s="445" t="s">
        <v>4787</v>
      </c>
      <c r="B412" s="394" t="s">
        <v>4817</v>
      </c>
      <c r="C412" s="385" t="s">
        <v>3821</v>
      </c>
      <c r="D412" s="386">
        <f t="shared" si="16"/>
        <v>0</v>
      </c>
      <c r="E412" s="386"/>
      <c r="F412" s="386"/>
      <c r="G412" s="392"/>
      <c r="H412" s="388"/>
      <c r="I412" s="389"/>
      <c r="J412" s="393"/>
    </row>
    <row r="413" spans="1:10" ht="13.5" customHeight="1" x14ac:dyDescent="0.2">
      <c r="A413" s="445" t="s">
        <v>4788</v>
      </c>
      <c r="B413" s="394" t="s">
        <v>4818</v>
      </c>
      <c r="C413" s="385" t="s">
        <v>3821</v>
      </c>
      <c r="D413" s="386">
        <f t="shared" si="16"/>
        <v>0</v>
      </c>
      <c r="E413" s="386"/>
      <c r="F413" s="386"/>
      <c r="G413" s="387"/>
      <c r="H413" s="388"/>
      <c r="I413" s="389"/>
      <c r="J413" s="390"/>
    </row>
    <row r="414" spans="1:10" ht="13.5" customHeight="1" x14ac:dyDescent="0.2">
      <c r="A414" s="445" t="s">
        <v>4789</v>
      </c>
      <c r="B414" s="394" t="s">
        <v>4819</v>
      </c>
      <c r="C414" s="385" t="s">
        <v>3821</v>
      </c>
      <c r="D414" s="386">
        <f t="shared" si="16"/>
        <v>0</v>
      </c>
      <c r="E414" s="386"/>
      <c r="F414" s="386"/>
      <c r="G414" s="392"/>
      <c r="H414" s="388"/>
      <c r="I414" s="389"/>
      <c r="J414" s="390"/>
    </row>
    <row r="415" spans="1:10" ht="13.5" customHeight="1" x14ac:dyDescent="0.2">
      <c r="A415" s="445" t="s">
        <v>4790</v>
      </c>
      <c r="B415" s="394" t="s">
        <v>4820</v>
      </c>
      <c r="C415" s="385" t="s">
        <v>3821</v>
      </c>
      <c r="D415" s="386">
        <f t="shared" si="16"/>
        <v>0</v>
      </c>
      <c r="E415" s="386"/>
      <c r="F415" s="386"/>
      <c r="G415" s="392"/>
      <c r="H415" s="388"/>
      <c r="I415" s="389"/>
      <c r="J415" s="390"/>
    </row>
    <row r="416" spans="1:10" ht="13.5" customHeight="1" x14ac:dyDescent="0.2">
      <c r="A416" s="445" t="s">
        <v>4791</v>
      </c>
      <c r="B416" s="394" t="s">
        <v>4821</v>
      </c>
      <c r="C416" s="385" t="s">
        <v>3821</v>
      </c>
      <c r="D416" s="386">
        <f t="shared" si="16"/>
        <v>0</v>
      </c>
      <c r="E416" s="386"/>
      <c r="F416" s="386"/>
      <c r="G416" s="392"/>
      <c r="H416" s="388"/>
      <c r="I416" s="389"/>
      <c r="J416" s="390"/>
    </row>
    <row r="417" spans="1:10" ht="13.5" customHeight="1" x14ac:dyDescent="0.2">
      <c r="A417" s="445" t="s">
        <v>4792</v>
      </c>
      <c r="B417" s="394" t="s">
        <v>4822</v>
      </c>
      <c r="C417" s="385" t="s">
        <v>3821</v>
      </c>
      <c r="D417" s="386">
        <f t="shared" si="16"/>
        <v>0</v>
      </c>
      <c r="E417" s="386"/>
      <c r="F417" s="386"/>
      <c r="G417" s="392"/>
      <c r="H417" s="388"/>
      <c r="I417" s="389"/>
      <c r="J417" s="390"/>
    </row>
    <row r="418" spans="1:10" ht="13.5" customHeight="1" x14ac:dyDescent="0.2">
      <c r="A418" s="445" t="s">
        <v>4793</v>
      </c>
      <c r="B418" s="394" t="s">
        <v>4823</v>
      </c>
      <c r="C418" s="385" t="s">
        <v>3821</v>
      </c>
      <c r="D418" s="386">
        <f t="shared" si="16"/>
        <v>0</v>
      </c>
      <c r="E418" s="386"/>
      <c r="F418" s="386"/>
      <c r="G418" s="392"/>
      <c r="H418" s="388"/>
      <c r="I418" s="389"/>
      <c r="J418" s="390"/>
    </row>
    <row r="419" spans="1:10" ht="13.5" customHeight="1" x14ac:dyDescent="0.2">
      <c r="A419" s="445" t="s">
        <v>4794</v>
      </c>
      <c r="B419" s="394" t="s">
        <v>4824</v>
      </c>
      <c r="C419" s="385" t="s">
        <v>3821</v>
      </c>
      <c r="D419" s="386">
        <f t="shared" si="16"/>
        <v>0</v>
      </c>
      <c r="E419" s="386"/>
      <c r="F419" s="386"/>
      <c r="G419" s="387"/>
      <c r="H419" s="388"/>
      <c r="I419" s="389"/>
      <c r="J419" s="390"/>
    </row>
    <row r="420" spans="1:10" ht="13.5" customHeight="1" x14ac:dyDescent="0.2">
      <c r="A420" s="445" t="s">
        <v>4795</v>
      </c>
      <c r="B420" s="394" t="s">
        <v>4825</v>
      </c>
      <c r="C420" s="385" t="s">
        <v>3821</v>
      </c>
      <c r="D420" s="386">
        <f t="shared" si="16"/>
        <v>0</v>
      </c>
      <c r="E420" s="386"/>
      <c r="F420" s="386"/>
      <c r="G420" s="392" t="s">
        <v>3312</v>
      </c>
      <c r="H420" s="388" t="s">
        <v>59</v>
      </c>
      <c r="I420" s="389"/>
      <c r="J420" s="390"/>
    </row>
    <row r="421" spans="1:10" ht="13.5" customHeight="1" x14ac:dyDescent="0.2">
      <c r="A421" s="445"/>
      <c r="B421" s="394"/>
      <c r="C421" s="385"/>
      <c r="D421" s="386"/>
      <c r="E421" s="386"/>
      <c r="F421" s="386"/>
      <c r="G421" s="392"/>
      <c r="H421" s="388" t="s">
        <v>3822</v>
      </c>
      <c r="I421" s="389"/>
      <c r="J421" s="499"/>
    </row>
    <row r="422" spans="1:10" ht="13.5" customHeight="1" x14ac:dyDescent="0.2">
      <c r="A422" s="445" t="s">
        <v>4796</v>
      </c>
      <c r="B422" s="394" t="s">
        <v>4826</v>
      </c>
      <c r="C422" s="385" t="s">
        <v>3821</v>
      </c>
      <c r="D422" s="386">
        <f>SUM(E422:F422)</f>
        <v>0</v>
      </c>
      <c r="E422" s="386"/>
      <c r="F422" s="386"/>
      <c r="G422" s="450"/>
      <c r="H422" s="388"/>
      <c r="I422" s="389"/>
      <c r="J422" s="451"/>
    </row>
    <row r="423" spans="1:10" ht="13.5" customHeight="1" x14ac:dyDescent="0.2">
      <c r="A423" s="445" t="s">
        <v>4797</v>
      </c>
      <c r="B423" s="394" t="s">
        <v>4827</v>
      </c>
      <c r="C423" s="385" t="s">
        <v>3821</v>
      </c>
      <c r="D423" s="386">
        <f t="shared" ref="D423:D427" si="17">SUM(E423:F423)</f>
        <v>0</v>
      </c>
      <c r="E423" s="386"/>
      <c r="F423" s="386"/>
      <c r="G423" s="392"/>
      <c r="H423" s="388"/>
      <c r="I423" s="389"/>
      <c r="J423" s="393"/>
    </row>
    <row r="424" spans="1:10" ht="13.5" customHeight="1" x14ac:dyDescent="0.2">
      <c r="A424" s="445" t="s">
        <v>4798</v>
      </c>
      <c r="B424" s="394" t="s">
        <v>4828</v>
      </c>
      <c r="C424" s="385" t="s">
        <v>3821</v>
      </c>
      <c r="D424" s="386">
        <f t="shared" si="17"/>
        <v>0</v>
      </c>
      <c r="E424" s="386"/>
      <c r="F424" s="386"/>
      <c r="G424" s="387"/>
      <c r="H424" s="395"/>
      <c r="I424" s="396"/>
      <c r="J424" s="397"/>
    </row>
    <row r="425" spans="1:10" ht="13.5" customHeight="1" x14ac:dyDescent="0.2">
      <c r="A425" s="445" t="s">
        <v>4799</v>
      </c>
      <c r="B425" s="394" t="s">
        <v>4829</v>
      </c>
      <c r="C425" s="385" t="s">
        <v>3821</v>
      </c>
      <c r="D425" s="386">
        <f t="shared" si="17"/>
        <v>0</v>
      </c>
      <c r="E425" s="386"/>
      <c r="F425" s="386"/>
      <c r="G425" s="387"/>
      <c r="H425" s="395"/>
      <c r="I425" s="396"/>
      <c r="J425" s="397"/>
    </row>
    <row r="426" spans="1:10" ht="13.5" customHeight="1" x14ac:dyDescent="0.2">
      <c r="A426" s="445" t="s">
        <v>4800</v>
      </c>
      <c r="B426" s="384" t="s">
        <v>4830</v>
      </c>
      <c r="C426" s="385" t="s">
        <v>3821</v>
      </c>
      <c r="D426" s="386">
        <f t="shared" si="17"/>
        <v>0</v>
      </c>
      <c r="E426" s="386"/>
      <c r="F426" s="386"/>
      <c r="G426" s="387"/>
      <c r="H426" s="395"/>
      <c r="I426" s="396"/>
      <c r="J426" s="397"/>
    </row>
    <row r="427" spans="1:10" ht="13.5" customHeight="1" x14ac:dyDescent="0.2">
      <c r="A427" s="445" t="s">
        <v>4801</v>
      </c>
      <c r="B427" s="394">
        <f>[2]BKM!I9554</f>
        <v>0</v>
      </c>
      <c r="C427" s="385" t="s">
        <v>3821</v>
      </c>
      <c r="D427" s="386">
        <f t="shared" si="17"/>
        <v>0</v>
      </c>
      <c r="E427" s="386"/>
      <c r="F427" s="386"/>
      <c r="G427" s="450"/>
      <c r="H427" s="388"/>
      <c r="I427" s="465"/>
      <c r="J427" s="466"/>
    </row>
    <row r="428" spans="1:10" ht="13.5" customHeight="1" thickBot="1" x14ac:dyDescent="0.25">
      <c r="A428" s="401"/>
      <c r="B428" s="402"/>
      <c r="C428" s="402" t="s">
        <v>3823</v>
      </c>
      <c r="D428" s="403">
        <f>SUM(D396:D427)</f>
        <v>0</v>
      </c>
      <c r="E428" s="403">
        <f>SUM(E396:E427)</f>
        <v>0</v>
      </c>
      <c r="F428" s="403">
        <f>SUM(F396:F427)</f>
        <v>0</v>
      </c>
      <c r="G428" s="403"/>
      <c r="H428" s="403"/>
      <c r="I428" s="403">
        <f>SUM(I396:I427)</f>
        <v>0</v>
      </c>
      <c r="J428" s="403">
        <f>SUM(J395:J427)</f>
        <v>0</v>
      </c>
    </row>
    <row r="429" spans="1:10" ht="13.5" customHeight="1" x14ac:dyDescent="0.2">
      <c r="A429" s="475"/>
      <c r="B429" s="372"/>
      <c r="C429" s="372"/>
      <c r="D429" s="404"/>
      <c r="E429" s="404"/>
      <c r="F429" s="404"/>
      <c r="G429" s="404"/>
      <c r="H429" s="404"/>
      <c r="I429" s="404"/>
      <c r="J429" s="404"/>
    </row>
    <row r="430" spans="1:10" ht="13.5" customHeight="1" x14ac:dyDescent="0.2">
      <c r="A430" s="475"/>
      <c r="B430" s="372"/>
      <c r="C430" s="372"/>
      <c r="D430" s="404"/>
      <c r="E430" s="404"/>
      <c r="F430" s="404"/>
      <c r="G430" s="404"/>
      <c r="H430" s="404"/>
      <c r="I430" s="404"/>
      <c r="J430" s="404"/>
    </row>
    <row r="431" spans="1:10" ht="13.5" customHeight="1" x14ac:dyDescent="0.2">
      <c r="A431" s="475"/>
      <c r="B431" s="372"/>
      <c r="C431" s="372"/>
      <c r="D431" s="404"/>
      <c r="E431" s="404"/>
      <c r="F431" s="404"/>
      <c r="G431" s="404"/>
      <c r="H431" s="404"/>
      <c r="I431" s="404"/>
      <c r="J431" s="404"/>
    </row>
    <row r="434" spans="1:12" ht="13.5" customHeight="1" x14ac:dyDescent="0.25">
      <c r="A434" s="372" t="s">
        <v>4632</v>
      </c>
      <c r="B434" s="372"/>
      <c r="C434" s="372"/>
      <c r="D434" s="372"/>
      <c r="E434" s="372"/>
      <c r="F434" s="372"/>
      <c r="G434" s="372"/>
      <c r="H434" s="109"/>
      <c r="I434" s="109"/>
      <c r="J434" s="109"/>
      <c r="K434" s="73"/>
      <c r="L434" s="1"/>
    </row>
    <row r="435" spans="1:12" ht="13.5" customHeight="1" x14ac:dyDescent="0.25">
      <c r="A435" s="372" t="s">
        <v>3748</v>
      </c>
      <c r="B435" s="372"/>
      <c r="C435" s="372"/>
      <c r="D435" s="372"/>
      <c r="E435" s="372"/>
      <c r="F435" s="372"/>
      <c r="G435" s="372"/>
      <c r="H435" s="469"/>
      <c r="I435" s="109"/>
      <c r="J435" s="109"/>
      <c r="K435" s="73"/>
      <c r="L435" s="1"/>
    </row>
    <row r="436" spans="1:12" ht="13.5" customHeight="1" x14ac:dyDescent="0.2">
      <c r="A436" s="609" t="s">
        <v>3812</v>
      </c>
      <c r="B436" s="609"/>
      <c r="C436" s="609"/>
      <c r="D436" s="609"/>
      <c r="E436" s="609"/>
      <c r="F436" s="609"/>
      <c r="G436" s="609"/>
      <c r="H436" s="609"/>
      <c r="I436" s="609"/>
      <c r="J436" s="609"/>
      <c r="K436" s="73"/>
      <c r="L436" s="1"/>
    </row>
    <row r="437" spans="1:12" ht="13.5" customHeight="1" x14ac:dyDescent="0.2">
      <c r="A437" s="609" t="s">
        <v>3813</v>
      </c>
      <c r="B437" s="609"/>
      <c r="C437" s="609"/>
      <c r="D437" s="609"/>
      <c r="E437" s="609"/>
      <c r="F437" s="609"/>
      <c r="G437" s="609"/>
      <c r="H437" s="609"/>
      <c r="I437" s="609"/>
      <c r="J437" s="609"/>
      <c r="K437" s="73"/>
      <c r="L437" s="1"/>
    </row>
    <row r="438" spans="1:12" ht="13.5" customHeight="1" x14ac:dyDescent="0.2">
      <c r="A438" s="609" t="s">
        <v>3801</v>
      </c>
      <c r="B438" s="609"/>
      <c r="C438" s="609"/>
      <c r="D438" s="609"/>
      <c r="E438" s="609"/>
      <c r="F438" s="609"/>
      <c r="G438" s="609"/>
      <c r="H438" s="609"/>
      <c r="I438" s="609"/>
      <c r="J438" s="609"/>
      <c r="K438" s="73"/>
      <c r="L438" s="1"/>
    </row>
    <row r="439" spans="1:12" ht="13.5" customHeight="1" x14ac:dyDescent="0.25">
      <c r="A439" s="372"/>
      <c r="B439" s="372"/>
      <c r="C439" s="372"/>
      <c r="D439" s="372"/>
      <c r="E439" s="372"/>
      <c r="F439" s="372"/>
      <c r="G439" s="372"/>
      <c r="H439" s="109"/>
      <c r="I439" s="109"/>
      <c r="J439" s="109"/>
      <c r="K439" s="73"/>
      <c r="L439" s="1"/>
    </row>
    <row r="440" spans="1:12" ht="13.5" customHeight="1" x14ac:dyDescent="0.2">
      <c r="A440" s="610" t="s">
        <v>12</v>
      </c>
      <c r="B440" s="610" t="s">
        <v>91</v>
      </c>
      <c r="C440" s="610" t="s">
        <v>13</v>
      </c>
      <c r="D440" s="373" t="s">
        <v>90</v>
      </c>
      <c r="E440" s="611" t="s">
        <v>14</v>
      </c>
      <c r="F440" s="612"/>
      <c r="G440" s="613" t="s">
        <v>29</v>
      </c>
      <c r="H440" s="614"/>
      <c r="I440" s="614"/>
      <c r="J440" s="615"/>
      <c r="K440" s="73"/>
      <c r="L440" s="1"/>
    </row>
    <row r="441" spans="1:12" ht="13.5" customHeight="1" x14ac:dyDescent="0.2">
      <c r="A441" s="610"/>
      <c r="B441" s="610"/>
      <c r="C441" s="610"/>
      <c r="D441" s="616" t="s">
        <v>3814</v>
      </c>
      <c r="E441" s="374" t="s">
        <v>3815</v>
      </c>
      <c r="F441" s="374" t="s">
        <v>3815</v>
      </c>
      <c r="G441" s="618" t="s">
        <v>3816</v>
      </c>
      <c r="H441" s="618" t="s">
        <v>3282</v>
      </c>
      <c r="I441" s="618" t="s">
        <v>90</v>
      </c>
      <c r="J441" s="616" t="s">
        <v>10</v>
      </c>
      <c r="K441" s="73"/>
      <c r="L441" s="1"/>
    </row>
    <row r="442" spans="1:12" ht="13.5" customHeight="1" x14ac:dyDescent="0.2">
      <c r="A442" s="610"/>
      <c r="B442" s="610"/>
      <c r="C442" s="610"/>
      <c r="D442" s="617"/>
      <c r="E442" s="376" t="s">
        <v>3817</v>
      </c>
      <c r="F442" s="376" t="s">
        <v>3818</v>
      </c>
      <c r="G442" s="619"/>
      <c r="H442" s="619"/>
      <c r="I442" s="619"/>
      <c r="J442" s="617"/>
      <c r="K442" s="73"/>
      <c r="L442" s="1"/>
    </row>
    <row r="443" spans="1:12" ht="13.5" customHeight="1" x14ac:dyDescent="0.2">
      <c r="A443" s="610"/>
      <c r="B443" s="610"/>
      <c r="C443" s="610"/>
      <c r="D443" s="377" t="s">
        <v>3819</v>
      </c>
      <c r="E443" s="377" t="s">
        <v>3820</v>
      </c>
      <c r="F443" s="377" t="s">
        <v>3820</v>
      </c>
      <c r="G443" s="620"/>
      <c r="H443" s="620"/>
      <c r="I443" s="620"/>
      <c r="J443" s="621"/>
      <c r="K443" s="73"/>
      <c r="L443" s="1"/>
    </row>
    <row r="444" spans="1:12" ht="13.5" customHeight="1" x14ac:dyDescent="0.2">
      <c r="A444" s="445" t="s">
        <v>4836</v>
      </c>
      <c r="B444" s="384" t="s">
        <v>4867</v>
      </c>
      <c r="C444" s="385" t="s">
        <v>3821</v>
      </c>
      <c r="D444" s="386">
        <f>SUM(E444:F444)</f>
        <v>0</v>
      </c>
      <c r="E444" s="386"/>
      <c r="F444" s="386"/>
      <c r="G444" s="392"/>
      <c r="H444" s="388"/>
      <c r="I444" s="389"/>
      <c r="J444" s="390"/>
      <c r="K444" s="73"/>
      <c r="L444" s="1"/>
    </row>
    <row r="445" spans="1:12" ht="13.5" customHeight="1" x14ac:dyDescent="0.2">
      <c r="A445" s="445" t="s">
        <v>4837</v>
      </c>
      <c r="B445" s="384" t="s">
        <v>4868</v>
      </c>
      <c r="C445" s="385" t="s">
        <v>3821</v>
      </c>
      <c r="D445" s="386">
        <f t="shared" ref="D445:D447" si="18">SUM(E445:F445)</f>
        <v>0</v>
      </c>
      <c r="E445" s="386"/>
      <c r="F445" s="386"/>
      <c r="G445" s="387"/>
      <c r="H445" s="388"/>
      <c r="I445" s="389"/>
      <c r="J445" s="390"/>
      <c r="K445" s="73"/>
      <c r="L445" s="1"/>
    </row>
    <row r="446" spans="1:12" ht="13.5" customHeight="1" x14ac:dyDescent="0.2">
      <c r="A446" s="445" t="s">
        <v>4838</v>
      </c>
      <c r="B446" s="384" t="s">
        <v>4869</v>
      </c>
      <c r="C446" s="385" t="s">
        <v>3821</v>
      </c>
      <c r="D446" s="386">
        <f t="shared" si="18"/>
        <v>0</v>
      </c>
      <c r="E446" s="386"/>
      <c r="F446" s="386"/>
      <c r="G446" s="387"/>
      <c r="H446" s="388"/>
      <c r="I446" s="389"/>
      <c r="J446" s="390"/>
      <c r="K446" s="73"/>
      <c r="L446" s="1"/>
    </row>
    <row r="447" spans="1:12" ht="13.5" customHeight="1" x14ac:dyDescent="0.2">
      <c r="A447" s="445" t="s">
        <v>4839</v>
      </c>
      <c r="B447" s="391" t="s">
        <v>4870</v>
      </c>
      <c r="C447" s="385" t="s">
        <v>3821</v>
      </c>
      <c r="D447" s="386">
        <f t="shared" si="18"/>
        <v>0</v>
      </c>
      <c r="E447" s="386"/>
      <c r="F447" s="386"/>
      <c r="G447" s="392"/>
      <c r="H447" s="388"/>
      <c r="I447" s="389"/>
      <c r="J447" s="390"/>
      <c r="K447" s="73"/>
      <c r="L447" s="1"/>
    </row>
    <row r="448" spans="1:12" ht="13.5" customHeight="1" x14ac:dyDescent="0.2">
      <c r="A448" s="445" t="s">
        <v>4840</v>
      </c>
      <c r="B448" s="394" t="s">
        <v>4871</v>
      </c>
      <c r="C448" s="385" t="s">
        <v>3821</v>
      </c>
      <c r="D448" s="386">
        <f t="shared" ref="D448:D449" si="19">SUM(E448:F448)</f>
        <v>0</v>
      </c>
      <c r="E448" s="386"/>
      <c r="F448" s="386"/>
      <c r="G448" s="387"/>
      <c r="H448" s="388"/>
      <c r="I448" s="389"/>
      <c r="J448" s="390"/>
      <c r="K448" s="73"/>
      <c r="L448" s="1"/>
    </row>
    <row r="449" spans="1:12" ht="13.5" customHeight="1" x14ac:dyDescent="0.2">
      <c r="A449" s="445" t="s">
        <v>4841</v>
      </c>
      <c r="B449" s="394" t="s">
        <v>4872</v>
      </c>
      <c r="C449" s="385" t="s">
        <v>3821</v>
      </c>
      <c r="D449" s="386">
        <f t="shared" si="19"/>
        <v>0</v>
      </c>
      <c r="E449" s="386"/>
      <c r="F449" s="386"/>
      <c r="G449" s="392"/>
      <c r="H449" s="388"/>
      <c r="I449" s="389"/>
      <c r="J449" s="390"/>
      <c r="K449" s="73"/>
      <c r="L449" s="1"/>
    </row>
    <row r="450" spans="1:12" ht="13.5" customHeight="1" x14ac:dyDescent="0.2">
      <c r="A450" s="445" t="s">
        <v>4842</v>
      </c>
      <c r="B450" s="394" t="s">
        <v>4873</v>
      </c>
      <c r="C450" s="385" t="s">
        <v>3821</v>
      </c>
      <c r="D450" s="386">
        <f t="shared" ref="D450:D458" si="20">SUM(E450:F450)</f>
        <v>0</v>
      </c>
      <c r="E450" s="386"/>
      <c r="F450" s="386"/>
      <c r="G450" s="392"/>
      <c r="H450" s="388"/>
      <c r="I450" s="389"/>
      <c r="J450" s="390"/>
      <c r="K450" s="73"/>
      <c r="L450" s="1"/>
    </row>
    <row r="451" spans="1:12" ht="13.5" customHeight="1" x14ac:dyDescent="0.2">
      <c r="A451" s="445" t="s">
        <v>4843</v>
      </c>
      <c r="B451" s="394" t="s">
        <v>4874</v>
      </c>
      <c r="C451" s="385" t="s">
        <v>3821</v>
      </c>
      <c r="D451" s="386">
        <f t="shared" si="20"/>
        <v>0</v>
      </c>
      <c r="E451" s="386"/>
      <c r="F451" s="386"/>
      <c r="G451" s="392"/>
      <c r="H451" s="388"/>
      <c r="I451" s="389"/>
      <c r="J451" s="491"/>
      <c r="K451" s="73"/>
      <c r="L451" s="1"/>
    </row>
    <row r="452" spans="1:12" ht="13.5" customHeight="1" x14ac:dyDescent="0.2">
      <c r="A452" s="445" t="s">
        <v>4844</v>
      </c>
      <c r="B452" s="394" t="s">
        <v>4875</v>
      </c>
      <c r="C452" s="385" t="s">
        <v>3821</v>
      </c>
      <c r="D452" s="386">
        <f t="shared" si="20"/>
        <v>0</v>
      </c>
      <c r="E452" s="386"/>
      <c r="F452" s="386"/>
      <c r="G452" s="392"/>
      <c r="H452" s="388"/>
      <c r="I452" s="389"/>
      <c r="J452" s="390"/>
      <c r="K452" s="73"/>
      <c r="L452" s="1"/>
    </row>
    <row r="453" spans="1:12" ht="13.5" customHeight="1" x14ac:dyDescent="0.2">
      <c r="A453" s="445" t="s">
        <v>4845</v>
      </c>
      <c r="B453" s="391" t="s">
        <v>4876</v>
      </c>
      <c r="C453" s="385" t="s">
        <v>3821</v>
      </c>
      <c r="D453" s="386">
        <f t="shared" si="20"/>
        <v>0</v>
      </c>
      <c r="E453" s="386"/>
      <c r="F453" s="386"/>
      <c r="G453" s="387"/>
      <c r="H453" s="388"/>
      <c r="I453" s="389"/>
      <c r="J453" s="390"/>
      <c r="K453" s="73"/>
      <c r="L453" s="1"/>
    </row>
    <row r="454" spans="1:12" ht="13.5" customHeight="1" x14ac:dyDescent="0.2">
      <c r="A454" s="445" t="s">
        <v>4846</v>
      </c>
      <c r="B454" s="394" t="s">
        <v>4877</v>
      </c>
      <c r="C454" s="385" t="s">
        <v>3821</v>
      </c>
      <c r="D454" s="386">
        <f t="shared" si="20"/>
        <v>0</v>
      </c>
      <c r="E454" s="386"/>
      <c r="F454" s="386"/>
      <c r="G454" s="392"/>
      <c r="H454" s="388"/>
      <c r="I454" s="389"/>
      <c r="J454" s="393"/>
      <c r="K454" s="73"/>
      <c r="L454" s="1"/>
    </row>
    <row r="455" spans="1:12" ht="13.5" customHeight="1" x14ac:dyDescent="0.2">
      <c r="A455" s="445" t="s">
        <v>4847</v>
      </c>
      <c r="B455" s="394" t="s">
        <v>4878</v>
      </c>
      <c r="C455" s="385" t="s">
        <v>3821</v>
      </c>
      <c r="D455" s="386">
        <f t="shared" si="20"/>
        <v>0</v>
      </c>
      <c r="E455" s="386"/>
      <c r="F455" s="386"/>
      <c r="G455" s="392"/>
      <c r="H455" s="388"/>
      <c r="I455" s="389"/>
      <c r="J455" s="390"/>
      <c r="K455" s="73"/>
      <c r="L455" s="1"/>
    </row>
    <row r="456" spans="1:12" ht="13.5" customHeight="1" x14ac:dyDescent="0.2">
      <c r="A456" s="445" t="s">
        <v>4848</v>
      </c>
      <c r="B456" s="394" t="s">
        <v>4879</v>
      </c>
      <c r="C456" s="385" t="s">
        <v>3821</v>
      </c>
      <c r="D456" s="386">
        <f t="shared" si="20"/>
        <v>0</v>
      </c>
      <c r="E456" s="386"/>
      <c r="F456" s="386"/>
      <c r="G456" s="392"/>
      <c r="H456" s="388"/>
      <c r="I456" s="389"/>
      <c r="J456" s="393"/>
      <c r="K456" s="73"/>
      <c r="L456" s="1"/>
    </row>
    <row r="457" spans="1:12" ht="13.5" customHeight="1" x14ac:dyDescent="0.2">
      <c r="A457" s="445" t="s">
        <v>4849</v>
      </c>
      <c r="B457" s="391" t="s">
        <v>4880</v>
      </c>
      <c r="C457" s="385" t="s">
        <v>3821</v>
      </c>
      <c r="D457" s="386">
        <f t="shared" si="20"/>
        <v>0</v>
      </c>
      <c r="E457" s="386"/>
      <c r="F457" s="386"/>
      <c r="G457" s="392"/>
      <c r="H457" s="388"/>
      <c r="I457" s="389"/>
      <c r="J457" s="390"/>
      <c r="K457" s="73"/>
    </row>
    <row r="458" spans="1:12" ht="13.5" customHeight="1" x14ac:dyDescent="0.2">
      <c r="A458" s="445" t="s">
        <v>4850</v>
      </c>
      <c r="B458" s="391" t="s">
        <v>4881</v>
      </c>
      <c r="C458" s="385" t="s">
        <v>3821</v>
      </c>
      <c r="D458" s="386">
        <f t="shared" si="20"/>
        <v>0</v>
      </c>
      <c r="E458" s="386"/>
      <c r="F458" s="386"/>
      <c r="G458" s="392"/>
      <c r="H458" s="388"/>
      <c r="I458" s="389"/>
      <c r="J458" s="390"/>
    </row>
    <row r="459" spans="1:12" ht="13.5" customHeight="1" x14ac:dyDescent="0.2">
      <c r="A459" s="445" t="s">
        <v>4851</v>
      </c>
      <c r="B459" s="391" t="s">
        <v>4882</v>
      </c>
      <c r="C459" s="385" t="s">
        <v>3821</v>
      </c>
      <c r="D459" s="386">
        <f t="shared" ref="D459:D464" si="21">SUM(E459:F459)</f>
        <v>0</v>
      </c>
      <c r="E459" s="386"/>
      <c r="F459" s="386"/>
      <c r="G459" s="392"/>
      <c r="H459" s="388"/>
      <c r="I459" s="389"/>
      <c r="J459" s="390"/>
      <c r="K459" s="73"/>
      <c r="L459" s="1"/>
    </row>
    <row r="460" spans="1:12" ht="13.5" customHeight="1" x14ac:dyDescent="0.2">
      <c r="A460" s="445" t="s">
        <v>4852</v>
      </c>
      <c r="B460" s="394" t="s">
        <v>4883</v>
      </c>
      <c r="C460" s="385" t="s">
        <v>3821</v>
      </c>
      <c r="D460" s="386">
        <f t="shared" si="21"/>
        <v>0</v>
      </c>
      <c r="E460" s="386"/>
      <c r="F460" s="386"/>
      <c r="G460" s="392"/>
      <c r="H460" s="388"/>
      <c r="I460" s="389"/>
      <c r="J460" s="393"/>
      <c r="K460" s="73"/>
      <c r="L460" s="1"/>
    </row>
    <row r="461" spans="1:12" ht="13.5" customHeight="1" x14ac:dyDescent="0.2">
      <c r="A461" s="445" t="s">
        <v>4853</v>
      </c>
      <c r="B461" s="394" t="s">
        <v>4884</v>
      </c>
      <c r="C461" s="385" t="s">
        <v>3821</v>
      </c>
      <c r="D461" s="386">
        <f t="shared" si="21"/>
        <v>0</v>
      </c>
      <c r="E461" s="386"/>
      <c r="F461" s="386"/>
      <c r="G461" s="387"/>
      <c r="H461" s="388"/>
      <c r="I461" s="389"/>
      <c r="J461" s="390"/>
      <c r="K461" s="73"/>
      <c r="L461" s="1"/>
    </row>
    <row r="462" spans="1:12" ht="13.5" customHeight="1" x14ac:dyDescent="0.2">
      <c r="A462" s="445" t="s">
        <v>4854</v>
      </c>
      <c r="B462" s="394" t="s">
        <v>4885</v>
      </c>
      <c r="C462" s="385" t="s">
        <v>3821</v>
      </c>
      <c r="D462" s="386">
        <f t="shared" si="21"/>
        <v>0</v>
      </c>
      <c r="E462" s="386"/>
      <c r="F462" s="386"/>
      <c r="G462" s="392"/>
      <c r="H462" s="388"/>
      <c r="I462" s="389"/>
      <c r="J462" s="390"/>
      <c r="K462" s="73"/>
      <c r="L462" s="1"/>
    </row>
    <row r="463" spans="1:12" ht="13.5" customHeight="1" x14ac:dyDescent="0.2">
      <c r="A463" s="445" t="s">
        <v>4855</v>
      </c>
      <c r="B463" s="394" t="s">
        <v>4886</v>
      </c>
      <c r="C463" s="385" t="s">
        <v>3821</v>
      </c>
      <c r="D463" s="386">
        <f t="shared" si="21"/>
        <v>0</v>
      </c>
      <c r="E463" s="386"/>
      <c r="F463" s="386"/>
      <c r="G463" s="392"/>
      <c r="H463" s="388"/>
      <c r="I463" s="389"/>
      <c r="J463" s="390"/>
      <c r="K463" s="73"/>
      <c r="L463" s="1"/>
    </row>
    <row r="464" spans="1:12" ht="13.5" customHeight="1" x14ac:dyDescent="0.2">
      <c r="A464" s="445" t="s">
        <v>4856</v>
      </c>
      <c r="B464" s="394" t="s">
        <v>4887</v>
      </c>
      <c r="C464" s="385" t="s">
        <v>3821</v>
      </c>
      <c r="D464" s="386">
        <f t="shared" si="21"/>
        <v>0</v>
      </c>
      <c r="E464" s="386"/>
      <c r="F464" s="386"/>
      <c r="G464" s="392" t="s">
        <v>3312</v>
      </c>
      <c r="H464" s="388" t="s">
        <v>59</v>
      </c>
      <c r="I464" s="389"/>
      <c r="J464" s="390"/>
      <c r="K464" s="73"/>
      <c r="L464" s="1"/>
    </row>
    <row r="465" spans="1:12" ht="13.5" customHeight="1" x14ac:dyDescent="0.2">
      <c r="A465" s="445"/>
      <c r="B465" s="394"/>
      <c r="C465" s="385"/>
      <c r="D465" s="386"/>
      <c r="E465" s="386"/>
      <c r="F465" s="386"/>
      <c r="G465" s="392" t="s">
        <v>3562</v>
      </c>
      <c r="H465" s="388" t="s">
        <v>3822</v>
      </c>
      <c r="I465" s="389"/>
      <c r="J465" s="499"/>
      <c r="K465" s="73"/>
      <c r="L465" s="1"/>
    </row>
    <row r="466" spans="1:12" ht="13.5" customHeight="1" x14ac:dyDescent="0.2">
      <c r="A466" s="445" t="s">
        <v>4857</v>
      </c>
      <c r="B466" s="394" t="s">
        <v>4888</v>
      </c>
      <c r="C466" s="385" t="s">
        <v>3821</v>
      </c>
      <c r="D466" s="386">
        <f t="shared" ref="D466:D467" si="22">SUM(E466:F466)</f>
        <v>0</v>
      </c>
      <c r="E466" s="386"/>
      <c r="F466" s="386"/>
      <c r="G466" s="392"/>
      <c r="H466" s="388"/>
      <c r="I466" s="389"/>
      <c r="J466" s="390"/>
      <c r="K466" s="73"/>
      <c r="L466" s="1"/>
    </row>
    <row r="467" spans="1:12" ht="13.5" customHeight="1" x14ac:dyDescent="0.2">
      <c r="A467" s="445" t="s">
        <v>4858</v>
      </c>
      <c r="B467" s="394" t="s">
        <v>4889</v>
      </c>
      <c r="C467" s="385" t="s">
        <v>3821</v>
      </c>
      <c r="D467" s="386">
        <f t="shared" si="22"/>
        <v>0</v>
      </c>
      <c r="E467" s="386"/>
      <c r="F467" s="386"/>
      <c r="G467" s="392"/>
      <c r="H467" s="388"/>
      <c r="I467" s="389"/>
      <c r="J467" s="390"/>
      <c r="K467" s="73"/>
      <c r="L467" s="1"/>
    </row>
    <row r="468" spans="1:12" ht="13.5" customHeight="1" x14ac:dyDescent="0.2">
      <c r="A468" s="445" t="s">
        <v>4859</v>
      </c>
      <c r="B468" s="394" t="s">
        <v>4890</v>
      </c>
      <c r="C468" s="385" t="s">
        <v>3821</v>
      </c>
      <c r="D468" s="386">
        <f t="shared" ref="D468:D475" si="23">SUM(E468:F468)</f>
        <v>0</v>
      </c>
      <c r="E468" s="386"/>
      <c r="F468" s="386"/>
      <c r="G468" s="387"/>
      <c r="H468" s="388"/>
      <c r="I468" s="389"/>
      <c r="J468" s="390"/>
      <c r="K468" s="73"/>
      <c r="L468" s="1"/>
    </row>
    <row r="469" spans="1:12" ht="13.5" customHeight="1" x14ac:dyDescent="0.2">
      <c r="A469" s="445" t="s">
        <v>4860</v>
      </c>
      <c r="B469" s="394" t="s">
        <v>4891</v>
      </c>
      <c r="C469" s="385" t="s">
        <v>3821</v>
      </c>
      <c r="D469" s="386">
        <f t="shared" si="23"/>
        <v>0</v>
      </c>
      <c r="E469" s="386"/>
      <c r="F469" s="386"/>
      <c r="G469" s="392"/>
      <c r="H469" s="388"/>
      <c r="I469" s="389"/>
      <c r="J469" s="390"/>
      <c r="K469" s="73"/>
      <c r="L469" s="1"/>
    </row>
    <row r="470" spans="1:12" ht="13.5" customHeight="1" x14ac:dyDescent="0.2">
      <c r="A470" s="445" t="s">
        <v>4861</v>
      </c>
      <c r="B470" s="394" t="s">
        <v>4892</v>
      </c>
      <c r="C470" s="385" t="s">
        <v>3821</v>
      </c>
      <c r="D470" s="386">
        <f t="shared" si="23"/>
        <v>0</v>
      </c>
      <c r="E470" s="386"/>
      <c r="F470" s="386"/>
      <c r="G470" s="392"/>
      <c r="H470" s="388"/>
      <c r="I470" s="389"/>
      <c r="J470" s="393"/>
      <c r="K470" s="73"/>
      <c r="L470" s="1"/>
    </row>
    <row r="471" spans="1:12" ht="13.5" customHeight="1" x14ac:dyDescent="0.2">
      <c r="A471" s="445" t="s">
        <v>4862</v>
      </c>
      <c r="B471" s="394" t="s">
        <v>4893</v>
      </c>
      <c r="C471" s="385" t="s">
        <v>3821</v>
      </c>
      <c r="D471" s="386">
        <f t="shared" si="23"/>
        <v>0</v>
      </c>
      <c r="E471" s="386"/>
      <c r="F471" s="386"/>
      <c r="G471" s="392"/>
      <c r="H471" s="388"/>
      <c r="I471" s="389"/>
      <c r="J471" s="390"/>
      <c r="K471" s="73"/>
      <c r="L471" s="1"/>
    </row>
    <row r="472" spans="1:12" ht="13.5" customHeight="1" x14ac:dyDescent="0.2">
      <c r="A472" s="445" t="s">
        <v>4863</v>
      </c>
      <c r="B472" s="394" t="s">
        <v>4894</v>
      </c>
      <c r="C472" s="385" t="s">
        <v>3821</v>
      </c>
      <c r="D472" s="386">
        <f t="shared" si="23"/>
        <v>0</v>
      </c>
      <c r="E472" s="386"/>
      <c r="F472" s="386"/>
      <c r="G472" s="387"/>
      <c r="H472" s="395"/>
      <c r="I472" s="396"/>
      <c r="J472" s="397"/>
      <c r="K472" s="73"/>
      <c r="L472" s="1"/>
    </row>
    <row r="473" spans="1:12" ht="13.5" customHeight="1" x14ac:dyDescent="0.2">
      <c r="A473" s="445" t="s">
        <v>4864</v>
      </c>
      <c r="B473" s="394" t="s">
        <v>4895</v>
      </c>
      <c r="C473" s="385" t="s">
        <v>3821</v>
      </c>
      <c r="D473" s="386">
        <f t="shared" si="23"/>
        <v>0</v>
      </c>
      <c r="E473" s="386"/>
      <c r="F473" s="386"/>
      <c r="G473" s="387"/>
      <c r="H473" s="395"/>
      <c r="I473" s="396"/>
      <c r="J473" s="397"/>
      <c r="K473" s="73"/>
      <c r="L473" s="1"/>
    </row>
    <row r="474" spans="1:12" ht="13.5" customHeight="1" x14ac:dyDescent="0.2">
      <c r="A474" s="445" t="s">
        <v>4865</v>
      </c>
      <c r="B474" s="384" t="s">
        <v>4896</v>
      </c>
      <c r="C474" s="385" t="s">
        <v>3821</v>
      </c>
      <c r="D474" s="386">
        <f t="shared" si="23"/>
        <v>0</v>
      </c>
      <c r="E474" s="386"/>
      <c r="F474" s="386"/>
      <c r="G474" s="387"/>
      <c r="H474" s="395"/>
      <c r="I474" s="396"/>
      <c r="J474" s="397"/>
      <c r="K474" s="73"/>
      <c r="L474" s="1"/>
    </row>
    <row r="475" spans="1:12" ht="13.5" customHeight="1" x14ac:dyDescent="0.2">
      <c r="A475" s="445" t="s">
        <v>4866</v>
      </c>
      <c r="B475" s="394" t="s">
        <v>4897</v>
      </c>
      <c r="C475" s="385" t="s">
        <v>3821</v>
      </c>
      <c r="D475" s="386">
        <f t="shared" si="23"/>
        <v>0</v>
      </c>
      <c r="E475" s="386"/>
      <c r="F475" s="386"/>
      <c r="G475" s="450" t="s">
        <v>3312</v>
      </c>
      <c r="H475" s="388" t="s">
        <v>59</v>
      </c>
      <c r="I475" s="389"/>
      <c r="J475" s="451"/>
      <c r="K475" s="73"/>
      <c r="L475" s="1"/>
    </row>
    <row r="476" spans="1:12" ht="13.5" customHeight="1" x14ac:dyDescent="0.2">
      <c r="A476" s="445"/>
      <c r="B476" s="482"/>
      <c r="C476" s="427"/>
      <c r="D476" s="426"/>
      <c r="E476" s="426"/>
      <c r="F476" s="426"/>
      <c r="G476" s="450" t="s">
        <v>3566</v>
      </c>
      <c r="H476" s="388" t="s">
        <v>4301</v>
      </c>
      <c r="I476" s="389"/>
      <c r="J476" s="451"/>
      <c r="K476" s="73"/>
      <c r="L476" s="1"/>
    </row>
    <row r="477" spans="1:12" ht="13.5" customHeight="1" thickBot="1" x14ac:dyDescent="0.25">
      <c r="A477" s="401"/>
      <c r="B477" s="402"/>
      <c r="C477" s="402" t="s">
        <v>3823</v>
      </c>
      <c r="D477" s="403">
        <f>SUM(D444:D476)</f>
        <v>0</v>
      </c>
      <c r="E477" s="403">
        <f>SUM(E444:E476)</f>
        <v>0</v>
      </c>
      <c r="F477" s="403">
        <f>SUM(F444:F476)</f>
        <v>0</v>
      </c>
      <c r="G477" s="403"/>
      <c r="H477" s="403"/>
      <c r="I477" s="403">
        <f>SUM(I444:I476)</f>
        <v>0</v>
      </c>
      <c r="J477" s="403">
        <f>SUM(J444:J476)</f>
        <v>0</v>
      </c>
      <c r="K477" s="73"/>
      <c r="L477" s="1"/>
    </row>
    <row r="478" spans="1:12" ht="13.5" customHeight="1" x14ac:dyDescent="0.2">
      <c r="A478" s="475"/>
      <c r="B478" s="372"/>
      <c r="C478" s="372"/>
      <c r="D478" s="744"/>
      <c r="E478" s="404"/>
      <c r="F478" s="404"/>
      <c r="G478" s="404"/>
      <c r="H478" s="404"/>
      <c r="I478" s="404"/>
      <c r="J478" s="404"/>
      <c r="K478" s="73"/>
      <c r="L478" s="1"/>
    </row>
    <row r="479" spans="1:12" ht="13.5" customHeight="1" x14ac:dyDescent="0.2">
      <c r="A479" s="475"/>
      <c r="B479" s="372"/>
      <c r="C479" s="372"/>
      <c r="D479" s="404"/>
      <c r="E479" s="404"/>
      <c r="F479" s="404"/>
      <c r="G479" s="404"/>
      <c r="H479" s="404"/>
      <c r="I479" s="404"/>
      <c r="J479" s="404"/>
      <c r="K479" s="73"/>
      <c r="L479" s="1"/>
    </row>
    <row r="480" spans="1:12" ht="13.5" customHeight="1" x14ac:dyDescent="0.2">
      <c r="A480" s="475"/>
      <c r="B480" s="372"/>
      <c r="C480" s="372"/>
      <c r="D480" s="404"/>
      <c r="E480" s="404"/>
      <c r="F480" s="404"/>
      <c r="G480" s="404"/>
      <c r="H480" s="404"/>
      <c r="I480" s="404"/>
      <c r="J480" s="404"/>
      <c r="K480" s="73"/>
      <c r="L480" s="1"/>
    </row>
    <row r="482" spans="1:11" ht="13.5" customHeight="1" x14ac:dyDescent="0.25">
      <c r="A482" s="372" t="s">
        <v>4632</v>
      </c>
      <c r="B482" s="372"/>
      <c r="C482" s="372"/>
      <c r="D482" s="372"/>
      <c r="E482" s="372"/>
      <c r="F482" s="372"/>
      <c r="G482" s="372"/>
      <c r="H482" s="109"/>
      <c r="I482" s="109"/>
      <c r="J482" s="109"/>
      <c r="K482" s="73"/>
    </row>
    <row r="483" spans="1:11" ht="13.5" customHeight="1" x14ac:dyDescent="0.25">
      <c r="A483" s="372" t="s">
        <v>3748</v>
      </c>
      <c r="B483" s="372"/>
      <c r="C483" s="372"/>
      <c r="D483" s="372"/>
      <c r="E483" s="372"/>
      <c r="F483" s="372"/>
      <c r="G483" s="372"/>
      <c r="H483" s="469"/>
      <c r="I483" s="109"/>
      <c r="J483" s="109"/>
      <c r="K483" s="73"/>
    </row>
    <row r="484" spans="1:11" ht="13.5" customHeight="1" x14ac:dyDescent="0.2">
      <c r="A484" s="609" t="s">
        <v>3812</v>
      </c>
      <c r="B484" s="609"/>
      <c r="C484" s="609"/>
      <c r="D484" s="609"/>
      <c r="E484" s="609"/>
      <c r="F484" s="609"/>
      <c r="G484" s="609"/>
      <c r="H484" s="609"/>
      <c r="I484" s="609"/>
      <c r="J484" s="609"/>
      <c r="K484" s="73"/>
    </row>
    <row r="485" spans="1:11" ht="13.5" customHeight="1" x14ac:dyDescent="0.2">
      <c r="A485" s="609" t="s">
        <v>3813</v>
      </c>
      <c r="B485" s="609"/>
      <c r="C485" s="609"/>
      <c r="D485" s="609"/>
      <c r="E485" s="609"/>
      <c r="F485" s="609"/>
      <c r="G485" s="609"/>
      <c r="H485" s="609"/>
      <c r="I485" s="609"/>
      <c r="J485" s="609"/>
      <c r="K485" s="73"/>
    </row>
    <row r="486" spans="1:11" ht="13.5" customHeight="1" x14ac:dyDescent="0.2">
      <c r="A486" s="609" t="s">
        <v>3802</v>
      </c>
      <c r="B486" s="609"/>
      <c r="C486" s="609"/>
      <c r="D486" s="609"/>
      <c r="E486" s="609"/>
      <c r="F486" s="609"/>
      <c r="G486" s="609"/>
      <c r="H486" s="609"/>
      <c r="I486" s="609"/>
      <c r="J486" s="609"/>
      <c r="K486" s="73"/>
    </row>
    <row r="487" spans="1:11" ht="13.5" customHeight="1" x14ac:dyDescent="0.25">
      <c r="A487" s="372"/>
      <c r="B487" s="372"/>
      <c r="C487" s="372"/>
      <c r="D487" s="372"/>
      <c r="E487" s="372"/>
      <c r="F487" s="372"/>
      <c r="G487" s="372"/>
      <c r="H487" s="109"/>
      <c r="I487" s="109"/>
      <c r="J487" s="109"/>
      <c r="K487" s="73"/>
    </row>
    <row r="488" spans="1:11" ht="13.5" customHeight="1" x14ac:dyDescent="0.2">
      <c r="A488" s="610" t="s">
        <v>12</v>
      </c>
      <c r="B488" s="610" t="s">
        <v>91</v>
      </c>
      <c r="C488" s="610" t="s">
        <v>13</v>
      </c>
      <c r="D488" s="373" t="s">
        <v>90</v>
      </c>
      <c r="E488" s="611" t="s">
        <v>14</v>
      </c>
      <c r="F488" s="612"/>
      <c r="G488" s="613" t="s">
        <v>29</v>
      </c>
      <c r="H488" s="614"/>
      <c r="I488" s="614"/>
      <c r="J488" s="615"/>
      <c r="K488" s="73"/>
    </row>
    <row r="489" spans="1:11" ht="13.5" customHeight="1" x14ac:dyDescent="0.2">
      <c r="A489" s="610"/>
      <c r="B489" s="610"/>
      <c r="C489" s="610"/>
      <c r="D489" s="616" t="s">
        <v>3814</v>
      </c>
      <c r="E489" s="374" t="s">
        <v>3815</v>
      </c>
      <c r="F489" s="374" t="s">
        <v>3815</v>
      </c>
      <c r="G489" s="618" t="s">
        <v>3816</v>
      </c>
      <c r="H489" s="618" t="s">
        <v>3282</v>
      </c>
      <c r="I489" s="618" t="s">
        <v>90</v>
      </c>
      <c r="J489" s="616" t="s">
        <v>10</v>
      </c>
      <c r="K489" s="73"/>
    </row>
    <row r="490" spans="1:11" ht="13.5" customHeight="1" x14ac:dyDescent="0.2">
      <c r="A490" s="610"/>
      <c r="B490" s="610"/>
      <c r="C490" s="610"/>
      <c r="D490" s="617"/>
      <c r="E490" s="376" t="s">
        <v>3817</v>
      </c>
      <c r="F490" s="376" t="s">
        <v>3818</v>
      </c>
      <c r="G490" s="619"/>
      <c r="H490" s="619"/>
      <c r="I490" s="619"/>
      <c r="J490" s="617"/>
      <c r="K490" s="73"/>
    </row>
    <row r="491" spans="1:11" ht="13.5" customHeight="1" x14ac:dyDescent="0.2">
      <c r="A491" s="610"/>
      <c r="B491" s="610"/>
      <c r="C491" s="610"/>
      <c r="D491" s="377" t="s">
        <v>3819</v>
      </c>
      <c r="E491" s="377" t="s">
        <v>3820</v>
      </c>
      <c r="F491" s="377" t="s">
        <v>3820</v>
      </c>
      <c r="G491" s="620"/>
      <c r="H491" s="620"/>
      <c r="I491" s="620"/>
      <c r="J491" s="621"/>
      <c r="K491" s="73"/>
    </row>
    <row r="492" spans="1:11" ht="13.5" customHeight="1" x14ac:dyDescent="0.2">
      <c r="A492" s="445" t="s">
        <v>5016</v>
      </c>
      <c r="B492" s="384" t="s">
        <v>5046</v>
      </c>
      <c r="C492" s="385" t="s">
        <v>3821</v>
      </c>
      <c r="D492" s="386">
        <f>SUM(E492:F492)</f>
        <v>0</v>
      </c>
      <c r="E492" s="386"/>
      <c r="F492" s="386"/>
      <c r="G492" s="392"/>
      <c r="H492" s="388"/>
      <c r="I492" s="389"/>
      <c r="J492" s="390"/>
      <c r="K492" s="73"/>
    </row>
    <row r="493" spans="1:11" ht="13.5" customHeight="1" x14ac:dyDescent="0.2">
      <c r="A493" s="445" t="s">
        <v>5017</v>
      </c>
      <c r="B493" s="384" t="s">
        <v>5047</v>
      </c>
      <c r="C493" s="385" t="s">
        <v>3821</v>
      </c>
      <c r="D493" s="386">
        <f t="shared" ref="D493:D506" si="24">SUM(E493:F493)</f>
        <v>0</v>
      </c>
      <c r="E493" s="386"/>
      <c r="F493" s="386"/>
      <c r="G493" s="387"/>
      <c r="H493" s="388"/>
      <c r="I493" s="389"/>
      <c r="J493" s="390"/>
      <c r="K493" s="73"/>
    </row>
    <row r="494" spans="1:11" ht="13.5" customHeight="1" x14ac:dyDescent="0.2">
      <c r="A494" s="445" t="s">
        <v>5018</v>
      </c>
      <c r="B494" s="384" t="s">
        <v>5048</v>
      </c>
      <c r="C494" s="385" t="s">
        <v>3821</v>
      </c>
      <c r="D494" s="386">
        <f>SUM(E494:F494)</f>
        <v>0</v>
      </c>
      <c r="E494" s="386"/>
      <c r="F494" s="386"/>
      <c r="G494" s="450" t="s">
        <v>3566</v>
      </c>
      <c r="H494" s="388" t="s">
        <v>4495</v>
      </c>
      <c r="I494" s="465"/>
      <c r="J494" s="466"/>
      <c r="K494" s="73"/>
    </row>
    <row r="495" spans="1:11" ht="13.5" customHeight="1" x14ac:dyDescent="0.2">
      <c r="A495" s="445"/>
      <c r="B495" s="384"/>
      <c r="C495" s="385"/>
      <c r="D495" s="386"/>
      <c r="E495" s="386"/>
      <c r="F495" s="386"/>
      <c r="G495" s="450" t="s">
        <v>3300</v>
      </c>
      <c r="H495" s="388" t="s">
        <v>4496</v>
      </c>
      <c r="I495" s="476"/>
      <c r="J495" s="477"/>
      <c r="K495" s="73"/>
    </row>
    <row r="496" spans="1:11" ht="13.5" customHeight="1" x14ac:dyDescent="0.2">
      <c r="A496" s="445"/>
      <c r="B496" s="384"/>
      <c r="C496" s="385"/>
      <c r="D496" s="386"/>
      <c r="E496" s="386"/>
      <c r="F496" s="386"/>
      <c r="G496" s="450" t="s">
        <v>3300</v>
      </c>
      <c r="H496" s="388" t="s">
        <v>4497</v>
      </c>
      <c r="I496" s="476"/>
      <c r="J496" s="477"/>
      <c r="K496" s="73"/>
    </row>
    <row r="497" spans="1:11" ht="13.5" customHeight="1" x14ac:dyDescent="0.2">
      <c r="A497" s="445" t="s">
        <v>5019</v>
      </c>
      <c r="B497" s="391" t="s">
        <v>5049</v>
      </c>
      <c r="C497" s="385" t="s">
        <v>3821</v>
      </c>
      <c r="D497" s="386">
        <f t="shared" si="24"/>
        <v>0</v>
      </c>
      <c r="E497" s="386"/>
      <c r="F497" s="386"/>
      <c r="G497" s="392"/>
      <c r="H497" s="388"/>
      <c r="I497" s="389"/>
      <c r="J497" s="390"/>
      <c r="K497" s="73"/>
    </row>
    <row r="498" spans="1:11" ht="13.5" customHeight="1" x14ac:dyDescent="0.2">
      <c r="A498" s="445" t="s">
        <v>5020</v>
      </c>
      <c r="B498" s="394" t="s">
        <v>5050</v>
      </c>
      <c r="C498" s="385" t="s">
        <v>3821</v>
      </c>
      <c r="D498" s="386">
        <f t="shared" si="24"/>
        <v>0</v>
      </c>
      <c r="E498" s="386"/>
      <c r="F498" s="386"/>
      <c r="G498" s="387"/>
      <c r="H498" s="388"/>
      <c r="I498" s="389"/>
      <c r="J498" s="486"/>
      <c r="K498" s="73"/>
    </row>
    <row r="499" spans="1:11" ht="13.5" customHeight="1" x14ac:dyDescent="0.2">
      <c r="A499" s="445" t="s">
        <v>5021</v>
      </c>
      <c r="B499" s="394" t="s">
        <v>5051</v>
      </c>
      <c r="C499" s="385" t="s">
        <v>3821</v>
      </c>
      <c r="D499" s="386">
        <f t="shared" si="24"/>
        <v>0</v>
      </c>
      <c r="E499" s="386"/>
      <c r="F499" s="386"/>
      <c r="G499" s="392"/>
      <c r="H499" s="388"/>
      <c r="I499" s="389"/>
      <c r="J499" s="390"/>
      <c r="K499" s="73"/>
    </row>
    <row r="500" spans="1:11" ht="13.5" customHeight="1" x14ac:dyDescent="0.2">
      <c r="A500" s="445" t="s">
        <v>5022</v>
      </c>
      <c r="B500" s="394" t="s">
        <v>5052</v>
      </c>
      <c r="C500" s="385" t="s">
        <v>3821</v>
      </c>
      <c r="D500" s="386">
        <f t="shared" si="24"/>
        <v>0</v>
      </c>
      <c r="E500" s="386"/>
      <c r="F500" s="386"/>
      <c r="G500" s="392"/>
      <c r="H500" s="388"/>
      <c r="I500" s="389"/>
      <c r="J500" s="390"/>
      <c r="K500" s="73"/>
    </row>
    <row r="501" spans="1:11" ht="13.5" customHeight="1" x14ac:dyDescent="0.2">
      <c r="A501" s="445" t="s">
        <v>5023</v>
      </c>
      <c r="B501" s="394" t="s">
        <v>5053</v>
      </c>
      <c r="C501" s="385" t="s">
        <v>3821</v>
      </c>
      <c r="D501" s="386">
        <f t="shared" si="24"/>
        <v>0</v>
      </c>
      <c r="E501" s="386"/>
      <c r="F501" s="386"/>
      <c r="G501" s="392"/>
      <c r="H501" s="388"/>
      <c r="I501" s="389"/>
      <c r="J501" s="491"/>
      <c r="K501" s="73"/>
    </row>
    <row r="502" spans="1:11" ht="13.5" customHeight="1" x14ac:dyDescent="0.2">
      <c r="A502" s="445" t="s">
        <v>5024</v>
      </c>
      <c r="B502" s="394" t="s">
        <v>5054</v>
      </c>
      <c r="C502" s="385" t="s">
        <v>3821</v>
      </c>
      <c r="D502" s="386">
        <f t="shared" si="24"/>
        <v>0</v>
      </c>
      <c r="E502" s="386"/>
      <c r="F502" s="386"/>
      <c r="G502" s="392"/>
      <c r="H502" s="388"/>
      <c r="I502" s="389"/>
      <c r="J502" s="390"/>
      <c r="K502" s="73"/>
    </row>
    <row r="503" spans="1:11" ht="13.5" customHeight="1" x14ac:dyDescent="0.2">
      <c r="A503" s="445" t="s">
        <v>5025</v>
      </c>
      <c r="B503" s="391" t="s">
        <v>5055</v>
      </c>
      <c r="C503" s="385" t="s">
        <v>3821</v>
      </c>
      <c r="D503" s="386">
        <f t="shared" si="24"/>
        <v>0</v>
      </c>
      <c r="E503" s="386"/>
      <c r="F503" s="386"/>
      <c r="G503" s="387"/>
      <c r="H503" s="388"/>
      <c r="I503" s="389"/>
      <c r="J503" s="390"/>
      <c r="K503" s="73"/>
    </row>
    <row r="504" spans="1:11" ht="13.5" customHeight="1" x14ac:dyDescent="0.2">
      <c r="A504" s="445" t="s">
        <v>5026</v>
      </c>
      <c r="B504" s="394" t="s">
        <v>5056</v>
      </c>
      <c r="C504" s="385" t="s">
        <v>3821</v>
      </c>
      <c r="D504" s="386">
        <f t="shared" si="24"/>
        <v>0</v>
      </c>
      <c r="E504" s="386"/>
      <c r="F504" s="386"/>
      <c r="G504" s="392"/>
      <c r="H504" s="388"/>
      <c r="I504" s="389"/>
      <c r="J504" s="393"/>
      <c r="K504" s="73"/>
    </row>
    <row r="505" spans="1:11" ht="13.5" customHeight="1" x14ac:dyDescent="0.2">
      <c r="A505" s="445" t="s">
        <v>5027</v>
      </c>
      <c r="B505" s="394" t="s">
        <v>5057</v>
      </c>
      <c r="C505" s="385" t="s">
        <v>3821</v>
      </c>
      <c r="D505" s="386">
        <f t="shared" si="24"/>
        <v>0</v>
      </c>
      <c r="E505" s="386"/>
      <c r="F505" s="386"/>
      <c r="G505" s="392"/>
      <c r="H505" s="388"/>
      <c r="I505" s="511"/>
      <c r="J505" s="390"/>
      <c r="K505" s="73"/>
    </row>
    <row r="506" spans="1:11" ht="13.5" customHeight="1" x14ac:dyDescent="0.2">
      <c r="A506" s="445" t="s">
        <v>5028</v>
      </c>
      <c r="B506" s="394" t="s">
        <v>5058</v>
      </c>
      <c r="C506" s="385" t="s">
        <v>3821</v>
      </c>
      <c r="D506" s="386">
        <f t="shared" si="24"/>
        <v>0</v>
      </c>
      <c r="E506" s="386"/>
      <c r="F506" s="386"/>
      <c r="G506" s="392"/>
      <c r="H506" s="388"/>
      <c r="I506" s="465"/>
      <c r="J506" s="390"/>
      <c r="K506" s="73"/>
    </row>
    <row r="507" spans="1:11" ht="13.5" customHeight="1" x14ac:dyDescent="0.2">
      <c r="A507" s="445" t="s">
        <v>5029</v>
      </c>
      <c r="B507" s="391" t="s">
        <v>5059</v>
      </c>
      <c r="C507" s="385" t="s">
        <v>3821</v>
      </c>
      <c r="D507" s="386">
        <f t="shared" ref="D507:D519" si="25">SUM(E507:F507)</f>
        <v>0</v>
      </c>
      <c r="E507" s="386"/>
      <c r="F507" s="386"/>
      <c r="G507" s="387"/>
      <c r="H507" s="388"/>
      <c r="I507" s="389"/>
      <c r="J507" s="390"/>
      <c r="K507" s="73"/>
    </row>
    <row r="508" spans="1:11" ht="13.5" customHeight="1" x14ac:dyDescent="0.2">
      <c r="A508" s="445" t="s">
        <v>5030</v>
      </c>
      <c r="B508" s="391" t="s">
        <v>5060</v>
      </c>
      <c r="C508" s="385" t="s">
        <v>3821</v>
      </c>
      <c r="D508" s="386">
        <f t="shared" si="25"/>
        <v>0</v>
      </c>
      <c r="E508" s="386"/>
      <c r="F508" s="386"/>
      <c r="G508" s="392"/>
      <c r="H508" s="388"/>
      <c r="I508" s="389"/>
      <c r="J508" s="390"/>
      <c r="K508" s="73"/>
    </row>
    <row r="509" spans="1:11" ht="13.5" customHeight="1" x14ac:dyDescent="0.2">
      <c r="A509" s="445" t="s">
        <v>5031</v>
      </c>
      <c r="B509" s="391" t="s">
        <v>5061</v>
      </c>
      <c r="C509" s="385" t="s">
        <v>3821</v>
      </c>
      <c r="D509" s="386">
        <f t="shared" si="25"/>
        <v>0</v>
      </c>
      <c r="E509" s="386"/>
      <c r="F509" s="386"/>
      <c r="G509" s="387"/>
      <c r="H509" s="388"/>
      <c r="I509" s="389"/>
      <c r="J509" s="390"/>
      <c r="K509" s="73"/>
    </row>
    <row r="510" spans="1:11" ht="13.5" customHeight="1" x14ac:dyDescent="0.2">
      <c r="A510" s="445" t="s">
        <v>5032</v>
      </c>
      <c r="B510" s="394" t="s">
        <v>5062</v>
      </c>
      <c r="C510" s="385" t="s">
        <v>3821</v>
      </c>
      <c r="D510" s="386">
        <f t="shared" si="25"/>
        <v>0</v>
      </c>
      <c r="E510" s="386"/>
      <c r="F510" s="386"/>
      <c r="G510" s="392"/>
      <c r="H510" s="388"/>
      <c r="I510" s="389"/>
      <c r="J510" s="393"/>
      <c r="K510" s="73"/>
    </row>
    <row r="511" spans="1:11" ht="13.5" customHeight="1" x14ac:dyDescent="0.2">
      <c r="A511" s="445" t="s">
        <v>5033</v>
      </c>
      <c r="B511" s="394" t="s">
        <v>5063</v>
      </c>
      <c r="C511" s="385" t="s">
        <v>3821</v>
      </c>
      <c r="D511" s="386">
        <f t="shared" si="25"/>
        <v>0</v>
      </c>
      <c r="E511" s="386"/>
      <c r="F511" s="386"/>
      <c r="G511" s="387"/>
      <c r="H511" s="388"/>
      <c r="I511" s="389"/>
      <c r="J511" s="390"/>
      <c r="K511" s="73"/>
    </row>
    <row r="512" spans="1:11" ht="13.5" customHeight="1" x14ac:dyDescent="0.2">
      <c r="A512" s="445" t="s">
        <v>5034</v>
      </c>
      <c r="B512" s="394" t="s">
        <v>5064</v>
      </c>
      <c r="C512" s="385" t="s">
        <v>3821</v>
      </c>
      <c r="D512" s="386">
        <f t="shared" si="25"/>
        <v>0</v>
      </c>
      <c r="E512" s="386"/>
      <c r="F512" s="386"/>
      <c r="G512" s="392"/>
      <c r="H512" s="388"/>
      <c r="I512" s="389"/>
      <c r="J512" s="390"/>
      <c r="K512" s="73"/>
    </row>
    <row r="513" spans="1:11" ht="13.5" customHeight="1" x14ac:dyDescent="0.2">
      <c r="A513" s="445" t="s">
        <v>5035</v>
      </c>
      <c r="B513" s="394" t="s">
        <v>5065</v>
      </c>
      <c r="C513" s="385" t="s">
        <v>3821</v>
      </c>
      <c r="D513" s="386">
        <f t="shared" si="25"/>
        <v>0</v>
      </c>
      <c r="E513" s="386"/>
      <c r="F513" s="386"/>
      <c r="G513" s="392"/>
      <c r="H513" s="388"/>
      <c r="I513" s="389"/>
      <c r="J513" s="390"/>
      <c r="K513" s="73"/>
    </row>
    <row r="514" spans="1:11" ht="13.5" customHeight="1" x14ac:dyDescent="0.2">
      <c r="A514" s="445" t="s">
        <v>5036</v>
      </c>
      <c r="B514" s="394" t="s">
        <v>5066</v>
      </c>
      <c r="C514" s="385" t="s">
        <v>3821</v>
      </c>
      <c r="D514" s="386">
        <f t="shared" si="25"/>
        <v>0</v>
      </c>
      <c r="E514" s="386"/>
      <c r="F514" s="386"/>
      <c r="G514" s="392"/>
      <c r="H514" s="388"/>
      <c r="I514" s="389"/>
      <c r="J514" s="390"/>
      <c r="K514" s="73"/>
    </row>
    <row r="515" spans="1:11" ht="13.5" customHeight="1" x14ac:dyDescent="0.2">
      <c r="A515" s="445" t="s">
        <v>5037</v>
      </c>
      <c r="B515" s="394" t="s">
        <v>5067</v>
      </c>
      <c r="C515" s="385" t="s">
        <v>3821</v>
      </c>
      <c r="D515" s="386">
        <f t="shared" si="25"/>
        <v>0</v>
      </c>
      <c r="E515" s="386"/>
      <c r="F515" s="386"/>
      <c r="G515" s="392"/>
      <c r="H515" s="388"/>
      <c r="I515" s="389"/>
      <c r="J515" s="390"/>
      <c r="K515" s="73"/>
    </row>
    <row r="516" spans="1:11" ht="13.5" customHeight="1" x14ac:dyDescent="0.2">
      <c r="A516" s="445" t="s">
        <v>5038</v>
      </c>
      <c r="B516" s="394" t="s">
        <v>5068</v>
      </c>
      <c r="C516" s="385" t="s">
        <v>3821</v>
      </c>
      <c r="D516" s="386">
        <f t="shared" si="25"/>
        <v>0</v>
      </c>
      <c r="E516" s="386"/>
      <c r="F516" s="386"/>
      <c r="G516" s="392"/>
      <c r="H516" s="388"/>
      <c r="I516" s="389"/>
      <c r="J516" s="390"/>
      <c r="K516" s="73"/>
    </row>
    <row r="517" spans="1:11" ht="13.5" customHeight="1" x14ac:dyDescent="0.2">
      <c r="A517" s="445" t="s">
        <v>5039</v>
      </c>
      <c r="B517" s="394" t="s">
        <v>5069</v>
      </c>
      <c r="C517" s="385" t="s">
        <v>3821</v>
      </c>
      <c r="D517" s="386">
        <f t="shared" si="25"/>
        <v>0</v>
      </c>
      <c r="E517" s="386"/>
      <c r="F517" s="386"/>
      <c r="G517" s="392" t="s">
        <v>3312</v>
      </c>
      <c r="H517" s="388" t="s">
        <v>59</v>
      </c>
      <c r="I517" s="389"/>
      <c r="J517" s="390"/>
      <c r="K517" s="73"/>
    </row>
    <row r="518" spans="1:11" ht="13.5" customHeight="1" x14ac:dyDescent="0.2">
      <c r="A518" s="445"/>
      <c r="B518" s="394"/>
      <c r="C518" s="385"/>
      <c r="D518" s="386"/>
      <c r="E518" s="386"/>
      <c r="F518" s="386"/>
      <c r="G518" s="392" t="s">
        <v>3562</v>
      </c>
      <c r="H518" s="388" t="s">
        <v>3822</v>
      </c>
      <c r="I518" s="389"/>
      <c r="J518" s="499"/>
      <c r="K518" s="73"/>
    </row>
    <row r="519" spans="1:11" ht="13.5" customHeight="1" x14ac:dyDescent="0.2">
      <c r="A519" s="445" t="s">
        <v>5040</v>
      </c>
      <c r="B519" s="394" t="s">
        <v>5070</v>
      </c>
      <c r="C519" s="385" t="s">
        <v>3821</v>
      </c>
      <c r="D519" s="386">
        <f t="shared" si="25"/>
        <v>0</v>
      </c>
      <c r="E519" s="386"/>
      <c r="F519" s="386"/>
      <c r="G519" s="392"/>
      <c r="H519" s="388"/>
      <c r="I519" s="389"/>
      <c r="J519" s="390"/>
      <c r="K519" s="73"/>
    </row>
    <row r="520" spans="1:11" ht="13.5" customHeight="1" x14ac:dyDescent="0.2">
      <c r="A520" s="445" t="s">
        <v>5041</v>
      </c>
      <c r="B520" s="394" t="s">
        <v>5071</v>
      </c>
      <c r="C520" s="385" t="s">
        <v>3821</v>
      </c>
      <c r="D520" s="386">
        <f t="shared" ref="D520:D522" si="26">SUM(E520:F520)</f>
        <v>0</v>
      </c>
      <c r="E520" s="386"/>
      <c r="F520" s="386"/>
      <c r="G520" s="392" t="s">
        <v>3312</v>
      </c>
      <c r="H520" s="388" t="s">
        <v>59</v>
      </c>
      <c r="I520" s="389"/>
      <c r="J520" s="393"/>
      <c r="K520" s="73"/>
    </row>
    <row r="521" spans="1:11" ht="13.5" customHeight="1" x14ac:dyDescent="0.2">
      <c r="A521" s="445"/>
      <c r="B521" s="394"/>
      <c r="C521" s="385"/>
      <c r="D521" s="386"/>
      <c r="E521" s="386"/>
      <c r="F521" s="386"/>
      <c r="G521" s="392" t="s">
        <v>3562</v>
      </c>
      <c r="H521" s="388" t="s">
        <v>3822</v>
      </c>
      <c r="I521" s="389"/>
      <c r="J521" s="393"/>
      <c r="K521" s="73"/>
    </row>
    <row r="522" spans="1:11" ht="13.5" customHeight="1" x14ac:dyDescent="0.2">
      <c r="A522" s="445" t="s">
        <v>5042</v>
      </c>
      <c r="B522" s="394" t="s">
        <v>5072</v>
      </c>
      <c r="C522" s="385" t="s">
        <v>3821</v>
      </c>
      <c r="D522" s="386">
        <f t="shared" si="26"/>
        <v>0</v>
      </c>
      <c r="E522" s="386"/>
      <c r="F522" s="386"/>
      <c r="G522" s="392" t="s">
        <v>3312</v>
      </c>
      <c r="H522" s="388" t="s">
        <v>59</v>
      </c>
      <c r="I522" s="389"/>
      <c r="J522" s="390"/>
      <c r="K522" s="73"/>
    </row>
    <row r="523" spans="1:11" ht="13.5" customHeight="1" x14ac:dyDescent="0.2">
      <c r="A523" s="445"/>
      <c r="B523" s="394"/>
      <c r="C523" s="385"/>
      <c r="D523" s="386"/>
      <c r="E523" s="386"/>
      <c r="F523" s="386"/>
      <c r="G523" s="392" t="s">
        <v>3562</v>
      </c>
      <c r="H523" s="388" t="s">
        <v>3822</v>
      </c>
      <c r="I523" s="396"/>
      <c r="J523" s="492"/>
      <c r="K523" s="73"/>
    </row>
    <row r="524" spans="1:11" ht="13.5" customHeight="1" x14ac:dyDescent="0.2">
      <c r="A524" s="445" t="s">
        <v>5043</v>
      </c>
      <c r="B524" s="394" t="s">
        <v>5073</v>
      </c>
      <c r="C524" s="385" t="s">
        <v>3821</v>
      </c>
      <c r="D524" s="386">
        <f t="shared" ref="D524:D526" si="27">SUM(E524:F524)</f>
        <v>0</v>
      </c>
      <c r="E524" s="386"/>
      <c r="F524" s="386"/>
      <c r="G524" s="387"/>
      <c r="H524" s="395"/>
      <c r="I524" s="396"/>
      <c r="J524" s="397"/>
      <c r="K524" s="73"/>
    </row>
    <row r="525" spans="1:11" ht="13.5" customHeight="1" x14ac:dyDescent="0.2">
      <c r="A525" s="445" t="s">
        <v>5044</v>
      </c>
      <c r="B525" s="394" t="s">
        <v>5074</v>
      </c>
      <c r="C525" s="385" t="s">
        <v>3821</v>
      </c>
      <c r="D525" s="386">
        <f t="shared" si="27"/>
        <v>0</v>
      </c>
      <c r="E525" s="386"/>
      <c r="F525" s="386"/>
      <c r="G525" s="387"/>
      <c r="H525" s="395"/>
      <c r="I525" s="396"/>
      <c r="J525" s="397"/>
      <c r="K525" s="73"/>
    </row>
    <row r="526" spans="1:11" ht="13.5" customHeight="1" x14ac:dyDescent="0.2">
      <c r="A526" s="445" t="s">
        <v>5045</v>
      </c>
      <c r="B526" s="384" t="s">
        <v>5075</v>
      </c>
      <c r="C526" s="385" t="s">
        <v>3821</v>
      </c>
      <c r="D526" s="386">
        <f t="shared" si="27"/>
        <v>0</v>
      </c>
      <c r="E526" s="386"/>
      <c r="F526" s="386"/>
      <c r="G526" s="387"/>
      <c r="H526" s="395"/>
      <c r="I526" s="396"/>
      <c r="J526" s="397"/>
      <c r="K526" s="73"/>
    </row>
    <row r="527" spans="1:11" ht="13.5" customHeight="1" x14ac:dyDescent="0.2">
      <c r="A527" s="445"/>
      <c r="B527" s="394"/>
      <c r="C527" s="385"/>
      <c r="D527" s="386"/>
      <c r="E527" s="386"/>
      <c r="F527" s="386"/>
      <c r="G527" s="387"/>
      <c r="H527" s="395"/>
      <c r="I527" s="396"/>
      <c r="J527" s="397"/>
      <c r="K527" s="73"/>
    </row>
    <row r="528" spans="1:11" ht="13.5" customHeight="1" x14ac:dyDescent="0.2">
      <c r="A528" s="445"/>
      <c r="B528" s="482"/>
      <c r="C528" s="427"/>
      <c r="D528" s="426"/>
      <c r="E528" s="426"/>
      <c r="F528" s="426"/>
      <c r="G528" s="392"/>
      <c r="H528" s="388"/>
      <c r="I528" s="389"/>
      <c r="J528" s="390"/>
      <c r="K528" s="73"/>
    </row>
    <row r="529" spans="1:12" ht="13.5" customHeight="1" thickBot="1" x14ac:dyDescent="0.25">
      <c r="A529" s="401"/>
      <c r="B529" s="402"/>
      <c r="C529" s="402" t="s">
        <v>3823</v>
      </c>
      <c r="D529" s="743">
        <f>SUM(D492:D528)</f>
        <v>0</v>
      </c>
      <c r="E529" s="403">
        <f>SUM(E492:E528)</f>
        <v>0</v>
      </c>
      <c r="F529" s="403">
        <f>SUM(F492:F528)</f>
        <v>0</v>
      </c>
      <c r="G529" s="403"/>
      <c r="H529" s="403"/>
      <c r="I529" s="403">
        <f>SUM(I492:I528)</f>
        <v>0</v>
      </c>
      <c r="J529" s="403">
        <f>SUM(J492:J528)</f>
        <v>0</v>
      </c>
      <c r="K529" s="73"/>
    </row>
    <row r="530" spans="1:12" ht="13.5" customHeight="1" x14ac:dyDescent="0.25">
      <c r="A530" s="372" t="s">
        <v>4632</v>
      </c>
      <c r="B530" s="372"/>
      <c r="C530" s="372"/>
      <c r="D530" s="372"/>
      <c r="E530" s="372"/>
      <c r="F530" s="372"/>
      <c r="G530" s="372"/>
      <c r="H530" s="109"/>
      <c r="I530" s="109"/>
      <c r="J530" s="109"/>
      <c r="K530" s="73"/>
      <c r="L530" s="1"/>
    </row>
    <row r="531" spans="1:12" ht="13.5" customHeight="1" x14ac:dyDescent="0.25">
      <c r="A531" s="372" t="s">
        <v>3748</v>
      </c>
      <c r="B531" s="372"/>
      <c r="C531" s="372"/>
      <c r="D531" s="372"/>
      <c r="E531" s="372"/>
      <c r="F531" s="372"/>
      <c r="G531" s="372"/>
      <c r="H531" s="469"/>
      <c r="I531" s="109"/>
      <c r="J531" s="109"/>
      <c r="K531" s="73"/>
      <c r="L531" s="1"/>
    </row>
    <row r="532" spans="1:12" ht="13.5" customHeight="1" x14ac:dyDescent="0.2">
      <c r="A532" s="609" t="s">
        <v>3812</v>
      </c>
      <c r="B532" s="609"/>
      <c r="C532" s="609"/>
      <c r="D532" s="609"/>
      <c r="E532" s="609"/>
      <c r="F532" s="609"/>
      <c r="G532" s="609"/>
      <c r="H532" s="609"/>
      <c r="I532" s="609"/>
      <c r="J532" s="609"/>
      <c r="K532" s="73"/>
      <c r="L532" s="1"/>
    </row>
    <row r="533" spans="1:12" ht="13.5" customHeight="1" x14ac:dyDescent="0.2">
      <c r="A533" s="609" t="s">
        <v>3813</v>
      </c>
      <c r="B533" s="609"/>
      <c r="C533" s="609"/>
      <c r="D533" s="609"/>
      <c r="E533" s="609"/>
      <c r="F533" s="609"/>
      <c r="G533" s="609"/>
      <c r="H533" s="609"/>
      <c r="I533" s="609"/>
      <c r="J533" s="609"/>
      <c r="K533" s="73"/>
      <c r="L533" s="1"/>
    </row>
    <row r="534" spans="1:12" ht="13.5" customHeight="1" x14ac:dyDescent="0.2">
      <c r="A534" s="609" t="s">
        <v>3803</v>
      </c>
      <c r="B534" s="609"/>
      <c r="C534" s="609"/>
      <c r="D534" s="609"/>
      <c r="E534" s="609"/>
      <c r="F534" s="609"/>
      <c r="G534" s="609"/>
      <c r="H534" s="609"/>
      <c r="I534" s="609"/>
      <c r="J534" s="609"/>
      <c r="K534" s="73"/>
      <c r="L534" s="1"/>
    </row>
    <row r="535" spans="1:12" ht="13.5" customHeight="1" x14ac:dyDescent="0.25">
      <c r="A535" s="372"/>
      <c r="B535" s="372"/>
      <c r="C535" s="372"/>
      <c r="D535" s="372"/>
      <c r="E535" s="372"/>
      <c r="F535" s="372"/>
      <c r="G535" s="372"/>
      <c r="H535" s="109"/>
      <c r="I535" s="109"/>
      <c r="J535" s="109"/>
      <c r="K535" s="73"/>
      <c r="L535" s="1"/>
    </row>
    <row r="536" spans="1:12" ht="13.5" customHeight="1" x14ac:dyDescent="0.2">
      <c r="A536" s="610" t="s">
        <v>12</v>
      </c>
      <c r="B536" s="610" t="s">
        <v>91</v>
      </c>
      <c r="C536" s="610" t="s">
        <v>13</v>
      </c>
      <c r="D536" s="373" t="s">
        <v>90</v>
      </c>
      <c r="E536" s="611" t="s">
        <v>14</v>
      </c>
      <c r="F536" s="612"/>
      <c r="G536" s="613" t="s">
        <v>29</v>
      </c>
      <c r="H536" s="614"/>
      <c r="I536" s="614"/>
      <c r="J536" s="615"/>
      <c r="K536" s="73"/>
      <c r="L536" s="1"/>
    </row>
    <row r="537" spans="1:12" ht="13.5" customHeight="1" x14ac:dyDescent="0.2">
      <c r="A537" s="610"/>
      <c r="B537" s="610"/>
      <c r="C537" s="610"/>
      <c r="D537" s="616" t="s">
        <v>3814</v>
      </c>
      <c r="E537" s="374" t="s">
        <v>3815</v>
      </c>
      <c r="F537" s="374" t="s">
        <v>3815</v>
      </c>
      <c r="G537" s="618" t="s">
        <v>3816</v>
      </c>
      <c r="H537" s="618" t="s">
        <v>3282</v>
      </c>
      <c r="I537" s="618" t="s">
        <v>90</v>
      </c>
      <c r="J537" s="616" t="s">
        <v>10</v>
      </c>
      <c r="K537" s="73"/>
      <c r="L537" s="1"/>
    </row>
    <row r="538" spans="1:12" ht="13.5" customHeight="1" x14ac:dyDescent="0.2">
      <c r="A538" s="610"/>
      <c r="B538" s="610"/>
      <c r="C538" s="610"/>
      <c r="D538" s="617"/>
      <c r="E538" s="376" t="s">
        <v>3817</v>
      </c>
      <c r="F538" s="376" t="s">
        <v>3818</v>
      </c>
      <c r="G538" s="619"/>
      <c r="H538" s="619"/>
      <c r="I538" s="619"/>
      <c r="J538" s="617"/>
      <c r="K538" s="73"/>
      <c r="L538" s="1"/>
    </row>
    <row r="539" spans="1:12" ht="13.5" customHeight="1" x14ac:dyDescent="0.2">
      <c r="A539" s="610"/>
      <c r="B539" s="610"/>
      <c r="C539" s="610"/>
      <c r="D539" s="377" t="s">
        <v>3819</v>
      </c>
      <c r="E539" s="377" t="s">
        <v>3820</v>
      </c>
      <c r="F539" s="377" t="s">
        <v>3820</v>
      </c>
      <c r="G539" s="620"/>
      <c r="H539" s="620"/>
      <c r="I539" s="620"/>
      <c r="J539" s="621"/>
      <c r="K539" s="73"/>
      <c r="L539" s="1"/>
    </row>
    <row r="540" spans="1:12" ht="13.5" customHeight="1" x14ac:dyDescent="0.2">
      <c r="A540" s="445" t="s">
        <v>5088</v>
      </c>
      <c r="B540" s="384" t="s">
        <v>5120</v>
      </c>
      <c r="C540" s="385" t="s">
        <v>3821</v>
      </c>
      <c r="D540" s="386">
        <f>SUM(E540:F540)</f>
        <v>0</v>
      </c>
      <c r="E540" s="386"/>
      <c r="F540" s="386"/>
      <c r="G540" s="392"/>
      <c r="H540" s="388"/>
      <c r="I540" s="389"/>
      <c r="J540" s="390"/>
      <c r="K540" s="73"/>
      <c r="L540" s="1"/>
    </row>
    <row r="541" spans="1:12" ht="13.5" customHeight="1" x14ac:dyDescent="0.2">
      <c r="A541" s="445" t="s">
        <v>5089</v>
      </c>
      <c r="B541" s="384" t="s">
        <v>5121</v>
      </c>
      <c r="C541" s="385" t="s">
        <v>3821</v>
      </c>
      <c r="D541" s="386">
        <f t="shared" ref="D541:D559" si="28">SUM(E541:F541)</f>
        <v>0</v>
      </c>
      <c r="E541" s="386"/>
      <c r="F541" s="386"/>
      <c r="G541" s="387"/>
      <c r="H541" s="388"/>
      <c r="I541" s="389"/>
      <c r="J541" s="390"/>
      <c r="K541" s="73"/>
      <c r="L541" s="1"/>
    </row>
    <row r="542" spans="1:12" ht="13.5" customHeight="1" x14ac:dyDescent="0.2">
      <c r="A542" s="445" t="s">
        <v>5090</v>
      </c>
      <c r="B542" s="384" t="s">
        <v>5122</v>
      </c>
      <c r="C542" s="385" t="s">
        <v>3821</v>
      </c>
      <c r="D542" s="386">
        <f t="shared" si="28"/>
        <v>0</v>
      </c>
      <c r="E542" s="386"/>
      <c r="F542" s="386"/>
      <c r="G542" s="387"/>
      <c r="H542" s="388"/>
      <c r="I542" s="389"/>
      <c r="J542" s="390"/>
      <c r="K542" s="73"/>
      <c r="L542" s="1"/>
    </row>
    <row r="543" spans="1:12" ht="13.5" customHeight="1" x14ac:dyDescent="0.2">
      <c r="A543" s="445" t="s">
        <v>5091</v>
      </c>
      <c r="B543" s="391" t="s">
        <v>5123</v>
      </c>
      <c r="C543" s="385" t="s">
        <v>3821</v>
      </c>
      <c r="D543" s="386">
        <f t="shared" si="28"/>
        <v>0</v>
      </c>
      <c r="E543" s="386"/>
      <c r="F543" s="386"/>
      <c r="G543" s="392"/>
      <c r="H543" s="388"/>
      <c r="I543" s="389"/>
      <c r="J543" s="390"/>
      <c r="K543" s="73"/>
      <c r="L543" s="1"/>
    </row>
    <row r="544" spans="1:12" ht="13.5" customHeight="1" x14ac:dyDescent="0.2">
      <c r="A544" s="445" t="s">
        <v>5092</v>
      </c>
      <c r="B544" s="394" t="s">
        <v>5124</v>
      </c>
      <c r="C544" s="385" t="s">
        <v>3821</v>
      </c>
      <c r="D544" s="386">
        <f t="shared" si="28"/>
        <v>0</v>
      </c>
      <c r="E544" s="386"/>
      <c r="F544" s="386"/>
      <c r="G544" s="387"/>
      <c r="H544" s="388"/>
      <c r="I544" s="389"/>
      <c r="J544" s="390"/>
      <c r="K544" s="73"/>
      <c r="L544" s="1"/>
    </row>
    <row r="545" spans="1:12" ht="13.5" customHeight="1" x14ac:dyDescent="0.2">
      <c r="A545" s="445" t="s">
        <v>5093</v>
      </c>
      <c r="B545" s="394" t="s">
        <v>5125</v>
      </c>
      <c r="C545" s="385" t="s">
        <v>3821</v>
      </c>
      <c r="D545" s="386">
        <f t="shared" si="28"/>
        <v>0</v>
      </c>
      <c r="E545" s="386"/>
      <c r="F545" s="386"/>
      <c r="G545" s="392"/>
      <c r="H545" s="388"/>
      <c r="I545" s="389"/>
      <c r="J545" s="390"/>
      <c r="K545" s="73"/>
      <c r="L545" s="1"/>
    </row>
    <row r="546" spans="1:12" ht="13.5" customHeight="1" x14ac:dyDescent="0.2">
      <c r="A546" s="445" t="s">
        <v>5094</v>
      </c>
      <c r="B546" s="394" t="s">
        <v>5126</v>
      </c>
      <c r="C546" s="385" t="s">
        <v>3821</v>
      </c>
      <c r="D546" s="386">
        <f t="shared" si="28"/>
        <v>0</v>
      </c>
      <c r="E546" s="386"/>
      <c r="F546" s="386"/>
      <c r="G546" s="392"/>
      <c r="H546" s="388"/>
      <c r="I546" s="389"/>
      <c r="J546" s="390"/>
      <c r="K546" s="73"/>
      <c r="L546" s="1"/>
    </row>
    <row r="547" spans="1:12" ht="13.5" customHeight="1" x14ac:dyDescent="0.2">
      <c r="A547" s="445" t="s">
        <v>5095</v>
      </c>
      <c r="B547" s="394" t="s">
        <v>5127</v>
      </c>
      <c r="C547" s="385" t="s">
        <v>3821</v>
      </c>
      <c r="D547" s="386">
        <f t="shared" si="28"/>
        <v>0</v>
      </c>
      <c r="E547" s="386"/>
      <c r="F547" s="386"/>
      <c r="G547" s="392"/>
      <c r="H547" s="388"/>
      <c r="I547" s="389"/>
      <c r="J547" s="491"/>
      <c r="K547" s="73"/>
      <c r="L547" s="1"/>
    </row>
    <row r="548" spans="1:12" ht="13.5" customHeight="1" x14ac:dyDescent="0.2">
      <c r="A548" s="445" t="s">
        <v>5096</v>
      </c>
      <c r="B548" s="394" t="s">
        <v>5128</v>
      </c>
      <c r="C548" s="385" t="s">
        <v>3821</v>
      </c>
      <c r="D548" s="386">
        <f t="shared" si="28"/>
        <v>0</v>
      </c>
      <c r="E548" s="386"/>
      <c r="F548" s="386"/>
      <c r="G548" s="392"/>
      <c r="H548" s="388"/>
      <c r="I548" s="389"/>
      <c r="J548" s="390"/>
      <c r="K548" s="73"/>
      <c r="L548" s="1"/>
    </row>
    <row r="549" spans="1:12" ht="13.5" customHeight="1" x14ac:dyDescent="0.2">
      <c r="A549" s="445" t="s">
        <v>5097</v>
      </c>
      <c r="B549" s="391" t="s">
        <v>5129</v>
      </c>
      <c r="C549" s="385" t="s">
        <v>3821</v>
      </c>
      <c r="D549" s="386">
        <f t="shared" si="28"/>
        <v>0</v>
      </c>
      <c r="E549" s="386"/>
      <c r="F549" s="386"/>
      <c r="G549" s="387"/>
      <c r="H549" s="388"/>
      <c r="I549" s="389"/>
      <c r="J549" s="390"/>
      <c r="K549" s="73"/>
      <c r="L549" s="1"/>
    </row>
    <row r="550" spans="1:12" ht="13.5" customHeight="1" x14ac:dyDescent="0.2">
      <c r="A550" s="445" t="s">
        <v>5098</v>
      </c>
      <c r="B550" s="394" t="s">
        <v>5130</v>
      </c>
      <c r="C550" s="385" t="s">
        <v>3821</v>
      </c>
      <c r="D550" s="386">
        <f t="shared" si="28"/>
        <v>0</v>
      </c>
      <c r="E550" s="386"/>
      <c r="F550" s="386"/>
      <c r="G550" s="392"/>
      <c r="H550" s="388"/>
      <c r="I550" s="389"/>
      <c r="J550" s="393"/>
      <c r="K550" s="73"/>
      <c r="L550" s="1"/>
    </row>
    <row r="551" spans="1:12" ht="13.5" customHeight="1" x14ac:dyDescent="0.2">
      <c r="A551" s="445" t="s">
        <v>5099</v>
      </c>
      <c r="B551" s="394" t="s">
        <v>5131</v>
      </c>
      <c r="C551" s="385" t="s">
        <v>3821</v>
      </c>
      <c r="D551" s="386">
        <f t="shared" si="28"/>
        <v>0</v>
      </c>
      <c r="E551" s="386"/>
      <c r="F551" s="386"/>
      <c r="G551" s="392"/>
      <c r="H551" s="388"/>
      <c r="I551" s="389"/>
      <c r="J551" s="390"/>
      <c r="K551" s="625"/>
      <c r="L551" s="626"/>
    </row>
    <row r="552" spans="1:12" ht="13.5" customHeight="1" x14ac:dyDescent="0.2">
      <c r="A552" s="445" t="s">
        <v>5100</v>
      </c>
      <c r="B552" s="394" t="s">
        <v>5132</v>
      </c>
      <c r="C552" s="385" t="s">
        <v>3821</v>
      </c>
      <c r="D552" s="386">
        <f t="shared" si="28"/>
        <v>0</v>
      </c>
      <c r="E552" s="386"/>
      <c r="F552" s="386"/>
      <c r="G552" s="392"/>
      <c r="H552" s="388"/>
      <c r="I552" s="389"/>
      <c r="J552" s="393"/>
      <c r="K552" s="73"/>
      <c r="L552" s="1"/>
    </row>
    <row r="553" spans="1:12" ht="13.5" customHeight="1" x14ac:dyDescent="0.2">
      <c r="A553" s="445" t="s">
        <v>5101</v>
      </c>
      <c r="B553" s="391" t="s">
        <v>5133</v>
      </c>
      <c r="C553" s="385" t="s">
        <v>3821</v>
      </c>
      <c r="D553" s="386">
        <f t="shared" si="28"/>
        <v>0</v>
      </c>
      <c r="E553" s="386"/>
      <c r="F553" s="386"/>
      <c r="G553" s="387"/>
      <c r="H553" s="388"/>
      <c r="I553" s="389"/>
      <c r="J553" s="390"/>
      <c r="K553" s="73"/>
      <c r="L553" s="1"/>
    </row>
    <row r="554" spans="1:12" ht="13.5" customHeight="1" x14ac:dyDescent="0.2">
      <c r="A554" s="445" t="s">
        <v>5102</v>
      </c>
      <c r="B554" s="391" t="s">
        <v>5134</v>
      </c>
      <c r="C554" s="385" t="s">
        <v>3821</v>
      </c>
      <c r="D554" s="386">
        <f t="shared" si="28"/>
        <v>0</v>
      </c>
      <c r="E554" s="386"/>
      <c r="F554" s="386"/>
      <c r="G554" s="392"/>
      <c r="H554" s="388"/>
      <c r="I554" s="389"/>
      <c r="J554" s="390"/>
      <c r="K554" s="73"/>
      <c r="L554" s="1"/>
    </row>
    <row r="555" spans="1:12" ht="13.5" customHeight="1" x14ac:dyDescent="0.2">
      <c r="A555" s="445" t="s">
        <v>5103</v>
      </c>
      <c r="B555" s="391" t="s">
        <v>5135</v>
      </c>
      <c r="C555" s="385" t="s">
        <v>3821</v>
      </c>
      <c r="D555" s="386">
        <f t="shared" si="28"/>
        <v>0</v>
      </c>
      <c r="E555" s="386"/>
      <c r="F555" s="386"/>
      <c r="G555" s="387"/>
      <c r="H555" s="388"/>
      <c r="I555" s="389"/>
      <c r="J555" s="390"/>
      <c r="K555" s="73"/>
      <c r="L555" s="1"/>
    </row>
    <row r="556" spans="1:12" ht="13.5" customHeight="1" x14ac:dyDescent="0.2">
      <c r="A556" s="445" t="s">
        <v>5104</v>
      </c>
      <c r="B556" s="394" t="s">
        <v>5136</v>
      </c>
      <c r="C556" s="385" t="s">
        <v>3821</v>
      </c>
      <c r="D556" s="386">
        <f t="shared" si="28"/>
        <v>0</v>
      </c>
      <c r="E556" s="386"/>
      <c r="F556" s="386"/>
      <c r="G556" s="392"/>
      <c r="H556" s="388"/>
      <c r="I556" s="389"/>
      <c r="J556" s="393"/>
      <c r="K556" s="73"/>
      <c r="L556" s="1"/>
    </row>
    <row r="557" spans="1:12" ht="13.5" customHeight="1" x14ac:dyDescent="0.2">
      <c r="A557" s="445" t="s">
        <v>5105</v>
      </c>
      <c r="B557" s="394" t="s">
        <v>5137</v>
      </c>
      <c r="C557" s="385" t="s">
        <v>3821</v>
      </c>
      <c r="D557" s="386">
        <f t="shared" si="28"/>
        <v>0</v>
      </c>
      <c r="E557" s="386"/>
      <c r="F557" s="386"/>
      <c r="G557" s="387"/>
      <c r="H557" s="388"/>
      <c r="I557" s="389"/>
      <c r="J557" s="390"/>
      <c r="K557" s="73"/>
      <c r="L557" s="1"/>
    </row>
    <row r="558" spans="1:12" ht="13.5" customHeight="1" x14ac:dyDescent="0.2">
      <c r="A558" s="445" t="s">
        <v>5106</v>
      </c>
      <c r="B558" s="394" t="s">
        <v>5138</v>
      </c>
      <c r="C558" s="385" t="s">
        <v>3821</v>
      </c>
      <c r="D558" s="386">
        <f t="shared" si="28"/>
        <v>0</v>
      </c>
      <c r="E558" s="386"/>
      <c r="F558" s="386"/>
      <c r="G558" s="392"/>
      <c r="H558" s="388"/>
      <c r="I558" s="389"/>
      <c r="J558" s="390"/>
      <c r="K558" s="73"/>
      <c r="L558" s="1"/>
    </row>
    <row r="559" spans="1:12" ht="13.5" customHeight="1" x14ac:dyDescent="0.2">
      <c r="A559" s="445" t="s">
        <v>5107</v>
      </c>
      <c r="B559" s="394" t="s">
        <v>5139</v>
      </c>
      <c r="C559" s="385" t="s">
        <v>3821</v>
      </c>
      <c r="D559" s="386">
        <f t="shared" si="28"/>
        <v>0</v>
      </c>
      <c r="E559" s="386"/>
      <c r="F559" s="386"/>
      <c r="G559" s="392"/>
      <c r="H559" s="388"/>
      <c r="I559" s="389"/>
      <c r="J559" s="390"/>
      <c r="K559" s="73"/>
      <c r="L559" s="1"/>
    </row>
    <row r="560" spans="1:12" ht="13.5" customHeight="1" x14ac:dyDescent="0.2">
      <c r="A560" s="445" t="s">
        <v>5108</v>
      </c>
      <c r="B560" s="394" t="s">
        <v>5140</v>
      </c>
      <c r="C560" s="385" t="s">
        <v>3821</v>
      </c>
      <c r="D560" s="386">
        <f t="shared" ref="D560:D566" si="29">SUM(E560:F560)</f>
        <v>0</v>
      </c>
      <c r="E560" s="386"/>
      <c r="F560" s="386"/>
      <c r="G560" s="392"/>
      <c r="H560" s="388"/>
      <c r="I560" s="389"/>
      <c r="J560" s="390"/>
      <c r="K560" s="73"/>
      <c r="L560" s="1"/>
    </row>
    <row r="561" spans="1:13" ht="13.5" customHeight="1" x14ac:dyDescent="0.2">
      <c r="A561" s="445" t="s">
        <v>5109</v>
      </c>
      <c r="B561" s="394" t="s">
        <v>5141</v>
      </c>
      <c r="C561" s="385" t="s">
        <v>3821</v>
      </c>
      <c r="D561" s="386">
        <f t="shared" si="29"/>
        <v>0</v>
      </c>
      <c r="E561" s="386"/>
      <c r="F561" s="386"/>
      <c r="G561" s="392" t="s">
        <v>3312</v>
      </c>
      <c r="H561" s="388" t="s">
        <v>59</v>
      </c>
      <c r="I561" s="389"/>
      <c r="J561" s="390"/>
      <c r="K561" s="73"/>
      <c r="L561" s="1"/>
    </row>
    <row r="562" spans="1:13" ht="13.5" customHeight="1" x14ac:dyDescent="0.2">
      <c r="A562" s="445"/>
      <c r="B562" s="394"/>
      <c r="C562" s="385"/>
      <c r="D562" s="386"/>
      <c r="E562" s="386"/>
      <c r="F562" s="386"/>
      <c r="G562" s="392" t="s">
        <v>3562</v>
      </c>
      <c r="H562" s="388" t="s">
        <v>3822</v>
      </c>
      <c r="I562" s="389"/>
      <c r="J562" s="499"/>
      <c r="K562" s="73"/>
      <c r="L562" s="1"/>
    </row>
    <row r="563" spans="1:13" ht="13.5" customHeight="1" x14ac:dyDescent="0.2">
      <c r="A563" s="445" t="s">
        <v>5110</v>
      </c>
      <c r="B563" s="394" t="s">
        <v>5142</v>
      </c>
      <c r="C563" s="385" t="s">
        <v>3821</v>
      </c>
      <c r="D563" s="386">
        <f t="shared" si="29"/>
        <v>0</v>
      </c>
      <c r="E563" s="386"/>
      <c r="F563" s="386"/>
      <c r="G563" s="392"/>
      <c r="H563" s="388"/>
      <c r="I563" s="389"/>
      <c r="J563" s="390"/>
      <c r="K563" s="73"/>
      <c r="L563" s="1"/>
    </row>
    <row r="564" spans="1:13" ht="13.5" customHeight="1" x14ac:dyDescent="0.2">
      <c r="A564" s="445" t="s">
        <v>5111</v>
      </c>
      <c r="B564" s="391" t="s">
        <v>5143</v>
      </c>
      <c r="C564" s="385" t="s">
        <v>3821</v>
      </c>
      <c r="D564" s="386">
        <f t="shared" si="29"/>
        <v>0</v>
      </c>
      <c r="E564" s="386"/>
      <c r="F564" s="386"/>
      <c r="G564" s="392" t="s">
        <v>3312</v>
      </c>
      <c r="H564" s="388" t="s">
        <v>59</v>
      </c>
      <c r="I564" s="389"/>
      <c r="J564" s="390"/>
      <c r="K564" s="73"/>
      <c r="L564" s="1"/>
    </row>
    <row r="565" spans="1:13" ht="13.5" customHeight="1" x14ac:dyDescent="0.2">
      <c r="A565" s="445"/>
      <c r="B565" s="391"/>
      <c r="C565" s="385"/>
      <c r="D565" s="386"/>
      <c r="E565" s="386"/>
      <c r="F565" s="386"/>
      <c r="G565" s="392" t="s">
        <v>3562</v>
      </c>
      <c r="H565" s="388" t="s">
        <v>3822</v>
      </c>
      <c r="I565" s="389"/>
      <c r="J565" s="499"/>
      <c r="K565" s="73"/>
      <c r="L565" s="1"/>
    </row>
    <row r="566" spans="1:13" ht="13.5" customHeight="1" x14ac:dyDescent="0.2">
      <c r="A566" s="445" t="s">
        <v>5112</v>
      </c>
      <c r="B566" s="394" t="s">
        <v>5144</v>
      </c>
      <c r="C566" s="385" t="s">
        <v>3821</v>
      </c>
      <c r="D566" s="386">
        <f t="shared" si="29"/>
        <v>0</v>
      </c>
      <c r="E566" s="386"/>
      <c r="F566" s="386"/>
      <c r="G566" s="392"/>
      <c r="H566" s="388"/>
      <c r="I566" s="389"/>
      <c r="J566" s="390"/>
      <c r="K566" s="73"/>
      <c r="L566" s="1"/>
    </row>
    <row r="567" spans="1:13" ht="13.5" customHeight="1" x14ac:dyDescent="0.2">
      <c r="A567" s="445" t="s">
        <v>5113</v>
      </c>
      <c r="B567" s="394" t="s">
        <v>5145</v>
      </c>
      <c r="C567" s="385" t="s">
        <v>3821</v>
      </c>
      <c r="D567" s="386">
        <f t="shared" ref="D567:D568" si="30">SUM(E567:F567)</f>
        <v>0</v>
      </c>
      <c r="E567" s="386"/>
      <c r="F567" s="386"/>
      <c r="G567" s="392"/>
      <c r="H567" s="388"/>
      <c r="I567" s="389"/>
      <c r="J567" s="393"/>
      <c r="K567" s="73"/>
      <c r="L567" s="1"/>
    </row>
    <row r="568" spans="1:13" ht="13.5" customHeight="1" x14ac:dyDescent="0.2">
      <c r="A568" s="445" t="s">
        <v>5114</v>
      </c>
      <c r="B568" s="394" t="s">
        <v>5146</v>
      </c>
      <c r="C568" s="385" t="s">
        <v>3821</v>
      </c>
      <c r="D568" s="386">
        <f t="shared" si="30"/>
        <v>0</v>
      </c>
      <c r="E568" s="386"/>
      <c r="F568" s="386"/>
      <c r="G568" s="392"/>
      <c r="H568" s="388"/>
      <c r="I568" s="389"/>
      <c r="J568" s="390"/>
      <c r="K568" s="73"/>
      <c r="L568" s="1"/>
    </row>
    <row r="569" spans="1:13" ht="13.5" customHeight="1" x14ac:dyDescent="0.2">
      <c r="A569" s="445" t="s">
        <v>5115</v>
      </c>
      <c r="B569" s="394" t="s">
        <v>5147</v>
      </c>
      <c r="C569" s="385" t="s">
        <v>3821</v>
      </c>
      <c r="D569" s="386">
        <f t="shared" ref="D569:D572" si="31">SUM(E569:F569)</f>
        <v>0</v>
      </c>
      <c r="E569" s="386"/>
      <c r="F569" s="386"/>
      <c r="G569" s="387"/>
      <c r="H569" s="395"/>
      <c r="I569" s="396"/>
      <c r="J569" s="397"/>
      <c r="K569" s="73"/>
      <c r="L569" s="1"/>
    </row>
    <row r="570" spans="1:13" ht="13.5" customHeight="1" x14ac:dyDescent="0.2">
      <c r="A570" s="445" t="s">
        <v>5116</v>
      </c>
      <c r="B570" s="394" t="s">
        <v>5148</v>
      </c>
      <c r="C570" s="385" t="s">
        <v>3821</v>
      </c>
      <c r="D570" s="386">
        <f t="shared" si="31"/>
        <v>0</v>
      </c>
      <c r="E570" s="386"/>
      <c r="F570" s="386"/>
      <c r="G570" s="387"/>
      <c r="H570" s="395"/>
      <c r="I570" s="396"/>
      <c r="J570" s="397"/>
      <c r="K570" s="73"/>
      <c r="L570" s="1"/>
    </row>
    <row r="571" spans="1:13" ht="13.5" customHeight="1" x14ac:dyDescent="0.2">
      <c r="A571" s="445" t="s">
        <v>5117</v>
      </c>
      <c r="B571" s="384" t="s">
        <v>5149</v>
      </c>
      <c r="C571" s="385" t="s">
        <v>3821</v>
      </c>
      <c r="D571" s="386">
        <f t="shared" si="31"/>
        <v>0</v>
      </c>
      <c r="E571" s="386"/>
      <c r="F571" s="386"/>
      <c r="G571" s="387"/>
      <c r="H571" s="395"/>
      <c r="I571" s="396"/>
      <c r="J571" s="397"/>
      <c r="K571" s="73"/>
      <c r="L571" s="1"/>
    </row>
    <row r="572" spans="1:13" ht="13.5" customHeight="1" x14ac:dyDescent="0.2">
      <c r="A572" s="445" t="s">
        <v>5118</v>
      </c>
      <c r="B572" s="475" t="s">
        <v>5119</v>
      </c>
      <c r="C572" s="385" t="s">
        <v>3821</v>
      </c>
      <c r="D572" s="386">
        <f t="shared" si="31"/>
        <v>0</v>
      </c>
      <c r="E572" s="386"/>
      <c r="F572" s="386"/>
      <c r="G572" s="387"/>
      <c r="H572" s="395"/>
      <c r="I572" s="396"/>
      <c r="J572" s="397"/>
      <c r="M572" s="520"/>
    </row>
    <row r="573" spans="1:13" ht="13.5" customHeight="1" x14ac:dyDescent="0.2">
      <c r="A573" s="445"/>
      <c r="B573" s="482"/>
      <c r="C573" s="427"/>
      <c r="D573" s="426"/>
      <c r="E573" s="426"/>
      <c r="F573" s="426"/>
      <c r="G573" s="392"/>
      <c r="H573" s="388"/>
      <c r="I573" s="389"/>
      <c r="J573" s="390"/>
      <c r="K573" s="73"/>
      <c r="L573" s="520"/>
    </row>
    <row r="574" spans="1:13" ht="13.5" customHeight="1" thickBot="1" x14ac:dyDescent="0.25">
      <c r="A574" s="401"/>
      <c r="B574" s="402"/>
      <c r="C574" s="402" t="s">
        <v>3823</v>
      </c>
      <c r="D574" s="403">
        <f>SUM(D540:D573)</f>
        <v>0</v>
      </c>
      <c r="E574" s="403">
        <f>SUM(E540:E573)</f>
        <v>0</v>
      </c>
      <c r="F574" s="403">
        <f>SUM(F540:F573)</f>
        <v>0</v>
      </c>
      <c r="G574" s="403"/>
      <c r="H574" s="403"/>
      <c r="I574" s="403">
        <f>SUM(I540:I573)</f>
        <v>0</v>
      </c>
      <c r="J574" s="403">
        <f>SUM(J540:J573)</f>
        <v>0</v>
      </c>
      <c r="K574" s="73"/>
      <c r="L574" s="1"/>
    </row>
  </sheetData>
  <mergeCells count="161">
    <mergeCell ref="K551:L551"/>
    <mergeCell ref="A532:J532"/>
    <mergeCell ref="A533:J533"/>
    <mergeCell ref="A534:J534"/>
    <mergeCell ref="A536:A539"/>
    <mergeCell ref="B536:B539"/>
    <mergeCell ref="C536:C539"/>
    <mergeCell ref="E536:F536"/>
    <mergeCell ref="G536:J536"/>
    <mergeCell ref="D537:D538"/>
    <mergeCell ref="G537:G539"/>
    <mergeCell ref="H537:H539"/>
    <mergeCell ref="I537:I539"/>
    <mergeCell ref="J537:J539"/>
    <mergeCell ref="A484:J484"/>
    <mergeCell ref="A485:J485"/>
    <mergeCell ref="A486:J486"/>
    <mergeCell ref="A488:A491"/>
    <mergeCell ref="B488:B491"/>
    <mergeCell ref="C488:C491"/>
    <mergeCell ref="E488:F488"/>
    <mergeCell ref="G488:J488"/>
    <mergeCell ref="D489:D490"/>
    <mergeCell ref="G489:G491"/>
    <mergeCell ref="H489:H491"/>
    <mergeCell ref="I489:I491"/>
    <mergeCell ref="J489:J491"/>
    <mergeCell ref="A436:J436"/>
    <mergeCell ref="A437:J437"/>
    <mergeCell ref="A438:J438"/>
    <mergeCell ref="A440:A443"/>
    <mergeCell ref="B440:B443"/>
    <mergeCell ref="C440:C443"/>
    <mergeCell ref="E440:F440"/>
    <mergeCell ref="G440:J440"/>
    <mergeCell ref="D441:D442"/>
    <mergeCell ref="G441:G443"/>
    <mergeCell ref="H441:H443"/>
    <mergeCell ref="I441:I443"/>
    <mergeCell ref="J441:J443"/>
    <mergeCell ref="A339:J339"/>
    <mergeCell ref="A340:J340"/>
    <mergeCell ref="A341:J341"/>
    <mergeCell ref="A343:A346"/>
    <mergeCell ref="B343:B346"/>
    <mergeCell ref="C343:C346"/>
    <mergeCell ref="E343:F343"/>
    <mergeCell ref="G343:J343"/>
    <mergeCell ref="D344:D345"/>
    <mergeCell ref="G344:G346"/>
    <mergeCell ref="H344:H346"/>
    <mergeCell ref="I344:I346"/>
    <mergeCell ref="J344:J346"/>
    <mergeCell ref="A195:J195"/>
    <mergeCell ref="A196:J196"/>
    <mergeCell ref="A197:J197"/>
    <mergeCell ref="A199:A202"/>
    <mergeCell ref="B199:B202"/>
    <mergeCell ref="C199:C202"/>
    <mergeCell ref="E199:F199"/>
    <mergeCell ref="G199:J199"/>
    <mergeCell ref="D200:D201"/>
    <mergeCell ref="G200:G202"/>
    <mergeCell ref="H200:H202"/>
    <mergeCell ref="I200:I202"/>
    <mergeCell ref="J200:J202"/>
    <mergeCell ref="A102:J102"/>
    <mergeCell ref="A103:J103"/>
    <mergeCell ref="A104:J104"/>
    <mergeCell ref="A106:A109"/>
    <mergeCell ref="B106:B109"/>
    <mergeCell ref="C106:C109"/>
    <mergeCell ref="E106:F106"/>
    <mergeCell ref="G106:J106"/>
    <mergeCell ref="D107:D108"/>
    <mergeCell ref="G107:G109"/>
    <mergeCell ref="H107:H109"/>
    <mergeCell ref="I107:I109"/>
    <mergeCell ref="J107:J109"/>
    <mergeCell ref="A51:J51"/>
    <mergeCell ref="A52:J52"/>
    <mergeCell ref="A53:J53"/>
    <mergeCell ref="A55:A58"/>
    <mergeCell ref="B55:B58"/>
    <mergeCell ref="C55:C58"/>
    <mergeCell ref="E55:F55"/>
    <mergeCell ref="G55:J55"/>
    <mergeCell ref="D56:D57"/>
    <mergeCell ref="G56:G58"/>
    <mergeCell ref="H56:H58"/>
    <mergeCell ref="I56:I58"/>
    <mergeCell ref="J56:J58"/>
    <mergeCell ref="H8:H10"/>
    <mergeCell ref="I8:I10"/>
    <mergeCell ref="J8:J10"/>
    <mergeCell ref="A3:J3"/>
    <mergeCell ref="A4:J4"/>
    <mergeCell ref="A5:J5"/>
    <mergeCell ref="A7:A10"/>
    <mergeCell ref="B7:B10"/>
    <mergeCell ref="C7:C10"/>
    <mergeCell ref="E7:F7"/>
    <mergeCell ref="G7:J7"/>
    <mergeCell ref="D8:D9"/>
    <mergeCell ref="G8:G10"/>
    <mergeCell ref="A146:J146"/>
    <mergeCell ref="A147:J147"/>
    <mergeCell ref="A148:J148"/>
    <mergeCell ref="A150:A153"/>
    <mergeCell ref="B150:B153"/>
    <mergeCell ref="C150:C153"/>
    <mergeCell ref="E150:F150"/>
    <mergeCell ref="G150:J150"/>
    <mergeCell ref="D151:D152"/>
    <mergeCell ref="G151:G153"/>
    <mergeCell ref="H151:H153"/>
    <mergeCell ref="I151:I153"/>
    <mergeCell ref="J151:J153"/>
    <mergeCell ref="K276:L277"/>
    <mergeCell ref="L278:L279"/>
    <mergeCell ref="L281:L282"/>
    <mergeCell ref="A243:J243"/>
    <mergeCell ref="A244:J244"/>
    <mergeCell ref="A245:J245"/>
    <mergeCell ref="A247:A250"/>
    <mergeCell ref="B247:B250"/>
    <mergeCell ref="C247:C250"/>
    <mergeCell ref="E247:F247"/>
    <mergeCell ref="G247:J247"/>
    <mergeCell ref="D248:D249"/>
    <mergeCell ref="G248:G250"/>
    <mergeCell ref="H248:H250"/>
    <mergeCell ref="I248:I250"/>
    <mergeCell ref="J248:J250"/>
    <mergeCell ref="K300:L301"/>
    <mergeCell ref="A291:J291"/>
    <mergeCell ref="A292:J292"/>
    <mergeCell ref="A293:J293"/>
    <mergeCell ref="A295:A298"/>
    <mergeCell ref="B295:B298"/>
    <mergeCell ref="C295:C298"/>
    <mergeCell ref="E295:F295"/>
    <mergeCell ref="G295:J295"/>
    <mergeCell ref="D296:D297"/>
    <mergeCell ref="G296:G298"/>
    <mergeCell ref="H296:H298"/>
    <mergeCell ref="I296:I298"/>
    <mergeCell ref="J296:J298"/>
    <mergeCell ref="A387:J387"/>
    <mergeCell ref="A388:J388"/>
    <mergeCell ref="A389:J389"/>
    <mergeCell ref="A391:A394"/>
    <mergeCell ref="B391:B394"/>
    <mergeCell ref="C391:C394"/>
    <mergeCell ref="E391:F391"/>
    <mergeCell ref="G391:J391"/>
    <mergeCell ref="D392:D393"/>
    <mergeCell ref="G392:G394"/>
    <mergeCell ref="H392:H394"/>
    <mergeCell ref="I392:I394"/>
    <mergeCell ref="J392:J394"/>
  </mergeCells>
  <phoneticPr fontId="5" type="noConversion"/>
  <pageMargins left="0.70866141732283472" right="0.70866141732283472" top="0.23622047244094491" bottom="0.23622047244094491" header="0.31496062992125984" footer="0.31496062992125984"/>
  <pageSetup paperSize="9" scale="90" orientation="landscape"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537"/>
  <sheetViews>
    <sheetView showWhiteSpace="0" view="pageLayout" topLeftCell="A502" workbookViewId="0">
      <selection activeCell="A163" sqref="A163"/>
    </sheetView>
  </sheetViews>
  <sheetFormatPr defaultColWidth="9.140625" defaultRowHeight="12.75" customHeight="1" x14ac:dyDescent="0.2"/>
  <cols>
    <col min="1" max="1" width="10.42578125" style="1" customWidth="1"/>
    <col min="2" max="2" width="15.7109375" style="1" customWidth="1"/>
    <col min="3" max="3" width="21" style="1" customWidth="1"/>
    <col min="4" max="4" width="13.85546875" style="1" customWidth="1"/>
    <col min="5" max="5" width="9.85546875" style="1" customWidth="1"/>
    <col min="6" max="6" width="12" style="1" customWidth="1"/>
    <col min="7" max="7" width="11.85546875" style="73" customWidth="1"/>
    <col min="8" max="9" width="10" style="1" customWidth="1"/>
    <col min="10" max="10" width="11.5703125" style="1" customWidth="1"/>
    <col min="11" max="11" width="9.7109375" style="1" customWidth="1"/>
    <col min="12" max="12" width="10.42578125" style="1" bestFit="1" customWidth="1"/>
    <col min="13" max="16384" width="9.140625" style="1"/>
  </cols>
  <sheetData>
    <row r="1" spans="1:12" ht="12.75" customHeight="1" x14ac:dyDescent="0.25">
      <c r="A1" s="126" t="s">
        <v>92</v>
      </c>
      <c r="B1" s="126"/>
      <c r="C1" s="126"/>
      <c r="D1" s="126"/>
      <c r="E1" s="126"/>
      <c r="F1" s="126"/>
      <c r="G1" s="126"/>
      <c r="H1" s="126"/>
      <c r="I1" s="126"/>
      <c r="J1" s="126"/>
      <c r="K1" s="126"/>
      <c r="L1"/>
    </row>
    <row r="2" spans="1:12" ht="12.75" customHeight="1" x14ac:dyDescent="0.25">
      <c r="A2" s="126" t="s">
        <v>1</v>
      </c>
      <c r="B2" s="126"/>
      <c r="C2" s="126"/>
      <c r="D2" s="126"/>
      <c r="E2" s="126"/>
      <c r="F2" s="126"/>
      <c r="G2" s="126"/>
      <c r="H2" s="126"/>
      <c r="I2" s="126"/>
      <c r="J2" s="126"/>
      <c r="K2" s="126"/>
      <c r="L2"/>
    </row>
    <row r="3" spans="1:12" ht="12.75" customHeight="1" x14ac:dyDescent="0.25">
      <c r="A3" s="586" t="s">
        <v>3824</v>
      </c>
      <c r="B3" s="586"/>
      <c r="C3" s="586"/>
      <c r="D3" s="586"/>
      <c r="E3" s="586"/>
      <c r="F3" s="586"/>
      <c r="G3" s="586"/>
      <c r="H3" s="586"/>
      <c r="I3" s="586"/>
      <c r="J3" s="586"/>
      <c r="K3" s="586"/>
      <c r="L3"/>
    </row>
    <row r="4" spans="1:12" ht="12.75" customHeight="1" x14ac:dyDescent="0.25">
      <c r="A4" s="586" t="s">
        <v>3825</v>
      </c>
      <c r="B4" s="586"/>
      <c r="C4" s="586"/>
      <c r="D4" s="586"/>
      <c r="E4" s="586"/>
      <c r="F4" s="586"/>
      <c r="G4" s="586"/>
      <c r="H4" s="586"/>
      <c r="I4" s="586"/>
      <c r="J4" s="586"/>
      <c r="K4" s="586"/>
      <c r="L4"/>
    </row>
    <row r="5" spans="1:12" ht="12.75" customHeight="1" x14ac:dyDescent="0.25">
      <c r="A5" s="586" t="s">
        <v>5248</v>
      </c>
      <c r="B5" s="586"/>
      <c r="C5" s="586"/>
      <c r="D5" s="586"/>
      <c r="E5" s="586"/>
      <c r="F5" s="586"/>
      <c r="G5" s="586"/>
      <c r="H5" s="586"/>
      <c r="I5" s="586"/>
      <c r="J5" s="586"/>
      <c r="K5" s="586"/>
      <c r="L5"/>
    </row>
    <row r="6" spans="1:12" ht="12.75" customHeight="1" x14ac:dyDescent="0.25">
      <c r="A6" s="126"/>
      <c r="B6" s="126"/>
      <c r="C6" s="126"/>
      <c r="D6" s="126"/>
      <c r="E6" s="126"/>
      <c r="F6" s="126"/>
      <c r="G6" s="126"/>
      <c r="H6" s="126"/>
      <c r="I6" s="126"/>
      <c r="J6" s="126"/>
      <c r="K6" s="126"/>
      <c r="L6"/>
    </row>
    <row r="7" spans="1:12" ht="12.75" customHeight="1" x14ac:dyDescent="0.25">
      <c r="A7" s="627" t="s">
        <v>12</v>
      </c>
      <c r="B7" s="627" t="s">
        <v>91</v>
      </c>
      <c r="C7" s="627" t="s">
        <v>13</v>
      </c>
      <c r="D7" s="406" t="s">
        <v>90</v>
      </c>
      <c r="E7" s="628" t="s">
        <v>14</v>
      </c>
      <c r="F7" s="628"/>
      <c r="G7" s="628"/>
      <c r="H7" s="628"/>
      <c r="I7" s="628"/>
      <c r="J7" s="628"/>
      <c r="K7" s="629"/>
      <c r="L7"/>
    </row>
    <row r="8" spans="1:12" ht="12.75" customHeight="1" x14ac:dyDescent="0.25">
      <c r="A8" s="627"/>
      <c r="B8" s="627"/>
      <c r="C8" s="627"/>
      <c r="D8" s="630" t="s">
        <v>3814</v>
      </c>
      <c r="E8" s="632" t="s">
        <v>3826</v>
      </c>
      <c r="F8" s="632"/>
      <c r="G8" s="632"/>
      <c r="H8" s="632"/>
      <c r="I8" s="632"/>
      <c r="J8" s="632"/>
      <c r="K8" s="633"/>
      <c r="L8"/>
    </row>
    <row r="9" spans="1:12" ht="12.75" customHeight="1" x14ac:dyDescent="0.25">
      <c r="A9" s="627"/>
      <c r="B9" s="627"/>
      <c r="C9" s="627"/>
      <c r="D9" s="631"/>
      <c r="E9" s="407" t="s">
        <v>3827</v>
      </c>
      <c r="F9" s="408" t="s">
        <v>3828</v>
      </c>
      <c r="G9" s="409" t="s">
        <v>3829</v>
      </c>
      <c r="H9" s="407" t="s">
        <v>3830</v>
      </c>
      <c r="I9" s="407" t="s">
        <v>3831</v>
      </c>
      <c r="J9" s="634" t="s">
        <v>3832</v>
      </c>
      <c r="K9" s="635"/>
      <c r="L9"/>
    </row>
    <row r="10" spans="1:12" ht="12.75" customHeight="1" x14ac:dyDescent="0.25">
      <c r="A10" s="627"/>
      <c r="B10" s="627"/>
      <c r="C10" s="627"/>
      <c r="D10" s="406" t="s">
        <v>3312</v>
      </c>
      <c r="E10" s="405" t="s">
        <v>3306</v>
      </c>
      <c r="F10" s="405" t="s">
        <v>3833</v>
      </c>
      <c r="G10" s="410" t="s">
        <v>3777</v>
      </c>
      <c r="H10" s="405" t="s">
        <v>3834</v>
      </c>
      <c r="I10" s="405" t="s">
        <v>3311</v>
      </c>
      <c r="J10" s="411" t="s">
        <v>3823</v>
      </c>
      <c r="K10" s="406" t="s">
        <v>3835</v>
      </c>
      <c r="L10"/>
    </row>
    <row r="11" spans="1:12" ht="12.75" customHeight="1" x14ac:dyDescent="0.25">
      <c r="A11" s="412"/>
      <c r="B11" s="412"/>
      <c r="C11" s="412"/>
      <c r="D11" s="413"/>
      <c r="E11" s="414"/>
      <c r="F11" s="415"/>
      <c r="G11" s="416"/>
      <c r="H11" s="417"/>
      <c r="I11" s="417"/>
      <c r="J11" s="416"/>
      <c r="K11" s="418"/>
      <c r="L11"/>
    </row>
    <row r="12" spans="1:12" ht="12.75" customHeight="1" x14ac:dyDescent="0.25">
      <c r="A12" s="398">
        <v>46023</v>
      </c>
      <c r="B12" s="419" t="s">
        <v>5249</v>
      </c>
      <c r="C12" s="385" t="s">
        <v>3836</v>
      </c>
      <c r="D12" s="386">
        <f>SUM(E12:J12)</f>
        <v>0</v>
      </c>
      <c r="E12" s="414"/>
      <c r="F12" s="420"/>
      <c r="G12" s="416"/>
      <c r="H12" s="417"/>
      <c r="I12" s="417"/>
      <c r="J12" s="416"/>
      <c r="K12" s="417"/>
      <c r="L12"/>
    </row>
    <row r="13" spans="1:12" ht="12.75" customHeight="1" x14ac:dyDescent="0.2">
      <c r="A13" s="398">
        <v>46024</v>
      </c>
      <c r="B13" s="375" t="s">
        <v>5250</v>
      </c>
      <c r="C13" s="385" t="s">
        <v>3836</v>
      </c>
      <c r="D13" s="386">
        <f>SUM(E13:J13)</f>
        <v>0</v>
      </c>
      <c r="E13" s="455"/>
      <c r="F13" s="420"/>
      <c r="G13" s="416"/>
      <c r="H13" s="417"/>
      <c r="I13" s="417"/>
      <c r="J13" s="416"/>
      <c r="K13" s="417"/>
      <c r="L13" s="484"/>
    </row>
    <row r="14" spans="1:12" ht="12.75" customHeight="1" x14ac:dyDescent="0.25">
      <c r="A14" s="398">
        <v>46025</v>
      </c>
      <c r="B14" s="384" t="s">
        <v>5251</v>
      </c>
      <c r="C14" s="385" t="s">
        <v>3836</v>
      </c>
      <c r="D14" s="386">
        <f t="shared" ref="D14:D42" si="0">SUM(E14:J14)</f>
        <v>0</v>
      </c>
      <c r="E14" s="455"/>
      <c r="F14" s="422"/>
      <c r="G14" s="416"/>
      <c r="H14" s="385"/>
      <c r="I14" s="385"/>
      <c r="J14" s="389"/>
      <c r="K14" s="385"/>
      <c r="L14"/>
    </row>
    <row r="15" spans="1:12" ht="12.75" customHeight="1" x14ac:dyDescent="0.25">
      <c r="A15" s="398">
        <v>46026</v>
      </c>
      <c r="B15" s="384" t="s">
        <v>5252</v>
      </c>
      <c r="C15" s="385" t="s">
        <v>3836</v>
      </c>
      <c r="D15" s="386">
        <f t="shared" si="0"/>
        <v>0</v>
      </c>
      <c r="E15" s="455"/>
      <c r="F15" s="385"/>
      <c r="G15" s="416"/>
      <c r="H15" s="385"/>
      <c r="I15" s="385"/>
      <c r="J15" s="389"/>
      <c r="K15" s="385"/>
      <c r="L15"/>
    </row>
    <row r="16" spans="1:12" ht="12.75" customHeight="1" x14ac:dyDescent="0.25">
      <c r="A16" s="398">
        <v>46027</v>
      </c>
      <c r="B16" s="384" t="s">
        <v>5253</v>
      </c>
      <c r="C16" s="385" t="s">
        <v>3836</v>
      </c>
      <c r="D16" s="386">
        <f t="shared" si="0"/>
        <v>0</v>
      </c>
      <c r="E16" s="455"/>
      <c r="F16" s="385"/>
      <c r="G16" s="416"/>
      <c r="H16" s="385"/>
      <c r="I16" s="385"/>
      <c r="J16" s="389"/>
      <c r="K16" s="385"/>
      <c r="L16"/>
    </row>
    <row r="17" spans="1:12" ht="12.75" customHeight="1" x14ac:dyDescent="0.25">
      <c r="A17" s="398">
        <v>46028</v>
      </c>
      <c r="B17" s="384" t="s">
        <v>5254</v>
      </c>
      <c r="C17" s="385" t="s">
        <v>3836</v>
      </c>
      <c r="D17" s="386">
        <f t="shared" si="0"/>
        <v>0</v>
      </c>
      <c r="E17" s="455"/>
      <c r="F17" s="386"/>
      <c r="G17" s="416"/>
      <c r="H17" s="385"/>
      <c r="I17" s="385"/>
      <c r="J17" s="389"/>
      <c r="K17" s="385"/>
      <c r="L17"/>
    </row>
    <row r="18" spans="1:12" ht="12.75" customHeight="1" x14ac:dyDescent="0.25">
      <c r="A18" s="398">
        <v>46029</v>
      </c>
      <c r="B18" s="384" t="s">
        <v>5255</v>
      </c>
      <c r="C18" s="385" t="s">
        <v>3836</v>
      </c>
      <c r="D18" s="386">
        <f t="shared" si="0"/>
        <v>0</v>
      </c>
      <c r="E18" s="455"/>
      <c r="F18" s="385"/>
      <c r="G18" s="416"/>
      <c r="H18" s="385"/>
      <c r="I18" s="385"/>
      <c r="J18" s="389"/>
      <c r="K18" s="385"/>
      <c r="L18"/>
    </row>
    <row r="19" spans="1:12" ht="12.75" customHeight="1" x14ac:dyDescent="0.25">
      <c r="A19" s="398">
        <v>46030</v>
      </c>
      <c r="B19" s="423" t="s">
        <v>5256</v>
      </c>
      <c r="C19" s="385" t="s">
        <v>3836</v>
      </c>
      <c r="D19" s="386">
        <f t="shared" si="0"/>
        <v>0</v>
      </c>
      <c r="E19" s="455"/>
      <c r="F19" s="386"/>
      <c r="G19" s="416"/>
      <c r="H19" s="385"/>
      <c r="I19" s="385"/>
      <c r="J19" s="389"/>
      <c r="K19" s="385"/>
      <c r="L19"/>
    </row>
    <row r="20" spans="1:12" ht="12.75" customHeight="1" x14ac:dyDescent="0.25">
      <c r="A20" s="398">
        <v>46031</v>
      </c>
      <c r="B20" s="394" t="s">
        <v>5257</v>
      </c>
      <c r="C20" s="385" t="s">
        <v>3836</v>
      </c>
      <c r="D20" s="386">
        <f t="shared" si="0"/>
        <v>0</v>
      </c>
      <c r="E20" s="455"/>
      <c r="F20" s="385"/>
      <c r="G20" s="416"/>
      <c r="H20" s="386"/>
      <c r="I20" s="386"/>
      <c r="J20" s="389"/>
      <c r="K20" s="385"/>
      <c r="L20"/>
    </row>
    <row r="21" spans="1:12" ht="12.75" customHeight="1" x14ac:dyDescent="0.25">
      <c r="A21" s="398">
        <v>46032</v>
      </c>
      <c r="B21" s="394" t="s">
        <v>5258</v>
      </c>
      <c r="C21" s="385" t="s">
        <v>3836</v>
      </c>
      <c r="D21" s="386">
        <f t="shared" si="0"/>
        <v>0</v>
      </c>
      <c r="E21" s="455"/>
      <c r="F21" s="385"/>
      <c r="G21" s="416"/>
      <c r="H21" s="385"/>
      <c r="I21" s="385"/>
      <c r="J21" s="389"/>
      <c r="K21" s="385"/>
      <c r="L21"/>
    </row>
    <row r="22" spans="1:12" ht="12.75" customHeight="1" x14ac:dyDescent="0.25">
      <c r="A22" s="398">
        <v>46033</v>
      </c>
      <c r="B22" s="394" t="s">
        <v>5259</v>
      </c>
      <c r="C22" s="385" t="s">
        <v>3836</v>
      </c>
      <c r="D22" s="386">
        <f t="shared" si="0"/>
        <v>0</v>
      </c>
      <c r="E22" s="455"/>
      <c r="F22" s="385"/>
      <c r="G22" s="416"/>
      <c r="H22" s="385"/>
      <c r="I22" s="385"/>
      <c r="J22" s="389"/>
      <c r="K22" s="385"/>
      <c r="L22"/>
    </row>
    <row r="23" spans="1:12" ht="12.75" customHeight="1" x14ac:dyDescent="0.25">
      <c r="A23" s="398">
        <v>46034</v>
      </c>
      <c r="B23" s="394" t="s">
        <v>5260</v>
      </c>
      <c r="C23" s="385" t="s">
        <v>3836</v>
      </c>
      <c r="D23" s="386">
        <f t="shared" si="0"/>
        <v>0</v>
      </c>
      <c r="E23" s="455"/>
      <c r="F23" s="385"/>
      <c r="G23" s="416"/>
      <c r="H23" s="385"/>
      <c r="I23" s="385"/>
      <c r="J23" s="389"/>
      <c r="K23" s="385"/>
      <c r="L23"/>
    </row>
    <row r="24" spans="1:12" ht="12.75" customHeight="1" x14ac:dyDescent="0.25">
      <c r="A24" s="398">
        <v>46035</v>
      </c>
      <c r="B24" s="394" t="s">
        <v>5261</v>
      </c>
      <c r="C24" s="385" t="s">
        <v>3836</v>
      </c>
      <c r="D24" s="386">
        <f t="shared" si="0"/>
        <v>0</v>
      </c>
      <c r="E24" s="455"/>
      <c r="F24" s="385"/>
      <c r="G24" s="416"/>
      <c r="H24" s="385"/>
      <c r="I24" s="385"/>
      <c r="J24" s="389"/>
      <c r="K24" s="385"/>
      <c r="L24"/>
    </row>
    <row r="25" spans="1:12" ht="12.75" customHeight="1" x14ac:dyDescent="0.25">
      <c r="A25" s="398">
        <v>46036</v>
      </c>
      <c r="B25" s="391" t="s">
        <v>5262</v>
      </c>
      <c r="C25" s="385" t="s">
        <v>3836</v>
      </c>
      <c r="D25" s="386">
        <f t="shared" si="0"/>
        <v>0</v>
      </c>
      <c r="E25" s="455"/>
      <c r="F25" s="385"/>
      <c r="G25" s="416"/>
      <c r="H25" s="385"/>
      <c r="I25" s="385"/>
      <c r="J25" s="389"/>
      <c r="K25" s="385"/>
      <c r="L25"/>
    </row>
    <row r="26" spans="1:12" ht="12.75" customHeight="1" x14ac:dyDescent="0.25">
      <c r="A26" s="398">
        <v>46037</v>
      </c>
      <c r="B26" s="391" t="s">
        <v>5263</v>
      </c>
      <c r="C26" s="385" t="s">
        <v>3836</v>
      </c>
      <c r="D26" s="386">
        <f t="shared" si="0"/>
        <v>0</v>
      </c>
      <c r="E26" s="455"/>
      <c r="F26" s="385"/>
      <c r="G26" s="416"/>
      <c r="H26" s="385"/>
      <c r="I26" s="385"/>
      <c r="J26" s="389"/>
      <c r="K26" s="385"/>
      <c r="L26"/>
    </row>
    <row r="27" spans="1:12" ht="12.75" customHeight="1" x14ac:dyDescent="0.25">
      <c r="A27" s="398">
        <v>46038</v>
      </c>
      <c r="B27" s="394" t="s">
        <v>5264</v>
      </c>
      <c r="C27" s="385" t="s">
        <v>3836</v>
      </c>
      <c r="D27" s="386">
        <f t="shared" si="0"/>
        <v>0</v>
      </c>
      <c r="E27" s="455"/>
      <c r="F27" s="386"/>
      <c r="G27" s="416"/>
      <c r="H27" s="385"/>
      <c r="I27" s="385"/>
      <c r="J27" s="389"/>
      <c r="K27" s="385"/>
      <c r="L27"/>
    </row>
    <row r="28" spans="1:12" ht="12.75" customHeight="1" x14ac:dyDescent="0.25">
      <c r="A28" s="398">
        <v>46039</v>
      </c>
      <c r="B28" s="394" t="str">
        <f>[1]BKM!I567</f>
        <v>No. KM/17/I/2026</v>
      </c>
      <c r="C28" s="385" t="s">
        <v>3836</v>
      </c>
      <c r="D28" s="386">
        <f t="shared" si="0"/>
        <v>0</v>
      </c>
      <c r="E28" s="455"/>
      <c r="F28" s="426"/>
      <c r="G28" s="416"/>
      <c r="H28" s="427"/>
      <c r="I28" s="427"/>
      <c r="J28" s="396"/>
      <c r="K28" s="427"/>
      <c r="L28"/>
    </row>
    <row r="29" spans="1:12" ht="12.75" customHeight="1" x14ac:dyDescent="0.25">
      <c r="A29" s="398">
        <v>46040</v>
      </c>
      <c r="B29" s="394" t="str">
        <f>[1]BKM!I602</f>
        <v>No. KM/18/I/2026</v>
      </c>
      <c r="C29" s="385" t="s">
        <v>3836</v>
      </c>
      <c r="D29" s="386">
        <f t="shared" si="0"/>
        <v>0</v>
      </c>
      <c r="E29" s="455"/>
      <c r="F29" s="426"/>
      <c r="G29" s="416"/>
      <c r="H29" s="427"/>
      <c r="I29" s="427"/>
      <c r="J29" s="396"/>
      <c r="K29" s="427"/>
      <c r="L29"/>
    </row>
    <row r="30" spans="1:12" ht="12.75" customHeight="1" x14ac:dyDescent="0.25">
      <c r="A30" s="398">
        <v>46041</v>
      </c>
      <c r="B30" s="394" t="str">
        <f>[1]BKM!I637</f>
        <v>No. KM/19/I/2026</v>
      </c>
      <c r="C30" s="385" t="s">
        <v>3836</v>
      </c>
      <c r="D30" s="386">
        <f t="shared" si="0"/>
        <v>0</v>
      </c>
      <c r="E30" s="455"/>
      <c r="F30" s="426"/>
      <c r="G30" s="416"/>
      <c r="H30" s="427"/>
      <c r="I30" s="427"/>
      <c r="J30" s="396"/>
      <c r="K30" s="427"/>
      <c r="L30"/>
    </row>
    <row r="31" spans="1:12" ht="12.75" customHeight="1" x14ac:dyDescent="0.25">
      <c r="A31" s="398">
        <v>46042</v>
      </c>
      <c r="B31" s="394" t="str">
        <f>[1]BKM!I672</f>
        <v>No. KM/20/I/2026</v>
      </c>
      <c r="C31" s="385" t="s">
        <v>3836</v>
      </c>
      <c r="D31" s="386">
        <f t="shared" si="0"/>
        <v>0</v>
      </c>
      <c r="E31" s="455"/>
      <c r="F31" s="426"/>
      <c r="G31" s="416"/>
      <c r="H31" s="427"/>
      <c r="I31" s="427"/>
      <c r="J31" s="396"/>
      <c r="K31" s="385"/>
      <c r="L31"/>
    </row>
    <row r="32" spans="1:12" ht="12.75" customHeight="1" x14ac:dyDescent="0.25">
      <c r="A32" s="398">
        <v>46043</v>
      </c>
      <c r="B32" s="394" t="str">
        <f>[1]BKM!I707</f>
        <v>No. KM/21/I/2026</v>
      </c>
      <c r="C32" s="385" t="s">
        <v>3836</v>
      </c>
      <c r="D32" s="386">
        <f t="shared" si="0"/>
        <v>0</v>
      </c>
      <c r="E32" s="455"/>
      <c r="F32" s="426"/>
      <c r="G32" s="416"/>
      <c r="H32" s="427"/>
      <c r="I32" s="427"/>
      <c r="J32" s="396"/>
      <c r="K32" s="385"/>
      <c r="L32"/>
    </row>
    <row r="33" spans="1:14" ht="12.75" customHeight="1" x14ac:dyDescent="0.25">
      <c r="A33" s="398">
        <v>46044</v>
      </c>
      <c r="B33" s="394" t="str">
        <f>[1]BKM!I742</f>
        <v>No. KM/22/I/2026</v>
      </c>
      <c r="C33" s="385" t="s">
        <v>3836</v>
      </c>
      <c r="D33" s="386">
        <f t="shared" si="0"/>
        <v>0</v>
      </c>
      <c r="E33" s="455"/>
      <c r="F33" s="426"/>
      <c r="G33" s="416"/>
      <c r="H33" s="427"/>
      <c r="I33" s="427"/>
      <c r="J33" s="396"/>
      <c r="K33" s="427"/>
      <c r="L33"/>
    </row>
    <row r="34" spans="1:14" ht="12.75" customHeight="1" x14ac:dyDescent="0.25">
      <c r="A34" s="398">
        <v>46045</v>
      </c>
      <c r="B34" s="384" t="str">
        <f>[1]BKM!I777</f>
        <v>No. KM/23/I/2026</v>
      </c>
      <c r="C34" s="385" t="s">
        <v>3836</v>
      </c>
      <c r="D34" s="386">
        <f t="shared" si="0"/>
        <v>0</v>
      </c>
      <c r="E34" s="455"/>
      <c r="F34" s="426"/>
      <c r="G34" s="416"/>
      <c r="H34" s="427"/>
      <c r="I34" s="427"/>
      <c r="J34" s="396"/>
      <c r="K34" s="385"/>
      <c r="L34"/>
    </row>
    <row r="35" spans="1:14" ht="12.75" customHeight="1" x14ac:dyDescent="0.25">
      <c r="A35" s="398">
        <v>46046</v>
      </c>
      <c r="B35" s="384" t="str">
        <f>[1]BKM!I812</f>
        <v>No. KM/24/I/2026</v>
      </c>
      <c r="C35" s="385" t="s">
        <v>3836</v>
      </c>
      <c r="D35" s="386">
        <f t="shared" si="0"/>
        <v>0</v>
      </c>
      <c r="E35" s="455"/>
      <c r="F35" s="426"/>
      <c r="G35" s="416"/>
      <c r="H35" s="427"/>
      <c r="I35" s="427"/>
      <c r="J35" s="396"/>
      <c r="K35" s="427"/>
      <c r="L35"/>
    </row>
    <row r="36" spans="1:14" ht="12.75" customHeight="1" x14ac:dyDescent="0.25">
      <c r="A36" s="398">
        <v>46047</v>
      </c>
      <c r="B36" s="394" t="str">
        <f>[1]BKM!I847</f>
        <v>No. KM/25/I/2026</v>
      </c>
      <c r="C36" s="385" t="s">
        <v>3836</v>
      </c>
      <c r="D36" s="386">
        <f t="shared" si="0"/>
        <v>0</v>
      </c>
      <c r="E36" s="455"/>
      <c r="F36" s="426"/>
      <c r="G36" s="416"/>
      <c r="H36" s="427"/>
      <c r="I36" s="427"/>
      <c r="J36" s="396"/>
      <c r="K36" s="385"/>
      <c r="L36"/>
    </row>
    <row r="37" spans="1:14" ht="12.75" customHeight="1" x14ac:dyDescent="0.25">
      <c r="A37" s="398">
        <v>46048</v>
      </c>
      <c r="B37" s="394" t="str">
        <f>[1]BKM!I882</f>
        <v>No. KM/26/I/2026</v>
      </c>
      <c r="C37" s="385" t="s">
        <v>3836</v>
      </c>
      <c r="D37" s="386">
        <f t="shared" si="0"/>
        <v>0</v>
      </c>
      <c r="E37" s="455"/>
      <c r="F37" s="426"/>
      <c r="G37" s="416"/>
      <c r="H37" s="427"/>
      <c r="I37" s="427"/>
      <c r="J37" s="396"/>
      <c r="K37" s="427"/>
      <c r="L37"/>
    </row>
    <row r="38" spans="1:14" ht="12.75" customHeight="1" x14ac:dyDescent="0.25">
      <c r="A38" s="398">
        <v>46049</v>
      </c>
      <c r="B38" s="394" t="str">
        <f>[1]BKM!I917</f>
        <v>No. KM/27/I/2026</v>
      </c>
      <c r="C38" s="385" t="s">
        <v>3836</v>
      </c>
      <c r="D38" s="386">
        <f t="shared" si="0"/>
        <v>0</v>
      </c>
      <c r="E38" s="455"/>
      <c r="F38" s="426"/>
      <c r="G38" s="416"/>
      <c r="H38" s="427"/>
      <c r="I38" s="427"/>
      <c r="J38" s="396"/>
      <c r="K38" s="427"/>
      <c r="L38"/>
    </row>
    <row r="39" spans="1:14" ht="12.75" customHeight="1" x14ac:dyDescent="0.25">
      <c r="A39" s="398">
        <v>46050</v>
      </c>
      <c r="B39" s="394" t="str">
        <f>[1]BKM!I952</f>
        <v>No. KM/28/I/2026</v>
      </c>
      <c r="C39" s="385" t="s">
        <v>3836</v>
      </c>
      <c r="D39" s="386">
        <f t="shared" si="0"/>
        <v>0</v>
      </c>
      <c r="E39" s="425"/>
      <c r="F39" s="426"/>
      <c r="G39" s="416"/>
      <c r="H39" s="427"/>
      <c r="I39" s="427"/>
      <c r="J39" s="396"/>
      <c r="K39" s="427"/>
      <c r="L39"/>
    </row>
    <row r="40" spans="1:14" ht="12.75" customHeight="1" x14ac:dyDescent="0.25">
      <c r="A40" s="398">
        <v>46051</v>
      </c>
      <c r="B40" s="394" t="str">
        <f>[1]BKM!I987</f>
        <v>No. KM/29/I/2026</v>
      </c>
      <c r="C40" s="385" t="s">
        <v>3836</v>
      </c>
      <c r="D40" s="386">
        <f t="shared" si="0"/>
        <v>0</v>
      </c>
      <c r="E40" s="425"/>
      <c r="F40" s="426"/>
      <c r="G40" s="416"/>
      <c r="H40" s="427"/>
      <c r="I40" s="427"/>
      <c r="J40" s="396"/>
      <c r="K40" s="427"/>
      <c r="L40"/>
    </row>
    <row r="41" spans="1:14" ht="12.75" customHeight="1" x14ac:dyDescent="0.25">
      <c r="A41" s="398">
        <v>46052</v>
      </c>
      <c r="B41" s="394" t="str">
        <f>[1]BKM!I1022</f>
        <v>No. KM/30/I/2026</v>
      </c>
      <c r="C41" s="385" t="s">
        <v>3836</v>
      </c>
      <c r="D41" s="386">
        <f t="shared" si="0"/>
        <v>0</v>
      </c>
      <c r="E41" s="425"/>
      <c r="F41" s="426"/>
      <c r="G41" s="416"/>
      <c r="H41" s="427"/>
      <c r="I41" s="427"/>
      <c r="J41" s="396"/>
      <c r="K41" s="427"/>
      <c r="L41"/>
    </row>
    <row r="42" spans="1:14" ht="12.75" customHeight="1" x14ac:dyDescent="0.25">
      <c r="A42" s="398">
        <v>46053</v>
      </c>
      <c r="B42" s="394" t="str">
        <f>[1]BKM!I1057</f>
        <v>No. KM/31/I/2026</v>
      </c>
      <c r="C42" s="385" t="s">
        <v>3836</v>
      </c>
      <c r="D42" s="386">
        <f t="shared" si="0"/>
        <v>0</v>
      </c>
      <c r="E42" s="425"/>
      <c r="F42" s="426"/>
      <c r="G42" s="416"/>
      <c r="H42" s="427"/>
      <c r="I42" s="427"/>
      <c r="J42" s="396"/>
      <c r="K42" s="427"/>
      <c r="L42"/>
      <c r="N42" s="462"/>
    </row>
    <row r="43" spans="1:14" ht="12.75" customHeight="1" thickBot="1" x14ac:dyDescent="0.3">
      <c r="A43" s="401"/>
      <c r="B43" s="402"/>
      <c r="C43" s="402" t="s">
        <v>3823</v>
      </c>
      <c r="D43" s="403">
        <f>SUM(D12:D42)</f>
        <v>0</v>
      </c>
      <c r="E43" s="403">
        <f>SUM(E12:E42)</f>
        <v>0</v>
      </c>
      <c r="F43" s="403">
        <f t="shared" ref="F43:J43" si="1">SUM(F12:F42)</f>
        <v>0</v>
      </c>
      <c r="G43" s="403">
        <f t="shared" si="1"/>
        <v>0</v>
      </c>
      <c r="H43" s="403">
        <f t="shared" si="1"/>
        <v>0</v>
      </c>
      <c r="I43" s="403">
        <f t="shared" si="1"/>
        <v>0</v>
      </c>
      <c r="J43" s="403">
        <f t="shared" si="1"/>
        <v>0</v>
      </c>
      <c r="K43" s="403">
        <v>0</v>
      </c>
      <c r="L43"/>
    </row>
    <row r="46" spans="1:14" ht="12.75" customHeight="1" x14ac:dyDescent="0.25">
      <c r="A46" s="126" t="s">
        <v>92</v>
      </c>
      <c r="B46" s="126"/>
      <c r="C46" s="126"/>
      <c r="D46" s="126"/>
      <c r="E46" s="126"/>
      <c r="F46" s="126"/>
      <c r="G46" s="126"/>
      <c r="H46" s="126"/>
      <c r="I46" s="126"/>
      <c r="J46" s="126"/>
      <c r="K46" s="126"/>
      <c r="L46"/>
    </row>
    <row r="47" spans="1:14" ht="12.75" customHeight="1" x14ac:dyDescent="0.25">
      <c r="A47" s="126" t="s">
        <v>1</v>
      </c>
      <c r="B47" s="126"/>
      <c r="C47" s="126"/>
      <c r="D47" s="126"/>
      <c r="E47" s="126"/>
      <c r="F47" s="126"/>
      <c r="G47" s="126"/>
      <c r="H47" s="126"/>
      <c r="I47" s="126"/>
      <c r="J47" s="126"/>
      <c r="K47" s="126"/>
      <c r="L47"/>
    </row>
    <row r="48" spans="1:14" ht="12.75" customHeight="1" x14ac:dyDescent="0.25">
      <c r="A48" s="586" t="s">
        <v>3824</v>
      </c>
      <c r="B48" s="586"/>
      <c r="C48" s="586"/>
      <c r="D48" s="586"/>
      <c r="E48" s="586"/>
      <c r="F48" s="586"/>
      <c r="G48" s="586"/>
      <c r="H48" s="586"/>
      <c r="I48" s="586"/>
      <c r="J48" s="586"/>
      <c r="K48" s="586"/>
      <c r="L48"/>
    </row>
    <row r="49" spans="1:12" ht="12.75" customHeight="1" x14ac:dyDescent="0.25">
      <c r="A49" s="586" t="s">
        <v>3825</v>
      </c>
      <c r="B49" s="586"/>
      <c r="C49" s="586"/>
      <c r="D49" s="586"/>
      <c r="E49" s="586"/>
      <c r="F49" s="586"/>
      <c r="G49" s="586"/>
      <c r="H49" s="586"/>
      <c r="I49" s="586"/>
      <c r="J49" s="586"/>
      <c r="K49" s="586"/>
      <c r="L49"/>
    </row>
    <row r="50" spans="1:12" ht="12.75" customHeight="1" x14ac:dyDescent="0.25">
      <c r="A50" s="586" t="s">
        <v>5383</v>
      </c>
      <c r="B50" s="586"/>
      <c r="C50" s="586"/>
      <c r="D50" s="586"/>
      <c r="E50" s="586"/>
      <c r="F50" s="586"/>
      <c r="G50" s="586"/>
      <c r="H50" s="586"/>
      <c r="I50" s="586"/>
      <c r="J50" s="586"/>
      <c r="K50" s="586"/>
      <c r="L50"/>
    </row>
    <row r="51" spans="1:12" ht="12.75" customHeight="1" x14ac:dyDescent="0.25">
      <c r="A51" s="126"/>
      <c r="B51" s="126"/>
      <c r="C51" s="126"/>
      <c r="D51" s="126"/>
      <c r="E51" s="126"/>
      <c r="F51" s="126"/>
      <c r="G51" s="126"/>
      <c r="H51" s="126"/>
      <c r="I51" s="126"/>
      <c r="J51" s="126"/>
      <c r="K51" s="126"/>
      <c r="L51"/>
    </row>
    <row r="52" spans="1:12" ht="12.75" customHeight="1" x14ac:dyDescent="0.25">
      <c r="A52" s="627" t="s">
        <v>12</v>
      </c>
      <c r="B52" s="627" t="s">
        <v>91</v>
      </c>
      <c r="C52" s="627" t="s">
        <v>13</v>
      </c>
      <c r="D52" s="406" t="s">
        <v>90</v>
      </c>
      <c r="E52" s="628" t="s">
        <v>14</v>
      </c>
      <c r="F52" s="628"/>
      <c r="G52" s="628"/>
      <c r="H52" s="628"/>
      <c r="I52" s="628"/>
      <c r="J52" s="628"/>
      <c r="K52" s="629"/>
      <c r="L52"/>
    </row>
    <row r="53" spans="1:12" ht="12.75" customHeight="1" x14ac:dyDescent="0.25">
      <c r="A53" s="627"/>
      <c r="B53" s="627"/>
      <c r="C53" s="627"/>
      <c r="D53" s="630" t="s">
        <v>3814</v>
      </c>
      <c r="E53" s="632" t="s">
        <v>3826</v>
      </c>
      <c r="F53" s="632"/>
      <c r="G53" s="632"/>
      <c r="H53" s="632"/>
      <c r="I53" s="632"/>
      <c r="J53" s="632"/>
      <c r="K53" s="633"/>
      <c r="L53"/>
    </row>
    <row r="54" spans="1:12" ht="12.75" customHeight="1" x14ac:dyDescent="0.25">
      <c r="A54" s="627"/>
      <c r="B54" s="627"/>
      <c r="C54" s="627"/>
      <c r="D54" s="631"/>
      <c r="E54" s="407" t="s">
        <v>3827</v>
      </c>
      <c r="F54" s="408" t="s">
        <v>3828</v>
      </c>
      <c r="G54" s="409" t="s">
        <v>3829</v>
      </c>
      <c r="H54" s="407" t="s">
        <v>3830</v>
      </c>
      <c r="I54" s="407" t="s">
        <v>3831</v>
      </c>
      <c r="J54" s="634" t="s">
        <v>3832</v>
      </c>
      <c r="K54" s="635"/>
      <c r="L54"/>
    </row>
    <row r="55" spans="1:12" ht="12.75" customHeight="1" x14ac:dyDescent="0.25">
      <c r="A55" s="627"/>
      <c r="B55" s="627"/>
      <c r="C55" s="627"/>
      <c r="D55" s="406" t="s">
        <v>3312</v>
      </c>
      <c r="E55" s="405" t="s">
        <v>3306</v>
      </c>
      <c r="F55" s="405" t="s">
        <v>3833</v>
      </c>
      <c r="G55" s="410" t="s">
        <v>3777</v>
      </c>
      <c r="H55" s="405" t="s">
        <v>3834</v>
      </c>
      <c r="I55" s="405" t="s">
        <v>3311</v>
      </c>
      <c r="J55" s="411" t="s">
        <v>3823</v>
      </c>
      <c r="K55" s="406" t="s">
        <v>3835</v>
      </c>
      <c r="L55"/>
    </row>
    <row r="56" spans="1:12" ht="12.75" customHeight="1" x14ac:dyDescent="0.25">
      <c r="A56" s="412"/>
      <c r="B56" s="412"/>
      <c r="C56" s="412"/>
      <c r="D56" s="413"/>
      <c r="E56" s="414"/>
      <c r="F56" s="415"/>
      <c r="G56" s="416"/>
      <c r="H56" s="417"/>
      <c r="I56" s="417"/>
      <c r="J56" s="416"/>
      <c r="K56" s="418"/>
      <c r="L56"/>
    </row>
    <row r="57" spans="1:12" ht="12.75" customHeight="1" x14ac:dyDescent="0.25">
      <c r="A57" s="453" t="s">
        <v>5265</v>
      </c>
      <c r="B57" s="419" t="s">
        <v>5293</v>
      </c>
      <c r="C57" s="385" t="s">
        <v>3836</v>
      </c>
      <c r="D57" s="386">
        <v>70000</v>
      </c>
      <c r="E57" s="414"/>
      <c r="F57" s="420"/>
      <c r="G57" s="416"/>
      <c r="H57" s="417"/>
      <c r="I57" s="417"/>
      <c r="J57" s="416"/>
      <c r="K57" s="417"/>
      <c r="L57" s="454"/>
    </row>
    <row r="58" spans="1:12" ht="12.75" customHeight="1" x14ac:dyDescent="0.25">
      <c r="A58" s="453" t="s">
        <v>5266</v>
      </c>
      <c r="B58" s="375" t="s">
        <v>5294</v>
      </c>
      <c r="C58" s="385" t="s">
        <v>3836</v>
      </c>
      <c r="D58" s="386">
        <v>4370000</v>
      </c>
      <c r="E58" s="414"/>
      <c r="F58" s="420"/>
      <c r="G58" s="416"/>
      <c r="H58" s="417"/>
      <c r="I58" s="417"/>
      <c r="J58" s="416"/>
      <c r="K58" s="417"/>
      <c r="L58" s="454"/>
    </row>
    <row r="59" spans="1:12" ht="12.75" customHeight="1" x14ac:dyDescent="0.25">
      <c r="A59" s="453" t="s">
        <v>5267</v>
      </c>
      <c r="B59" s="384" t="s">
        <v>5295</v>
      </c>
      <c r="C59" s="385" t="s">
        <v>3836</v>
      </c>
      <c r="D59" s="386">
        <v>650000</v>
      </c>
      <c r="E59" s="414"/>
      <c r="F59" s="422"/>
      <c r="G59" s="416"/>
      <c r="H59" s="385"/>
      <c r="I59" s="385"/>
      <c r="J59" s="389"/>
      <c r="K59" s="385"/>
      <c r="L59" s="454"/>
    </row>
    <row r="60" spans="1:12" ht="12.75" customHeight="1" x14ac:dyDescent="0.25">
      <c r="A60" s="453" t="s">
        <v>5268</v>
      </c>
      <c r="B60" s="384" t="s">
        <v>5296</v>
      </c>
      <c r="C60" s="385" t="s">
        <v>3836</v>
      </c>
      <c r="D60" s="386">
        <v>3080000</v>
      </c>
      <c r="E60" s="414"/>
      <c r="F60" s="385"/>
      <c r="G60" s="416"/>
      <c r="H60" s="385"/>
      <c r="I60" s="385"/>
      <c r="J60" s="389"/>
      <c r="K60" s="385"/>
      <c r="L60" s="454"/>
    </row>
    <row r="61" spans="1:12" ht="12.75" customHeight="1" x14ac:dyDescent="0.25">
      <c r="A61" s="453" t="s">
        <v>5269</v>
      </c>
      <c r="B61" s="384" t="s">
        <v>5297</v>
      </c>
      <c r="C61" s="385" t="s">
        <v>3836</v>
      </c>
      <c r="D61" s="386">
        <v>375000</v>
      </c>
      <c r="E61" s="414"/>
      <c r="F61" s="385"/>
      <c r="G61" s="416"/>
      <c r="H61" s="385"/>
      <c r="I61" s="385"/>
      <c r="J61" s="389"/>
      <c r="K61" s="385"/>
      <c r="L61" s="454"/>
    </row>
    <row r="62" spans="1:12" ht="12.75" customHeight="1" x14ac:dyDescent="0.25">
      <c r="A62" s="453" t="s">
        <v>5270</v>
      </c>
      <c r="B62" s="384" t="s">
        <v>5298</v>
      </c>
      <c r="C62" s="385" t="s">
        <v>3836</v>
      </c>
      <c r="D62" s="386">
        <v>4355000</v>
      </c>
      <c r="E62" s="414"/>
      <c r="F62" s="386"/>
      <c r="G62" s="416"/>
      <c r="H62" s="385"/>
      <c r="I62" s="385"/>
      <c r="J62" s="456"/>
      <c r="K62" s="385"/>
      <c r="L62" s="454"/>
    </row>
    <row r="63" spans="1:12" ht="12.75" customHeight="1" x14ac:dyDescent="0.25">
      <c r="A63" s="453" t="s">
        <v>5271</v>
      </c>
      <c r="B63" s="384" t="s">
        <v>5299</v>
      </c>
      <c r="C63" s="385" t="s">
        <v>3836</v>
      </c>
      <c r="D63" s="386">
        <v>110000</v>
      </c>
      <c r="E63" s="414"/>
      <c r="F63" s="385"/>
      <c r="G63" s="416"/>
      <c r="H63" s="385"/>
      <c r="I63" s="385"/>
      <c r="J63" s="456"/>
      <c r="K63" s="385"/>
      <c r="L63" s="454"/>
    </row>
    <row r="64" spans="1:12" ht="12.75" customHeight="1" x14ac:dyDescent="0.25">
      <c r="A64" s="453" t="s">
        <v>5272</v>
      </c>
      <c r="B64" s="423" t="s">
        <v>5300</v>
      </c>
      <c r="C64" s="385" t="s">
        <v>3836</v>
      </c>
      <c r="D64" s="386">
        <v>75000</v>
      </c>
      <c r="E64" s="414"/>
      <c r="F64" s="386"/>
      <c r="G64" s="416"/>
      <c r="H64" s="385"/>
      <c r="I64" s="385"/>
      <c r="J64" s="456"/>
      <c r="K64" s="385"/>
      <c r="L64" s="454"/>
    </row>
    <row r="65" spans="1:12" ht="12.75" customHeight="1" x14ac:dyDescent="0.25">
      <c r="A65" s="453" t="s">
        <v>5273</v>
      </c>
      <c r="B65" s="394" t="s">
        <v>5301</v>
      </c>
      <c r="C65" s="385" t="s">
        <v>3836</v>
      </c>
      <c r="D65" s="386">
        <v>6700000</v>
      </c>
      <c r="E65" s="414"/>
      <c r="F65" s="385"/>
      <c r="G65" s="416"/>
      <c r="H65" s="386"/>
      <c r="I65" s="386"/>
      <c r="J65" s="456"/>
      <c r="K65" s="385"/>
      <c r="L65" s="454"/>
    </row>
    <row r="66" spans="1:12" ht="12.75" customHeight="1" x14ac:dyDescent="0.25">
      <c r="A66" s="453" t="s">
        <v>5274</v>
      </c>
      <c r="B66" s="394" t="s">
        <v>5302</v>
      </c>
      <c r="C66" s="385" t="s">
        <v>3836</v>
      </c>
      <c r="D66" s="386">
        <v>515000</v>
      </c>
      <c r="E66" s="414"/>
      <c r="F66" s="385"/>
      <c r="G66" s="416"/>
      <c r="H66" s="385"/>
      <c r="I66" s="385"/>
      <c r="J66" s="456"/>
      <c r="K66" s="385"/>
      <c r="L66" s="454"/>
    </row>
    <row r="67" spans="1:12" ht="12.75" customHeight="1" x14ac:dyDescent="0.25">
      <c r="A67" s="453" t="s">
        <v>5275</v>
      </c>
      <c r="B67" s="394" t="s">
        <v>5303</v>
      </c>
      <c r="C67" s="385" t="s">
        <v>3836</v>
      </c>
      <c r="D67" s="386">
        <v>445000</v>
      </c>
      <c r="E67" s="414"/>
      <c r="F67" s="385"/>
      <c r="G67" s="416"/>
      <c r="H67" s="385"/>
      <c r="I67" s="385"/>
      <c r="J67" s="456"/>
      <c r="K67" s="385"/>
      <c r="L67" s="454"/>
    </row>
    <row r="68" spans="1:12" ht="12.75" customHeight="1" x14ac:dyDescent="0.25">
      <c r="A68" s="453" t="s">
        <v>5276</v>
      </c>
      <c r="B68" s="394" t="s">
        <v>5304</v>
      </c>
      <c r="C68" s="385" t="s">
        <v>3836</v>
      </c>
      <c r="D68" s="386">
        <v>620000</v>
      </c>
      <c r="E68" s="414"/>
      <c r="F68" s="385"/>
      <c r="G68" s="416"/>
      <c r="H68" s="385"/>
      <c r="I68" s="385"/>
      <c r="J68" s="456"/>
      <c r="K68" s="385"/>
      <c r="L68" s="454"/>
    </row>
    <row r="69" spans="1:12" ht="12.75" customHeight="1" x14ac:dyDescent="0.25">
      <c r="A69" s="453" t="s">
        <v>5277</v>
      </c>
      <c r="B69" s="394" t="s">
        <v>5305</v>
      </c>
      <c r="C69" s="385" t="s">
        <v>3836</v>
      </c>
      <c r="D69" s="386">
        <v>270000</v>
      </c>
      <c r="E69" s="414"/>
      <c r="F69" s="385"/>
      <c r="G69" s="416"/>
      <c r="H69" s="385"/>
      <c r="I69" s="385"/>
      <c r="J69" s="456"/>
      <c r="K69" s="385"/>
      <c r="L69" s="454"/>
    </row>
    <row r="70" spans="1:12" ht="12.75" customHeight="1" x14ac:dyDescent="0.25">
      <c r="A70" s="453" t="s">
        <v>5278</v>
      </c>
      <c r="B70" s="391" t="s">
        <v>5306</v>
      </c>
      <c r="C70" s="385" t="s">
        <v>3836</v>
      </c>
      <c r="D70" s="386">
        <v>215000</v>
      </c>
      <c r="E70" s="414"/>
      <c r="F70" s="385"/>
      <c r="G70" s="416"/>
      <c r="H70" s="385"/>
      <c r="I70" s="385"/>
      <c r="J70" s="456"/>
      <c r="K70" s="385"/>
      <c r="L70" s="454"/>
    </row>
    <row r="71" spans="1:12" ht="12.75" customHeight="1" x14ac:dyDescent="0.25">
      <c r="A71" s="453" t="s">
        <v>5279</v>
      </c>
      <c r="B71" s="391" t="s">
        <v>5307</v>
      </c>
      <c r="C71" s="385" t="s">
        <v>3836</v>
      </c>
      <c r="D71" s="386">
        <v>30000</v>
      </c>
      <c r="E71" s="414"/>
      <c r="F71" s="385"/>
      <c r="G71" s="416"/>
      <c r="H71" s="385"/>
      <c r="I71" s="385"/>
      <c r="J71" s="456"/>
      <c r="K71" s="385"/>
      <c r="L71" s="454"/>
    </row>
    <row r="72" spans="1:12" ht="12.75" customHeight="1" x14ac:dyDescent="0.25">
      <c r="A72" s="453" t="s">
        <v>5280</v>
      </c>
      <c r="B72" s="394" t="s">
        <v>5308</v>
      </c>
      <c r="C72" s="385" t="s">
        <v>3836</v>
      </c>
      <c r="D72" s="386">
        <v>110000</v>
      </c>
      <c r="E72" s="414"/>
      <c r="F72" s="386"/>
      <c r="G72" s="416"/>
      <c r="H72" s="385"/>
      <c r="I72" s="385"/>
      <c r="J72" s="456"/>
      <c r="K72" s="385"/>
      <c r="L72" s="454"/>
    </row>
    <row r="73" spans="1:12" ht="12.75" customHeight="1" x14ac:dyDescent="0.25">
      <c r="A73" s="453" t="s">
        <v>5281</v>
      </c>
      <c r="B73" s="394" t="s">
        <v>5309</v>
      </c>
      <c r="C73" s="385" t="s">
        <v>3836</v>
      </c>
      <c r="D73" s="386">
        <v>10000</v>
      </c>
      <c r="E73" s="414"/>
      <c r="F73" s="426"/>
      <c r="G73" s="416"/>
      <c r="H73" s="427"/>
      <c r="I73" s="427"/>
      <c r="J73" s="458"/>
      <c r="K73" s="427"/>
      <c r="L73" s="454"/>
    </row>
    <row r="74" spans="1:12" ht="12.75" customHeight="1" x14ac:dyDescent="0.25">
      <c r="A74" s="453" t="s">
        <v>5282</v>
      </c>
      <c r="B74" s="394" t="s">
        <v>5310</v>
      </c>
      <c r="C74" s="385" t="s">
        <v>3836</v>
      </c>
      <c r="D74" s="386">
        <v>2390000</v>
      </c>
      <c r="E74" s="414"/>
      <c r="F74" s="426"/>
      <c r="G74" s="416"/>
      <c r="H74" s="427"/>
      <c r="I74" s="427"/>
      <c r="J74" s="458"/>
      <c r="K74" s="427"/>
      <c r="L74" s="454"/>
    </row>
    <row r="75" spans="1:12" ht="12.75" customHeight="1" x14ac:dyDescent="0.25">
      <c r="A75" s="453" t="s">
        <v>5283</v>
      </c>
      <c r="B75" s="394" t="s">
        <v>5311</v>
      </c>
      <c r="C75" s="385" t="s">
        <v>3836</v>
      </c>
      <c r="D75" s="386">
        <v>310000</v>
      </c>
      <c r="E75" s="414"/>
      <c r="F75" s="426"/>
      <c r="G75" s="416"/>
      <c r="H75" s="427"/>
      <c r="I75" s="427"/>
      <c r="J75" s="458"/>
      <c r="K75" s="427"/>
      <c r="L75" s="454"/>
    </row>
    <row r="76" spans="1:12" ht="12.75" customHeight="1" x14ac:dyDescent="0.25">
      <c r="A76" s="453" t="s">
        <v>5284</v>
      </c>
      <c r="B76" s="394" t="s">
        <v>5312</v>
      </c>
      <c r="C76" s="385" t="s">
        <v>3836</v>
      </c>
      <c r="D76" s="386">
        <v>820000</v>
      </c>
      <c r="E76" s="414"/>
      <c r="F76" s="426"/>
      <c r="G76" s="416"/>
      <c r="H76" s="427"/>
      <c r="I76" s="427"/>
      <c r="J76" s="458"/>
      <c r="K76" s="385"/>
      <c r="L76" s="454"/>
    </row>
    <row r="77" spans="1:12" ht="12.75" customHeight="1" x14ac:dyDescent="0.25">
      <c r="A77" s="453" t="s">
        <v>5285</v>
      </c>
      <c r="B77" s="394" t="s">
        <v>5313</v>
      </c>
      <c r="C77" s="385" t="s">
        <v>3836</v>
      </c>
      <c r="D77" s="386">
        <v>520000</v>
      </c>
      <c r="E77" s="414"/>
      <c r="F77" s="426"/>
      <c r="G77" s="416"/>
      <c r="H77" s="427"/>
      <c r="I77" s="427"/>
      <c r="J77" s="458"/>
      <c r="K77" s="385"/>
      <c r="L77" s="454"/>
    </row>
    <row r="78" spans="1:12" ht="12.75" customHeight="1" x14ac:dyDescent="0.25">
      <c r="A78" s="453" t="s">
        <v>5286</v>
      </c>
      <c r="B78" s="394" t="s">
        <v>5314</v>
      </c>
      <c r="C78" s="385" t="s">
        <v>3836</v>
      </c>
      <c r="D78" s="386">
        <v>195000</v>
      </c>
      <c r="E78" s="414"/>
      <c r="F78" s="426"/>
      <c r="G78" s="416"/>
      <c r="H78" s="427"/>
      <c r="I78" s="427"/>
      <c r="J78" s="458"/>
      <c r="K78" s="427"/>
      <c r="L78" s="454"/>
    </row>
    <row r="79" spans="1:12" ht="12.75" customHeight="1" x14ac:dyDescent="0.25">
      <c r="A79" s="453" t="s">
        <v>5287</v>
      </c>
      <c r="B79" s="384" t="s">
        <v>5315</v>
      </c>
      <c r="C79" s="385" t="s">
        <v>3836</v>
      </c>
      <c r="D79" s="386">
        <v>2305000</v>
      </c>
      <c r="E79" s="414"/>
      <c r="F79" s="426"/>
      <c r="G79" s="416"/>
      <c r="H79" s="427"/>
      <c r="I79" s="427"/>
      <c r="J79" s="458"/>
      <c r="K79" s="385"/>
      <c r="L79" s="454"/>
    </row>
    <row r="80" spans="1:12" ht="12.75" customHeight="1" x14ac:dyDescent="0.25">
      <c r="A80" s="453" t="s">
        <v>5288</v>
      </c>
      <c r="B80" s="384" t="s">
        <v>5316</v>
      </c>
      <c r="C80" s="385" t="s">
        <v>3836</v>
      </c>
      <c r="D80" s="386">
        <v>1200000</v>
      </c>
      <c r="E80" s="414"/>
      <c r="F80" s="426"/>
      <c r="G80" s="416"/>
      <c r="H80" s="427"/>
      <c r="I80" s="427"/>
      <c r="J80" s="458"/>
      <c r="K80" s="427"/>
      <c r="L80" s="454"/>
    </row>
    <row r="81" spans="1:12" ht="12.75" customHeight="1" x14ac:dyDescent="0.25">
      <c r="A81" s="453" t="s">
        <v>5289</v>
      </c>
      <c r="B81" s="394" t="s">
        <v>5317</v>
      </c>
      <c r="C81" s="385" t="s">
        <v>3836</v>
      </c>
      <c r="D81" s="386">
        <v>895000</v>
      </c>
      <c r="E81" s="414"/>
      <c r="F81" s="426"/>
      <c r="G81" s="416"/>
      <c r="H81" s="427"/>
      <c r="I81" s="427"/>
      <c r="J81" s="458"/>
      <c r="K81" s="385"/>
      <c r="L81" s="454"/>
    </row>
    <row r="82" spans="1:12" ht="12.75" customHeight="1" x14ac:dyDescent="0.25">
      <c r="A82" s="453" t="s">
        <v>5290</v>
      </c>
      <c r="B82" s="394" t="s">
        <v>5318</v>
      </c>
      <c r="C82" s="385" t="s">
        <v>3836</v>
      </c>
      <c r="D82" s="386">
        <v>755000</v>
      </c>
      <c r="E82" s="414"/>
      <c r="F82" s="426"/>
      <c r="G82" s="416"/>
      <c r="H82" s="427"/>
      <c r="I82" s="427"/>
      <c r="J82" s="458"/>
      <c r="K82" s="427"/>
      <c r="L82" s="454"/>
    </row>
    <row r="83" spans="1:12" ht="12.75" customHeight="1" x14ac:dyDescent="0.25">
      <c r="A83" s="453" t="s">
        <v>5291</v>
      </c>
      <c r="B83" s="394" t="s">
        <v>5319</v>
      </c>
      <c r="C83" s="385" t="s">
        <v>3836</v>
      </c>
      <c r="D83" s="386">
        <v>4105000</v>
      </c>
      <c r="E83" s="414"/>
      <c r="F83" s="426"/>
      <c r="G83" s="416"/>
      <c r="H83" s="427"/>
      <c r="I83" s="427"/>
      <c r="J83" s="396"/>
      <c r="K83" s="427"/>
      <c r="L83" s="454"/>
    </row>
    <row r="84" spans="1:12" ht="12.75" customHeight="1" x14ac:dyDescent="0.25">
      <c r="A84" s="453" t="s">
        <v>5292</v>
      </c>
      <c r="B84" s="394" t="s">
        <v>5320</v>
      </c>
      <c r="C84" s="385" t="s">
        <v>3836</v>
      </c>
      <c r="D84" s="386">
        <v>325000</v>
      </c>
      <c r="E84" s="426"/>
      <c r="F84" s="426"/>
      <c r="G84" s="416"/>
      <c r="H84" s="427"/>
      <c r="I84" s="427"/>
      <c r="J84" s="396"/>
      <c r="K84" s="427"/>
      <c r="L84"/>
    </row>
    <row r="85" spans="1:12" ht="12.75" customHeight="1" x14ac:dyDescent="0.2">
      <c r="A85" s="453"/>
      <c r="B85" s="394"/>
      <c r="C85" s="385"/>
      <c r="D85" s="386"/>
      <c r="E85" s="426"/>
      <c r="F85" s="426"/>
      <c r="G85" s="396"/>
      <c r="H85" s="450"/>
      <c r="I85" s="388"/>
      <c r="J85" s="389"/>
      <c r="K85" s="451"/>
      <c r="L85" s="452"/>
    </row>
    <row r="86" spans="1:12" ht="12.75" customHeight="1" x14ac:dyDescent="0.2">
      <c r="A86" s="398"/>
      <c r="B86" s="394"/>
      <c r="C86" s="385"/>
      <c r="D86" s="386"/>
      <c r="E86" s="426"/>
      <c r="F86" s="426"/>
      <c r="G86" s="396"/>
      <c r="H86" s="450"/>
      <c r="I86" s="388"/>
      <c r="J86" s="389"/>
      <c r="K86" s="451"/>
      <c r="L86" s="452"/>
    </row>
    <row r="87" spans="1:12" ht="12.75" customHeight="1" x14ac:dyDescent="0.25">
      <c r="A87" s="398"/>
      <c r="B87" s="394"/>
      <c r="C87" s="385"/>
      <c r="D87" s="386"/>
      <c r="E87" s="426"/>
      <c r="F87" s="426"/>
      <c r="G87" s="396"/>
      <c r="H87" s="427"/>
      <c r="I87" s="427"/>
      <c r="J87" s="396"/>
      <c r="K87" s="427"/>
      <c r="L87"/>
    </row>
    <row r="88" spans="1:12" ht="12.75" customHeight="1" thickBot="1" x14ac:dyDescent="0.3">
      <c r="A88" s="401"/>
      <c r="B88" s="402"/>
      <c r="C88" s="402" t="s">
        <v>3823</v>
      </c>
      <c r="D88" s="403">
        <f>SUM(D57:D87)</f>
        <v>35820000</v>
      </c>
      <c r="E88" s="403">
        <f>SUM(E57:E87)</f>
        <v>0</v>
      </c>
      <c r="F88" s="403">
        <f t="shared" ref="F88:J88" si="2">SUM(F57:F87)</f>
        <v>0</v>
      </c>
      <c r="G88" s="403">
        <f t="shared" si="2"/>
        <v>0</v>
      </c>
      <c r="H88" s="403">
        <f t="shared" si="2"/>
        <v>0</v>
      </c>
      <c r="I88" s="403">
        <f t="shared" si="2"/>
        <v>0</v>
      </c>
      <c r="J88" s="403">
        <f t="shared" si="2"/>
        <v>0</v>
      </c>
      <c r="K88" s="403">
        <v>0</v>
      </c>
      <c r="L88"/>
    </row>
    <row r="89" spans="1:12" ht="12.75" customHeight="1" x14ac:dyDescent="0.25">
      <c r="A89" s="126" t="s">
        <v>92</v>
      </c>
      <c r="B89" s="126"/>
      <c r="C89" s="126"/>
      <c r="D89" s="126"/>
      <c r="E89" s="126"/>
      <c r="F89" s="126"/>
      <c r="G89" s="126"/>
      <c r="H89" s="126"/>
      <c r="I89" s="126"/>
      <c r="J89" s="126"/>
      <c r="K89" s="126"/>
      <c r="L89"/>
    </row>
    <row r="90" spans="1:12" ht="12.75" customHeight="1" x14ac:dyDescent="0.25">
      <c r="A90" s="126" t="s">
        <v>1</v>
      </c>
      <c r="B90" s="126"/>
      <c r="C90" s="126"/>
      <c r="D90" s="126"/>
      <c r="E90" s="126"/>
      <c r="F90" s="126"/>
      <c r="G90" s="126"/>
      <c r="H90" s="126"/>
      <c r="I90" s="126"/>
      <c r="J90" s="126"/>
      <c r="K90" s="126"/>
      <c r="L90"/>
    </row>
    <row r="91" spans="1:12" ht="12.75" customHeight="1" x14ac:dyDescent="0.25">
      <c r="A91" s="586" t="s">
        <v>3824</v>
      </c>
      <c r="B91" s="586"/>
      <c r="C91" s="586"/>
      <c r="D91" s="586"/>
      <c r="E91" s="586"/>
      <c r="F91" s="586"/>
      <c r="G91" s="586"/>
      <c r="H91" s="586"/>
      <c r="I91" s="586"/>
      <c r="J91" s="586"/>
      <c r="K91" s="586"/>
      <c r="L91"/>
    </row>
    <row r="92" spans="1:12" ht="12.75" customHeight="1" x14ac:dyDescent="0.25">
      <c r="A92" s="586" t="s">
        <v>3825</v>
      </c>
      <c r="B92" s="586"/>
      <c r="C92" s="586"/>
      <c r="D92" s="586"/>
      <c r="E92" s="586"/>
      <c r="F92" s="586"/>
      <c r="G92" s="586"/>
      <c r="H92" s="586"/>
      <c r="I92" s="586"/>
      <c r="J92" s="586"/>
      <c r="K92" s="586"/>
      <c r="L92"/>
    </row>
    <row r="93" spans="1:12" ht="12.75" customHeight="1" x14ac:dyDescent="0.25">
      <c r="A93" s="586" t="s">
        <v>5384</v>
      </c>
      <c r="B93" s="586"/>
      <c r="C93" s="586"/>
      <c r="D93" s="586"/>
      <c r="E93" s="586"/>
      <c r="F93" s="586"/>
      <c r="G93" s="586"/>
      <c r="H93" s="586"/>
      <c r="I93" s="586"/>
      <c r="J93" s="586"/>
      <c r="K93" s="586"/>
      <c r="L93"/>
    </row>
    <row r="94" spans="1:12" ht="12.75" customHeight="1" x14ac:dyDescent="0.25">
      <c r="A94" s="126"/>
      <c r="B94" s="126"/>
      <c r="C94" s="126"/>
      <c r="D94" s="126"/>
      <c r="E94" s="126"/>
      <c r="F94" s="126"/>
      <c r="G94" s="126"/>
      <c r="H94" s="126"/>
      <c r="I94" s="126"/>
      <c r="J94" s="126"/>
      <c r="K94" s="126"/>
      <c r="L94"/>
    </row>
    <row r="95" spans="1:12" ht="12.75" customHeight="1" x14ac:dyDescent="0.25">
      <c r="A95" s="627" t="s">
        <v>12</v>
      </c>
      <c r="B95" s="627" t="s">
        <v>91</v>
      </c>
      <c r="C95" s="627" t="s">
        <v>13</v>
      </c>
      <c r="D95" s="406" t="s">
        <v>90</v>
      </c>
      <c r="E95" s="628" t="s">
        <v>14</v>
      </c>
      <c r="F95" s="628"/>
      <c r="G95" s="628"/>
      <c r="H95" s="628"/>
      <c r="I95" s="628"/>
      <c r="J95" s="628"/>
      <c r="K95" s="629"/>
      <c r="L95"/>
    </row>
    <row r="96" spans="1:12" ht="12.75" customHeight="1" x14ac:dyDescent="0.25">
      <c r="A96" s="627"/>
      <c r="B96" s="627"/>
      <c r="C96" s="627"/>
      <c r="D96" s="630" t="s">
        <v>3814</v>
      </c>
      <c r="E96" s="632" t="s">
        <v>3826</v>
      </c>
      <c r="F96" s="632"/>
      <c r="G96" s="632"/>
      <c r="H96" s="632"/>
      <c r="I96" s="632"/>
      <c r="J96" s="632"/>
      <c r="K96" s="633"/>
      <c r="L96"/>
    </row>
    <row r="97" spans="1:12" ht="12.75" customHeight="1" x14ac:dyDescent="0.25">
      <c r="A97" s="627"/>
      <c r="B97" s="627"/>
      <c r="C97" s="627"/>
      <c r="D97" s="631"/>
      <c r="E97" s="407" t="s">
        <v>3827</v>
      </c>
      <c r="F97" s="408" t="s">
        <v>3828</v>
      </c>
      <c r="G97" s="409" t="s">
        <v>3829</v>
      </c>
      <c r="H97" s="407" t="s">
        <v>3830</v>
      </c>
      <c r="I97" s="407" t="s">
        <v>3831</v>
      </c>
      <c r="J97" s="634" t="s">
        <v>3832</v>
      </c>
      <c r="K97" s="635"/>
      <c r="L97"/>
    </row>
    <row r="98" spans="1:12" ht="12.75" customHeight="1" x14ac:dyDescent="0.25">
      <c r="A98" s="627"/>
      <c r="B98" s="627"/>
      <c r="C98" s="627"/>
      <c r="D98" s="406" t="s">
        <v>3312</v>
      </c>
      <c r="E98" s="405" t="s">
        <v>3306</v>
      </c>
      <c r="F98" s="405" t="s">
        <v>3833</v>
      </c>
      <c r="G98" s="410" t="s">
        <v>3777</v>
      </c>
      <c r="H98" s="405" t="s">
        <v>3834</v>
      </c>
      <c r="I98" s="405" t="s">
        <v>3311</v>
      </c>
      <c r="J98" s="411" t="s">
        <v>3823</v>
      </c>
      <c r="K98" s="406" t="s">
        <v>3835</v>
      </c>
      <c r="L98"/>
    </row>
    <row r="99" spans="1:12" ht="12.75" customHeight="1" x14ac:dyDescent="0.25">
      <c r="A99" s="412"/>
      <c r="B99" s="412"/>
      <c r="C99" s="412"/>
      <c r="D99" s="413"/>
      <c r="E99" s="414"/>
      <c r="F99" s="415"/>
      <c r="G99" s="416"/>
      <c r="H99" s="417"/>
      <c r="I99" s="417"/>
      <c r="J99" s="416"/>
      <c r="K99" s="418"/>
      <c r="L99"/>
    </row>
    <row r="100" spans="1:12" ht="12.75" customHeight="1" x14ac:dyDescent="0.25">
      <c r="A100" s="453" t="s">
        <v>5321</v>
      </c>
      <c r="B100" s="419" t="s">
        <v>5352</v>
      </c>
      <c r="C100" s="385" t="s">
        <v>3836</v>
      </c>
      <c r="D100" s="386">
        <f>SUM(E100:K100)</f>
        <v>0</v>
      </c>
      <c r="E100" s="459"/>
      <c r="F100" s="460"/>
      <c r="G100" s="416"/>
      <c r="H100" s="417"/>
      <c r="I100" s="417"/>
      <c r="J100" s="416"/>
      <c r="K100" s="417"/>
      <c r="L100"/>
    </row>
    <row r="101" spans="1:12" ht="12.75" customHeight="1" x14ac:dyDescent="0.25">
      <c r="A101" s="453" t="s">
        <v>5322</v>
      </c>
      <c r="B101" s="375" t="s">
        <v>5353</v>
      </c>
      <c r="C101" s="385" t="s">
        <v>3836</v>
      </c>
      <c r="D101" s="386">
        <f t="shared" ref="D101:D130" si="3">SUM(E101:K101)</f>
        <v>0</v>
      </c>
      <c r="E101" s="459"/>
      <c r="F101" s="460"/>
      <c r="G101" s="416"/>
      <c r="H101" s="417"/>
      <c r="I101" s="417"/>
      <c r="J101" s="416"/>
      <c r="K101" s="417"/>
      <c r="L101"/>
    </row>
    <row r="102" spans="1:12" ht="12.75" customHeight="1" x14ac:dyDescent="0.25">
      <c r="A102" s="453" t="s">
        <v>5323</v>
      </c>
      <c r="B102" s="384" t="s">
        <v>5354</v>
      </c>
      <c r="C102" s="385" t="s">
        <v>3836</v>
      </c>
      <c r="D102" s="386">
        <f t="shared" si="3"/>
        <v>0</v>
      </c>
      <c r="E102" s="459"/>
      <c r="F102" s="461"/>
      <c r="G102" s="416"/>
      <c r="H102" s="385"/>
      <c r="I102" s="385"/>
      <c r="J102" s="389"/>
      <c r="K102" s="385"/>
      <c r="L102"/>
    </row>
    <row r="103" spans="1:12" ht="12.75" customHeight="1" x14ac:dyDescent="0.25">
      <c r="A103" s="453" t="s">
        <v>5324</v>
      </c>
      <c r="B103" s="384" t="s">
        <v>5355</v>
      </c>
      <c r="C103" s="385" t="s">
        <v>3836</v>
      </c>
      <c r="D103" s="386">
        <f t="shared" si="3"/>
        <v>0</v>
      </c>
      <c r="E103" s="459"/>
      <c r="F103" s="424"/>
      <c r="G103" s="416"/>
      <c r="H103" s="385"/>
      <c r="I103" s="385"/>
      <c r="J103" s="389"/>
      <c r="K103" s="385"/>
      <c r="L103" s="253"/>
    </row>
    <row r="104" spans="1:12" ht="12.75" customHeight="1" x14ac:dyDescent="0.25">
      <c r="A104" s="453" t="s">
        <v>5325</v>
      </c>
      <c r="B104" s="384" t="s">
        <v>5356</v>
      </c>
      <c r="C104" s="385" t="s">
        <v>3836</v>
      </c>
      <c r="D104" s="386">
        <f t="shared" si="3"/>
        <v>0</v>
      </c>
      <c r="E104" s="459"/>
      <c r="F104" s="424"/>
      <c r="G104" s="416"/>
      <c r="H104" s="385"/>
      <c r="I104" s="385"/>
      <c r="J104" s="389"/>
      <c r="K104" s="385"/>
      <c r="L104"/>
    </row>
    <row r="105" spans="1:12" ht="12.75" customHeight="1" x14ac:dyDescent="0.25">
      <c r="A105" s="453" t="s">
        <v>5326</v>
      </c>
      <c r="B105" s="384" t="s">
        <v>5357</v>
      </c>
      <c r="C105" s="385" t="s">
        <v>3836</v>
      </c>
      <c r="D105" s="386">
        <f t="shared" si="3"/>
        <v>0</v>
      </c>
      <c r="E105" s="459"/>
      <c r="F105" s="424"/>
      <c r="G105" s="416"/>
      <c r="H105" s="385"/>
      <c r="I105" s="385"/>
      <c r="J105" s="389"/>
      <c r="K105" s="385"/>
      <c r="L105"/>
    </row>
    <row r="106" spans="1:12" ht="12.75" customHeight="1" x14ac:dyDescent="0.25">
      <c r="A106" s="453" t="s">
        <v>5327</v>
      </c>
      <c r="B106" s="384" t="s">
        <v>5358</v>
      </c>
      <c r="C106" s="385" t="s">
        <v>3836</v>
      </c>
      <c r="D106" s="386">
        <f t="shared" si="3"/>
        <v>0</v>
      </c>
      <c r="E106" s="459"/>
      <c r="F106" s="424"/>
      <c r="G106" s="416"/>
      <c r="H106" s="385"/>
      <c r="I106" s="385"/>
      <c r="J106" s="389"/>
      <c r="K106" s="385"/>
      <c r="L106"/>
    </row>
    <row r="107" spans="1:12" ht="12.75" customHeight="1" x14ac:dyDescent="0.25">
      <c r="A107" s="453" t="s">
        <v>5328</v>
      </c>
      <c r="B107" s="423" t="s">
        <v>5359</v>
      </c>
      <c r="C107" s="385" t="s">
        <v>3836</v>
      </c>
      <c r="D107" s="386">
        <f t="shared" si="3"/>
        <v>0</v>
      </c>
      <c r="E107" s="459"/>
      <c r="F107" s="424"/>
      <c r="G107" s="416"/>
      <c r="H107" s="385"/>
      <c r="I107" s="385"/>
      <c r="J107" s="389"/>
      <c r="K107" s="385"/>
      <c r="L107"/>
    </row>
    <row r="108" spans="1:12" ht="12.75" customHeight="1" x14ac:dyDescent="0.25">
      <c r="A108" s="453" t="s">
        <v>5329</v>
      </c>
      <c r="B108" s="394" t="s">
        <v>5360</v>
      </c>
      <c r="C108" s="385" t="s">
        <v>3836</v>
      </c>
      <c r="D108" s="386">
        <f t="shared" si="3"/>
        <v>0</v>
      </c>
      <c r="E108" s="459"/>
      <c r="F108" s="424"/>
      <c r="G108" s="416"/>
      <c r="H108" s="386"/>
      <c r="I108" s="386"/>
      <c r="J108" s="389"/>
      <c r="K108" s="385"/>
      <c r="L108"/>
    </row>
    <row r="109" spans="1:12" ht="12.75" customHeight="1" x14ac:dyDescent="0.25">
      <c r="A109" s="453" t="s">
        <v>5330</v>
      </c>
      <c r="B109" s="394" t="s">
        <v>5361</v>
      </c>
      <c r="C109" s="385" t="s">
        <v>3836</v>
      </c>
      <c r="D109" s="386">
        <f t="shared" si="3"/>
        <v>0</v>
      </c>
      <c r="E109" s="459"/>
      <c r="F109" s="424"/>
      <c r="G109" s="416"/>
      <c r="H109" s="385"/>
      <c r="I109" s="385"/>
      <c r="J109" s="389"/>
      <c r="K109" s="385"/>
      <c r="L109"/>
    </row>
    <row r="110" spans="1:12" ht="12.75" customHeight="1" x14ac:dyDescent="0.25">
      <c r="A110" s="453" t="s">
        <v>5331</v>
      </c>
      <c r="B110" s="394" t="s">
        <v>5362</v>
      </c>
      <c r="C110" s="385" t="s">
        <v>3836</v>
      </c>
      <c r="D110" s="386">
        <f t="shared" si="3"/>
        <v>0</v>
      </c>
      <c r="E110" s="459"/>
      <c r="F110" s="424"/>
      <c r="G110" s="416"/>
      <c r="H110" s="385"/>
      <c r="I110" s="385"/>
      <c r="J110" s="389"/>
      <c r="K110" s="385"/>
      <c r="L110"/>
    </row>
    <row r="111" spans="1:12" ht="12.75" customHeight="1" x14ac:dyDescent="0.25">
      <c r="A111" s="453" t="s">
        <v>5332</v>
      </c>
      <c r="B111" s="394" t="s">
        <v>5363</v>
      </c>
      <c r="C111" s="385" t="s">
        <v>3836</v>
      </c>
      <c r="D111" s="386">
        <f t="shared" si="3"/>
        <v>0</v>
      </c>
      <c r="E111" s="459"/>
      <c r="F111" s="424"/>
      <c r="G111" s="416"/>
      <c r="H111" s="385"/>
      <c r="I111" s="385"/>
      <c r="J111" s="389"/>
      <c r="K111" s="385"/>
      <c r="L111"/>
    </row>
    <row r="112" spans="1:12" ht="12.75" customHeight="1" x14ac:dyDescent="0.25">
      <c r="A112" s="453" t="s">
        <v>5333</v>
      </c>
      <c r="B112" s="394" t="s">
        <v>5364</v>
      </c>
      <c r="C112" s="385" t="s">
        <v>3836</v>
      </c>
      <c r="D112" s="386">
        <f t="shared" si="3"/>
        <v>0</v>
      </c>
      <c r="E112" s="459"/>
      <c r="F112" s="424"/>
      <c r="G112" s="416"/>
      <c r="H112" s="385"/>
      <c r="I112" s="424"/>
      <c r="J112" s="389"/>
      <c r="K112" s="385"/>
      <c r="L112"/>
    </row>
    <row r="113" spans="1:12" ht="12.75" customHeight="1" x14ac:dyDescent="0.25">
      <c r="A113" s="453" t="s">
        <v>5334</v>
      </c>
      <c r="B113" s="391" t="s">
        <v>5365</v>
      </c>
      <c r="C113" s="385" t="s">
        <v>3836</v>
      </c>
      <c r="D113" s="386">
        <f t="shared" si="3"/>
        <v>0</v>
      </c>
      <c r="E113" s="459"/>
      <c r="F113" s="424"/>
      <c r="G113" s="416"/>
      <c r="H113" s="385"/>
      <c r="I113" s="424"/>
      <c r="J113" s="389"/>
      <c r="K113" s="385"/>
      <c r="L113"/>
    </row>
    <row r="114" spans="1:12" ht="12.75" customHeight="1" x14ac:dyDescent="0.25">
      <c r="A114" s="453" t="s">
        <v>5335</v>
      </c>
      <c r="B114" s="391" t="s">
        <v>5366</v>
      </c>
      <c r="C114" s="385" t="s">
        <v>3836</v>
      </c>
      <c r="D114" s="386">
        <f t="shared" si="3"/>
        <v>0</v>
      </c>
      <c r="E114" s="459"/>
      <c r="F114" s="424"/>
      <c r="G114" s="416"/>
      <c r="H114" s="385"/>
      <c r="I114" s="424"/>
      <c r="J114" s="389"/>
      <c r="K114" s="385"/>
      <c r="L114"/>
    </row>
    <row r="115" spans="1:12" ht="12.75" customHeight="1" x14ac:dyDescent="0.25">
      <c r="A115" s="453" t="s">
        <v>5336</v>
      </c>
      <c r="B115" s="394" t="s">
        <v>5367</v>
      </c>
      <c r="C115" s="385" t="s">
        <v>3836</v>
      </c>
      <c r="D115" s="386">
        <f t="shared" si="3"/>
        <v>0</v>
      </c>
      <c r="E115" s="459"/>
      <c r="F115" s="424"/>
      <c r="G115" s="416"/>
      <c r="H115" s="385"/>
      <c r="I115" s="424"/>
      <c r="J115" s="389"/>
      <c r="K115" s="385"/>
      <c r="L115"/>
    </row>
    <row r="116" spans="1:12" ht="12.75" customHeight="1" x14ac:dyDescent="0.25">
      <c r="A116" s="453" t="s">
        <v>5337</v>
      </c>
      <c r="B116" s="394" t="s">
        <v>5368</v>
      </c>
      <c r="C116" s="385" t="s">
        <v>3836</v>
      </c>
      <c r="D116" s="386">
        <f t="shared" si="3"/>
        <v>0</v>
      </c>
      <c r="E116" s="459"/>
      <c r="F116" s="425"/>
      <c r="G116" s="416"/>
      <c r="H116" s="427"/>
      <c r="I116" s="425"/>
      <c r="J116" s="396"/>
      <c r="K116" s="427"/>
      <c r="L116"/>
    </row>
    <row r="117" spans="1:12" ht="12.75" customHeight="1" x14ac:dyDescent="0.25">
      <c r="A117" s="453" t="s">
        <v>5338</v>
      </c>
      <c r="B117" s="394" t="s">
        <v>5369</v>
      </c>
      <c r="C117" s="385" t="s">
        <v>3836</v>
      </c>
      <c r="D117" s="386">
        <f t="shared" si="3"/>
        <v>0</v>
      </c>
      <c r="E117" s="459"/>
      <c r="F117" s="425"/>
      <c r="G117" s="416"/>
      <c r="H117" s="427"/>
      <c r="I117" s="427"/>
      <c r="J117" s="396"/>
      <c r="K117" s="427"/>
      <c r="L117"/>
    </row>
    <row r="118" spans="1:12" ht="12.75" customHeight="1" x14ac:dyDescent="0.25">
      <c r="A118" s="453" t="s">
        <v>5339</v>
      </c>
      <c r="B118" s="394" t="s">
        <v>5370</v>
      </c>
      <c r="C118" s="385" t="s">
        <v>3836</v>
      </c>
      <c r="D118" s="386">
        <f t="shared" si="3"/>
        <v>0</v>
      </c>
      <c r="E118" s="459"/>
      <c r="F118" s="425"/>
      <c r="G118" s="416"/>
      <c r="H118" s="427"/>
      <c r="I118" s="427"/>
      <c r="J118" s="396"/>
      <c r="K118" s="427"/>
      <c r="L118"/>
    </row>
    <row r="119" spans="1:12" ht="12.75" customHeight="1" x14ac:dyDescent="0.25">
      <c r="A119" s="453" t="s">
        <v>5340</v>
      </c>
      <c r="B119" s="394" t="s">
        <v>5371</v>
      </c>
      <c r="C119" s="385" t="s">
        <v>3836</v>
      </c>
      <c r="D119" s="386">
        <f t="shared" si="3"/>
        <v>0</v>
      </c>
      <c r="E119" s="459"/>
      <c r="F119" s="425"/>
      <c r="G119" s="416"/>
      <c r="H119" s="427"/>
      <c r="I119" s="427"/>
      <c r="J119" s="396"/>
      <c r="K119" s="385"/>
      <c r="L119"/>
    </row>
    <row r="120" spans="1:12" ht="12.75" customHeight="1" x14ac:dyDescent="0.25">
      <c r="A120" s="453" t="s">
        <v>5341</v>
      </c>
      <c r="B120" s="394" t="s">
        <v>5372</v>
      </c>
      <c r="C120" s="385" t="s">
        <v>3836</v>
      </c>
      <c r="D120" s="386">
        <f t="shared" si="3"/>
        <v>0</v>
      </c>
      <c r="E120" s="459"/>
      <c r="F120" s="425"/>
      <c r="G120" s="416"/>
      <c r="H120" s="427"/>
      <c r="I120" s="427"/>
      <c r="J120" s="396"/>
      <c r="K120" s="385"/>
      <c r="L120"/>
    </row>
    <row r="121" spans="1:12" ht="12.75" customHeight="1" x14ac:dyDescent="0.25">
      <c r="A121" s="453" t="s">
        <v>5342</v>
      </c>
      <c r="B121" s="394" t="s">
        <v>5373</v>
      </c>
      <c r="C121" s="385" t="s">
        <v>3836</v>
      </c>
      <c r="D121" s="386">
        <f t="shared" si="3"/>
        <v>0</v>
      </c>
      <c r="E121" s="459"/>
      <c r="F121" s="425"/>
      <c r="G121" s="416"/>
      <c r="H121" s="427"/>
      <c r="I121" s="427"/>
      <c r="J121" s="396"/>
      <c r="K121" s="427"/>
      <c r="L121"/>
    </row>
    <row r="122" spans="1:12" ht="12.75" customHeight="1" x14ac:dyDescent="0.25">
      <c r="A122" s="453" t="s">
        <v>5343</v>
      </c>
      <c r="B122" s="384" t="s">
        <v>5374</v>
      </c>
      <c r="C122" s="385" t="s">
        <v>3836</v>
      </c>
      <c r="D122" s="386">
        <f t="shared" si="3"/>
        <v>0</v>
      </c>
      <c r="E122" s="459"/>
      <c r="F122" s="425"/>
      <c r="G122" s="416"/>
      <c r="H122" s="427"/>
      <c r="I122" s="427"/>
      <c r="J122" s="396"/>
      <c r="K122" s="385"/>
      <c r="L122"/>
    </row>
    <row r="123" spans="1:12" ht="12.75" customHeight="1" x14ac:dyDescent="0.25">
      <c r="A123" s="453" t="s">
        <v>5344</v>
      </c>
      <c r="B123" s="384" t="s">
        <v>5375</v>
      </c>
      <c r="C123" s="385" t="s">
        <v>3836</v>
      </c>
      <c r="D123" s="386">
        <f t="shared" si="3"/>
        <v>0</v>
      </c>
      <c r="E123" s="459"/>
      <c r="F123" s="425"/>
      <c r="G123" s="416"/>
      <c r="H123" s="427"/>
      <c r="I123" s="427"/>
      <c r="J123" s="396"/>
      <c r="K123" s="427"/>
      <c r="L123"/>
    </row>
    <row r="124" spans="1:12" ht="12.75" customHeight="1" x14ac:dyDescent="0.25">
      <c r="A124" s="453" t="s">
        <v>5345</v>
      </c>
      <c r="B124" s="394" t="s">
        <v>5376</v>
      </c>
      <c r="C124" s="385" t="s">
        <v>3836</v>
      </c>
      <c r="D124" s="386">
        <f t="shared" si="3"/>
        <v>0</v>
      </c>
      <c r="E124" s="459"/>
      <c r="F124" s="425"/>
      <c r="G124" s="416"/>
      <c r="H124" s="427"/>
      <c r="I124" s="427"/>
      <c r="J124" s="396"/>
      <c r="K124" s="427"/>
      <c r="L124"/>
    </row>
    <row r="125" spans="1:12" ht="12.75" customHeight="1" x14ac:dyDescent="0.25">
      <c r="A125" s="453" t="s">
        <v>5346</v>
      </c>
      <c r="B125" s="394" t="s">
        <v>5377</v>
      </c>
      <c r="C125" s="385" t="s">
        <v>3836</v>
      </c>
      <c r="D125" s="386">
        <f t="shared" si="3"/>
        <v>0</v>
      </c>
      <c r="E125" s="459"/>
      <c r="F125" s="425"/>
      <c r="G125" s="416"/>
      <c r="H125" s="427"/>
      <c r="I125" s="427"/>
      <c r="J125" s="396"/>
      <c r="K125" s="427"/>
      <c r="L125"/>
    </row>
    <row r="126" spans="1:12" ht="12.75" customHeight="1" x14ac:dyDescent="0.25">
      <c r="A126" s="453" t="s">
        <v>5347</v>
      </c>
      <c r="B126" s="394" t="s">
        <v>5378</v>
      </c>
      <c r="C126" s="385" t="s">
        <v>3836</v>
      </c>
      <c r="D126" s="386">
        <f t="shared" si="3"/>
        <v>0</v>
      </c>
      <c r="E126" s="459"/>
      <c r="F126" s="425"/>
      <c r="G126" s="416"/>
      <c r="H126" s="427"/>
      <c r="I126" s="427"/>
      <c r="J126" s="396"/>
      <c r="K126" s="427"/>
      <c r="L126"/>
    </row>
    <row r="127" spans="1:12" ht="12.75" customHeight="1" x14ac:dyDescent="0.25">
      <c r="A127" s="453" t="s">
        <v>5348</v>
      </c>
      <c r="B127" s="394" t="s">
        <v>5379</v>
      </c>
      <c r="C127" s="385" t="s">
        <v>3836</v>
      </c>
      <c r="D127" s="386">
        <f t="shared" si="3"/>
        <v>0</v>
      </c>
      <c r="E127" s="459"/>
      <c r="F127" s="425"/>
      <c r="G127" s="416"/>
      <c r="H127" s="427"/>
      <c r="I127" s="427"/>
      <c r="J127" s="396"/>
      <c r="K127" s="427"/>
      <c r="L127"/>
    </row>
    <row r="128" spans="1:12" ht="12.75" customHeight="1" x14ac:dyDescent="0.25">
      <c r="A128" s="453" t="s">
        <v>5349</v>
      </c>
      <c r="B128" s="394" t="s">
        <v>5380</v>
      </c>
      <c r="C128" s="385" t="s">
        <v>3836</v>
      </c>
      <c r="D128" s="386">
        <f t="shared" si="3"/>
        <v>0</v>
      </c>
      <c r="E128" s="459"/>
      <c r="F128" s="425"/>
      <c r="G128" s="416"/>
      <c r="H128" s="427"/>
      <c r="I128" s="427"/>
      <c r="J128" s="396"/>
      <c r="K128" s="427"/>
      <c r="L128"/>
    </row>
    <row r="129" spans="1:12" ht="12.75" customHeight="1" x14ac:dyDescent="0.25">
      <c r="A129" s="453" t="s">
        <v>5350</v>
      </c>
      <c r="B129" s="394" t="s">
        <v>5381</v>
      </c>
      <c r="C129" s="385" t="s">
        <v>3836</v>
      </c>
      <c r="D129" s="386">
        <f t="shared" si="3"/>
        <v>0</v>
      </c>
      <c r="E129" s="459"/>
      <c r="F129" s="425"/>
      <c r="G129" s="416"/>
      <c r="H129" s="427"/>
      <c r="I129" s="427"/>
      <c r="J129" s="396"/>
      <c r="K129" s="427"/>
      <c r="L129"/>
    </row>
    <row r="130" spans="1:12" ht="12.75" customHeight="1" x14ac:dyDescent="0.25">
      <c r="A130" s="453" t="s">
        <v>5351</v>
      </c>
      <c r="B130" s="394" t="s">
        <v>5382</v>
      </c>
      <c r="C130" s="385" t="s">
        <v>3836</v>
      </c>
      <c r="D130" s="386">
        <f t="shared" si="3"/>
        <v>0</v>
      </c>
      <c r="E130" s="425"/>
      <c r="F130" s="425"/>
      <c r="G130" s="416"/>
      <c r="H130" s="427"/>
      <c r="I130" s="427"/>
      <c r="J130" s="396"/>
      <c r="K130" s="427"/>
      <c r="L130"/>
    </row>
    <row r="131" spans="1:12" ht="12.75" customHeight="1" thickBot="1" x14ac:dyDescent="0.3">
      <c r="A131" s="401"/>
      <c r="B131" s="402"/>
      <c r="C131" s="402" t="s">
        <v>3823</v>
      </c>
      <c r="D131" s="403">
        <f>SUM(D100:D130)</f>
        <v>0</v>
      </c>
      <c r="E131" s="403">
        <f>SUM(E100:E130)</f>
        <v>0</v>
      </c>
      <c r="F131" s="403">
        <f t="shared" ref="F131:J131" si="4">SUM(F100:F130)</f>
        <v>0</v>
      </c>
      <c r="G131" s="403">
        <f t="shared" si="4"/>
        <v>0</v>
      </c>
      <c r="H131" s="403">
        <f t="shared" si="4"/>
        <v>0</v>
      </c>
      <c r="I131" s="403">
        <f t="shared" si="4"/>
        <v>0</v>
      </c>
      <c r="J131" s="403">
        <f t="shared" si="4"/>
        <v>0</v>
      </c>
      <c r="K131" s="403">
        <v>0</v>
      </c>
      <c r="L131"/>
    </row>
    <row r="133" spans="1:12" ht="12.75" customHeight="1" x14ac:dyDescent="0.2">
      <c r="E133" s="462"/>
    </row>
    <row r="136" spans="1:12" ht="12.75" customHeight="1" x14ac:dyDescent="0.2">
      <c r="A136" s="126" t="s">
        <v>92</v>
      </c>
      <c r="B136" s="126"/>
      <c r="C136" s="126"/>
      <c r="D136" s="126"/>
      <c r="E136" s="126"/>
      <c r="F136" s="126"/>
      <c r="G136" s="126"/>
      <c r="H136" s="126"/>
      <c r="I136" s="126"/>
      <c r="J136" s="126"/>
      <c r="K136" s="126"/>
    </row>
    <row r="137" spans="1:12" ht="12.75" customHeight="1" x14ac:dyDescent="0.2">
      <c r="A137" s="126" t="s">
        <v>1</v>
      </c>
      <c r="B137" s="126"/>
      <c r="C137" s="126"/>
      <c r="D137" s="126"/>
      <c r="E137" s="126"/>
      <c r="F137" s="126"/>
      <c r="G137" s="126"/>
      <c r="H137" s="126"/>
      <c r="I137" s="126"/>
      <c r="J137" s="126"/>
      <c r="K137" s="126"/>
    </row>
    <row r="138" spans="1:12" ht="12.75" customHeight="1" x14ac:dyDescent="0.2">
      <c r="A138" s="586" t="s">
        <v>3824</v>
      </c>
      <c r="B138" s="586"/>
      <c r="C138" s="586"/>
      <c r="D138" s="586"/>
      <c r="E138" s="586"/>
      <c r="F138" s="586"/>
      <c r="G138" s="586"/>
      <c r="H138" s="586"/>
      <c r="I138" s="586"/>
      <c r="J138" s="586"/>
      <c r="K138" s="586"/>
    </row>
    <row r="139" spans="1:12" ht="12.75" customHeight="1" x14ac:dyDescent="0.2">
      <c r="A139" s="586" t="s">
        <v>3825</v>
      </c>
      <c r="B139" s="586"/>
      <c r="C139" s="586"/>
      <c r="D139" s="586"/>
      <c r="E139" s="586"/>
      <c r="F139" s="586"/>
      <c r="G139" s="586"/>
      <c r="H139" s="586"/>
      <c r="I139" s="586"/>
      <c r="J139" s="586"/>
      <c r="K139" s="586"/>
    </row>
    <row r="140" spans="1:12" ht="12.75" customHeight="1" x14ac:dyDescent="0.2">
      <c r="A140" s="586" t="s">
        <v>5657</v>
      </c>
      <c r="B140" s="586"/>
      <c r="C140" s="586"/>
      <c r="D140" s="586"/>
      <c r="E140" s="586"/>
      <c r="F140" s="586"/>
      <c r="G140" s="586"/>
      <c r="H140" s="586"/>
      <c r="I140" s="586"/>
      <c r="J140" s="586"/>
      <c r="K140" s="586"/>
    </row>
    <row r="141" spans="1:12" ht="12.75" customHeight="1" x14ac:dyDescent="0.2">
      <c r="A141" s="126"/>
      <c r="B141" s="126"/>
      <c r="C141" s="126"/>
      <c r="D141" s="126"/>
      <c r="E141" s="126"/>
      <c r="F141" s="126"/>
      <c r="G141" s="126"/>
      <c r="H141" s="126"/>
      <c r="I141" s="126"/>
      <c r="J141" s="126"/>
      <c r="K141" s="126"/>
    </row>
    <row r="142" spans="1:12" ht="12.75" customHeight="1" x14ac:dyDescent="0.25">
      <c r="A142" s="627" t="s">
        <v>12</v>
      </c>
      <c r="B142" s="627" t="s">
        <v>91</v>
      </c>
      <c r="C142" s="627" t="s">
        <v>13</v>
      </c>
      <c r="D142" s="406" t="s">
        <v>90</v>
      </c>
      <c r="E142" s="628" t="s">
        <v>14</v>
      </c>
      <c r="F142" s="628"/>
      <c r="G142" s="628"/>
      <c r="H142" s="628"/>
      <c r="I142" s="628"/>
      <c r="J142" s="628"/>
      <c r="K142" s="629"/>
      <c r="L142"/>
    </row>
    <row r="143" spans="1:12" ht="12.75" customHeight="1" x14ac:dyDescent="0.25">
      <c r="A143" s="627"/>
      <c r="B143" s="627"/>
      <c r="C143" s="627"/>
      <c r="D143" s="630" t="s">
        <v>3814</v>
      </c>
      <c r="E143" s="632" t="s">
        <v>3826</v>
      </c>
      <c r="F143" s="632"/>
      <c r="G143" s="632"/>
      <c r="H143" s="632"/>
      <c r="I143" s="632"/>
      <c r="J143" s="632"/>
      <c r="K143" s="633"/>
      <c r="L143"/>
    </row>
    <row r="144" spans="1:12" ht="12.75" customHeight="1" x14ac:dyDescent="0.25">
      <c r="A144" s="627"/>
      <c r="B144" s="627"/>
      <c r="C144" s="627"/>
      <c r="D144" s="631"/>
      <c r="E144" s="407" t="s">
        <v>3827</v>
      </c>
      <c r="F144" s="408" t="s">
        <v>3828</v>
      </c>
      <c r="G144" s="409" t="s">
        <v>3829</v>
      </c>
      <c r="H144" s="407" t="s">
        <v>3830</v>
      </c>
      <c r="I144" s="407" t="s">
        <v>3831</v>
      </c>
      <c r="J144" s="634" t="s">
        <v>3832</v>
      </c>
      <c r="K144" s="635"/>
      <c r="L144"/>
    </row>
    <row r="145" spans="1:12" ht="12.75" customHeight="1" x14ac:dyDescent="0.25">
      <c r="A145" s="627"/>
      <c r="B145" s="627"/>
      <c r="C145" s="627"/>
      <c r="D145" s="406" t="s">
        <v>3312</v>
      </c>
      <c r="E145" s="405" t="s">
        <v>3306</v>
      </c>
      <c r="F145" s="405" t="s">
        <v>3833</v>
      </c>
      <c r="G145" s="410" t="s">
        <v>3777</v>
      </c>
      <c r="H145" s="405" t="s">
        <v>3834</v>
      </c>
      <c r="I145" s="405" t="s">
        <v>3311</v>
      </c>
      <c r="J145" s="411" t="s">
        <v>3823</v>
      </c>
      <c r="K145" s="406" t="s">
        <v>3835</v>
      </c>
      <c r="L145"/>
    </row>
    <row r="146" spans="1:12" ht="12.75" customHeight="1" x14ac:dyDescent="0.25">
      <c r="A146" s="412"/>
      <c r="B146" s="412"/>
      <c r="C146" s="412"/>
      <c r="D146" s="413"/>
      <c r="E146" s="414"/>
      <c r="F146" s="415"/>
      <c r="G146" s="416"/>
      <c r="H146" s="417"/>
      <c r="I146" s="417"/>
      <c r="J146" s="416"/>
      <c r="K146" s="418"/>
      <c r="L146"/>
    </row>
    <row r="147" spans="1:12" ht="12.75" customHeight="1" x14ac:dyDescent="0.25">
      <c r="A147" s="453" t="s">
        <v>4074</v>
      </c>
      <c r="B147" s="419" t="s">
        <v>4104</v>
      </c>
      <c r="C147" s="385" t="s">
        <v>3836</v>
      </c>
      <c r="D147" s="386">
        <f>SUM(E147:J147)</f>
        <v>0</v>
      </c>
      <c r="E147" s="414"/>
      <c r="F147" s="420"/>
      <c r="G147" s="416"/>
      <c r="H147" s="417"/>
      <c r="I147" s="417"/>
      <c r="J147" s="416"/>
      <c r="K147" s="417"/>
      <c r="L147"/>
    </row>
    <row r="148" spans="1:12" ht="12.75" customHeight="1" x14ac:dyDescent="0.25">
      <c r="A148" s="453" t="s">
        <v>4075</v>
      </c>
      <c r="B148" s="375" t="s">
        <v>4105</v>
      </c>
      <c r="C148" s="385" t="s">
        <v>3836</v>
      </c>
      <c r="D148" s="386">
        <f t="shared" ref="D148:D177" si="5">SUM(E148:J148)</f>
        <v>0</v>
      </c>
      <c r="E148" s="455"/>
      <c r="F148" s="420"/>
      <c r="G148" s="416"/>
      <c r="H148" s="417"/>
      <c r="I148" s="417"/>
      <c r="J148" s="468"/>
      <c r="K148" s="417"/>
      <c r="L148"/>
    </row>
    <row r="149" spans="1:12" ht="12.75" customHeight="1" x14ac:dyDescent="0.25">
      <c r="A149" s="453" t="s">
        <v>4076</v>
      </c>
      <c r="B149" s="384" t="s">
        <v>4106</v>
      </c>
      <c r="C149" s="385" t="s">
        <v>3836</v>
      </c>
      <c r="D149" s="386">
        <f t="shared" si="5"/>
        <v>0</v>
      </c>
      <c r="E149" s="424"/>
      <c r="F149" s="422"/>
      <c r="G149" s="416"/>
      <c r="H149" s="385"/>
      <c r="I149" s="385"/>
      <c r="J149" s="389"/>
      <c r="K149" s="385"/>
      <c r="L149"/>
    </row>
    <row r="150" spans="1:12" ht="12.75" customHeight="1" x14ac:dyDescent="0.25">
      <c r="A150" s="453" t="s">
        <v>4077</v>
      </c>
      <c r="B150" s="384" t="s">
        <v>4107</v>
      </c>
      <c r="C150" s="385" t="s">
        <v>3836</v>
      </c>
      <c r="D150" s="386">
        <f t="shared" si="5"/>
        <v>0</v>
      </c>
      <c r="E150" s="424"/>
      <c r="F150" s="385"/>
      <c r="G150" s="416"/>
      <c r="H150" s="385"/>
      <c r="I150" s="385"/>
      <c r="J150" s="389"/>
      <c r="K150" s="385"/>
      <c r="L150"/>
    </row>
    <row r="151" spans="1:12" ht="12.75" customHeight="1" x14ac:dyDescent="0.25">
      <c r="A151" s="453" t="s">
        <v>4078</v>
      </c>
      <c r="B151" s="384" t="s">
        <v>4108</v>
      </c>
      <c r="C151" s="385" t="s">
        <v>3836</v>
      </c>
      <c r="D151" s="386">
        <f t="shared" si="5"/>
        <v>0</v>
      </c>
      <c r="E151" s="424"/>
      <c r="F151" s="385"/>
      <c r="G151" s="416"/>
      <c r="H151" s="385"/>
      <c r="I151" s="424"/>
      <c r="J151" s="389"/>
      <c r="K151" s="385"/>
      <c r="L151"/>
    </row>
    <row r="152" spans="1:12" ht="12.75" customHeight="1" x14ac:dyDescent="0.25">
      <c r="A152" s="453" t="s">
        <v>4079</v>
      </c>
      <c r="B152" s="384" t="s">
        <v>4109</v>
      </c>
      <c r="C152" s="385" t="s">
        <v>3836</v>
      </c>
      <c r="D152" s="386">
        <f t="shared" si="5"/>
        <v>0</v>
      </c>
      <c r="E152" s="424"/>
      <c r="F152" s="386"/>
      <c r="G152" s="416"/>
      <c r="H152" s="385"/>
      <c r="I152" s="385"/>
      <c r="J152" s="389"/>
      <c r="K152" s="385"/>
      <c r="L152"/>
    </row>
    <row r="153" spans="1:12" ht="12.75" customHeight="1" x14ac:dyDescent="0.25">
      <c r="A153" s="453" t="s">
        <v>4080</v>
      </c>
      <c r="B153" s="384" t="s">
        <v>4110</v>
      </c>
      <c r="C153" s="385" t="s">
        <v>3836</v>
      </c>
      <c r="D153" s="386">
        <f t="shared" si="5"/>
        <v>0</v>
      </c>
      <c r="E153" s="424"/>
      <c r="F153" s="385"/>
      <c r="G153" s="416"/>
      <c r="H153" s="385"/>
      <c r="I153" s="385"/>
      <c r="J153" s="389"/>
      <c r="K153" s="385"/>
      <c r="L153"/>
    </row>
    <row r="154" spans="1:12" ht="12.75" customHeight="1" x14ac:dyDescent="0.25">
      <c r="A154" s="453" t="s">
        <v>4081</v>
      </c>
      <c r="B154" s="423" t="s">
        <v>4111</v>
      </c>
      <c r="C154" s="385" t="s">
        <v>3836</v>
      </c>
      <c r="D154" s="386">
        <f t="shared" si="5"/>
        <v>0</v>
      </c>
      <c r="E154" s="424"/>
      <c r="F154" s="386"/>
      <c r="G154" s="416"/>
      <c r="H154" s="385"/>
      <c r="I154" s="385"/>
      <c r="J154" s="389"/>
      <c r="K154" s="385"/>
      <c r="L154"/>
    </row>
    <row r="155" spans="1:12" ht="12.75" customHeight="1" x14ac:dyDescent="0.25">
      <c r="A155" s="453" t="s">
        <v>4082</v>
      </c>
      <c r="B155" s="394" t="s">
        <v>4112</v>
      </c>
      <c r="C155" s="385" t="s">
        <v>3836</v>
      </c>
      <c r="D155" s="386">
        <f t="shared" si="5"/>
        <v>0</v>
      </c>
      <c r="E155" s="424"/>
      <c r="F155" s="385"/>
      <c r="G155" s="416"/>
      <c r="H155" s="386"/>
      <c r="I155" s="386"/>
      <c r="J155" s="389"/>
      <c r="K155" s="385"/>
      <c r="L155"/>
    </row>
    <row r="156" spans="1:12" ht="12.75" customHeight="1" x14ac:dyDescent="0.25">
      <c r="A156" s="453" t="s">
        <v>4083</v>
      </c>
      <c r="B156" s="394" t="s">
        <v>4113</v>
      </c>
      <c r="C156" s="385" t="s">
        <v>3836</v>
      </c>
      <c r="D156" s="386">
        <f t="shared" si="5"/>
        <v>0</v>
      </c>
      <c r="E156" s="424"/>
      <c r="F156" s="385"/>
      <c r="G156" s="416"/>
      <c r="H156" s="385"/>
      <c r="I156" s="385"/>
      <c r="J156" s="389"/>
      <c r="K156" s="385"/>
      <c r="L156"/>
    </row>
    <row r="157" spans="1:12" ht="12.75" customHeight="1" x14ac:dyDescent="0.25">
      <c r="A157" s="453" t="s">
        <v>4084</v>
      </c>
      <c r="B157" s="394" t="s">
        <v>4114</v>
      </c>
      <c r="C157" s="385" t="s">
        <v>3836</v>
      </c>
      <c r="D157" s="386">
        <f t="shared" si="5"/>
        <v>0</v>
      </c>
      <c r="E157" s="424"/>
      <c r="F157" s="385"/>
      <c r="G157" s="416"/>
      <c r="H157" s="385"/>
      <c r="I157" s="385"/>
      <c r="J157" s="389"/>
      <c r="K157" s="385"/>
      <c r="L157"/>
    </row>
    <row r="158" spans="1:12" ht="12.75" customHeight="1" x14ac:dyDescent="0.25">
      <c r="A158" s="453" t="s">
        <v>4085</v>
      </c>
      <c r="B158" s="394" t="s">
        <v>4115</v>
      </c>
      <c r="C158" s="385" t="s">
        <v>3836</v>
      </c>
      <c r="D158" s="386">
        <f t="shared" si="5"/>
        <v>0</v>
      </c>
      <c r="E158" s="424"/>
      <c r="F158" s="385"/>
      <c r="G158" s="416"/>
      <c r="H158" s="385"/>
      <c r="I158" s="385"/>
      <c r="J158" s="389"/>
      <c r="K158" s="385"/>
      <c r="L158"/>
    </row>
    <row r="159" spans="1:12" ht="12.75" customHeight="1" x14ac:dyDescent="0.25">
      <c r="A159" s="453" t="s">
        <v>4086</v>
      </c>
      <c r="B159" s="394" t="s">
        <v>4116</v>
      </c>
      <c r="C159" s="385" t="s">
        <v>3836</v>
      </c>
      <c r="D159" s="386">
        <f t="shared" si="5"/>
        <v>0</v>
      </c>
      <c r="E159" s="424"/>
      <c r="F159" s="385"/>
      <c r="G159" s="416"/>
      <c r="H159" s="385"/>
      <c r="I159" s="385"/>
      <c r="J159" s="389"/>
      <c r="K159" s="385"/>
      <c r="L159"/>
    </row>
    <row r="160" spans="1:12" ht="12.75" customHeight="1" x14ac:dyDescent="0.25">
      <c r="A160" s="453" t="s">
        <v>4087</v>
      </c>
      <c r="B160" s="391" t="s">
        <v>4117</v>
      </c>
      <c r="C160" s="385" t="s">
        <v>3836</v>
      </c>
      <c r="D160" s="386">
        <f t="shared" si="5"/>
        <v>0</v>
      </c>
      <c r="E160" s="424"/>
      <c r="F160" s="385"/>
      <c r="G160" s="416"/>
      <c r="H160" s="385"/>
      <c r="I160" s="385"/>
      <c r="J160" s="389"/>
      <c r="K160" s="385"/>
      <c r="L160"/>
    </row>
    <row r="161" spans="1:12" ht="12.75" customHeight="1" x14ac:dyDescent="0.2">
      <c r="A161" s="453" t="s">
        <v>4088</v>
      </c>
      <c r="B161" s="391" t="s">
        <v>4118</v>
      </c>
      <c r="C161" s="385" t="s">
        <v>3836</v>
      </c>
      <c r="D161" s="386">
        <f t="shared" si="5"/>
        <v>0</v>
      </c>
      <c r="E161" s="424"/>
      <c r="F161" s="385"/>
      <c r="G161" s="416"/>
      <c r="H161" s="385"/>
      <c r="I161" s="385"/>
      <c r="J161" s="389"/>
      <c r="K161" s="385"/>
      <c r="L161" s="574"/>
    </row>
    <row r="162" spans="1:12" ht="12.75" customHeight="1" x14ac:dyDescent="0.2">
      <c r="A162" s="453" t="s">
        <v>4089</v>
      </c>
      <c r="B162" s="394" t="s">
        <v>4119</v>
      </c>
      <c r="C162" s="385" t="s">
        <v>3836</v>
      </c>
      <c r="D162" s="386">
        <f t="shared" si="5"/>
        <v>0</v>
      </c>
      <c r="E162" s="424"/>
      <c r="F162" s="386"/>
      <c r="G162" s="416"/>
      <c r="H162" s="385"/>
      <c r="I162" s="385"/>
      <c r="J162" s="389"/>
      <c r="K162" s="385"/>
      <c r="L162" s="574"/>
    </row>
    <row r="163" spans="1:12" ht="12.75" customHeight="1" x14ac:dyDescent="0.2">
      <c r="A163" s="453" t="s">
        <v>4090</v>
      </c>
      <c r="B163" s="394" t="s">
        <v>4120</v>
      </c>
      <c r="C163" s="385" t="s">
        <v>3836</v>
      </c>
      <c r="D163" s="386">
        <f t="shared" si="5"/>
        <v>0</v>
      </c>
      <c r="E163" s="424"/>
      <c r="F163" s="426"/>
      <c r="G163" s="416"/>
      <c r="H163" s="427"/>
      <c r="I163" s="427"/>
      <c r="J163" s="396"/>
      <c r="K163" s="427"/>
      <c r="L163" s="574"/>
    </row>
    <row r="164" spans="1:12" ht="12.75" customHeight="1" x14ac:dyDescent="0.25">
      <c r="A164" s="453" t="s">
        <v>4091</v>
      </c>
      <c r="B164" s="394" t="s">
        <v>4121</v>
      </c>
      <c r="C164" s="385" t="s">
        <v>3836</v>
      </c>
      <c r="D164" s="386">
        <f t="shared" si="5"/>
        <v>0</v>
      </c>
      <c r="E164" s="424"/>
      <c r="F164" s="426"/>
      <c r="G164" s="416"/>
      <c r="H164" s="427"/>
      <c r="I164" s="427"/>
      <c r="J164" s="396"/>
      <c r="K164" s="427"/>
      <c r="L164"/>
    </row>
    <row r="165" spans="1:12" ht="12.75" customHeight="1" x14ac:dyDescent="0.25">
      <c r="A165" s="453" t="s">
        <v>4092</v>
      </c>
      <c r="B165" s="394" t="s">
        <v>4122</v>
      </c>
      <c r="C165" s="385" t="s">
        <v>3836</v>
      </c>
      <c r="D165" s="386">
        <f t="shared" si="5"/>
        <v>0</v>
      </c>
      <c r="E165" s="424"/>
      <c r="F165" s="426"/>
      <c r="G165" s="416"/>
      <c r="H165" s="427"/>
      <c r="I165" s="427"/>
      <c r="J165" s="396"/>
      <c r="K165" s="427"/>
      <c r="L165"/>
    </row>
    <row r="166" spans="1:12" ht="12.75" customHeight="1" x14ac:dyDescent="0.2">
      <c r="A166" s="453" t="s">
        <v>4093</v>
      </c>
      <c r="B166" s="394" t="s">
        <v>4123</v>
      </c>
      <c r="C166" s="385" t="s">
        <v>3836</v>
      </c>
      <c r="D166" s="386">
        <f t="shared" si="5"/>
        <v>0</v>
      </c>
      <c r="E166" s="424"/>
      <c r="F166" s="426"/>
      <c r="G166" s="416"/>
      <c r="H166" s="427"/>
      <c r="I166" s="427"/>
      <c r="J166" s="396"/>
      <c r="K166" s="385"/>
      <c r="L166" s="636"/>
    </row>
    <row r="167" spans="1:12" ht="12.75" customHeight="1" x14ac:dyDescent="0.2">
      <c r="A167" s="453" t="s">
        <v>4094</v>
      </c>
      <c r="B167" s="394" t="s">
        <v>4124</v>
      </c>
      <c r="C167" s="385" t="s">
        <v>3836</v>
      </c>
      <c r="D167" s="386">
        <f t="shared" si="5"/>
        <v>0</v>
      </c>
      <c r="E167" s="424"/>
      <c r="F167" s="426"/>
      <c r="G167" s="416"/>
      <c r="H167" s="427"/>
      <c r="I167" s="427"/>
      <c r="J167" s="396"/>
      <c r="K167" s="385"/>
      <c r="L167" s="636"/>
    </row>
    <row r="168" spans="1:12" ht="12.75" customHeight="1" x14ac:dyDescent="0.25">
      <c r="A168" s="453" t="s">
        <v>4095</v>
      </c>
      <c r="B168" s="394" t="s">
        <v>4125</v>
      </c>
      <c r="C168" s="385" t="s">
        <v>3836</v>
      </c>
      <c r="D168" s="386">
        <f t="shared" si="5"/>
        <v>0</v>
      </c>
      <c r="E168" s="424"/>
      <c r="F168" s="426"/>
      <c r="G168" s="416"/>
      <c r="H168" s="427"/>
      <c r="I168" s="427"/>
      <c r="J168" s="396"/>
      <c r="K168" s="427"/>
      <c r="L168" s="253"/>
    </row>
    <row r="169" spans="1:12" ht="12.75" customHeight="1" x14ac:dyDescent="0.25">
      <c r="A169" s="453" t="s">
        <v>4096</v>
      </c>
      <c r="B169" s="384" t="s">
        <v>4126</v>
      </c>
      <c r="C169" s="385" t="s">
        <v>3836</v>
      </c>
      <c r="D169" s="386">
        <f t="shared" si="5"/>
        <v>0</v>
      </c>
      <c r="E169" s="424"/>
      <c r="F169" s="426"/>
      <c r="G169" s="416"/>
      <c r="H169" s="427"/>
      <c r="I169" s="427"/>
      <c r="J169" s="396"/>
      <c r="K169" s="385"/>
      <c r="L169"/>
    </row>
    <row r="170" spans="1:12" ht="12.75" customHeight="1" x14ac:dyDescent="0.25">
      <c r="A170" s="453" t="s">
        <v>4097</v>
      </c>
      <c r="B170" s="384" t="s">
        <v>4127</v>
      </c>
      <c r="C170" s="385" t="s">
        <v>3836</v>
      </c>
      <c r="D170" s="386">
        <f t="shared" si="5"/>
        <v>0</v>
      </c>
      <c r="E170" s="425"/>
      <c r="F170" s="426"/>
      <c r="G170" s="416"/>
      <c r="H170" s="427"/>
      <c r="I170" s="427"/>
      <c r="J170" s="396"/>
      <c r="K170" s="427"/>
      <c r="L170"/>
    </row>
    <row r="171" spans="1:12" ht="12.75" customHeight="1" x14ac:dyDescent="0.25">
      <c r="A171" s="453" t="s">
        <v>4098</v>
      </c>
      <c r="B171" s="394" t="s">
        <v>4128</v>
      </c>
      <c r="C171" s="385" t="s">
        <v>3836</v>
      </c>
      <c r="D171" s="386">
        <f t="shared" si="5"/>
        <v>0</v>
      </c>
      <c r="E171" s="425"/>
      <c r="F171" s="426"/>
      <c r="G171" s="416"/>
      <c r="H171" s="427"/>
      <c r="I171" s="427"/>
      <c r="J171" s="396"/>
      <c r="K171" s="385"/>
      <c r="L171"/>
    </row>
    <row r="172" spans="1:12" ht="12.75" customHeight="1" x14ac:dyDescent="0.25">
      <c r="A172" s="453" t="s">
        <v>4099</v>
      </c>
      <c r="B172" s="394" t="s">
        <v>4129</v>
      </c>
      <c r="C172" s="385" t="s">
        <v>3836</v>
      </c>
      <c r="D172" s="386">
        <f t="shared" si="5"/>
        <v>0</v>
      </c>
      <c r="E172" s="425"/>
      <c r="F172" s="426"/>
      <c r="G172" s="416"/>
      <c r="H172" s="427"/>
      <c r="I172" s="427"/>
      <c r="J172" s="396"/>
      <c r="K172" s="427"/>
      <c r="L172"/>
    </row>
    <row r="173" spans="1:12" ht="12.75" customHeight="1" x14ac:dyDescent="0.25">
      <c r="A173" s="453" t="s">
        <v>4100</v>
      </c>
      <c r="B173" s="394" t="s">
        <v>4130</v>
      </c>
      <c r="C173" s="385" t="s">
        <v>3836</v>
      </c>
      <c r="D173" s="386">
        <f t="shared" si="5"/>
        <v>0</v>
      </c>
      <c r="E173" s="425"/>
      <c r="F173" s="426"/>
      <c r="G173" s="416"/>
      <c r="H173" s="427"/>
      <c r="I173" s="427"/>
      <c r="J173" s="396"/>
      <c r="K173" s="427"/>
      <c r="L173"/>
    </row>
    <row r="174" spans="1:12" ht="12.75" customHeight="1" x14ac:dyDescent="0.25">
      <c r="A174" s="453" t="s">
        <v>4101</v>
      </c>
      <c r="B174" s="394" t="s">
        <v>4131</v>
      </c>
      <c r="C174" s="385" t="s">
        <v>3836</v>
      </c>
      <c r="D174" s="386">
        <f t="shared" si="5"/>
        <v>0</v>
      </c>
      <c r="E174" s="425"/>
      <c r="F174" s="426"/>
      <c r="G174" s="416"/>
      <c r="H174" s="427"/>
      <c r="I174" s="427"/>
      <c r="J174" s="396"/>
      <c r="K174" s="427"/>
      <c r="L174"/>
    </row>
    <row r="175" spans="1:12" ht="12.75" customHeight="1" x14ac:dyDescent="0.25">
      <c r="A175" s="453" t="s">
        <v>4102</v>
      </c>
      <c r="B175" s="394" t="s">
        <v>4132</v>
      </c>
      <c r="C175" s="385" t="s">
        <v>3836</v>
      </c>
      <c r="D175" s="386">
        <f t="shared" si="5"/>
        <v>0</v>
      </c>
      <c r="E175" s="425"/>
      <c r="F175" s="426"/>
      <c r="G175" s="416"/>
      <c r="H175" s="427"/>
      <c r="I175" s="427"/>
      <c r="J175" s="396"/>
      <c r="K175" s="427"/>
      <c r="L175"/>
    </row>
    <row r="176" spans="1:12" ht="12.75" customHeight="1" x14ac:dyDescent="0.25">
      <c r="A176" s="453" t="s">
        <v>4103</v>
      </c>
      <c r="B176" s="394" t="s">
        <v>4133</v>
      </c>
      <c r="C176" s="385" t="s">
        <v>3836</v>
      </c>
      <c r="D176" s="386">
        <f t="shared" si="5"/>
        <v>0</v>
      </c>
      <c r="E176" s="425"/>
      <c r="F176" s="426"/>
      <c r="G176" s="396"/>
      <c r="H176" s="427"/>
      <c r="I176" s="427"/>
      <c r="J176" s="396"/>
      <c r="K176" s="427"/>
      <c r="L176"/>
    </row>
    <row r="177" spans="1:12" ht="12.75" customHeight="1" x14ac:dyDescent="0.25">
      <c r="A177" s="453"/>
      <c r="B177" s="394"/>
      <c r="C177" s="385"/>
      <c r="D177" s="386">
        <f t="shared" si="5"/>
        <v>0</v>
      </c>
      <c r="E177" s="426"/>
      <c r="F177" s="426"/>
      <c r="G177" s="396"/>
      <c r="H177" s="427"/>
      <c r="I177" s="427"/>
      <c r="J177" s="396"/>
      <c r="K177" s="427"/>
      <c r="L177"/>
    </row>
    <row r="178" spans="1:12" ht="12.75" customHeight="1" thickBot="1" x14ac:dyDescent="0.3">
      <c r="A178" s="401"/>
      <c r="B178" s="402"/>
      <c r="C178" s="402" t="s">
        <v>3823</v>
      </c>
      <c r="D178" s="403">
        <f>SUM(D147:D177)</f>
        <v>0</v>
      </c>
      <c r="E178" s="403">
        <f>SUM(E147:E177)</f>
        <v>0</v>
      </c>
      <c r="F178" s="403">
        <f t="shared" ref="F178:J178" si="6">SUM(F147:F177)</f>
        <v>0</v>
      </c>
      <c r="G178" s="403">
        <f t="shared" si="6"/>
        <v>0</v>
      </c>
      <c r="H178" s="403">
        <f t="shared" si="6"/>
        <v>0</v>
      </c>
      <c r="I178" s="403">
        <f t="shared" si="6"/>
        <v>0</v>
      </c>
      <c r="J178" s="403">
        <f t="shared" si="6"/>
        <v>0</v>
      </c>
      <c r="K178" s="403">
        <v>0</v>
      </c>
      <c r="L178"/>
    </row>
    <row r="181" spans="1:12" ht="12.75" customHeight="1" x14ac:dyDescent="0.25">
      <c r="A181" s="126" t="s">
        <v>92</v>
      </c>
      <c r="B181" s="126"/>
      <c r="C181" s="126"/>
      <c r="D181" s="126"/>
      <c r="E181" s="126"/>
      <c r="F181" s="126"/>
      <c r="G181" s="126"/>
      <c r="H181" s="126"/>
      <c r="I181" s="126"/>
      <c r="J181" s="126"/>
      <c r="K181" s="126"/>
      <c r="L181"/>
    </row>
    <row r="182" spans="1:12" ht="12.75" customHeight="1" x14ac:dyDescent="0.25">
      <c r="A182" s="126" t="s">
        <v>1</v>
      </c>
      <c r="B182" s="126"/>
      <c r="C182" s="126"/>
      <c r="D182" s="126"/>
      <c r="E182" s="126"/>
      <c r="F182" s="126"/>
      <c r="G182" s="126"/>
      <c r="H182" s="126"/>
      <c r="I182" s="126"/>
      <c r="J182" s="126"/>
      <c r="K182" s="126"/>
      <c r="L182"/>
    </row>
    <row r="183" spans="1:12" ht="12.75" customHeight="1" x14ac:dyDescent="0.25">
      <c r="A183" s="586" t="s">
        <v>3824</v>
      </c>
      <c r="B183" s="586"/>
      <c r="C183" s="586"/>
      <c r="D183" s="586"/>
      <c r="E183" s="586"/>
      <c r="F183" s="586"/>
      <c r="G183" s="586"/>
      <c r="H183" s="586"/>
      <c r="I183" s="586"/>
      <c r="J183" s="586"/>
      <c r="K183" s="586"/>
      <c r="L183"/>
    </row>
    <row r="184" spans="1:12" ht="12.75" customHeight="1" x14ac:dyDescent="0.25">
      <c r="A184" s="586" t="s">
        <v>3825</v>
      </c>
      <c r="B184" s="586"/>
      <c r="C184" s="586"/>
      <c r="D184" s="586"/>
      <c r="E184" s="586"/>
      <c r="F184" s="586"/>
      <c r="G184" s="586"/>
      <c r="H184" s="586"/>
      <c r="I184" s="586"/>
      <c r="J184" s="586"/>
      <c r="K184" s="586"/>
      <c r="L184"/>
    </row>
    <row r="185" spans="1:12" ht="12.75" customHeight="1" x14ac:dyDescent="0.25">
      <c r="A185" s="586" t="s">
        <v>3795</v>
      </c>
      <c r="B185" s="586"/>
      <c r="C185" s="586"/>
      <c r="D185" s="586"/>
      <c r="E185" s="586"/>
      <c r="F185" s="586"/>
      <c r="G185" s="586"/>
      <c r="H185" s="586"/>
      <c r="I185" s="586"/>
      <c r="J185" s="586"/>
      <c r="K185" s="586"/>
      <c r="L185"/>
    </row>
    <row r="186" spans="1:12" ht="12.75" customHeight="1" x14ac:dyDescent="0.25">
      <c r="A186" s="126"/>
      <c r="B186" s="126"/>
      <c r="C186" s="126"/>
      <c r="D186" s="126"/>
      <c r="E186" s="126"/>
      <c r="F186" s="126"/>
      <c r="G186" s="126"/>
      <c r="H186" s="126"/>
      <c r="I186" s="126"/>
      <c r="J186" s="126"/>
      <c r="K186" s="126"/>
      <c r="L186"/>
    </row>
    <row r="187" spans="1:12" ht="12.75" customHeight="1" x14ac:dyDescent="0.25">
      <c r="A187" s="627" t="s">
        <v>12</v>
      </c>
      <c r="B187" s="627" t="s">
        <v>91</v>
      </c>
      <c r="C187" s="627" t="s">
        <v>13</v>
      </c>
      <c r="D187" s="406" t="s">
        <v>90</v>
      </c>
      <c r="E187" s="628" t="s">
        <v>14</v>
      </c>
      <c r="F187" s="628"/>
      <c r="G187" s="628"/>
      <c r="H187" s="628"/>
      <c r="I187" s="628"/>
      <c r="J187" s="628"/>
      <c r="K187" s="629"/>
      <c r="L187"/>
    </row>
    <row r="188" spans="1:12" ht="12.75" customHeight="1" x14ac:dyDescent="0.25">
      <c r="A188" s="627"/>
      <c r="B188" s="627"/>
      <c r="C188" s="627"/>
      <c r="D188" s="630" t="s">
        <v>3814</v>
      </c>
      <c r="E188" s="632" t="s">
        <v>3826</v>
      </c>
      <c r="F188" s="632"/>
      <c r="G188" s="632"/>
      <c r="H188" s="632"/>
      <c r="I188" s="632"/>
      <c r="J188" s="632"/>
      <c r="K188" s="633"/>
      <c r="L188"/>
    </row>
    <row r="189" spans="1:12" ht="12.75" customHeight="1" x14ac:dyDescent="0.25">
      <c r="A189" s="627"/>
      <c r="B189" s="627"/>
      <c r="C189" s="627"/>
      <c r="D189" s="631"/>
      <c r="E189" s="407" t="s">
        <v>3827</v>
      </c>
      <c r="F189" s="408" t="s">
        <v>3828</v>
      </c>
      <c r="G189" s="409" t="s">
        <v>3829</v>
      </c>
      <c r="H189" s="407" t="s">
        <v>3830</v>
      </c>
      <c r="I189" s="407" t="s">
        <v>3831</v>
      </c>
      <c r="J189" s="634" t="s">
        <v>3832</v>
      </c>
      <c r="K189" s="635"/>
      <c r="L189"/>
    </row>
    <row r="190" spans="1:12" ht="12.75" customHeight="1" x14ac:dyDescent="0.25">
      <c r="A190" s="627"/>
      <c r="B190" s="627"/>
      <c r="C190" s="627"/>
      <c r="D190" s="406" t="s">
        <v>3312</v>
      </c>
      <c r="E190" s="405" t="s">
        <v>3306</v>
      </c>
      <c r="F190" s="405" t="s">
        <v>3833</v>
      </c>
      <c r="G190" s="410" t="s">
        <v>3777</v>
      </c>
      <c r="H190" s="405" t="s">
        <v>3834</v>
      </c>
      <c r="I190" s="405" t="s">
        <v>3311</v>
      </c>
      <c r="J190" s="411" t="s">
        <v>3823</v>
      </c>
      <c r="K190" s="406" t="s">
        <v>3835</v>
      </c>
      <c r="L190"/>
    </row>
    <row r="191" spans="1:12" ht="12.75" customHeight="1" x14ac:dyDescent="0.25">
      <c r="A191" s="412"/>
      <c r="B191" s="412"/>
      <c r="C191" s="412"/>
      <c r="D191" s="413"/>
      <c r="E191" s="414"/>
      <c r="F191" s="415"/>
      <c r="G191" s="416"/>
      <c r="H191" s="417"/>
      <c r="I191" s="417"/>
      <c r="J191" s="416"/>
      <c r="K191" s="418"/>
      <c r="L191"/>
    </row>
    <row r="192" spans="1:12" ht="12.75" customHeight="1" x14ac:dyDescent="0.25">
      <c r="A192" s="453" t="s">
        <v>4207</v>
      </c>
      <c r="B192" s="419" t="s">
        <v>4238</v>
      </c>
      <c r="C192" s="385" t="s">
        <v>3836</v>
      </c>
      <c r="D192" s="386">
        <f>SUM(E192:J192)</f>
        <v>0</v>
      </c>
      <c r="E192" s="414"/>
      <c r="F192" s="420"/>
      <c r="G192" s="416"/>
      <c r="H192" s="417"/>
      <c r="I192" s="417"/>
      <c r="J192" s="416"/>
      <c r="K192" s="417"/>
      <c r="L192"/>
    </row>
    <row r="193" spans="1:12" ht="12.75" customHeight="1" x14ac:dyDescent="0.25">
      <c r="A193" s="453" t="s">
        <v>4208</v>
      </c>
      <c r="B193" s="375" t="s">
        <v>4239</v>
      </c>
      <c r="C193" s="385" t="s">
        <v>3836</v>
      </c>
      <c r="D193" s="386">
        <f t="shared" ref="D193:D222" si="7">SUM(E193:J193)</f>
        <v>0</v>
      </c>
      <c r="E193" s="414"/>
      <c r="F193" s="420"/>
      <c r="G193" s="416"/>
      <c r="H193" s="417"/>
      <c r="I193" s="417"/>
      <c r="J193" s="416"/>
      <c r="K193" s="417"/>
      <c r="L193"/>
    </row>
    <row r="194" spans="1:12" ht="12.75" customHeight="1" x14ac:dyDescent="0.25">
      <c r="A194" s="453" t="s">
        <v>4209</v>
      </c>
      <c r="B194" s="384" t="s">
        <v>4240</v>
      </c>
      <c r="C194" s="385" t="s">
        <v>3836</v>
      </c>
      <c r="D194" s="386">
        <f t="shared" si="7"/>
        <v>0</v>
      </c>
      <c r="E194" s="414"/>
      <c r="F194" s="422"/>
      <c r="G194" s="416"/>
      <c r="H194" s="385"/>
      <c r="I194" s="385"/>
      <c r="J194" s="389"/>
      <c r="K194" s="385"/>
      <c r="L194"/>
    </row>
    <row r="195" spans="1:12" ht="12.75" customHeight="1" x14ac:dyDescent="0.25">
      <c r="A195" s="453" t="s">
        <v>4210</v>
      </c>
      <c r="B195" s="384" t="s">
        <v>4241</v>
      </c>
      <c r="C195" s="385" t="s">
        <v>3836</v>
      </c>
      <c r="D195" s="386">
        <f t="shared" si="7"/>
        <v>0</v>
      </c>
      <c r="E195" s="414"/>
      <c r="F195" s="385"/>
      <c r="G195" s="416"/>
      <c r="H195" s="385"/>
      <c r="I195" s="385"/>
      <c r="J195" s="389"/>
      <c r="K195" s="385"/>
      <c r="L195"/>
    </row>
    <row r="196" spans="1:12" ht="12.75" customHeight="1" x14ac:dyDescent="0.25">
      <c r="A196" s="453" t="s">
        <v>4211</v>
      </c>
      <c r="B196" s="384" t="s">
        <v>4242</v>
      </c>
      <c r="C196" s="385" t="s">
        <v>3836</v>
      </c>
      <c r="D196" s="386">
        <f t="shared" si="7"/>
        <v>0</v>
      </c>
      <c r="E196" s="414"/>
      <c r="F196" s="385"/>
      <c r="G196" s="416"/>
      <c r="H196" s="385"/>
      <c r="I196" s="385"/>
      <c r="J196" s="389"/>
      <c r="K196" s="385"/>
      <c r="L196"/>
    </row>
    <row r="197" spans="1:12" ht="12.75" customHeight="1" x14ac:dyDescent="0.25">
      <c r="A197" s="453" t="s">
        <v>4212</v>
      </c>
      <c r="B197" s="384" t="s">
        <v>4243</v>
      </c>
      <c r="C197" s="385" t="s">
        <v>3836</v>
      </c>
      <c r="D197" s="386">
        <f t="shared" si="7"/>
        <v>0</v>
      </c>
      <c r="E197" s="414"/>
      <c r="F197" s="386"/>
      <c r="G197" s="416"/>
      <c r="H197" s="385"/>
      <c r="I197" s="385"/>
      <c r="J197" s="389"/>
      <c r="K197" s="385"/>
      <c r="L197"/>
    </row>
    <row r="198" spans="1:12" ht="12.75" customHeight="1" x14ac:dyDescent="0.25">
      <c r="A198" s="453" t="s">
        <v>4213</v>
      </c>
      <c r="B198" s="384" t="s">
        <v>4244</v>
      </c>
      <c r="C198" s="385" t="s">
        <v>3836</v>
      </c>
      <c r="D198" s="386">
        <f t="shared" si="7"/>
        <v>0</v>
      </c>
      <c r="E198" s="414"/>
      <c r="F198" s="385"/>
      <c r="G198" s="416"/>
      <c r="H198" s="385"/>
      <c r="I198" s="385"/>
      <c r="J198" s="389"/>
      <c r="K198" s="385"/>
      <c r="L198"/>
    </row>
    <row r="199" spans="1:12" ht="12.75" customHeight="1" x14ac:dyDescent="0.25">
      <c r="A199" s="453" t="s">
        <v>4214</v>
      </c>
      <c r="B199" s="423" t="s">
        <v>4245</v>
      </c>
      <c r="C199" s="385" t="s">
        <v>3836</v>
      </c>
      <c r="D199" s="386">
        <f t="shared" si="7"/>
        <v>0</v>
      </c>
      <c r="E199" s="414"/>
      <c r="F199" s="386"/>
      <c r="G199" s="416"/>
      <c r="H199" s="385"/>
      <c r="I199" s="385"/>
      <c r="J199" s="389"/>
      <c r="K199" s="385"/>
      <c r="L199"/>
    </row>
    <row r="200" spans="1:12" ht="12.75" customHeight="1" x14ac:dyDescent="0.25">
      <c r="A200" s="453" t="s">
        <v>4215</v>
      </c>
      <c r="B200" s="394" t="s">
        <v>4246</v>
      </c>
      <c r="C200" s="385" t="s">
        <v>3836</v>
      </c>
      <c r="D200" s="386">
        <f t="shared" si="7"/>
        <v>0</v>
      </c>
      <c r="E200" s="414"/>
      <c r="F200" s="385"/>
      <c r="G200" s="416"/>
      <c r="H200" s="386"/>
      <c r="I200" s="386"/>
      <c r="J200" s="389"/>
      <c r="K200" s="385"/>
      <c r="L200"/>
    </row>
    <row r="201" spans="1:12" ht="12.75" customHeight="1" x14ac:dyDescent="0.25">
      <c r="A201" s="453" t="s">
        <v>4216</v>
      </c>
      <c r="B201" s="394" t="s">
        <v>4247</v>
      </c>
      <c r="C201" s="385" t="s">
        <v>3836</v>
      </c>
      <c r="D201" s="386">
        <f t="shared" si="7"/>
        <v>0</v>
      </c>
      <c r="E201" s="414"/>
      <c r="F201" s="385"/>
      <c r="G201" s="416"/>
      <c r="H201" s="385"/>
      <c r="I201" s="385"/>
      <c r="J201" s="389"/>
      <c r="K201" s="385"/>
      <c r="L201"/>
    </row>
    <row r="202" spans="1:12" ht="12.75" customHeight="1" x14ac:dyDescent="0.25">
      <c r="A202" s="453" t="s">
        <v>4217</v>
      </c>
      <c r="B202" s="394" t="s">
        <v>4248</v>
      </c>
      <c r="C202" s="385" t="s">
        <v>3836</v>
      </c>
      <c r="D202" s="386">
        <f t="shared" si="7"/>
        <v>0</v>
      </c>
      <c r="E202" s="414"/>
      <c r="F202" s="385"/>
      <c r="G202" s="416"/>
      <c r="H202" s="385"/>
      <c r="I202" s="385"/>
      <c r="J202" s="389"/>
      <c r="K202" s="385"/>
      <c r="L202"/>
    </row>
    <row r="203" spans="1:12" ht="12.75" customHeight="1" x14ac:dyDescent="0.25">
      <c r="A203" s="453" t="s">
        <v>4218</v>
      </c>
      <c r="B203" s="394" t="s">
        <v>4249</v>
      </c>
      <c r="C203" s="385" t="s">
        <v>3836</v>
      </c>
      <c r="D203" s="386">
        <f t="shared" si="7"/>
        <v>0</v>
      </c>
      <c r="E203" s="414"/>
      <c r="F203" s="385"/>
      <c r="G203" s="416"/>
      <c r="H203" s="385"/>
      <c r="I203" s="385"/>
      <c r="J203" s="389"/>
      <c r="K203" s="385"/>
      <c r="L203"/>
    </row>
    <row r="204" spans="1:12" ht="12.75" customHeight="1" x14ac:dyDescent="0.25">
      <c r="A204" s="453" t="s">
        <v>4219</v>
      </c>
      <c r="B204" s="394" t="s">
        <v>4250</v>
      </c>
      <c r="C204" s="385" t="s">
        <v>3836</v>
      </c>
      <c r="D204" s="386">
        <f t="shared" si="7"/>
        <v>0</v>
      </c>
      <c r="E204" s="414"/>
      <c r="F204" s="385"/>
      <c r="G204" s="416"/>
      <c r="H204" s="385"/>
      <c r="I204" s="385"/>
      <c r="J204" s="456"/>
      <c r="K204" s="385"/>
      <c r="L204"/>
    </row>
    <row r="205" spans="1:12" ht="12.75" customHeight="1" x14ac:dyDescent="0.25">
      <c r="A205" s="453" t="s">
        <v>4220</v>
      </c>
      <c r="B205" s="391" t="s">
        <v>4251</v>
      </c>
      <c r="C205" s="385" t="s">
        <v>3836</v>
      </c>
      <c r="D205" s="386">
        <f t="shared" si="7"/>
        <v>0</v>
      </c>
      <c r="E205" s="414"/>
      <c r="F205" s="385"/>
      <c r="G205" s="416"/>
      <c r="H205" s="385"/>
      <c r="I205" s="385"/>
      <c r="J205" s="456">
        <v>0</v>
      </c>
      <c r="K205" s="385" t="s">
        <v>3837</v>
      </c>
      <c r="L205"/>
    </row>
    <row r="206" spans="1:12" ht="12.75" customHeight="1" x14ac:dyDescent="0.25">
      <c r="A206" s="453" t="s">
        <v>4221</v>
      </c>
      <c r="B206" s="391" t="s">
        <v>4252</v>
      </c>
      <c r="C206" s="385" t="s">
        <v>3836</v>
      </c>
      <c r="D206" s="386">
        <f t="shared" si="7"/>
        <v>0</v>
      </c>
      <c r="E206" s="414"/>
      <c r="F206" s="385"/>
      <c r="G206" s="416"/>
      <c r="H206" s="385"/>
      <c r="I206" s="385"/>
      <c r="J206" s="389"/>
      <c r="K206" s="385"/>
      <c r="L206"/>
    </row>
    <row r="207" spans="1:12" ht="12.75" customHeight="1" x14ac:dyDescent="0.25">
      <c r="A207" s="453" t="s">
        <v>4222</v>
      </c>
      <c r="B207" s="394" t="s">
        <v>4253</v>
      </c>
      <c r="C207" s="385" t="s">
        <v>3836</v>
      </c>
      <c r="D207" s="386">
        <f t="shared" si="7"/>
        <v>0</v>
      </c>
      <c r="E207" s="414"/>
      <c r="F207" s="386"/>
      <c r="G207" s="416"/>
      <c r="H207" s="385"/>
      <c r="I207" s="385"/>
      <c r="J207" s="389"/>
      <c r="K207" s="385"/>
      <c r="L207"/>
    </row>
    <row r="208" spans="1:12" ht="12.75" customHeight="1" x14ac:dyDescent="0.25">
      <c r="A208" s="453" t="s">
        <v>4223</v>
      </c>
      <c r="B208" s="394" t="s">
        <v>4254</v>
      </c>
      <c r="C208" s="385" t="s">
        <v>3836</v>
      </c>
      <c r="D208" s="386">
        <f t="shared" si="7"/>
        <v>0</v>
      </c>
      <c r="E208" s="414"/>
      <c r="F208" s="426"/>
      <c r="G208" s="416"/>
      <c r="H208" s="427"/>
      <c r="I208" s="427"/>
      <c r="J208" s="396"/>
      <c r="K208" s="427"/>
      <c r="L208"/>
    </row>
    <row r="209" spans="1:12" ht="12.75" customHeight="1" x14ac:dyDescent="0.25">
      <c r="A209" s="453" t="s">
        <v>4224</v>
      </c>
      <c r="B209" s="394" t="s">
        <v>4255</v>
      </c>
      <c r="C209" s="385" t="s">
        <v>3836</v>
      </c>
      <c r="D209" s="386">
        <f t="shared" si="7"/>
        <v>0</v>
      </c>
      <c r="E209" s="414"/>
      <c r="F209" s="426"/>
      <c r="G209" s="416"/>
      <c r="H209" s="427"/>
      <c r="I209" s="427"/>
      <c r="J209" s="396"/>
      <c r="K209" s="427"/>
      <c r="L209"/>
    </row>
    <row r="210" spans="1:12" ht="12.75" customHeight="1" x14ac:dyDescent="0.25">
      <c r="A210" s="453" t="s">
        <v>4225</v>
      </c>
      <c r="B210" s="394" t="s">
        <v>4256</v>
      </c>
      <c r="C210" s="385" t="s">
        <v>3836</v>
      </c>
      <c r="D210" s="386">
        <f t="shared" si="7"/>
        <v>0</v>
      </c>
      <c r="E210" s="414"/>
      <c r="F210" s="426"/>
      <c r="G210" s="416"/>
      <c r="H210" s="427"/>
      <c r="I210" s="427"/>
      <c r="J210" s="396"/>
      <c r="K210" s="427"/>
      <c r="L210"/>
    </row>
    <row r="211" spans="1:12" ht="12.75" customHeight="1" x14ac:dyDescent="0.25">
      <c r="A211" s="453" t="s">
        <v>4226</v>
      </c>
      <c r="B211" s="394" t="s">
        <v>4257</v>
      </c>
      <c r="C211" s="385" t="s">
        <v>3836</v>
      </c>
      <c r="D211" s="386">
        <f t="shared" si="7"/>
        <v>0</v>
      </c>
      <c r="E211" s="414"/>
      <c r="F211" s="426"/>
      <c r="G211" s="416"/>
      <c r="H211" s="427"/>
      <c r="I211" s="427"/>
      <c r="J211" s="396"/>
      <c r="K211" s="385"/>
      <c r="L211"/>
    </row>
    <row r="212" spans="1:12" ht="12.75" customHeight="1" x14ac:dyDescent="0.25">
      <c r="A212" s="453" t="s">
        <v>4227</v>
      </c>
      <c r="B212" s="394" t="s">
        <v>4258</v>
      </c>
      <c r="C212" s="385" t="s">
        <v>3836</v>
      </c>
      <c r="D212" s="386">
        <f t="shared" si="7"/>
        <v>0</v>
      </c>
      <c r="E212" s="414"/>
      <c r="F212" s="426"/>
      <c r="G212" s="416"/>
      <c r="H212" s="427"/>
      <c r="I212" s="427"/>
      <c r="J212" s="396"/>
      <c r="K212" s="385"/>
      <c r="L212"/>
    </row>
    <row r="213" spans="1:12" ht="12.75" customHeight="1" x14ac:dyDescent="0.25">
      <c r="A213" s="453" t="s">
        <v>4228</v>
      </c>
      <c r="B213" s="394" t="s">
        <v>4259</v>
      </c>
      <c r="C213" s="385" t="s">
        <v>3836</v>
      </c>
      <c r="D213" s="386">
        <f t="shared" si="7"/>
        <v>0</v>
      </c>
      <c r="E213" s="414"/>
      <c r="F213" s="426"/>
      <c r="G213" s="416"/>
      <c r="H213" s="427"/>
      <c r="I213" s="427"/>
      <c r="J213" s="396"/>
      <c r="K213" s="385"/>
      <c r="L213"/>
    </row>
    <row r="214" spans="1:12" ht="12.75" customHeight="1" x14ac:dyDescent="0.25">
      <c r="A214" s="453" t="s">
        <v>4229</v>
      </c>
      <c r="B214" s="384" t="s">
        <v>4260</v>
      </c>
      <c r="C214" s="385" t="s">
        <v>3836</v>
      </c>
      <c r="D214" s="386">
        <f t="shared" si="7"/>
        <v>0</v>
      </c>
      <c r="E214" s="414"/>
      <c r="F214" s="426"/>
      <c r="G214" s="416"/>
      <c r="H214" s="427"/>
      <c r="I214" s="427"/>
      <c r="J214" s="396"/>
      <c r="K214" s="385"/>
      <c r="L214"/>
    </row>
    <row r="215" spans="1:12" ht="12.75" customHeight="1" x14ac:dyDescent="0.25">
      <c r="A215" s="453" t="s">
        <v>4230</v>
      </c>
      <c r="B215" s="384" t="s">
        <v>4261</v>
      </c>
      <c r="C215" s="385" t="s">
        <v>3836</v>
      </c>
      <c r="D215" s="386">
        <f t="shared" si="7"/>
        <v>0</v>
      </c>
      <c r="E215" s="414"/>
      <c r="F215" s="426"/>
      <c r="G215" s="416"/>
      <c r="H215" s="427"/>
      <c r="I215" s="427"/>
      <c r="J215" s="396"/>
      <c r="K215" s="427"/>
      <c r="L215"/>
    </row>
    <row r="216" spans="1:12" ht="12.75" customHeight="1" x14ac:dyDescent="0.25">
      <c r="A216" s="453" t="s">
        <v>4231</v>
      </c>
      <c r="B216" s="394" t="s">
        <v>4262</v>
      </c>
      <c r="C216" s="385" t="s">
        <v>3836</v>
      </c>
      <c r="D216" s="386">
        <f t="shared" si="7"/>
        <v>0</v>
      </c>
      <c r="E216" s="414"/>
      <c r="F216" s="426"/>
      <c r="G216" s="416"/>
      <c r="H216" s="427"/>
      <c r="I216" s="427"/>
      <c r="J216" s="396"/>
      <c r="K216" s="385"/>
      <c r="L216"/>
    </row>
    <row r="217" spans="1:12" ht="12.75" customHeight="1" x14ac:dyDescent="0.25">
      <c r="A217" s="453" t="s">
        <v>4232</v>
      </c>
      <c r="B217" s="394" t="s">
        <v>4263</v>
      </c>
      <c r="C217" s="385" t="s">
        <v>3836</v>
      </c>
      <c r="D217" s="386">
        <f t="shared" si="7"/>
        <v>0</v>
      </c>
      <c r="E217" s="414"/>
      <c r="F217" s="426"/>
      <c r="G217" s="416"/>
      <c r="H217" s="427"/>
      <c r="I217" s="427"/>
      <c r="J217" s="396"/>
      <c r="K217" s="427"/>
      <c r="L217"/>
    </row>
    <row r="218" spans="1:12" ht="12.75" customHeight="1" x14ac:dyDescent="0.25">
      <c r="A218" s="453" t="s">
        <v>4233</v>
      </c>
      <c r="B218" s="394" t="s">
        <v>4264</v>
      </c>
      <c r="C218" s="385" t="s">
        <v>3836</v>
      </c>
      <c r="D218" s="386">
        <f t="shared" si="7"/>
        <v>0</v>
      </c>
      <c r="E218" s="414"/>
      <c r="F218" s="426"/>
      <c r="G218" s="416"/>
      <c r="H218" s="427"/>
      <c r="I218" s="427"/>
      <c r="J218" s="396"/>
      <c r="K218" s="427"/>
      <c r="L218"/>
    </row>
    <row r="219" spans="1:12" ht="12.75" customHeight="1" x14ac:dyDescent="0.25">
      <c r="A219" s="453" t="s">
        <v>4234</v>
      </c>
      <c r="B219" s="394" t="s">
        <v>4265</v>
      </c>
      <c r="C219" s="385" t="s">
        <v>3836</v>
      </c>
      <c r="D219" s="386">
        <f t="shared" si="7"/>
        <v>0</v>
      </c>
      <c r="E219" s="426"/>
      <c r="F219" s="426"/>
      <c r="G219" s="416"/>
      <c r="H219" s="427"/>
      <c r="I219" s="427"/>
      <c r="J219" s="396"/>
      <c r="K219" s="427"/>
      <c r="L219"/>
    </row>
    <row r="220" spans="1:12" ht="12.75" customHeight="1" x14ac:dyDescent="0.25">
      <c r="A220" s="453" t="s">
        <v>4235</v>
      </c>
      <c r="B220" s="394" t="s">
        <v>4266</v>
      </c>
      <c r="C220" s="385" t="s">
        <v>3836</v>
      </c>
      <c r="D220" s="386">
        <f t="shared" si="7"/>
        <v>0</v>
      </c>
      <c r="E220" s="426"/>
      <c r="F220" s="426"/>
      <c r="G220" s="416"/>
      <c r="H220" s="427"/>
      <c r="I220" s="427"/>
      <c r="J220" s="396"/>
      <c r="K220" s="427"/>
      <c r="L220"/>
    </row>
    <row r="221" spans="1:12" ht="12.75" customHeight="1" x14ac:dyDescent="0.25">
      <c r="A221" s="453" t="s">
        <v>4236</v>
      </c>
      <c r="B221" s="394" t="s">
        <v>4267</v>
      </c>
      <c r="C221" s="385" t="s">
        <v>3836</v>
      </c>
      <c r="D221" s="386">
        <f t="shared" si="7"/>
        <v>0</v>
      </c>
      <c r="E221" s="426"/>
      <c r="F221" s="426"/>
      <c r="G221" s="416"/>
      <c r="H221" s="427"/>
      <c r="I221" s="427"/>
      <c r="J221" s="396"/>
      <c r="K221" s="427"/>
      <c r="L221"/>
    </row>
    <row r="222" spans="1:12" ht="12.75" customHeight="1" x14ac:dyDescent="0.25">
      <c r="A222" s="453" t="s">
        <v>4237</v>
      </c>
      <c r="B222" s="394" t="s">
        <v>4268</v>
      </c>
      <c r="C222" s="385" t="s">
        <v>3836</v>
      </c>
      <c r="D222" s="386">
        <f t="shared" si="7"/>
        <v>0</v>
      </c>
      <c r="E222" s="426"/>
      <c r="F222" s="426"/>
      <c r="G222" s="416"/>
      <c r="H222" s="427"/>
      <c r="I222" s="427"/>
      <c r="J222" s="396"/>
      <c r="K222" s="427"/>
      <c r="L222"/>
    </row>
    <row r="223" spans="1:12" ht="12.75" customHeight="1" thickBot="1" x14ac:dyDescent="0.3">
      <c r="A223" s="401"/>
      <c r="B223" s="402"/>
      <c r="C223" s="402" t="s">
        <v>3823</v>
      </c>
      <c r="D223" s="403">
        <f>SUM(D192:D222)</f>
        <v>0</v>
      </c>
      <c r="E223" s="403">
        <f>SUM(E192:E222)</f>
        <v>0</v>
      </c>
      <c r="F223" s="403">
        <f t="shared" ref="F223:J223" si="8">SUM(F192:F222)</f>
        <v>0</v>
      </c>
      <c r="G223" s="403">
        <f t="shared" si="8"/>
        <v>0</v>
      </c>
      <c r="H223" s="403">
        <f t="shared" si="8"/>
        <v>0</v>
      </c>
      <c r="I223" s="403">
        <f t="shared" si="8"/>
        <v>0</v>
      </c>
      <c r="J223" s="403">
        <f t="shared" si="8"/>
        <v>0</v>
      </c>
      <c r="K223" s="403">
        <v>0</v>
      </c>
      <c r="L223"/>
    </row>
    <row r="226" spans="1:11" ht="12.75" customHeight="1" x14ac:dyDescent="0.2">
      <c r="A226" s="126" t="s">
        <v>92</v>
      </c>
      <c r="B226" s="126"/>
      <c r="C226" s="126"/>
      <c r="D226" s="126"/>
      <c r="E226" s="126"/>
      <c r="F226" s="126"/>
      <c r="G226" s="126"/>
      <c r="H226" s="126"/>
      <c r="I226" s="126"/>
      <c r="J226" s="126"/>
      <c r="K226" s="126"/>
    </row>
    <row r="227" spans="1:11" ht="12.75" customHeight="1" x14ac:dyDescent="0.2">
      <c r="A227" s="126" t="s">
        <v>1</v>
      </c>
      <c r="B227" s="126"/>
      <c r="C227" s="126"/>
      <c r="D227" s="126"/>
      <c r="E227" s="126"/>
      <c r="F227" s="126"/>
      <c r="G227" s="126"/>
      <c r="H227" s="126"/>
      <c r="I227" s="126"/>
      <c r="J227" s="126"/>
      <c r="K227" s="126"/>
    </row>
    <row r="228" spans="1:11" ht="12.75" customHeight="1" x14ac:dyDescent="0.2">
      <c r="A228" s="586" t="s">
        <v>3824</v>
      </c>
      <c r="B228" s="586"/>
      <c r="C228" s="586"/>
      <c r="D228" s="586"/>
      <c r="E228" s="586"/>
      <c r="F228" s="586"/>
      <c r="G228" s="586"/>
      <c r="H228" s="586"/>
      <c r="I228" s="586"/>
      <c r="J228" s="586"/>
      <c r="K228" s="586"/>
    </row>
    <row r="229" spans="1:11" ht="12.75" customHeight="1" x14ac:dyDescent="0.2">
      <c r="A229" s="586" t="s">
        <v>3825</v>
      </c>
      <c r="B229" s="586"/>
      <c r="C229" s="586"/>
      <c r="D229" s="586"/>
      <c r="E229" s="586"/>
      <c r="F229" s="586"/>
      <c r="G229" s="586"/>
      <c r="H229" s="586"/>
      <c r="I229" s="586"/>
      <c r="J229" s="586"/>
      <c r="K229" s="586"/>
    </row>
    <row r="230" spans="1:11" ht="12.75" customHeight="1" x14ac:dyDescent="0.2">
      <c r="A230" s="586" t="s">
        <v>3798</v>
      </c>
      <c r="B230" s="586"/>
      <c r="C230" s="586"/>
      <c r="D230" s="586"/>
      <c r="E230" s="586"/>
      <c r="F230" s="586"/>
      <c r="G230" s="586"/>
      <c r="H230" s="586"/>
      <c r="I230" s="586"/>
      <c r="J230" s="586"/>
      <c r="K230" s="586"/>
    </row>
    <row r="231" spans="1:11" ht="12.75" customHeight="1" x14ac:dyDescent="0.2">
      <c r="A231" s="126"/>
      <c r="B231" s="126"/>
      <c r="C231" s="126"/>
      <c r="D231" s="126"/>
      <c r="E231" s="126"/>
      <c r="F231" s="126"/>
      <c r="G231" s="126"/>
      <c r="H231" s="126"/>
      <c r="I231" s="126"/>
      <c r="J231" s="126"/>
      <c r="K231" s="126"/>
    </row>
    <row r="232" spans="1:11" ht="12.75" customHeight="1" x14ac:dyDescent="0.2">
      <c r="A232" s="627" t="s">
        <v>12</v>
      </c>
      <c r="B232" s="627" t="s">
        <v>91</v>
      </c>
      <c r="C232" s="627" t="s">
        <v>13</v>
      </c>
      <c r="D232" s="406" t="s">
        <v>90</v>
      </c>
      <c r="E232" s="628" t="s">
        <v>14</v>
      </c>
      <c r="F232" s="628"/>
      <c r="G232" s="628"/>
      <c r="H232" s="628"/>
      <c r="I232" s="628"/>
      <c r="J232" s="628"/>
      <c r="K232" s="629"/>
    </row>
    <row r="233" spans="1:11" ht="12.75" customHeight="1" x14ac:dyDescent="0.2">
      <c r="A233" s="627"/>
      <c r="B233" s="627"/>
      <c r="C233" s="627"/>
      <c r="D233" s="630" t="s">
        <v>3814</v>
      </c>
      <c r="E233" s="632" t="s">
        <v>3826</v>
      </c>
      <c r="F233" s="632"/>
      <c r="G233" s="632"/>
      <c r="H233" s="632"/>
      <c r="I233" s="632"/>
      <c r="J233" s="632"/>
      <c r="K233" s="633"/>
    </row>
    <row r="234" spans="1:11" ht="12.75" customHeight="1" x14ac:dyDescent="0.2">
      <c r="A234" s="627"/>
      <c r="B234" s="627"/>
      <c r="C234" s="627"/>
      <c r="D234" s="631"/>
      <c r="E234" s="407" t="s">
        <v>3827</v>
      </c>
      <c r="F234" s="408" t="s">
        <v>3828</v>
      </c>
      <c r="G234" s="409" t="s">
        <v>3829</v>
      </c>
      <c r="H234" s="407" t="s">
        <v>3830</v>
      </c>
      <c r="I234" s="407" t="s">
        <v>3831</v>
      </c>
      <c r="J234" s="634" t="s">
        <v>3832</v>
      </c>
      <c r="K234" s="635"/>
    </row>
    <row r="235" spans="1:11" ht="12.75" customHeight="1" x14ac:dyDescent="0.2">
      <c r="A235" s="627"/>
      <c r="B235" s="627"/>
      <c r="C235" s="627"/>
      <c r="D235" s="406" t="s">
        <v>3312</v>
      </c>
      <c r="E235" s="405" t="s">
        <v>3306</v>
      </c>
      <c r="F235" s="405" t="s">
        <v>3833</v>
      </c>
      <c r="G235" s="410" t="s">
        <v>3777</v>
      </c>
      <c r="H235" s="405" t="s">
        <v>3834</v>
      </c>
      <c r="I235" s="405" t="s">
        <v>3311</v>
      </c>
      <c r="J235" s="411" t="s">
        <v>3823</v>
      </c>
      <c r="K235" s="406" t="s">
        <v>3835</v>
      </c>
    </row>
    <row r="236" spans="1:11" ht="12.75" customHeight="1" x14ac:dyDescent="0.25">
      <c r="A236" s="412"/>
      <c r="B236" s="412"/>
      <c r="C236" s="412"/>
      <c r="D236" s="413"/>
      <c r="E236" s="414"/>
      <c r="F236" s="415"/>
      <c r="G236" s="416"/>
      <c r="H236" s="417"/>
      <c r="I236" s="417"/>
      <c r="J236" s="416"/>
      <c r="K236" s="418"/>
    </row>
    <row r="237" spans="1:11" ht="12.75" customHeight="1" x14ac:dyDescent="0.2">
      <c r="A237" s="453" t="s">
        <v>4277</v>
      </c>
      <c r="B237" s="419" t="s">
        <v>4308</v>
      </c>
      <c r="C237" s="385" t="s">
        <v>3836</v>
      </c>
      <c r="D237" s="386">
        <f>SUM(E237:J237)</f>
        <v>0</v>
      </c>
      <c r="E237" s="459"/>
      <c r="F237" s="420"/>
      <c r="G237" s="416"/>
      <c r="H237" s="417"/>
      <c r="I237" s="471"/>
      <c r="J237" s="416"/>
      <c r="K237" s="417"/>
    </row>
    <row r="238" spans="1:11" ht="12.75" customHeight="1" x14ac:dyDescent="0.2">
      <c r="A238" s="453" t="s">
        <v>4278</v>
      </c>
      <c r="B238" s="375" t="s">
        <v>4309</v>
      </c>
      <c r="C238" s="385" t="s">
        <v>3836</v>
      </c>
      <c r="D238" s="386">
        <f t="shared" ref="D238:D266" si="9">SUM(E238:J238)</f>
        <v>0</v>
      </c>
      <c r="E238" s="459"/>
      <c r="F238" s="420"/>
      <c r="G238" s="416"/>
      <c r="H238" s="417"/>
      <c r="I238" s="471"/>
      <c r="J238" s="416"/>
      <c r="K238" s="417"/>
    </row>
    <row r="239" spans="1:11" ht="12.75" customHeight="1" x14ac:dyDescent="0.2">
      <c r="A239" s="453" t="s">
        <v>4279</v>
      </c>
      <c r="B239" s="384" t="s">
        <v>4310</v>
      </c>
      <c r="C239" s="385" t="s">
        <v>3836</v>
      </c>
      <c r="D239" s="386">
        <f t="shared" si="9"/>
        <v>0</v>
      </c>
      <c r="E239" s="424"/>
      <c r="F239" s="422"/>
      <c r="G239" s="416"/>
      <c r="H239" s="385"/>
      <c r="I239" s="424"/>
      <c r="J239" s="389"/>
      <c r="K239" s="385"/>
    </row>
    <row r="240" spans="1:11" ht="12.75" customHeight="1" x14ac:dyDescent="0.2">
      <c r="A240" s="453" t="s">
        <v>4280</v>
      </c>
      <c r="B240" s="384" t="s">
        <v>4311</v>
      </c>
      <c r="C240" s="385" t="s">
        <v>3836</v>
      </c>
      <c r="D240" s="386">
        <f t="shared" si="9"/>
        <v>0</v>
      </c>
      <c r="E240" s="424"/>
      <c r="F240" s="385"/>
      <c r="G240" s="416"/>
      <c r="H240" s="385"/>
      <c r="I240" s="424"/>
      <c r="J240" s="389"/>
      <c r="K240" s="385"/>
    </row>
    <row r="241" spans="1:11" ht="12.75" customHeight="1" x14ac:dyDescent="0.2">
      <c r="A241" s="453" t="s">
        <v>4281</v>
      </c>
      <c r="B241" s="384" t="s">
        <v>4312</v>
      </c>
      <c r="C241" s="385" t="s">
        <v>3836</v>
      </c>
      <c r="D241" s="386">
        <f t="shared" si="9"/>
        <v>0</v>
      </c>
      <c r="E241" s="424"/>
      <c r="F241" s="385"/>
      <c r="G241" s="416"/>
      <c r="H241" s="385"/>
      <c r="I241" s="424"/>
      <c r="J241" s="389"/>
      <c r="K241" s="385"/>
    </row>
    <row r="242" spans="1:11" ht="12.75" customHeight="1" x14ac:dyDescent="0.2">
      <c r="A242" s="453" t="s">
        <v>4282</v>
      </c>
      <c r="B242" s="384" t="s">
        <v>4313</v>
      </c>
      <c r="C242" s="385" t="s">
        <v>3836</v>
      </c>
      <c r="D242" s="386">
        <f t="shared" si="9"/>
        <v>0</v>
      </c>
      <c r="E242" s="424"/>
      <c r="F242" s="386"/>
      <c r="G242" s="416"/>
      <c r="H242" s="385"/>
      <c r="I242" s="424"/>
      <c r="J242" s="389"/>
      <c r="K242" s="385"/>
    </row>
    <row r="243" spans="1:11" ht="12.75" customHeight="1" x14ac:dyDescent="0.2">
      <c r="A243" s="453" t="s">
        <v>4283</v>
      </c>
      <c r="B243" s="384" t="s">
        <v>4314</v>
      </c>
      <c r="C243" s="385" t="s">
        <v>3836</v>
      </c>
      <c r="D243" s="386">
        <f t="shared" si="9"/>
        <v>0</v>
      </c>
      <c r="E243" s="424"/>
      <c r="F243" s="385"/>
      <c r="G243" s="416"/>
      <c r="H243" s="385"/>
      <c r="I243" s="424"/>
      <c r="J243" s="389"/>
      <c r="K243" s="385"/>
    </row>
    <row r="244" spans="1:11" ht="12.75" customHeight="1" x14ac:dyDescent="0.2">
      <c r="A244" s="453" t="s">
        <v>4284</v>
      </c>
      <c r="B244" s="423" t="s">
        <v>4315</v>
      </c>
      <c r="C244" s="385" t="s">
        <v>3836</v>
      </c>
      <c r="D244" s="386">
        <f t="shared" si="9"/>
        <v>0</v>
      </c>
      <c r="E244" s="424"/>
      <c r="F244" s="386"/>
      <c r="G244" s="416"/>
      <c r="H244" s="385"/>
      <c r="I244" s="424"/>
      <c r="J244" s="389"/>
      <c r="K244" s="385"/>
    </row>
    <row r="245" spans="1:11" ht="12.75" customHeight="1" x14ac:dyDescent="0.2">
      <c r="A245" s="453" t="s">
        <v>4285</v>
      </c>
      <c r="B245" s="394" t="s">
        <v>4316</v>
      </c>
      <c r="C245" s="385" t="s">
        <v>3836</v>
      </c>
      <c r="D245" s="386">
        <f t="shared" si="9"/>
        <v>0</v>
      </c>
      <c r="E245" s="424"/>
      <c r="F245" s="385"/>
      <c r="G245" s="416"/>
      <c r="H245" s="386"/>
      <c r="I245" s="424"/>
      <c r="J245" s="389"/>
      <c r="K245" s="385"/>
    </row>
    <row r="246" spans="1:11" ht="12.75" customHeight="1" x14ac:dyDescent="0.2">
      <c r="A246" s="453" t="s">
        <v>4286</v>
      </c>
      <c r="B246" s="394" t="s">
        <v>4317</v>
      </c>
      <c r="C246" s="385" t="s">
        <v>3836</v>
      </c>
      <c r="D246" s="386">
        <f t="shared" si="9"/>
        <v>0</v>
      </c>
      <c r="E246" s="424"/>
      <c r="F246" s="385"/>
      <c r="G246" s="416"/>
      <c r="H246" s="385"/>
      <c r="I246" s="424"/>
      <c r="J246" s="389"/>
      <c r="K246" s="385"/>
    </row>
    <row r="247" spans="1:11" ht="12.75" customHeight="1" x14ac:dyDescent="0.2">
      <c r="A247" s="453" t="s">
        <v>4287</v>
      </c>
      <c r="B247" s="394" t="s">
        <v>4318</v>
      </c>
      <c r="C247" s="385" t="s">
        <v>3836</v>
      </c>
      <c r="D247" s="386">
        <f t="shared" si="9"/>
        <v>0</v>
      </c>
      <c r="E247" s="424"/>
      <c r="F247" s="385"/>
      <c r="G247" s="416"/>
      <c r="H247" s="385"/>
      <c r="I247" s="424"/>
      <c r="J247" s="389"/>
      <c r="K247" s="385"/>
    </row>
    <row r="248" spans="1:11" ht="12.75" customHeight="1" x14ac:dyDescent="0.2">
      <c r="A248" s="453" t="s">
        <v>4288</v>
      </c>
      <c r="B248" s="394" t="s">
        <v>4319</v>
      </c>
      <c r="C248" s="385" t="s">
        <v>3836</v>
      </c>
      <c r="D248" s="386">
        <f t="shared" si="9"/>
        <v>0</v>
      </c>
      <c r="E248" s="424"/>
      <c r="F248" s="385"/>
      <c r="G248" s="416"/>
      <c r="H248" s="385"/>
      <c r="I248" s="424"/>
      <c r="J248" s="389"/>
      <c r="K248" s="385"/>
    </row>
    <row r="249" spans="1:11" ht="12.75" customHeight="1" x14ac:dyDescent="0.2">
      <c r="A249" s="453" t="s">
        <v>4289</v>
      </c>
      <c r="B249" s="394" t="s">
        <v>4320</v>
      </c>
      <c r="C249" s="385" t="s">
        <v>3836</v>
      </c>
      <c r="D249" s="386">
        <f t="shared" si="9"/>
        <v>0</v>
      </c>
      <c r="E249" s="424"/>
      <c r="F249" s="385"/>
      <c r="G249" s="416"/>
      <c r="H249" s="385"/>
      <c r="I249" s="424"/>
      <c r="J249" s="389"/>
      <c r="K249" s="385"/>
    </row>
    <row r="250" spans="1:11" ht="12.75" customHeight="1" x14ac:dyDescent="0.2">
      <c r="A250" s="453" t="s">
        <v>4290</v>
      </c>
      <c r="B250" s="391" t="s">
        <v>4321</v>
      </c>
      <c r="C250" s="385" t="s">
        <v>3836</v>
      </c>
      <c r="D250" s="386">
        <f t="shared" si="9"/>
        <v>0</v>
      </c>
      <c r="E250" s="424"/>
      <c r="F250" s="385"/>
      <c r="G250" s="416"/>
      <c r="H250" s="385"/>
      <c r="I250" s="424"/>
      <c r="J250" s="389"/>
      <c r="K250" s="385"/>
    </row>
    <row r="251" spans="1:11" ht="12.75" customHeight="1" x14ac:dyDescent="0.2">
      <c r="A251" s="453" t="s">
        <v>4291</v>
      </c>
      <c r="B251" s="391" t="s">
        <v>4322</v>
      </c>
      <c r="C251" s="385" t="s">
        <v>3836</v>
      </c>
      <c r="D251" s="386">
        <f t="shared" si="9"/>
        <v>0</v>
      </c>
      <c r="E251" s="424"/>
      <c r="F251" s="385"/>
      <c r="G251" s="416"/>
      <c r="H251" s="385"/>
      <c r="I251" s="424"/>
      <c r="J251" s="389"/>
      <c r="K251" s="385"/>
    </row>
    <row r="252" spans="1:11" ht="12.75" customHeight="1" x14ac:dyDescent="0.2">
      <c r="A252" s="453" t="s">
        <v>4292</v>
      </c>
      <c r="B252" s="394" t="s">
        <v>4323</v>
      </c>
      <c r="C252" s="385" t="s">
        <v>3836</v>
      </c>
      <c r="D252" s="386">
        <f t="shared" si="9"/>
        <v>0</v>
      </c>
      <c r="E252" s="424"/>
      <c r="F252" s="386"/>
      <c r="G252" s="416"/>
      <c r="H252" s="385"/>
      <c r="I252" s="424"/>
      <c r="J252" s="389"/>
      <c r="K252" s="385"/>
    </row>
    <row r="253" spans="1:11" ht="12.75" customHeight="1" x14ac:dyDescent="0.2">
      <c r="A253" s="453" t="s">
        <v>4293</v>
      </c>
      <c r="B253" s="394" t="s">
        <v>4324</v>
      </c>
      <c r="C253" s="385" t="s">
        <v>3836</v>
      </c>
      <c r="D253" s="386">
        <f t="shared" si="9"/>
        <v>0</v>
      </c>
      <c r="E253" s="424"/>
      <c r="F253" s="426"/>
      <c r="G253" s="416"/>
      <c r="H253" s="427"/>
      <c r="I253" s="425"/>
      <c r="J253" s="396"/>
      <c r="K253" s="427"/>
    </row>
    <row r="254" spans="1:11" ht="12.75" customHeight="1" x14ac:dyDescent="0.2">
      <c r="A254" s="453" t="s">
        <v>4294</v>
      </c>
      <c r="B254" s="394" t="s">
        <v>4325</v>
      </c>
      <c r="C254" s="385" t="s">
        <v>3836</v>
      </c>
      <c r="D254" s="386">
        <f t="shared" si="9"/>
        <v>0</v>
      </c>
      <c r="E254" s="424"/>
      <c r="F254" s="426"/>
      <c r="G254" s="416"/>
      <c r="H254" s="427"/>
      <c r="I254" s="425"/>
      <c r="J254" s="396"/>
      <c r="K254" s="427"/>
    </row>
    <row r="255" spans="1:11" ht="12.75" customHeight="1" x14ac:dyDescent="0.2">
      <c r="A255" s="453" t="s">
        <v>4295</v>
      </c>
      <c r="B255" s="394" t="s">
        <v>4326</v>
      </c>
      <c r="C255" s="385" t="s">
        <v>3836</v>
      </c>
      <c r="D255" s="386">
        <f t="shared" si="9"/>
        <v>0</v>
      </c>
      <c r="E255" s="424"/>
      <c r="F255" s="426"/>
      <c r="G255" s="416"/>
      <c r="H255" s="427"/>
      <c r="I255" s="425"/>
      <c r="J255" s="396"/>
      <c r="K255" s="427"/>
    </row>
    <row r="256" spans="1:11" ht="12.75" customHeight="1" x14ac:dyDescent="0.2">
      <c r="A256" s="453" t="s">
        <v>4296</v>
      </c>
      <c r="B256" s="394" t="s">
        <v>4327</v>
      </c>
      <c r="C256" s="385" t="s">
        <v>3836</v>
      </c>
      <c r="D256" s="386">
        <f t="shared" si="9"/>
        <v>0</v>
      </c>
      <c r="E256" s="424"/>
      <c r="F256" s="426"/>
      <c r="G256" s="416"/>
      <c r="H256" s="427"/>
      <c r="I256" s="425"/>
      <c r="J256" s="396"/>
      <c r="K256" s="385"/>
    </row>
    <row r="257" spans="1:12" ht="12.75" customHeight="1" x14ac:dyDescent="0.2">
      <c r="A257" s="453" t="s">
        <v>4297</v>
      </c>
      <c r="B257" s="394" t="s">
        <v>4328</v>
      </c>
      <c r="C257" s="385" t="s">
        <v>3836</v>
      </c>
      <c r="D257" s="386">
        <f t="shared" si="9"/>
        <v>0</v>
      </c>
      <c r="E257" s="424"/>
      <c r="F257" s="426"/>
      <c r="G257" s="416"/>
      <c r="H257" s="427"/>
      <c r="I257" s="425"/>
      <c r="J257" s="396"/>
      <c r="K257" s="385"/>
    </row>
    <row r="258" spans="1:12" ht="12.75" customHeight="1" x14ac:dyDescent="0.2">
      <c r="A258" s="453" t="s">
        <v>4298</v>
      </c>
      <c r="B258" s="394" t="s">
        <v>4329</v>
      </c>
      <c r="C258" s="385" t="s">
        <v>3836</v>
      </c>
      <c r="D258" s="386">
        <f t="shared" si="9"/>
        <v>0</v>
      </c>
      <c r="E258" s="424"/>
      <c r="F258" s="426"/>
      <c r="G258" s="416"/>
      <c r="H258" s="427"/>
      <c r="I258" s="425"/>
      <c r="J258" s="396"/>
      <c r="K258" s="427"/>
    </row>
    <row r="259" spans="1:12" ht="12.75" customHeight="1" x14ac:dyDescent="0.2">
      <c r="A259" s="453" t="s">
        <v>4299</v>
      </c>
      <c r="B259" s="384" t="s">
        <v>4330</v>
      </c>
      <c r="C259" s="385" t="s">
        <v>3836</v>
      </c>
      <c r="D259" s="386">
        <f t="shared" si="9"/>
        <v>0</v>
      </c>
      <c r="E259" s="424"/>
      <c r="F259" s="426"/>
      <c r="G259" s="416"/>
      <c r="H259" s="427"/>
      <c r="I259" s="425"/>
      <c r="J259" s="396"/>
      <c r="K259" s="385"/>
    </row>
    <row r="260" spans="1:12" ht="12.75" customHeight="1" x14ac:dyDescent="0.2">
      <c r="A260" s="453" t="s">
        <v>4300</v>
      </c>
      <c r="B260" s="384" t="s">
        <v>4331</v>
      </c>
      <c r="C260" s="385" t="s">
        <v>3836</v>
      </c>
      <c r="D260" s="386">
        <f t="shared" si="9"/>
        <v>0</v>
      </c>
      <c r="E260" s="424"/>
      <c r="F260" s="426"/>
      <c r="G260" s="416"/>
      <c r="H260" s="427"/>
      <c r="I260" s="425"/>
      <c r="J260" s="396"/>
      <c r="K260" s="427"/>
    </row>
    <row r="261" spans="1:12" ht="12.75" customHeight="1" x14ac:dyDescent="0.2">
      <c r="A261" s="453" t="s">
        <v>4302</v>
      </c>
      <c r="B261" s="394" t="s">
        <v>4332</v>
      </c>
      <c r="C261" s="385" t="s">
        <v>3836</v>
      </c>
      <c r="D261" s="386">
        <f t="shared" si="9"/>
        <v>0</v>
      </c>
      <c r="E261" s="424"/>
      <c r="F261" s="426"/>
      <c r="G261" s="416"/>
      <c r="H261" s="427"/>
      <c r="I261" s="425"/>
      <c r="J261" s="396"/>
      <c r="K261" s="385"/>
    </row>
    <row r="262" spans="1:12" ht="12.75" customHeight="1" x14ac:dyDescent="0.2">
      <c r="A262" s="453" t="s">
        <v>4303</v>
      </c>
      <c r="B262" s="394" t="s">
        <v>4333</v>
      </c>
      <c r="C262" s="385" t="s">
        <v>3836</v>
      </c>
      <c r="D262" s="386">
        <f t="shared" si="9"/>
        <v>0</v>
      </c>
      <c r="E262" s="424"/>
      <c r="F262" s="426"/>
      <c r="G262" s="416"/>
      <c r="H262" s="427"/>
      <c r="I262" s="425"/>
      <c r="J262" s="396"/>
      <c r="K262" s="427"/>
    </row>
    <row r="263" spans="1:12" ht="12.75" customHeight="1" x14ac:dyDescent="0.2">
      <c r="A263" s="453" t="s">
        <v>4304</v>
      </c>
      <c r="B263" s="394" t="s">
        <v>4334</v>
      </c>
      <c r="C263" s="385" t="s">
        <v>3836</v>
      </c>
      <c r="D263" s="386">
        <f t="shared" si="9"/>
        <v>0</v>
      </c>
      <c r="E263" s="424"/>
      <c r="F263" s="426"/>
      <c r="G263" s="416"/>
      <c r="H263" s="427"/>
      <c r="I263" s="425"/>
      <c r="J263" s="396"/>
      <c r="K263" s="427"/>
    </row>
    <row r="264" spans="1:12" ht="12.75" customHeight="1" x14ac:dyDescent="0.2">
      <c r="A264" s="453" t="s">
        <v>4305</v>
      </c>
      <c r="B264" s="394" t="s">
        <v>4335</v>
      </c>
      <c r="C264" s="385" t="s">
        <v>3836</v>
      </c>
      <c r="D264" s="386">
        <f t="shared" si="9"/>
        <v>0</v>
      </c>
      <c r="E264" s="424"/>
      <c r="F264" s="426"/>
      <c r="G264" s="416"/>
      <c r="H264" s="427"/>
      <c r="I264" s="425"/>
      <c r="J264" s="396"/>
      <c r="K264" s="427"/>
    </row>
    <row r="265" spans="1:12" ht="12.75" customHeight="1" x14ac:dyDescent="0.2">
      <c r="A265" s="453" t="s">
        <v>4306</v>
      </c>
      <c r="B265" s="394" t="s">
        <v>4336</v>
      </c>
      <c r="C265" s="385" t="s">
        <v>3836</v>
      </c>
      <c r="D265" s="386">
        <f t="shared" si="9"/>
        <v>0</v>
      </c>
      <c r="E265" s="424"/>
      <c r="F265" s="426"/>
      <c r="G265" s="416"/>
      <c r="H265" s="427"/>
      <c r="I265" s="425"/>
      <c r="J265" s="396"/>
      <c r="K265" s="427"/>
    </row>
    <row r="266" spans="1:12" ht="12.75" customHeight="1" x14ac:dyDescent="0.2">
      <c r="A266" s="453" t="s">
        <v>4307</v>
      </c>
      <c r="B266" s="394" t="s">
        <v>4337</v>
      </c>
      <c r="C266" s="385" t="s">
        <v>3836</v>
      </c>
      <c r="D266" s="386">
        <f t="shared" si="9"/>
        <v>0</v>
      </c>
      <c r="E266" s="424"/>
      <c r="F266" s="426"/>
      <c r="G266" s="416"/>
      <c r="H266" s="427"/>
      <c r="I266" s="425"/>
      <c r="J266" s="396">
        <v>0</v>
      </c>
      <c r="K266" s="427" t="s">
        <v>4418</v>
      </c>
    </row>
    <row r="267" spans="1:12" ht="12.75" customHeight="1" x14ac:dyDescent="0.2">
      <c r="A267" s="453"/>
      <c r="B267" s="394"/>
      <c r="C267" s="385"/>
      <c r="D267" s="386"/>
      <c r="E267" s="425"/>
      <c r="F267" s="426"/>
      <c r="G267" s="396"/>
      <c r="H267" s="427"/>
      <c r="I267" s="425"/>
      <c r="J267" s="396"/>
      <c r="K267" s="427"/>
    </row>
    <row r="268" spans="1:12" ht="12.75" customHeight="1" thickBot="1" x14ac:dyDescent="0.25">
      <c r="A268" s="401"/>
      <c r="B268" s="402"/>
      <c r="C268" s="402" t="s">
        <v>3823</v>
      </c>
      <c r="D268" s="403">
        <f>SUM(D237:D267)</f>
        <v>0</v>
      </c>
      <c r="E268" s="403">
        <f>SUM(E237:E267)</f>
        <v>0</v>
      </c>
      <c r="F268" s="403">
        <f t="shared" ref="F268:J268" si="10">SUM(F237:F267)</f>
        <v>0</v>
      </c>
      <c r="G268" s="403">
        <f t="shared" si="10"/>
        <v>0</v>
      </c>
      <c r="H268" s="403">
        <f t="shared" si="10"/>
        <v>0</v>
      </c>
      <c r="I268" s="403">
        <f t="shared" si="10"/>
        <v>0</v>
      </c>
      <c r="J268" s="403">
        <f t="shared" si="10"/>
        <v>0</v>
      </c>
      <c r="K268" s="403">
        <v>0</v>
      </c>
    </row>
    <row r="271" spans="1:12" ht="12.75" customHeight="1" x14ac:dyDescent="0.25">
      <c r="A271" s="126" t="s">
        <v>3811</v>
      </c>
      <c r="B271" s="126"/>
      <c r="C271" s="126"/>
      <c r="D271" s="126"/>
      <c r="E271" s="126"/>
      <c r="F271" s="126"/>
      <c r="G271" s="483"/>
      <c r="H271" s="126"/>
      <c r="I271" s="126"/>
      <c r="J271" s="126"/>
      <c r="K271" s="126"/>
      <c r="L271"/>
    </row>
    <row r="272" spans="1:12" ht="12.75" customHeight="1" x14ac:dyDescent="0.25">
      <c r="A272" s="126" t="s">
        <v>3748</v>
      </c>
      <c r="B272" s="126"/>
      <c r="C272" s="126"/>
      <c r="D272" s="126"/>
      <c r="E272" s="126"/>
      <c r="F272" s="126"/>
      <c r="G272" s="126"/>
      <c r="H272" s="126"/>
      <c r="I272" s="126"/>
      <c r="J272" s="126"/>
      <c r="K272" s="126"/>
      <c r="L272"/>
    </row>
    <row r="273" spans="1:12" ht="12.75" customHeight="1" x14ac:dyDescent="0.25">
      <c r="A273" s="586" t="s">
        <v>3824</v>
      </c>
      <c r="B273" s="586"/>
      <c r="C273" s="586"/>
      <c r="D273" s="586"/>
      <c r="E273" s="586"/>
      <c r="F273" s="586"/>
      <c r="G273" s="586"/>
      <c r="H273" s="586"/>
      <c r="I273" s="586"/>
      <c r="J273" s="586"/>
      <c r="K273" s="586"/>
      <c r="L273"/>
    </row>
    <row r="274" spans="1:12" ht="12.75" customHeight="1" x14ac:dyDescent="0.25">
      <c r="A274" s="586" t="s">
        <v>3825</v>
      </c>
      <c r="B274" s="586"/>
      <c r="C274" s="586"/>
      <c r="D274" s="586"/>
      <c r="E274" s="586"/>
      <c r="F274" s="586"/>
      <c r="G274" s="586"/>
      <c r="H274" s="586"/>
      <c r="I274" s="586"/>
      <c r="J274" s="586"/>
      <c r="K274" s="586"/>
      <c r="L274"/>
    </row>
    <row r="275" spans="1:12" ht="12.75" customHeight="1" x14ac:dyDescent="0.25">
      <c r="A275" s="586" t="s">
        <v>3799</v>
      </c>
      <c r="B275" s="586"/>
      <c r="C275" s="586"/>
      <c r="D275" s="586"/>
      <c r="E275" s="586"/>
      <c r="F275" s="586"/>
      <c r="G275" s="586"/>
      <c r="H275" s="586"/>
      <c r="I275" s="586"/>
      <c r="J275" s="586"/>
      <c r="K275" s="586"/>
      <c r="L275"/>
    </row>
    <row r="276" spans="1:12" ht="12.75" customHeight="1" x14ac:dyDescent="0.25">
      <c r="A276" s="126"/>
      <c r="B276" s="126"/>
      <c r="C276" s="126"/>
      <c r="D276" s="126"/>
      <c r="E276" s="126"/>
      <c r="F276" s="126"/>
      <c r="G276" s="126"/>
      <c r="H276" s="126"/>
      <c r="I276" s="126"/>
      <c r="J276" s="126"/>
      <c r="K276" s="126"/>
      <c r="L276"/>
    </row>
    <row r="277" spans="1:12" ht="12.75" customHeight="1" x14ac:dyDescent="0.25">
      <c r="A277" s="627" t="s">
        <v>12</v>
      </c>
      <c r="B277" s="627" t="s">
        <v>91</v>
      </c>
      <c r="C277" s="627" t="s">
        <v>13</v>
      </c>
      <c r="D277" s="406" t="s">
        <v>90</v>
      </c>
      <c r="E277" s="628" t="s">
        <v>14</v>
      </c>
      <c r="F277" s="628"/>
      <c r="G277" s="628"/>
      <c r="H277" s="628"/>
      <c r="I277" s="628"/>
      <c r="J277" s="628"/>
      <c r="K277" s="629"/>
      <c r="L277"/>
    </row>
    <row r="278" spans="1:12" ht="12.75" customHeight="1" x14ac:dyDescent="0.25">
      <c r="A278" s="627"/>
      <c r="B278" s="627"/>
      <c r="C278" s="627"/>
      <c r="D278" s="630" t="s">
        <v>3814</v>
      </c>
      <c r="E278" s="632" t="s">
        <v>3826</v>
      </c>
      <c r="F278" s="632"/>
      <c r="G278" s="632"/>
      <c r="H278" s="632"/>
      <c r="I278" s="632"/>
      <c r="J278" s="632"/>
      <c r="K278" s="633"/>
      <c r="L278"/>
    </row>
    <row r="279" spans="1:12" ht="12.75" customHeight="1" x14ac:dyDescent="0.25">
      <c r="A279" s="627"/>
      <c r="B279" s="627"/>
      <c r="C279" s="627"/>
      <c r="D279" s="631"/>
      <c r="E279" s="407" t="s">
        <v>3827</v>
      </c>
      <c r="F279" s="408" t="s">
        <v>3828</v>
      </c>
      <c r="G279" s="409" t="s">
        <v>3829</v>
      </c>
      <c r="H279" s="407" t="s">
        <v>3830</v>
      </c>
      <c r="I279" s="407" t="s">
        <v>3831</v>
      </c>
      <c r="J279" s="634" t="s">
        <v>3832</v>
      </c>
      <c r="K279" s="635"/>
      <c r="L279"/>
    </row>
    <row r="280" spans="1:12" ht="12.75" customHeight="1" x14ac:dyDescent="0.25">
      <c r="A280" s="627"/>
      <c r="B280" s="627"/>
      <c r="C280" s="627"/>
      <c r="D280" s="406" t="s">
        <v>3312</v>
      </c>
      <c r="E280" s="405" t="s">
        <v>3306</v>
      </c>
      <c r="F280" s="405" t="s">
        <v>3833</v>
      </c>
      <c r="G280" s="410" t="s">
        <v>3777</v>
      </c>
      <c r="H280" s="405" t="s">
        <v>3834</v>
      </c>
      <c r="I280" s="405" t="s">
        <v>3311</v>
      </c>
      <c r="J280" s="411" t="s">
        <v>3823</v>
      </c>
      <c r="K280" s="406" t="s">
        <v>3835</v>
      </c>
      <c r="L280"/>
    </row>
    <row r="281" spans="1:12" ht="12.75" customHeight="1" x14ac:dyDescent="0.25">
      <c r="A281" s="412"/>
      <c r="B281" s="412"/>
      <c r="C281" s="412"/>
      <c r="D281" s="413"/>
      <c r="E281" s="414"/>
      <c r="F281" s="415"/>
      <c r="G281" s="416"/>
      <c r="H281" s="417"/>
      <c r="I281" s="417"/>
      <c r="J281" s="416"/>
      <c r="K281" s="418"/>
      <c r="L281"/>
    </row>
    <row r="282" spans="1:12" ht="12.75" customHeight="1" x14ac:dyDescent="0.25">
      <c r="A282" s="453" t="s">
        <v>4494</v>
      </c>
      <c r="B282" s="419" t="s">
        <v>4528</v>
      </c>
      <c r="C282" s="385" t="s">
        <v>3836</v>
      </c>
      <c r="D282" s="386">
        <f>SUM(E282:J282)</f>
        <v>0</v>
      </c>
      <c r="E282" s="414"/>
      <c r="F282" s="420"/>
      <c r="G282" s="416"/>
      <c r="H282" s="417"/>
      <c r="I282" s="417"/>
      <c r="J282" s="416">
        <v>0</v>
      </c>
      <c r="K282" s="427" t="s">
        <v>3837</v>
      </c>
      <c r="L282"/>
    </row>
    <row r="283" spans="1:12" ht="12.75" customHeight="1" x14ac:dyDescent="0.25">
      <c r="A283" s="453" t="s">
        <v>4498</v>
      </c>
      <c r="B283" s="375" t="s">
        <v>4529</v>
      </c>
      <c r="C283" s="385" t="s">
        <v>3836</v>
      </c>
      <c r="D283" s="386">
        <f t="shared" ref="D283:D312" si="11">SUM(E283:J283)</f>
        <v>0</v>
      </c>
      <c r="E283" s="455"/>
      <c r="F283" s="420"/>
      <c r="G283" s="416"/>
      <c r="H283" s="417"/>
      <c r="I283" s="417"/>
      <c r="J283" s="416"/>
      <c r="K283" s="417"/>
      <c r="L283"/>
    </row>
    <row r="284" spans="1:12" ht="12.75" customHeight="1" x14ac:dyDescent="0.25">
      <c r="A284" s="453" t="s">
        <v>4499</v>
      </c>
      <c r="B284" s="384" t="s">
        <v>4530</v>
      </c>
      <c r="C284" s="385" t="s">
        <v>3836</v>
      </c>
      <c r="D284" s="386">
        <f t="shared" si="11"/>
        <v>0</v>
      </c>
      <c r="E284" s="385"/>
      <c r="F284" s="422"/>
      <c r="G284" s="416"/>
      <c r="H284" s="385"/>
      <c r="I284" s="385"/>
      <c r="J284" s="389"/>
      <c r="K284" s="385"/>
      <c r="L284"/>
    </row>
    <row r="285" spans="1:12" ht="12.75" customHeight="1" x14ac:dyDescent="0.25">
      <c r="A285" s="453" t="s">
        <v>4500</v>
      </c>
      <c r="B285" s="384" t="s">
        <v>4531</v>
      </c>
      <c r="C285" s="385" t="s">
        <v>3836</v>
      </c>
      <c r="D285" s="386">
        <f t="shared" si="11"/>
        <v>0</v>
      </c>
      <c r="E285" s="385"/>
      <c r="F285" s="385"/>
      <c r="G285" s="416"/>
      <c r="H285" s="385"/>
      <c r="I285" s="385"/>
      <c r="J285" s="389"/>
      <c r="K285" s="385"/>
      <c r="L285"/>
    </row>
    <row r="286" spans="1:12" ht="12.75" customHeight="1" x14ac:dyDescent="0.25">
      <c r="A286" s="453" t="s">
        <v>4501</v>
      </c>
      <c r="B286" s="384" t="s">
        <v>4532</v>
      </c>
      <c r="C286" s="385" t="s">
        <v>3836</v>
      </c>
      <c r="D286" s="386">
        <f t="shared" si="11"/>
        <v>0</v>
      </c>
      <c r="E286" s="385"/>
      <c r="F286" s="385"/>
      <c r="G286" s="416"/>
      <c r="H286" s="385"/>
      <c r="I286" s="385"/>
      <c r="J286" s="389"/>
      <c r="K286" s="385"/>
      <c r="L286"/>
    </row>
    <row r="287" spans="1:12" ht="12.75" customHeight="1" x14ac:dyDescent="0.25">
      <c r="A287" s="453" t="s">
        <v>4502</v>
      </c>
      <c r="B287" s="384" t="s">
        <v>4533</v>
      </c>
      <c r="C287" s="385" t="s">
        <v>3836</v>
      </c>
      <c r="D287" s="386">
        <f t="shared" si="11"/>
        <v>0</v>
      </c>
      <c r="E287" s="386"/>
      <c r="F287" s="386"/>
      <c r="G287" s="416"/>
      <c r="H287" s="385"/>
      <c r="I287" s="385"/>
      <c r="J287" s="389"/>
      <c r="K287" s="385"/>
      <c r="L287"/>
    </row>
    <row r="288" spans="1:12" ht="12.75" customHeight="1" x14ac:dyDescent="0.25">
      <c r="A288" s="453" t="s">
        <v>4503</v>
      </c>
      <c r="B288" s="384" t="s">
        <v>4534</v>
      </c>
      <c r="C288" s="385" t="s">
        <v>3836</v>
      </c>
      <c r="D288" s="386">
        <f t="shared" si="11"/>
        <v>0</v>
      </c>
      <c r="E288" s="385"/>
      <c r="F288" s="385"/>
      <c r="G288" s="416"/>
      <c r="H288" s="385"/>
      <c r="I288" s="385"/>
      <c r="J288" s="389"/>
      <c r="K288" s="385"/>
      <c r="L288"/>
    </row>
    <row r="289" spans="1:12" ht="12.75" customHeight="1" x14ac:dyDescent="0.25">
      <c r="A289" s="453" t="s">
        <v>4504</v>
      </c>
      <c r="B289" s="423" t="s">
        <v>4535</v>
      </c>
      <c r="C289" s="385" t="s">
        <v>3836</v>
      </c>
      <c r="D289" s="386">
        <f t="shared" si="11"/>
        <v>0</v>
      </c>
      <c r="E289" s="385"/>
      <c r="F289" s="386"/>
      <c r="G289" s="416"/>
      <c r="H289" s="385"/>
      <c r="I289" s="385"/>
      <c r="J289" s="389"/>
      <c r="K289" s="385"/>
      <c r="L289"/>
    </row>
    <row r="290" spans="1:12" ht="12.75" customHeight="1" x14ac:dyDescent="0.25">
      <c r="A290" s="453" t="s">
        <v>4505</v>
      </c>
      <c r="B290" s="394" t="s">
        <v>4536</v>
      </c>
      <c r="C290" s="385" t="s">
        <v>3836</v>
      </c>
      <c r="D290" s="386">
        <f t="shared" si="11"/>
        <v>0</v>
      </c>
      <c r="E290" s="385"/>
      <c r="F290" s="385"/>
      <c r="G290" s="416"/>
      <c r="H290" s="386"/>
      <c r="I290" s="386"/>
      <c r="J290" s="389">
        <v>0</v>
      </c>
      <c r="K290" s="427" t="s">
        <v>3837</v>
      </c>
      <c r="L290"/>
    </row>
    <row r="291" spans="1:12" ht="12.75" customHeight="1" x14ac:dyDescent="0.25">
      <c r="A291" s="453" t="s">
        <v>4506</v>
      </c>
      <c r="B291" s="394" t="s">
        <v>4537</v>
      </c>
      <c r="C291" s="385" t="s">
        <v>3836</v>
      </c>
      <c r="D291" s="386">
        <f t="shared" si="11"/>
        <v>0</v>
      </c>
      <c r="E291" s="385"/>
      <c r="F291" s="385"/>
      <c r="G291" s="416"/>
      <c r="H291" s="385"/>
      <c r="I291" s="385"/>
      <c r="J291" s="389"/>
      <c r="K291" s="385"/>
      <c r="L291"/>
    </row>
    <row r="292" spans="1:12" ht="12.75" customHeight="1" x14ac:dyDescent="0.25">
      <c r="A292" s="453" t="s">
        <v>4507</v>
      </c>
      <c r="B292" s="394" t="s">
        <v>4538</v>
      </c>
      <c r="C292" s="385" t="s">
        <v>3836</v>
      </c>
      <c r="D292" s="386">
        <f t="shared" si="11"/>
        <v>0</v>
      </c>
      <c r="E292" s="385"/>
      <c r="F292" s="385"/>
      <c r="G292" s="416"/>
      <c r="H292" s="385"/>
      <c r="I292" s="385"/>
      <c r="J292" s="389"/>
      <c r="K292" s="385"/>
      <c r="L292"/>
    </row>
    <row r="293" spans="1:12" ht="12.75" customHeight="1" x14ac:dyDescent="0.25">
      <c r="A293" s="453" t="s">
        <v>4508</v>
      </c>
      <c r="B293" s="394" t="s">
        <v>4539</v>
      </c>
      <c r="C293" s="385" t="s">
        <v>3836</v>
      </c>
      <c r="D293" s="386">
        <f t="shared" si="11"/>
        <v>0</v>
      </c>
      <c r="E293" s="385"/>
      <c r="F293" s="385"/>
      <c r="G293" s="416"/>
      <c r="H293" s="385"/>
      <c r="I293" s="385"/>
      <c r="J293" s="389"/>
      <c r="K293" s="385"/>
      <c r="L293"/>
    </row>
    <row r="294" spans="1:12" ht="12.75" customHeight="1" x14ac:dyDescent="0.25">
      <c r="A294" s="453" t="s">
        <v>4509</v>
      </c>
      <c r="B294" s="394" t="s">
        <v>4540</v>
      </c>
      <c r="C294" s="385" t="s">
        <v>3836</v>
      </c>
      <c r="D294" s="386">
        <f t="shared" si="11"/>
        <v>0</v>
      </c>
      <c r="E294" s="385"/>
      <c r="F294" s="385"/>
      <c r="G294" s="416"/>
      <c r="H294" s="385"/>
      <c r="I294" s="385"/>
      <c r="J294" s="389"/>
      <c r="K294" s="385"/>
      <c r="L294"/>
    </row>
    <row r="295" spans="1:12" ht="12.75" customHeight="1" x14ac:dyDescent="0.25">
      <c r="A295" s="453" t="s">
        <v>4510</v>
      </c>
      <c r="B295" s="391" t="s">
        <v>4541</v>
      </c>
      <c r="C295" s="385" t="s">
        <v>3836</v>
      </c>
      <c r="D295" s="386">
        <f t="shared" si="11"/>
        <v>0</v>
      </c>
      <c r="E295" s="385"/>
      <c r="F295" s="385"/>
      <c r="G295" s="416"/>
      <c r="H295" s="385"/>
      <c r="I295" s="385"/>
      <c r="J295" s="389"/>
      <c r="K295" s="385"/>
      <c r="L295"/>
    </row>
    <row r="296" spans="1:12" ht="12.75" customHeight="1" x14ac:dyDescent="0.25">
      <c r="A296" s="453" t="s">
        <v>4511</v>
      </c>
      <c r="B296" s="391" t="s">
        <v>4542</v>
      </c>
      <c r="C296" s="385" t="s">
        <v>3836</v>
      </c>
      <c r="D296" s="386">
        <f t="shared" si="11"/>
        <v>0</v>
      </c>
      <c r="E296" s="385"/>
      <c r="F296" s="385"/>
      <c r="G296" s="416"/>
      <c r="H296" s="385"/>
      <c r="I296" s="385"/>
      <c r="J296" s="389"/>
      <c r="K296" s="385"/>
      <c r="L296"/>
    </row>
    <row r="297" spans="1:12" ht="12.75" customHeight="1" x14ac:dyDescent="0.25">
      <c r="A297" s="453" t="s">
        <v>4512</v>
      </c>
      <c r="B297" s="394" t="s">
        <v>4543</v>
      </c>
      <c r="C297" s="385" t="s">
        <v>3836</v>
      </c>
      <c r="D297" s="386">
        <f t="shared" si="11"/>
        <v>0</v>
      </c>
      <c r="E297" s="385"/>
      <c r="F297" s="386"/>
      <c r="G297" s="416"/>
      <c r="H297" s="385"/>
      <c r="I297" s="385"/>
      <c r="J297" s="389"/>
      <c r="K297" s="385"/>
      <c r="L297"/>
    </row>
    <row r="298" spans="1:12" ht="12.75" customHeight="1" x14ac:dyDescent="0.25">
      <c r="A298" s="453" t="s">
        <v>4513</v>
      </c>
      <c r="B298" s="394" t="s">
        <v>4544</v>
      </c>
      <c r="C298" s="385" t="s">
        <v>3836</v>
      </c>
      <c r="D298" s="386">
        <f t="shared" si="11"/>
        <v>0</v>
      </c>
      <c r="E298" s="385"/>
      <c r="F298" s="426"/>
      <c r="G298" s="416"/>
      <c r="H298" s="427"/>
      <c r="I298" s="427"/>
      <c r="J298" s="396"/>
      <c r="K298" s="427"/>
      <c r="L298"/>
    </row>
    <row r="299" spans="1:12" ht="12.75" customHeight="1" x14ac:dyDescent="0.25">
      <c r="A299" s="453" t="s">
        <v>4514</v>
      </c>
      <c r="B299" s="394" t="s">
        <v>4545</v>
      </c>
      <c r="C299" s="385" t="s">
        <v>3836</v>
      </c>
      <c r="D299" s="386">
        <f t="shared" si="11"/>
        <v>0</v>
      </c>
      <c r="E299" s="385"/>
      <c r="F299" s="426"/>
      <c r="G299" s="416"/>
      <c r="H299" s="427"/>
      <c r="I299" s="427"/>
      <c r="J299" s="396"/>
      <c r="K299" s="427"/>
      <c r="L299"/>
    </row>
    <row r="300" spans="1:12" ht="12.75" customHeight="1" x14ac:dyDescent="0.25">
      <c r="A300" s="453" t="s">
        <v>4515</v>
      </c>
      <c r="B300" s="394" t="s">
        <v>4546</v>
      </c>
      <c r="C300" s="385" t="s">
        <v>3836</v>
      </c>
      <c r="D300" s="386">
        <f t="shared" si="11"/>
        <v>0</v>
      </c>
      <c r="E300" s="385"/>
      <c r="F300" s="426"/>
      <c r="G300" s="416"/>
      <c r="H300" s="427"/>
      <c r="I300" s="427"/>
      <c r="J300" s="396"/>
      <c r="K300" s="427"/>
      <c r="L300"/>
    </row>
    <row r="301" spans="1:12" ht="12.75" customHeight="1" x14ac:dyDescent="0.25">
      <c r="A301" s="453" t="s">
        <v>4516</v>
      </c>
      <c r="B301" s="394" t="s">
        <v>4547</v>
      </c>
      <c r="C301" s="385" t="s">
        <v>3836</v>
      </c>
      <c r="D301" s="386">
        <f t="shared" si="11"/>
        <v>0</v>
      </c>
      <c r="E301" s="385"/>
      <c r="F301" s="426"/>
      <c r="G301" s="416"/>
      <c r="H301" s="427"/>
      <c r="I301" s="427"/>
      <c r="J301" s="396"/>
      <c r="K301" s="385"/>
      <c r="L301"/>
    </row>
    <row r="302" spans="1:12" ht="12.75" customHeight="1" x14ac:dyDescent="0.25">
      <c r="A302" s="453" t="s">
        <v>4517</v>
      </c>
      <c r="B302" s="394" t="s">
        <v>4548</v>
      </c>
      <c r="C302" s="385" t="s">
        <v>3836</v>
      </c>
      <c r="D302" s="386">
        <f t="shared" si="11"/>
        <v>0</v>
      </c>
      <c r="E302" s="385"/>
      <c r="F302" s="426"/>
      <c r="G302" s="416"/>
      <c r="H302" s="427"/>
      <c r="I302" s="427"/>
      <c r="J302" s="396"/>
      <c r="K302" s="385"/>
      <c r="L302"/>
    </row>
    <row r="303" spans="1:12" ht="12.75" customHeight="1" x14ac:dyDescent="0.25">
      <c r="A303" s="453" t="s">
        <v>4518</v>
      </c>
      <c r="B303" s="394" t="s">
        <v>4549</v>
      </c>
      <c r="C303" s="385" t="s">
        <v>3836</v>
      </c>
      <c r="D303" s="386">
        <f t="shared" si="11"/>
        <v>0</v>
      </c>
      <c r="E303" s="385"/>
      <c r="F303" s="426"/>
      <c r="G303" s="416"/>
      <c r="H303" s="427"/>
      <c r="I303" s="427"/>
      <c r="J303" s="396"/>
      <c r="K303" s="427"/>
      <c r="L303"/>
    </row>
    <row r="304" spans="1:12" ht="12.75" customHeight="1" x14ac:dyDescent="0.25">
      <c r="A304" s="453" t="s">
        <v>4519</v>
      </c>
      <c r="B304" s="384" t="s">
        <v>4550</v>
      </c>
      <c r="C304" s="385" t="s">
        <v>3836</v>
      </c>
      <c r="D304" s="386">
        <f t="shared" si="11"/>
        <v>0</v>
      </c>
      <c r="E304" s="385"/>
      <c r="F304" s="426"/>
      <c r="G304" s="416"/>
      <c r="H304" s="427"/>
      <c r="I304" s="427"/>
      <c r="J304" s="396"/>
      <c r="K304" s="385"/>
      <c r="L304"/>
    </row>
    <row r="305" spans="1:12" ht="12.75" customHeight="1" x14ac:dyDescent="0.25">
      <c r="A305" s="453" t="s">
        <v>4520</v>
      </c>
      <c r="B305" s="384" t="s">
        <v>4551</v>
      </c>
      <c r="C305" s="385" t="s">
        <v>3836</v>
      </c>
      <c r="D305" s="386">
        <f t="shared" si="11"/>
        <v>0</v>
      </c>
      <c r="E305" s="385"/>
      <c r="F305" s="426"/>
      <c r="G305" s="416"/>
      <c r="H305" s="427"/>
      <c r="I305" s="427"/>
      <c r="J305" s="396"/>
      <c r="K305" s="427"/>
      <c r="L305"/>
    </row>
    <row r="306" spans="1:12" ht="12.75" customHeight="1" x14ac:dyDescent="0.25">
      <c r="A306" s="453" t="s">
        <v>4521</v>
      </c>
      <c r="B306" s="394" t="s">
        <v>4552</v>
      </c>
      <c r="C306" s="385" t="s">
        <v>3836</v>
      </c>
      <c r="D306" s="386">
        <f t="shared" si="11"/>
        <v>0</v>
      </c>
      <c r="E306" s="385"/>
      <c r="F306" s="426"/>
      <c r="G306" s="416"/>
      <c r="H306" s="427"/>
      <c r="I306" s="427"/>
      <c r="J306" s="396">
        <v>0</v>
      </c>
      <c r="K306" s="427" t="s">
        <v>3837</v>
      </c>
      <c r="L306"/>
    </row>
    <row r="307" spans="1:12" ht="12.75" customHeight="1" x14ac:dyDescent="0.25">
      <c r="A307" s="453" t="s">
        <v>4522</v>
      </c>
      <c r="B307" s="394" t="s">
        <v>4553</v>
      </c>
      <c r="C307" s="385" t="s">
        <v>3836</v>
      </c>
      <c r="D307" s="386">
        <f t="shared" si="11"/>
        <v>0</v>
      </c>
      <c r="E307" s="426"/>
      <c r="F307" s="426"/>
      <c r="G307" s="416"/>
      <c r="H307" s="427"/>
      <c r="I307" s="427"/>
      <c r="J307" s="396"/>
      <c r="K307" s="427"/>
      <c r="L307"/>
    </row>
    <row r="308" spans="1:12" ht="12.75" customHeight="1" x14ac:dyDescent="0.25">
      <c r="A308" s="453" t="s">
        <v>4523</v>
      </c>
      <c r="B308" s="394" t="s">
        <v>4554</v>
      </c>
      <c r="C308" s="385" t="s">
        <v>3836</v>
      </c>
      <c r="D308" s="386">
        <f t="shared" si="11"/>
        <v>0</v>
      </c>
      <c r="E308" s="426"/>
      <c r="F308" s="426"/>
      <c r="G308" s="416"/>
      <c r="H308" s="427"/>
      <c r="I308" s="427"/>
      <c r="J308" s="396"/>
      <c r="K308" s="427"/>
      <c r="L308"/>
    </row>
    <row r="309" spans="1:12" ht="12.75" customHeight="1" x14ac:dyDescent="0.25">
      <c r="A309" s="453" t="s">
        <v>4524</v>
      </c>
      <c r="B309" s="394" t="s">
        <v>4555</v>
      </c>
      <c r="C309" s="385" t="s">
        <v>3836</v>
      </c>
      <c r="D309" s="386">
        <f t="shared" si="11"/>
        <v>0</v>
      </c>
      <c r="E309" s="426"/>
      <c r="F309" s="426"/>
      <c r="G309" s="416"/>
      <c r="H309" s="427"/>
      <c r="I309" s="427"/>
      <c r="J309" s="396"/>
      <c r="K309" s="427"/>
      <c r="L309"/>
    </row>
    <row r="310" spans="1:12" ht="12.75" customHeight="1" x14ac:dyDescent="0.25">
      <c r="A310" s="453" t="s">
        <v>4525</v>
      </c>
      <c r="B310" s="394" t="s">
        <v>4556</v>
      </c>
      <c r="C310" s="385" t="s">
        <v>3836</v>
      </c>
      <c r="D310" s="386">
        <f t="shared" si="11"/>
        <v>0</v>
      </c>
      <c r="E310" s="426"/>
      <c r="F310" s="426"/>
      <c r="G310" s="416"/>
      <c r="H310" s="427"/>
      <c r="I310" s="427"/>
      <c r="J310" s="396"/>
      <c r="K310" s="427"/>
      <c r="L310"/>
    </row>
    <row r="311" spans="1:12" ht="12.75" customHeight="1" x14ac:dyDescent="0.25">
      <c r="A311" s="453" t="s">
        <v>4526</v>
      </c>
      <c r="B311" s="394" t="s">
        <v>4557</v>
      </c>
      <c r="C311" s="385" t="s">
        <v>3836</v>
      </c>
      <c r="D311" s="386">
        <f t="shared" si="11"/>
        <v>0</v>
      </c>
      <c r="E311" s="426"/>
      <c r="F311" s="426"/>
      <c r="G311" s="416"/>
      <c r="H311" s="427"/>
      <c r="I311" s="427"/>
      <c r="J311" s="396"/>
      <c r="K311" s="427"/>
      <c r="L311"/>
    </row>
    <row r="312" spans="1:12" ht="12.75" customHeight="1" x14ac:dyDescent="0.25">
      <c r="A312" s="453" t="s">
        <v>4527</v>
      </c>
      <c r="B312" s="394" t="s">
        <v>4558</v>
      </c>
      <c r="C312" s="385" t="s">
        <v>3836</v>
      </c>
      <c r="D312" s="386">
        <f t="shared" si="11"/>
        <v>0</v>
      </c>
      <c r="E312" s="426"/>
      <c r="F312" s="426"/>
      <c r="G312" s="416"/>
      <c r="H312" s="427"/>
      <c r="I312" s="427"/>
      <c r="J312" s="396"/>
      <c r="K312" s="427"/>
      <c r="L312"/>
    </row>
    <row r="313" spans="1:12" ht="12.75" customHeight="1" thickBot="1" x14ac:dyDescent="0.3">
      <c r="A313" s="401"/>
      <c r="B313" s="402"/>
      <c r="C313" s="402" t="s">
        <v>3823</v>
      </c>
      <c r="D313" s="403">
        <f>SUM(D282:D312)</f>
        <v>0</v>
      </c>
      <c r="E313" s="403">
        <f>SUM(E282:E312)</f>
        <v>0</v>
      </c>
      <c r="F313" s="403">
        <f t="shared" ref="F313:J313" si="12">SUM(F282:F312)</f>
        <v>0</v>
      </c>
      <c r="G313" s="403">
        <f t="shared" si="12"/>
        <v>0</v>
      </c>
      <c r="H313" s="403">
        <f t="shared" si="12"/>
        <v>0</v>
      </c>
      <c r="I313" s="403">
        <f t="shared" si="12"/>
        <v>0</v>
      </c>
      <c r="J313" s="403">
        <f t="shared" si="12"/>
        <v>0</v>
      </c>
      <c r="K313" s="403">
        <v>0</v>
      </c>
      <c r="L313"/>
    </row>
    <row r="316" spans="1:12" ht="12.75" customHeight="1" x14ac:dyDescent="0.25">
      <c r="A316" s="126" t="s">
        <v>3811</v>
      </c>
      <c r="B316" s="126"/>
      <c r="C316" s="126"/>
      <c r="D316" s="126"/>
      <c r="E316" s="126"/>
      <c r="F316" s="126"/>
      <c r="G316" s="126"/>
      <c r="H316" s="126"/>
      <c r="I316" s="126"/>
      <c r="J316" s="126"/>
      <c r="K316" s="126"/>
      <c r="L316"/>
    </row>
    <row r="317" spans="1:12" ht="12.75" customHeight="1" x14ac:dyDescent="0.25">
      <c r="A317" s="126" t="s">
        <v>3748</v>
      </c>
      <c r="B317" s="126"/>
      <c r="C317" s="126"/>
      <c r="D317" s="126"/>
      <c r="E317" s="126"/>
      <c r="F317" s="126"/>
      <c r="G317" s="126"/>
      <c r="H317" s="126"/>
      <c r="I317" s="126"/>
      <c r="J317" s="126"/>
      <c r="K317" s="126"/>
      <c r="L317"/>
    </row>
    <row r="318" spans="1:12" ht="12.75" customHeight="1" x14ac:dyDescent="0.25">
      <c r="A318" s="586" t="s">
        <v>3824</v>
      </c>
      <c r="B318" s="586"/>
      <c r="C318" s="586"/>
      <c r="D318" s="586"/>
      <c r="E318" s="586"/>
      <c r="F318" s="586"/>
      <c r="G318" s="586"/>
      <c r="H318" s="586"/>
      <c r="I318" s="586"/>
      <c r="J318" s="586"/>
      <c r="K318" s="586"/>
      <c r="L318"/>
    </row>
    <row r="319" spans="1:12" ht="12.75" customHeight="1" x14ac:dyDescent="0.25">
      <c r="A319" s="586" t="s">
        <v>3825</v>
      </c>
      <c r="B319" s="586"/>
      <c r="C319" s="586"/>
      <c r="D319" s="586"/>
      <c r="E319" s="586"/>
      <c r="F319" s="586"/>
      <c r="G319" s="586"/>
      <c r="H319" s="586"/>
      <c r="I319" s="586"/>
      <c r="J319" s="586"/>
      <c r="K319" s="586"/>
      <c r="L319"/>
    </row>
    <row r="320" spans="1:12" ht="12.75" customHeight="1" x14ac:dyDescent="0.25">
      <c r="A320" s="586" t="s">
        <v>3805</v>
      </c>
      <c r="B320" s="586"/>
      <c r="C320" s="586"/>
      <c r="D320" s="586"/>
      <c r="E320" s="586"/>
      <c r="F320" s="586"/>
      <c r="G320" s="586"/>
      <c r="H320" s="586"/>
      <c r="I320" s="586"/>
      <c r="J320" s="586"/>
      <c r="K320" s="586"/>
      <c r="L320"/>
    </row>
    <row r="321" spans="1:12" ht="12.75" customHeight="1" x14ac:dyDescent="0.25">
      <c r="A321" s="126"/>
      <c r="B321" s="126"/>
      <c r="C321" s="126"/>
      <c r="D321" s="126"/>
      <c r="E321" s="126"/>
      <c r="F321" s="126"/>
      <c r="G321" s="126"/>
      <c r="H321" s="126"/>
      <c r="I321" s="126"/>
      <c r="J321" s="126"/>
      <c r="K321" s="126"/>
      <c r="L321"/>
    </row>
    <row r="322" spans="1:12" ht="12.75" customHeight="1" x14ac:dyDescent="0.25">
      <c r="A322" s="627" t="s">
        <v>12</v>
      </c>
      <c r="B322" s="627" t="s">
        <v>91</v>
      </c>
      <c r="C322" s="627" t="s">
        <v>13</v>
      </c>
      <c r="D322" s="406" t="s">
        <v>90</v>
      </c>
      <c r="E322" s="628" t="s">
        <v>14</v>
      </c>
      <c r="F322" s="628"/>
      <c r="G322" s="628"/>
      <c r="H322" s="628"/>
      <c r="I322" s="628"/>
      <c r="J322" s="628"/>
      <c r="K322" s="629"/>
      <c r="L322"/>
    </row>
    <row r="323" spans="1:12" ht="12.75" customHeight="1" x14ac:dyDescent="0.25">
      <c r="A323" s="627"/>
      <c r="B323" s="627"/>
      <c r="C323" s="627"/>
      <c r="D323" s="630" t="s">
        <v>3814</v>
      </c>
      <c r="E323" s="632" t="s">
        <v>3826</v>
      </c>
      <c r="F323" s="632"/>
      <c r="G323" s="632"/>
      <c r="H323" s="632"/>
      <c r="I323" s="632"/>
      <c r="J323" s="632"/>
      <c r="K323" s="633"/>
      <c r="L323"/>
    </row>
    <row r="324" spans="1:12" ht="12.75" customHeight="1" x14ac:dyDescent="0.25">
      <c r="A324" s="627"/>
      <c r="B324" s="627"/>
      <c r="C324" s="627"/>
      <c r="D324" s="631"/>
      <c r="E324" s="407" t="s">
        <v>3827</v>
      </c>
      <c r="F324" s="408" t="s">
        <v>3828</v>
      </c>
      <c r="G324" s="409" t="s">
        <v>3829</v>
      </c>
      <c r="H324" s="407" t="s">
        <v>3830</v>
      </c>
      <c r="I324" s="407" t="s">
        <v>3831</v>
      </c>
      <c r="J324" s="634" t="s">
        <v>3832</v>
      </c>
      <c r="K324" s="635"/>
      <c r="L324"/>
    </row>
    <row r="325" spans="1:12" ht="12.75" customHeight="1" x14ac:dyDescent="0.25">
      <c r="A325" s="627"/>
      <c r="B325" s="627"/>
      <c r="C325" s="627"/>
      <c r="D325" s="406" t="s">
        <v>3312</v>
      </c>
      <c r="E325" s="405" t="s">
        <v>3306</v>
      </c>
      <c r="F325" s="405" t="s">
        <v>3833</v>
      </c>
      <c r="G325" s="410" t="s">
        <v>3777</v>
      </c>
      <c r="H325" s="405" t="s">
        <v>3834</v>
      </c>
      <c r="I325" s="405" t="s">
        <v>3311</v>
      </c>
      <c r="J325" s="411" t="s">
        <v>3823</v>
      </c>
      <c r="K325" s="406" t="s">
        <v>3835</v>
      </c>
      <c r="L325"/>
    </row>
    <row r="326" spans="1:12" ht="12.75" customHeight="1" x14ac:dyDescent="0.25">
      <c r="A326" s="412"/>
      <c r="B326" s="412"/>
      <c r="C326" s="412"/>
      <c r="D326" s="413"/>
      <c r="E326" s="414"/>
      <c r="F326" s="415"/>
      <c r="G326" s="416"/>
      <c r="H326" s="417"/>
      <c r="I326" s="417"/>
      <c r="J326" s="416"/>
      <c r="K326" s="418"/>
      <c r="L326"/>
    </row>
    <row r="327" spans="1:12" ht="12.75" customHeight="1" x14ac:dyDescent="0.25">
      <c r="A327" s="453" t="s">
        <v>4633</v>
      </c>
      <c r="B327" s="419" t="s">
        <v>4664</v>
      </c>
      <c r="C327" s="385" t="s">
        <v>3836</v>
      </c>
      <c r="D327" s="386">
        <f>SUM(E327:J327)</f>
        <v>0</v>
      </c>
      <c r="E327" s="505"/>
      <c r="F327" s="420"/>
      <c r="G327" s="416"/>
      <c r="H327" s="417"/>
      <c r="I327" s="417"/>
      <c r="J327" s="416"/>
      <c r="K327" s="417"/>
      <c r="L327"/>
    </row>
    <row r="328" spans="1:12" ht="12.75" customHeight="1" x14ac:dyDescent="0.25">
      <c r="A328" s="453" t="s">
        <v>4634</v>
      </c>
      <c r="B328" s="375" t="s">
        <v>4665</v>
      </c>
      <c r="C328" s="385" t="s">
        <v>3836</v>
      </c>
      <c r="D328" s="386">
        <f t="shared" ref="D328:D357" si="13">SUM(E328:J328)</f>
        <v>0</v>
      </c>
      <c r="E328" s="493"/>
      <c r="F328" s="420"/>
      <c r="G328" s="416"/>
      <c r="H328" s="417"/>
      <c r="I328" s="417"/>
      <c r="J328" s="416"/>
      <c r="K328" s="417"/>
      <c r="L328"/>
    </row>
    <row r="329" spans="1:12" ht="12.75" customHeight="1" x14ac:dyDescent="0.25">
      <c r="A329" s="453" t="s">
        <v>4635</v>
      </c>
      <c r="B329" s="384" t="s">
        <v>4666</v>
      </c>
      <c r="C329" s="385" t="s">
        <v>3836</v>
      </c>
      <c r="D329" s="386">
        <f t="shared" si="13"/>
        <v>0</v>
      </c>
      <c r="E329" s="457"/>
      <c r="F329" s="422"/>
      <c r="G329" s="416"/>
      <c r="H329" s="385"/>
      <c r="I329" s="385"/>
      <c r="J329" s="389"/>
      <c r="K329" s="385"/>
      <c r="L329"/>
    </row>
    <row r="330" spans="1:12" ht="12.75" customHeight="1" x14ac:dyDescent="0.25">
      <c r="A330" s="453" t="s">
        <v>4636</v>
      </c>
      <c r="B330" s="384" t="s">
        <v>4667</v>
      </c>
      <c r="C330" s="385" t="s">
        <v>3836</v>
      </c>
      <c r="D330" s="386">
        <f t="shared" si="13"/>
        <v>0</v>
      </c>
      <c r="E330" s="457"/>
      <c r="F330" s="385"/>
      <c r="G330" s="416"/>
      <c r="H330" s="385"/>
      <c r="I330" s="385"/>
      <c r="J330" s="456">
        <v>0</v>
      </c>
      <c r="K330" s="385" t="s">
        <v>3837</v>
      </c>
      <c r="L330"/>
    </row>
    <row r="331" spans="1:12" ht="12.75" customHeight="1" x14ac:dyDescent="0.25">
      <c r="A331" s="453" t="s">
        <v>4637</v>
      </c>
      <c r="B331" s="384" t="s">
        <v>4668</v>
      </c>
      <c r="C331" s="385" t="s">
        <v>3836</v>
      </c>
      <c r="D331" s="386">
        <f t="shared" si="13"/>
        <v>0</v>
      </c>
      <c r="E331" s="457"/>
      <c r="F331" s="385"/>
      <c r="G331" s="416"/>
      <c r="H331" s="385"/>
      <c r="I331" s="385"/>
      <c r="J331" s="389"/>
      <c r="K331" s="385"/>
      <c r="L331"/>
    </row>
    <row r="332" spans="1:12" ht="12.75" customHeight="1" x14ac:dyDescent="0.25">
      <c r="A332" s="453" t="s">
        <v>4638</v>
      </c>
      <c r="B332" s="384" t="s">
        <v>4669</v>
      </c>
      <c r="C332" s="385" t="s">
        <v>3836</v>
      </c>
      <c r="D332" s="386">
        <f t="shared" si="13"/>
        <v>0</v>
      </c>
      <c r="E332" s="457"/>
      <c r="F332" s="386"/>
      <c r="G332" s="416"/>
      <c r="H332" s="385"/>
      <c r="I332" s="385"/>
      <c r="J332" s="389"/>
      <c r="K332" s="385"/>
      <c r="L332"/>
    </row>
    <row r="333" spans="1:12" ht="12.75" customHeight="1" x14ac:dyDescent="0.25">
      <c r="A333" s="453" t="s">
        <v>4639</v>
      </c>
      <c r="B333" s="384" t="s">
        <v>4670</v>
      </c>
      <c r="C333" s="385" t="s">
        <v>3836</v>
      </c>
      <c r="D333" s="386">
        <f t="shared" si="13"/>
        <v>0</v>
      </c>
      <c r="E333" s="457"/>
      <c r="F333" s="385"/>
      <c r="G333" s="416"/>
      <c r="H333" s="385"/>
      <c r="I333" s="385"/>
      <c r="J333" s="389"/>
      <c r="K333" s="385"/>
      <c r="L333"/>
    </row>
    <row r="334" spans="1:12" ht="12.75" customHeight="1" x14ac:dyDescent="0.25">
      <c r="A334" s="453" t="s">
        <v>4640</v>
      </c>
      <c r="B334" s="423" t="s">
        <v>4671</v>
      </c>
      <c r="C334" s="385" t="s">
        <v>3836</v>
      </c>
      <c r="D334" s="386">
        <f t="shared" si="13"/>
        <v>0</v>
      </c>
      <c r="E334" s="457"/>
      <c r="F334" s="386"/>
      <c r="G334" s="416"/>
      <c r="H334" s="385"/>
      <c r="I334" s="385"/>
      <c r="J334" s="389"/>
      <c r="K334" s="385"/>
      <c r="L334"/>
    </row>
    <row r="335" spans="1:12" ht="12.75" customHeight="1" x14ac:dyDescent="0.25">
      <c r="A335" s="453" t="s">
        <v>4641</v>
      </c>
      <c r="B335" s="394" t="s">
        <v>4672</v>
      </c>
      <c r="C335" s="385" t="s">
        <v>3836</v>
      </c>
      <c r="D335" s="386">
        <f t="shared" si="13"/>
        <v>0</v>
      </c>
      <c r="E335" s="457"/>
      <c r="F335" s="385"/>
      <c r="G335" s="416"/>
      <c r="H335" s="386"/>
      <c r="I335" s="386"/>
      <c r="J335" s="389"/>
      <c r="K335" s="385"/>
      <c r="L335"/>
    </row>
    <row r="336" spans="1:12" ht="12.75" customHeight="1" x14ac:dyDescent="0.25">
      <c r="A336" s="453" t="s">
        <v>4642</v>
      </c>
      <c r="B336" s="394" t="s">
        <v>4673</v>
      </c>
      <c r="C336" s="385" t="s">
        <v>3836</v>
      </c>
      <c r="D336" s="386">
        <f t="shared" si="13"/>
        <v>0</v>
      </c>
      <c r="E336" s="457"/>
      <c r="F336" s="385"/>
      <c r="G336" s="416"/>
      <c r="H336" s="385"/>
      <c r="I336" s="385"/>
      <c r="J336" s="389"/>
      <c r="K336" s="385"/>
      <c r="L336"/>
    </row>
    <row r="337" spans="1:12" ht="12.75" customHeight="1" x14ac:dyDescent="0.25">
      <c r="A337" s="453" t="s">
        <v>4643</v>
      </c>
      <c r="B337" s="394" t="s">
        <v>4674</v>
      </c>
      <c r="C337" s="385" t="s">
        <v>3836</v>
      </c>
      <c r="D337" s="386">
        <f t="shared" si="13"/>
        <v>0</v>
      </c>
      <c r="E337" s="457"/>
      <c r="F337" s="385"/>
      <c r="G337" s="416"/>
      <c r="H337" s="385"/>
      <c r="I337" s="385"/>
      <c r="J337" s="389">
        <v>0</v>
      </c>
      <c r="K337" s="385" t="s">
        <v>3837</v>
      </c>
      <c r="L337"/>
    </row>
    <row r="338" spans="1:12" ht="12.75" customHeight="1" x14ac:dyDescent="0.25">
      <c r="A338" s="453" t="s">
        <v>4644</v>
      </c>
      <c r="B338" s="394" t="s">
        <v>4675</v>
      </c>
      <c r="C338" s="385" t="s">
        <v>3836</v>
      </c>
      <c r="D338" s="386">
        <f t="shared" si="13"/>
        <v>0</v>
      </c>
      <c r="E338" s="457"/>
      <c r="F338" s="385"/>
      <c r="G338" s="416"/>
      <c r="H338" s="385"/>
      <c r="I338" s="385"/>
      <c r="J338" s="389"/>
      <c r="K338" s="385"/>
      <c r="L338"/>
    </row>
    <row r="339" spans="1:12" ht="12.75" customHeight="1" x14ac:dyDescent="0.25">
      <c r="A339" s="453" t="s">
        <v>4645</v>
      </c>
      <c r="B339" s="394" t="s">
        <v>4676</v>
      </c>
      <c r="C339" s="385" t="s">
        <v>3836</v>
      </c>
      <c r="D339" s="386">
        <f t="shared" si="13"/>
        <v>0</v>
      </c>
      <c r="E339" s="457"/>
      <c r="F339" s="385"/>
      <c r="G339" s="416"/>
      <c r="H339" s="385"/>
      <c r="I339" s="385"/>
      <c r="J339" s="389"/>
      <c r="K339" s="385"/>
      <c r="L339"/>
    </row>
    <row r="340" spans="1:12" ht="12.75" customHeight="1" x14ac:dyDescent="0.25">
      <c r="A340" s="453" t="s">
        <v>4646</v>
      </c>
      <c r="B340" s="391" t="s">
        <v>4677</v>
      </c>
      <c r="C340" s="385" t="s">
        <v>3836</v>
      </c>
      <c r="D340" s="386">
        <f t="shared" si="13"/>
        <v>0</v>
      </c>
      <c r="E340" s="457"/>
      <c r="F340" s="385"/>
      <c r="G340" s="416"/>
      <c r="H340" s="385"/>
      <c r="I340" s="385"/>
      <c r="J340" s="389"/>
      <c r="K340" s="385"/>
      <c r="L340"/>
    </row>
    <row r="341" spans="1:12" ht="12.75" customHeight="1" x14ac:dyDescent="0.25">
      <c r="A341" s="453" t="s">
        <v>4647</v>
      </c>
      <c r="B341" s="391" t="s">
        <v>4678</v>
      </c>
      <c r="C341" s="385" t="s">
        <v>3836</v>
      </c>
      <c r="D341" s="386">
        <f t="shared" si="13"/>
        <v>0</v>
      </c>
      <c r="E341" s="457"/>
      <c r="F341" s="385"/>
      <c r="G341" s="416"/>
      <c r="H341" s="385"/>
      <c r="I341" s="385"/>
      <c r="J341" s="389"/>
      <c r="K341" s="385"/>
      <c r="L341"/>
    </row>
    <row r="342" spans="1:12" ht="12.75" customHeight="1" x14ac:dyDescent="0.25">
      <c r="A342" s="453" t="s">
        <v>4648</v>
      </c>
      <c r="B342" s="394" t="s">
        <v>4679</v>
      </c>
      <c r="C342" s="385" t="s">
        <v>3836</v>
      </c>
      <c r="D342" s="386">
        <f t="shared" si="13"/>
        <v>0</v>
      </c>
      <c r="E342" s="457"/>
      <c r="F342" s="386"/>
      <c r="G342" s="416"/>
      <c r="H342" s="385"/>
      <c r="I342" s="385"/>
      <c r="J342" s="389"/>
      <c r="K342" s="385"/>
      <c r="L342"/>
    </row>
    <row r="343" spans="1:12" ht="12.75" customHeight="1" x14ac:dyDescent="0.25">
      <c r="A343" s="453" t="s">
        <v>4649</v>
      </c>
      <c r="B343" s="394" t="s">
        <v>4680</v>
      </c>
      <c r="C343" s="385" t="s">
        <v>3836</v>
      </c>
      <c r="D343" s="386">
        <f t="shared" si="13"/>
        <v>0</v>
      </c>
      <c r="E343" s="457"/>
      <c r="F343" s="426"/>
      <c r="G343" s="416"/>
      <c r="H343" s="427"/>
      <c r="I343" s="427"/>
      <c r="J343" s="396"/>
      <c r="K343" s="427"/>
      <c r="L343"/>
    </row>
    <row r="344" spans="1:12" ht="12.75" customHeight="1" x14ac:dyDescent="0.25">
      <c r="A344" s="453" t="s">
        <v>4650</v>
      </c>
      <c r="B344" s="394" t="s">
        <v>4681</v>
      </c>
      <c r="C344" s="385" t="s">
        <v>3836</v>
      </c>
      <c r="D344" s="386">
        <f t="shared" si="13"/>
        <v>0</v>
      </c>
      <c r="E344" s="457"/>
      <c r="F344" s="426"/>
      <c r="G344" s="416"/>
      <c r="H344" s="427"/>
      <c r="I344" s="427"/>
      <c r="J344" s="396"/>
      <c r="K344" s="427"/>
      <c r="L344"/>
    </row>
    <row r="345" spans="1:12" ht="12.75" customHeight="1" x14ac:dyDescent="0.25">
      <c r="A345" s="453" t="s">
        <v>4651</v>
      </c>
      <c r="B345" s="394" t="s">
        <v>4682</v>
      </c>
      <c r="C345" s="385" t="s">
        <v>3836</v>
      </c>
      <c r="D345" s="386">
        <f t="shared" si="13"/>
        <v>0</v>
      </c>
      <c r="E345" s="457"/>
      <c r="F345" s="426"/>
      <c r="G345" s="416"/>
      <c r="H345" s="427"/>
      <c r="I345" s="427"/>
      <c r="J345" s="396"/>
      <c r="K345" s="427"/>
      <c r="L345"/>
    </row>
    <row r="346" spans="1:12" ht="12.75" customHeight="1" x14ac:dyDescent="0.25">
      <c r="A346" s="453" t="s">
        <v>4652</v>
      </c>
      <c r="B346" s="394" t="s">
        <v>4683</v>
      </c>
      <c r="C346" s="385" t="s">
        <v>3836</v>
      </c>
      <c r="D346" s="386">
        <f t="shared" si="13"/>
        <v>0</v>
      </c>
      <c r="E346" s="494"/>
      <c r="F346" s="426"/>
      <c r="G346" s="416"/>
      <c r="H346" s="427"/>
      <c r="I346" s="427"/>
      <c r="J346" s="396"/>
      <c r="K346" s="385"/>
      <c r="L346"/>
    </row>
    <row r="347" spans="1:12" ht="12.75" customHeight="1" x14ac:dyDescent="0.25">
      <c r="A347" s="453" t="s">
        <v>4653</v>
      </c>
      <c r="B347" s="394" t="s">
        <v>4684</v>
      </c>
      <c r="C347" s="385" t="s">
        <v>3836</v>
      </c>
      <c r="D347" s="386">
        <f t="shared" si="13"/>
        <v>0</v>
      </c>
      <c r="E347" s="494"/>
      <c r="F347" s="426"/>
      <c r="G347" s="416"/>
      <c r="H347" s="427"/>
      <c r="I347" s="427"/>
      <c r="J347" s="396"/>
      <c r="K347" s="385"/>
      <c r="L347"/>
    </row>
    <row r="348" spans="1:12" ht="12.75" customHeight="1" x14ac:dyDescent="0.25">
      <c r="A348" s="453" t="s">
        <v>4654</v>
      </c>
      <c r="B348" s="394" t="s">
        <v>4685</v>
      </c>
      <c r="C348" s="385" t="s">
        <v>3836</v>
      </c>
      <c r="D348" s="386">
        <f t="shared" si="13"/>
        <v>0</v>
      </c>
      <c r="E348" s="494"/>
      <c r="F348" s="426"/>
      <c r="G348" s="416"/>
      <c r="H348" s="427"/>
      <c r="I348" s="427"/>
      <c r="J348" s="396"/>
      <c r="K348" s="427"/>
      <c r="L348"/>
    </row>
    <row r="349" spans="1:12" ht="12.75" customHeight="1" x14ac:dyDescent="0.25">
      <c r="A349" s="453" t="s">
        <v>4655</v>
      </c>
      <c r="B349" s="384" t="s">
        <v>4686</v>
      </c>
      <c r="C349" s="385" t="s">
        <v>3836</v>
      </c>
      <c r="D349" s="386">
        <f t="shared" si="13"/>
        <v>0</v>
      </c>
      <c r="E349" s="494"/>
      <c r="F349" s="426"/>
      <c r="G349" s="416"/>
      <c r="H349" s="427"/>
      <c r="I349" s="427"/>
      <c r="J349" s="396"/>
      <c r="K349" s="385"/>
      <c r="L349"/>
    </row>
    <row r="350" spans="1:12" ht="12.75" customHeight="1" x14ac:dyDescent="0.25">
      <c r="A350" s="453" t="s">
        <v>4656</v>
      </c>
      <c r="B350" s="384" t="s">
        <v>4687</v>
      </c>
      <c r="C350" s="385" t="s">
        <v>3836</v>
      </c>
      <c r="D350" s="386">
        <f t="shared" si="13"/>
        <v>0</v>
      </c>
      <c r="E350" s="494"/>
      <c r="F350" s="426"/>
      <c r="G350" s="416"/>
      <c r="H350" s="427"/>
      <c r="I350" s="427"/>
      <c r="J350" s="396"/>
      <c r="K350" s="427"/>
      <c r="L350"/>
    </row>
    <row r="351" spans="1:12" ht="12.75" customHeight="1" x14ac:dyDescent="0.25">
      <c r="A351" s="453" t="s">
        <v>4657</v>
      </c>
      <c r="B351" s="394" t="s">
        <v>4688</v>
      </c>
      <c r="C351" s="385" t="s">
        <v>3836</v>
      </c>
      <c r="D351" s="386">
        <f t="shared" si="13"/>
        <v>0</v>
      </c>
      <c r="E351" s="494"/>
      <c r="F351" s="426"/>
      <c r="G351" s="416"/>
      <c r="H351" s="427"/>
      <c r="I351" s="427"/>
      <c r="J351" s="396"/>
      <c r="K351" s="385"/>
      <c r="L351"/>
    </row>
    <row r="352" spans="1:12" ht="12.75" customHeight="1" x14ac:dyDescent="0.25">
      <c r="A352" s="453" t="s">
        <v>4658</v>
      </c>
      <c r="B352" s="394" t="s">
        <v>4689</v>
      </c>
      <c r="C352" s="385" t="s">
        <v>3836</v>
      </c>
      <c r="D352" s="386">
        <f t="shared" si="13"/>
        <v>0</v>
      </c>
      <c r="E352" s="494"/>
      <c r="F352" s="426"/>
      <c r="G352" s="416"/>
      <c r="H352" s="427"/>
      <c r="I352" s="427"/>
      <c r="J352" s="396"/>
      <c r="K352" s="427"/>
      <c r="L352"/>
    </row>
    <row r="353" spans="1:12" ht="12.75" customHeight="1" x14ac:dyDescent="0.25">
      <c r="A353" s="453" t="s">
        <v>4659</v>
      </c>
      <c r="B353" s="394" t="s">
        <v>4690</v>
      </c>
      <c r="C353" s="385" t="s">
        <v>3836</v>
      </c>
      <c r="D353" s="386">
        <f t="shared" si="13"/>
        <v>0</v>
      </c>
      <c r="E353" s="494"/>
      <c r="F353" s="426"/>
      <c r="G353" s="416"/>
      <c r="H353" s="427"/>
      <c r="I353" s="427"/>
      <c r="J353" s="396"/>
      <c r="K353" s="427"/>
      <c r="L353"/>
    </row>
    <row r="354" spans="1:12" ht="12.75" customHeight="1" x14ac:dyDescent="0.25">
      <c r="A354" s="453" t="s">
        <v>4660</v>
      </c>
      <c r="B354" s="394" t="s">
        <v>4691</v>
      </c>
      <c r="C354" s="385" t="s">
        <v>3836</v>
      </c>
      <c r="D354" s="386">
        <f t="shared" si="13"/>
        <v>0</v>
      </c>
      <c r="E354" s="494"/>
      <c r="F354" s="426"/>
      <c r="G354" s="416"/>
      <c r="H354" s="427"/>
      <c r="I354" s="427"/>
      <c r="J354" s="396"/>
      <c r="K354" s="427"/>
      <c r="L354"/>
    </row>
    <row r="355" spans="1:12" ht="12.75" customHeight="1" x14ac:dyDescent="0.25">
      <c r="A355" s="453" t="s">
        <v>4661</v>
      </c>
      <c r="B355" s="394" t="s">
        <v>4692</v>
      </c>
      <c r="C355" s="385" t="s">
        <v>3836</v>
      </c>
      <c r="D355" s="386">
        <f t="shared" si="13"/>
        <v>0</v>
      </c>
      <c r="E355" s="494"/>
      <c r="F355" s="426"/>
      <c r="G355" s="416"/>
      <c r="H355" s="427"/>
      <c r="I355" s="427"/>
      <c r="J355" s="396"/>
      <c r="K355" s="427"/>
      <c r="L355"/>
    </row>
    <row r="356" spans="1:12" ht="12.75" customHeight="1" x14ac:dyDescent="0.2">
      <c r="A356" s="453" t="s">
        <v>4662</v>
      </c>
      <c r="B356" s="394" t="s">
        <v>4693</v>
      </c>
      <c r="C356" s="385" t="s">
        <v>3836</v>
      </c>
      <c r="D356" s="386">
        <f t="shared" si="13"/>
        <v>0</v>
      </c>
      <c r="E356" s="494"/>
      <c r="F356" s="426"/>
      <c r="G356" s="416"/>
      <c r="H356" s="427"/>
      <c r="I356" s="427"/>
      <c r="J356" s="396"/>
      <c r="K356" s="427"/>
      <c r="L356" s="484"/>
    </row>
    <row r="357" spans="1:12" ht="12.75" customHeight="1" x14ac:dyDescent="0.2">
      <c r="A357" s="453" t="s">
        <v>4663</v>
      </c>
      <c r="B357" s="394" t="s">
        <v>4694</v>
      </c>
      <c r="C357" s="385" t="s">
        <v>3836</v>
      </c>
      <c r="D357" s="386">
        <f t="shared" si="13"/>
        <v>0</v>
      </c>
      <c r="E357" s="494"/>
      <c r="F357" s="426"/>
      <c r="G357" s="416"/>
      <c r="H357" s="427"/>
      <c r="I357" s="427"/>
      <c r="J357" s="396"/>
      <c r="K357" s="427"/>
      <c r="L357" s="495"/>
    </row>
    <row r="358" spans="1:12" ht="12.75" customHeight="1" thickBot="1" x14ac:dyDescent="0.3">
      <c r="A358" s="401"/>
      <c r="B358" s="402"/>
      <c r="C358" s="402" t="s">
        <v>3823</v>
      </c>
      <c r="D358" s="403">
        <f t="shared" ref="D358:J358" si="14">SUM(D327:D357)</f>
        <v>0</v>
      </c>
      <c r="E358" s="403">
        <f t="shared" si="14"/>
        <v>0</v>
      </c>
      <c r="F358" s="403">
        <f t="shared" si="14"/>
        <v>0</v>
      </c>
      <c r="G358" s="403">
        <f t="shared" si="14"/>
        <v>0</v>
      </c>
      <c r="H358" s="403">
        <f t="shared" si="14"/>
        <v>0</v>
      </c>
      <c r="I358" s="403">
        <f t="shared" si="14"/>
        <v>0</v>
      </c>
      <c r="J358" s="403">
        <f t="shared" si="14"/>
        <v>0</v>
      </c>
      <c r="K358" s="403">
        <v>0</v>
      </c>
      <c r="L358"/>
    </row>
    <row r="361" spans="1:12" ht="12.75" customHeight="1" x14ac:dyDescent="0.2">
      <c r="A361" s="126" t="s">
        <v>3811</v>
      </c>
      <c r="B361" s="126"/>
      <c r="C361" s="126"/>
      <c r="D361" s="126"/>
      <c r="E361" s="126"/>
      <c r="F361" s="126"/>
      <c r="G361" s="126"/>
      <c r="H361" s="126"/>
      <c r="I361" s="126"/>
      <c r="J361" s="126"/>
      <c r="K361" s="126"/>
    </row>
    <row r="362" spans="1:12" ht="12.75" customHeight="1" x14ac:dyDescent="0.2">
      <c r="A362" s="126" t="s">
        <v>3748</v>
      </c>
      <c r="B362" s="126"/>
      <c r="C362" s="126"/>
      <c r="D362" s="126"/>
      <c r="E362" s="126"/>
      <c r="F362" s="126"/>
      <c r="G362" s="126"/>
      <c r="H362" s="126"/>
      <c r="I362" s="126"/>
      <c r="J362" s="126"/>
      <c r="K362" s="126"/>
    </row>
    <row r="363" spans="1:12" ht="12.75" customHeight="1" x14ac:dyDescent="0.2">
      <c r="A363" s="586" t="s">
        <v>3824</v>
      </c>
      <c r="B363" s="586"/>
      <c r="C363" s="586"/>
      <c r="D363" s="586"/>
      <c r="E363" s="586"/>
      <c r="F363" s="586"/>
      <c r="G363" s="586"/>
      <c r="H363" s="586"/>
      <c r="I363" s="586"/>
      <c r="J363" s="586"/>
      <c r="K363" s="586"/>
    </row>
    <row r="364" spans="1:12" ht="12.75" customHeight="1" x14ac:dyDescent="0.2">
      <c r="A364" s="586" t="s">
        <v>3825</v>
      </c>
      <c r="B364" s="586"/>
      <c r="C364" s="586"/>
      <c r="D364" s="586"/>
      <c r="E364" s="586"/>
      <c r="F364" s="586"/>
      <c r="G364" s="586"/>
      <c r="H364" s="586"/>
      <c r="I364" s="586"/>
      <c r="J364" s="586"/>
      <c r="K364" s="586"/>
    </row>
    <row r="365" spans="1:12" ht="12.75" customHeight="1" x14ac:dyDescent="0.2">
      <c r="A365" s="586" t="s">
        <v>3800</v>
      </c>
      <c r="B365" s="586"/>
      <c r="C365" s="586"/>
      <c r="D365" s="586"/>
      <c r="E365" s="586"/>
      <c r="F365" s="586"/>
      <c r="G365" s="586"/>
      <c r="H365" s="586"/>
      <c r="I365" s="586"/>
      <c r="J365" s="586"/>
      <c r="K365" s="586"/>
    </row>
    <row r="366" spans="1:12" ht="12.75" customHeight="1" x14ac:dyDescent="0.2">
      <c r="A366" s="126"/>
      <c r="B366" s="126"/>
      <c r="C366" s="126"/>
      <c r="D366" s="126"/>
      <c r="E366" s="126"/>
      <c r="F366" s="126"/>
      <c r="G366" s="126"/>
      <c r="H366" s="126"/>
      <c r="I366" s="126"/>
      <c r="J366" s="126"/>
      <c r="K366" s="126"/>
    </row>
    <row r="367" spans="1:12" ht="12.75" customHeight="1" x14ac:dyDescent="0.2">
      <c r="A367" s="627" t="s">
        <v>12</v>
      </c>
      <c r="B367" s="627" t="s">
        <v>91</v>
      </c>
      <c r="C367" s="627" t="s">
        <v>13</v>
      </c>
      <c r="D367" s="406" t="s">
        <v>90</v>
      </c>
      <c r="E367" s="628" t="s">
        <v>14</v>
      </c>
      <c r="F367" s="628"/>
      <c r="G367" s="628"/>
      <c r="H367" s="628"/>
      <c r="I367" s="628"/>
      <c r="J367" s="628"/>
      <c r="K367" s="629"/>
    </row>
    <row r="368" spans="1:12" ht="12.75" customHeight="1" x14ac:dyDescent="0.2">
      <c r="A368" s="627"/>
      <c r="B368" s="627"/>
      <c r="C368" s="627"/>
      <c r="D368" s="630" t="s">
        <v>3814</v>
      </c>
      <c r="E368" s="632" t="s">
        <v>3826</v>
      </c>
      <c r="F368" s="632"/>
      <c r="G368" s="632"/>
      <c r="H368" s="632"/>
      <c r="I368" s="632"/>
      <c r="J368" s="632"/>
      <c r="K368" s="633"/>
    </row>
    <row r="369" spans="1:11" ht="12.75" customHeight="1" x14ac:dyDescent="0.2">
      <c r="A369" s="627"/>
      <c r="B369" s="627"/>
      <c r="C369" s="627"/>
      <c r="D369" s="631"/>
      <c r="E369" s="407" t="s">
        <v>3827</v>
      </c>
      <c r="F369" s="408" t="s">
        <v>3828</v>
      </c>
      <c r="G369" s="409" t="s">
        <v>3829</v>
      </c>
      <c r="H369" s="407" t="s">
        <v>3830</v>
      </c>
      <c r="I369" s="407" t="s">
        <v>3831</v>
      </c>
      <c r="J369" s="634" t="s">
        <v>3832</v>
      </c>
      <c r="K369" s="635"/>
    </row>
    <row r="370" spans="1:11" ht="12.75" customHeight="1" x14ac:dyDescent="0.2">
      <c r="A370" s="627"/>
      <c r="B370" s="627"/>
      <c r="C370" s="627"/>
      <c r="D370" s="406" t="s">
        <v>3312</v>
      </c>
      <c r="E370" s="405" t="s">
        <v>3306</v>
      </c>
      <c r="F370" s="405" t="s">
        <v>3833</v>
      </c>
      <c r="G370" s="410" t="s">
        <v>3777</v>
      </c>
      <c r="H370" s="405" t="s">
        <v>3834</v>
      </c>
      <c r="I370" s="405" t="s">
        <v>3311</v>
      </c>
      <c r="J370" s="411" t="s">
        <v>3823</v>
      </c>
      <c r="K370" s="406" t="s">
        <v>3835</v>
      </c>
    </row>
    <row r="371" spans="1:11" ht="12.75" customHeight="1" x14ac:dyDescent="0.25">
      <c r="A371" s="412"/>
      <c r="B371" s="412"/>
      <c r="C371" s="412"/>
      <c r="D371" s="413"/>
      <c r="E371" s="414"/>
      <c r="F371" s="415"/>
      <c r="G371" s="416"/>
      <c r="H371" s="417"/>
      <c r="I371" s="417"/>
      <c r="J371" s="416"/>
      <c r="K371" s="418"/>
    </row>
    <row r="372" spans="1:11" ht="12.75" customHeight="1" x14ac:dyDescent="0.2">
      <c r="A372" s="453" t="s">
        <v>4772</v>
      </c>
      <c r="B372" s="419" t="s">
        <v>4802</v>
      </c>
      <c r="C372" s="385" t="s">
        <v>3836</v>
      </c>
      <c r="D372" s="386">
        <f>SUM(E372:J372)</f>
        <v>0</v>
      </c>
      <c r="E372" s="493"/>
      <c r="F372" s="500"/>
      <c r="G372" s="416"/>
      <c r="H372" s="417"/>
      <c r="I372" s="417"/>
      <c r="J372" s="416"/>
      <c r="K372" s="417"/>
    </row>
    <row r="373" spans="1:11" ht="12.75" customHeight="1" x14ac:dyDescent="0.2">
      <c r="A373" s="453" t="s">
        <v>4773</v>
      </c>
      <c r="B373" s="375" t="s">
        <v>4803</v>
      </c>
      <c r="C373" s="385" t="s">
        <v>3836</v>
      </c>
      <c r="D373" s="386">
        <f t="shared" ref="D373:D402" si="15">SUM(E373:J373)</f>
        <v>0</v>
      </c>
      <c r="E373" s="493"/>
      <c r="F373" s="500"/>
      <c r="G373" s="416"/>
      <c r="H373" s="417"/>
      <c r="I373" s="417"/>
      <c r="J373" s="416"/>
      <c r="K373" s="417"/>
    </row>
    <row r="374" spans="1:11" ht="12.75" customHeight="1" x14ac:dyDescent="0.2">
      <c r="A374" s="453" t="s">
        <v>4774</v>
      </c>
      <c r="B374" s="384" t="s">
        <v>4804</v>
      </c>
      <c r="C374" s="385" t="s">
        <v>3836</v>
      </c>
      <c r="D374" s="386">
        <f t="shared" si="15"/>
        <v>0</v>
      </c>
      <c r="E374" s="493"/>
      <c r="F374" s="501"/>
      <c r="G374" s="416"/>
      <c r="H374" s="385"/>
      <c r="I374" s="385"/>
      <c r="J374" s="389"/>
      <c r="K374" s="385"/>
    </row>
    <row r="375" spans="1:11" ht="12.75" customHeight="1" x14ac:dyDescent="0.2">
      <c r="A375" s="453" t="s">
        <v>4775</v>
      </c>
      <c r="B375" s="384" t="s">
        <v>4805</v>
      </c>
      <c r="C375" s="385" t="s">
        <v>3836</v>
      </c>
      <c r="D375" s="386">
        <f t="shared" si="15"/>
        <v>0</v>
      </c>
      <c r="E375" s="493"/>
      <c r="F375" s="457"/>
      <c r="G375" s="416"/>
      <c r="H375" s="385"/>
      <c r="I375" s="385"/>
      <c r="J375" s="389"/>
      <c r="K375" s="385"/>
    </row>
    <row r="376" spans="1:11" ht="12.75" customHeight="1" x14ac:dyDescent="0.2">
      <c r="A376" s="453" t="s">
        <v>4776</v>
      </c>
      <c r="B376" s="384" t="s">
        <v>4806</v>
      </c>
      <c r="C376" s="385" t="s">
        <v>3836</v>
      </c>
      <c r="D376" s="386">
        <f t="shared" si="15"/>
        <v>0</v>
      </c>
      <c r="E376" s="493"/>
      <c r="F376" s="457"/>
      <c r="G376" s="416"/>
      <c r="H376" s="385"/>
      <c r="I376" s="385"/>
      <c r="J376" s="389"/>
      <c r="K376" s="385"/>
    </row>
    <row r="377" spans="1:11" ht="12.75" customHeight="1" x14ac:dyDescent="0.2">
      <c r="A377" s="453" t="s">
        <v>4777</v>
      </c>
      <c r="B377" s="384" t="s">
        <v>4807</v>
      </c>
      <c r="C377" s="385" t="s">
        <v>3836</v>
      </c>
      <c r="D377" s="386">
        <f t="shared" si="15"/>
        <v>0</v>
      </c>
      <c r="E377" s="493"/>
      <c r="F377" s="457"/>
      <c r="G377" s="416"/>
      <c r="H377" s="385"/>
      <c r="I377" s="385"/>
      <c r="J377" s="389"/>
      <c r="K377" s="385"/>
    </row>
    <row r="378" spans="1:11" ht="12.75" customHeight="1" x14ac:dyDescent="0.2">
      <c r="A378" s="453" t="s">
        <v>4778</v>
      </c>
      <c r="B378" s="384" t="s">
        <v>4808</v>
      </c>
      <c r="C378" s="385" t="s">
        <v>3836</v>
      </c>
      <c r="D378" s="386">
        <f t="shared" si="15"/>
        <v>0</v>
      </c>
      <c r="E378" s="493"/>
      <c r="F378" s="457"/>
      <c r="G378" s="416"/>
      <c r="H378" s="385"/>
      <c r="I378" s="385"/>
      <c r="J378" s="389"/>
      <c r="K378" s="385"/>
    </row>
    <row r="379" spans="1:11" ht="12.75" customHeight="1" x14ac:dyDescent="0.2">
      <c r="A379" s="453" t="s">
        <v>4779</v>
      </c>
      <c r="B379" s="423" t="s">
        <v>4809</v>
      </c>
      <c r="C379" s="385" t="s">
        <v>3836</v>
      </c>
      <c r="D379" s="386">
        <f t="shared" si="15"/>
        <v>0</v>
      </c>
      <c r="E379" s="493"/>
      <c r="F379" s="457"/>
      <c r="G379" s="416"/>
      <c r="H379" s="385"/>
      <c r="I379" s="385"/>
      <c r="J379" s="389"/>
      <c r="K379" s="385"/>
    </row>
    <row r="380" spans="1:11" ht="12.75" customHeight="1" x14ac:dyDescent="0.2">
      <c r="A380" s="453" t="s">
        <v>4780</v>
      </c>
      <c r="B380" s="394" t="s">
        <v>4810</v>
      </c>
      <c r="C380" s="385" t="s">
        <v>3836</v>
      </c>
      <c r="D380" s="386">
        <f t="shared" si="15"/>
        <v>0</v>
      </c>
      <c r="E380" s="493"/>
      <c r="F380" s="457"/>
      <c r="G380" s="416"/>
      <c r="H380" s="386"/>
      <c r="I380" s="386"/>
      <c r="J380" s="389"/>
      <c r="K380" s="385"/>
    </row>
    <row r="381" spans="1:11" ht="12.75" customHeight="1" x14ac:dyDescent="0.2">
      <c r="A381" s="453" t="s">
        <v>4781</v>
      </c>
      <c r="B381" s="394" t="s">
        <v>4811</v>
      </c>
      <c r="C381" s="385" t="s">
        <v>3836</v>
      </c>
      <c r="D381" s="386">
        <f t="shared" si="15"/>
        <v>0</v>
      </c>
      <c r="E381" s="493"/>
      <c r="F381" s="457"/>
      <c r="G381" s="416"/>
      <c r="H381" s="385"/>
      <c r="I381" s="385"/>
      <c r="J381" s="389"/>
      <c r="K381" s="385"/>
    </row>
    <row r="382" spans="1:11" ht="12.75" customHeight="1" x14ac:dyDescent="0.2">
      <c r="A382" s="453" t="s">
        <v>4782</v>
      </c>
      <c r="B382" s="394" t="s">
        <v>4812</v>
      </c>
      <c r="C382" s="385" t="s">
        <v>3836</v>
      </c>
      <c r="D382" s="386">
        <f t="shared" si="15"/>
        <v>0</v>
      </c>
      <c r="E382" s="493"/>
      <c r="F382" s="457"/>
      <c r="G382" s="416"/>
      <c r="H382" s="385"/>
      <c r="I382" s="385"/>
      <c r="J382" s="389"/>
      <c r="K382" s="385"/>
    </row>
    <row r="383" spans="1:11" ht="12.75" customHeight="1" x14ac:dyDescent="0.2">
      <c r="A383" s="453" t="s">
        <v>4783</v>
      </c>
      <c r="B383" s="394" t="s">
        <v>4813</v>
      </c>
      <c r="C383" s="385" t="s">
        <v>3836</v>
      </c>
      <c r="D383" s="386">
        <f t="shared" si="15"/>
        <v>0</v>
      </c>
      <c r="E383" s="493"/>
      <c r="F383" s="457"/>
      <c r="G383" s="416"/>
      <c r="H383" s="385"/>
      <c r="I383" s="385"/>
      <c r="J383" s="389"/>
      <c r="K383" s="385"/>
    </row>
    <row r="384" spans="1:11" ht="12.75" customHeight="1" x14ac:dyDescent="0.2">
      <c r="A384" s="453" t="s">
        <v>4784</v>
      </c>
      <c r="B384" s="394" t="s">
        <v>4814</v>
      </c>
      <c r="C384" s="385" t="s">
        <v>3836</v>
      </c>
      <c r="D384" s="386">
        <f t="shared" si="15"/>
        <v>0</v>
      </c>
      <c r="E384" s="493"/>
      <c r="F384" s="457"/>
      <c r="G384" s="416"/>
      <c r="H384" s="385"/>
      <c r="I384" s="385"/>
      <c r="J384" s="389"/>
      <c r="K384" s="385"/>
    </row>
    <row r="385" spans="1:11" ht="12.75" customHeight="1" x14ac:dyDescent="0.2">
      <c r="A385" s="453" t="s">
        <v>4785</v>
      </c>
      <c r="B385" s="391" t="s">
        <v>4815</v>
      </c>
      <c r="C385" s="385" t="s">
        <v>3836</v>
      </c>
      <c r="D385" s="386">
        <f t="shared" si="15"/>
        <v>0</v>
      </c>
      <c r="E385" s="493"/>
      <c r="F385" s="457"/>
      <c r="G385" s="416"/>
      <c r="H385" s="385"/>
      <c r="I385" s="385"/>
      <c r="J385" s="389"/>
      <c r="K385" s="385"/>
    </row>
    <row r="386" spans="1:11" ht="12.75" customHeight="1" x14ac:dyDescent="0.2">
      <c r="A386" s="453" t="s">
        <v>4786</v>
      </c>
      <c r="B386" s="391" t="s">
        <v>4816</v>
      </c>
      <c r="C386" s="385" t="s">
        <v>3836</v>
      </c>
      <c r="D386" s="386">
        <f t="shared" si="15"/>
        <v>0</v>
      </c>
      <c r="E386" s="493"/>
      <c r="F386" s="457"/>
      <c r="G386" s="416"/>
      <c r="H386" s="385"/>
      <c r="I386" s="385"/>
      <c r="J386" s="389"/>
      <c r="K386" s="385"/>
    </row>
    <row r="387" spans="1:11" ht="12.75" customHeight="1" x14ac:dyDescent="0.2">
      <c r="A387" s="453" t="s">
        <v>4787</v>
      </c>
      <c r="B387" s="394" t="s">
        <v>4817</v>
      </c>
      <c r="C387" s="385" t="s">
        <v>3836</v>
      </c>
      <c r="D387" s="386">
        <f t="shared" si="15"/>
        <v>0</v>
      </c>
      <c r="E387" s="493"/>
      <c r="F387" s="457"/>
      <c r="G387" s="416"/>
      <c r="H387" s="385"/>
      <c r="I387" s="385"/>
      <c r="J387" s="389"/>
      <c r="K387" s="385"/>
    </row>
    <row r="388" spans="1:11" ht="12.75" customHeight="1" x14ac:dyDescent="0.2">
      <c r="A388" s="453" t="s">
        <v>4788</v>
      </c>
      <c r="B388" s="394" t="s">
        <v>4818</v>
      </c>
      <c r="C388" s="385" t="s">
        <v>3836</v>
      </c>
      <c r="D388" s="386">
        <f t="shared" si="15"/>
        <v>0</v>
      </c>
      <c r="E388" s="493"/>
      <c r="F388" s="494"/>
      <c r="G388" s="416"/>
      <c r="H388" s="427"/>
      <c r="I388" s="427"/>
      <c r="J388" s="396"/>
      <c r="K388" s="427"/>
    </row>
    <row r="389" spans="1:11" ht="12.75" customHeight="1" x14ac:dyDescent="0.2">
      <c r="A389" s="453" t="s">
        <v>4789</v>
      </c>
      <c r="B389" s="394" t="s">
        <v>4819</v>
      </c>
      <c r="C389" s="385" t="s">
        <v>3836</v>
      </c>
      <c r="D389" s="386">
        <f t="shared" si="15"/>
        <v>0</v>
      </c>
      <c r="E389" s="493"/>
      <c r="F389" s="494"/>
      <c r="G389" s="416"/>
      <c r="H389" s="427"/>
      <c r="I389" s="427"/>
      <c r="J389" s="396"/>
      <c r="K389" s="427"/>
    </row>
    <row r="390" spans="1:11" ht="12.75" customHeight="1" x14ac:dyDescent="0.2">
      <c r="A390" s="453" t="s">
        <v>4790</v>
      </c>
      <c r="B390" s="394" t="s">
        <v>4820</v>
      </c>
      <c r="C390" s="385" t="s">
        <v>3836</v>
      </c>
      <c r="D390" s="386">
        <f t="shared" si="15"/>
        <v>0</v>
      </c>
      <c r="E390" s="493"/>
      <c r="F390" s="494"/>
      <c r="G390" s="416"/>
      <c r="H390" s="427"/>
      <c r="I390" s="427"/>
      <c r="J390" s="396"/>
      <c r="K390" s="427"/>
    </row>
    <row r="391" spans="1:11" ht="12.75" customHeight="1" x14ac:dyDescent="0.2">
      <c r="A391" s="453" t="s">
        <v>4791</v>
      </c>
      <c r="B391" s="394" t="s">
        <v>4821</v>
      </c>
      <c r="C391" s="385" t="s">
        <v>3836</v>
      </c>
      <c r="D391" s="386">
        <f t="shared" si="15"/>
        <v>0</v>
      </c>
      <c r="E391" s="493"/>
      <c r="F391" s="494"/>
      <c r="G391" s="416"/>
      <c r="H391" s="427"/>
      <c r="I391" s="502"/>
      <c r="J391" s="396"/>
      <c r="K391" s="385"/>
    </row>
    <row r="392" spans="1:11" ht="12.75" customHeight="1" x14ac:dyDescent="0.2">
      <c r="A392" s="453" t="s">
        <v>4792</v>
      </c>
      <c r="B392" s="394" t="s">
        <v>4822</v>
      </c>
      <c r="C392" s="385" t="s">
        <v>3836</v>
      </c>
      <c r="D392" s="386">
        <f t="shared" si="15"/>
        <v>0</v>
      </c>
      <c r="E392" s="493"/>
      <c r="F392" s="494"/>
      <c r="G392" s="416"/>
      <c r="H392" s="427"/>
      <c r="I392" s="427"/>
      <c r="J392" s="396"/>
      <c r="K392" s="385"/>
    </row>
    <row r="393" spans="1:11" ht="12.75" customHeight="1" x14ac:dyDescent="0.2">
      <c r="A393" s="453" t="s">
        <v>4793</v>
      </c>
      <c r="B393" s="394" t="s">
        <v>4823</v>
      </c>
      <c r="C393" s="385" t="s">
        <v>3836</v>
      </c>
      <c r="D393" s="386">
        <f t="shared" si="15"/>
        <v>0</v>
      </c>
      <c r="E393" s="493"/>
      <c r="F393" s="494"/>
      <c r="G393" s="416"/>
      <c r="H393" s="427"/>
      <c r="I393" s="427"/>
      <c r="J393" s="396"/>
      <c r="K393" s="427"/>
    </row>
    <row r="394" spans="1:11" ht="12.75" customHeight="1" x14ac:dyDescent="0.2">
      <c r="A394" s="453" t="s">
        <v>4794</v>
      </c>
      <c r="B394" s="384" t="s">
        <v>4824</v>
      </c>
      <c r="C394" s="385" t="s">
        <v>3836</v>
      </c>
      <c r="D394" s="386">
        <f t="shared" si="15"/>
        <v>0</v>
      </c>
      <c r="E394" s="493"/>
      <c r="F394" s="494"/>
      <c r="G394" s="416"/>
      <c r="H394" s="427"/>
      <c r="I394" s="427"/>
      <c r="J394" s="396"/>
      <c r="K394" s="385"/>
    </row>
    <row r="395" spans="1:11" ht="12.75" customHeight="1" x14ac:dyDescent="0.2">
      <c r="A395" s="453" t="s">
        <v>4795</v>
      </c>
      <c r="B395" s="384" t="s">
        <v>4825</v>
      </c>
      <c r="C395" s="385" t="s">
        <v>3836</v>
      </c>
      <c r="D395" s="386">
        <f t="shared" si="15"/>
        <v>0</v>
      </c>
      <c r="E395" s="493"/>
      <c r="F395" s="494"/>
      <c r="G395" s="416"/>
      <c r="H395" s="427"/>
      <c r="I395" s="427"/>
      <c r="J395" s="396"/>
      <c r="K395" s="427"/>
    </row>
    <row r="396" spans="1:11" ht="12.75" customHeight="1" x14ac:dyDescent="0.2">
      <c r="A396" s="453" t="s">
        <v>4796</v>
      </c>
      <c r="B396" s="394" t="s">
        <v>4826</v>
      </c>
      <c r="C396" s="385" t="s">
        <v>3836</v>
      </c>
      <c r="D396" s="386">
        <f t="shared" si="15"/>
        <v>0</v>
      </c>
      <c r="E396" s="493"/>
      <c r="F396" s="494"/>
      <c r="G396" s="416"/>
      <c r="H396" s="427"/>
      <c r="I396" s="427"/>
      <c r="J396" s="396"/>
      <c r="K396" s="385"/>
    </row>
    <row r="397" spans="1:11" ht="12.75" customHeight="1" x14ac:dyDescent="0.2">
      <c r="A397" s="453" t="s">
        <v>4797</v>
      </c>
      <c r="B397" s="394" t="s">
        <v>4827</v>
      </c>
      <c r="C397" s="385" t="s">
        <v>3836</v>
      </c>
      <c r="D397" s="386">
        <f t="shared" si="15"/>
        <v>0</v>
      </c>
      <c r="E397" s="493"/>
      <c r="F397" s="494"/>
      <c r="G397" s="416"/>
      <c r="H397" s="427"/>
      <c r="I397" s="427"/>
      <c r="J397" s="396"/>
      <c r="K397" s="427"/>
    </row>
    <row r="398" spans="1:11" ht="12.75" customHeight="1" x14ac:dyDescent="0.2">
      <c r="A398" s="453" t="s">
        <v>4798</v>
      </c>
      <c r="B398" s="394" t="s">
        <v>4828</v>
      </c>
      <c r="C398" s="385" t="s">
        <v>3836</v>
      </c>
      <c r="D398" s="386">
        <f t="shared" si="15"/>
        <v>0</v>
      </c>
      <c r="E398" s="493"/>
      <c r="F398" s="494"/>
      <c r="G398" s="416"/>
      <c r="H398" s="427"/>
      <c r="I398" s="427"/>
      <c r="J398" s="396"/>
      <c r="K398" s="427"/>
    </row>
    <row r="399" spans="1:11" ht="12.75" customHeight="1" x14ac:dyDescent="0.2">
      <c r="A399" s="453" t="s">
        <v>4799</v>
      </c>
      <c r="B399" s="394" t="s">
        <v>4829</v>
      </c>
      <c r="C399" s="385" t="s">
        <v>3836</v>
      </c>
      <c r="D399" s="386">
        <f t="shared" si="15"/>
        <v>0</v>
      </c>
      <c r="E399" s="493"/>
      <c r="F399" s="494"/>
      <c r="G399" s="416"/>
      <c r="H399" s="427"/>
      <c r="I399" s="427"/>
      <c r="J399" s="396"/>
      <c r="K399" s="427"/>
    </row>
    <row r="400" spans="1:11" ht="12.75" customHeight="1" x14ac:dyDescent="0.2">
      <c r="A400" s="453" t="s">
        <v>4800</v>
      </c>
      <c r="B400" s="394" t="s">
        <v>4830</v>
      </c>
      <c r="C400" s="385" t="s">
        <v>3836</v>
      </c>
      <c r="D400" s="386">
        <f t="shared" si="15"/>
        <v>0</v>
      </c>
      <c r="E400" s="493"/>
      <c r="F400" s="494"/>
      <c r="G400" s="416"/>
      <c r="H400" s="427"/>
      <c r="I400" s="425"/>
      <c r="J400" s="396"/>
      <c r="K400" s="503"/>
    </row>
    <row r="401" spans="1:12" ht="12.75" customHeight="1" x14ac:dyDescent="0.2">
      <c r="A401" s="453" t="s">
        <v>4801</v>
      </c>
      <c r="B401" s="394" t="s">
        <v>4831</v>
      </c>
      <c r="C401" s="385" t="s">
        <v>3836</v>
      </c>
      <c r="D401" s="386">
        <f t="shared" si="15"/>
        <v>0</v>
      </c>
      <c r="E401" s="493"/>
      <c r="F401" s="494"/>
      <c r="G401" s="416"/>
      <c r="H401" s="427"/>
      <c r="I401" s="427"/>
      <c r="J401" s="396"/>
      <c r="K401" s="427"/>
    </row>
    <row r="402" spans="1:12" ht="12.75" customHeight="1" x14ac:dyDescent="0.2">
      <c r="A402" s="453"/>
      <c r="B402" s="394"/>
      <c r="C402" s="385" t="s">
        <v>3836</v>
      </c>
      <c r="D402" s="386">
        <f t="shared" si="15"/>
        <v>0</v>
      </c>
      <c r="E402" s="494"/>
      <c r="F402" s="494"/>
      <c r="G402" s="396">
        <v>0</v>
      </c>
      <c r="H402" s="427"/>
      <c r="I402" s="427"/>
      <c r="J402" s="396"/>
      <c r="K402" s="427"/>
    </row>
    <row r="403" spans="1:12" ht="12.75" customHeight="1" thickBot="1" x14ac:dyDescent="0.25">
      <c r="A403" s="401"/>
      <c r="B403" s="402"/>
      <c r="C403" s="402" t="s">
        <v>3823</v>
      </c>
      <c r="D403" s="403">
        <f>SUM(D372:D402)</f>
        <v>0</v>
      </c>
      <c r="E403" s="403">
        <f>SUM(E372:E402)</f>
        <v>0</v>
      </c>
      <c r="F403" s="403">
        <f t="shared" ref="F403:J403" si="16">SUM(F372:F402)</f>
        <v>0</v>
      </c>
      <c r="G403" s="403">
        <f t="shared" si="16"/>
        <v>0</v>
      </c>
      <c r="H403" s="403">
        <f t="shared" si="16"/>
        <v>0</v>
      </c>
      <c r="I403" s="403">
        <f t="shared" si="16"/>
        <v>0</v>
      </c>
      <c r="J403" s="403">
        <f t="shared" si="16"/>
        <v>0</v>
      </c>
      <c r="K403" s="403">
        <v>0</v>
      </c>
    </row>
    <row r="406" spans="1:12" ht="12.75" customHeight="1" x14ac:dyDescent="0.25">
      <c r="A406" s="126" t="s">
        <v>3811</v>
      </c>
      <c r="B406" s="126"/>
      <c r="C406" s="126"/>
      <c r="D406" s="126"/>
      <c r="E406" s="126"/>
      <c r="F406" s="126"/>
      <c r="G406" s="126"/>
      <c r="H406" s="126"/>
      <c r="I406" s="126"/>
      <c r="J406" s="126"/>
      <c r="K406" s="126"/>
      <c r="L406"/>
    </row>
    <row r="407" spans="1:12" ht="12.75" customHeight="1" x14ac:dyDescent="0.25">
      <c r="A407" s="126" t="s">
        <v>3748</v>
      </c>
      <c r="B407" s="126"/>
      <c r="C407" s="126"/>
      <c r="D407" s="126"/>
      <c r="E407" s="126"/>
      <c r="F407" s="126"/>
      <c r="G407" s="126"/>
      <c r="H407" s="126"/>
      <c r="I407" s="126"/>
      <c r="J407" s="126"/>
      <c r="K407" s="126"/>
      <c r="L407"/>
    </row>
    <row r="408" spans="1:12" ht="12.75" customHeight="1" x14ac:dyDescent="0.25">
      <c r="A408" s="586" t="s">
        <v>3824</v>
      </c>
      <c r="B408" s="586"/>
      <c r="C408" s="586"/>
      <c r="D408" s="586"/>
      <c r="E408" s="586"/>
      <c r="F408" s="586"/>
      <c r="G408" s="586"/>
      <c r="H408" s="586"/>
      <c r="I408" s="586"/>
      <c r="J408" s="586"/>
      <c r="K408" s="586"/>
      <c r="L408"/>
    </row>
    <row r="409" spans="1:12" ht="12.75" customHeight="1" x14ac:dyDescent="0.25">
      <c r="A409" s="586" t="s">
        <v>3825</v>
      </c>
      <c r="B409" s="586"/>
      <c r="C409" s="586"/>
      <c r="D409" s="586"/>
      <c r="E409" s="586"/>
      <c r="F409" s="586"/>
      <c r="G409" s="586"/>
      <c r="H409" s="586"/>
      <c r="I409" s="586"/>
      <c r="J409" s="586"/>
      <c r="K409" s="586"/>
      <c r="L409"/>
    </row>
    <row r="410" spans="1:12" ht="12.75" customHeight="1" x14ac:dyDescent="0.25">
      <c r="A410" s="586" t="s">
        <v>3801</v>
      </c>
      <c r="B410" s="586"/>
      <c r="C410" s="586"/>
      <c r="D410" s="586"/>
      <c r="E410" s="586"/>
      <c r="F410" s="586"/>
      <c r="G410" s="586"/>
      <c r="H410" s="586"/>
      <c r="I410" s="586"/>
      <c r="J410" s="586"/>
      <c r="K410" s="586"/>
      <c r="L410"/>
    </row>
    <row r="411" spans="1:12" ht="12.75" customHeight="1" x14ac:dyDescent="0.25">
      <c r="A411" s="126"/>
      <c r="B411" s="126"/>
      <c r="C411" s="126"/>
      <c r="D411" s="126"/>
      <c r="E411" s="126"/>
      <c r="F411" s="126"/>
      <c r="G411" s="126"/>
      <c r="H411" s="126"/>
      <c r="I411" s="126"/>
      <c r="J411" s="126"/>
      <c r="K411" s="126"/>
      <c r="L411"/>
    </row>
    <row r="412" spans="1:12" ht="12.75" customHeight="1" x14ac:dyDescent="0.25">
      <c r="A412" s="627" t="s">
        <v>12</v>
      </c>
      <c r="B412" s="627" t="s">
        <v>91</v>
      </c>
      <c r="C412" s="627" t="s">
        <v>13</v>
      </c>
      <c r="D412" s="406" t="s">
        <v>90</v>
      </c>
      <c r="E412" s="628" t="s">
        <v>14</v>
      </c>
      <c r="F412" s="628"/>
      <c r="G412" s="628"/>
      <c r="H412" s="628"/>
      <c r="I412" s="628"/>
      <c r="J412" s="628"/>
      <c r="K412" s="629"/>
      <c r="L412"/>
    </row>
    <row r="413" spans="1:12" ht="12.75" customHeight="1" x14ac:dyDescent="0.25">
      <c r="A413" s="627"/>
      <c r="B413" s="627"/>
      <c r="C413" s="627"/>
      <c r="D413" s="630" t="s">
        <v>3814</v>
      </c>
      <c r="E413" s="632" t="s">
        <v>3826</v>
      </c>
      <c r="F413" s="632"/>
      <c r="G413" s="632"/>
      <c r="H413" s="632"/>
      <c r="I413" s="632"/>
      <c r="J413" s="632"/>
      <c r="K413" s="633"/>
      <c r="L413"/>
    </row>
    <row r="414" spans="1:12" ht="12.75" customHeight="1" x14ac:dyDescent="0.25">
      <c r="A414" s="627"/>
      <c r="B414" s="627"/>
      <c r="C414" s="627"/>
      <c r="D414" s="631"/>
      <c r="E414" s="407" t="s">
        <v>3827</v>
      </c>
      <c r="F414" s="408" t="s">
        <v>3828</v>
      </c>
      <c r="G414" s="409" t="s">
        <v>3829</v>
      </c>
      <c r="H414" s="407" t="s">
        <v>3830</v>
      </c>
      <c r="I414" s="407" t="s">
        <v>3831</v>
      </c>
      <c r="J414" s="634" t="s">
        <v>3832</v>
      </c>
      <c r="K414" s="635"/>
      <c r="L414"/>
    </row>
    <row r="415" spans="1:12" ht="12.75" customHeight="1" x14ac:dyDescent="0.25">
      <c r="A415" s="627"/>
      <c r="B415" s="627"/>
      <c r="C415" s="627"/>
      <c r="D415" s="406" t="s">
        <v>3312</v>
      </c>
      <c r="E415" s="405" t="s">
        <v>3306</v>
      </c>
      <c r="F415" s="405" t="s">
        <v>3833</v>
      </c>
      <c r="G415" s="410" t="s">
        <v>3777</v>
      </c>
      <c r="H415" s="405" t="s">
        <v>3834</v>
      </c>
      <c r="I415" s="405" t="s">
        <v>3311</v>
      </c>
      <c r="J415" s="411" t="s">
        <v>3823</v>
      </c>
      <c r="K415" s="406" t="s">
        <v>3835</v>
      </c>
      <c r="L415"/>
    </row>
    <row r="416" spans="1:12" ht="12.75" customHeight="1" x14ac:dyDescent="0.25">
      <c r="A416" s="453" t="s">
        <v>4836</v>
      </c>
      <c r="B416" s="419" t="s">
        <v>4867</v>
      </c>
      <c r="C416" s="385" t="s">
        <v>3836</v>
      </c>
      <c r="D416" s="386">
        <f>SUM(E416:J416)</f>
        <v>0</v>
      </c>
      <c r="E416" s="493"/>
      <c r="F416" s="500"/>
      <c r="G416" s="416"/>
      <c r="H416" s="417"/>
      <c r="I416" s="417"/>
      <c r="J416" s="416"/>
      <c r="K416" s="417"/>
      <c r="L416"/>
    </row>
    <row r="417" spans="1:12" ht="12.75" customHeight="1" x14ac:dyDescent="0.25">
      <c r="A417" s="453" t="s">
        <v>4837</v>
      </c>
      <c r="B417" s="375" t="s">
        <v>4868</v>
      </c>
      <c r="C417" s="385" t="s">
        <v>3836</v>
      </c>
      <c r="D417" s="386">
        <f t="shared" ref="D417:D446" si="17">SUM(E417:J417)</f>
        <v>0</v>
      </c>
      <c r="E417" s="505"/>
      <c r="F417" s="500"/>
      <c r="G417" s="416"/>
      <c r="H417" s="417"/>
      <c r="I417" s="417"/>
      <c r="J417" s="416"/>
      <c r="K417" s="417"/>
      <c r="L417"/>
    </row>
    <row r="418" spans="1:12" ht="12.75" customHeight="1" x14ac:dyDescent="0.25">
      <c r="A418" s="453" t="s">
        <v>4838</v>
      </c>
      <c r="B418" s="384" t="s">
        <v>4869</v>
      </c>
      <c r="C418" s="385" t="s">
        <v>3836</v>
      </c>
      <c r="D418" s="386">
        <f t="shared" si="17"/>
        <v>0</v>
      </c>
      <c r="E418" s="457"/>
      <c r="F418" s="501"/>
      <c r="G418" s="416"/>
      <c r="H418" s="385"/>
      <c r="I418" s="385"/>
      <c r="J418" s="389"/>
      <c r="K418" s="385"/>
      <c r="L418"/>
    </row>
    <row r="419" spans="1:12" ht="12.75" customHeight="1" x14ac:dyDescent="0.25">
      <c r="A419" s="453" t="s">
        <v>4839</v>
      </c>
      <c r="B419" s="384" t="s">
        <v>4870</v>
      </c>
      <c r="C419" s="385" t="s">
        <v>3836</v>
      </c>
      <c r="D419" s="386">
        <f t="shared" si="17"/>
        <v>0</v>
      </c>
      <c r="E419" s="457"/>
      <c r="F419" s="457"/>
      <c r="G419" s="416"/>
      <c r="H419" s="385"/>
      <c r="I419" s="385"/>
      <c r="J419" s="389"/>
      <c r="K419" s="385"/>
      <c r="L419"/>
    </row>
    <row r="420" spans="1:12" ht="12.75" customHeight="1" x14ac:dyDescent="0.25">
      <c r="A420" s="453" t="s">
        <v>4840</v>
      </c>
      <c r="B420" s="384" t="s">
        <v>4871</v>
      </c>
      <c r="C420" s="385" t="s">
        <v>3836</v>
      </c>
      <c r="D420" s="386">
        <f t="shared" si="17"/>
        <v>0</v>
      </c>
      <c r="E420" s="457"/>
      <c r="F420" s="457"/>
      <c r="G420" s="416"/>
      <c r="H420" s="385"/>
      <c r="I420" s="385"/>
      <c r="J420" s="389"/>
      <c r="K420" s="385"/>
      <c r="L420"/>
    </row>
    <row r="421" spans="1:12" ht="12.75" customHeight="1" x14ac:dyDescent="0.25">
      <c r="A421" s="453" t="s">
        <v>4841</v>
      </c>
      <c r="B421" s="384" t="s">
        <v>4872</v>
      </c>
      <c r="C421" s="385" t="s">
        <v>3836</v>
      </c>
      <c r="D421" s="386">
        <f t="shared" si="17"/>
        <v>0</v>
      </c>
      <c r="E421" s="457"/>
      <c r="F421" s="457"/>
      <c r="G421" s="416"/>
      <c r="H421" s="385"/>
      <c r="I421" s="385"/>
      <c r="J421" s="389"/>
      <c r="K421" s="385"/>
      <c r="L421"/>
    </row>
    <row r="422" spans="1:12" ht="12.75" customHeight="1" x14ac:dyDescent="0.25">
      <c r="A422" s="453" t="s">
        <v>4842</v>
      </c>
      <c r="B422" s="384" t="s">
        <v>4873</v>
      </c>
      <c r="C422" s="385" t="s">
        <v>3836</v>
      </c>
      <c r="D422" s="386">
        <f t="shared" si="17"/>
        <v>0</v>
      </c>
      <c r="E422" s="457"/>
      <c r="F422" s="457"/>
      <c r="G422" s="416"/>
      <c r="H422" s="385"/>
      <c r="I422" s="385"/>
      <c r="J422" s="389">
        <v>0</v>
      </c>
      <c r="K422" s="385" t="s">
        <v>3837</v>
      </c>
      <c r="L422"/>
    </row>
    <row r="423" spans="1:12" ht="12.75" customHeight="1" x14ac:dyDescent="0.25">
      <c r="A423" s="453" t="s">
        <v>4843</v>
      </c>
      <c r="B423" s="423" t="s">
        <v>4874</v>
      </c>
      <c r="C423" s="385" t="s">
        <v>3836</v>
      </c>
      <c r="D423" s="386">
        <f t="shared" si="17"/>
        <v>0</v>
      </c>
      <c r="E423" s="457"/>
      <c r="F423" s="457"/>
      <c r="G423" s="416"/>
      <c r="H423" s="385"/>
      <c r="I423" s="385"/>
      <c r="J423" s="389"/>
      <c r="K423" s="385"/>
      <c r="L423"/>
    </row>
    <row r="424" spans="1:12" ht="12.75" customHeight="1" x14ac:dyDescent="0.25">
      <c r="A424" s="453" t="s">
        <v>4844</v>
      </c>
      <c r="B424" s="394" t="s">
        <v>4875</v>
      </c>
      <c r="C424" s="385" t="s">
        <v>3836</v>
      </c>
      <c r="D424" s="386">
        <f t="shared" si="17"/>
        <v>0</v>
      </c>
      <c r="E424" s="457"/>
      <c r="F424" s="457"/>
      <c r="G424" s="416"/>
      <c r="H424" s="386"/>
      <c r="I424" s="386"/>
      <c r="J424" s="389"/>
      <c r="K424" s="385"/>
      <c r="L424"/>
    </row>
    <row r="425" spans="1:12" ht="12.75" customHeight="1" x14ac:dyDescent="0.25">
      <c r="A425" s="453" t="s">
        <v>4845</v>
      </c>
      <c r="B425" s="394" t="s">
        <v>4876</v>
      </c>
      <c r="C425" s="385" t="s">
        <v>3836</v>
      </c>
      <c r="D425" s="386">
        <f t="shared" si="17"/>
        <v>0</v>
      </c>
      <c r="E425" s="457"/>
      <c r="F425" s="457"/>
      <c r="G425" s="416"/>
      <c r="H425" s="385"/>
      <c r="I425" s="385"/>
      <c r="J425" s="389"/>
      <c r="K425" s="385"/>
      <c r="L425"/>
    </row>
    <row r="426" spans="1:12" ht="12.75" customHeight="1" x14ac:dyDescent="0.25">
      <c r="A426" s="453" t="s">
        <v>4846</v>
      </c>
      <c r="B426" s="394" t="s">
        <v>4877</v>
      </c>
      <c r="C426" s="385" t="s">
        <v>3836</v>
      </c>
      <c r="D426" s="386">
        <f t="shared" si="17"/>
        <v>0</v>
      </c>
      <c r="E426" s="457"/>
      <c r="F426" s="457"/>
      <c r="G426" s="416"/>
      <c r="H426" s="385"/>
      <c r="I426" s="385"/>
      <c r="J426" s="389"/>
      <c r="K426" s="385"/>
      <c r="L426"/>
    </row>
    <row r="427" spans="1:12" ht="12.75" customHeight="1" x14ac:dyDescent="0.25">
      <c r="A427" s="453" t="s">
        <v>4847</v>
      </c>
      <c r="B427" s="394" t="s">
        <v>4878</v>
      </c>
      <c r="C427" s="385" t="s">
        <v>3836</v>
      </c>
      <c r="D427" s="386">
        <f t="shared" si="17"/>
        <v>0</v>
      </c>
      <c r="E427" s="457"/>
      <c r="F427" s="457"/>
      <c r="G427" s="416"/>
      <c r="H427" s="385"/>
      <c r="I427" s="385"/>
      <c r="J427" s="389"/>
      <c r="K427" s="385"/>
      <c r="L427"/>
    </row>
    <row r="428" spans="1:12" ht="12.75" customHeight="1" x14ac:dyDescent="0.25">
      <c r="A428" s="453" t="s">
        <v>4848</v>
      </c>
      <c r="B428" s="394" t="s">
        <v>4879</v>
      </c>
      <c r="C428" s="385" t="s">
        <v>3836</v>
      </c>
      <c r="D428" s="386">
        <f t="shared" si="17"/>
        <v>0</v>
      </c>
      <c r="E428" s="457"/>
      <c r="F428" s="457"/>
      <c r="G428" s="416"/>
      <c r="H428" s="385"/>
      <c r="I428" s="385"/>
      <c r="J428" s="389"/>
      <c r="K428" s="385"/>
      <c r="L428"/>
    </row>
    <row r="429" spans="1:12" ht="12.75" customHeight="1" x14ac:dyDescent="0.25">
      <c r="A429" s="453" t="s">
        <v>4849</v>
      </c>
      <c r="B429" s="391" t="s">
        <v>4880</v>
      </c>
      <c r="C429" s="385" t="s">
        <v>3836</v>
      </c>
      <c r="D429" s="386">
        <f t="shared" si="17"/>
        <v>0</v>
      </c>
      <c r="E429" s="457"/>
      <c r="F429" s="457"/>
      <c r="G429" s="416"/>
      <c r="H429" s="385"/>
      <c r="I429" s="385"/>
      <c r="J429" s="389"/>
      <c r="K429" s="385"/>
      <c r="L429"/>
    </row>
    <row r="430" spans="1:12" ht="12.75" customHeight="1" x14ac:dyDescent="0.25">
      <c r="A430" s="453" t="s">
        <v>4850</v>
      </c>
      <c r="B430" s="391" t="s">
        <v>4881</v>
      </c>
      <c r="C430" s="385" t="s">
        <v>3836</v>
      </c>
      <c r="D430" s="386">
        <f t="shared" si="17"/>
        <v>0</v>
      </c>
      <c r="E430" s="457"/>
      <c r="F430" s="457"/>
      <c r="G430" s="416"/>
      <c r="H430" s="385"/>
      <c r="I430" s="385"/>
      <c r="J430" s="389"/>
      <c r="K430" s="385" t="s">
        <v>3837</v>
      </c>
      <c r="L430"/>
    </row>
    <row r="431" spans="1:12" ht="12.75" customHeight="1" x14ac:dyDescent="0.25">
      <c r="A431" s="453" t="s">
        <v>4851</v>
      </c>
      <c r="B431" s="394" t="s">
        <v>4882</v>
      </c>
      <c r="C431" s="385" t="s">
        <v>3836</v>
      </c>
      <c r="D431" s="386">
        <f t="shared" si="17"/>
        <v>0</v>
      </c>
      <c r="E431" s="457"/>
      <c r="F431" s="457"/>
      <c r="G431" s="416"/>
      <c r="H431" s="385"/>
      <c r="I431" s="385"/>
      <c r="J431" s="389"/>
      <c r="K431" s="385"/>
      <c r="L431"/>
    </row>
    <row r="432" spans="1:12" ht="12.75" customHeight="1" x14ac:dyDescent="0.25">
      <c r="A432" s="453" t="s">
        <v>4852</v>
      </c>
      <c r="B432" s="394" t="s">
        <v>4883</v>
      </c>
      <c r="C432" s="385" t="s">
        <v>3836</v>
      </c>
      <c r="D432" s="386">
        <f t="shared" si="17"/>
        <v>0</v>
      </c>
      <c r="E432" s="457"/>
      <c r="F432" s="494"/>
      <c r="G432" s="416"/>
      <c r="H432" s="427"/>
      <c r="I432" s="427"/>
      <c r="J432" s="389"/>
      <c r="K432" s="427"/>
      <c r="L432"/>
    </row>
    <row r="433" spans="1:12" ht="12.75" customHeight="1" x14ac:dyDescent="0.25">
      <c r="A433" s="453" t="s">
        <v>4853</v>
      </c>
      <c r="B433" s="394" t="s">
        <v>4884</v>
      </c>
      <c r="C433" s="385" t="s">
        <v>3836</v>
      </c>
      <c r="D433" s="386">
        <f t="shared" si="17"/>
        <v>0</v>
      </c>
      <c r="E433" s="457"/>
      <c r="F433" s="494"/>
      <c r="G433" s="416"/>
      <c r="H433" s="427"/>
      <c r="I433" s="427"/>
      <c r="J433" s="389"/>
      <c r="K433" s="427"/>
      <c r="L433"/>
    </row>
    <row r="434" spans="1:12" ht="12.75" customHeight="1" x14ac:dyDescent="0.25">
      <c r="A434" s="453" t="s">
        <v>4854</v>
      </c>
      <c r="B434" s="394" t="s">
        <v>4885</v>
      </c>
      <c r="C434" s="385" t="s">
        <v>3836</v>
      </c>
      <c r="D434" s="386">
        <f t="shared" si="17"/>
        <v>0</v>
      </c>
      <c r="E434" s="457"/>
      <c r="F434" s="494"/>
      <c r="G434" s="416"/>
      <c r="H434" s="427"/>
      <c r="I434" s="427"/>
      <c r="J434" s="389"/>
      <c r="K434" s="427"/>
      <c r="L434"/>
    </row>
    <row r="435" spans="1:12" ht="12.75" customHeight="1" x14ac:dyDescent="0.25">
      <c r="A435" s="453" t="s">
        <v>4855</v>
      </c>
      <c r="B435" s="394" t="s">
        <v>4886</v>
      </c>
      <c r="C435" s="385" t="s">
        <v>3836</v>
      </c>
      <c r="D435" s="386">
        <f t="shared" si="17"/>
        <v>0</v>
      </c>
      <c r="E435" s="457"/>
      <c r="F435" s="494"/>
      <c r="G435" s="416"/>
      <c r="H435" s="427"/>
      <c r="I435" s="427"/>
      <c r="J435" s="389"/>
      <c r="K435" s="385"/>
      <c r="L435"/>
    </row>
    <row r="436" spans="1:12" ht="12.75" customHeight="1" x14ac:dyDescent="0.25">
      <c r="A436" s="453" t="s">
        <v>4856</v>
      </c>
      <c r="B436" s="394" t="s">
        <v>4887</v>
      </c>
      <c r="C436" s="385" t="s">
        <v>3836</v>
      </c>
      <c r="D436" s="386">
        <f t="shared" si="17"/>
        <v>0</v>
      </c>
      <c r="E436" s="457"/>
      <c r="F436" s="494"/>
      <c r="G436" s="416"/>
      <c r="H436" s="427"/>
      <c r="I436" s="427"/>
      <c r="J436" s="389"/>
      <c r="K436" s="385"/>
      <c r="L436"/>
    </row>
    <row r="437" spans="1:12" ht="12.75" customHeight="1" x14ac:dyDescent="0.25">
      <c r="A437" s="453" t="s">
        <v>4857</v>
      </c>
      <c r="B437" s="394" t="s">
        <v>4888</v>
      </c>
      <c r="C437" s="385" t="s">
        <v>3836</v>
      </c>
      <c r="D437" s="386">
        <f t="shared" si="17"/>
        <v>0</v>
      </c>
      <c r="E437" s="457"/>
      <c r="F437" s="494"/>
      <c r="G437" s="416"/>
      <c r="H437" s="427"/>
      <c r="I437" s="427"/>
      <c r="J437" s="389"/>
      <c r="K437" s="427"/>
      <c r="L437"/>
    </row>
    <row r="438" spans="1:12" ht="12.75" customHeight="1" x14ac:dyDescent="0.25">
      <c r="A438" s="453" t="s">
        <v>4858</v>
      </c>
      <c r="B438" s="384" t="s">
        <v>4889</v>
      </c>
      <c r="C438" s="385" t="s">
        <v>3836</v>
      </c>
      <c r="D438" s="386">
        <f t="shared" si="17"/>
        <v>0</v>
      </c>
      <c r="E438" s="457"/>
      <c r="F438" s="494"/>
      <c r="G438" s="416"/>
      <c r="H438" s="427"/>
      <c r="I438" s="427"/>
      <c r="J438" s="389"/>
      <c r="K438" s="385"/>
      <c r="L438"/>
    </row>
    <row r="439" spans="1:12" ht="12.75" customHeight="1" x14ac:dyDescent="0.25">
      <c r="A439" s="453" t="s">
        <v>4859</v>
      </c>
      <c r="B439" s="384" t="s">
        <v>4890</v>
      </c>
      <c r="C439" s="385" t="s">
        <v>3836</v>
      </c>
      <c r="D439" s="386">
        <f t="shared" si="17"/>
        <v>0</v>
      </c>
      <c r="E439" s="457"/>
      <c r="F439" s="494"/>
      <c r="G439" s="416"/>
      <c r="H439" s="427"/>
      <c r="I439" s="427"/>
      <c r="J439" s="389"/>
      <c r="K439" s="427"/>
      <c r="L439"/>
    </row>
    <row r="440" spans="1:12" ht="12.75" customHeight="1" x14ac:dyDescent="0.25">
      <c r="A440" s="453" t="s">
        <v>4860</v>
      </c>
      <c r="B440" s="394" t="s">
        <v>4891</v>
      </c>
      <c r="C440" s="385" t="s">
        <v>3836</v>
      </c>
      <c r="D440" s="386">
        <f t="shared" si="17"/>
        <v>0</v>
      </c>
      <c r="E440" s="457"/>
      <c r="F440" s="494"/>
      <c r="G440" s="416"/>
      <c r="H440" s="427"/>
      <c r="I440" s="427"/>
      <c r="J440" s="389"/>
      <c r="K440" s="385"/>
      <c r="L440"/>
    </row>
    <row r="441" spans="1:12" ht="12.75" customHeight="1" x14ac:dyDescent="0.25">
      <c r="A441" s="453" t="s">
        <v>4861</v>
      </c>
      <c r="B441" s="394" t="s">
        <v>4892</v>
      </c>
      <c r="C441" s="385" t="s">
        <v>3836</v>
      </c>
      <c r="D441" s="386">
        <f t="shared" si="17"/>
        <v>0</v>
      </c>
      <c r="E441" s="457"/>
      <c r="F441" s="494"/>
      <c r="G441" s="416"/>
      <c r="H441" s="427"/>
      <c r="I441" s="502"/>
      <c r="J441" s="389"/>
      <c r="K441" s="427"/>
      <c r="L441"/>
    </row>
    <row r="442" spans="1:12" ht="12.75" customHeight="1" x14ac:dyDescent="0.25">
      <c r="A442" s="453" t="s">
        <v>4862</v>
      </c>
      <c r="B442" s="394" t="s">
        <v>4893</v>
      </c>
      <c r="C442" s="385" t="s">
        <v>3836</v>
      </c>
      <c r="D442" s="386">
        <f t="shared" si="17"/>
        <v>0</v>
      </c>
      <c r="E442" s="457"/>
      <c r="F442" s="494"/>
      <c r="G442" s="416"/>
      <c r="H442" s="427"/>
      <c r="I442" s="427"/>
      <c r="J442" s="389"/>
      <c r="K442" s="385" t="s">
        <v>3837</v>
      </c>
      <c r="L442"/>
    </row>
    <row r="443" spans="1:12" ht="12.75" customHeight="1" x14ac:dyDescent="0.25">
      <c r="A443" s="453" t="s">
        <v>4863</v>
      </c>
      <c r="B443" s="394" t="s">
        <v>4894</v>
      </c>
      <c r="C443" s="385" t="s">
        <v>3836</v>
      </c>
      <c r="D443" s="386">
        <f t="shared" si="17"/>
        <v>0</v>
      </c>
      <c r="E443" s="457"/>
      <c r="F443" s="494"/>
      <c r="G443" s="416"/>
      <c r="H443" s="427"/>
      <c r="I443" s="427"/>
      <c r="J443" s="389"/>
      <c r="K443" s="427"/>
      <c r="L443"/>
    </row>
    <row r="444" spans="1:12" ht="12.75" customHeight="1" x14ac:dyDescent="0.25">
      <c r="A444" s="453" t="s">
        <v>4864</v>
      </c>
      <c r="B444" s="394" t="s">
        <v>4895</v>
      </c>
      <c r="C444" s="385" t="s">
        <v>3836</v>
      </c>
      <c r="D444" s="386">
        <f t="shared" si="17"/>
        <v>0</v>
      </c>
      <c r="E444" s="457"/>
      <c r="F444" s="494"/>
      <c r="G444" s="416"/>
      <c r="H444" s="427"/>
      <c r="I444" s="427"/>
      <c r="J444" s="389"/>
      <c r="K444" s="503"/>
      <c r="L444"/>
    </row>
    <row r="445" spans="1:12" ht="12.75" customHeight="1" x14ac:dyDescent="0.25">
      <c r="A445" s="453" t="s">
        <v>4865</v>
      </c>
      <c r="B445" s="394" t="s">
        <v>4896</v>
      </c>
      <c r="C445" s="385" t="s">
        <v>3836</v>
      </c>
      <c r="D445" s="386">
        <f t="shared" si="17"/>
        <v>0</v>
      </c>
      <c r="E445" s="457"/>
      <c r="F445" s="494"/>
      <c r="G445" s="416"/>
      <c r="H445" s="427"/>
      <c r="I445" s="427"/>
      <c r="J445" s="389"/>
      <c r="K445" s="427"/>
      <c r="L445"/>
    </row>
    <row r="446" spans="1:12" ht="12.75" customHeight="1" x14ac:dyDescent="0.25">
      <c r="A446" s="453" t="s">
        <v>4866</v>
      </c>
      <c r="B446" s="394" t="s">
        <v>4897</v>
      </c>
      <c r="C446" s="385" t="s">
        <v>3836</v>
      </c>
      <c r="D446" s="386">
        <f t="shared" si="17"/>
        <v>0</v>
      </c>
      <c r="E446" s="457"/>
      <c r="F446" s="494"/>
      <c r="G446" s="416"/>
      <c r="H446" s="427"/>
      <c r="I446" s="427"/>
      <c r="J446" s="389"/>
      <c r="K446" s="385" t="s">
        <v>3837</v>
      </c>
      <c r="L446"/>
    </row>
    <row r="447" spans="1:12" ht="12.75" customHeight="1" thickBot="1" x14ac:dyDescent="0.3">
      <c r="A447" s="401"/>
      <c r="B447" s="402"/>
      <c r="C447" s="402" t="s">
        <v>3823</v>
      </c>
      <c r="D447" s="403">
        <f>SUM(D416:D446)</f>
        <v>0</v>
      </c>
      <c r="E447" s="403">
        <f>SUM(E416:E446)</f>
        <v>0</v>
      </c>
      <c r="F447" s="403">
        <f t="shared" ref="F447:J447" si="18">SUM(F416:F446)</f>
        <v>0</v>
      </c>
      <c r="G447" s="403">
        <f t="shared" si="18"/>
        <v>0</v>
      </c>
      <c r="H447" s="403">
        <f t="shared" si="18"/>
        <v>0</v>
      </c>
      <c r="I447" s="403">
        <f t="shared" si="18"/>
        <v>0</v>
      </c>
      <c r="J447" s="403">
        <f t="shared" si="18"/>
        <v>0</v>
      </c>
      <c r="K447" s="403">
        <v>0</v>
      </c>
      <c r="L447"/>
    </row>
    <row r="451" spans="1:12" ht="12.75" customHeight="1" x14ac:dyDescent="0.25">
      <c r="A451" s="126" t="s">
        <v>3811</v>
      </c>
      <c r="B451" s="126"/>
      <c r="C451" s="126"/>
      <c r="D451" s="126"/>
      <c r="E451" s="512"/>
      <c r="F451" s="126"/>
      <c r="G451" s="126"/>
      <c r="H451" s="126"/>
      <c r="I451" s="126"/>
      <c r="J451" s="126"/>
      <c r="K451" s="126"/>
      <c r="L451"/>
    </row>
    <row r="452" spans="1:12" ht="12.75" customHeight="1" x14ac:dyDescent="0.25">
      <c r="A452" s="126" t="s">
        <v>3748</v>
      </c>
      <c r="B452" s="126"/>
      <c r="C452" s="126"/>
      <c r="D452" s="126"/>
      <c r="E452" s="126"/>
      <c r="F452" s="126"/>
      <c r="G452" s="126"/>
      <c r="H452" s="126"/>
      <c r="I452" s="126"/>
      <c r="J452" s="126"/>
      <c r="K452" s="126"/>
      <c r="L452"/>
    </row>
    <row r="453" spans="1:12" ht="12.75" customHeight="1" x14ac:dyDescent="0.25">
      <c r="A453" s="586" t="s">
        <v>3824</v>
      </c>
      <c r="B453" s="586"/>
      <c r="C453" s="586"/>
      <c r="D453" s="586"/>
      <c r="E453" s="586"/>
      <c r="F453" s="586"/>
      <c r="G453" s="586"/>
      <c r="H453" s="586"/>
      <c r="I453" s="586"/>
      <c r="J453" s="586"/>
      <c r="K453" s="586"/>
      <c r="L453"/>
    </row>
    <row r="454" spans="1:12" ht="12.75" customHeight="1" x14ac:dyDescent="0.25">
      <c r="A454" s="586" t="s">
        <v>3825</v>
      </c>
      <c r="B454" s="586"/>
      <c r="C454" s="586"/>
      <c r="D454" s="586"/>
      <c r="E454" s="586"/>
      <c r="F454" s="586"/>
      <c r="G454" s="586"/>
      <c r="H454" s="586"/>
      <c r="I454" s="586"/>
      <c r="J454" s="586"/>
      <c r="K454" s="586"/>
      <c r="L454"/>
    </row>
    <row r="455" spans="1:12" ht="12.75" customHeight="1" x14ac:dyDescent="0.25">
      <c r="A455" s="586" t="s">
        <v>3802</v>
      </c>
      <c r="B455" s="586"/>
      <c r="C455" s="586"/>
      <c r="D455" s="586"/>
      <c r="E455" s="586"/>
      <c r="F455" s="586"/>
      <c r="G455" s="586"/>
      <c r="H455" s="586"/>
      <c r="I455" s="586"/>
      <c r="J455" s="586"/>
      <c r="K455" s="586"/>
      <c r="L455"/>
    </row>
    <row r="456" spans="1:12" ht="12.75" customHeight="1" x14ac:dyDescent="0.25">
      <c r="A456" s="126"/>
      <c r="B456" s="126"/>
      <c r="C456" s="126"/>
      <c r="D456" s="126"/>
      <c r="E456" s="126"/>
      <c r="F456" s="126"/>
      <c r="G456" s="126"/>
      <c r="H456" s="126"/>
      <c r="I456" s="126"/>
      <c r="J456" s="126"/>
      <c r="K456" s="126"/>
      <c r="L456"/>
    </row>
    <row r="457" spans="1:12" ht="12.75" customHeight="1" x14ac:dyDescent="0.25">
      <c r="A457" s="627" t="s">
        <v>12</v>
      </c>
      <c r="B457" s="627" t="s">
        <v>91</v>
      </c>
      <c r="C457" s="627" t="s">
        <v>13</v>
      </c>
      <c r="D457" s="406" t="s">
        <v>90</v>
      </c>
      <c r="E457" s="628" t="s">
        <v>14</v>
      </c>
      <c r="F457" s="628"/>
      <c r="G457" s="628"/>
      <c r="H457" s="628"/>
      <c r="I457" s="628"/>
      <c r="J457" s="628"/>
      <c r="K457" s="629"/>
      <c r="L457"/>
    </row>
    <row r="458" spans="1:12" ht="12.75" customHeight="1" x14ac:dyDescent="0.25">
      <c r="A458" s="627"/>
      <c r="B458" s="627"/>
      <c r="C458" s="627"/>
      <c r="D458" s="630" t="s">
        <v>3814</v>
      </c>
      <c r="E458" s="632" t="s">
        <v>3826</v>
      </c>
      <c r="F458" s="632"/>
      <c r="G458" s="632"/>
      <c r="H458" s="632"/>
      <c r="I458" s="632"/>
      <c r="J458" s="632"/>
      <c r="K458" s="633"/>
      <c r="L458"/>
    </row>
    <row r="459" spans="1:12" ht="12.75" customHeight="1" x14ac:dyDescent="0.25">
      <c r="A459" s="627"/>
      <c r="B459" s="627"/>
      <c r="C459" s="627"/>
      <c r="D459" s="631"/>
      <c r="E459" s="407" t="s">
        <v>3827</v>
      </c>
      <c r="F459" s="408" t="s">
        <v>3828</v>
      </c>
      <c r="G459" s="409" t="s">
        <v>3829</v>
      </c>
      <c r="H459" s="407" t="s">
        <v>3830</v>
      </c>
      <c r="I459" s="407" t="s">
        <v>3831</v>
      </c>
      <c r="J459" s="634" t="s">
        <v>3832</v>
      </c>
      <c r="K459" s="635"/>
      <c r="L459"/>
    </row>
    <row r="460" spans="1:12" ht="12.75" customHeight="1" x14ac:dyDescent="0.25">
      <c r="A460" s="627"/>
      <c r="B460" s="627"/>
      <c r="C460" s="627"/>
      <c r="D460" s="406" t="s">
        <v>3312</v>
      </c>
      <c r="E460" s="405" t="s">
        <v>3306</v>
      </c>
      <c r="F460" s="405" t="s">
        <v>3833</v>
      </c>
      <c r="G460" s="410" t="s">
        <v>3777</v>
      </c>
      <c r="H460" s="405" t="s">
        <v>3834</v>
      </c>
      <c r="I460" s="405" t="s">
        <v>3311</v>
      </c>
      <c r="J460" s="411" t="s">
        <v>3823</v>
      </c>
      <c r="K460" s="406" t="s">
        <v>3835</v>
      </c>
      <c r="L460"/>
    </row>
    <row r="461" spans="1:12" ht="12.75" customHeight="1" x14ac:dyDescent="0.25">
      <c r="A461" s="453" t="s">
        <v>5016</v>
      </c>
      <c r="B461" s="419" t="s">
        <v>5046</v>
      </c>
      <c r="C461" s="385" t="s">
        <v>3836</v>
      </c>
      <c r="D461" s="386">
        <f>SUM(E461:J461)</f>
        <v>0</v>
      </c>
      <c r="E461" s="493"/>
      <c r="F461" s="500"/>
      <c r="G461" s="416"/>
      <c r="H461" s="417"/>
      <c r="I461" s="417"/>
      <c r="J461" s="416"/>
      <c r="K461" s="417"/>
      <c r="L461"/>
    </row>
    <row r="462" spans="1:12" ht="12.75" customHeight="1" x14ac:dyDescent="0.25">
      <c r="A462" s="453" t="s">
        <v>5017</v>
      </c>
      <c r="B462" s="375" t="s">
        <v>5047</v>
      </c>
      <c r="C462" s="385" t="s">
        <v>3836</v>
      </c>
      <c r="D462" s="386">
        <f t="shared" ref="D462:D490" si="19">SUM(E462:J462)</f>
        <v>0</v>
      </c>
      <c r="E462" s="493"/>
      <c r="F462" s="500"/>
      <c r="G462" s="416"/>
      <c r="H462" s="417"/>
      <c r="I462" s="417"/>
      <c r="J462" s="416"/>
      <c r="K462" s="417"/>
      <c r="L462"/>
    </row>
    <row r="463" spans="1:12" ht="12.75" customHeight="1" x14ac:dyDescent="0.25">
      <c r="A463" s="453" t="s">
        <v>5018</v>
      </c>
      <c r="B463" s="384" t="s">
        <v>5048</v>
      </c>
      <c r="C463" s="385" t="s">
        <v>3836</v>
      </c>
      <c r="D463" s="386">
        <f t="shared" si="19"/>
        <v>0</v>
      </c>
      <c r="E463" s="457"/>
      <c r="F463" s="501"/>
      <c r="G463" s="416"/>
      <c r="H463" s="385"/>
      <c r="I463" s="385"/>
      <c r="J463" s="389"/>
      <c r="K463" s="385"/>
      <c r="L463"/>
    </row>
    <row r="464" spans="1:12" ht="12.75" customHeight="1" x14ac:dyDescent="0.25">
      <c r="A464" s="453" t="s">
        <v>5019</v>
      </c>
      <c r="B464" s="384" t="s">
        <v>5049</v>
      </c>
      <c r="C464" s="385" t="s">
        <v>3836</v>
      </c>
      <c r="D464" s="386">
        <f t="shared" si="19"/>
        <v>0</v>
      </c>
      <c r="E464" s="457"/>
      <c r="F464" s="457"/>
      <c r="G464" s="416"/>
      <c r="H464" s="385"/>
      <c r="I464" s="385"/>
      <c r="J464" s="389"/>
      <c r="K464" s="385"/>
      <c r="L464"/>
    </row>
    <row r="465" spans="1:12" ht="12.75" customHeight="1" x14ac:dyDescent="0.25">
      <c r="A465" s="453" t="s">
        <v>5020</v>
      </c>
      <c r="B465" s="384" t="s">
        <v>5050</v>
      </c>
      <c r="C465" s="385" t="s">
        <v>3836</v>
      </c>
      <c r="D465" s="386">
        <f t="shared" si="19"/>
        <v>0</v>
      </c>
      <c r="E465" s="457"/>
      <c r="F465" s="457"/>
      <c r="G465" s="416"/>
      <c r="H465" s="385"/>
      <c r="I465" s="385"/>
      <c r="J465" s="389"/>
      <c r="K465" s="385"/>
      <c r="L465"/>
    </row>
    <row r="466" spans="1:12" ht="12.75" customHeight="1" x14ac:dyDescent="0.25">
      <c r="A466" s="453" t="s">
        <v>5021</v>
      </c>
      <c r="B466" s="384" t="s">
        <v>5051</v>
      </c>
      <c r="C466" s="385" t="s">
        <v>3836</v>
      </c>
      <c r="D466" s="386">
        <f t="shared" si="19"/>
        <v>0</v>
      </c>
      <c r="E466" s="457"/>
      <c r="F466" s="457"/>
      <c r="G466" s="416"/>
      <c r="H466" s="385"/>
      <c r="I466" s="385"/>
      <c r="J466" s="389"/>
      <c r="K466" s="385"/>
      <c r="L466"/>
    </row>
    <row r="467" spans="1:12" ht="12.75" customHeight="1" x14ac:dyDescent="0.25">
      <c r="A467" s="453" t="s">
        <v>5022</v>
      </c>
      <c r="B467" s="384" t="s">
        <v>5052</v>
      </c>
      <c r="C467" s="385" t="s">
        <v>3836</v>
      </c>
      <c r="D467" s="386">
        <f t="shared" si="19"/>
        <v>0</v>
      </c>
      <c r="E467" s="457"/>
      <c r="F467" s="457"/>
      <c r="G467" s="416"/>
      <c r="H467" s="385"/>
      <c r="I467" s="385"/>
      <c r="J467" s="456"/>
      <c r="K467" s="385"/>
      <c r="L467"/>
    </row>
    <row r="468" spans="1:12" ht="12.75" customHeight="1" x14ac:dyDescent="0.25">
      <c r="A468" s="453" t="s">
        <v>5023</v>
      </c>
      <c r="B468" s="423" t="s">
        <v>5053</v>
      </c>
      <c r="C468" s="385" t="s">
        <v>3836</v>
      </c>
      <c r="D468" s="386">
        <f t="shared" si="19"/>
        <v>0</v>
      </c>
      <c r="E468" s="457"/>
      <c r="F468" s="457"/>
      <c r="G468" s="416"/>
      <c r="H468" s="385"/>
      <c r="I468" s="385"/>
      <c r="J468" s="456"/>
      <c r="K468" s="385"/>
      <c r="L468"/>
    </row>
    <row r="469" spans="1:12" ht="12.75" customHeight="1" x14ac:dyDescent="0.25">
      <c r="A469" s="453" t="s">
        <v>5024</v>
      </c>
      <c r="B469" s="394" t="s">
        <v>5054</v>
      </c>
      <c r="C469" s="385" t="s">
        <v>3836</v>
      </c>
      <c r="D469" s="386">
        <f t="shared" si="19"/>
        <v>0</v>
      </c>
      <c r="E469" s="457"/>
      <c r="F469" s="457"/>
      <c r="G469" s="416"/>
      <c r="H469" s="386"/>
      <c r="I469" s="386"/>
      <c r="J469" s="456"/>
      <c r="K469" s="385"/>
      <c r="L469"/>
    </row>
    <row r="470" spans="1:12" ht="12.75" customHeight="1" x14ac:dyDescent="0.25">
      <c r="A470" s="453" t="s">
        <v>5025</v>
      </c>
      <c r="B470" s="394" t="s">
        <v>5055</v>
      </c>
      <c r="C470" s="385" t="s">
        <v>3836</v>
      </c>
      <c r="D470" s="386">
        <f t="shared" si="19"/>
        <v>0</v>
      </c>
      <c r="E470" s="457"/>
      <c r="F470" s="457"/>
      <c r="G470" s="416"/>
      <c r="H470" s="385"/>
      <c r="I470" s="385"/>
      <c r="J470" s="456"/>
      <c r="K470" s="385"/>
      <c r="L470"/>
    </row>
    <row r="471" spans="1:12" ht="12.75" customHeight="1" x14ac:dyDescent="0.25">
      <c r="A471" s="453" t="s">
        <v>5026</v>
      </c>
      <c r="B471" s="394" t="s">
        <v>5056</v>
      </c>
      <c r="C471" s="385" t="s">
        <v>3836</v>
      </c>
      <c r="D471" s="386">
        <f t="shared" si="19"/>
        <v>0</v>
      </c>
      <c r="E471" s="457"/>
      <c r="F471" s="457"/>
      <c r="G471" s="416"/>
      <c r="H471" s="385"/>
      <c r="I471" s="385"/>
      <c r="J471" s="456"/>
      <c r="K471" s="385"/>
      <c r="L471"/>
    </row>
    <row r="472" spans="1:12" ht="12.75" customHeight="1" x14ac:dyDescent="0.25">
      <c r="A472" s="453" t="s">
        <v>5027</v>
      </c>
      <c r="B472" s="394" t="s">
        <v>5057</v>
      </c>
      <c r="C472" s="385" t="s">
        <v>3836</v>
      </c>
      <c r="D472" s="386">
        <f t="shared" si="19"/>
        <v>0</v>
      </c>
      <c r="E472" s="457"/>
      <c r="F472" s="457"/>
      <c r="G472" s="416"/>
      <c r="H472" s="385"/>
      <c r="I472" s="385"/>
      <c r="J472" s="456"/>
      <c r="K472" s="385"/>
      <c r="L472"/>
    </row>
    <row r="473" spans="1:12" ht="12.75" customHeight="1" x14ac:dyDescent="0.25">
      <c r="A473" s="453" t="s">
        <v>5028</v>
      </c>
      <c r="B473" s="394" t="s">
        <v>5058</v>
      </c>
      <c r="C473" s="385" t="s">
        <v>3836</v>
      </c>
      <c r="D473" s="386">
        <f t="shared" si="19"/>
        <v>0</v>
      </c>
      <c r="E473" s="457"/>
      <c r="F473" s="457"/>
      <c r="G473" s="416"/>
      <c r="H473" s="385"/>
      <c r="I473" s="385"/>
      <c r="J473" s="456"/>
      <c r="K473" s="385"/>
      <c r="L473"/>
    </row>
    <row r="474" spans="1:12" ht="12.75" customHeight="1" x14ac:dyDescent="0.25">
      <c r="A474" s="453" t="s">
        <v>5029</v>
      </c>
      <c r="B474" s="391" t="s">
        <v>5059</v>
      </c>
      <c r="C474" s="385" t="s">
        <v>3836</v>
      </c>
      <c r="D474" s="386">
        <f t="shared" si="19"/>
        <v>0</v>
      </c>
      <c r="E474" s="457"/>
      <c r="F474" s="457"/>
      <c r="G474" s="416"/>
      <c r="H474" s="385"/>
      <c r="I474" s="385"/>
      <c r="J474" s="456"/>
      <c r="K474" s="385"/>
      <c r="L474"/>
    </row>
    <row r="475" spans="1:12" ht="12.75" customHeight="1" x14ac:dyDescent="0.25">
      <c r="A475" s="453" t="s">
        <v>5030</v>
      </c>
      <c r="B475" s="391" t="s">
        <v>5060</v>
      </c>
      <c r="C475" s="385" t="s">
        <v>3836</v>
      </c>
      <c r="D475" s="386">
        <f t="shared" si="19"/>
        <v>0</v>
      </c>
      <c r="E475" s="457"/>
      <c r="F475" s="457"/>
      <c r="G475" s="416"/>
      <c r="H475" s="385"/>
      <c r="I475" s="385"/>
      <c r="J475" s="456"/>
      <c r="K475" s="385"/>
      <c r="L475"/>
    </row>
    <row r="476" spans="1:12" ht="12.75" customHeight="1" x14ac:dyDescent="0.25">
      <c r="A476" s="453" t="s">
        <v>5031</v>
      </c>
      <c r="B476" s="394" t="s">
        <v>5061</v>
      </c>
      <c r="C476" s="385" t="s">
        <v>3836</v>
      </c>
      <c r="D476" s="386">
        <f t="shared" si="19"/>
        <v>0</v>
      </c>
      <c r="E476" s="457"/>
      <c r="F476" s="457"/>
      <c r="G476" s="416"/>
      <c r="H476" s="385"/>
      <c r="I476" s="385"/>
      <c r="J476" s="456"/>
      <c r="K476" s="385"/>
      <c r="L476"/>
    </row>
    <row r="477" spans="1:12" ht="12.75" customHeight="1" x14ac:dyDescent="0.25">
      <c r="A477" s="453" t="s">
        <v>5032</v>
      </c>
      <c r="B477" s="394" t="s">
        <v>5062</v>
      </c>
      <c r="C477" s="385" t="s">
        <v>3836</v>
      </c>
      <c r="D477" s="386">
        <f t="shared" si="19"/>
        <v>0</v>
      </c>
      <c r="E477" s="494"/>
      <c r="F477" s="494"/>
      <c r="G477" s="416"/>
      <c r="H477" s="427"/>
      <c r="I477" s="427"/>
      <c r="J477" s="458"/>
      <c r="K477" s="427"/>
      <c r="L477"/>
    </row>
    <row r="478" spans="1:12" ht="12.75" customHeight="1" x14ac:dyDescent="0.25">
      <c r="A478" s="453" t="s">
        <v>5033</v>
      </c>
      <c r="B478" s="394" t="s">
        <v>5063</v>
      </c>
      <c r="C478" s="385" t="s">
        <v>3836</v>
      </c>
      <c r="D478" s="386">
        <f t="shared" si="19"/>
        <v>0</v>
      </c>
      <c r="E478" s="494"/>
      <c r="F478" s="494"/>
      <c r="G478" s="416"/>
      <c r="H478" s="427"/>
      <c r="I478" s="427"/>
      <c r="J478" s="458"/>
      <c r="K478" s="427"/>
      <c r="L478"/>
    </row>
    <row r="479" spans="1:12" ht="12.75" customHeight="1" x14ac:dyDescent="0.25">
      <c r="A479" s="453" t="s">
        <v>5034</v>
      </c>
      <c r="B479" s="394" t="s">
        <v>5064</v>
      </c>
      <c r="C479" s="385" t="s">
        <v>3836</v>
      </c>
      <c r="D479" s="386">
        <f t="shared" si="19"/>
        <v>0</v>
      </c>
      <c r="E479" s="494"/>
      <c r="F479" s="494"/>
      <c r="G479" s="416"/>
      <c r="H479" s="427"/>
      <c r="I479" s="427"/>
      <c r="J479" s="396"/>
      <c r="K479" s="427"/>
      <c r="L479"/>
    </row>
    <row r="480" spans="1:12" ht="12.75" customHeight="1" x14ac:dyDescent="0.25">
      <c r="A480" s="453" t="s">
        <v>5035</v>
      </c>
      <c r="B480" s="394" t="s">
        <v>5065</v>
      </c>
      <c r="C480" s="385" t="s">
        <v>3836</v>
      </c>
      <c r="D480" s="386">
        <f t="shared" si="19"/>
        <v>0</v>
      </c>
      <c r="E480" s="494"/>
      <c r="F480" s="494"/>
      <c r="G480" s="416"/>
      <c r="H480" s="427"/>
      <c r="I480" s="427"/>
      <c r="J480" s="396"/>
      <c r="K480" s="385"/>
      <c r="L480"/>
    </row>
    <row r="481" spans="1:12" ht="12.75" customHeight="1" x14ac:dyDescent="0.25">
      <c r="A481" s="453" t="s">
        <v>5036</v>
      </c>
      <c r="B481" s="394" t="s">
        <v>5066</v>
      </c>
      <c r="C481" s="385" t="s">
        <v>3836</v>
      </c>
      <c r="D481" s="386">
        <f t="shared" si="19"/>
        <v>0</v>
      </c>
      <c r="E481" s="494"/>
      <c r="F481" s="494"/>
      <c r="G481" s="416"/>
      <c r="H481" s="427"/>
      <c r="I481" s="427"/>
      <c r="J481" s="396"/>
      <c r="K481" s="385"/>
      <c r="L481"/>
    </row>
    <row r="482" spans="1:12" ht="12.75" customHeight="1" x14ac:dyDescent="0.25">
      <c r="A482" s="453" t="s">
        <v>5037</v>
      </c>
      <c r="B482" s="394" t="s">
        <v>5067</v>
      </c>
      <c r="C482" s="385" t="s">
        <v>3836</v>
      </c>
      <c r="D482" s="386">
        <f t="shared" si="19"/>
        <v>0</v>
      </c>
      <c r="E482" s="494"/>
      <c r="F482" s="494"/>
      <c r="G482" s="416"/>
      <c r="H482" s="427"/>
      <c r="I482" s="427"/>
      <c r="J482" s="396"/>
      <c r="K482" s="427"/>
      <c r="L482"/>
    </row>
    <row r="483" spans="1:12" ht="12.75" customHeight="1" x14ac:dyDescent="0.25">
      <c r="A483" s="453" t="s">
        <v>5038</v>
      </c>
      <c r="B483" s="384" t="s">
        <v>5068</v>
      </c>
      <c r="C483" s="385" t="s">
        <v>3836</v>
      </c>
      <c r="D483" s="386">
        <f t="shared" si="19"/>
        <v>0</v>
      </c>
      <c r="E483" s="494"/>
      <c r="F483" s="494"/>
      <c r="G483" s="416"/>
      <c r="H483" s="427"/>
      <c r="I483" s="427"/>
      <c r="J483" s="396"/>
      <c r="K483" s="385"/>
      <c r="L483"/>
    </row>
    <row r="484" spans="1:12" ht="12.75" customHeight="1" x14ac:dyDescent="0.25">
      <c r="A484" s="453" t="s">
        <v>5039</v>
      </c>
      <c r="B484" s="384" t="s">
        <v>5069</v>
      </c>
      <c r="C484" s="385" t="s">
        <v>3836</v>
      </c>
      <c r="D484" s="386">
        <f t="shared" si="19"/>
        <v>0</v>
      </c>
      <c r="E484" s="494"/>
      <c r="F484" s="494"/>
      <c r="G484" s="416"/>
      <c r="H484" s="427"/>
      <c r="I484" s="427"/>
      <c r="J484" s="396"/>
      <c r="K484" s="427"/>
      <c r="L484"/>
    </row>
    <row r="485" spans="1:12" ht="12.75" customHeight="1" x14ac:dyDescent="0.25">
      <c r="A485" s="453" t="s">
        <v>5040</v>
      </c>
      <c r="B485" s="394" t="s">
        <v>5070</v>
      </c>
      <c r="C485" s="385" t="s">
        <v>3836</v>
      </c>
      <c r="D485" s="386">
        <f t="shared" si="19"/>
        <v>0</v>
      </c>
      <c r="E485" s="494"/>
      <c r="F485" s="494"/>
      <c r="G485" s="416"/>
      <c r="H485" s="427"/>
      <c r="I485" s="427"/>
      <c r="J485" s="396"/>
      <c r="K485" s="385"/>
      <c r="L485"/>
    </row>
    <row r="486" spans="1:12" ht="12.75" customHeight="1" x14ac:dyDescent="0.25">
      <c r="A486" s="453" t="s">
        <v>5041</v>
      </c>
      <c r="B486" s="394" t="s">
        <v>5071</v>
      </c>
      <c r="C486" s="385" t="s">
        <v>3836</v>
      </c>
      <c r="D486" s="386">
        <f t="shared" si="19"/>
        <v>0</v>
      </c>
      <c r="E486" s="494"/>
      <c r="F486" s="494"/>
      <c r="G486" s="416"/>
      <c r="H486" s="427"/>
      <c r="I486" s="502"/>
      <c r="J486" s="396"/>
      <c r="K486" s="427"/>
      <c r="L486"/>
    </row>
    <row r="487" spans="1:12" ht="12.75" customHeight="1" x14ac:dyDescent="0.25">
      <c r="A487" s="453" t="s">
        <v>5042</v>
      </c>
      <c r="B487" s="394" t="s">
        <v>5072</v>
      </c>
      <c r="C487" s="385" t="s">
        <v>3836</v>
      </c>
      <c r="D487" s="386">
        <f t="shared" si="19"/>
        <v>0</v>
      </c>
      <c r="E487" s="494"/>
      <c r="F487" s="494"/>
      <c r="G487" s="416"/>
      <c r="H487" s="427"/>
      <c r="I487" s="427"/>
      <c r="J487" s="396"/>
      <c r="K487" s="427"/>
      <c r="L487"/>
    </row>
    <row r="488" spans="1:12" ht="12.75" customHeight="1" x14ac:dyDescent="0.25">
      <c r="A488" s="453" t="s">
        <v>5043</v>
      </c>
      <c r="B488" s="394" t="s">
        <v>5073</v>
      </c>
      <c r="C488" s="385" t="s">
        <v>3836</v>
      </c>
      <c r="D488" s="386">
        <f t="shared" si="19"/>
        <v>0</v>
      </c>
      <c r="E488" s="494"/>
      <c r="F488" s="494"/>
      <c r="G488" s="416"/>
      <c r="H488" s="427"/>
      <c r="I488" s="427"/>
      <c r="J488" s="396"/>
      <c r="K488" s="427"/>
      <c r="L488"/>
    </row>
    <row r="489" spans="1:12" ht="12.75" customHeight="1" x14ac:dyDescent="0.25">
      <c r="A489" s="453" t="s">
        <v>5044</v>
      </c>
      <c r="B489" s="394" t="s">
        <v>5074</v>
      </c>
      <c r="C489" s="385" t="s">
        <v>3836</v>
      </c>
      <c r="D489" s="386">
        <f t="shared" si="19"/>
        <v>0</v>
      </c>
      <c r="E489" s="494"/>
      <c r="F489" s="494"/>
      <c r="G489" s="416"/>
      <c r="H489" s="427"/>
      <c r="I489" s="427"/>
      <c r="J489" s="396"/>
      <c r="K489" s="427"/>
      <c r="L489"/>
    </row>
    <row r="490" spans="1:12" ht="12.75" customHeight="1" x14ac:dyDescent="0.25">
      <c r="A490" s="453" t="s">
        <v>5045</v>
      </c>
      <c r="B490" s="394" t="s">
        <v>5075</v>
      </c>
      <c r="C490" s="385" t="s">
        <v>3836</v>
      </c>
      <c r="D490" s="386">
        <f t="shared" si="19"/>
        <v>0</v>
      </c>
      <c r="E490" s="494"/>
      <c r="F490" s="494"/>
      <c r="G490" s="416"/>
      <c r="H490" s="427"/>
      <c r="I490" s="427"/>
      <c r="J490" s="396"/>
      <c r="K490" s="427"/>
      <c r="L490"/>
    </row>
    <row r="491" spans="1:12" ht="12.75" customHeight="1" x14ac:dyDescent="0.25">
      <c r="A491" s="453"/>
      <c r="B491" s="394"/>
      <c r="C491" s="385"/>
      <c r="D491" s="386"/>
      <c r="E491" s="494"/>
      <c r="F491" s="494"/>
      <c r="G491" s="396"/>
      <c r="H491" s="427"/>
      <c r="I491" s="427"/>
      <c r="J491" s="396"/>
      <c r="K491" s="427"/>
      <c r="L491"/>
    </row>
    <row r="492" spans="1:12" ht="12.75" customHeight="1" thickBot="1" x14ac:dyDescent="0.3">
      <c r="A492" s="401"/>
      <c r="B492" s="402"/>
      <c r="C492" s="402" t="s">
        <v>3823</v>
      </c>
      <c r="D492" s="403">
        <f>SUM(D461:D491)</f>
        <v>0</v>
      </c>
      <c r="E492" s="403">
        <f>SUM(E461:E491)</f>
        <v>0</v>
      </c>
      <c r="F492" s="403">
        <f t="shared" ref="F492:J492" si="20">SUM(F461:F491)</f>
        <v>0</v>
      </c>
      <c r="G492" s="403">
        <f t="shared" si="20"/>
        <v>0</v>
      </c>
      <c r="H492" s="403">
        <f t="shared" si="20"/>
        <v>0</v>
      </c>
      <c r="I492" s="403">
        <f t="shared" si="20"/>
        <v>0</v>
      </c>
      <c r="J492" s="403">
        <f t="shared" si="20"/>
        <v>0</v>
      </c>
      <c r="K492" s="403">
        <v>0</v>
      </c>
      <c r="L492"/>
    </row>
    <row r="496" spans="1:12" ht="12.75" customHeight="1" x14ac:dyDescent="0.25">
      <c r="A496" s="126" t="s">
        <v>3811</v>
      </c>
      <c r="B496" s="126"/>
      <c r="C496" s="126"/>
      <c r="D496" s="126"/>
      <c r="E496" s="512"/>
      <c r="F496" s="126"/>
      <c r="G496" s="126"/>
      <c r="H496" s="126"/>
      <c r="I496" s="126"/>
      <c r="J496" s="126"/>
      <c r="K496" s="126"/>
      <c r="L496"/>
    </row>
    <row r="497" spans="1:12" ht="12.75" customHeight="1" x14ac:dyDescent="0.25">
      <c r="A497" s="126" t="s">
        <v>3748</v>
      </c>
      <c r="B497" s="126"/>
      <c r="C497" s="126"/>
      <c r="D497" s="126"/>
      <c r="E497" s="126"/>
      <c r="F497" s="126"/>
      <c r="G497" s="126"/>
      <c r="H497" s="126"/>
      <c r="I497" s="126"/>
      <c r="J497" s="126"/>
      <c r="K497" s="126"/>
      <c r="L497"/>
    </row>
    <row r="498" spans="1:12" ht="12.75" customHeight="1" x14ac:dyDescent="0.25">
      <c r="A498" s="586" t="s">
        <v>3824</v>
      </c>
      <c r="B498" s="586"/>
      <c r="C498" s="586"/>
      <c r="D498" s="586"/>
      <c r="E498" s="586"/>
      <c r="F498" s="586"/>
      <c r="G498" s="586"/>
      <c r="H498" s="586"/>
      <c r="I498" s="586"/>
      <c r="J498" s="586"/>
      <c r="K498" s="586"/>
      <c r="L498"/>
    </row>
    <row r="499" spans="1:12" ht="12.75" customHeight="1" x14ac:dyDescent="0.25">
      <c r="A499" s="586" t="s">
        <v>3825</v>
      </c>
      <c r="B499" s="586"/>
      <c r="C499" s="586"/>
      <c r="D499" s="586"/>
      <c r="E499" s="586"/>
      <c r="F499" s="586"/>
      <c r="G499" s="586"/>
      <c r="H499" s="586"/>
      <c r="I499" s="586"/>
      <c r="J499" s="586"/>
      <c r="K499" s="586"/>
      <c r="L499"/>
    </row>
    <row r="500" spans="1:12" ht="12.75" customHeight="1" x14ac:dyDescent="0.25">
      <c r="A500" s="586" t="s">
        <v>3803</v>
      </c>
      <c r="B500" s="586"/>
      <c r="C500" s="586"/>
      <c r="D500" s="586"/>
      <c r="E500" s="586"/>
      <c r="F500" s="586"/>
      <c r="G500" s="586"/>
      <c r="H500" s="586"/>
      <c r="I500" s="586"/>
      <c r="J500" s="586"/>
      <c r="K500" s="586"/>
      <c r="L500"/>
    </row>
    <row r="501" spans="1:12" ht="12.75" customHeight="1" x14ac:dyDescent="0.25">
      <c r="A501" s="126"/>
      <c r="B501" s="126"/>
      <c r="C501" s="126"/>
      <c r="D501" s="126"/>
      <c r="E501" s="126"/>
      <c r="F501" s="126"/>
      <c r="G501" s="126"/>
      <c r="H501" s="126"/>
      <c r="I501" s="126"/>
      <c r="J501" s="126"/>
      <c r="K501" s="126"/>
      <c r="L501"/>
    </row>
    <row r="502" spans="1:12" ht="12.75" customHeight="1" x14ac:dyDescent="0.25">
      <c r="A502" s="627" t="s">
        <v>12</v>
      </c>
      <c r="B502" s="627" t="s">
        <v>91</v>
      </c>
      <c r="C502" s="627" t="s">
        <v>13</v>
      </c>
      <c r="D502" s="406" t="s">
        <v>90</v>
      </c>
      <c r="E502" s="628" t="s">
        <v>14</v>
      </c>
      <c r="F502" s="628"/>
      <c r="G502" s="628"/>
      <c r="H502" s="628"/>
      <c r="I502" s="628"/>
      <c r="J502" s="628"/>
      <c r="K502" s="629"/>
      <c r="L502"/>
    </row>
    <row r="503" spans="1:12" ht="12.75" customHeight="1" x14ac:dyDescent="0.25">
      <c r="A503" s="627"/>
      <c r="B503" s="627"/>
      <c r="C503" s="627"/>
      <c r="D503" s="630" t="s">
        <v>3814</v>
      </c>
      <c r="E503" s="632" t="s">
        <v>3826</v>
      </c>
      <c r="F503" s="632"/>
      <c r="G503" s="632"/>
      <c r="H503" s="632"/>
      <c r="I503" s="632"/>
      <c r="J503" s="632"/>
      <c r="K503" s="633"/>
      <c r="L503"/>
    </row>
    <row r="504" spans="1:12" ht="12.75" customHeight="1" x14ac:dyDescent="0.25">
      <c r="A504" s="627"/>
      <c r="B504" s="627"/>
      <c r="C504" s="627"/>
      <c r="D504" s="631"/>
      <c r="E504" s="407" t="s">
        <v>3827</v>
      </c>
      <c r="F504" s="408" t="s">
        <v>3828</v>
      </c>
      <c r="G504" s="409" t="s">
        <v>3829</v>
      </c>
      <c r="H504" s="407" t="s">
        <v>3830</v>
      </c>
      <c r="I504" s="407" t="s">
        <v>3831</v>
      </c>
      <c r="J504" s="634" t="s">
        <v>3832</v>
      </c>
      <c r="K504" s="635"/>
      <c r="L504"/>
    </row>
    <row r="505" spans="1:12" ht="12.75" customHeight="1" x14ac:dyDescent="0.25">
      <c r="A505" s="627"/>
      <c r="B505" s="627"/>
      <c r="C505" s="627"/>
      <c r="D505" s="406" t="s">
        <v>3312</v>
      </c>
      <c r="E505" s="405" t="s">
        <v>3306</v>
      </c>
      <c r="F505" s="405" t="s">
        <v>3833</v>
      </c>
      <c r="G505" s="410" t="s">
        <v>3777</v>
      </c>
      <c r="H505" s="405" t="s">
        <v>3834</v>
      </c>
      <c r="I505" s="405" t="s">
        <v>3311</v>
      </c>
      <c r="J505" s="411" t="s">
        <v>3823</v>
      </c>
      <c r="K505" s="406" t="s">
        <v>3835</v>
      </c>
      <c r="L505"/>
    </row>
    <row r="506" spans="1:12" ht="12.75" customHeight="1" x14ac:dyDescent="0.25">
      <c r="A506" s="453" t="s">
        <v>5088</v>
      </c>
      <c r="B506" s="419" t="s">
        <v>5120</v>
      </c>
      <c r="C506" s="385" t="s">
        <v>3836</v>
      </c>
      <c r="D506" s="386">
        <f>SUM(E506:J506)</f>
        <v>0</v>
      </c>
      <c r="E506" s="493"/>
      <c r="F506" s="500"/>
      <c r="G506" s="416"/>
      <c r="H506" s="417"/>
      <c r="I506" s="417"/>
      <c r="J506" s="416"/>
      <c r="K506" s="417"/>
      <c r="L506"/>
    </row>
    <row r="507" spans="1:12" ht="12.75" customHeight="1" x14ac:dyDescent="0.25">
      <c r="A507" s="453" t="s">
        <v>5089</v>
      </c>
      <c r="B507" s="375" t="s">
        <v>5121</v>
      </c>
      <c r="C507" s="385" t="s">
        <v>3836</v>
      </c>
      <c r="D507" s="386">
        <f t="shared" ref="D507:D536" si="21">SUM(E507:J507)</f>
        <v>0</v>
      </c>
      <c r="E507" s="505"/>
      <c r="F507" s="500"/>
      <c r="G507" s="416"/>
      <c r="H507" s="417"/>
      <c r="I507" s="417"/>
      <c r="J507" s="416"/>
      <c r="K507" s="417"/>
      <c r="L507"/>
    </row>
    <row r="508" spans="1:12" ht="12.75" customHeight="1" x14ac:dyDescent="0.25">
      <c r="A508" s="453" t="s">
        <v>5090</v>
      </c>
      <c r="B508" s="384" t="s">
        <v>5122</v>
      </c>
      <c r="C508" s="385" t="s">
        <v>3836</v>
      </c>
      <c r="D508" s="386">
        <f t="shared" si="21"/>
        <v>0</v>
      </c>
      <c r="E508" s="457"/>
      <c r="F508" s="501"/>
      <c r="G508" s="416"/>
      <c r="H508" s="385"/>
      <c r="I508" s="385"/>
      <c r="J508" s="389"/>
      <c r="K508" s="385"/>
      <c r="L508"/>
    </row>
    <row r="509" spans="1:12" ht="12.75" customHeight="1" x14ac:dyDescent="0.25">
      <c r="A509" s="453" t="s">
        <v>5091</v>
      </c>
      <c r="B509" s="384" t="s">
        <v>5123</v>
      </c>
      <c r="C509" s="385" t="s">
        <v>3836</v>
      </c>
      <c r="D509" s="386">
        <f t="shared" si="21"/>
        <v>0</v>
      </c>
      <c r="E509" s="457"/>
      <c r="F509" s="457"/>
      <c r="G509" s="416"/>
      <c r="H509" s="385"/>
      <c r="I509" s="385"/>
      <c r="J509" s="389"/>
      <c r="K509" s="385"/>
      <c r="L509"/>
    </row>
    <row r="510" spans="1:12" ht="12.75" customHeight="1" x14ac:dyDescent="0.25">
      <c r="A510" s="453" t="s">
        <v>5092</v>
      </c>
      <c r="B510" s="384" t="s">
        <v>5124</v>
      </c>
      <c r="C510" s="385" t="s">
        <v>3836</v>
      </c>
      <c r="D510" s="386">
        <f t="shared" si="21"/>
        <v>0</v>
      </c>
      <c r="E510" s="457"/>
      <c r="F510" s="457"/>
      <c r="G510" s="416"/>
      <c r="H510" s="385"/>
      <c r="I510" s="385"/>
      <c r="J510" s="389"/>
      <c r="K510" s="385"/>
      <c r="L510"/>
    </row>
    <row r="511" spans="1:12" ht="12.75" customHeight="1" x14ac:dyDescent="0.25">
      <c r="A511" s="453" t="s">
        <v>5093</v>
      </c>
      <c r="B511" s="384" t="s">
        <v>5125</v>
      </c>
      <c r="C511" s="385" t="s">
        <v>3836</v>
      </c>
      <c r="D511" s="386">
        <f t="shared" si="21"/>
        <v>0</v>
      </c>
      <c r="E511" s="457"/>
      <c r="F511" s="457"/>
      <c r="G511" s="416"/>
      <c r="H511" s="385"/>
      <c r="I511" s="385"/>
      <c r="J511" s="389"/>
      <c r="K511" s="385"/>
      <c r="L511"/>
    </row>
    <row r="512" spans="1:12" ht="12.75" customHeight="1" x14ac:dyDescent="0.25">
      <c r="A512" s="453" t="s">
        <v>5094</v>
      </c>
      <c r="B512" s="384" t="s">
        <v>5126</v>
      </c>
      <c r="C512" s="385" t="s">
        <v>3836</v>
      </c>
      <c r="D512" s="386">
        <f t="shared" si="21"/>
        <v>0</v>
      </c>
      <c r="E512" s="457"/>
      <c r="F512" s="457"/>
      <c r="G512" s="416"/>
      <c r="H512" s="385"/>
      <c r="I512" s="421"/>
      <c r="J512" s="389"/>
      <c r="K512" s="385"/>
      <c r="L512"/>
    </row>
    <row r="513" spans="1:12" ht="12.75" customHeight="1" x14ac:dyDescent="0.25">
      <c r="A513" s="453" t="s">
        <v>5095</v>
      </c>
      <c r="B513" s="423" t="s">
        <v>5127</v>
      </c>
      <c r="C513" s="385" t="s">
        <v>3836</v>
      </c>
      <c r="D513" s="386">
        <f t="shared" si="21"/>
        <v>0</v>
      </c>
      <c r="E513" s="457"/>
      <c r="F513" s="457"/>
      <c r="G513" s="416"/>
      <c r="H513" s="385"/>
      <c r="I513" s="385"/>
      <c r="J513" s="389"/>
      <c r="K513" s="385"/>
      <c r="L513"/>
    </row>
    <row r="514" spans="1:12" ht="12.75" customHeight="1" x14ac:dyDescent="0.25">
      <c r="A514" s="453" t="s">
        <v>5096</v>
      </c>
      <c r="B514" s="394" t="s">
        <v>5128</v>
      </c>
      <c r="C514" s="385" t="s">
        <v>3836</v>
      </c>
      <c r="D514" s="386">
        <f t="shared" si="21"/>
        <v>0</v>
      </c>
      <c r="E514" s="457"/>
      <c r="F514" s="457"/>
      <c r="G514" s="416"/>
      <c r="H514" s="386"/>
      <c r="I514" s="386"/>
      <c r="J514" s="389"/>
      <c r="K514" s="385"/>
      <c r="L514"/>
    </row>
    <row r="515" spans="1:12" ht="12.75" customHeight="1" x14ac:dyDescent="0.25">
      <c r="A515" s="453" t="s">
        <v>5097</v>
      </c>
      <c r="B515" s="394" t="s">
        <v>5129</v>
      </c>
      <c r="C515" s="385" t="s">
        <v>3836</v>
      </c>
      <c r="D515" s="386">
        <f t="shared" si="21"/>
        <v>0</v>
      </c>
      <c r="E515" s="457"/>
      <c r="F515" s="457"/>
      <c r="G515" s="416"/>
      <c r="H515" s="385"/>
      <c r="I515" s="385"/>
      <c r="J515" s="389"/>
      <c r="K515" s="385"/>
      <c r="L515"/>
    </row>
    <row r="516" spans="1:12" ht="12.75" customHeight="1" x14ac:dyDescent="0.25">
      <c r="A516" s="453" t="s">
        <v>5098</v>
      </c>
      <c r="B516" s="394" t="s">
        <v>5130</v>
      </c>
      <c r="C516" s="385" t="s">
        <v>3836</v>
      </c>
      <c r="D516" s="386">
        <f t="shared" si="21"/>
        <v>0</v>
      </c>
      <c r="E516" s="457"/>
      <c r="F516" s="457"/>
      <c r="G516" s="416"/>
      <c r="H516" s="385"/>
      <c r="I516" s="424"/>
      <c r="J516" s="389"/>
      <c r="K516" s="385"/>
      <c r="L516"/>
    </row>
    <row r="517" spans="1:12" ht="12.75" customHeight="1" x14ac:dyDescent="0.25">
      <c r="A517" s="453" t="s">
        <v>5099</v>
      </c>
      <c r="B517" s="394" t="s">
        <v>5131</v>
      </c>
      <c r="C517" s="385" t="s">
        <v>3836</v>
      </c>
      <c r="D517" s="386">
        <f t="shared" si="21"/>
        <v>0</v>
      </c>
      <c r="E517" s="457"/>
      <c r="F517" s="457"/>
      <c r="G517" s="416"/>
      <c r="H517" s="385"/>
      <c r="I517" s="424"/>
      <c r="J517" s="389"/>
      <c r="K517" s="385"/>
      <c r="L517"/>
    </row>
    <row r="518" spans="1:12" ht="12.75" customHeight="1" x14ac:dyDescent="0.25">
      <c r="A518" s="453" t="s">
        <v>5100</v>
      </c>
      <c r="B518" s="394" t="s">
        <v>5132</v>
      </c>
      <c r="C518" s="385" t="s">
        <v>3836</v>
      </c>
      <c r="D518" s="386">
        <f t="shared" si="21"/>
        <v>0</v>
      </c>
      <c r="E518" s="457"/>
      <c r="F518" s="457"/>
      <c r="G518" s="416"/>
      <c r="H518" s="385"/>
      <c r="I518" s="424"/>
      <c r="J518" s="389"/>
      <c r="K518" s="385"/>
      <c r="L518"/>
    </row>
    <row r="519" spans="1:12" ht="12.75" customHeight="1" x14ac:dyDescent="0.25">
      <c r="A519" s="453" t="s">
        <v>5101</v>
      </c>
      <c r="B519" s="391" t="s">
        <v>5133</v>
      </c>
      <c r="C519" s="385" t="s">
        <v>3836</v>
      </c>
      <c r="D519" s="386">
        <f t="shared" si="21"/>
        <v>0</v>
      </c>
      <c r="E519" s="457"/>
      <c r="F519" s="457"/>
      <c r="G519" s="416"/>
      <c r="H519" s="385"/>
      <c r="I519" s="424"/>
      <c r="J519" s="389"/>
      <c r="K519" s="385"/>
      <c r="L519"/>
    </row>
    <row r="520" spans="1:12" ht="12.75" customHeight="1" x14ac:dyDescent="0.25">
      <c r="A520" s="453" t="s">
        <v>5102</v>
      </c>
      <c r="B520" s="391" t="s">
        <v>5134</v>
      </c>
      <c r="C520" s="385" t="s">
        <v>3836</v>
      </c>
      <c r="D520" s="386">
        <f t="shared" si="21"/>
        <v>0</v>
      </c>
      <c r="E520" s="457"/>
      <c r="F520" s="457"/>
      <c r="G520" s="416"/>
      <c r="H520" s="385"/>
      <c r="I520" s="424"/>
      <c r="J520" s="389"/>
      <c r="K520" s="385"/>
      <c r="L520"/>
    </row>
    <row r="521" spans="1:12" ht="12.75" customHeight="1" x14ac:dyDescent="0.25">
      <c r="A521" s="453" t="s">
        <v>5103</v>
      </c>
      <c r="B521" s="394" t="s">
        <v>5135</v>
      </c>
      <c r="C521" s="385" t="s">
        <v>3836</v>
      </c>
      <c r="D521" s="386">
        <f t="shared" si="21"/>
        <v>0</v>
      </c>
      <c r="E521" s="457"/>
      <c r="F521" s="457"/>
      <c r="G521" s="416"/>
      <c r="H521" s="385"/>
      <c r="I521" s="424"/>
      <c r="J521" s="389"/>
      <c r="K521" s="385"/>
      <c r="L521"/>
    </row>
    <row r="522" spans="1:12" ht="12.75" customHeight="1" x14ac:dyDescent="0.25">
      <c r="A522" s="453" t="s">
        <v>5104</v>
      </c>
      <c r="B522" s="394" t="s">
        <v>5136</v>
      </c>
      <c r="C522" s="385" t="s">
        <v>3836</v>
      </c>
      <c r="D522" s="386">
        <f t="shared" si="21"/>
        <v>0</v>
      </c>
      <c r="E522" s="494"/>
      <c r="F522" s="494"/>
      <c r="G522" s="416"/>
      <c r="H522" s="427"/>
      <c r="I522" s="425"/>
      <c r="J522" s="396"/>
      <c r="K522" s="427"/>
      <c r="L522"/>
    </row>
    <row r="523" spans="1:12" ht="12.75" customHeight="1" x14ac:dyDescent="0.25">
      <c r="A523" s="453" t="s">
        <v>5105</v>
      </c>
      <c r="B523" s="394" t="s">
        <v>5137</v>
      </c>
      <c r="C523" s="385" t="s">
        <v>3836</v>
      </c>
      <c r="D523" s="386">
        <f t="shared" si="21"/>
        <v>0</v>
      </c>
      <c r="E523" s="494"/>
      <c r="F523" s="494"/>
      <c r="G523" s="416"/>
      <c r="H523" s="427"/>
      <c r="I523" s="425"/>
      <c r="J523" s="396"/>
      <c r="K523" s="427"/>
      <c r="L523"/>
    </row>
    <row r="524" spans="1:12" ht="12.75" customHeight="1" x14ac:dyDescent="0.25">
      <c r="A524" s="453" t="s">
        <v>5106</v>
      </c>
      <c r="B524" s="394" t="s">
        <v>5138</v>
      </c>
      <c r="C524" s="385" t="s">
        <v>3836</v>
      </c>
      <c r="D524" s="386">
        <f t="shared" si="21"/>
        <v>0</v>
      </c>
      <c r="E524" s="494"/>
      <c r="F524" s="494"/>
      <c r="G524" s="416"/>
      <c r="H524" s="427"/>
      <c r="I524" s="425"/>
      <c r="J524" s="458"/>
      <c r="K524" s="427"/>
      <c r="L524"/>
    </row>
    <row r="525" spans="1:12" ht="12.75" customHeight="1" x14ac:dyDescent="0.25">
      <c r="A525" s="453" t="s">
        <v>5107</v>
      </c>
      <c r="B525" s="394" t="s">
        <v>5139</v>
      </c>
      <c r="C525" s="385" t="s">
        <v>3836</v>
      </c>
      <c r="D525" s="386">
        <f t="shared" si="21"/>
        <v>0</v>
      </c>
      <c r="E525" s="494"/>
      <c r="F525" s="494"/>
      <c r="G525" s="416"/>
      <c r="H525" s="427"/>
      <c r="I525" s="425"/>
      <c r="J525" s="396"/>
      <c r="K525" s="385"/>
      <c r="L525"/>
    </row>
    <row r="526" spans="1:12" ht="12.75" customHeight="1" x14ac:dyDescent="0.25">
      <c r="A526" s="453" t="s">
        <v>5108</v>
      </c>
      <c r="B526" s="394" t="s">
        <v>5140</v>
      </c>
      <c r="C526" s="385" t="s">
        <v>3836</v>
      </c>
      <c r="D526" s="386">
        <f t="shared" si="21"/>
        <v>0</v>
      </c>
      <c r="E526" s="494"/>
      <c r="F526" s="494"/>
      <c r="G526" s="416"/>
      <c r="H526" s="427"/>
      <c r="I526" s="425"/>
      <c r="J526" s="396"/>
      <c r="K526" s="385"/>
      <c r="L526"/>
    </row>
    <row r="527" spans="1:12" ht="12.75" customHeight="1" x14ac:dyDescent="0.25">
      <c r="A527" s="453" t="s">
        <v>5109</v>
      </c>
      <c r="B527" s="394" t="s">
        <v>5141</v>
      </c>
      <c r="C527" s="385" t="s">
        <v>3836</v>
      </c>
      <c r="D527" s="386">
        <f t="shared" si="21"/>
        <v>0</v>
      </c>
      <c r="E527" s="494"/>
      <c r="F527" s="494"/>
      <c r="G527" s="416"/>
      <c r="H527" s="427"/>
      <c r="I527" s="425"/>
      <c r="J527" s="396"/>
      <c r="K527" s="427"/>
      <c r="L527"/>
    </row>
    <row r="528" spans="1:12" ht="12.75" customHeight="1" x14ac:dyDescent="0.25">
      <c r="A528" s="453" t="s">
        <v>5110</v>
      </c>
      <c r="B528" s="384" t="s">
        <v>5142</v>
      </c>
      <c r="C528" s="385" t="s">
        <v>3836</v>
      </c>
      <c r="D528" s="386">
        <f t="shared" si="21"/>
        <v>0</v>
      </c>
      <c r="E528" s="494"/>
      <c r="F528" s="494"/>
      <c r="G528" s="416"/>
      <c r="H528" s="427"/>
      <c r="I528" s="425"/>
      <c r="J528" s="396"/>
      <c r="K528" s="385"/>
      <c r="L528"/>
    </row>
    <row r="529" spans="1:12" ht="12.75" customHeight="1" x14ac:dyDescent="0.25">
      <c r="A529" s="453" t="s">
        <v>5111</v>
      </c>
      <c r="B529" s="384" t="s">
        <v>5143</v>
      </c>
      <c r="C529" s="385" t="s">
        <v>3836</v>
      </c>
      <c r="D529" s="386">
        <f t="shared" si="21"/>
        <v>0</v>
      </c>
      <c r="E529" s="494"/>
      <c r="F529" s="494"/>
      <c r="G529" s="416"/>
      <c r="H529" s="427"/>
      <c r="I529" s="425"/>
      <c r="J529" s="396"/>
      <c r="K529" s="427"/>
      <c r="L529"/>
    </row>
    <row r="530" spans="1:12" ht="12.75" customHeight="1" x14ac:dyDescent="0.25">
      <c r="A530" s="453" t="s">
        <v>5112</v>
      </c>
      <c r="B530" s="394" t="s">
        <v>5144</v>
      </c>
      <c r="C530" s="385" t="s">
        <v>3836</v>
      </c>
      <c r="D530" s="386">
        <f t="shared" si="21"/>
        <v>0</v>
      </c>
      <c r="E530" s="494"/>
      <c r="F530" s="494"/>
      <c r="G530" s="416"/>
      <c r="H530" s="427"/>
      <c r="I530" s="425"/>
      <c r="J530" s="396"/>
      <c r="K530" s="385"/>
      <c r="L530"/>
    </row>
    <row r="531" spans="1:12" ht="12.75" customHeight="1" x14ac:dyDescent="0.25">
      <c r="A531" s="453" t="s">
        <v>5113</v>
      </c>
      <c r="B531" s="394" t="s">
        <v>5145</v>
      </c>
      <c r="C531" s="385" t="s">
        <v>3836</v>
      </c>
      <c r="D531" s="386">
        <f t="shared" si="21"/>
        <v>0</v>
      </c>
      <c r="E531" s="494"/>
      <c r="F531" s="494"/>
      <c r="G531" s="416"/>
      <c r="H531" s="427"/>
      <c r="I531" s="425"/>
      <c r="J531" s="396"/>
      <c r="K531" s="427"/>
      <c r="L531"/>
    </row>
    <row r="532" spans="1:12" ht="12.75" customHeight="1" x14ac:dyDescent="0.25">
      <c r="A532" s="453" t="s">
        <v>5114</v>
      </c>
      <c r="B532" s="394" t="s">
        <v>5146</v>
      </c>
      <c r="C532" s="385" t="s">
        <v>3836</v>
      </c>
      <c r="D532" s="386">
        <f t="shared" si="21"/>
        <v>0</v>
      </c>
      <c r="E532" s="494"/>
      <c r="F532" s="494"/>
      <c r="G532" s="416"/>
      <c r="H532" s="427"/>
      <c r="I532" s="425"/>
      <c r="J532" s="396"/>
      <c r="K532" s="427"/>
      <c r="L532"/>
    </row>
    <row r="533" spans="1:12" ht="12.75" customHeight="1" x14ac:dyDescent="0.25">
      <c r="A533" s="453" t="s">
        <v>5115</v>
      </c>
      <c r="B533" s="394" t="s">
        <v>5147</v>
      </c>
      <c r="C533" s="385" t="s">
        <v>3836</v>
      </c>
      <c r="D533" s="386">
        <f t="shared" si="21"/>
        <v>0</v>
      </c>
      <c r="E533" s="494"/>
      <c r="F533" s="494"/>
      <c r="G533" s="416"/>
      <c r="H533" s="427"/>
      <c r="I533" s="425"/>
      <c r="J533" s="396"/>
      <c r="K533" s="427"/>
      <c r="L533"/>
    </row>
    <row r="534" spans="1:12" ht="12.75" customHeight="1" x14ac:dyDescent="0.25">
      <c r="A534" s="453" t="s">
        <v>5116</v>
      </c>
      <c r="B534" s="394" t="s">
        <v>5148</v>
      </c>
      <c r="C534" s="385" t="s">
        <v>3836</v>
      </c>
      <c r="D534" s="386">
        <f t="shared" si="21"/>
        <v>0</v>
      </c>
      <c r="E534" s="494"/>
      <c r="F534" s="494"/>
      <c r="G534" s="416"/>
      <c r="H534" s="427"/>
      <c r="I534" s="425"/>
      <c r="J534" s="396"/>
      <c r="K534" s="427"/>
      <c r="L534"/>
    </row>
    <row r="535" spans="1:12" ht="12.75" customHeight="1" x14ac:dyDescent="0.25">
      <c r="A535" s="453" t="s">
        <v>5117</v>
      </c>
      <c r="B535" s="394" t="s">
        <v>5149</v>
      </c>
      <c r="C535" s="385" t="s">
        <v>3836</v>
      </c>
      <c r="D535" s="386">
        <f t="shared" si="21"/>
        <v>0</v>
      </c>
      <c r="E535" s="494"/>
      <c r="F535" s="494"/>
      <c r="G535" s="416"/>
      <c r="H535" s="427"/>
      <c r="I535" s="427"/>
      <c r="J535" s="396"/>
      <c r="K535" s="427"/>
      <c r="L535"/>
    </row>
    <row r="536" spans="1:12" ht="12.75" customHeight="1" x14ac:dyDescent="0.25">
      <c r="A536" s="453" t="s">
        <v>5118</v>
      </c>
      <c r="B536" s="372" t="s">
        <v>5119</v>
      </c>
      <c r="C536" s="385" t="s">
        <v>3836</v>
      </c>
      <c r="D536" s="386">
        <f t="shared" si="21"/>
        <v>0</v>
      </c>
      <c r="E536" s="494"/>
      <c r="F536" s="494"/>
      <c r="G536" s="416"/>
      <c r="H536" s="427"/>
      <c r="I536" s="427"/>
      <c r="J536" s="396"/>
      <c r="K536" s="427"/>
      <c r="L536"/>
    </row>
    <row r="537" spans="1:12" ht="12.75" customHeight="1" thickBot="1" x14ac:dyDescent="0.3">
      <c r="A537" s="401"/>
      <c r="B537" s="402"/>
      <c r="C537" s="402" t="s">
        <v>3823</v>
      </c>
      <c r="D537" s="403">
        <f>SUM(D506:D536)</f>
        <v>0</v>
      </c>
      <c r="E537" s="403">
        <f>SUM(E506:E536)</f>
        <v>0</v>
      </c>
      <c r="F537" s="403">
        <f t="shared" ref="F537:J537" si="22">SUM(F506:F536)</f>
        <v>0</v>
      </c>
      <c r="G537" s="403">
        <f t="shared" si="22"/>
        <v>0</v>
      </c>
      <c r="H537" s="403">
        <f t="shared" si="22"/>
        <v>0</v>
      </c>
      <c r="I537" s="403">
        <f t="shared" si="22"/>
        <v>0</v>
      </c>
      <c r="J537" s="403">
        <f t="shared" si="22"/>
        <v>0</v>
      </c>
      <c r="K537" s="403">
        <v>0</v>
      </c>
      <c r="L537"/>
    </row>
  </sheetData>
  <mergeCells count="121">
    <mergeCell ref="A498:K498"/>
    <mergeCell ref="A499:K499"/>
    <mergeCell ref="A500:K500"/>
    <mergeCell ref="A502:A505"/>
    <mergeCell ref="B502:B505"/>
    <mergeCell ref="C502:C505"/>
    <mergeCell ref="E502:K502"/>
    <mergeCell ref="D503:D504"/>
    <mergeCell ref="E503:K503"/>
    <mergeCell ref="J504:K504"/>
    <mergeCell ref="A408:K408"/>
    <mergeCell ref="A409:K409"/>
    <mergeCell ref="A410:K410"/>
    <mergeCell ref="A412:A415"/>
    <mergeCell ref="B412:B415"/>
    <mergeCell ref="C412:C415"/>
    <mergeCell ref="E412:K412"/>
    <mergeCell ref="D413:D414"/>
    <mergeCell ref="E413:K413"/>
    <mergeCell ref="J414:K414"/>
    <mergeCell ref="A318:K318"/>
    <mergeCell ref="A319:K319"/>
    <mergeCell ref="A320:K320"/>
    <mergeCell ref="A322:A325"/>
    <mergeCell ref="B322:B325"/>
    <mergeCell ref="C322:C325"/>
    <mergeCell ref="E322:K322"/>
    <mergeCell ref="D323:D324"/>
    <mergeCell ref="E323:K323"/>
    <mergeCell ref="J324:K324"/>
    <mergeCell ref="A183:K183"/>
    <mergeCell ref="A184:K184"/>
    <mergeCell ref="A185:K185"/>
    <mergeCell ref="A187:A190"/>
    <mergeCell ref="B187:B190"/>
    <mergeCell ref="C187:C190"/>
    <mergeCell ref="E187:K187"/>
    <mergeCell ref="D188:D189"/>
    <mergeCell ref="E188:K188"/>
    <mergeCell ref="J189:K189"/>
    <mergeCell ref="A91:K91"/>
    <mergeCell ref="A92:K92"/>
    <mergeCell ref="A93:K93"/>
    <mergeCell ref="A95:A98"/>
    <mergeCell ref="B95:B98"/>
    <mergeCell ref="C95:C98"/>
    <mergeCell ref="E95:K95"/>
    <mergeCell ref="D96:D97"/>
    <mergeCell ref="E96:K96"/>
    <mergeCell ref="J97:K97"/>
    <mergeCell ref="A48:K48"/>
    <mergeCell ref="A49:K49"/>
    <mergeCell ref="A50:K50"/>
    <mergeCell ref="A52:A55"/>
    <mergeCell ref="B52:B55"/>
    <mergeCell ref="C52:C55"/>
    <mergeCell ref="E52:K52"/>
    <mergeCell ref="D53:D54"/>
    <mergeCell ref="E53:K53"/>
    <mergeCell ref="J54:K54"/>
    <mergeCell ref="A3:K3"/>
    <mergeCell ref="A4:K4"/>
    <mergeCell ref="A5:K5"/>
    <mergeCell ref="A7:A10"/>
    <mergeCell ref="B7:B10"/>
    <mergeCell ref="C7:C10"/>
    <mergeCell ref="E7:K7"/>
    <mergeCell ref="D8:D9"/>
    <mergeCell ref="E8:K8"/>
    <mergeCell ref="J9:K9"/>
    <mergeCell ref="L166:L167"/>
    <mergeCell ref="A138:K138"/>
    <mergeCell ref="A139:K139"/>
    <mergeCell ref="A140:K140"/>
    <mergeCell ref="A142:A145"/>
    <mergeCell ref="B142:B145"/>
    <mergeCell ref="C142:C145"/>
    <mergeCell ref="E142:K142"/>
    <mergeCell ref="D143:D144"/>
    <mergeCell ref="E143:K143"/>
    <mergeCell ref="J144:K144"/>
    <mergeCell ref="A228:K228"/>
    <mergeCell ref="A229:K229"/>
    <mergeCell ref="A230:K230"/>
    <mergeCell ref="A232:A235"/>
    <mergeCell ref="B232:B235"/>
    <mergeCell ref="C232:C235"/>
    <mergeCell ref="E232:K232"/>
    <mergeCell ref="D233:D234"/>
    <mergeCell ref="E233:K233"/>
    <mergeCell ref="J234:K234"/>
    <mergeCell ref="A273:K273"/>
    <mergeCell ref="A274:K274"/>
    <mergeCell ref="A275:K275"/>
    <mergeCell ref="A277:A280"/>
    <mergeCell ref="B277:B280"/>
    <mergeCell ref="C277:C280"/>
    <mergeCell ref="E277:K277"/>
    <mergeCell ref="D278:D279"/>
    <mergeCell ref="E278:K278"/>
    <mergeCell ref="J279:K279"/>
    <mergeCell ref="A363:K363"/>
    <mergeCell ref="A364:K364"/>
    <mergeCell ref="A365:K365"/>
    <mergeCell ref="A367:A370"/>
    <mergeCell ref="B367:B370"/>
    <mergeCell ref="C367:C370"/>
    <mergeCell ref="E367:K367"/>
    <mergeCell ref="D368:D369"/>
    <mergeCell ref="E368:K368"/>
    <mergeCell ref="J369:K369"/>
    <mergeCell ref="A453:K453"/>
    <mergeCell ref="A454:K454"/>
    <mergeCell ref="A455:K455"/>
    <mergeCell ref="A457:A460"/>
    <mergeCell ref="B457:B460"/>
    <mergeCell ref="C457:C460"/>
    <mergeCell ref="E457:K457"/>
    <mergeCell ref="D458:D459"/>
    <mergeCell ref="E458:K458"/>
    <mergeCell ref="J459:K459"/>
  </mergeCells>
  <pageMargins left="0.51181102362204722" right="0.51181102362204722" top="0.23622047244094491" bottom="0.23622047244094491" header="0.31496062992125984" footer="0.31496062992125984"/>
  <pageSetup paperSize="9" orientation="landscape"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L1133"/>
  <sheetViews>
    <sheetView view="pageLayout" workbookViewId="0">
      <selection activeCell="G394" sqref="G394"/>
    </sheetView>
  </sheetViews>
  <sheetFormatPr defaultRowHeight="15" x14ac:dyDescent="0.25"/>
  <cols>
    <col min="1" max="2" width="9.85546875" customWidth="1"/>
    <col min="3" max="3" width="3.28515625" customWidth="1"/>
    <col min="4" max="4" width="32.5703125" customWidth="1"/>
    <col min="5" max="5" width="14" style="89" customWidth="1"/>
    <col min="6" max="6" width="14.85546875" style="83" customWidth="1"/>
    <col min="7" max="7" width="14.7109375" customWidth="1"/>
    <col min="8" max="8" width="16.42578125" customWidth="1"/>
    <col min="9" max="9" width="10.5703125" customWidth="1"/>
    <col min="10" max="10" width="23.85546875" customWidth="1"/>
    <col min="11" max="11" width="18.140625" customWidth="1"/>
  </cols>
  <sheetData>
    <row r="1" spans="1:12" x14ac:dyDescent="0.25">
      <c r="A1" s="50" t="s">
        <v>0</v>
      </c>
      <c r="B1" s="50"/>
      <c r="C1" s="50"/>
      <c r="D1" s="9"/>
      <c r="E1" s="84"/>
      <c r="F1" s="75"/>
      <c r="G1" s="9"/>
      <c r="H1" s="9"/>
      <c r="I1" s="9"/>
      <c r="J1" s="9"/>
      <c r="K1" s="9"/>
      <c r="L1" s="1"/>
    </row>
    <row r="2" spans="1:12" x14ac:dyDescent="0.25">
      <c r="A2" s="50" t="s">
        <v>1</v>
      </c>
      <c r="B2" s="50"/>
      <c r="C2" s="50"/>
      <c r="D2" s="9"/>
      <c r="E2" s="84"/>
      <c r="F2" s="75"/>
      <c r="G2" s="9"/>
      <c r="H2" s="9"/>
      <c r="I2" s="9"/>
      <c r="J2" s="9"/>
      <c r="K2" s="9"/>
      <c r="L2" s="1"/>
    </row>
    <row r="3" spans="1:12" x14ac:dyDescent="0.25">
      <c r="A3" s="50" t="s">
        <v>16</v>
      </c>
      <c r="B3" s="50"/>
      <c r="C3" s="50"/>
      <c r="D3" s="9"/>
      <c r="E3" s="84"/>
      <c r="F3" s="75"/>
      <c r="G3" s="9"/>
      <c r="H3" s="9"/>
      <c r="I3" s="9"/>
      <c r="J3" s="9"/>
      <c r="K3" s="9"/>
      <c r="L3" s="1"/>
    </row>
    <row r="4" spans="1:12" x14ac:dyDescent="0.25">
      <c r="A4" s="643" t="s">
        <v>3361</v>
      </c>
      <c r="B4" s="643"/>
      <c r="C4" s="643"/>
      <c r="D4" s="643"/>
      <c r="E4" s="643"/>
      <c r="F4" s="643"/>
      <c r="G4" s="9"/>
      <c r="H4" s="9"/>
      <c r="I4" s="9"/>
      <c r="J4" s="9"/>
      <c r="K4" s="9"/>
      <c r="L4" s="1"/>
    </row>
    <row r="5" spans="1:12" ht="15.75" thickBot="1" x14ac:dyDescent="0.3">
      <c r="A5" s="643" t="s">
        <v>5248</v>
      </c>
      <c r="B5" s="643"/>
      <c r="C5" s="643"/>
      <c r="D5" s="643"/>
      <c r="E5" s="643"/>
      <c r="F5" s="643"/>
      <c r="G5" s="2"/>
      <c r="H5" s="2"/>
      <c r="I5" s="9"/>
      <c r="J5" s="9"/>
      <c r="K5" s="9"/>
      <c r="L5" s="1"/>
    </row>
    <row r="6" spans="1:12" ht="27.75" customHeight="1" x14ac:dyDescent="0.25">
      <c r="A6" s="53" t="s">
        <v>12</v>
      </c>
      <c r="B6" s="193" t="s">
        <v>3285</v>
      </c>
      <c r="C6" s="639" t="s">
        <v>3282</v>
      </c>
      <c r="D6" s="639"/>
      <c r="E6" s="199" t="s">
        <v>90</v>
      </c>
      <c r="F6" s="200" t="s">
        <v>10</v>
      </c>
      <c r="G6" s="9"/>
      <c r="H6" s="9"/>
      <c r="I6" s="9"/>
      <c r="J6" s="9"/>
      <c r="K6" s="9"/>
      <c r="L6" s="1"/>
    </row>
    <row r="7" spans="1:12" ht="15" customHeight="1" x14ac:dyDescent="0.25">
      <c r="A7" s="539" t="s">
        <v>5478</v>
      </c>
      <c r="B7" s="66" t="s">
        <v>5475</v>
      </c>
      <c r="C7" s="543" t="s">
        <v>5655</v>
      </c>
      <c r="D7" s="541"/>
      <c r="E7" s="315"/>
      <c r="F7" s="79"/>
      <c r="G7" s="9"/>
      <c r="H7" s="9"/>
      <c r="I7" s="9"/>
      <c r="J7" s="9"/>
      <c r="K7" s="9"/>
      <c r="L7" s="1"/>
    </row>
    <row r="8" spans="1:12" ht="15" customHeight="1" x14ac:dyDescent="0.25">
      <c r="A8" s="64"/>
      <c r="B8" s="66" t="s">
        <v>5476</v>
      </c>
      <c r="C8" s="540"/>
      <c r="D8" s="544" t="s">
        <v>5477</v>
      </c>
      <c r="E8" s="315"/>
      <c r="F8" s="79">
        <f>E7</f>
        <v>0</v>
      </c>
      <c r="G8" s="9"/>
      <c r="H8" s="9"/>
      <c r="I8" s="9"/>
      <c r="J8" s="9"/>
      <c r="K8" s="9"/>
      <c r="L8" s="1"/>
    </row>
    <row r="9" spans="1:12" ht="15" customHeight="1" x14ac:dyDescent="0.25">
      <c r="A9" s="56"/>
      <c r="B9" s="256"/>
      <c r="C9" s="257"/>
      <c r="D9" s="542"/>
      <c r="E9" s="259"/>
      <c r="F9" s="80"/>
      <c r="G9" s="9"/>
      <c r="H9" s="9"/>
      <c r="I9" s="9"/>
      <c r="J9" s="9"/>
      <c r="K9" s="9"/>
      <c r="L9" s="1"/>
    </row>
    <row r="10" spans="1:12" ht="15" customHeight="1" x14ac:dyDescent="0.25">
      <c r="A10" s="539" t="s">
        <v>3365</v>
      </c>
      <c r="B10" s="66" t="s">
        <v>3312</v>
      </c>
      <c r="C10" s="66" t="s">
        <v>59</v>
      </c>
      <c r="D10" s="541"/>
      <c r="E10" s="259"/>
      <c r="F10" s="79"/>
      <c r="G10" s="9"/>
      <c r="H10" s="9"/>
      <c r="I10" s="9"/>
      <c r="J10" s="9"/>
      <c r="K10" s="9"/>
      <c r="L10" s="1"/>
    </row>
    <row r="11" spans="1:12" ht="15" customHeight="1" x14ac:dyDescent="0.25">
      <c r="A11" s="64"/>
      <c r="B11" s="66" t="s">
        <v>3553</v>
      </c>
      <c r="C11" s="540"/>
      <c r="D11" s="368" t="s">
        <v>3552</v>
      </c>
      <c r="E11" s="259"/>
      <c r="F11" s="79"/>
      <c r="G11" s="9"/>
      <c r="H11" s="9"/>
      <c r="I11" s="9"/>
      <c r="J11" s="9"/>
      <c r="K11" s="9"/>
      <c r="L11" s="1"/>
    </row>
    <row r="12" spans="1:12" ht="15" customHeight="1" x14ac:dyDescent="0.25">
      <c r="A12" s="56"/>
      <c r="B12" s="256"/>
      <c r="C12" s="312" t="s">
        <v>3667</v>
      </c>
      <c r="D12" s="542"/>
      <c r="E12" s="259"/>
      <c r="F12" s="80"/>
      <c r="G12" s="9"/>
      <c r="H12" s="9"/>
      <c r="I12" s="9"/>
      <c r="J12" s="9"/>
      <c r="K12" s="9"/>
      <c r="L12" s="1"/>
    </row>
    <row r="13" spans="1:12" ht="15" customHeight="1" x14ac:dyDescent="0.25">
      <c r="A13" s="56"/>
      <c r="B13" s="256"/>
      <c r="C13" s="312"/>
      <c r="D13" s="542"/>
      <c r="E13" s="259"/>
      <c r="F13" s="80"/>
      <c r="G13" s="9"/>
      <c r="H13" s="9"/>
      <c r="I13" s="9"/>
      <c r="J13" s="9"/>
      <c r="K13" s="9"/>
      <c r="L13" s="1"/>
    </row>
    <row r="14" spans="1:12" ht="15" customHeight="1" x14ac:dyDescent="0.25">
      <c r="A14" s="61" t="s">
        <v>3365</v>
      </c>
      <c r="B14" s="66" t="s">
        <v>3312</v>
      </c>
      <c r="C14" s="65" t="s">
        <v>59</v>
      </c>
      <c r="D14" s="17"/>
      <c r="E14" s="259"/>
      <c r="F14" s="78"/>
      <c r="G14" s="9"/>
      <c r="H14" s="9"/>
      <c r="I14" s="9"/>
      <c r="J14" s="9"/>
      <c r="K14" s="9"/>
      <c r="L14" s="1"/>
    </row>
    <row r="15" spans="1:12" ht="15" customHeight="1" x14ac:dyDescent="0.25">
      <c r="A15" s="61"/>
      <c r="B15" s="66" t="s">
        <v>3745</v>
      </c>
      <c r="C15" s="65"/>
      <c r="D15" s="17" t="s">
        <v>3744</v>
      </c>
      <c r="E15" s="259"/>
      <c r="F15" s="78">
        <f>E14</f>
        <v>0</v>
      </c>
      <c r="G15" s="9"/>
      <c r="H15" s="9"/>
      <c r="I15" s="9"/>
      <c r="J15" s="9"/>
      <c r="K15" s="9"/>
      <c r="L15" s="1"/>
    </row>
    <row r="16" spans="1:12" ht="15" customHeight="1" x14ac:dyDescent="0.25">
      <c r="A16" s="61"/>
      <c r="B16" s="66"/>
      <c r="C16" s="364" t="s">
        <v>5465</v>
      </c>
      <c r="D16" s="17"/>
      <c r="E16" s="259"/>
      <c r="F16" s="78"/>
      <c r="G16" s="9"/>
      <c r="H16" s="9"/>
      <c r="I16" s="9"/>
      <c r="J16" s="9"/>
      <c r="K16" s="9"/>
      <c r="L16" s="1"/>
    </row>
    <row r="17" spans="1:12" ht="15" customHeight="1" x14ac:dyDescent="0.25">
      <c r="A17" s="61"/>
      <c r="B17" s="66"/>
      <c r="C17" s="364"/>
      <c r="D17" s="17"/>
      <c r="E17" s="259"/>
      <c r="F17" s="78"/>
      <c r="G17" s="9"/>
      <c r="H17" s="9"/>
      <c r="I17" s="9"/>
      <c r="J17" s="9"/>
      <c r="K17" s="9"/>
      <c r="L17" s="1"/>
    </row>
    <row r="18" spans="1:12" ht="15" customHeight="1" x14ac:dyDescent="0.25">
      <c r="A18" s="539" t="s">
        <v>5564</v>
      </c>
      <c r="B18" s="66" t="s">
        <v>3312</v>
      </c>
      <c r="C18" s="65" t="s">
        <v>59</v>
      </c>
      <c r="D18" s="62"/>
      <c r="E18" s="259"/>
      <c r="F18" s="78"/>
      <c r="G18" s="9"/>
      <c r="H18" s="9"/>
      <c r="I18" s="9"/>
      <c r="J18" s="9"/>
      <c r="K18" s="9"/>
      <c r="L18" s="1"/>
    </row>
    <row r="19" spans="1:12" ht="15" customHeight="1" x14ac:dyDescent="0.25">
      <c r="A19" s="539"/>
      <c r="B19" s="66" t="s">
        <v>3746</v>
      </c>
      <c r="C19" s="65"/>
      <c r="D19" s="62" t="s">
        <v>5474</v>
      </c>
      <c r="E19" s="259"/>
      <c r="F19" s="78"/>
      <c r="G19" s="9"/>
      <c r="H19" s="9"/>
      <c r="I19" s="9"/>
      <c r="J19" s="9"/>
      <c r="K19" s="9"/>
      <c r="L19" s="1"/>
    </row>
    <row r="20" spans="1:12" ht="15" customHeight="1" x14ac:dyDescent="0.25">
      <c r="A20" s="61"/>
      <c r="B20" s="66" t="s">
        <v>5644</v>
      </c>
      <c r="C20" s="66"/>
      <c r="D20" s="62" t="s">
        <v>3551</v>
      </c>
      <c r="E20" s="259"/>
      <c r="F20" s="78"/>
      <c r="G20" s="9"/>
      <c r="H20" s="9"/>
      <c r="I20" s="9"/>
      <c r="J20" s="9"/>
      <c r="K20" s="9"/>
      <c r="L20" s="1"/>
    </row>
    <row r="21" spans="1:12" ht="15" customHeight="1" x14ac:dyDescent="0.25">
      <c r="A21" s="61"/>
      <c r="B21" s="66"/>
      <c r="C21" s="65"/>
      <c r="D21" s="17"/>
      <c r="E21" s="259"/>
      <c r="F21" s="78"/>
      <c r="G21" s="9"/>
      <c r="H21" s="9"/>
      <c r="I21" s="9"/>
      <c r="J21" s="9"/>
      <c r="K21" s="9"/>
      <c r="L21" s="1"/>
    </row>
    <row r="22" spans="1:12" ht="15" customHeight="1" x14ac:dyDescent="0.25">
      <c r="A22" s="61" t="s">
        <v>5395</v>
      </c>
      <c r="B22" s="66" t="s">
        <v>5646</v>
      </c>
      <c r="C22" s="65" t="s">
        <v>80</v>
      </c>
      <c r="D22" s="62"/>
      <c r="E22" s="259"/>
      <c r="F22" s="78"/>
      <c r="G22" s="9"/>
      <c r="H22" s="9"/>
      <c r="I22" s="9"/>
      <c r="J22" s="9"/>
      <c r="K22" s="9"/>
      <c r="L22" s="1"/>
    </row>
    <row r="23" spans="1:12" ht="15" customHeight="1" x14ac:dyDescent="0.25">
      <c r="A23" s="56"/>
      <c r="B23" s="66" t="s">
        <v>3312</v>
      </c>
      <c r="C23" s="66"/>
      <c r="D23" s="62" t="s">
        <v>59</v>
      </c>
      <c r="E23" s="259"/>
      <c r="F23" s="78">
        <f>E22</f>
        <v>0</v>
      </c>
      <c r="G23" s="9"/>
      <c r="H23" s="9"/>
      <c r="I23" s="9"/>
      <c r="J23" s="9"/>
      <c r="K23" s="9"/>
      <c r="L23" s="1"/>
    </row>
    <row r="24" spans="1:12" ht="15" customHeight="1" x14ac:dyDescent="0.25">
      <c r="A24" s="56"/>
      <c r="B24" s="66"/>
      <c r="C24" s="239" t="s">
        <v>5464</v>
      </c>
      <c r="D24" s="62"/>
      <c r="E24" s="259"/>
      <c r="F24" s="78"/>
      <c r="G24" s="9"/>
      <c r="H24" s="9"/>
      <c r="I24" s="9"/>
      <c r="J24" s="9"/>
      <c r="K24" s="9"/>
      <c r="L24" s="1"/>
    </row>
    <row r="25" spans="1:12" ht="12.75" customHeight="1" x14ac:dyDescent="0.25">
      <c r="A25" s="64"/>
      <c r="B25" s="66"/>
      <c r="C25" s="65"/>
      <c r="D25" s="17"/>
      <c r="E25" s="259"/>
      <c r="F25" s="78"/>
      <c r="G25" s="9"/>
      <c r="H25" s="9"/>
      <c r="I25" s="9"/>
      <c r="J25" s="9"/>
      <c r="K25" s="9"/>
      <c r="L25" s="1"/>
    </row>
    <row r="26" spans="1:12" ht="15" customHeight="1" x14ac:dyDescent="0.25">
      <c r="A26" s="61" t="s">
        <v>5463</v>
      </c>
      <c r="B26" s="66" t="s">
        <v>5646</v>
      </c>
      <c r="C26" s="65" t="s">
        <v>80</v>
      </c>
      <c r="D26" s="62"/>
      <c r="E26" s="259"/>
      <c r="F26" s="78"/>
      <c r="G26" s="9"/>
      <c r="H26" s="9"/>
      <c r="I26" s="9"/>
      <c r="J26" s="9"/>
      <c r="K26" s="9"/>
      <c r="L26" s="1"/>
    </row>
    <row r="27" spans="1:12" ht="15" customHeight="1" x14ac:dyDescent="0.25">
      <c r="A27" s="61"/>
      <c r="B27" s="277" t="s">
        <v>3312</v>
      </c>
      <c r="C27" s="197"/>
      <c r="D27" s="95" t="s">
        <v>59</v>
      </c>
      <c r="E27" s="259"/>
      <c r="F27" s="78">
        <f>E26</f>
        <v>0</v>
      </c>
      <c r="G27" s="9"/>
      <c r="H27" s="9"/>
      <c r="I27" s="9"/>
      <c r="J27" s="9"/>
      <c r="K27" s="9"/>
      <c r="L27" s="1"/>
    </row>
    <row r="28" spans="1:12" ht="15" customHeight="1" x14ac:dyDescent="0.25">
      <c r="A28" s="61"/>
      <c r="B28" s="277"/>
      <c r="C28" s="535" t="s">
        <v>5464</v>
      </c>
      <c r="D28" s="95"/>
      <c r="E28" s="259"/>
      <c r="F28" s="78"/>
      <c r="G28" s="9"/>
      <c r="H28" s="9"/>
      <c r="I28" s="9"/>
      <c r="J28" s="9"/>
      <c r="K28" s="9"/>
      <c r="L28" s="1"/>
    </row>
    <row r="29" spans="1:12" ht="15" customHeight="1" x14ac:dyDescent="0.25">
      <c r="A29" s="64"/>
      <c r="B29" s="66"/>
      <c r="C29" s="66"/>
      <c r="D29" s="62"/>
      <c r="E29" s="259"/>
      <c r="F29" s="78"/>
      <c r="G29" s="9"/>
      <c r="H29" s="84"/>
      <c r="I29" s="9"/>
      <c r="J29" s="9"/>
      <c r="K29" s="9"/>
      <c r="L29" s="1"/>
    </row>
    <row r="30" spans="1:12" ht="15" customHeight="1" x14ac:dyDescent="0.25">
      <c r="A30" s="61" t="s">
        <v>3535</v>
      </c>
      <c r="B30" s="66" t="s">
        <v>5646</v>
      </c>
      <c r="C30" s="65" t="s">
        <v>80</v>
      </c>
      <c r="D30" s="62"/>
      <c r="E30" s="259"/>
      <c r="F30" s="78"/>
      <c r="G30" s="303"/>
      <c r="H30" s="9"/>
      <c r="I30" s="9"/>
      <c r="J30" s="9"/>
      <c r="K30" s="9"/>
      <c r="L30" s="1"/>
    </row>
    <row r="31" spans="1:12" ht="15" customHeight="1" x14ac:dyDescent="0.25">
      <c r="A31" s="64"/>
      <c r="B31" s="66" t="s">
        <v>3312</v>
      </c>
      <c r="C31" s="66"/>
      <c r="D31" s="62" t="s">
        <v>59</v>
      </c>
      <c r="E31" s="259"/>
      <c r="F31" s="78">
        <f>SUM(E30:E30)</f>
        <v>0</v>
      </c>
      <c r="G31" s="9"/>
      <c r="H31" s="9"/>
      <c r="I31" s="9"/>
      <c r="J31" s="9"/>
      <c r="K31" s="9"/>
      <c r="L31" s="1"/>
    </row>
    <row r="32" spans="1:12" ht="14.25" customHeight="1" x14ac:dyDescent="0.25">
      <c r="A32" s="64"/>
      <c r="B32" s="66"/>
      <c r="C32" s="637" t="s">
        <v>5464</v>
      </c>
      <c r="D32" s="638"/>
      <c r="E32" s="259"/>
      <c r="F32" s="78"/>
      <c r="G32" s="272"/>
      <c r="H32" s="9"/>
      <c r="I32" s="9"/>
      <c r="J32" s="9"/>
      <c r="K32" s="9"/>
      <c r="L32" s="1"/>
    </row>
    <row r="33" spans="1:12" ht="13.5" customHeight="1" x14ac:dyDescent="0.25">
      <c r="A33" s="64"/>
      <c r="B33" s="66"/>
      <c r="C33" s="66"/>
      <c r="D33" s="62"/>
      <c r="E33" s="259"/>
      <c r="F33" s="78"/>
      <c r="G33" s="9"/>
      <c r="H33" s="9"/>
      <c r="I33" s="9"/>
      <c r="J33" s="9"/>
      <c r="K33" s="9"/>
      <c r="L33" s="1"/>
    </row>
    <row r="34" spans="1:12" ht="15" customHeight="1" x14ac:dyDescent="0.25">
      <c r="A34" s="168" t="s">
        <v>3535</v>
      </c>
      <c r="B34" s="168" t="s">
        <v>5646</v>
      </c>
      <c r="C34" s="43" t="s">
        <v>80</v>
      </c>
      <c r="D34" s="24"/>
      <c r="E34" s="259"/>
      <c r="F34" s="78"/>
      <c r="G34" s="9"/>
      <c r="H34" s="9"/>
      <c r="I34" s="9"/>
      <c r="J34" s="9"/>
      <c r="K34" s="9"/>
      <c r="L34" s="1"/>
    </row>
    <row r="35" spans="1:12" ht="15" customHeight="1" x14ac:dyDescent="0.25">
      <c r="A35" s="64"/>
      <c r="B35" s="64" t="s">
        <v>3312</v>
      </c>
      <c r="C35" s="51"/>
      <c r="D35" s="55" t="s">
        <v>59</v>
      </c>
      <c r="E35" s="259"/>
      <c r="F35" s="78">
        <f>E34</f>
        <v>0</v>
      </c>
      <c r="G35" s="9"/>
      <c r="H35" s="9"/>
      <c r="I35" s="9"/>
      <c r="J35" s="9"/>
      <c r="K35" s="9"/>
      <c r="L35" s="1"/>
    </row>
    <row r="36" spans="1:12" ht="15" customHeight="1" x14ac:dyDescent="0.25">
      <c r="A36" s="64"/>
      <c r="B36" s="64"/>
      <c r="C36" s="536" t="s">
        <v>5464</v>
      </c>
      <c r="D36" s="40"/>
      <c r="E36" s="259"/>
      <c r="F36" s="78"/>
      <c r="G36" s="9"/>
      <c r="H36" s="9"/>
      <c r="I36" s="9"/>
      <c r="J36" s="9"/>
      <c r="K36" s="9"/>
      <c r="L36" s="1"/>
    </row>
    <row r="37" spans="1:12" ht="15" customHeight="1" x14ac:dyDescent="0.25">
      <c r="A37" s="64"/>
      <c r="B37" s="64"/>
      <c r="C37" s="51"/>
      <c r="D37" s="40"/>
      <c r="E37" s="259"/>
      <c r="F37" s="78"/>
      <c r="G37" s="9"/>
      <c r="H37" s="9"/>
      <c r="I37" s="9"/>
      <c r="J37" s="9"/>
      <c r="K37" s="9"/>
      <c r="L37" s="1"/>
    </row>
    <row r="38" spans="1:12" ht="15" customHeight="1" x14ac:dyDescent="0.25">
      <c r="A38" s="61" t="s">
        <v>3535</v>
      </c>
      <c r="B38" s="66" t="s">
        <v>3745</v>
      </c>
      <c r="C38" s="37" t="s">
        <v>3744</v>
      </c>
      <c r="D38" s="44"/>
      <c r="E38" s="259"/>
      <c r="F38" s="78"/>
      <c r="G38" s="9"/>
      <c r="H38" s="9"/>
      <c r="I38" s="9"/>
      <c r="J38" s="9"/>
      <c r="K38" s="9"/>
      <c r="L38" s="1"/>
    </row>
    <row r="39" spans="1:12" ht="15" customHeight="1" x14ac:dyDescent="0.25">
      <c r="A39" s="64"/>
      <c r="B39" s="66" t="s">
        <v>3312</v>
      </c>
      <c r="C39" s="37"/>
      <c r="D39" s="44" t="s">
        <v>59</v>
      </c>
      <c r="E39" s="259"/>
      <c r="F39" s="78">
        <f>E38</f>
        <v>0</v>
      </c>
      <c r="G39" s="9"/>
      <c r="H39" s="9"/>
      <c r="I39" s="9"/>
      <c r="J39" s="9"/>
      <c r="K39" s="9"/>
      <c r="L39" s="1"/>
    </row>
    <row r="40" spans="1:12" ht="23.25" customHeight="1" x14ac:dyDescent="0.25">
      <c r="A40" s="64"/>
      <c r="B40" s="66"/>
      <c r="C40" s="648" t="s">
        <v>5466</v>
      </c>
      <c r="D40" s="649"/>
      <c r="E40" s="259"/>
      <c r="F40" s="78"/>
      <c r="G40" s="9"/>
      <c r="H40" s="9"/>
      <c r="I40" s="9"/>
      <c r="J40" s="9"/>
      <c r="K40" s="9"/>
      <c r="L40" s="1"/>
    </row>
    <row r="41" spans="1:12" ht="15" customHeight="1" x14ac:dyDescent="0.25">
      <c r="A41" s="64"/>
      <c r="B41" s="66"/>
      <c r="C41" s="537"/>
      <c r="D41" s="538"/>
      <c r="E41" s="259"/>
      <c r="F41" s="78"/>
      <c r="G41" s="9"/>
      <c r="H41" s="9"/>
      <c r="I41" s="9"/>
      <c r="J41" s="9"/>
      <c r="K41" s="9"/>
      <c r="L41" s="1"/>
    </row>
    <row r="42" spans="1:12" ht="15" customHeight="1" x14ac:dyDescent="0.25">
      <c r="A42" s="61" t="s">
        <v>93</v>
      </c>
      <c r="B42" s="66" t="s">
        <v>3553</v>
      </c>
      <c r="C42" s="65" t="s">
        <v>3668</v>
      </c>
      <c r="D42" s="62"/>
      <c r="E42" s="259"/>
      <c r="F42" s="78"/>
      <c r="G42" s="303"/>
      <c r="H42" s="9"/>
      <c r="I42" s="9"/>
      <c r="J42" s="9"/>
      <c r="K42" s="9"/>
      <c r="L42" s="1"/>
    </row>
    <row r="43" spans="1:12" ht="15" customHeight="1" x14ac:dyDescent="0.25">
      <c r="A43" s="61"/>
      <c r="B43" s="66" t="s">
        <v>3553</v>
      </c>
      <c r="C43" s="65" t="s">
        <v>3669</v>
      </c>
      <c r="D43" s="62"/>
      <c r="E43" s="259"/>
      <c r="F43" s="78"/>
      <c r="G43" s="9"/>
      <c r="H43" s="9"/>
      <c r="I43" s="9"/>
      <c r="J43" s="9"/>
      <c r="K43" s="9"/>
      <c r="L43" s="1"/>
    </row>
    <row r="44" spans="1:12" ht="15" customHeight="1" x14ac:dyDescent="0.25">
      <c r="A44" s="61"/>
      <c r="B44" s="66" t="s">
        <v>3553</v>
      </c>
      <c r="C44" s="65" t="s">
        <v>3729</v>
      </c>
      <c r="D44" s="62"/>
      <c r="E44" s="259"/>
      <c r="F44" s="78"/>
      <c r="G44" s="9"/>
      <c r="H44" s="9"/>
      <c r="I44" s="9"/>
      <c r="J44" s="9"/>
      <c r="K44" s="9"/>
      <c r="L44" s="1"/>
    </row>
    <row r="45" spans="1:12" ht="15" customHeight="1" x14ac:dyDescent="0.25">
      <c r="A45" s="61"/>
      <c r="B45" s="66" t="s">
        <v>3553</v>
      </c>
      <c r="C45" s="65" t="s">
        <v>5470</v>
      </c>
      <c r="D45" s="62"/>
      <c r="E45" s="259"/>
      <c r="F45" s="78"/>
      <c r="G45" s="84"/>
      <c r="H45" s="9"/>
      <c r="I45" s="9"/>
      <c r="J45" s="9"/>
      <c r="K45" s="9"/>
      <c r="L45" s="1"/>
    </row>
    <row r="46" spans="1:12" ht="15" customHeight="1" x14ac:dyDescent="0.25">
      <c r="A46" s="64"/>
      <c r="B46" s="66" t="s">
        <v>3312</v>
      </c>
      <c r="C46" s="66"/>
      <c r="D46" s="62" t="s">
        <v>59</v>
      </c>
      <c r="E46" s="259"/>
      <c r="F46" s="78">
        <f>SUM(E42:E45)</f>
        <v>0</v>
      </c>
    </row>
    <row r="47" spans="1:12" ht="25.5" customHeight="1" x14ac:dyDescent="0.25">
      <c r="A47" s="64"/>
      <c r="B47" s="66"/>
      <c r="C47" s="650" t="s">
        <v>3666</v>
      </c>
      <c r="D47" s="651"/>
      <c r="E47" s="259"/>
      <c r="F47" s="78"/>
    </row>
    <row r="48" spans="1:12" ht="15" customHeight="1" x14ac:dyDescent="0.25">
      <c r="A48" s="61"/>
      <c r="B48" s="66"/>
      <c r="C48" s="65"/>
      <c r="D48" s="346"/>
      <c r="E48" s="259"/>
      <c r="F48" s="78"/>
    </row>
    <row r="49" spans="1:7" ht="15" customHeight="1" x14ac:dyDescent="0.25">
      <c r="A49" s="61" t="s">
        <v>93</v>
      </c>
      <c r="B49" s="66" t="s">
        <v>3545</v>
      </c>
      <c r="C49" s="65" t="s">
        <v>3544</v>
      </c>
      <c r="D49" s="346"/>
      <c r="E49" s="259"/>
      <c r="F49" s="78"/>
    </row>
    <row r="50" spans="1:7" ht="15" customHeight="1" x14ac:dyDescent="0.25">
      <c r="A50" s="64"/>
      <c r="B50" s="66" t="s">
        <v>3343</v>
      </c>
      <c r="C50" s="347"/>
      <c r="D50" s="346" t="s">
        <v>11</v>
      </c>
      <c r="E50" s="88"/>
      <c r="F50" s="78">
        <f>E49</f>
        <v>0</v>
      </c>
    </row>
    <row r="51" spans="1:7" ht="15" customHeight="1" x14ac:dyDescent="0.25">
      <c r="A51" s="64"/>
      <c r="B51" s="66"/>
      <c r="C51" s="364" t="s">
        <v>5562</v>
      </c>
      <c r="D51" s="547"/>
      <c r="E51" s="88"/>
      <c r="F51" s="78"/>
    </row>
    <row r="52" spans="1:7" ht="15" customHeight="1" x14ac:dyDescent="0.25">
      <c r="A52" s="64"/>
      <c r="B52" s="66"/>
      <c r="C52" s="540"/>
      <c r="D52" s="513"/>
      <c r="E52" s="88"/>
      <c r="F52" s="78"/>
    </row>
    <row r="53" spans="1:7" ht="15" customHeight="1" x14ac:dyDescent="0.25">
      <c r="A53" s="539" t="s">
        <v>93</v>
      </c>
      <c r="B53" s="66" t="s">
        <v>5471</v>
      </c>
      <c r="C53" s="65" t="s">
        <v>3314</v>
      </c>
      <c r="D53" s="513"/>
      <c r="E53" s="88">
        <f>F57+F58</f>
        <v>0</v>
      </c>
      <c r="F53" s="78"/>
    </row>
    <row r="54" spans="1:7" ht="15" customHeight="1" x14ac:dyDescent="0.25">
      <c r="A54" s="64"/>
      <c r="B54" s="66" t="s">
        <v>5472</v>
      </c>
      <c r="C54" s="65" t="s">
        <v>5468</v>
      </c>
      <c r="D54" s="513"/>
      <c r="E54" s="88">
        <f>F59</f>
        <v>0</v>
      </c>
      <c r="F54" s="78"/>
    </row>
    <row r="55" spans="1:7" ht="15" customHeight="1" x14ac:dyDescent="0.25">
      <c r="A55" s="64"/>
      <c r="B55" s="66" t="s">
        <v>5473</v>
      </c>
      <c r="C55" s="65" t="s">
        <v>3316</v>
      </c>
      <c r="D55" s="513"/>
      <c r="E55" s="88">
        <f>F60</f>
        <v>0</v>
      </c>
      <c r="F55" s="78"/>
      <c r="G55" s="89"/>
    </row>
    <row r="56" spans="1:7" ht="15" customHeight="1" x14ac:dyDescent="0.25">
      <c r="A56" s="64"/>
      <c r="B56" s="66" t="s">
        <v>5634</v>
      </c>
      <c r="C56" s="65" t="s">
        <v>5469</v>
      </c>
      <c r="D56" s="513"/>
      <c r="E56" s="88">
        <f>F61+F62+F63+F64</f>
        <v>0</v>
      </c>
      <c r="F56" s="78"/>
    </row>
    <row r="57" spans="1:7" ht="15" customHeight="1" x14ac:dyDescent="0.25">
      <c r="A57" s="64"/>
      <c r="B57" s="66" t="s">
        <v>3318</v>
      </c>
      <c r="C57" s="540"/>
      <c r="D57" s="346" t="s">
        <v>51</v>
      </c>
      <c r="E57" s="88"/>
      <c r="F57" s="78"/>
    </row>
    <row r="58" spans="1:7" ht="15" customHeight="1" x14ac:dyDescent="0.25">
      <c r="A58" s="64"/>
      <c r="B58" s="66" t="s">
        <v>3319</v>
      </c>
      <c r="C58" s="540"/>
      <c r="D58" s="346" t="s">
        <v>52</v>
      </c>
      <c r="E58" s="88"/>
      <c r="F58" s="78"/>
    </row>
    <row r="59" spans="1:7" ht="15" customHeight="1" x14ac:dyDescent="0.25">
      <c r="A59" s="64"/>
      <c r="B59" s="66" t="s">
        <v>3320</v>
      </c>
      <c r="C59" s="540"/>
      <c r="D59" s="346" t="s">
        <v>53</v>
      </c>
      <c r="E59" s="88"/>
      <c r="F59" s="78"/>
    </row>
    <row r="60" spans="1:7" ht="15" customHeight="1" x14ac:dyDescent="0.25">
      <c r="A60" s="64"/>
      <c r="B60" s="66" t="s">
        <v>3321</v>
      </c>
      <c r="C60" s="540"/>
      <c r="D60" s="346" t="s">
        <v>54</v>
      </c>
      <c r="E60" s="88"/>
      <c r="F60" s="78"/>
      <c r="G60" s="89"/>
    </row>
    <row r="61" spans="1:7" ht="15" customHeight="1" x14ac:dyDescent="0.25">
      <c r="A61" s="64"/>
      <c r="B61" s="66" t="s">
        <v>3326</v>
      </c>
      <c r="C61" s="540"/>
      <c r="D61" s="346" t="s">
        <v>3322</v>
      </c>
      <c r="E61" s="88"/>
      <c r="F61" s="78"/>
    </row>
    <row r="62" spans="1:7" ht="15" customHeight="1" x14ac:dyDescent="0.25">
      <c r="A62" s="64"/>
      <c r="B62" s="66" t="s">
        <v>3327</v>
      </c>
      <c r="C62" s="540"/>
      <c r="D62" s="346" t="s">
        <v>3323</v>
      </c>
      <c r="E62" s="88"/>
      <c r="F62" s="78"/>
      <c r="G62" s="89"/>
    </row>
    <row r="63" spans="1:7" ht="15" customHeight="1" x14ac:dyDescent="0.25">
      <c r="A63" s="64"/>
      <c r="B63" s="66" t="s">
        <v>3328</v>
      </c>
      <c r="C63" s="540"/>
      <c r="D63" s="346" t="s">
        <v>3324</v>
      </c>
      <c r="E63" s="88"/>
      <c r="F63" s="78"/>
    </row>
    <row r="64" spans="1:7" ht="15" customHeight="1" x14ac:dyDescent="0.25">
      <c r="A64" s="64"/>
      <c r="B64" s="66" t="s">
        <v>3329</v>
      </c>
      <c r="C64" s="540"/>
      <c r="D64" s="346" t="s">
        <v>3325</v>
      </c>
      <c r="E64" s="88"/>
      <c r="F64" s="78"/>
    </row>
    <row r="65" spans="1:12" ht="15" customHeight="1" x14ac:dyDescent="0.25">
      <c r="A65" s="64"/>
      <c r="B65" s="66"/>
      <c r="C65" s="540"/>
      <c r="D65" s="513"/>
      <c r="E65" s="88"/>
      <c r="F65" s="78"/>
    </row>
    <row r="66" spans="1:12" ht="15" customHeight="1" x14ac:dyDescent="0.25">
      <c r="A66" s="168" t="s">
        <v>93</v>
      </c>
      <c r="B66" s="198" t="s">
        <v>5634</v>
      </c>
      <c r="C66" s="37" t="s">
        <v>94</v>
      </c>
      <c r="D66" s="44"/>
      <c r="E66" s="88">
        <f>F67</f>
        <v>0</v>
      </c>
      <c r="F66" s="273"/>
    </row>
    <row r="67" spans="1:12" ht="15" customHeight="1" x14ac:dyDescent="0.25">
      <c r="A67" s="64"/>
      <c r="B67" s="66" t="s">
        <v>3334</v>
      </c>
      <c r="C67" s="37"/>
      <c r="D67" s="44" t="s">
        <v>95</v>
      </c>
      <c r="E67" s="88"/>
      <c r="F67" s="78"/>
    </row>
    <row r="68" spans="1:12" ht="12.75" customHeight="1" x14ac:dyDescent="0.25">
      <c r="A68" s="64"/>
      <c r="B68" s="66"/>
      <c r="C68" s="37"/>
      <c r="D68" s="44"/>
      <c r="E68" s="88"/>
      <c r="F68" s="78"/>
      <c r="G68" s="9"/>
      <c r="H68" s="9"/>
      <c r="I68" s="9"/>
      <c r="J68" s="9"/>
      <c r="K68" s="9"/>
      <c r="L68" s="1"/>
    </row>
    <row r="69" spans="1:12" ht="15" customHeight="1" x14ac:dyDescent="0.25">
      <c r="A69" s="168" t="s">
        <v>93</v>
      </c>
      <c r="B69" s="186" t="s">
        <v>3312</v>
      </c>
      <c r="C69" s="37" t="s">
        <v>59</v>
      </c>
      <c r="D69" s="40"/>
      <c r="E69" s="82">
        <f>F71-E70</f>
        <v>0</v>
      </c>
      <c r="F69" s="81"/>
      <c r="G69" s="9"/>
      <c r="H69" s="9"/>
      <c r="I69" s="9"/>
      <c r="J69" s="9"/>
      <c r="K69" s="9"/>
      <c r="L69" s="1"/>
    </row>
    <row r="70" spans="1:12" ht="15" customHeight="1" x14ac:dyDescent="0.25">
      <c r="A70" s="10"/>
      <c r="B70" s="185" t="s">
        <v>3339</v>
      </c>
      <c r="C70" s="37" t="s">
        <v>3338</v>
      </c>
      <c r="D70" s="40"/>
      <c r="E70" s="82"/>
      <c r="F70" s="81"/>
      <c r="G70" s="9"/>
      <c r="H70" s="9"/>
      <c r="I70" s="9"/>
      <c r="J70" s="9"/>
      <c r="K70" s="9"/>
      <c r="L70" s="1"/>
    </row>
    <row r="71" spans="1:12" ht="15" customHeight="1" x14ac:dyDescent="0.25">
      <c r="A71" s="10"/>
      <c r="B71" s="185" t="s">
        <v>5645</v>
      </c>
      <c r="C71" s="37"/>
      <c r="D71" s="40" t="s">
        <v>3340</v>
      </c>
      <c r="E71" s="82"/>
      <c r="F71" s="81"/>
      <c r="G71" s="9"/>
      <c r="H71" s="9"/>
      <c r="I71" s="9"/>
      <c r="J71" s="9"/>
      <c r="K71" s="9"/>
      <c r="L71" s="1"/>
    </row>
    <row r="72" spans="1:12" x14ac:dyDescent="0.25">
      <c r="A72" s="64"/>
      <c r="B72" s="66"/>
      <c r="C72" s="37"/>
      <c r="D72" s="44"/>
      <c r="E72" s="88"/>
      <c r="F72" s="78"/>
      <c r="I72" s="20"/>
    </row>
    <row r="73" spans="1:12" x14ac:dyDescent="0.25">
      <c r="A73" s="168" t="str">
        <f>A69</f>
        <v>31 Jan</v>
      </c>
      <c r="B73" s="186" t="s">
        <v>3312</v>
      </c>
      <c r="C73" s="37" t="s">
        <v>59</v>
      </c>
      <c r="D73" s="40"/>
      <c r="E73" s="82">
        <f>F75-E74</f>
        <v>0</v>
      </c>
      <c r="F73" s="81"/>
      <c r="I73" s="20"/>
    </row>
    <row r="74" spans="1:12" x14ac:dyDescent="0.25">
      <c r="A74" s="10"/>
      <c r="B74" s="185" t="s">
        <v>3339</v>
      </c>
      <c r="C74" s="37" t="s">
        <v>80</v>
      </c>
      <c r="D74" s="40"/>
      <c r="E74" s="82"/>
      <c r="F74" s="81"/>
      <c r="G74" s="21"/>
      <c r="H74" s="20"/>
      <c r="I74" s="20"/>
      <c r="J74" s="20"/>
      <c r="K74" s="20"/>
      <c r="L74" s="1"/>
    </row>
    <row r="75" spans="1:12" ht="15" customHeight="1" x14ac:dyDescent="0.25">
      <c r="A75" s="10"/>
      <c r="B75" s="185" t="s">
        <v>5645</v>
      </c>
      <c r="C75" s="37"/>
      <c r="D75" s="40" t="s">
        <v>81</v>
      </c>
      <c r="E75" s="82"/>
      <c r="F75" s="81"/>
      <c r="G75" s="21"/>
      <c r="H75" s="20"/>
      <c r="I75" s="20"/>
      <c r="J75" s="20"/>
      <c r="K75" s="20"/>
      <c r="L75" s="1"/>
    </row>
    <row r="76" spans="1:12" ht="20.25" customHeight="1" thickBot="1" x14ac:dyDescent="0.3">
      <c r="A76" s="640"/>
      <c r="B76" s="641"/>
      <c r="C76" s="641"/>
      <c r="D76" s="642"/>
      <c r="E76" s="105">
        <f>SUM(E14:E75)</f>
        <v>0</v>
      </c>
      <c r="F76" s="106">
        <f>SUM(F14:F75)</f>
        <v>0</v>
      </c>
      <c r="G76" s="49"/>
      <c r="H76" s="1"/>
      <c r="I76" s="1"/>
      <c r="J76" s="1"/>
      <c r="K76" s="1"/>
      <c r="L76" s="1"/>
    </row>
    <row r="77" spans="1:12" ht="20.25" customHeight="1" x14ac:dyDescent="0.25">
      <c r="A77" s="96"/>
      <c r="B77" s="96"/>
      <c r="C77" s="96"/>
      <c r="D77" s="96"/>
      <c r="E77" s="97"/>
      <c r="F77" s="97"/>
      <c r="G77" s="49"/>
      <c r="H77" s="1"/>
      <c r="I77" s="1"/>
      <c r="J77" s="1"/>
      <c r="K77" s="1"/>
      <c r="L77" s="1"/>
    </row>
    <row r="78" spans="1:12" ht="20.25" customHeight="1" x14ac:dyDescent="0.25">
      <c r="A78" s="96"/>
      <c r="B78" s="96"/>
      <c r="C78" s="96"/>
      <c r="D78" s="96"/>
      <c r="E78" s="97"/>
      <c r="F78" s="97"/>
      <c r="G78" s="49"/>
      <c r="H78" s="1"/>
      <c r="I78" s="1"/>
      <c r="J78" s="1"/>
      <c r="K78" s="1"/>
      <c r="L78" s="1"/>
    </row>
    <row r="79" spans="1:12" ht="20.25" customHeight="1" x14ac:dyDescent="0.25">
      <c r="A79" s="96"/>
      <c r="B79" s="96"/>
      <c r="C79" s="96"/>
      <c r="D79" s="96"/>
      <c r="E79" s="97"/>
      <c r="F79" s="97"/>
      <c r="G79" s="49"/>
      <c r="H79" s="1"/>
      <c r="I79" s="1"/>
      <c r="J79" s="1"/>
      <c r="K79" s="1"/>
      <c r="L79" s="1"/>
    </row>
    <row r="80" spans="1:12" ht="20.25" customHeight="1" x14ac:dyDescent="0.25">
      <c r="A80" s="96"/>
      <c r="B80" s="96"/>
      <c r="C80" s="96"/>
      <c r="D80" s="96"/>
      <c r="E80" s="97"/>
      <c r="F80" s="97"/>
      <c r="G80" s="49"/>
      <c r="H80" s="1"/>
      <c r="I80" s="1"/>
      <c r="J80" s="1"/>
      <c r="K80" s="1"/>
      <c r="L80" s="1"/>
    </row>
    <row r="81" spans="1:12" ht="20.25" customHeight="1" x14ac:dyDescent="0.25">
      <c r="A81" s="96"/>
      <c r="B81" s="96"/>
      <c r="C81" s="96"/>
      <c r="D81" s="96"/>
      <c r="E81" s="97"/>
      <c r="F81" s="97"/>
      <c r="G81" s="49"/>
      <c r="H81" s="1"/>
      <c r="I81" s="1"/>
      <c r="J81" s="1"/>
      <c r="K81" s="1"/>
      <c r="L81" s="1"/>
    </row>
    <row r="82" spans="1:12" ht="20.25" customHeight="1" x14ac:dyDescent="0.25">
      <c r="A82" s="96"/>
      <c r="B82" s="96"/>
      <c r="C82" s="96"/>
      <c r="D82" s="96"/>
      <c r="E82" s="97"/>
      <c r="F82" s="97"/>
      <c r="G82" s="49"/>
      <c r="H82" s="1"/>
      <c r="I82" s="1"/>
      <c r="J82" s="1"/>
      <c r="K82" s="1"/>
      <c r="L82" s="1"/>
    </row>
    <row r="83" spans="1:12" ht="20.25" customHeight="1" x14ac:dyDescent="0.25">
      <c r="A83" s="96"/>
      <c r="B83" s="96"/>
      <c r="C83" s="96"/>
      <c r="D83" s="96"/>
      <c r="E83" s="97"/>
      <c r="F83" s="97"/>
      <c r="G83" s="49"/>
      <c r="H83" s="1"/>
      <c r="I83" s="1"/>
      <c r="J83" s="1"/>
      <c r="K83" s="1"/>
      <c r="L83" s="1"/>
    </row>
    <row r="84" spans="1:12" ht="20.25" customHeight="1" x14ac:dyDescent="0.25">
      <c r="A84" s="96"/>
      <c r="B84" s="96"/>
      <c r="C84" s="96"/>
      <c r="D84" s="96"/>
      <c r="E84" s="97"/>
      <c r="F84" s="97"/>
      <c r="G84" s="49"/>
      <c r="H84" s="1"/>
      <c r="I84" s="1"/>
      <c r="J84" s="1"/>
      <c r="K84" s="1"/>
      <c r="L84" s="1"/>
    </row>
    <row r="85" spans="1:12" ht="20.25" customHeight="1" x14ac:dyDescent="0.25">
      <c r="A85" s="96"/>
      <c r="B85" s="96"/>
      <c r="C85" s="96"/>
      <c r="D85" s="96"/>
      <c r="E85" s="97"/>
      <c r="F85" s="97"/>
      <c r="G85" s="49"/>
      <c r="H85" s="1"/>
      <c r="I85" s="1"/>
      <c r="J85" s="1"/>
      <c r="K85" s="1"/>
      <c r="L85" s="1"/>
    </row>
    <row r="86" spans="1:12" ht="20.25" customHeight="1" x14ac:dyDescent="0.25">
      <c r="A86" s="96"/>
      <c r="B86" s="96"/>
      <c r="C86" s="96"/>
      <c r="D86" s="96"/>
      <c r="E86" s="97"/>
      <c r="F86" s="97"/>
      <c r="G86" s="49"/>
      <c r="H86" s="1"/>
      <c r="I86" s="1"/>
      <c r="J86" s="1"/>
      <c r="K86" s="1"/>
      <c r="L86" s="1"/>
    </row>
    <row r="87" spans="1:12" ht="20.25" customHeight="1" x14ac:dyDescent="0.25">
      <c r="A87" s="96"/>
      <c r="B87" s="96"/>
      <c r="C87" s="96"/>
      <c r="D87" s="96"/>
      <c r="E87" s="97"/>
      <c r="F87" s="97"/>
      <c r="G87" s="49"/>
      <c r="H87" s="1"/>
      <c r="I87" s="1"/>
      <c r="J87" s="1"/>
      <c r="K87" s="1"/>
      <c r="L87" s="1"/>
    </row>
    <row r="88" spans="1:12" ht="20.25" customHeight="1" x14ac:dyDescent="0.25">
      <c r="A88" s="96"/>
      <c r="B88" s="96"/>
      <c r="C88" s="96"/>
      <c r="D88" s="96"/>
      <c r="E88" s="97"/>
      <c r="F88" s="97"/>
      <c r="G88" s="49"/>
      <c r="H88" s="1"/>
      <c r="I88" s="1"/>
      <c r="J88" s="1"/>
      <c r="K88" s="1"/>
      <c r="L88" s="1"/>
    </row>
    <row r="89" spans="1:12" ht="20.25" customHeight="1" x14ac:dyDescent="0.25">
      <c r="A89" s="96"/>
      <c r="B89" s="96"/>
      <c r="C89" s="96"/>
      <c r="D89" s="96"/>
      <c r="E89" s="97"/>
      <c r="F89" s="97"/>
      <c r="G89" s="49"/>
      <c r="H89" s="1"/>
      <c r="I89" s="1"/>
      <c r="J89" s="1"/>
      <c r="K89" s="1"/>
      <c r="L89" s="1"/>
    </row>
    <row r="90" spans="1:12" ht="20.25" customHeight="1" x14ac:dyDescent="0.25">
      <c r="A90" s="96"/>
      <c r="B90" s="96"/>
      <c r="C90" s="96"/>
      <c r="D90" s="96"/>
      <c r="E90" s="97"/>
      <c r="F90" s="97"/>
      <c r="G90" s="49"/>
      <c r="H90" s="1"/>
      <c r="I90" s="1"/>
      <c r="J90" s="1"/>
      <c r="K90" s="1"/>
      <c r="L90" s="1"/>
    </row>
    <row r="91" spans="1:12" ht="20.25" customHeight="1" x14ac:dyDescent="0.25">
      <c r="A91" s="96"/>
      <c r="B91" s="96"/>
      <c r="C91" s="96"/>
      <c r="D91" s="96"/>
      <c r="E91" s="97"/>
      <c r="F91" s="97"/>
      <c r="G91" s="49"/>
      <c r="H91" s="1"/>
      <c r="I91" s="1"/>
      <c r="J91" s="1"/>
      <c r="K91" s="1"/>
      <c r="L91" s="1"/>
    </row>
    <row r="92" spans="1:12" ht="20.25" customHeight="1" x14ac:dyDescent="0.25">
      <c r="A92" s="96"/>
      <c r="B92" s="96"/>
      <c r="C92" s="96"/>
      <c r="D92" s="96"/>
      <c r="E92" s="97"/>
      <c r="F92" s="97"/>
      <c r="G92" s="49"/>
      <c r="H92" s="1"/>
      <c r="I92" s="1"/>
      <c r="J92" s="1"/>
      <c r="K92" s="1"/>
      <c r="L92" s="1"/>
    </row>
    <row r="93" spans="1:12" ht="20.25" customHeight="1" x14ac:dyDescent="0.25">
      <c r="A93" s="96"/>
      <c r="B93" s="96"/>
      <c r="C93" s="96"/>
      <c r="D93" s="96"/>
      <c r="E93" s="97"/>
      <c r="F93" s="97"/>
      <c r="G93" s="49"/>
      <c r="H93" s="1"/>
      <c r="I93" s="1"/>
      <c r="J93" s="1"/>
      <c r="K93" s="1"/>
      <c r="L93" s="1"/>
    </row>
    <row r="94" spans="1:12" ht="15" customHeight="1" x14ac:dyDescent="0.25">
      <c r="A94" s="50" t="s">
        <v>0</v>
      </c>
      <c r="B94" s="50"/>
      <c r="C94" s="50"/>
      <c r="D94" s="9"/>
      <c r="E94" s="84"/>
      <c r="F94" s="75"/>
      <c r="G94" s="49"/>
      <c r="H94" s="1"/>
      <c r="I94" s="1"/>
      <c r="J94" s="1"/>
      <c r="K94" s="1"/>
      <c r="L94" s="1"/>
    </row>
    <row r="95" spans="1:12" x14ac:dyDescent="0.25">
      <c r="A95" s="50" t="s">
        <v>1</v>
      </c>
      <c r="B95" s="50"/>
      <c r="C95" s="50"/>
      <c r="D95" s="9"/>
      <c r="E95" s="84"/>
      <c r="F95" s="75"/>
    </row>
    <row r="96" spans="1:12" x14ac:dyDescent="0.25">
      <c r="A96" s="50" t="s">
        <v>16</v>
      </c>
      <c r="B96" s="50"/>
      <c r="C96" s="50"/>
      <c r="D96" s="9"/>
      <c r="E96" s="84"/>
      <c r="F96" s="75"/>
    </row>
    <row r="97" spans="1:8" x14ac:dyDescent="0.25">
      <c r="A97" s="643"/>
      <c r="B97" s="643"/>
      <c r="C97" s="643"/>
      <c r="D97" s="643"/>
      <c r="E97" s="643"/>
      <c r="F97" s="643"/>
    </row>
    <row r="98" spans="1:8" x14ac:dyDescent="0.25">
      <c r="A98" s="643" t="s">
        <v>3361</v>
      </c>
      <c r="B98" s="643"/>
      <c r="C98" s="643"/>
      <c r="D98" s="643"/>
      <c r="E98" s="643"/>
      <c r="F98" s="643"/>
    </row>
    <row r="99" spans="1:8" x14ac:dyDescent="0.25">
      <c r="A99" s="643" t="s">
        <v>5383</v>
      </c>
      <c r="B99" s="643"/>
      <c r="C99" s="643"/>
      <c r="D99" s="643"/>
      <c r="E99" s="643"/>
      <c r="F99" s="643"/>
    </row>
    <row r="100" spans="1:8" ht="15.75" thickBot="1" x14ac:dyDescent="0.3">
      <c r="A100" s="1"/>
      <c r="B100" s="1"/>
      <c r="C100" s="1"/>
      <c r="D100" s="1"/>
      <c r="E100" s="85"/>
      <c r="F100" s="76"/>
    </row>
    <row r="101" spans="1:8" x14ac:dyDescent="0.25">
      <c r="A101" s="53" t="s">
        <v>12</v>
      </c>
      <c r="B101" s="193" t="s">
        <v>3285</v>
      </c>
      <c r="C101" s="639" t="s">
        <v>3282</v>
      </c>
      <c r="D101" s="639"/>
      <c r="E101" s="199" t="s">
        <v>90</v>
      </c>
      <c r="F101" s="200" t="s">
        <v>10</v>
      </c>
    </row>
    <row r="102" spans="1:8" x14ac:dyDescent="0.25">
      <c r="A102" s="56"/>
      <c r="B102" s="256"/>
      <c r="C102" s="257"/>
      <c r="D102" s="258"/>
      <c r="E102" s="259"/>
      <c r="F102" s="80"/>
    </row>
    <row r="103" spans="1:8" x14ac:dyDescent="0.25">
      <c r="A103" s="61" t="s">
        <v>3670</v>
      </c>
      <c r="B103" s="66" t="s">
        <v>3312</v>
      </c>
      <c r="C103" s="65" t="s">
        <v>59</v>
      </c>
      <c r="D103" s="62"/>
      <c r="E103" s="88"/>
      <c r="F103" s="78"/>
    </row>
    <row r="104" spans="1:8" x14ac:dyDescent="0.25">
      <c r="A104" s="56"/>
      <c r="B104" s="66" t="s">
        <v>3553</v>
      </c>
      <c r="C104" s="66"/>
      <c r="D104" s="62" t="s">
        <v>3552</v>
      </c>
      <c r="E104" s="88"/>
      <c r="F104" s="78"/>
      <c r="G104" s="89"/>
    </row>
    <row r="105" spans="1:8" x14ac:dyDescent="0.25">
      <c r="A105" s="56"/>
      <c r="B105" s="66"/>
      <c r="C105" s="239" t="s">
        <v>3667</v>
      </c>
      <c r="D105" s="62"/>
      <c r="E105" s="88"/>
      <c r="F105" s="78"/>
      <c r="H105" s="269"/>
    </row>
    <row r="106" spans="1:8" x14ac:dyDescent="0.25">
      <c r="A106" s="56"/>
      <c r="B106" s="66"/>
      <c r="C106" s="239"/>
      <c r="D106" s="62"/>
      <c r="E106" s="88"/>
      <c r="F106" s="78"/>
    </row>
    <row r="107" spans="1:8" x14ac:dyDescent="0.25">
      <c r="A107" s="61" t="s">
        <v>3983</v>
      </c>
      <c r="B107" s="66" t="s">
        <v>3312</v>
      </c>
      <c r="C107" s="65" t="s">
        <v>59</v>
      </c>
      <c r="D107" s="62"/>
      <c r="E107" s="88">
        <f>F108</f>
        <v>0</v>
      </c>
      <c r="F107" s="78"/>
      <c r="G107" s="89"/>
      <c r="H107" s="89"/>
    </row>
    <row r="108" spans="1:8" x14ac:dyDescent="0.25">
      <c r="A108" s="56"/>
      <c r="B108" s="66" t="s">
        <v>3553</v>
      </c>
      <c r="C108" s="66"/>
      <c r="D108" s="62" t="s">
        <v>3552</v>
      </c>
      <c r="E108" s="88"/>
      <c r="F108" s="78"/>
      <c r="G108" s="89"/>
    </row>
    <row r="109" spans="1:8" x14ac:dyDescent="0.25">
      <c r="A109" s="56"/>
      <c r="B109" s="66"/>
      <c r="C109" s="239" t="s">
        <v>3667</v>
      </c>
      <c r="D109" s="62"/>
      <c r="E109" s="88"/>
      <c r="F109" s="78"/>
    </row>
    <row r="110" spans="1:8" x14ac:dyDescent="0.25">
      <c r="A110" s="56"/>
      <c r="B110" s="66"/>
      <c r="C110" s="239"/>
      <c r="D110" s="62"/>
      <c r="E110" s="88"/>
      <c r="F110" s="78"/>
    </row>
    <row r="111" spans="1:8" x14ac:dyDescent="0.25">
      <c r="A111" s="61" t="s">
        <v>3993</v>
      </c>
      <c r="B111" s="66" t="s">
        <v>3312</v>
      </c>
      <c r="C111" s="65" t="s">
        <v>59</v>
      </c>
      <c r="D111" s="62"/>
      <c r="E111" s="88"/>
      <c r="F111" s="78"/>
    </row>
    <row r="112" spans="1:8" x14ac:dyDescent="0.25">
      <c r="A112" s="64"/>
      <c r="B112" s="66" t="s">
        <v>5644</v>
      </c>
      <c r="C112" s="66"/>
      <c r="D112" s="62" t="s">
        <v>3551</v>
      </c>
      <c r="E112" s="88"/>
      <c r="F112" s="78">
        <f>E111</f>
        <v>0</v>
      </c>
    </row>
    <row r="113" spans="1:7" x14ac:dyDescent="0.25">
      <c r="A113" s="64"/>
      <c r="B113" s="66"/>
      <c r="C113" s="66"/>
      <c r="D113" s="62"/>
      <c r="E113" s="88"/>
      <c r="F113" s="78"/>
    </row>
    <row r="114" spans="1:7" x14ac:dyDescent="0.25">
      <c r="A114" s="61" t="s">
        <v>3995</v>
      </c>
      <c r="B114" s="185" t="s">
        <v>5646</v>
      </c>
      <c r="C114" s="37" t="s">
        <v>80</v>
      </c>
      <c r="D114" s="62"/>
      <c r="E114" s="88"/>
      <c r="F114" s="78"/>
    </row>
    <row r="115" spans="1:7" x14ac:dyDescent="0.25">
      <c r="A115" s="64"/>
      <c r="B115" s="66" t="s">
        <v>3312</v>
      </c>
      <c r="C115" s="66"/>
      <c r="D115" s="62" t="s">
        <v>59</v>
      </c>
      <c r="E115" s="88"/>
      <c r="F115" s="78">
        <f>E114</f>
        <v>0</v>
      </c>
    </row>
    <row r="116" spans="1:7" x14ac:dyDescent="0.25">
      <c r="A116" s="64"/>
      <c r="B116" s="66"/>
      <c r="C116" s="239" t="s">
        <v>4037</v>
      </c>
      <c r="D116" s="62"/>
      <c r="E116" s="88"/>
      <c r="F116" s="78"/>
    </row>
    <row r="117" spans="1:7" x14ac:dyDescent="0.25">
      <c r="A117" s="64"/>
      <c r="B117" s="66"/>
      <c r="C117" s="66"/>
      <c r="D117" s="62"/>
      <c r="E117" s="88"/>
      <c r="F117" s="78"/>
    </row>
    <row r="118" spans="1:7" x14ac:dyDescent="0.25">
      <c r="A118" s="61" t="s">
        <v>4015</v>
      </c>
      <c r="B118" s="66" t="s">
        <v>3343</v>
      </c>
      <c r="C118" s="65" t="s">
        <v>11</v>
      </c>
      <c r="D118" s="62"/>
      <c r="E118" s="88"/>
      <c r="F118" s="78"/>
    </row>
    <row r="119" spans="1:7" x14ac:dyDescent="0.25">
      <c r="A119" s="64"/>
      <c r="B119" s="66" t="s">
        <v>3353</v>
      </c>
      <c r="C119" s="66"/>
      <c r="D119" s="62" t="s">
        <v>61</v>
      </c>
      <c r="E119" s="88"/>
      <c r="F119" s="78"/>
    </row>
    <row r="120" spans="1:7" ht="25.5" customHeight="1" x14ac:dyDescent="0.25">
      <c r="A120" s="64"/>
      <c r="B120" s="66"/>
      <c r="C120" s="637" t="s">
        <v>5649</v>
      </c>
      <c r="D120" s="638"/>
      <c r="E120" s="88"/>
      <c r="F120" s="78"/>
    </row>
    <row r="121" spans="1:7" x14ac:dyDescent="0.25">
      <c r="A121" s="64"/>
      <c r="B121" s="66"/>
      <c r="C121" s="66"/>
      <c r="D121" s="62"/>
      <c r="E121" s="88"/>
      <c r="F121" s="78"/>
    </row>
    <row r="122" spans="1:7" x14ac:dyDescent="0.25">
      <c r="A122" s="61" t="s">
        <v>4015</v>
      </c>
      <c r="B122" s="185" t="s">
        <v>5646</v>
      </c>
      <c r="C122" s="37" t="s">
        <v>80</v>
      </c>
      <c r="D122" s="62"/>
      <c r="E122" s="88"/>
      <c r="F122" s="78"/>
    </row>
    <row r="123" spans="1:7" x14ac:dyDescent="0.25">
      <c r="A123" s="64"/>
      <c r="B123" s="66" t="s">
        <v>3312</v>
      </c>
      <c r="C123" s="66"/>
      <c r="D123" s="62" t="s">
        <v>59</v>
      </c>
      <c r="E123" s="88"/>
      <c r="F123" s="78"/>
      <c r="G123" s="89"/>
    </row>
    <row r="124" spans="1:7" x14ac:dyDescent="0.25">
      <c r="A124" s="64"/>
      <c r="B124" s="66"/>
      <c r="C124" s="239" t="s">
        <v>4037</v>
      </c>
      <c r="D124" s="62"/>
      <c r="E124" s="88"/>
      <c r="F124" s="78"/>
    </row>
    <row r="125" spans="1:7" x14ac:dyDescent="0.25">
      <c r="A125" s="64"/>
      <c r="B125" s="66"/>
      <c r="C125" s="239"/>
      <c r="D125" s="62"/>
      <c r="E125" s="88"/>
      <c r="F125" s="78"/>
    </row>
    <row r="126" spans="1:7" x14ac:dyDescent="0.25">
      <c r="A126" s="61" t="s">
        <v>4018</v>
      </c>
      <c r="B126" s="66" t="s">
        <v>5646</v>
      </c>
      <c r="C126" s="65" t="s">
        <v>5638</v>
      </c>
      <c r="D126" s="62"/>
      <c r="E126" s="88"/>
      <c r="F126" s="78"/>
      <c r="G126" s="89"/>
    </row>
    <row r="127" spans="1:7" x14ac:dyDescent="0.25">
      <c r="A127" s="64"/>
      <c r="B127" s="66" t="s">
        <v>3312</v>
      </c>
      <c r="C127" s="65"/>
      <c r="D127" s="62" t="s">
        <v>59</v>
      </c>
      <c r="E127" s="88"/>
      <c r="F127" s="78"/>
    </row>
    <row r="128" spans="1:7" x14ac:dyDescent="0.25">
      <c r="A128" s="64"/>
      <c r="B128" s="66"/>
      <c r="C128" s="239" t="s">
        <v>4037</v>
      </c>
      <c r="D128" s="62"/>
      <c r="E128" s="88"/>
      <c r="F128" s="78"/>
    </row>
    <row r="129" spans="1:7" x14ac:dyDescent="0.25">
      <c r="A129" s="64"/>
      <c r="B129" s="66"/>
      <c r="C129" s="239"/>
      <c r="D129" s="62"/>
      <c r="E129" s="88"/>
      <c r="F129" s="78"/>
    </row>
    <row r="130" spans="1:7" x14ac:dyDescent="0.25">
      <c r="A130" s="61" t="s">
        <v>4018</v>
      </c>
      <c r="B130" s="66" t="s">
        <v>5646</v>
      </c>
      <c r="C130" s="65" t="s">
        <v>5638</v>
      </c>
      <c r="D130" s="62"/>
      <c r="E130" s="88"/>
      <c r="F130" s="78"/>
    </row>
    <row r="131" spans="1:7" x14ac:dyDescent="0.25">
      <c r="A131" s="64"/>
      <c r="B131" s="66" t="s">
        <v>3312</v>
      </c>
      <c r="C131" s="65"/>
      <c r="D131" s="62" t="s">
        <v>59</v>
      </c>
      <c r="E131" s="88"/>
      <c r="F131" s="78"/>
    </row>
    <row r="132" spans="1:7" x14ac:dyDescent="0.25">
      <c r="A132" s="64"/>
      <c r="B132" s="66"/>
      <c r="C132" s="239" t="s">
        <v>4037</v>
      </c>
      <c r="D132" s="62"/>
      <c r="E132" s="88"/>
      <c r="F132" s="78"/>
    </row>
    <row r="133" spans="1:7" x14ac:dyDescent="0.25">
      <c r="A133" s="64"/>
      <c r="B133" s="66"/>
      <c r="C133" s="66"/>
      <c r="D133" s="62"/>
      <c r="E133" s="88"/>
      <c r="F133" s="78"/>
    </row>
    <row r="134" spans="1:7" x14ac:dyDescent="0.25">
      <c r="A134" s="61" t="s">
        <v>3722</v>
      </c>
      <c r="B134" s="66" t="s">
        <v>3553</v>
      </c>
      <c r="C134" s="65" t="s">
        <v>3668</v>
      </c>
      <c r="D134" s="62"/>
      <c r="E134" s="88"/>
      <c r="F134" s="78"/>
      <c r="G134" s="269"/>
    </row>
    <row r="135" spans="1:7" x14ac:dyDescent="0.25">
      <c r="A135" s="61"/>
      <c r="B135" s="66" t="s">
        <v>3553</v>
      </c>
      <c r="C135" s="65" t="s">
        <v>3669</v>
      </c>
      <c r="D135" s="62"/>
      <c r="E135" s="88"/>
      <c r="F135" s="78"/>
      <c r="G135" s="548"/>
    </row>
    <row r="136" spans="1:7" x14ac:dyDescent="0.25">
      <c r="A136" s="61"/>
      <c r="B136" s="66" t="s">
        <v>3553</v>
      </c>
      <c r="C136" s="65" t="s">
        <v>3729</v>
      </c>
      <c r="D136" s="62"/>
      <c r="E136" s="88"/>
      <c r="F136" s="78"/>
      <c r="G136" s="89"/>
    </row>
    <row r="137" spans="1:7" x14ac:dyDescent="0.25">
      <c r="A137" s="61"/>
      <c r="B137" s="66" t="s">
        <v>3553</v>
      </c>
      <c r="C137" s="65" t="s">
        <v>5470</v>
      </c>
      <c r="D137" s="62"/>
      <c r="E137" s="88"/>
      <c r="F137" s="78"/>
      <c r="G137" s="269"/>
    </row>
    <row r="138" spans="1:7" x14ac:dyDescent="0.25">
      <c r="A138" s="64"/>
      <c r="B138" s="66" t="s">
        <v>3312</v>
      </c>
      <c r="C138" s="66"/>
      <c r="D138" s="62" t="s">
        <v>59</v>
      </c>
      <c r="E138" s="88"/>
      <c r="F138" s="78">
        <f>SUM(E134:E137)</f>
        <v>0</v>
      </c>
    </row>
    <row r="139" spans="1:7" ht="23.25" customHeight="1" x14ac:dyDescent="0.25">
      <c r="A139" s="64"/>
      <c r="B139" s="66"/>
      <c r="C139" s="637" t="s">
        <v>3666</v>
      </c>
      <c r="D139" s="638"/>
      <c r="E139" s="88"/>
      <c r="F139" s="78"/>
    </row>
    <row r="140" spans="1:7" x14ac:dyDescent="0.25">
      <c r="A140" s="64"/>
      <c r="B140" s="66"/>
      <c r="C140" s="66"/>
      <c r="D140" s="62"/>
      <c r="E140" s="88"/>
      <c r="F140" s="78"/>
    </row>
    <row r="141" spans="1:7" x14ac:dyDescent="0.25">
      <c r="A141" s="168" t="str">
        <f>A134</f>
        <v>28 Feb</v>
      </c>
      <c r="B141" s="168" t="s">
        <v>5471</v>
      </c>
      <c r="C141" s="43" t="s">
        <v>3314</v>
      </c>
      <c r="D141" s="24"/>
      <c r="E141" s="88">
        <f>F145+F146</f>
        <v>0</v>
      </c>
      <c r="F141" s="78"/>
    </row>
    <row r="142" spans="1:7" x14ac:dyDescent="0.25">
      <c r="A142" s="64"/>
      <c r="B142" s="64" t="s">
        <v>5472</v>
      </c>
      <c r="C142" s="43" t="s">
        <v>3315</v>
      </c>
      <c r="D142" s="24"/>
      <c r="E142" s="88">
        <f>F147</f>
        <v>0</v>
      </c>
      <c r="F142" s="78"/>
    </row>
    <row r="143" spans="1:7" x14ac:dyDescent="0.25">
      <c r="A143" s="64"/>
      <c r="B143" s="64" t="s">
        <v>5473</v>
      </c>
      <c r="C143" s="43" t="s">
        <v>3316</v>
      </c>
      <c r="D143" s="27"/>
      <c r="E143" s="88">
        <f>F148</f>
        <v>0</v>
      </c>
      <c r="F143" s="78"/>
    </row>
    <row r="144" spans="1:7" x14ac:dyDescent="0.25">
      <c r="A144" s="64"/>
      <c r="B144" s="64" t="s">
        <v>5634</v>
      </c>
      <c r="C144" s="43" t="s">
        <v>3317</v>
      </c>
      <c r="D144" s="27"/>
      <c r="E144" s="88">
        <f>F149+F150+F151+F152</f>
        <v>0</v>
      </c>
      <c r="F144" s="78"/>
      <c r="G144" s="89">
        <f>SUM(E141:E144)</f>
        <v>0</v>
      </c>
    </row>
    <row r="145" spans="1:7" x14ac:dyDescent="0.25">
      <c r="A145" s="64"/>
      <c r="B145" s="66" t="s">
        <v>3318</v>
      </c>
      <c r="C145" s="37"/>
      <c r="D145" s="44" t="s">
        <v>51</v>
      </c>
      <c r="E145" s="88"/>
      <c r="F145" s="78"/>
    </row>
    <row r="146" spans="1:7" x14ac:dyDescent="0.25">
      <c r="A146" s="64"/>
      <c r="B146" s="66" t="s">
        <v>3319</v>
      </c>
      <c r="C146" s="37"/>
      <c r="D146" s="44" t="s">
        <v>52</v>
      </c>
      <c r="E146" s="88"/>
      <c r="F146" s="78"/>
    </row>
    <row r="147" spans="1:7" x14ac:dyDescent="0.25">
      <c r="A147" s="64"/>
      <c r="B147" s="66" t="s">
        <v>3320</v>
      </c>
      <c r="C147" s="37"/>
      <c r="D147" s="44" t="s">
        <v>53</v>
      </c>
      <c r="E147" s="88"/>
      <c r="F147" s="78"/>
    </row>
    <row r="148" spans="1:7" x14ac:dyDescent="0.25">
      <c r="A148" s="64"/>
      <c r="B148" s="66" t="s">
        <v>3321</v>
      </c>
      <c r="C148" s="37"/>
      <c r="D148" s="44" t="s">
        <v>54</v>
      </c>
      <c r="E148" s="88"/>
      <c r="F148" s="78"/>
    </row>
    <row r="149" spans="1:7" x14ac:dyDescent="0.25">
      <c r="A149" s="64"/>
      <c r="B149" s="66" t="s">
        <v>3326</v>
      </c>
      <c r="C149" s="37"/>
      <c r="D149" s="44" t="s">
        <v>3322</v>
      </c>
      <c r="E149" s="88"/>
      <c r="F149" s="78"/>
      <c r="G149" s="89"/>
    </row>
    <row r="150" spans="1:7" x14ac:dyDescent="0.25">
      <c r="A150" s="64"/>
      <c r="B150" s="66" t="s">
        <v>3327</v>
      </c>
      <c r="C150" s="37"/>
      <c r="D150" s="44" t="s">
        <v>3323</v>
      </c>
      <c r="E150" s="88"/>
      <c r="F150" s="78"/>
    </row>
    <row r="151" spans="1:7" x14ac:dyDescent="0.25">
      <c r="A151" s="64"/>
      <c r="B151" s="66" t="s">
        <v>3328</v>
      </c>
      <c r="C151" s="37"/>
      <c r="D151" s="44" t="s">
        <v>3324</v>
      </c>
      <c r="E151" s="88"/>
      <c r="F151" s="78"/>
    </row>
    <row r="152" spans="1:7" x14ac:dyDescent="0.25">
      <c r="A152" s="64"/>
      <c r="B152" s="66" t="s">
        <v>3329</v>
      </c>
      <c r="C152" s="37"/>
      <c r="D152" s="44" t="s">
        <v>3325</v>
      </c>
      <c r="E152" s="88"/>
      <c r="F152" s="78"/>
    </row>
    <row r="153" spans="1:7" x14ac:dyDescent="0.25">
      <c r="A153" s="64"/>
      <c r="B153" s="66"/>
      <c r="C153" s="37"/>
      <c r="D153" s="44"/>
      <c r="E153" s="88"/>
      <c r="F153" s="78"/>
    </row>
    <row r="154" spans="1:7" x14ac:dyDescent="0.25">
      <c r="A154" s="168" t="str">
        <f>A141</f>
        <v>28 Feb</v>
      </c>
      <c r="B154" s="198" t="s">
        <v>5634</v>
      </c>
      <c r="C154" s="37" t="s">
        <v>94</v>
      </c>
      <c r="D154" s="44"/>
      <c r="E154" s="88">
        <f>F155</f>
        <v>0</v>
      </c>
      <c r="F154" s="273"/>
    </row>
    <row r="155" spans="1:7" x14ac:dyDescent="0.25">
      <c r="A155" s="64"/>
      <c r="B155" s="66" t="s">
        <v>3334</v>
      </c>
      <c r="C155" s="37"/>
      <c r="D155" s="44" t="s">
        <v>95</v>
      </c>
      <c r="E155" s="88"/>
      <c r="F155" s="273"/>
    </row>
    <row r="156" spans="1:7" x14ac:dyDescent="0.25">
      <c r="A156" s="363"/>
      <c r="B156" s="363"/>
      <c r="C156" s="197"/>
      <c r="D156" s="550"/>
      <c r="E156" s="549"/>
      <c r="F156" s="273"/>
    </row>
    <row r="157" spans="1:7" x14ac:dyDescent="0.25">
      <c r="A157" s="168" t="s">
        <v>3722</v>
      </c>
      <c r="B157" s="69" t="s">
        <v>3312</v>
      </c>
      <c r="C157" s="37" t="s">
        <v>59</v>
      </c>
      <c r="D157" s="40"/>
      <c r="E157" s="552"/>
      <c r="F157" s="273"/>
    </row>
    <row r="158" spans="1:7" x14ac:dyDescent="0.25">
      <c r="A158" s="10"/>
      <c r="B158" s="10" t="s">
        <v>3339</v>
      </c>
      <c r="C158" s="37" t="s">
        <v>3338</v>
      </c>
      <c r="D158" s="40"/>
      <c r="E158" s="552"/>
      <c r="F158" s="273"/>
    </row>
    <row r="159" spans="1:7" x14ac:dyDescent="0.25">
      <c r="A159" s="10"/>
      <c r="B159" s="10" t="s">
        <v>3341</v>
      </c>
      <c r="C159" s="37"/>
      <c r="D159" s="40" t="s">
        <v>3340</v>
      </c>
      <c r="E159" s="552"/>
      <c r="F159" s="273"/>
    </row>
    <row r="160" spans="1:7" x14ac:dyDescent="0.25">
      <c r="A160" s="64"/>
      <c r="B160" s="64"/>
      <c r="C160" s="37"/>
      <c r="D160" s="44"/>
      <c r="E160" s="552"/>
      <c r="F160" s="273"/>
    </row>
    <row r="161" spans="1:6" x14ac:dyDescent="0.25">
      <c r="A161" s="168" t="str">
        <f>A157</f>
        <v>28 Feb</v>
      </c>
      <c r="B161" s="69" t="s">
        <v>3312</v>
      </c>
      <c r="C161" s="37" t="s">
        <v>59</v>
      </c>
      <c r="D161" s="40"/>
      <c r="E161" s="552">
        <f>F163</f>
        <v>0</v>
      </c>
      <c r="F161" s="273"/>
    </row>
    <row r="162" spans="1:6" x14ac:dyDescent="0.25">
      <c r="A162" s="10"/>
      <c r="B162" s="10" t="s">
        <v>3339</v>
      </c>
      <c r="C162" s="37" t="s">
        <v>80</v>
      </c>
      <c r="D162" s="40"/>
      <c r="E162" s="552"/>
      <c r="F162" s="273"/>
    </row>
    <row r="163" spans="1:6" x14ac:dyDescent="0.25">
      <c r="A163" s="525"/>
      <c r="B163" s="525" t="s">
        <v>3341</v>
      </c>
      <c r="C163" s="214"/>
      <c r="D163" s="551" t="s">
        <v>81</v>
      </c>
      <c r="E163" s="553"/>
      <c r="F163" s="273"/>
    </row>
    <row r="164" spans="1:6" ht="15.75" thickBot="1" x14ac:dyDescent="0.3">
      <c r="A164" s="640"/>
      <c r="B164" s="641"/>
      <c r="C164" s="641"/>
      <c r="D164" s="642"/>
      <c r="E164" s="105">
        <f>SUM(E111:E155)</f>
        <v>0</v>
      </c>
      <c r="F164" s="106">
        <f>SUM(F111:F155)</f>
        <v>0</v>
      </c>
    </row>
    <row r="165" spans="1:6" x14ac:dyDescent="0.25">
      <c r="A165" s="96"/>
      <c r="B165" s="96"/>
      <c r="C165" s="96"/>
      <c r="D165" s="96"/>
      <c r="E165" s="97"/>
      <c r="F165" s="97"/>
    </row>
    <row r="166" spans="1:6" x14ac:dyDescent="0.25">
      <c r="A166" s="96"/>
      <c r="B166" s="96"/>
      <c r="C166" s="96"/>
      <c r="D166" s="96"/>
      <c r="E166" s="97"/>
      <c r="F166" s="97"/>
    </row>
    <row r="167" spans="1:6" x14ac:dyDescent="0.25">
      <c r="A167" s="96"/>
      <c r="B167" s="96"/>
      <c r="C167" s="96"/>
      <c r="D167" s="96"/>
      <c r="E167" s="97"/>
      <c r="F167" s="97"/>
    </row>
    <row r="168" spans="1:6" x14ac:dyDescent="0.25">
      <c r="A168" s="96"/>
      <c r="B168" s="96"/>
      <c r="C168" s="96"/>
      <c r="D168" s="96"/>
      <c r="E168" s="97"/>
      <c r="F168" s="97"/>
    </row>
    <row r="169" spans="1:6" x14ac:dyDescent="0.25">
      <c r="A169" s="96"/>
      <c r="B169" s="96"/>
      <c r="C169" s="96"/>
      <c r="D169" s="96"/>
      <c r="E169" s="97"/>
      <c r="F169" s="97"/>
    </row>
    <row r="170" spans="1:6" x14ac:dyDescent="0.25">
      <c r="A170" s="96"/>
      <c r="B170" s="96"/>
      <c r="C170" s="96"/>
      <c r="D170" s="96"/>
      <c r="E170" s="97"/>
      <c r="F170" s="97"/>
    </row>
    <row r="171" spans="1:6" x14ac:dyDescent="0.25">
      <c r="A171" s="96"/>
      <c r="B171" s="96"/>
      <c r="C171" s="96"/>
      <c r="D171" s="96"/>
      <c r="E171" s="97"/>
      <c r="F171" s="97"/>
    </row>
    <row r="172" spans="1:6" x14ac:dyDescent="0.25">
      <c r="A172" s="96"/>
      <c r="B172" s="96"/>
      <c r="C172" s="96"/>
      <c r="D172" s="96"/>
      <c r="E172" s="97"/>
      <c r="F172" s="97"/>
    </row>
    <row r="173" spans="1:6" x14ac:dyDescent="0.25">
      <c r="A173" s="96"/>
      <c r="B173" s="96"/>
      <c r="C173" s="96"/>
      <c r="D173" s="96"/>
      <c r="E173" s="97"/>
      <c r="F173" s="97"/>
    </row>
    <row r="174" spans="1:6" x14ac:dyDescent="0.25">
      <c r="A174" s="96"/>
      <c r="B174" s="96"/>
      <c r="C174" s="96"/>
      <c r="D174" s="96"/>
      <c r="E174" s="97"/>
      <c r="F174" s="97"/>
    </row>
    <row r="175" spans="1:6" x14ac:dyDescent="0.25">
      <c r="A175" s="96"/>
      <c r="B175" s="96"/>
      <c r="C175" s="96"/>
      <c r="D175" s="96"/>
      <c r="E175" s="97"/>
      <c r="F175" s="97"/>
    </row>
    <row r="176" spans="1:6" x14ac:dyDescent="0.25">
      <c r="A176" s="96"/>
      <c r="B176" s="96"/>
      <c r="C176" s="96"/>
      <c r="D176" s="96"/>
      <c r="E176" s="97"/>
      <c r="F176" s="97"/>
    </row>
    <row r="177" spans="1:6" x14ac:dyDescent="0.25">
      <c r="A177" s="96"/>
      <c r="B177" s="96"/>
      <c r="C177" s="96"/>
      <c r="D177" s="96"/>
      <c r="E177" s="97"/>
      <c r="F177" s="97"/>
    </row>
    <row r="178" spans="1:6" x14ac:dyDescent="0.25">
      <c r="A178" s="96"/>
      <c r="B178" s="96"/>
      <c r="C178" s="96"/>
      <c r="D178" s="96"/>
      <c r="E178" s="97"/>
      <c r="F178" s="97"/>
    </row>
    <row r="179" spans="1:6" x14ac:dyDescent="0.25">
      <c r="A179" s="96"/>
      <c r="B179" s="96"/>
      <c r="C179" s="96"/>
      <c r="D179" s="96"/>
      <c r="E179" s="97"/>
      <c r="F179" s="97"/>
    </row>
    <row r="180" spans="1:6" x14ac:dyDescent="0.25">
      <c r="A180" s="96"/>
      <c r="B180" s="96"/>
      <c r="C180" s="96"/>
      <c r="D180" s="96"/>
      <c r="E180" s="97"/>
      <c r="F180" s="97"/>
    </row>
    <row r="181" spans="1:6" x14ac:dyDescent="0.25">
      <c r="A181" s="96"/>
      <c r="B181" s="96"/>
      <c r="C181" s="96"/>
      <c r="D181" s="96"/>
      <c r="E181" s="97"/>
      <c r="F181" s="97"/>
    </row>
    <row r="182" spans="1:6" x14ac:dyDescent="0.25">
      <c r="A182" s="96"/>
      <c r="B182" s="96"/>
      <c r="C182" s="96"/>
      <c r="D182" s="96"/>
      <c r="E182" s="97"/>
      <c r="F182" s="97"/>
    </row>
    <row r="183" spans="1:6" x14ac:dyDescent="0.25">
      <c r="A183" s="96"/>
      <c r="B183" s="96"/>
      <c r="C183" s="96"/>
      <c r="D183" s="96"/>
      <c r="E183" s="97"/>
      <c r="F183" s="97"/>
    </row>
    <row r="184" spans="1:6" x14ac:dyDescent="0.25">
      <c r="A184" s="96"/>
      <c r="B184" s="96"/>
      <c r="C184" s="96"/>
      <c r="D184" s="96"/>
      <c r="E184" s="97"/>
      <c r="F184" s="97"/>
    </row>
    <row r="185" spans="1:6" x14ac:dyDescent="0.25">
      <c r="A185" s="96"/>
      <c r="B185" s="96"/>
      <c r="C185" s="96"/>
      <c r="D185" s="96"/>
      <c r="E185" s="97"/>
      <c r="F185" s="97"/>
    </row>
    <row r="186" spans="1:6" x14ac:dyDescent="0.25">
      <c r="A186" s="96"/>
      <c r="B186" s="96"/>
      <c r="C186" s="96"/>
      <c r="D186" s="96"/>
      <c r="E186" s="97"/>
      <c r="F186" s="97"/>
    </row>
    <row r="187" spans="1:6" x14ac:dyDescent="0.25">
      <c r="A187" s="96"/>
      <c r="B187" s="96"/>
      <c r="C187" s="96"/>
      <c r="D187" s="96"/>
      <c r="E187" s="97"/>
      <c r="F187" s="97"/>
    </row>
    <row r="188" spans="1:6" x14ac:dyDescent="0.25">
      <c r="A188" s="96"/>
      <c r="B188" s="96"/>
      <c r="C188" s="96"/>
      <c r="D188" s="96"/>
      <c r="E188" s="97"/>
      <c r="F188" s="97"/>
    </row>
    <row r="189" spans="1:6" x14ac:dyDescent="0.25">
      <c r="A189" s="96"/>
      <c r="B189" s="96"/>
      <c r="C189" s="96"/>
      <c r="D189" s="96"/>
      <c r="E189" s="97"/>
      <c r="F189" s="97"/>
    </row>
    <row r="190" spans="1:6" x14ac:dyDescent="0.25">
      <c r="A190" s="96"/>
      <c r="B190" s="96"/>
      <c r="C190" s="96"/>
      <c r="D190" s="96"/>
      <c r="E190" s="97"/>
      <c r="F190" s="97"/>
    </row>
    <row r="191" spans="1:6" x14ac:dyDescent="0.25">
      <c r="A191" s="96"/>
      <c r="B191" s="96"/>
      <c r="C191" s="96"/>
      <c r="D191" s="96"/>
      <c r="E191" s="97"/>
      <c r="F191" s="97"/>
    </row>
    <row r="192" spans="1:6" x14ac:dyDescent="0.25">
      <c r="A192" s="96"/>
      <c r="B192" s="96"/>
      <c r="C192" s="96"/>
      <c r="D192" s="96"/>
      <c r="E192" s="97"/>
      <c r="F192" s="97"/>
    </row>
    <row r="193" spans="1:7" x14ac:dyDescent="0.25">
      <c r="A193" s="50" t="s">
        <v>0</v>
      </c>
      <c r="B193" s="50"/>
      <c r="C193" s="50"/>
      <c r="D193" s="9"/>
      <c r="E193" s="84"/>
      <c r="F193" s="75"/>
    </row>
    <row r="194" spans="1:7" x14ac:dyDescent="0.25">
      <c r="A194" s="50" t="s">
        <v>1</v>
      </c>
      <c r="B194" s="50"/>
      <c r="C194" s="50"/>
      <c r="D194" s="9"/>
      <c r="E194" s="84"/>
      <c r="F194" s="75"/>
    </row>
    <row r="195" spans="1:7" x14ac:dyDescent="0.25">
      <c r="A195" s="50" t="s">
        <v>16</v>
      </c>
      <c r="B195" s="50"/>
      <c r="C195" s="50"/>
      <c r="D195" s="9"/>
      <c r="E195" s="84"/>
      <c r="F195" s="75"/>
    </row>
    <row r="196" spans="1:7" x14ac:dyDescent="0.25">
      <c r="A196" s="643"/>
      <c r="B196" s="643"/>
      <c r="C196" s="643"/>
      <c r="D196" s="643"/>
      <c r="E196" s="643"/>
      <c r="F196" s="643"/>
    </row>
    <row r="197" spans="1:7" x14ac:dyDescent="0.25">
      <c r="A197" s="643" t="s">
        <v>3361</v>
      </c>
      <c r="B197" s="643"/>
      <c r="C197" s="643"/>
      <c r="D197" s="643"/>
      <c r="E197" s="643"/>
      <c r="F197" s="643"/>
    </row>
    <row r="198" spans="1:7" x14ac:dyDescent="0.25">
      <c r="A198" s="643" t="s">
        <v>3797</v>
      </c>
      <c r="B198" s="643"/>
      <c r="C198" s="643"/>
      <c r="D198" s="643"/>
      <c r="E198" s="643"/>
      <c r="F198" s="643"/>
    </row>
    <row r="199" spans="1:7" ht="15.75" thickBot="1" x14ac:dyDescent="0.3">
      <c r="A199" s="1"/>
      <c r="B199" s="1"/>
      <c r="C199" s="1"/>
      <c r="D199" s="1"/>
      <c r="E199" s="85"/>
      <c r="F199" s="76"/>
    </row>
    <row r="200" spans="1:7" x14ac:dyDescent="0.25">
      <c r="A200" s="53" t="s">
        <v>12</v>
      </c>
      <c r="B200" s="193" t="s">
        <v>3285</v>
      </c>
      <c r="C200" s="639" t="s">
        <v>3282</v>
      </c>
      <c r="D200" s="639"/>
      <c r="E200" s="199" t="s">
        <v>90</v>
      </c>
      <c r="F200" s="200" t="s">
        <v>10</v>
      </c>
    </row>
    <row r="201" spans="1:7" x14ac:dyDescent="0.25">
      <c r="A201" s="61" t="s">
        <v>5566</v>
      </c>
      <c r="B201" s="66" t="s">
        <v>3312</v>
      </c>
      <c r="C201" s="65" t="s">
        <v>59</v>
      </c>
      <c r="D201" s="62"/>
      <c r="E201" s="88"/>
      <c r="F201" s="78"/>
    </row>
    <row r="202" spans="1:7" x14ac:dyDescent="0.25">
      <c r="A202" s="56"/>
      <c r="B202" s="66" t="s">
        <v>3553</v>
      </c>
      <c r="C202" s="66"/>
      <c r="D202" s="62" t="s">
        <v>3552</v>
      </c>
      <c r="E202" s="88"/>
      <c r="F202" s="78"/>
    </row>
    <row r="203" spans="1:7" x14ac:dyDescent="0.25">
      <c r="A203" s="56"/>
      <c r="B203" s="66"/>
      <c r="C203" s="239" t="s">
        <v>3667</v>
      </c>
      <c r="D203" s="62"/>
      <c r="E203" s="88"/>
      <c r="F203" s="78"/>
    </row>
    <row r="204" spans="1:7" x14ac:dyDescent="0.25">
      <c r="A204" s="56"/>
      <c r="B204" s="66"/>
      <c r="C204" s="239"/>
      <c r="D204" s="62"/>
      <c r="E204" s="88"/>
      <c r="F204" s="78"/>
      <c r="G204" s="89"/>
    </row>
    <row r="205" spans="1:7" x14ac:dyDescent="0.25">
      <c r="A205" s="61" t="s">
        <v>4046</v>
      </c>
      <c r="B205" s="66" t="s">
        <v>3312</v>
      </c>
      <c r="C205" s="65" t="s">
        <v>59</v>
      </c>
      <c r="D205" s="258"/>
      <c r="E205" s="88"/>
      <c r="F205" s="79"/>
    </row>
    <row r="206" spans="1:7" x14ac:dyDescent="0.25">
      <c r="A206" s="64"/>
      <c r="B206" s="66" t="s">
        <v>3566</v>
      </c>
      <c r="C206" s="257"/>
      <c r="D206" s="346" t="s">
        <v>3726</v>
      </c>
      <c r="E206" s="88"/>
      <c r="F206" s="79"/>
      <c r="G206" s="548"/>
    </row>
    <row r="207" spans="1:7" x14ac:dyDescent="0.25">
      <c r="A207" s="64"/>
      <c r="B207" s="256"/>
      <c r="C207" s="239" t="s">
        <v>5639</v>
      </c>
      <c r="D207" s="258"/>
      <c r="E207" s="88"/>
      <c r="F207" s="80"/>
    </row>
    <row r="208" spans="1:7" x14ac:dyDescent="0.25">
      <c r="A208" s="64"/>
      <c r="B208" s="256"/>
      <c r="C208" s="239"/>
      <c r="D208" s="258"/>
      <c r="E208" s="88"/>
      <c r="F208" s="80"/>
    </row>
    <row r="209" spans="1:7" x14ac:dyDescent="0.25">
      <c r="A209" s="558">
        <v>46085</v>
      </c>
      <c r="B209" s="66" t="s">
        <v>3312</v>
      </c>
      <c r="C209" s="65" t="s">
        <v>59</v>
      </c>
      <c r="D209" s="554"/>
      <c r="E209" s="88"/>
      <c r="F209" s="79"/>
    </row>
    <row r="210" spans="1:7" x14ac:dyDescent="0.25">
      <c r="A210" s="64"/>
      <c r="B210" s="66" t="s">
        <v>3745</v>
      </c>
      <c r="C210" s="65"/>
      <c r="D210" s="346" t="s">
        <v>3744</v>
      </c>
      <c r="E210" s="88"/>
      <c r="F210" s="79"/>
    </row>
    <row r="211" spans="1:7" x14ac:dyDescent="0.25">
      <c r="A211" s="56"/>
      <c r="B211" s="256"/>
      <c r="C211" s="239"/>
      <c r="D211" s="258"/>
      <c r="E211" s="88"/>
      <c r="F211" s="79"/>
    </row>
    <row r="212" spans="1:7" x14ac:dyDescent="0.25">
      <c r="A212" s="539" t="s">
        <v>4047</v>
      </c>
      <c r="B212" s="66" t="s">
        <v>3312</v>
      </c>
      <c r="C212" s="65" t="s">
        <v>59</v>
      </c>
      <c r="D212" s="62"/>
      <c r="E212" s="88"/>
      <c r="F212" s="79"/>
      <c r="G212" s="89"/>
    </row>
    <row r="213" spans="1:7" x14ac:dyDescent="0.25">
      <c r="A213" s="56"/>
      <c r="B213" s="66" t="s">
        <v>3553</v>
      </c>
      <c r="C213" s="239"/>
      <c r="D213" s="62" t="s">
        <v>3552</v>
      </c>
      <c r="E213" s="88"/>
      <c r="F213" s="79"/>
    </row>
    <row r="214" spans="1:7" x14ac:dyDescent="0.25">
      <c r="A214" s="56"/>
      <c r="B214" s="256"/>
      <c r="C214" s="239" t="s">
        <v>3667</v>
      </c>
      <c r="D214" s="258"/>
      <c r="E214" s="88"/>
      <c r="F214" s="79"/>
      <c r="G214" s="89"/>
    </row>
    <row r="215" spans="1:7" x14ac:dyDescent="0.25">
      <c r="A215" s="64"/>
      <c r="B215" s="256"/>
      <c r="C215" s="239"/>
      <c r="D215" s="258"/>
      <c r="E215" s="88"/>
      <c r="F215" s="79"/>
    </row>
    <row r="216" spans="1:7" x14ac:dyDescent="0.25">
      <c r="A216" s="61" t="s">
        <v>3781</v>
      </c>
      <c r="B216" s="66" t="s">
        <v>3312</v>
      </c>
      <c r="C216" s="65" t="s">
        <v>59</v>
      </c>
      <c r="D216" s="62"/>
      <c r="E216" s="88"/>
      <c r="F216" s="79"/>
    </row>
    <row r="217" spans="1:7" x14ac:dyDescent="0.25">
      <c r="A217" s="64"/>
      <c r="B217" s="66" t="s">
        <v>5644</v>
      </c>
      <c r="C217" s="66"/>
      <c r="D217" s="62" t="s">
        <v>3551</v>
      </c>
      <c r="E217" s="88"/>
      <c r="F217" s="79"/>
    </row>
    <row r="218" spans="1:7" x14ac:dyDescent="0.25">
      <c r="A218" s="64"/>
      <c r="B218" s="256"/>
      <c r="C218" s="239"/>
      <c r="D218" s="258"/>
      <c r="E218" s="88"/>
      <c r="F218" s="79"/>
    </row>
    <row r="219" spans="1:7" x14ac:dyDescent="0.25">
      <c r="A219" s="61" t="s">
        <v>5640</v>
      </c>
      <c r="B219" s="185" t="s">
        <v>5646</v>
      </c>
      <c r="C219" s="65" t="s">
        <v>80</v>
      </c>
      <c r="D219" s="62"/>
      <c r="E219" s="88"/>
      <c r="F219" s="79"/>
    </row>
    <row r="220" spans="1:7" x14ac:dyDescent="0.25">
      <c r="A220" s="56"/>
      <c r="B220" s="66" t="s">
        <v>3312</v>
      </c>
      <c r="C220" s="66"/>
      <c r="D220" s="62" t="s">
        <v>59</v>
      </c>
      <c r="E220" s="88"/>
      <c r="F220" s="79"/>
    </row>
    <row r="221" spans="1:7" x14ac:dyDescent="0.25">
      <c r="A221" s="56"/>
      <c r="B221" s="66"/>
      <c r="C221" s="637" t="s">
        <v>4037</v>
      </c>
      <c r="D221" s="638"/>
      <c r="E221" s="88"/>
      <c r="F221" s="79"/>
    </row>
    <row r="222" spans="1:7" x14ac:dyDescent="0.25">
      <c r="A222" s="56"/>
      <c r="B222" s="256"/>
      <c r="C222" s="257"/>
      <c r="D222" s="258"/>
      <c r="E222" s="88"/>
      <c r="F222" s="79"/>
    </row>
    <row r="223" spans="1:7" x14ac:dyDescent="0.25">
      <c r="A223" s="61" t="s">
        <v>4051</v>
      </c>
      <c r="B223" s="66" t="s">
        <v>3312</v>
      </c>
      <c r="C223" s="65" t="s">
        <v>59</v>
      </c>
      <c r="D223" s="258"/>
      <c r="E223" s="88"/>
      <c r="F223" s="79"/>
    </row>
    <row r="224" spans="1:7" x14ac:dyDescent="0.25">
      <c r="A224" s="64"/>
      <c r="B224" s="66" t="s">
        <v>3745</v>
      </c>
      <c r="C224" s="257"/>
      <c r="D224" s="346" t="s">
        <v>3744</v>
      </c>
      <c r="E224" s="88"/>
      <c r="F224" s="79"/>
    </row>
    <row r="225" spans="1:7" x14ac:dyDescent="0.25">
      <c r="A225" s="64"/>
      <c r="B225" s="256"/>
      <c r="C225" s="239" t="s">
        <v>5641</v>
      </c>
      <c r="D225" s="258"/>
      <c r="E225" s="88"/>
      <c r="F225" s="79"/>
    </row>
    <row r="226" spans="1:7" x14ac:dyDescent="0.25">
      <c r="A226" s="56"/>
      <c r="B226" s="256"/>
      <c r="C226" s="239"/>
      <c r="D226" s="258"/>
      <c r="E226" s="88"/>
      <c r="F226" s="79"/>
    </row>
    <row r="227" spans="1:7" x14ac:dyDescent="0.25">
      <c r="A227" s="61" t="s">
        <v>4053</v>
      </c>
      <c r="B227" s="66" t="s">
        <v>3745</v>
      </c>
      <c r="C227" s="65" t="s">
        <v>5643</v>
      </c>
      <c r="D227" s="554"/>
      <c r="E227" s="88"/>
      <c r="F227" s="79"/>
    </row>
    <row r="228" spans="1:7" x14ac:dyDescent="0.25">
      <c r="A228" s="64"/>
      <c r="B228" s="66" t="s">
        <v>3312</v>
      </c>
      <c r="C228" s="65"/>
      <c r="D228" s="346" t="s">
        <v>59</v>
      </c>
      <c r="E228" s="88"/>
      <c r="F228" s="79"/>
    </row>
    <row r="229" spans="1:7" ht="33.75" customHeight="1" x14ac:dyDescent="0.25">
      <c r="A229" s="56"/>
      <c r="B229" s="256"/>
      <c r="C229" s="637" t="s">
        <v>5647</v>
      </c>
      <c r="D229" s="638"/>
      <c r="E229" s="88"/>
      <c r="F229" s="79"/>
    </row>
    <row r="230" spans="1:7" x14ac:dyDescent="0.25">
      <c r="A230" s="56"/>
      <c r="B230" s="256"/>
      <c r="C230" s="239"/>
      <c r="D230" s="258"/>
      <c r="E230" s="88"/>
      <c r="F230" s="79"/>
    </row>
    <row r="231" spans="1:7" x14ac:dyDescent="0.25">
      <c r="A231" s="61" t="s">
        <v>5619</v>
      </c>
      <c r="B231" s="66" t="s">
        <v>3339</v>
      </c>
      <c r="C231" s="65" t="s">
        <v>80</v>
      </c>
      <c r="D231" s="62"/>
      <c r="E231" s="88"/>
      <c r="F231" s="79"/>
      <c r="G231" s="89"/>
    </row>
    <row r="232" spans="1:7" x14ac:dyDescent="0.25">
      <c r="A232" s="56"/>
      <c r="B232" s="66" t="s">
        <v>3312</v>
      </c>
      <c r="C232" s="66"/>
      <c r="D232" s="62" t="s">
        <v>59</v>
      </c>
      <c r="E232" s="88"/>
      <c r="F232" s="79"/>
    </row>
    <row r="233" spans="1:7" x14ac:dyDescent="0.25">
      <c r="A233" s="56"/>
      <c r="B233" s="256"/>
      <c r="C233" s="239" t="s">
        <v>4037</v>
      </c>
      <c r="D233" s="258"/>
      <c r="E233" s="88"/>
      <c r="F233" s="79"/>
    </row>
    <row r="234" spans="1:7" x14ac:dyDescent="0.25">
      <c r="A234" s="64"/>
      <c r="B234" s="66"/>
      <c r="C234" s="257"/>
      <c r="D234" s="258"/>
      <c r="E234" s="88"/>
      <c r="F234" s="79"/>
    </row>
    <row r="235" spans="1:7" x14ac:dyDescent="0.25">
      <c r="A235" s="61" t="s">
        <v>5619</v>
      </c>
      <c r="B235" s="66" t="s">
        <v>3339</v>
      </c>
      <c r="C235" s="65" t="s">
        <v>80</v>
      </c>
      <c r="D235" s="62"/>
      <c r="E235" s="88"/>
      <c r="F235" s="79"/>
    </row>
    <row r="236" spans="1:7" x14ac:dyDescent="0.25">
      <c r="A236" s="64"/>
      <c r="B236" s="66" t="s">
        <v>3312</v>
      </c>
      <c r="C236" s="66"/>
      <c r="D236" s="62" t="s">
        <v>59</v>
      </c>
      <c r="E236" s="88"/>
      <c r="F236" s="79"/>
    </row>
    <row r="237" spans="1:7" x14ac:dyDescent="0.25">
      <c r="A237" s="64"/>
      <c r="B237" s="66"/>
      <c r="C237" s="637" t="s">
        <v>4037</v>
      </c>
      <c r="D237" s="638"/>
      <c r="E237" s="88"/>
      <c r="F237" s="79"/>
    </row>
    <row r="238" spans="1:7" x14ac:dyDescent="0.25">
      <c r="A238" s="56"/>
      <c r="B238" s="256"/>
      <c r="C238" s="257"/>
      <c r="D238" s="258"/>
      <c r="E238" s="88"/>
      <c r="F238" s="79"/>
    </row>
    <row r="239" spans="1:7" x14ac:dyDescent="0.25">
      <c r="A239" s="61" t="s">
        <v>5619</v>
      </c>
      <c r="B239" s="66" t="s">
        <v>3339</v>
      </c>
      <c r="C239" s="65" t="s">
        <v>80</v>
      </c>
      <c r="D239" s="62"/>
      <c r="E239" s="88"/>
      <c r="F239" s="79"/>
    </row>
    <row r="240" spans="1:7" x14ac:dyDescent="0.25">
      <c r="A240" s="56"/>
      <c r="B240" s="66" t="s">
        <v>3312</v>
      </c>
      <c r="C240" s="66"/>
      <c r="D240" s="62" t="s">
        <v>59</v>
      </c>
      <c r="E240" s="88"/>
      <c r="F240" s="79"/>
    </row>
    <row r="241" spans="1:6" x14ac:dyDescent="0.25">
      <c r="A241" s="56"/>
      <c r="B241" s="256"/>
      <c r="C241" s="239" t="s">
        <v>4037</v>
      </c>
      <c r="D241" s="258"/>
      <c r="E241" s="88"/>
      <c r="F241" s="79"/>
    </row>
    <row r="242" spans="1:6" x14ac:dyDescent="0.25">
      <c r="A242" s="56"/>
      <c r="B242" s="256"/>
      <c r="C242" s="239"/>
      <c r="D242" s="258"/>
      <c r="E242" s="88"/>
      <c r="F242" s="79"/>
    </row>
    <row r="243" spans="1:6" x14ac:dyDescent="0.25">
      <c r="A243" s="61" t="s">
        <v>5619</v>
      </c>
      <c r="B243" s="66" t="s">
        <v>3339</v>
      </c>
      <c r="C243" s="65" t="s">
        <v>80</v>
      </c>
      <c r="D243" s="62"/>
      <c r="E243" s="88"/>
      <c r="F243" s="79"/>
    </row>
    <row r="244" spans="1:6" x14ac:dyDescent="0.25">
      <c r="A244" s="56"/>
      <c r="B244" s="66" t="s">
        <v>3312</v>
      </c>
      <c r="C244" s="66"/>
      <c r="D244" s="62" t="s">
        <v>59</v>
      </c>
      <c r="E244" s="88"/>
      <c r="F244" s="79"/>
    </row>
    <row r="245" spans="1:6" x14ac:dyDescent="0.25">
      <c r="A245" s="56"/>
      <c r="B245" s="256"/>
      <c r="C245" s="239" t="s">
        <v>4037</v>
      </c>
      <c r="D245" s="258"/>
      <c r="E245" s="88"/>
      <c r="F245" s="79"/>
    </row>
    <row r="246" spans="1:6" x14ac:dyDescent="0.25">
      <c r="A246" s="539" t="s">
        <v>3563</v>
      </c>
      <c r="B246" s="66" t="s">
        <v>3553</v>
      </c>
      <c r="C246" s="65" t="s">
        <v>3668</v>
      </c>
      <c r="D246" s="62"/>
      <c r="E246" s="88"/>
      <c r="F246" s="79"/>
    </row>
    <row r="247" spans="1:6" x14ac:dyDescent="0.25">
      <c r="A247" s="64"/>
      <c r="B247" s="66" t="s">
        <v>3553</v>
      </c>
      <c r="C247" s="65" t="s">
        <v>3749</v>
      </c>
      <c r="D247" s="346"/>
      <c r="E247" s="88"/>
      <c r="F247" s="79"/>
    </row>
    <row r="248" spans="1:6" x14ac:dyDescent="0.25">
      <c r="A248" s="64"/>
      <c r="B248" s="66" t="s">
        <v>3553</v>
      </c>
      <c r="C248" s="644" t="s">
        <v>3669</v>
      </c>
      <c r="D248" s="645"/>
      <c r="E248" s="88"/>
      <c r="F248" s="79"/>
    </row>
    <row r="249" spans="1:6" x14ac:dyDescent="0.25">
      <c r="A249" s="64"/>
      <c r="B249" s="66" t="s">
        <v>3553</v>
      </c>
      <c r="C249" s="65" t="s">
        <v>5642</v>
      </c>
      <c r="D249" s="62"/>
      <c r="E249" s="88"/>
      <c r="F249" s="79"/>
    </row>
    <row r="250" spans="1:6" ht="15" customHeight="1" x14ac:dyDescent="0.25">
      <c r="A250" s="59"/>
      <c r="B250" s="66" t="s">
        <v>3312</v>
      </c>
      <c r="C250" s="555"/>
      <c r="D250" s="556" t="s">
        <v>59</v>
      </c>
      <c r="E250" s="88"/>
      <c r="F250" s="79"/>
    </row>
    <row r="251" spans="1:6" ht="23.25" customHeight="1" x14ac:dyDescent="0.25">
      <c r="A251" s="61"/>
      <c r="B251" s="66"/>
      <c r="C251" s="646" t="s">
        <v>3666</v>
      </c>
      <c r="D251" s="647"/>
      <c r="E251" s="88"/>
      <c r="F251" s="79"/>
    </row>
    <row r="252" spans="1:6" x14ac:dyDescent="0.25">
      <c r="A252" s="61"/>
      <c r="B252" s="66"/>
      <c r="C252" s="65"/>
      <c r="D252" s="62"/>
      <c r="E252" s="88"/>
      <c r="F252" s="79"/>
    </row>
    <row r="253" spans="1:6" x14ac:dyDescent="0.25">
      <c r="A253" s="168" t="s">
        <v>3563</v>
      </c>
      <c r="B253" s="168" t="s">
        <v>5471</v>
      </c>
      <c r="C253" s="43" t="s">
        <v>3314</v>
      </c>
      <c r="D253" s="24"/>
      <c r="E253" s="88"/>
      <c r="F253" s="79"/>
    </row>
    <row r="254" spans="1:6" x14ac:dyDescent="0.25">
      <c r="A254" s="64"/>
      <c r="B254" s="64" t="s">
        <v>5472</v>
      </c>
      <c r="C254" s="43" t="s">
        <v>3315</v>
      </c>
      <c r="D254" s="24"/>
      <c r="E254" s="88"/>
      <c r="F254" s="79"/>
    </row>
    <row r="255" spans="1:6" x14ac:dyDescent="0.25">
      <c r="A255" s="64"/>
      <c r="B255" s="64" t="s">
        <v>5473</v>
      </c>
      <c r="C255" s="43" t="s">
        <v>3316</v>
      </c>
      <c r="D255" s="27"/>
      <c r="E255" s="88"/>
      <c r="F255" s="79"/>
    </row>
    <row r="256" spans="1:6" x14ac:dyDescent="0.25">
      <c r="A256" s="64"/>
      <c r="B256" s="64" t="s">
        <v>5634</v>
      </c>
      <c r="C256" s="43" t="s">
        <v>3317</v>
      </c>
      <c r="D256" s="27"/>
      <c r="E256" s="88"/>
      <c r="F256" s="79"/>
    </row>
    <row r="257" spans="1:7" x14ac:dyDescent="0.25">
      <c r="A257" s="64"/>
      <c r="B257" s="66" t="s">
        <v>3318</v>
      </c>
      <c r="C257" s="37"/>
      <c r="D257" s="44" t="s">
        <v>51</v>
      </c>
      <c r="E257" s="88"/>
      <c r="F257" s="79"/>
    </row>
    <row r="258" spans="1:7" x14ac:dyDescent="0.25">
      <c r="A258" s="64"/>
      <c r="B258" s="66" t="s">
        <v>3319</v>
      </c>
      <c r="C258" s="37"/>
      <c r="D258" s="44" t="s">
        <v>52</v>
      </c>
      <c r="E258" s="88"/>
      <c r="F258" s="79"/>
    </row>
    <row r="259" spans="1:7" x14ac:dyDescent="0.25">
      <c r="A259" s="64"/>
      <c r="B259" s="66" t="s">
        <v>3320</v>
      </c>
      <c r="C259" s="37"/>
      <c r="D259" s="44" t="s">
        <v>53</v>
      </c>
      <c r="E259" s="88"/>
      <c r="F259" s="79"/>
    </row>
    <row r="260" spans="1:7" x14ac:dyDescent="0.25">
      <c r="A260" s="64"/>
      <c r="B260" s="66" t="s">
        <v>3321</v>
      </c>
      <c r="C260" s="37"/>
      <c r="D260" s="44" t="s">
        <v>54</v>
      </c>
      <c r="E260" s="88"/>
      <c r="F260" s="79"/>
    </row>
    <row r="261" spans="1:7" x14ac:dyDescent="0.25">
      <c r="A261" s="64"/>
      <c r="B261" s="66" t="s">
        <v>3326</v>
      </c>
      <c r="C261" s="37"/>
      <c r="D261" s="44" t="s">
        <v>3322</v>
      </c>
      <c r="E261" s="88"/>
      <c r="F261" s="79"/>
      <c r="G261" s="89"/>
    </row>
    <row r="262" spans="1:7" x14ac:dyDescent="0.25">
      <c r="A262" s="64"/>
      <c r="B262" s="66" t="s">
        <v>3327</v>
      </c>
      <c r="C262" s="37"/>
      <c r="D262" s="44" t="s">
        <v>3323</v>
      </c>
      <c r="E262" s="88"/>
      <c r="F262" s="79"/>
    </row>
    <row r="263" spans="1:7" x14ac:dyDescent="0.25">
      <c r="A263" s="64"/>
      <c r="B263" s="66" t="s">
        <v>3328</v>
      </c>
      <c r="C263" s="37"/>
      <c r="D263" s="44" t="s">
        <v>3324</v>
      </c>
      <c r="E263" s="88"/>
      <c r="F263" s="79"/>
    </row>
    <row r="264" spans="1:7" x14ac:dyDescent="0.25">
      <c r="A264" s="64"/>
      <c r="B264" s="66" t="s">
        <v>3329</v>
      </c>
      <c r="C264" s="37"/>
      <c r="D264" s="44" t="s">
        <v>3325</v>
      </c>
      <c r="E264" s="88"/>
      <c r="F264" s="79"/>
    </row>
    <row r="265" spans="1:7" x14ac:dyDescent="0.25">
      <c r="A265" s="64"/>
      <c r="B265" s="66"/>
      <c r="C265" s="37"/>
      <c r="D265" s="44"/>
      <c r="E265" s="88"/>
      <c r="F265" s="79"/>
    </row>
    <row r="266" spans="1:7" x14ac:dyDescent="0.25">
      <c r="A266" s="168" t="str">
        <f>A253</f>
        <v>31 Mar</v>
      </c>
      <c r="B266" s="198" t="s">
        <v>3333</v>
      </c>
      <c r="C266" s="37" t="s">
        <v>94</v>
      </c>
      <c r="D266" s="44"/>
      <c r="E266" s="88"/>
      <c r="F266" s="79"/>
    </row>
    <row r="267" spans="1:7" x14ac:dyDescent="0.25">
      <c r="A267" s="64"/>
      <c r="B267" s="66" t="s">
        <v>3334</v>
      </c>
      <c r="C267" s="37"/>
      <c r="D267" s="44" t="s">
        <v>95</v>
      </c>
      <c r="E267" s="88"/>
      <c r="F267" s="79"/>
    </row>
    <row r="268" spans="1:7" x14ac:dyDescent="0.25">
      <c r="A268" s="64"/>
      <c r="B268" s="64"/>
      <c r="C268" s="17"/>
      <c r="D268" s="44"/>
      <c r="E268" s="88"/>
      <c r="F268" s="79"/>
    </row>
    <row r="269" spans="1:7" x14ac:dyDescent="0.25">
      <c r="A269" s="558">
        <v>46112</v>
      </c>
      <c r="B269" s="69" t="s">
        <v>3312</v>
      </c>
      <c r="C269" s="37" t="s">
        <v>59</v>
      </c>
      <c r="D269" s="40"/>
      <c r="E269" s="88"/>
      <c r="F269" s="79"/>
    </row>
    <row r="270" spans="1:7" x14ac:dyDescent="0.25">
      <c r="A270" s="64"/>
      <c r="B270" s="10" t="s">
        <v>3339</v>
      </c>
      <c r="C270" s="37" t="s">
        <v>3338</v>
      </c>
      <c r="D270" s="40"/>
      <c r="E270" s="88"/>
      <c r="F270" s="79"/>
    </row>
    <row r="271" spans="1:7" x14ac:dyDescent="0.25">
      <c r="A271" s="64"/>
      <c r="B271" s="10" t="s">
        <v>3341</v>
      </c>
      <c r="C271" s="37"/>
      <c r="D271" s="40" t="s">
        <v>3340</v>
      </c>
      <c r="E271" s="88"/>
      <c r="F271" s="79"/>
    </row>
    <row r="272" spans="1:7" x14ac:dyDescent="0.25">
      <c r="A272" s="64"/>
      <c r="B272" s="64"/>
      <c r="C272" s="37"/>
      <c r="D272" s="44"/>
      <c r="E272" s="88"/>
      <c r="F272" s="79"/>
    </row>
    <row r="273" spans="1:6" x14ac:dyDescent="0.25">
      <c r="A273" s="64"/>
      <c r="B273" s="69" t="s">
        <v>3312</v>
      </c>
      <c r="C273" s="37" t="s">
        <v>59</v>
      </c>
      <c r="D273" s="40"/>
      <c r="E273" s="88"/>
      <c r="F273" s="79"/>
    </row>
    <row r="274" spans="1:6" x14ac:dyDescent="0.25">
      <c r="A274" s="64"/>
      <c r="B274" s="10" t="s">
        <v>3339</v>
      </c>
      <c r="C274" s="37" t="s">
        <v>80</v>
      </c>
      <c r="D274" s="40"/>
      <c r="E274" s="88"/>
      <c r="F274" s="79"/>
    </row>
    <row r="275" spans="1:6" x14ac:dyDescent="0.25">
      <c r="A275" s="64"/>
      <c r="B275" s="10" t="s">
        <v>3341</v>
      </c>
      <c r="C275" s="37"/>
      <c r="D275" s="40" t="s">
        <v>81</v>
      </c>
      <c r="E275" s="88"/>
      <c r="F275" s="79"/>
    </row>
    <row r="276" spans="1:6" x14ac:dyDescent="0.25">
      <c r="A276" s="557"/>
      <c r="B276" s="525"/>
      <c r="C276" s="214"/>
      <c r="D276" s="551"/>
      <c r="E276" s="88"/>
      <c r="F276" s="78"/>
    </row>
    <row r="277" spans="1:6" ht="15.75" thickBot="1" x14ac:dyDescent="0.3">
      <c r="A277" s="640"/>
      <c r="B277" s="641"/>
      <c r="C277" s="641"/>
      <c r="D277" s="642"/>
      <c r="E277" s="105">
        <f>SUM(E216:E267)</f>
        <v>0</v>
      </c>
      <c r="F277" s="106">
        <f>SUM(F216:F267)</f>
        <v>0</v>
      </c>
    </row>
    <row r="278" spans="1:6" x14ac:dyDescent="0.25">
      <c r="A278" s="96"/>
      <c r="B278" s="96"/>
      <c r="C278" s="96"/>
      <c r="D278" s="96"/>
      <c r="E278" s="97"/>
      <c r="F278" s="97"/>
    </row>
    <row r="279" spans="1:6" x14ac:dyDescent="0.25">
      <c r="A279" s="96"/>
      <c r="B279" s="96"/>
      <c r="C279" s="96"/>
      <c r="D279" s="96"/>
      <c r="E279" s="97"/>
      <c r="F279" s="97"/>
    </row>
    <row r="280" spans="1:6" x14ac:dyDescent="0.25">
      <c r="A280" s="96"/>
      <c r="B280" s="96"/>
      <c r="C280" s="96"/>
      <c r="D280" s="96"/>
      <c r="E280" s="97"/>
      <c r="F280" s="97"/>
    </row>
    <row r="281" spans="1:6" x14ac:dyDescent="0.25">
      <c r="A281" s="96"/>
      <c r="B281" s="96"/>
      <c r="C281" s="96"/>
      <c r="D281" s="96"/>
      <c r="E281" s="97"/>
      <c r="F281" s="97"/>
    </row>
    <row r="285" spans="1:6" x14ac:dyDescent="0.25">
      <c r="A285" s="96"/>
      <c r="B285" s="96"/>
      <c r="C285" s="96"/>
      <c r="D285" s="96"/>
      <c r="E285" s="97"/>
      <c r="F285" s="97"/>
    </row>
    <row r="286" spans="1:6" x14ac:dyDescent="0.25">
      <c r="A286" s="96"/>
      <c r="B286" s="96"/>
      <c r="C286" s="96"/>
      <c r="D286" s="96"/>
      <c r="E286" s="97"/>
      <c r="F286" s="97"/>
    </row>
    <row r="287" spans="1:6" x14ac:dyDescent="0.25">
      <c r="A287" s="96"/>
      <c r="B287" s="96"/>
      <c r="C287" s="96"/>
      <c r="D287" s="96"/>
      <c r="E287" s="97"/>
      <c r="F287" s="97"/>
    </row>
    <row r="288" spans="1:6" x14ac:dyDescent="0.25">
      <c r="A288" s="96"/>
      <c r="B288" s="96"/>
      <c r="C288" s="96"/>
      <c r="D288" s="96"/>
      <c r="E288" s="97"/>
      <c r="F288" s="97"/>
    </row>
    <row r="289" spans="1:6" x14ac:dyDescent="0.25">
      <c r="A289" s="96"/>
      <c r="B289" s="96"/>
      <c r="C289" s="96"/>
      <c r="D289" s="96"/>
      <c r="E289" s="97"/>
      <c r="F289" s="97"/>
    </row>
    <row r="290" spans="1:6" x14ac:dyDescent="0.25">
      <c r="A290" s="96"/>
      <c r="B290" s="96"/>
      <c r="C290" s="96"/>
      <c r="D290" s="96"/>
      <c r="E290" s="97"/>
      <c r="F290" s="97"/>
    </row>
    <row r="291" spans="1:6" x14ac:dyDescent="0.25">
      <c r="A291" s="96"/>
      <c r="B291" s="96"/>
      <c r="C291" s="96"/>
      <c r="D291" s="96"/>
      <c r="E291" s="97"/>
      <c r="F291" s="97"/>
    </row>
    <row r="292" spans="1:6" x14ac:dyDescent="0.25">
      <c r="A292" s="50" t="s">
        <v>0</v>
      </c>
      <c r="B292" s="50"/>
      <c r="C292" s="50"/>
      <c r="D292" s="9"/>
      <c r="E292" s="84"/>
      <c r="F292" s="75"/>
    </row>
    <row r="293" spans="1:6" x14ac:dyDescent="0.25">
      <c r="A293" s="50" t="s">
        <v>1</v>
      </c>
      <c r="B293" s="50"/>
      <c r="C293" s="50"/>
      <c r="D293" s="9"/>
      <c r="E293" s="84"/>
      <c r="F293" s="75"/>
    </row>
    <row r="294" spans="1:6" x14ac:dyDescent="0.25">
      <c r="A294" s="50" t="s">
        <v>16</v>
      </c>
      <c r="B294" s="50"/>
      <c r="C294" s="50"/>
      <c r="D294" s="9"/>
      <c r="E294" s="84"/>
      <c r="F294" s="75"/>
    </row>
    <row r="295" spans="1:6" x14ac:dyDescent="0.25">
      <c r="A295" s="643"/>
      <c r="B295" s="643"/>
      <c r="C295" s="643"/>
      <c r="D295" s="643"/>
      <c r="E295" s="643"/>
      <c r="F295" s="643"/>
    </row>
    <row r="296" spans="1:6" x14ac:dyDescent="0.25">
      <c r="A296" s="643" t="s">
        <v>3361</v>
      </c>
      <c r="B296" s="643"/>
      <c r="C296" s="643"/>
      <c r="D296" s="643"/>
      <c r="E296" s="643"/>
      <c r="F296" s="643"/>
    </row>
    <row r="297" spans="1:6" x14ac:dyDescent="0.25">
      <c r="A297" s="643" t="s">
        <v>3796</v>
      </c>
      <c r="B297" s="643"/>
      <c r="C297" s="643"/>
      <c r="D297" s="643"/>
      <c r="E297" s="643"/>
      <c r="F297" s="643"/>
    </row>
    <row r="298" spans="1:6" ht="15.75" thickBot="1" x14ac:dyDescent="0.3">
      <c r="A298" s="1"/>
      <c r="B298" s="1"/>
      <c r="C298" s="1"/>
      <c r="D298" s="1"/>
      <c r="E298" s="85"/>
      <c r="F298" s="76"/>
    </row>
    <row r="299" spans="1:6" x14ac:dyDescent="0.25">
      <c r="A299" s="53" t="s">
        <v>12</v>
      </c>
      <c r="B299" s="193" t="s">
        <v>3285</v>
      </c>
      <c r="C299" s="639" t="s">
        <v>3282</v>
      </c>
      <c r="D299" s="639"/>
      <c r="E299" s="199" t="s">
        <v>90</v>
      </c>
      <c r="F299" s="200" t="s">
        <v>10</v>
      </c>
    </row>
    <row r="300" spans="1:6" x14ac:dyDescent="0.25">
      <c r="A300" s="61" t="s">
        <v>3678</v>
      </c>
      <c r="B300" s="66" t="s">
        <v>3312</v>
      </c>
      <c r="C300" s="65" t="s">
        <v>59</v>
      </c>
      <c r="D300" s="62"/>
      <c r="E300" s="88"/>
      <c r="F300" s="78"/>
    </row>
    <row r="301" spans="1:6" x14ac:dyDescent="0.25">
      <c r="A301" s="64"/>
      <c r="B301" s="66" t="s">
        <v>3553</v>
      </c>
      <c r="C301" s="66"/>
      <c r="D301" s="62" t="s">
        <v>3552</v>
      </c>
      <c r="E301" s="88"/>
      <c r="F301" s="81"/>
    </row>
    <row r="302" spans="1:6" x14ac:dyDescent="0.25">
      <c r="A302" s="64"/>
      <c r="B302" s="66"/>
      <c r="C302" s="239" t="s">
        <v>3667</v>
      </c>
      <c r="D302" s="62"/>
      <c r="E302" s="88"/>
      <c r="F302" s="81"/>
    </row>
    <row r="303" spans="1:6" x14ac:dyDescent="0.25">
      <c r="A303" s="64"/>
      <c r="B303" s="256"/>
      <c r="C303" s="257"/>
      <c r="D303" s="258"/>
      <c r="E303" s="259"/>
      <c r="F303" s="81"/>
    </row>
    <row r="304" spans="1:6" x14ac:dyDescent="0.25">
      <c r="A304" s="61" t="s">
        <v>5658</v>
      </c>
      <c r="B304" s="66" t="s">
        <v>3312</v>
      </c>
      <c r="C304" s="65" t="s">
        <v>59</v>
      </c>
      <c r="D304" s="62"/>
      <c r="E304" s="259"/>
      <c r="F304" s="81"/>
    </row>
    <row r="305" spans="1:8" x14ac:dyDescent="0.25">
      <c r="A305" s="64"/>
      <c r="B305" s="66" t="s">
        <v>3553</v>
      </c>
      <c r="C305" s="66"/>
      <c r="D305" s="62" t="s">
        <v>3552</v>
      </c>
      <c r="E305" s="259"/>
      <c r="F305" s="81"/>
      <c r="H305" s="89">
        <f>F301+F305+F316</f>
        <v>0</v>
      </c>
    </row>
    <row r="306" spans="1:8" x14ac:dyDescent="0.25">
      <c r="A306" s="64"/>
      <c r="B306" s="66"/>
      <c r="C306" s="239" t="s">
        <v>3667</v>
      </c>
      <c r="D306" s="62"/>
      <c r="E306" s="259"/>
      <c r="F306" s="81"/>
      <c r="H306" s="89">
        <f>F250</f>
        <v>0</v>
      </c>
    </row>
    <row r="307" spans="1:8" x14ac:dyDescent="0.25">
      <c r="A307" s="64"/>
      <c r="B307" s="256"/>
      <c r="C307" s="257"/>
      <c r="D307" s="258"/>
      <c r="E307" s="259"/>
      <c r="F307" s="81"/>
      <c r="H307" s="89">
        <f>H305-H306</f>
        <v>0</v>
      </c>
    </row>
    <row r="308" spans="1:8" x14ac:dyDescent="0.25">
      <c r="A308" s="61" t="s">
        <v>5662</v>
      </c>
      <c r="B308" s="66" t="s">
        <v>3312</v>
      </c>
      <c r="C308" s="65" t="s">
        <v>3726</v>
      </c>
      <c r="D308" s="513"/>
      <c r="E308" s="259"/>
      <c r="F308" s="81"/>
      <c r="H308" s="89"/>
    </row>
    <row r="309" spans="1:8" x14ac:dyDescent="0.25">
      <c r="A309" s="64"/>
      <c r="B309" s="66" t="s">
        <v>3566</v>
      </c>
      <c r="C309" s="540"/>
      <c r="D309" s="346" t="s">
        <v>3552</v>
      </c>
      <c r="E309" s="259"/>
      <c r="F309" s="81"/>
      <c r="H309" s="89"/>
    </row>
    <row r="310" spans="1:8" x14ac:dyDescent="0.25">
      <c r="A310" s="64"/>
      <c r="B310" s="256"/>
      <c r="C310" s="364" t="s">
        <v>5663</v>
      </c>
      <c r="D310" s="258"/>
      <c r="E310" s="259"/>
      <c r="F310" s="81"/>
      <c r="H310" s="89"/>
    </row>
    <row r="311" spans="1:8" x14ac:dyDescent="0.25">
      <c r="A311" s="64"/>
      <c r="B311" s="256"/>
      <c r="C311" s="364"/>
      <c r="D311" s="258"/>
      <c r="E311" s="259"/>
      <c r="F311" s="81"/>
      <c r="H311" s="89"/>
    </row>
    <row r="312" spans="1:8" x14ac:dyDescent="0.25">
      <c r="A312" s="61" t="s">
        <v>3784</v>
      </c>
      <c r="B312" s="66" t="s">
        <v>3312</v>
      </c>
      <c r="C312" s="65" t="s">
        <v>59</v>
      </c>
      <c r="D312" s="62"/>
      <c r="E312" s="259"/>
      <c r="F312" s="81"/>
    </row>
    <row r="313" spans="1:8" x14ac:dyDescent="0.25">
      <c r="A313" s="64"/>
      <c r="B313" s="66" t="s">
        <v>3550</v>
      </c>
      <c r="C313" s="66"/>
      <c r="D313" s="62" t="s">
        <v>3551</v>
      </c>
      <c r="E313" s="259"/>
      <c r="F313" s="81"/>
    </row>
    <row r="314" spans="1:8" x14ac:dyDescent="0.25">
      <c r="A314" s="56"/>
      <c r="B314" s="256"/>
      <c r="C314" s="257"/>
      <c r="D314" s="258"/>
      <c r="E314" s="259"/>
      <c r="F314" s="81"/>
    </row>
    <row r="315" spans="1:8" x14ac:dyDescent="0.25">
      <c r="A315" s="539" t="s">
        <v>5659</v>
      </c>
      <c r="B315" s="66" t="s">
        <v>3312</v>
      </c>
      <c r="C315" s="65" t="s">
        <v>59</v>
      </c>
      <c r="D315" s="62"/>
      <c r="E315" s="259"/>
      <c r="F315" s="81"/>
    </row>
    <row r="316" spans="1:8" x14ac:dyDescent="0.25">
      <c r="A316" s="56"/>
      <c r="B316" s="66" t="s">
        <v>3553</v>
      </c>
      <c r="C316" s="66"/>
      <c r="D316" s="62" t="s">
        <v>3552</v>
      </c>
      <c r="E316" s="259"/>
      <c r="F316" s="81"/>
    </row>
    <row r="317" spans="1:8" x14ac:dyDescent="0.25">
      <c r="A317" s="56"/>
      <c r="B317" s="66"/>
      <c r="C317" s="239" t="s">
        <v>3667</v>
      </c>
      <c r="D317" s="62"/>
      <c r="E317" s="259"/>
      <c r="F317" s="81"/>
      <c r="G317" t="s">
        <v>3360</v>
      </c>
    </row>
    <row r="318" spans="1:8" ht="15" customHeight="1" x14ac:dyDescent="0.25">
      <c r="A318" s="56"/>
      <c r="B318" s="256"/>
      <c r="C318" s="257"/>
      <c r="D318" s="258"/>
      <c r="E318" s="259"/>
      <c r="F318" s="81"/>
    </row>
    <row r="319" spans="1:8" x14ac:dyDescent="0.25">
      <c r="A319" s="72" t="s">
        <v>5659</v>
      </c>
      <c r="B319" s="10" t="s">
        <v>3312</v>
      </c>
      <c r="C319" s="1" t="s">
        <v>59</v>
      </c>
      <c r="D319" s="1"/>
      <c r="E319" s="259"/>
      <c r="F319" s="81"/>
    </row>
    <row r="320" spans="1:8" ht="15" customHeight="1" x14ac:dyDescent="0.25">
      <c r="A320" s="10"/>
      <c r="B320" s="10"/>
      <c r="C320" s="1"/>
      <c r="D320" s="1" t="s">
        <v>3744</v>
      </c>
      <c r="E320" s="259"/>
      <c r="F320" s="81"/>
    </row>
    <row r="321" spans="1:7" ht="15" customHeight="1" x14ac:dyDescent="0.25">
      <c r="A321" s="10"/>
      <c r="B321" s="185"/>
      <c r="C321" s="535" t="s">
        <v>5660</v>
      </c>
      <c r="D321" s="1"/>
      <c r="E321" s="259"/>
      <c r="F321" s="81"/>
    </row>
    <row r="322" spans="1:7" x14ac:dyDescent="0.25">
      <c r="A322" s="64"/>
      <c r="B322" s="66"/>
      <c r="C322" s="66"/>
      <c r="D322" s="62"/>
      <c r="E322" s="259"/>
      <c r="F322" s="81"/>
    </row>
    <row r="323" spans="1:7" x14ac:dyDescent="0.25">
      <c r="A323" s="59" t="s">
        <v>3684</v>
      </c>
      <c r="B323" s="66" t="s">
        <v>3553</v>
      </c>
      <c r="C323" s="65" t="s">
        <v>3668</v>
      </c>
      <c r="D323" s="62"/>
      <c r="E323" s="259"/>
      <c r="F323" s="81"/>
    </row>
    <row r="324" spans="1:7" x14ac:dyDescent="0.25">
      <c r="A324" s="61"/>
      <c r="B324" s="66" t="s">
        <v>3553</v>
      </c>
      <c r="C324" s="65" t="s">
        <v>3729</v>
      </c>
      <c r="D324" s="62"/>
      <c r="E324" s="259"/>
      <c r="F324" s="81"/>
    </row>
    <row r="325" spans="1:7" x14ac:dyDescent="0.25">
      <c r="A325" s="61"/>
      <c r="B325" s="66" t="s">
        <v>3553</v>
      </c>
      <c r="C325" s="65" t="s">
        <v>3750</v>
      </c>
      <c r="D325" s="62"/>
      <c r="E325" s="259"/>
      <c r="F325" s="81"/>
    </row>
    <row r="326" spans="1:7" x14ac:dyDescent="0.25">
      <c r="A326" s="61"/>
      <c r="B326" s="66" t="s">
        <v>3553</v>
      </c>
      <c r="C326" s="65" t="s">
        <v>5661</v>
      </c>
      <c r="D326" s="62"/>
      <c r="E326" s="259"/>
      <c r="F326" s="81"/>
    </row>
    <row r="327" spans="1:7" x14ac:dyDescent="0.25">
      <c r="A327" s="64"/>
      <c r="B327" s="66" t="s">
        <v>3312</v>
      </c>
      <c r="C327" s="66"/>
      <c r="D327" s="62" t="s">
        <v>59</v>
      </c>
      <c r="E327" s="259"/>
      <c r="F327" s="81"/>
      <c r="G327" s="269"/>
    </row>
    <row r="328" spans="1:7" ht="24" customHeight="1" x14ac:dyDescent="0.25">
      <c r="A328" s="64"/>
      <c r="B328" s="66"/>
      <c r="C328" s="637" t="s">
        <v>3666</v>
      </c>
      <c r="D328" s="638"/>
      <c r="E328" s="259"/>
      <c r="F328" s="81"/>
    </row>
    <row r="329" spans="1:7" x14ac:dyDescent="0.25">
      <c r="A329" s="64"/>
      <c r="B329" s="66"/>
      <c r="C329" s="274"/>
      <c r="D329" s="275"/>
      <c r="E329" s="259"/>
      <c r="F329" s="81"/>
    </row>
    <row r="330" spans="1:7" x14ac:dyDescent="0.25">
      <c r="A330" s="61" t="s">
        <v>3567</v>
      </c>
      <c r="B330" s="66" t="s">
        <v>3545</v>
      </c>
      <c r="C330" s="65" t="s">
        <v>3544</v>
      </c>
      <c r="D330" s="275"/>
      <c r="E330" s="259"/>
      <c r="F330" s="81"/>
    </row>
    <row r="331" spans="1:7" ht="24" customHeight="1" x14ac:dyDescent="0.25">
      <c r="A331" s="64"/>
      <c r="B331" s="66" t="s">
        <v>3343</v>
      </c>
      <c r="C331" s="274"/>
      <c r="D331" s="346" t="s">
        <v>11</v>
      </c>
      <c r="E331" s="259"/>
      <c r="F331" s="81"/>
    </row>
    <row r="332" spans="1:7" x14ac:dyDescent="0.25">
      <c r="A332" s="64"/>
      <c r="B332" s="66"/>
      <c r="C332" s="239" t="s">
        <v>4137</v>
      </c>
      <c r="D332" s="275"/>
      <c r="E332" s="259"/>
      <c r="F332" s="81"/>
    </row>
    <row r="333" spans="1:7" x14ac:dyDescent="0.25">
      <c r="A333" s="64"/>
      <c r="B333" s="66"/>
      <c r="C333" s="274"/>
      <c r="D333" s="275"/>
      <c r="E333" s="259"/>
      <c r="F333" s="81"/>
    </row>
    <row r="334" spans="1:7" x14ac:dyDescent="0.25">
      <c r="A334" s="64"/>
      <c r="B334" s="66"/>
      <c r="C334" s="65"/>
      <c r="D334" s="275"/>
      <c r="E334" s="259"/>
      <c r="F334" s="81"/>
    </row>
    <row r="335" spans="1:7" x14ac:dyDescent="0.25">
      <c r="A335" s="64"/>
      <c r="B335" s="66"/>
      <c r="C335" s="65"/>
      <c r="D335" s="275"/>
      <c r="E335" s="259"/>
      <c r="F335" s="81"/>
    </row>
    <row r="336" spans="1:7" x14ac:dyDescent="0.25">
      <c r="A336" s="64"/>
      <c r="B336" s="66"/>
      <c r="C336" s="65"/>
      <c r="D336" s="275"/>
      <c r="E336" s="259"/>
      <c r="F336" s="81"/>
    </row>
    <row r="337" spans="1:7" x14ac:dyDescent="0.25">
      <c r="A337" s="64"/>
      <c r="B337" s="66"/>
      <c r="C337" s="65"/>
      <c r="D337" s="275"/>
      <c r="E337" s="259"/>
      <c r="F337" s="81"/>
    </row>
    <row r="338" spans="1:7" x14ac:dyDescent="0.25">
      <c r="A338" s="64"/>
      <c r="B338" s="66"/>
      <c r="C338" s="274"/>
      <c r="D338" s="346"/>
      <c r="E338" s="259"/>
      <c r="F338" s="81"/>
    </row>
    <row r="339" spans="1:7" x14ac:dyDescent="0.25">
      <c r="A339" s="64"/>
      <c r="B339" s="66"/>
      <c r="C339" s="239"/>
      <c r="D339" s="275"/>
      <c r="E339" s="259"/>
      <c r="F339" s="81"/>
    </row>
    <row r="340" spans="1:7" x14ac:dyDescent="0.25">
      <c r="A340" s="64"/>
      <c r="B340" s="66"/>
      <c r="C340" s="239"/>
      <c r="D340" s="275"/>
      <c r="E340" s="259"/>
      <c r="F340" s="81"/>
    </row>
    <row r="341" spans="1:7" x14ac:dyDescent="0.25">
      <c r="A341" s="168" t="s">
        <v>3567</v>
      </c>
      <c r="B341" s="168" t="s">
        <v>5471</v>
      </c>
      <c r="C341" s="43" t="s">
        <v>3314</v>
      </c>
      <c r="D341" s="24"/>
      <c r="E341" s="259"/>
      <c r="F341" s="81"/>
    </row>
    <row r="342" spans="1:7" x14ac:dyDescent="0.25">
      <c r="A342" s="64"/>
      <c r="B342" s="64" t="s">
        <v>5472</v>
      </c>
      <c r="C342" s="43" t="s">
        <v>3315</v>
      </c>
      <c r="D342" s="24"/>
      <c r="E342" s="259"/>
      <c r="F342" s="81"/>
    </row>
    <row r="343" spans="1:7" x14ac:dyDescent="0.25">
      <c r="A343" s="64"/>
      <c r="B343" s="64" t="s">
        <v>5473</v>
      </c>
      <c r="C343" s="43" t="s">
        <v>3316</v>
      </c>
      <c r="D343" s="27"/>
      <c r="E343" s="259"/>
      <c r="F343" s="81"/>
    </row>
    <row r="344" spans="1:7" x14ac:dyDescent="0.25">
      <c r="A344" s="64"/>
      <c r="B344" s="64" t="s">
        <v>5634</v>
      </c>
      <c r="C344" s="43" t="s">
        <v>3317</v>
      </c>
      <c r="D344" s="27"/>
      <c r="E344" s="259"/>
      <c r="F344" s="81"/>
    </row>
    <row r="345" spans="1:7" x14ac:dyDescent="0.25">
      <c r="A345" s="64"/>
      <c r="B345" s="66" t="s">
        <v>3318</v>
      </c>
      <c r="C345" s="37"/>
      <c r="D345" s="44" t="s">
        <v>51</v>
      </c>
      <c r="E345" s="259"/>
      <c r="F345" s="81"/>
    </row>
    <row r="346" spans="1:7" x14ac:dyDescent="0.25">
      <c r="A346" s="64"/>
      <c r="B346" s="66" t="s">
        <v>3319</v>
      </c>
      <c r="C346" s="37"/>
      <c r="D346" s="44" t="s">
        <v>52</v>
      </c>
      <c r="E346" s="259"/>
      <c r="F346" s="81"/>
    </row>
    <row r="347" spans="1:7" x14ac:dyDescent="0.25">
      <c r="A347" s="64"/>
      <c r="B347" s="66" t="s">
        <v>3320</v>
      </c>
      <c r="C347" s="37"/>
      <c r="D347" s="44" t="s">
        <v>53</v>
      </c>
      <c r="E347" s="259"/>
      <c r="F347" s="81"/>
    </row>
    <row r="348" spans="1:7" x14ac:dyDescent="0.25">
      <c r="A348" s="64"/>
      <c r="B348" s="66" t="s">
        <v>3321</v>
      </c>
      <c r="C348" s="37"/>
      <c r="D348" s="44" t="s">
        <v>54</v>
      </c>
      <c r="E348" s="259"/>
      <c r="F348" s="81"/>
    </row>
    <row r="349" spans="1:7" x14ac:dyDescent="0.25">
      <c r="A349" s="64"/>
      <c r="B349" s="66" t="s">
        <v>3326</v>
      </c>
      <c r="C349" s="37"/>
      <c r="D349" s="44" t="s">
        <v>3322</v>
      </c>
      <c r="E349" s="259"/>
      <c r="F349" s="81"/>
    </row>
    <row r="350" spans="1:7" x14ac:dyDescent="0.25">
      <c r="A350" s="64"/>
      <c r="B350" s="66" t="s">
        <v>3327</v>
      </c>
      <c r="C350" s="37"/>
      <c r="D350" s="44" t="s">
        <v>3323</v>
      </c>
      <c r="E350" s="259"/>
      <c r="F350" s="81"/>
      <c r="G350" s="89">
        <f>SUM(F345:F352)</f>
        <v>0</v>
      </c>
    </row>
    <row r="351" spans="1:7" x14ac:dyDescent="0.25">
      <c r="A351" s="64"/>
      <c r="B351" s="66" t="s">
        <v>3328</v>
      </c>
      <c r="C351" s="37"/>
      <c r="D351" s="44" t="s">
        <v>3324</v>
      </c>
      <c r="E351" s="259"/>
      <c r="F351" s="81"/>
    </row>
    <row r="352" spans="1:7" x14ac:dyDescent="0.25">
      <c r="A352" s="64"/>
      <c r="B352" s="66" t="s">
        <v>3329</v>
      </c>
      <c r="C352" s="37"/>
      <c r="D352" s="44" t="s">
        <v>3325</v>
      </c>
      <c r="E352" s="259"/>
      <c r="F352" s="81"/>
    </row>
    <row r="353" spans="1:7" x14ac:dyDescent="0.25">
      <c r="A353" s="64"/>
      <c r="B353" s="66"/>
      <c r="C353" s="37"/>
      <c r="D353" s="44"/>
      <c r="E353" s="259"/>
      <c r="F353" s="81"/>
    </row>
    <row r="354" spans="1:7" x14ac:dyDescent="0.25">
      <c r="A354" s="168" t="str">
        <f>A341</f>
        <v>30 April</v>
      </c>
      <c r="B354" s="198" t="s">
        <v>3333</v>
      </c>
      <c r="C354" s="37" t="s">
        <v>94</v>
      </c>
      <c r="D354" s="44"/>
      <c r="E354" s="259"/>
      <c r="F354" s="81"/>
    </row>
    <row r="355" spans="1:7" x14ac:dyDescent="0.25">
      <c r="A355" s="64"/>
      <c r="B355" s="66" t="s">
        <v>3334</v>
      </c>
      <c r="C355" s="37"/>
      <c r="D355" s="44" t="s">
        <v>95</v>
      </c>
      <c r="E355" s="259"/>
      <c r="F355" s="81"/>
    </row>
    <row r="356" spans="1:7" x14ac:dyDescent="0.25">
      <c r="A356" s="64"/>
      <c r="B356" s="66"/>
      <c r="C356" s="66"/>
      <c r="D356" s="62"/>
      <c r="E356" s="259"/>
      <c r="F356" s="81"/>
      <c r="G356" s="255"/>
    </row>
    <row r="357" spans="1:7" x14ac:dyDescent="0.25">
      <c r="A357" s="168" t="str">
        <f>A354</f>
        <v>30 April</v>
      </c>
      <c r="B357" s="186" t="s">
        <v>3312</v>
      </c>
      <c r="C357" s="37" t="s">
        <v>59</v>
      </c>
      <c r="D357" s="40"/>
      <c r="E357" s="259"/>
      <c r="F357" s="81"/>
    </row>
    <row r="358" spans="1:7" x14ac:dyDescent="0.25">
      <c r="A358" s="10"/>
      <c r="B358" s="185" t="s">
        <v>3339</v>
      </c>
      <c r="C358" s="37" t="s">
        <v>3338</v>
      </c>
      <c r="D358" s="40"/>
      <c r="E358" s="259"/>
      <c r="F358" s="81"/>
    </row>
    <row r="359" spans="1:7" x14ac:dyDescent="0.25">
      <c r="A359" s="10"/>
      <c r="B359" s="185" t="s">
        <v>3341</v>
      </c>
      <c r="C359" s="37"/>
      <c r="D359" s="40" t="s">
        <v>3340</v>
      </c>
      <c r="E359" s="259"/>
      <c r="F359" s="81"/>
    </row>
    <row r="360" spans="1:7" x14ac:dyDescent="0.25">
      <c r="A360" s="10"/>
      <c r="B360" s="185"/>
      <c r="C360" s="37"/>
      <c r="D360" s="40"/>
      <c r="E360" s="259"/>
      <c r="F360" s="81"/>
    </row>
    <row r="361" spans="1:7" x14ac:dyDescent="0.25">
      <c r="A361" s="69" t="str">
        <f>A357</f>
        <v>30 April</v>
      </c>
      <c r="B361" s="186" t="s">
        <v>3312</v>
      </c>
      <c r="C361" s="37" t="s">
        <v>59</v>
      </c>
      <c r="D361" s="40"/>
      <c r="E361" s="259"/>
      <c r="F361" s="81"/>
    </row>
    <row r="362" spans="1:7" x14ac:dyDescent="0.25">
      <c r="A362" s="10"/>
      <c r="B362" s="185" t="s">
        <v>3339</v>
      </c>
      <c r="C362" s="37" t="s">
        <v>80</v>
      </c>
      <c r="D362" s="40"/>
      <c r="E362" s="259"/>
      <c r="F362" s="81"/>
    </row>
    <row r="363" spans="1:7" x14ac:dyDescent="0.25">
      <c r="A363" s="10"/>
      <c r="B363" s="185" t="s">
        <v>3341</v>
      </c>
      <c r="C363" s="37"/>
      <c r="D363" s="40" t="s">
        <v>81</v>
      </c>
      <c r="E363" s="82"/>
      <c r="F363" s="81"/>
    </row>
    <row r="364" spans="1:7" x14ac:dyDescent="0.25">
      <c r="A364" s="10"/>
      <c r="B364" s="19"/>
      <c r="C364" s="17"/>
      <c r="D364" s="40"/>
      <c r="E364" s="82"/>
      <c r="F364" s="104"/>
    </row>
    <row r="365" spans="1:7" ht="15.75" thickBot="1" x14ac:dyDescent="0.3">
      <c r="A365" s="640"/>
      <c r="B365" s="641"/>
      <c r="C365" s="641"/>
      <c r="D365" s="642"/>
      <c r="E365" s="105">
        <f>SUM(E312:E363)</f>
        <v>0</v>
      </c>
      <c r="F365" s="106">
        <f>SUM(F312:F363)</f>
        <v>0</v>
      </c>
    </row>
    <row r="366" spans="1:7" x14ac:dyDescent="0.25">
      <c r="A366" s="96"/>
      <c r="B366" s="96"/>
      <c r="C366" s="96"/>
      <c r="D366" s="96"/>
      <c r="E366" s="97"/>
      <c r="F366" s="97"/>
    </row>
    <row r="367" spans="1:7" x14ac:dyDescent="0.25">
      <c r="A367" s="96"/>
      <c r="B367" s="96"/>
      <c r="C367" s="96"/>
      <c r="D367" s="96"/>
      <c r="E367" s="97"/>
      <c r="F367" s="97"/>
    </row>
    <row r="368" spans="1:7" x14ac:dyDescent="0.25">
      <c r="A368" s="96"/>
      <c r="B368" s="96"/>
      <c r="C368" s="96"/>
      <c r="D368" s="96"/>
      <c r="E368" s="97"/>
      <c r="F368" s="97"/>
    </row>
    <row r="369" spans="1:6" x14ac:dyDescent="0.25">
      <c r="A369" s="96"/>
      <c r="B369" s="96"/>
      <c r="C369" s="96"/>
      <c r="D369" s="96"/>
      <c r="E369" s="97"/>
      <c r="F369" s="97"/>
    </row>
    <row r="370" spans="1:6" x14ac:dyDescent="0.25">
      <c r="A370" s="50" t="s">
        <v>0</v>
      </c>
      <c r="B370" s="50"/>
      <c r="C370" s="50"/>
      <c r="D370" s="9"/>
      <c r="E370" s="84"/>
      <c r="F370" s="75"/>
    </row>
    <row r="371" spans="1:6" x14ac:dyDescent="0.25">
      <c r="A371" s="50" t="s">
        <v>1</v>
      </c>
      <c r="B371" s="50"/>
      <c r="C371" s="50"/>
      <c r="D371" s="9"/>
      <c r="E371" s="84"/>
      <c r="F371" s="75"/>
    </row>
    <row r="372" spans="1:6" x14ac:dyDescent="0.25">
      <c r="A372" s="50" t="s">
        <v>16</v>
      </c>
      <c r="B372" s="50"/>
      <c r="C372" s="50"/>
      <c r="D372" s="9"/>
      <c r="E372" s="84"/>
      <c r="F372" s="75"/>
    </row>
    <row r="373" spans="1:6" x14ac:dyDescent="0.25">
      <c r="A373" s="643"/>
      <c r="B373" s="643"/>
      <c r="C373" s="643"/>
      <c r="D373" s="643"/>
      <c r="E373" s="643"/>
      <c r="F373" s="643"/>
    </row>
    <row r="374" spans="1:6" x14ac:dyDescent="0.25">
      <c r="A374" s="643" t="s">
        <v>3361</v>
      </c>
      <c r="B374" s="643"/>
      <c r="C374" s="643"/>
      <c r="D374" s="643"/>
      <c r="E374" s="643"/>
      <c r="F374" s="643"/>
    </row>
    <row r="375" spans="1:6" x14ac:dyDescent="0.25">
      <c r="A375" s="643" t="s">
        <v>3795</v>
      </c>
      <c r="B375" s="643"/>
      <c r="C375" s="643"/>
      <c r="D375" s="643"/>
      <c r="E375" s="643"/>
      <c r="F375" s="643"/>
    </row>
    <row r="376" spans="1:6" ht="15.75" thickBot="1" x14ac:dyDescent="0.3">
      <c r="A376" s="1"/>
      <c r="B376" s="1"/>
      <c r="C376" s="1"/>
      <c r="D376" s="1"/>
      <c r="E376" s="85"/>
      <c r="F376" s="76"/>
    </row>
    <row r="377" spans="1:6" x14ac:dyDescent="0.25">
      <c r="A377" s="53" t="s">
        <v>12</v>
      </c>
      <c r="B377" s="193" t="s">
        <v>3285</v>
      </c>
      <c r="C377" s="639" t="s">
        <v>3282</v>
      </c>
      <c r="D377" s="639"/>
      <c r="E377" s="199" t="s">
        <v>90</v>
      </c>
      <c r="F377" s="200" t="s">
        <v>10</v>
      </c>
    </row>
    <row r="378" spans="1:6" x14ac:dyDescent="0.25">
      <c r="A378" s="231" t="s">
        <v>3685</v>
      </c>
      <c r="B378" s="66" t="s">
        <v>3553</v>
      </c>
      <c r="C378" s="65" t="s">
        <v>59</v>
      </c>
      <c r="D378" s="62"/>
      <c r="E378" s="88"/>
      <c r="F378" s="78"/>
    </row>
    <row r="379" spans="1:6" x14ac:dyDescent="0.25">
      <c r="A379" s="56"/>
      <c r="B379" s="66"/>
      <c r="C379" s="66"/>
      <c r="D379" s="62" t="s">
        <v>3552</v>
      </c>
      <c r="E379" s="88"/>
      <c r="F379" s="78"/>
    </row>
    <row r="380" spans="1:6" x14ac:dyDescent="0.25">
      <c r="A380" s="56"/>
      <c r="B380" s="66"/>
      <c r="C380" s="239" t="s">
        <v>3667</v>
      </c>
      <c r="D380" s="62"/>
      <c r="E380" s="88"/>
      <c r="F380" s="78"/>
    </row>
    <row r="381" spans="1:6" x14ac:dyDescent="0.25">
      <c r="A381" s="56"/>
      <c r="B381" s="256"/>
      <c r="C381" s="257"/>
      <c r="D381" s="258"/>
      <c r="E381" s="88"/>
      <c r="F381" s="80"/>
    </row>
    <row r="382" spans="1:6" x14ac:dyDescent="0.25">
      <c r="A382" s="231" t="s">
        <v>4269</v>
      </c>
      <c r="B382" s="66" t="s">
        <v>3312</v>
      </c>
      <c r="C382" s="65" t="s">
        <v>59</v>
      </c>
      <c r="D382" s="62"/>
      <c r="E382" s="88"/>
      <c r="F382" s="79"/>
    </row>
    <row r="383" spans="1:6" x14ac:dyDescent="0.25">
      <c r="A383" s="56"/>
      <c r="B383" s="66" t="s">
        <v>4271</v>
      </c>
      <c r="C383" s="66"/>
      <c r="D383" s="62" t="s">
        <v>4270</v>
      </c>
      <c r="E383" s="88"/>
      <c r="F383" s="79"/>
    </row>
    <row r="384" spans="1:6" x14ac:dyDescent="0.25">
      <c r="A384" s="56"/>
      <c r="B384" s="256"/>
      <c r="C384" s="239" t="s">
        <v>4272</v>
      </c>
      <c r="D384" s="258"/>
      <c r="E384" s="88"/>
      <c r="F384" s="80"/>
    </row>
    <row r="385" spans="1:6" x14ac:dyDescent="0.25">
      <c r="A385" s="56"/>
      <c r="B385" s="256"/>
      <c r="C385" s="257"/>
      <c r="D385" s="258"/>
      <c r="E385" s="88"/>
      <c r="F385" s="80"/>
    </row>
    <row r="386" spans="1:6" x14ac:dyDescent="0.25">
      <c r="A386" s="61" t="s">
        <v>3785</v>
      </c>
      <c r="B386" s="66" t="s">
        <v>3312</v>
      </c>
      <c r="C386" s="65" t="s">
        <v>59</v>
      </c>
      <c r="D386" s="62"/>
      <c r="E386" s="88"/>
      <c r="F386" s="78"/>
    </row>
    <row r="387" spans="1:6" x14ac:dyDescent="0.25">
      <c r="A387" s="64"/>
      <c r="B387" s="66" t="s">
        <v>3550</v>
      </c>
      <c r="C387" s="66"/>
      <c r="D387" s="62" t="s">
        <v>3551</v>
      </c>
      <c r="E387" s="88"/>
      <c r="F387" s="78"/>
    </row>
    <row r="388" spans="1:6" x14ac:dyDescent="0.25">
      <c r="A388" s="64"/>
      <c r="B388" s="66"/>
      <c r="C388" s="66"/>
      <c r="D388" s="62"/>
      <c r="E388" s="88"/>
      <c r="F388" s="78"/>
    </row>
    <row r="389" spans="1:6" x14ac:dyDescent="0.25">
      <c r="A389" s="61" t="s">
        <v>4162</v>
      </c>
      <c r="B389" s="66" t="s">
        <v>3343</v>
      </c>
      <c r="C389" s="65" t="s">
        <v>4273</v>
      </c>
      <c r="D389" s="62"/>
      <c r="E389" s="88"/>
      <c r="F389" s="78"/>
    </row>
    <row r="390" spans="1:6" x14ac:dyDescent="0.25">
      <c r="A390" s="64"/>
      <c r="B390" s="66" t="s">
        <v>3353</v>
      </c>
      <c r="C390" s="66"/>
      <c r="D390" s="62" t="s">
        <v>61</v>
      </c>
      <c r="E390" s="88"/>
      <c r="F390" s="78"/>
    </row>
    <row r="391" spans="1:6" x14ac:dyDescent="0.25">
      <c r="A391" s="64"/>
      <c r="B391" s="66"/>
      <c r="C391" s="239" t="s">
        <v>4274</v>
      </c>
      <c r="D391" s="62"/>
      <c r="E391" s="88"/>
      <c r="F391" s="78"/>
    </row>
    <row r="392" spans="1:6" x14ac:dyDescent="0.25">
      <c r="A392" s="64"/>
      <c r="B392" s="66"/>
      <c r="C392" s="66"/>
      <c r="D392" s="62"/>
      <c r="E392" s="88"/>
      <c r="F392" s="78"/>
    </row>
    <row r="393" spans="1:6" x14ac:dyDescent="0.25">
      <c r="A393" s="61" t="s">
        <v>4162</v>
      </c>
      <c r="B393" s="185" t="s">
        <v>3339</v>
      </c>
      <c r="C393" s="37" t="s">
        <v>80</v>
      </c>
      <c r="D393" s="62"/>
      <c r="E393" s="88"/>
      <c r="F393" s="78"/>
    </row>
    <row r="394" spans="1:6" x14ac:dyDescent="0.25">
      <c r="A394" s="64"/>
      <c r="B394" s="66" t="s">
        <v>3312</v>
      </c>
      <c r="C394" s="66"/>
      <c r="D394" s="62" t="s">
        <v>59</v>
      </c>
      <c r="E394" s="88"/>
      <c r="F394" s="78"/>
    </row>
    <row r="395" spans="1:6" x14ac:dyDescent="0.25">
      <c r="A395" s="64"/>
      <c r="B395" s="66"/>
      <c r="C395" s="239" t="s">
        <v>4037</v>
      </c>
      <c r="D395" s="62"/>
      <c r="E395" s="88"/>
      <c r="F395" s="78"/>
    </row>
    <row r="396" spans="1:6" x14ac:dyDescent="0.25">
      <c r="A396" s="64"/>
      <c r="B396" s="66"/>
      <c r="C396" s="66"/>
      <c r="D396" s="62"/>
      <c r="E396" s="88"/>
      <c r="F396" s="78"/>
    </row>
    <row r="397" spans="1:6" x14ac:dyDescent="0.25">
      <c r="A397" s="61" t="s">
        <v>3570</v>
      </c>
      <c r="B397" s="66" t="s">
        <v>3553</v>
      </c>
      <c r="C397" s="65" t="s">
        <v>3668</v>
      </c>
      <c r="D397" s="62"/>
      <c r="E397" s="88"/>
      <c r="F397" s="78"/>
    </row>
    <row r="398" spans="1:6" x14ac:dyDescent="0.25">
      <c r="A398" s="64"/>
      <c r="B398" s="66" t="s">
        <v>3553</v>
      </c>
      <c r="C398" s="65" t="s">
        <v>3729</v>
      </c>
      <c r="D398" s="62"/>
      <c r="E398" s="88"/>
      <c r="F398" s="78"/>
    </row>
    <row r="399" spans="1:6" x14ac:dyDescent="0.25">
      <c r="A399" s="64"/>
      <c r="B399" s="66" t="s">
        <v>3553</v>
      </c>
      <c r="C399" s="65" t="s">
        <v>3750</v>
      </c>
      <c r="D399" s="62"/>
      <c r="E399" s="88"/>
      <c r="F399" s="78"/>
    </row>
    <row r="400" spans="1:6" ht="15" customHeight="1" x14ac:dyDescent="0.25">
      <c r="A400" s="64"/>
      <c r="B400" s="66" t="s">
        <v>3312</v>
      </c>
      <c r="C400" s="66"/>
      <c r="D400" s="62" t="s">
        <v>59</v>
      </c>
      <c r="E400" s="88"/>
      <c r="F400" s="78"/>
    </row>
    <row r="401" spans="1:7" ht="15" customHeight="1" x14ac:dyDescent="0.25">
      <c r="A401" s="64"/>
      <c r="B401" s="66"/>
      <c r="C401" s="637" t="s">
        <v>3666</v>
      </c>
      <c r="D401" s="638"/>
      <c r="E401" s="88"/>
      <c r="F401" s="78"/>
    </row>
    <row r="402" spans="1:7" ht="15" customHeight="1" x14ac:dyDescent="0.25">
      <c r="A402" s="64"/>
      <c r="B402" s="66"/>
      <c r="C402" s="239"/>
      <c r="D402" s="62"/>
      <c r="E402" s="88"/>
      <c r="F402" s="78"/>
    </row>
    <row r="403" spans="1:7" ht="15" customHeight="1" x14ac:dyDescent="0.25">
      <c r="A403" s="168" t="s">
        <v>3570</v>
      </c>
      <c r="B403" s="168" t="s">
        <v>3331</v>
      </c>
      <c r="C403" s="43" t="s">
        <v>3314</v>
      </c>
      <c r="D403" s="24"/>
      <c r="E403" s="88"/>
      <c r="F403" s="78"/>
    </row>
    <row r="404" spans="1:7" ht="26.25" customHeight="1" x14ac:dyDescent="0.25">
      <c r="A404" s="64"/>
      <c r="B404" s="64" t="s">
        <v>3330</v>
      </c>
      <c r="C404" s="43" t="s">
        <v>3315</v>
      </c>
      <c r="D404" s="24"/>
      <c r="E404" s="88"/>
      <c r="F404" s="81"/>
    </row>
    <row r="405" spans="1:7" ht="15" customHeight="1" x14ac:dyDescent="0.25">
      <c r="A405" s="64"/>
      <c r="B405" s="64" t="s">
        <v>3332</v>
      </c>
      <c r="C405" s="43" t="s">
        <v>3316</v>
      </c>
      <c r="D405" s="27"/>
      <c r="E405" s="88"/>
      <c r="F405" s="81"/>
    </row>
    <row r="406" spans="1:7" x14ac:dyDescent="0.25">
      <c r="A406" s="64"/>
      <c r="B406" s="64" t="s">
        <v>3333</v>
      </c>
      <c r="C406" s="43" t="s">
        <v>3317</v>
      </c>
      <c r="D406" s="27"/>
      <c r="E406" s="88"/>
      <c r="F406" s="81"/>
      <c r="G406" s="269"/>
    </row>
    <row r="407" spans="1:7" x14ac:dyDescent="0.25">
      <c r="A407" s="64"/>
      <c r="B407" s="66" t="s">
        <v>3318</v>
      </c>
      <c r="C407" s="37"/>
      <c r="D407" s="44" t="s">
        <v>51</v>
      </c>
      <c r="E407" s="88"/>
      <c r="F407" s="81"/>
    </row>
    <row r="408" spans="1:7" x14ac:dyDescent="0.25">
      <c r="A408" s="64"/>
      <c r="B408" s="66" t="s">
        <v>3319</v>
      </c>
      <c r="C408" s="37"/>
      <c r="D408" s="44" t="s">
        <v>52</v>
      </c>
      <c r="E408" s="88"/>
      <c r="F408" s="81"/>
    </row>
    <row r="409" spans="1:7" x14ac:dyDescent="0.25">
      <c r="A409" s="64"/>
      <c r="B409" s="66" t="s">
        <v>3320</v>
      </c>
      <c r="C409" s="37"/>
      <c r="D409" s="44" t="s">
        <v>53</v>
      </c>
      <c r="E409" s="88"/>
      <c r="F409" s="81"/>
    </row>
    <row r="410" spans="1:7" x14ac:dyDescent="0.25">
      <c r="A410" s="64"/>
      <c r="B410" s="66" t="s">
        <v>3321</v>
      </c>
      <c r="C410" s="37"/>
      <c r="D410" s="44" t="s">
        <v>54</v>
      </c>
      <c r="E410" s="88"/>
      <c r="F410" s="81"/>
    </row>
    <row r="411" spans="1:7" x14ac:dyDescent="0.25">
      <c r="A411" s="64"/>
      <c r="B411" s="66" t="s">
        <v>3326</v>
      </c>
      <c r="C411" s="37"/>
      <c r="D411" s="44" t="s">
        <v>3322</v>
      </c>
      <c r="E411" s="88"/>
      <c r="F411" s="81"/>
    </row>
    <row r="412" spans="1:7" x14ac:dyDescent="0.25">
      <c r="A412" s="64"/>
      <c r="B412" s="66" t="s">
        <v>3327</v>
      </c>
      <c r="C412" s="37"/>
      <c r="D412" s="44" t="s">
        <v>3323</v>
      </c>
      <c r="E412" s="88"/>
      <c r="F412" s="81"/>
    </row>
    <row r="413" spans="1:7" x14ac:dyDescent="0.25">
      <c r="A413" s="64"/>
      <c r="B413" s="66" t="s">
        <v>3328</v>
      </c>
      <c r="C413" s="37"/>
      <c r="D413" s="44" t="s">
        <v>3324</v>
      </c>
      <c r="E413" s="88"/>
      <c r="F413" s="81"/>
    </row>
    <row r="414" spans="1:7" x14ac:dyDescent="0.25">
      <c r="A414" s="64"/>
      <c r="B414" s="66" t="s">
        <v>3329</v>
      </c>
      <c r="C414" s="37"/>
      <c r="D414" s="44" t="s">
        <v>3325</v>
      </c>
      <c r="E414" s="88"/>
      <c r="F414" s="81"/>
    </row>
    <row r="415" spans="1:7" x14ac:dyDescent="0.25">
      <c r="A415" s="64"/>
      <c r="B415" s="66"/>
      <c r="C415" s="37"/>
      <c r="D415" s="44"/>
      <c r="E415" s="88"/>
      <c r="F415" s="81"/>
    </row>
    <row r="416" spans="1:7" x14ac:dyDescent="0.25">
      <c r="A416" s="168" t="str">
        <f>A403</f>
        <v>31 Mei</v>
      </c>
      <c r="B416" s="198" t="s">
        <v>3333</v>
      </c>
      <c r="C416" s="37" t="s">
        <v>94</v>
      </c>
      <c r="D416" s="44"/>
      <c r="E416" s="88"/>
      <c r="F416" s="81"/>
    </row>
    <row r="417" spans="1:6" x14ac:dyDescent="0.25">
      <c r="A417" s="64"/>
      <c r="B417" s="66" t="s">
        <v>3334</v>
      </c>
      <c r="C417" s="37"/>
      <c r="D417" s="44" t="s">
        <v>95</v>
      </c>
      <c r="E417" s="88"/>
      <c r="F417" s="81"/>
    </row>
    <row r="418" spans="1:6" x14ac:dyDescent="0.25">
      <c r="A418" s="64"/>
      <c r="B418" s="66"/>
      <c r="C418" s="66"/>
      <c r="D418" s="62"/>
      <c r="E418" s="88"/>
      <c r="F418" s="81"/>
    </row>
    <row r="419" spans="1:6" x14ac:dyDescent="0.25">
      <c r="A419" s="168" t="str">
        <f>A416</f>
        <v>31 Mei</v>
      </c>
      <c r="B419" s="186" t="s">
        <v>3312</v>
      </c>
      <c r="C419" s="37" t="s">
        <v>59</v>
      </c>
      <c r="D419" s="40"/>
      <c r="E419" s="88"/>
      <c r="F419" s="81"/>
    </row>
    <row r="420" spans="1:6" x14ac:dyDescent="0.25">
      <c r="A420" s="10"/>
      <c r="B420" s="185" t="s">
        <v>3339</v>
      </c>
      <c r="C420" s="37" t="s">
        <v>3338</v>
      </c>
      <c r="D420" s="40"/>
      <c r="E420" s="88"/>
      <c r="F420" s="81"/>
    </row>
    <row r="421" spans="1:6" x14ac:dyDescent="0.25">
      <c r="A421" s="10"/>
      <c r="B421" s="185" t="s">
        <v>3341</v>
      </c>
      <c r="C421" s="37"/>
      <c r="D421" s="40" t="s">
        <v>3340</v>
      </c>
      <c r="E421" s="88"/>
      <c r="F421" s="81"/>
    </row>
    <row r="422" spans="1:6" x14ac:dyDescent="0.25">
      <c r="A422" s="10"/>
      <c r="B422" s="185"/>
      <c r="C422" s="37"/>
      <c r="D422" s="40"/>
      <c r="E422" s="88"/>
      <c r="F422" s="81"/>
    </row>
    <row r="423" spans="1:6" x14ac:dyDescent="0.25">
      <c r="A423" s="69" t="str">
        <f>A419</f>
        <v>31 Mei</v>
      </c>
      <c r="B423" s="186" t="s">
        <v>3312</v>
      </c>
      <c r="C423" s="37" t="s">
        <v>59</v>
      </c>
      <c r="D423" s="40"/>
      <c r="E423" s="88"/>
      <c r="F423" s="81"/>
    </row>
    <row r="424" spans="1:6" x14ac:dyDescent="0.25">
      <c r="A424" s="10"/>
      <c r="B424" s="185" t="s">
        <v>3339</v>
      </c>
      <c r="C424" s="37" t="s">
        <v>80</v>
      </c>
      <c r="D424" s="40"/>
      <c r="E424" s="88"/>
      <c r="F424" s="81"/>
    </row>
    <row r="425" spans="1:6" x14ac:dyDescent="0.25">
      <c r="A425" s="10"/>
      <c r="B425" s="185" t="s">
        <v>3341</v>
      </c>
      <c r="C425" s="37"/>
      <c r="D425" s="40" t="s">
        <v>81</v>
      </c>
      <c r="E425" s="82"/>
      <c r="F425" s="81"/>
    </row>
    <row r="426" spans="1:6" x14ac:dyDescent="0.25">
      <c r="A426" s="10"/>
      <c r="B426" s="19"/>
      <c r="C426" s="17"/>
      <c r="D426" s="40"/>
      <c r="E426" s="82"/>
      <c r="F426" s="104"/>
    </row>
    <row r="427" spans="1:6" ht="15.75" thickBot="1" x14ac:dyDescent="0.3">
      <c r="A427" s="640"/>
      <c r="B427" s="641"/>
      <c r="C427" s="641"/>
      <c r="D427" s="642"/>
      <c r="E427" s="105">
        <f>SUM(E378:E425)</f>
        <v>0</v>
      </c>
      <c r="F427" s="106">
        <f>SUM(F378:F425)</f>
        <v>0</v>
      </c>
    </row>
    <row r="428" spans="1:6" x14ac:dyDescent="0.25">
      <c r="A428" s="96"/>
      <c r="B428" s="96"/>
      <c r="C428" s="96"/>
      <c r="D428" s="96"/>
      <c r="E428" s="97"/>
      <c r="F428" s="97"/>
    </row>
    <row r="429" spans="1:6" x14ac:dyDescent="0.25">
      <c r="A429" s="96"/>
      <c r="B429" s="96"/>
      <c r="C429" s="96"/>
      <c r="D429" s="96"/>
      <c r="E429" s="97"/>
      <c r="F429" s="97"/>
    </row>
    <row r="430" spans="1:6" x14ac:dyDescent="0.25">
      <c r="A430" s="96"/>
      <c r="B430" s="96"/>
      <c r="C430" s="96"/>
      <c r="D430" s="96"/>
      <c r="E430" s="97"/>
      <c r="F430" s="97"/>
    </row>
    <row r="453" spans="1:6" x14ac:dyDescent="0.25">
      <c r="A453" s="50" t="s">
        <v>0</v>
      </c>
      <c r="B453" s="50"/>
      <c r="C453" s="50"/>
      <c r="D453" s="9"/>
      <c r="E453" s="84"/>
      <c r="F453" s="75"/>
    </row>
    <row r="454" spans="1:6" x14ac:dyDescent="0.25">
      <c r="A454" s="50" t="s">
        <v>1</v>
      </c>
      <c r="B454" s="50"/>
      <c r="C454" s="50"/>
      <c r="D454" s="9"/>
      <c r="E454" s="84"/>
      <c r="F454" s="75"/>
    </row>
    <row r="455" spans="1:6" x14ac:dyDescent="0.25">
      <c r="A455" s="50" t="s">
        <v>16</v>
      </c>
      <c r="B455" s="50"/>
      <c r="C455" s="50"/>
      <c r="D455" s="9"/>
      <c r="E455" s="84"/>
      <c r="F455" s="75"/>
    </row>
    <row r="456" spans="1:6" x14ac:dyDescent="0.25">
      <c r="A456" s="643"/>
      <c r="B456" s="643"/>
      <c r="C456" s="643"/>
      <c r="D456" s="643"/>
      <c r="E456" s="643"/>
      <c r="F456" s="643"/>
    </row>
    <row r="457" spans="1:6" x14ac:dyDescent="0.25">
      <c r="A457" s="643" t="s">
        <v>3361</v>
      </c>
      <c r="B457" s="643"/>
      <c r="C457" s="643"/>
      <c r="D457" s="643"/>
      <c r="E457" s="643"/>
      <c r="F457" s="643"/>
    </row>
    <row r="458" spans="1:6" x14ac:dyDescent="0.25">
      <c r="A458" s="643" t="s">
        <v>3798</v>
      </c>
      <c r="B458" s="643"/>
      <c r="C458" s="643"/>
      <c r="D458" s="643"/>
      <c r="E458" s="643"/>
      <c r="F458" s="643"/>
    </row>
    <row r="459" spans="1:6" ht="15.75" thickBot="1" x14ac:dyDescent="0.3">
      <c r="A459" s="1"/>
      <c r="B459" s="1"/>
      <c r="C459" s="1"/>
      <c r="D459" s="1"/>
      <c r="E459" s="85"/>
      <c r="F459" s="76"/>
    </row>
    <row r="460" spans="1:6" x14ac:dyDescent="0.25">
      <c r="A460" s="53" t="s">
        <v>12</v>
      </c>
      <c r="B460" s="193" t="s">
        <v>3285</v>
      </c>
      <c r="C460" s="639" t="s">
        <v>3282</v>
      </c>
      <c r="D460" s="639"/>
      <c r="E460" s="199" t="s">
        <v>90</v>
      </c>
      <c r="F460" s="200" t="s">
        <v>10</v>
      </c>
    </row>
    <row r="461" spans="1:6" x14ac:dyDescent="0.25">
      <c r="A461" s="231" t="s">
        <v>3687</v>
      </c>
      <c r="B461" s="66" t="s">
        <v>3553</v>
      </c>
      <c r="C461" s="65" t="s">
        <v>59</v>
      </c>
      <c r="D461" s="62"/>
      <c r="E461" s="88"/>
      <c r="F461" s="78"/>
    </row>
    <row r="462" spans="1:6" x14ac:dyDescent="0.25">
      <c r="A462" s="56"/>
      <c r="B462" s="66"/>
      <c r="C462" s="66"/>
      <c r="D462" s="62" t="s">
        <v>3552</v>
      </c>
      <c r="E462" s="88"/>
      <c r="F462" s="78"/>
    </row>
    <row r="463" spans="1:6" ht="15" customHeight="1" x14ac:dyDescent="0.25">
      <c r="A463" s="56"/>
      <c r="B463" s="66"/>
      <c r="C463" s="239" t="s">
        <v>3667</v>
      </c>
      <c r="D463" s="62"/>
      <c r="E463" s="88"/>
      <c r="F463" s="78"/>
    </row>
    <row r="464" spans="1:6" x14ac:dyDescent="0.25">
      <c r="A464" s="56"/>
      <c r="B464" s="256"/>
      <c r="C464" s="257"/>
      <c r="D464" s="258"/>
      <c r="E464" s="259"/>
      <c r="F464" s="80"/>
    </row>
    <row r="465" spans="1:7" x14ac:dyDescent="0.25">
      <c r="A465" s="231" t="s">
        <v>4343</v>
      </c>
      <c r="B465" s="185" t="s">
        <v>3339</v>
      </c>
      <c r="C465" s="65" t="s">
        <v>3751</v>
      </c>
      <c r="D465" s="62"/>
      <c r="E465" s="315"/>
      <c r="F465" s="80"/>
    </row>
    <row r="466" spans="1:7" x14ac:dyDescent="0.25">
      <c r="A466" s="56"/>
      <c r="B466" s="66" t="s">
        <v>3312</v>
      </c>
      <c r="C466" s="66"/>
      <c r="D466" s="62" t="s">
        <v>59</v>
      </c>
      <c r="E466" s="259"/>
      <c r="F466" s="79"/>
    </row>
    <row r="467" spans="1:7" ht="17.25" customHeight="1" x14ac:dyDescent="0.25">
      <c r="A467" s="56"/>
      <c r="B467" s="66"/>
      <c r="C467" s="637" t="s">
        <v>4414</v>
      </c>
      <c r="D467" s="638"/>
      <c r="E467" s="259"/>
      <c r="F467" s="80"/>
    </row>
    <row r="468" spans="1:7" ht="17.25" customHeight="1" x14ac:dyDescent="0.25">
      <c r="A468" s="56"/>
      <c r="B468" s="256"/>
      <c r="C468" s="257"/>
      <c r="D468" s="258"/>
      <c r="E468" s="259"/>
      <c r="F468" s="80"/>
    </row>
    <row r="469" spans="1:7" ht="17.25" customHeight="1" x14ac:dyDescent="0.25">
      <c r="A469" s="231" t="s">
        <v>4416</v>
      </c>
      <c r="B469" s="66" t="s">
        <v>3739</v>
      </c>
      <c r="C469" s="65" t="s">
        <v>11</v>
      </c>
      <c r="D469" s="275"/>
      <c r="E469" s="88"/>
      <c r="F469" s="78"/>
    </row>
    <row r="470" spans="1:7" ht="17.25" customHeight="1" x14ac:dyDescent="0.25">
      <c r="A470" s="56"/>
      <c r="B470" s="66" t="s">
        <v>3545</v>
      </c>
      <c r="C470" s="274"/>
      <c r="D470" s="346" t="s">
        <v>4415</v>
      </c>
      <c r="E470" s="88"/>
      <c r="F470" s="78"/>
    </row>
    <row r="471" spans="1:7" ht="17.25" customHeight="1" x14ac:dyDescent="0.25">
      <c r="A471" s="56"/>
      <c r="B471" s="66"/>
      <c r="C471" s="239" t="s">
        <v>4417</v>
      </c>
      <c r="D471" s="275"/>
      <c r="E471" s="88"/>
      <c r="F471" s="78"/>
      <c r="G471" s="89"/>
    </row>
    <row r="472" spans="1:7" ht="17.25" customHeight="1" x14ac:dyDescent="0.25">
      <c r="A472" s="56"/>
      <c r="B472" s="256"/>
      <c r="C472" s="257"/>
      <c r="D472" s="258"/>
      <c r="E472" s="259"/>
      <c r="F472" s="80"/>
      <c r="G472" s="89"/>
    </row>
    <row r="473" spans="1:7" ht="17.25" customHeight="1" x14ac:dyDescent="0.25">
      <c r="A473" s="61" t="s">
        <v>3789</v>
      </c>
      <c r="B473" s="66" t="s">
        <v>3312</v>
      </c>
      <c r="C473" s="65" t="s">
        <v>59</v>
      </c>
      <c r="D473" s="62"/>
      <c r="E473" s="88"/>
      <c r="F473" s="78"/>
      <c r="G473" s="89"/>
    </row>
    <row r="474" spans="1:7" ht="17.25" customHeight="1" x14ac:dyDescent="0.25">
      <c r="A474" s="64"/>
      <c r="B474" s="66" t="s">
        <v>3550</v>
      </c>
      <c r="C474" s="66"/>
      <c r="D474" s="62" t="s">
        <v>3551</v>
      </c>
      <c r="E474" s="88"/>
      <c r="F474" s="78"/>
      <c r="G474" s="89"/>
    </row>
    <row r="475" spans="1:7" ht="17.25" customHeight="1" x14ac:dyDescent="0.25">
      <c r="A475" s="64"/>
      <c r="B475" s="66"/>
      <c r="C475" s="66"/>
      <c r="D475" s="62"/>
      <c r="E475" s="88"/>
      <c r="F475" s="78"/>
      <c r="G475" s="89"/>
    </row>
    <row r="476" spans="1:7" x14ac:dyDescent="0.25">
      <c r="A476" s="61" t="s">
        <v>4362</v>
      </c>
      <c r="B476" s="185" t="s">
        <v>3339</v>
      </c>
      <c r="C476" s="37" t="s">
        <v>80</v>
      </c>
      <c r="D476" s="62"/>
      <c r="E476" s="88"/>
      <c r="F476" s="78"/>
    </row>
    <row r="477" spans="1:7" x14ac:dyDescent="0.25">
      <c r="A477" s="64"/>
      <c r="B477" s="66" t="s">
        <v>3312</v>
      </c>
      <c r="C477" s="66"/>
      <c r="D477" s="62" t="s">
        <v>59</v>
      </c>
      <c r="E477" s="88"/>
      <c r="F477" s="78"/>
    </row>
    <row r="478" spans="1:7" x14ac:dyDescent="0.25">
      <c r="A478" s="64"/>
      <c r="B478" s="66"/>
      <c r="C478" s="239" t="s">
        <v>4037</v>
      </c>
      <c r="D478" s="62"/>
      <c r="E478" s="88"/>
      <c r="F478" s="78"/>
    </row>
    <row r="479" spans="1:7" x14ac:dyDescent="0.25">
      <c r="A479" s="64"/>
      <c r="B479" s="66"/>
      <c r="C479" s="66"/>
      <c r="D479" s="62"/>
      <c r="E479" s="88"/>
      <c r="F479" s="78"/>
    </row>
    <row r="480" spans="1:7" x14ac:dyDescent="0.25">
      <c r="A480" s="61" t="s">
        <v>4339</v>
      </c>
      <c r="B480" s="66" t="s">
        <v>3312</v>
      </c>
      <c r="C480" s="65" t="s">
        <v>59</v>
      </c>
      <c r="D480" s="62"/>
      <c r="E480" s="88"/>
      <c r="F480" s="78"/>
    </row>
    <row r="481" spans="1:6" x14ac:dyDescent="0.25">
      <c r="A481" s="64"/>
      <c r="B481" s="66" t="s">
        <v>3550</v>
      </c>
      <c r="C481" s="66"/>
      <c r="D481" s="62" t="s">
        <v>3839</v>
      </c>
      <c r="E481" s="88"/>
      <c r="F481" s="78"/>
    </row>
    <row r="482" spans="1:6" x14ac:dyDescent="0.25">
      <c r="A482" s="64"/>
      <c r="B482" s="66"/>
      <c r="C482" s="239" t="s">
        <v>3838</v>
      </c>
      <c r="D482" s="62"/>
      <c r="E482" s="88"/>
      <c r="F482" s="78"/>
    </row>
    <row r="483" spans="1:6" x14ac:dyDescent="0.25">
      <c r="A483" s="64"/>
      <c r="B483" s="66"/>
      <c r="C483" s="66"/>
      <c r="D483" s="62"/>
      <c r="E483" s="88"/>
      <c r="F483" s="78"/>
    </row>
    <row r="484" spans="1:6" x14ac:dyDescent="0.25">
      <c r="A484" s="61" t="s">
        <v>4339</v>
      </c>
      <c r="B484" s="66" t="s">
        <v>3553</v>
      </c>
      <c r="C484" s="65" t="s">
        <v>3733</v>
      </c>
      <c r="D484" s="40"/>
      <c r="E484" s="88"/>
      <c r="F484" s="78"/>
    </row>
    <row r="485" spans="1:6" x14ac:dyDescent="0.25">
      <c r="A485" s="56"/>
      <c r="B485" s="66" t="s">
        <v>3312</v>
      </c>
      <c r="C485" s="66"/>
      <c r="D485" s="62" t="s">
        <v>59</v>
      </c>
      <c r="E485" s="88"/>
      <c r="F485" s="78"/>
    </row>
    <row r="486" spans="1:6" x14ac:dyDescent="0.25">
      <c r="A486" s="56"/>
      <c r="B486" s="66"/>
      <c r="C486" s="637" t="s">
        <v>4338</v>
      </c>
      <c r="D486" s="638"/>
      <c r="E486" s="88"/>
      <c r="F486" s="78"/>
    </row>
    <row r="487" spans="1:6" x14ac:dyDescent="0.25">
      <c r="A487" s="64"/>
      <c r="B487" s="66"/>
      <c r="C487" s="66"/>
      <c r="D487" s="62"/>
      <c r="E487" s="88"/>
      <c r="F487" s="78"/>
    </row>
    <row r="488" spans="1:6" x14ac:dyDescent="0.25">
      <c r="A488" s="59" t="s">
        <v>3573</v>
      </c>
      <c r="B488" s="66" t="s">
        <v>3553</v>
      </c>
      <c r="C488" s="65" t="s">
        <v>3668</v>
      </c>
      <c r="D488" s="62"/>
      <c r="E488" s="88"/>
      <c r="F488" s="78"/>
    </row>
    <row r="489" spans="1:6" ht="30" customHeight="1" x14ac:dyDescent="0.25">
      <c r="A489" s="61"/>
      <c r="B489" s="66" t="s">
        <v>3553</v>
      </c>
      <c r="C489" s="65" t="s">
        <v>3669</v>
      </c>
      <c r="D489" s="62"/>
      <c r="E489" s="88"/>
      <c r="F489" s="78"/>
    </row>
    <row r="490" spans="1:6" x14ac:dyDescent="0.25">
      <c r="A490" s="61"/>
      <c r="B490" s="66" t="s">
        <v>3553</v>
      </c>
      <c r="C490" s="65" t="s">
        <v>3733</v>
      </c>
      <c r="D490" s="62"/>
      <c r="E490" s="88"/>
      <c r="F490" s="78"/>
    </row>
    <row r="491" spans="1:6" x14ac:dyDescent="0.25">
      <c r="A491" s="64"/>
      <c r="B491" s="66" t="s">
        <v>3312</v>
      </c>
      <c r="C491" s="66"/>
      <c r="D491" s="62" t="s">
        <v>59</v>
      </c>
      <c r="E491" s="88"/>
      <c r="F491" s="78"/>
    </row>
    <row r="492" spans="1:6" x14ac:dyDescent="0.25">
      <c r="A492" s="64"/>
      <c r="B492" s="66"/>
      <c r="C492" s="637" t="s">
        <v>3666</v>
      </c>
      <c r="D492" s="638"/>
      <c r="E492" s="88"/>
      <c r="F492" s="78"/>
    </row>
    <row r="493" spans="1:6" x14ac:dyDescent="0.25">
      <c r="A493" s="61"/>
      <c r="B493" s="66"/>
      <c r="C493" s="274"/>
      <c r="D493" s="275"/>
      <c r="E493" s="88"/>
      <c r="F493" s="78"/>
    </row>
    <row r="494" spans="1:6" x14ac:dyDescent="0.25">
      <c r="A494" s="168" t="str">
        <f>A488</f>
        <v>30 Juni</v>
      </c>
      <c r="B494" s="168" t="s">
        <v>3331</v>
      </c>
      <c r="C494" s="43" t="s">
        <v>3314</v>
      </c>
      <c r="D494" s="24"/>
      <c r="E494" s="88"/>
      <c r="F494" s="78"/>
    </row>
    <row r="495" spans="1:6" ht="30" customHeight="1" x14ac:dyDescent="0.25">
      <c r="A495" s="64"/>
      <c r="B495" s="64" t="s">
        <v>3330</v>
      </c>
      <c r="C495" s="43" t="s">
        <v>3315</v>
      </c>
      <c r="D495" s="24"/>
      <c r="E495" s="88"/>
      <c r="F495" s="78"/>
    </row>
    <row r="496" spans="1:6" x14ac:dyDescent="0.25">
      <c r="A496" s="64"/>
      <c r="B496" s="64" t="s">
        <v>3332</v>
      </c>
      <c r="C496" s="43" t="s">
        <v>3316</v>
      </c>
      <c r="D496" s="27"/>
      <c r="E496" s="88"/>
      <c r="F496" s="78"/>
    </row>
    <row r="497" spans="1:6" x14ac:dyDescent="0.25">
      <c r="A497" s="64"/>
      <c r="B497" s="64" t="s">
        <v>3333</v>
      </c>
      <c r="C497" s="43" t="s">
        <v>3317</v>
      </c>
      <c r="D497" s="27"/>
      <c r="E497" s="88"/>
      <c r="F497" s="78"/>
    </row>
    <row r="498" spans="1:6" x14ac:dyDescent="0.25">
      <c r="A498" s="64"/>
      <c r="B498" s="66" t="s">
        <v>3318</v>
      </c>
      <c r="C498" s="37"/>
      <c r="D498" s="44" t="s">
        <v>51</v>
      </c>
      <c r="E498" s="88"/>
      <c r="F498" s="78"/>
    </row>
    <row r="499" spans="1:6" x14ac:dyDescent="0.25">
      <c r="A499" s="64"/>
      <c r="B499" s="66" t="s">
        <v>3319</v>
      </c>
      <c r="C499" s="37"/>
      <c r="D499" s="44" t="s">
        <v>52</v>
      </c>
      <c r="E499" s="88"/>
      <c r="F499" s="78"/>
    </row>
    <row r="500" spans="1:6" x14ac:dyDescent="0.25">
      <c r="A500" s="64"/>
      <c r="B500" s="66" t="s">
        <v>3320</v>
      </c>
      <c r="C500" s="37"/>
      <c r="D500" s="44" t="s">
        <v>53</v>
      </c>
      <c r="E500" s="88"/>
      <c r="F500" s="78"/>
    </row>
    <row r="501" spans="1:6" x14ac:dyDescent="0.25">
      <c r="A501" s="64"/>
      <c r="B501" s="66" t="s">
        <v>3321</v>
      </c>
      <c r="C501" s="37"/>
      <c r="D501" s="44" t="s">
        <v>54</v>
      </c>
      <c r="E501" s="88"/>
      <c r="F501" s="78"/>
    </row>
    <row r="502" spans="1:6" x14ac:dyDescent="0.25">
      <c r="A502" s="64"/>
      <c r="B502" s="66" t="s">
        <v>3326</v>
      </c>
      <c r="C502" s="37"/>
      <c r="D502" s="44" t="s">
        <v>3322</v>
      </c>
      <c r="E502" s="88"/>
      <c r="F502" s="78"/>
    </row>
    <row r="503" spans="1:6" x14ac:dyDescent="0.25">
      <c r="A503" s="64"/>
      <c r="B503" s="66" t="s">
        <v>3327</v>
      </c>
      <c r="C503" s="37"/>
      <c r="D503" s="44" t="s">
        <v>3323</v>
      </c>
      <c r="E503" s="88"/>
      <c r="F503" s="78"/>
    </row>
    <row r="504" spans="1:6" x14ac:dyDescent="0.25">
      <c r="A504" s="64"/>
      <c r="B504" s="66" t="s">
        <v>3328</v>
      </c>
      <c r="C504" s="37"/>
      <c r="D504" s="44" t="s">
        <v>3324</v>
      </c>
      <c r="E504" s="88"/>
      <c r="F504" s="78"/>
    </row>
    <row r="505" spans="1:6" x14ac:dyDescent="0.25">
      <c r="A505" s="64"/>
      <c r="B505" s="66" t="s">
        <v>3329</v>
      </c>
      <c r="C505" s="37"/>
      <c r="D505" s="44" t="s">
        <v>3325</v>
      </c>
      <c r="E505" s="88"/>
      <c r="F505" s="78"/>
    </row>
    <row r="506" spans="1:6" x14ac:dyDescent="0.25">
      <c r="A506" s="64"/>
      <c r="B506" s="66"/>
      <c r="C506" s="37"/>
      <c r="D506" s="44"/>
      <c r="E506" s="88"/>
      <c r="F506" s="78"/>
    </row>
    <row r="507" spans="1:6" x14ac:dyDescent="0.25">
      <c r="A507" s="168" t="str">
        <f>A494</f>
        <v>30 Juni</v>
      </c>
      <c r="B507" s="198" t="s">
        <v>3333</v>
      </c>
      <c r="C507" s="37" t="s">
        <v>94</v>
      </c>
      <c r="D507" s="44"/>
      <c r="E507" s="88"/>
      <c r="F507" s="78"/>
    </row>
    <row r="508" spans="1:6" x14ac:dyDescent="0.25">
      <c r="A508" s="64"/>
      <c r="B508" s="66" t="s">
        <v>3334</v>
      </c>
      <c r="C508" s="37"/>
      <c r="D508" s="44" t="s">
        <v>95</v>
      </c>
      <c r="E508" s="88"/>
      <c r="F508" s="78"/>
    </row>
    <row r="509" spans="1:6" x14ac:dyDescent="0.25">
      <c r="A509" s="64"/>
      <c r="B509" s="66"/>
      <c r="C509" s="66"/>
      <c r="D509" s="62"/>
      <c r="E509" s="88"/>
      <c r="F509" s="78"/>
    </row>
    <row r="510" spans="1:6" x14ac:dyDescent="0.25">
      <c r="A510" s="168" t="str">
        <f>A507</f>
        <v>30 Juni</v>
      </c>
      <c r="B510" s="186" t="s">
        <v>3312</v>
      </c>
      <c r="C510" s="37" t="s">
        <v>59</v>
      </c>
      <c r="D510" s="40"/>
      <c r="E510" s="82"/>
      <c r="F510" s="78"/>
    </row>
    <row r="511" spans="1:6" x14ac:dyDescent="0.25">
      <c r="A511" s="10"/>
      <c r="B511" s="185" t="s">
        <v>3339</v>
      </c>
      <c r="C511" s="37" t="s">
        <v>80</v>
      </c>
      <c r="D511" s="40"/>
      <c r="E511" s="82"/>
      <c r="F511" s="78"/>
    </row>
    <row r="512" spans="1:6" x14ac:dyDescent="0.25">
      <c r="A512" s="10"/>
      <c r="B512" s="185" t="s">
        <v>3341</v>
      </c>
      <c r="C512" s="37"/>
      <c r="D512" s="40" t="s">
        <v>3340</v>
      </c>
      <c r="E512" s="82"/>
      <c r="F512" s="78"/>
    </row>
    <row r="513" spans="1:6" x14ac:dyDescent="0.25">
      <c r="A513" s="10"/>
      <c r="B513" s="185"/>
      <c r="C513" s="37"/>
      <c r="D513" s="40"/>
      <c r="E513" s="82"/>
      <c r="F513" s="78"/>
    </row>
    <row r="514" spans="1:6" x14ac:dyDescent="0.25">
      <c r="A514" s="69" t="str">
        <f>A510</f>
        <v>30 Juni</v>
      </c>
      <c r="B514" s="186" t="s">
        <v>3312</v>
      </c>
      <c r="C514" s="37" t="s">
        <v>59</v>
      </c>
      <c r="D514" s="40"/>
      <c r="E514" s="82"/>
      <c r="F514" s="78"/>
    </row>
    <row r="515" spans="1:6" x14ac:dyDescent="0.25">
      <c r="A515" s="10"/>
      <c r="B515" s="185" t="s">
        <v>3339</v>
      </c>
      <c r="C515" s="37" t="s">
        <v>80</v>
      </c>
      <c r="D515" s="40"/>
      <c r="E515" s="82"/>
      <c r="F515" s="78"/>
    </row>
    <row r="516" spans="1:6" x14ac:dyDescent="0.25">
      <c r="A516" s="10"/>
      <c r="B516" s="185" t="s">
        <v>3341</v>
      </c>
      <c r="C516" s="37"/>
      <c r="D516" s="40" t="s">
        <v>81</v>
      </c>
      <c r="E516" s="82"/>
      <c r="F516" s="78"/>
    </row>
    <row r="517" spans="1:6" x14ac:dyDescent="0.25">
      <c r="A517" s="64"/>
      <c r="B517" s="66"/>
      <c r="C517" s="37"/>
      <c r="D517" s="44"/>
      <c r="E517" s="88"/>
      <c r="F517" s="78"/>
    </row>
    <row r="518" spans="1:6" x14ac:dyDescent="0.25">
      <c r="A518" s="10"/>
      <c r="B518" s="19"/>
      <c r="C518" s="17"/>
      <c r="D518" s="40"/>
      <c r="E518" s="82"/>
      <c r="F518" s="104"/>
    </row>
    <row r="519" spans="1:6" ht="15.75" thickBot="1" x14ac:dyDescent="0.3">
      <c r="A519" s="640"/>
      <c r="B519" s="641"/>
      <c r="C519" s="641"/>
      <c r="D519" s="642"/>
      <c r="E519" s="105">
        <f>SUM(E461:E517)</f>
        <v>0</v>
      </c>
      <c r="F519" s="106">
        <f>SUM(F461:F517)</f>
        <v>0</v>
      </c>
    </row>
    <row r="534" spans="1:6" x14ac:dyDescent="0.25">
      <c r="A534" s="50" t="s">
        <v>0</v>
      </c>
      <c r="B534" s="50"/>
      <c r="C534" s="50"/>
      <c r="D534" s="9"/>
      <c r="E534" s="84"/>
      <c r="F534" s="75"/>
    </row>
    <row r="535" spans="1:6" x14ac:dyDescent="0.25">
      <c r="A535" s="50" t="s">
        <v>1</v>
      </c>
      <c r="B535" s="50"/>
      <c r="C535" s="50"/>
      <c r="D535" s="9"/>
      <c r="E535" s="84"/>
      <c r="F535" s="75"/>
    </row>
    <row r="536" spans="1:6" x14ac:dyDescent="0.25">
      <c r="A536" s="50" t="s">
        <v>16</v>
      </c>
      <c r="B536" s="50"/>
      <c r="C536" s="50"/>
      <c r="D536" s="9"/>
      <c r="E536" s="84"/>
      <c r="F536" s="75"/>
    </row>
    <row r="537" spans="1:6" x14ac:dyDescent="0.25">
      <c r="A537" s="643"/>
      <c r="B537" s="643"/>
      <c r="C537" s="643"/>
      <c r="D537" s="643"/>
      <c r="E537" s="643"/>
      <c r="F537" s="643"/>
    </row>
    <row r="538" spans="1:6" x14ac:dyDescent="0.25">
      <c r="A538" s="643" t="s">
        <v>3361</v>
      </c>
      <c r="B538" s="643"/>
      <c r="C538" s="643"/>
      <c r="D538" s="643"/>
      <c r="E538" s="643"/>
      <c r="F538" s="643"/>
    </row>
    <row r="539" spans="1:6" x14ac:dyDescent="0.25">
      <c r="A539" s="643" t="s">
        <v>4419</v>
      </c>
      <c r="B539" s="643"/>
      <c r="C539" s="643"/>
      <c r="D539" s="643"/>
      <c r="E539" s="643"/>
      <c r="F539" s="643"/>
    </row>
    <row r="540" spans="1:6" ht="15.75" thickBot="1" x14ac:dyDescent="0.3">
      <c r="A540" s="1"/>
      <c r="B540" s="1"/>
      <c r="C540" s="1"/>
      <c r="D540" s="1"/>
      <c r="E540" s="85"/>
      <c r="F540" s="76"/>
    </row>
    <row r="541" spans="1:6" x14ac:dyDescent="0.25">
      <c r="A541" s="53" t="s">
        <v>12</v>
      </c>
      <c r="B541" s="193" t="s">
        <v>3285</v>
      </c>
      <c r="C541" s="639" t="s">
        <v>3282</v>
      </c>
      <c r="D541" s="639"/>
      <c r="E541" s="199" t="s">
        <v>90</v>
      </c>
      <c r="F541" s="200" t="s">
        <v>10</v>
      </c>
    </row>
    <row r="542" spans="1:6" x14ac:dyDescent="0.25">
      <c r="A542" s="231" t="s">
        <v>3692</v>
      </c>
      <c r="B542" s="66" t="s">
        <v>3553</v>
      </c>
      <c r="C542" s="65" t="s">
        <v>59</v>
      </c>
      <c r="D542" s="62"/>
      <c r="E542" s="88"/>
      <c r="F542" s="78"/>
    </row>
    <row r="543" spans="1:6" x14ac:dyDescent="0.25">
      <c r="A543" s="56"/>
      <c r="B543" s="66"/>
      <c r="C543" s="66"/>
      <c r="D543" s="62" t="s">
        <v>3552</v>
      </c>
      <c r="E543" s="88"/>
      <c r="F543" s="78"/>
    </row>
    <row r="544" spans="1:6" x14ac:dyDescent="0.25">
      <c r="A544" s="56"/>
      <c r="B544" s="66"/>
      <c r="C544" s="239" t="s">
        <v>3667</v>
      </c>
      <c r="D544" s="62"/>
      <c r="E544" s="88"/>
      <c r="F544" s="78"/>
    </row>
    <row r="545" spans="1:6" x14ac:dyDescent="0.25">
      <c r="A545" s="56"/>
      <c r="B545" s="256"/>
      <c r="C545" s="257"/>
      <c r="D545" s="258"/>
      <c r="E545" s="259"/>
      <c r="F545" s="80"/>
    </row>
    <row r="546" spans="1:6" x14ac:dyDescent="0.25">
      <c r="A546" s="61" t="s">
        <v>3752</v>
      </c>
      <c r="B546" s="66" t="s">
        <v>3312</v>
      </c>
      <c r="C546" s="65" t="s">
        <v>59</v>
      </c>
      <c r="D546" s="62"/>
      <c r="E546" s="259"/>
      <c r="F546" s="78"/>
    </row>
    <row r="547" spans="1:6" x14ac:dyDescent="0.25">
      <c r="A547" s="64"/>
      <c r="B547" s="66" t="s">
        <v>3550</v>
      </c>
      <c r="C547" s="66"/>
      <c r="D547" s="62" t="s">
        <v>3551</v>
      </c>
      <c r="E547" s="259"/>
      <c r="F547" s="78"/>
    </row>
    <row r="548" spans="1:6" x14ac:dyDescent="0.25">
      <c r="A548" s="64"/>
      <c r="B548" s="66"/>
      <c r="C548" s="66"/>
      <c r="D548" s="62"/>
      <c r="E548" s="259"/>
      <c r="F548" s="78"/>
    </row>
    <row r="549" spans="1:6" x14ac:dyDescent="0.25">
      <c r="A549" s="61" t="s">
        <v>4446</v>
      </c>
      <c r="B549" s="66" t="s">
        <v>3312</v>
      </c>
      <c r="C549" s="65" t="s">
        <v>59</v>
      </c>
      <c r="D549" s="62"/>
      <c r="E549" s="259"/>
      <c r="F549" s="78"/>
    </row>
    <row r="550" spans="1:6" x14ac:dyDescent="0.25">
      <c r="A550" s="64"/>
      <c r="B550" s="66" t="s">
        <v>3553</v>
      </c>
      <c r="C550" s="65"/>
      <c r="D550" s="40" t="s">
        <v>4559</v>
      </c>
      <c r="E550" s="259"/>
      <c r="F550" s="78"/>
    </row>
    <row r="551" spans="1:6" x14ac:dyDescent="0.25">
      <c r="A551" s="64"/>
      <c r="B551" s="66"/>
      <c r="C551" s="364" t="s">
        <v>4560</v>
      </c>
      <c r="D551" s="62"/>
      <c r="E551" s="259"/>
      <c r="F551" s="78"/>
    </row>
    <row r="552" spans="1:6" x14ac:dyDescent="0.25">
      <c r="A552" s="64"/>
      <c r="B552" s="66"/>
      <c r="C552" s="66"/>
      <c r="D552" s="62"/>
      <c r="E552" s="259"/>
      <c r="F552" s="78"/>
    </row>
    <row r="553" spans="1:6" x14ac:dyDescent="0.25">
      <c r="A553" s="61" t="s">
        <v>4420</v>
      </c>
      <c r="B553" s="185" t="s">
        <v>3339</v>
      </c>
      <c r="C553" s="37" t="s">
        <v>80</v>
      </c>
      <c r="D553" s="62"/>
      <c r="E553" s="259"/>
      <c r="F553" s="78"/>
    </row>
    <row r="554" spans="1:6" x14ac:dyDescent="0.25">
      <c r="A554" s="64"/>
      <c r="B554" s="66" t="s">
        <v>3312</v>
      </c>
      <c r="C554" s="66"/>
      <c r="D554" s="62" t="s">
        <v>59</v>
      </c>
      <c r="E554" s="259"/>
      <c r="F554" s="78"/>
    </row>
    <row r="555" spans="1:6" x14ac:dyDescent="0.25">
      <c r="A555" s="64"/>
      <c r="B555" s="66"/>
      <c r="C555" s="239" t="s">
        <v>4037</v>
      </c>
      <c r="D555" s="62"/>
      <c r="E555" s="259"/>
      <c r="F555" s="78"/>
    </row>
    <row r="556" spans="1:6" x14ac:dyDescent="0.25">
      <c r="A556" s="64"/>
      <c r="B556" s="66"/>
      <c r="C556" s="239"/>
      <c r="D556" s="62"/>
      <c r="E556" s="259"/>
      <c r="F556" s="78"/>
    </row>
    <row r="557" spans="1:6" x14ac:dyDescent="0.25">
      <c r="A557" s="59" t="s">
        <v>3693</v>
      </c>
      <c r="B557" s="66" t="s">
        <v>3553</v>
      </c>
      <c r="C557" s="65" t="s">
        <v>3668</v>
      </c>
      <c r="D557" s="62"/>
      <c r="E557" s="259"/>
      <c r="F557" s="78"/>
    </row>
    <row r="558" spans="1:6" x14ac:dyDescent="0.25">
      <c r="A558" s="61"/>
      <c r="B558" s="66" t="s">
        <v>3553</v>
      </c>
      <c r="C558" s="65" t="s">
        <v>3669</v>
      </c>
      <c r="D558" s="62"/>
      <c r="E558" s="259"/>
      <c r="F558" s="78"/>
    </row>
    <row r="559" spans="1:6" x14ac:dyDescent="0.25">
      <c r="A559" s="61"/>
      <c r="B559" s="66" t="s">
        <v>3553</v>
      </c>
      <c r="C559" s="65" t="s">
        <v>3733</v>
      </c>
      <c r="D559" s="62"/>
      <c r="E559" s="259"/>
      <c r="F559" s="78"/>
    </row>
    <row r="560" spans="1:6" x14ac:dyDescent="0.25">
      <c r="A560" s="64"/>
      <c r="B560" s="66" t="s">
        <v>3312</v>
      </c>
      <c r="C560" s="66"/>
      <c r="D560" s="62" t="s">
        <v>59</v>
      </c>
      <c r="E560" s="259"/>
      <c r="F560" s="78"/>
    </row>
    <row r="561" spans="1:6" x14ac:dyDescent="0.25">
      <c r="A561" s="64"/>
      <c r="B561" s="66"/>
      <c r="C561" s="637" t="s">
        <v>3666</v>
      </c>
      <c r="D561" s="638"/>
      <c r="E561" s="259"/>
      <c r="F561" s="78"/>
    </row>
    <row r="562" spans="1:6" x14ac:dyDescent="0.25">
      <c r="A562" s="64"/>
      <c r="B562" s="66"/>
      <c r="C562" s="274"/>
      <c r="D562" s="275"/>
      <c r="E562" s="88"/>
      <c r="F562" s="78"/>
    </row>
    <row r="563" spans="1:6" x14ac:dyDescent="0.25">
      <c r="A563" s="168" t="s">
        <v>3693</v>
      </c>
      <c r="B563" s="168" t="s">
        <v>3331</v>
      </c>
      <c r="C563" s="43" t="s">
        <v>3314</v>
      </c>
      <c r="D563" s="24"/>
      <c r="E563" s="88"/>
      <c r="F563" s="78"/>
    </row>
    <row r="564" spans="1:6" ht="24" customHeight="1" x14ac:dyDescent="0.25">
      <c r="A564" s="64"/>
      <c r="B564" s="64" t="s">
        <v>3330</v>
      </c>
      <c r="C564" s="43" t="s">
        <v>3315</v>
      </c>
      <c r="D564" s="24"/>
      <c r="E564" s="88"/>
      <c r="F564" s="78"/>
    </row>
    <row r="565" spans="1:6" ht="15" customHeight="1" x14ac:dyDescent="0.25">
      <c r="A565" s="64"/>
      <c r="B565" s="64" t="s">
        <v>3332</v>
      </c>
      <c r="C565" s="43" t="s">
        <v>3316</v>
      </c>
      <c r="D565" s="27"/>
      <c r="E565" s="88"/>
      <c r="F565" s="78"/>
    </row>
    <row r="566" spans="1:6" x14ac:dyDescent="0.25">
      <c r="A566" s="64"/>
      <c r="B566" s="64" t="s">
        <v>3333</v>
      </c>
      <c r="C566" s="43" t="s">
        <v>3317</v>
      </c>
      <c r="D566" s="27"/>
      <c r="E566" s="88"/>
      <c r="F566" s="78"/>
    </row>
    <row r="567" spans="1:6" x14ac:dyDescent="0.25">
      <c r="A567" s="64"/>
      <c r="B567" s="66" t="s">
        <v>3318</v>
      </c>
      <c r="C567" s="37"/>
      <c r="D567" s="44" t="s">
        <v>51</v>
      </c>
      <c r="E567" s="88"/>
      <c r="F567" s="78"/>
    </row>
    <row r="568" spans="1:6" x14ac:dyDescent="0.25">
      <c r="A568" s="64"/>
      <c r="B568" s="66" t="s">
        <v>3319</v>
      </c>
      <c r="C568" s="37"/>
      <c r="D568" s="44" t="s">
        <v>52</v>
      </c>
      <c r="E568" s="88"/>
      <c r="F568" s="78"/>
    </row>
    <row r="569" spans="1:6" x14ac:dyDescent="0.25">
      <c r="A569" s="64"/>
      <c r="B569" s="66" t="s">
        <v>3320</v>
      </c>
      <c r="C569" s="37"/>
      <c r="D569" s="44" t="s">
        <v>53</v>
      </c>
      <c r="E569" s="88"/>
      <c r="F569" s="78"/>
    </row>
    <row r="570" spans="1:6" x14ac:dyDescent="0.25">
      <c r="A570" s="64"/>
      <c r="B570" s="66" t="s">
        <v>3321</v>
      </c>
      <c r="C570" s="37"/>
      <c r="D570" s="44" t="s">
        <v>54</v>
      </c>
      <c r="E570" s="88"/>
      <c r="F570" s="78"/>
    </row>
    <row r="571" spans="1:6" x14ac:dyDescent="0.25">
      <c r="A571" s="64"/>
      <c r="B571" s="66" t="s">
        <v>3326</v>
      </c>
      <c r="C571" s="37"/>
      <c r="D571" s="44" t="s">
        <v>3322</v>
      </c>
      <c r="E571" s="88"/>
      <c r="F571" s="78"/>
    </row>
    <row r="572" spans="1:6" x14ac:dyDescent="0.25">
      <c r="A572" s="64"/>
      <c r="B572" s="66" t="s">
        <v>3327</v>
      </c>
      <c r="C572" s="37"/>
      <c r="D572" s="44" t="s">
        <v>3323</v>
      </c>
      <c r="E572" s="88"/>
      <c r="F572" s="78"/>
    </row>
    <row r="573" spans="1:6" x14ac:dyDescent="0.25">
      <c r="A573" s="64"/>
      <c r="B573" s="66" t="s">
        <v>3328</v>
      </c>
      <c r="C573" s="37"/>
      <c r="D573" s="44" t="s">
        <v>3324</v>
      </c>
      <c r="E573" s="88"/>
      <c r="F573" s="78"/>
    </row>
    <row r="574" spans="1:6" x14ac:dyDescent="0.25">
      <c r="A574" s="64"/>
      <c r="B574" s="66" t="s">
        <v>3329</v>
      </c>
      <c r="C574" s="37"/>
      <c r="D574" s="44" t="s">
        <v>3325</v>
      </c>
      <c r="E574" s="88"/>
      <c r="F574" s="78"/>
    </row>
    <row r="575" spans="1:6" x14ac:dyDescent="0.25">
      <c r="A575" s="64"/>
      <c r="B575" s="66"/>
      <c r="C575" s="37"/>
      <c r="D575" s="44"/>
      <c r="E575" s="88"/>
      <c r="F575" s="78"/>
    </row>
    <row r="576" spans="1:6" x14ac:dyDescent="0.25">
      <c r="A576" s="168" t="str">
        <f>A563</f>
        <v>31 Juli</v>
      </c>
      <c r="B576" s="198" t="s">
        <v>3333</v>
      </c>
      <c r="C576" s="37" t="s">
        <v>94</v>
      </c>
      <c r="D576" s="44"/>
      <c r="E576" s="88"/>
      <c r="F576" s="78"/>
    </row>
    <row r="577" spans="1:6" x14ac:dyDescent="0.25">
      <c r="A577" s="64"/>
      <c r="B577" s="66" t="s">
        <v>3334</v>
      </c>
      <c r="C577" s="37"/>
      <c r="D577" s="44" t="s">
        <v>95</v>
      </c>
      <c r="E577" s="88"/>
      <c r="F577" s="78"/>
    </row>
    <row r="578" spans="1:6" x14ac:dyDescent="0.25">
      <c r="A578" s="64"/>
      <c r="B578" s="66"/>
      <c r="C578" s="66"/>
      <c r="D578" s="62"/>
      <c r="E578" s="88"/>
      <c r="F578" s="78"/>
    </row>
    <row r="579" spans="1:6" x14ac:dyDescent="0.25">
      <c r="A579" s="61" t="s">
        <v>3693</v>
      </c>
      <c r="B579" s="186" t="s">
        <v>3312</v>
      </c>
      <c r="C579" s="37" t="s">
        <v>59</v>
      </c>
      <c r="D579" s="62"/>
      <c r="E579" s="88"/>
      <c r="F579" s="78"/>
    </row>
    <row r="580" spans="1:6" x14ac:dyDescent="0.25">
      <c r="A580" s="64"/>
      <c r="B580" s="66" t="s">
        <v>3550</v>
      </c>
      <c r="C580" s="66"/>
      <c r="D580" s="62" t="s">
        <v>3839</v>
      </c>
      <c r="E580" s="88"/>
      <c r="F580" s="78"/>
    </row>
    <row r="581" spans="1:6" x14ac:dyDescent="0.25">
      <c r="A581" s="64"/>
      <c r="B581" s="66"/>
      <c r="C581" s="485" t="s">
        <v>4561</v>
      </c>
      <c r="E581" s="88"/>
      <c r="F581" s="78"/>
    </row>
    <row r="582" spans="1:6" x14ac:dyDescent="0.25">
      <c r="A582" s="64"/>
      <c r="B582" s="66"/>
      <c r="C582" s="364"/>
      <c r="D582" s="62"/>
      <c r="E582" s="88"/>
      <c r="F582" s="78"/>
    </row>
    <row r="583" spans="1:6" x14ac:dyDescent="0.25">
      <c r="A583" s="168" t="str">
        <f>A576</f>
        <v>31 Juli</v>
      </c>
      <c r="B583" s="186" t="s">
        <v>3312</v>
      </c>
      <c r="C583" s="37" t="s">
        <v>59</v>
      </c>
      <c r="D583" s="40"/>
      <c r="E583" s="82"/>
      <c r="F583" s="78"/>
    </row>
    <row r="584" spans="1:6" x14ac:dyDescent="0.25">
      <c r="A584" s="10"/>
      <c r="B584" s="185" t="s">
        <v>3339</v>
      </c>
      <c r="C584" s="37" t="s">
        <v>3338</v>
      </c>
      <c r="D584" s="40"/>
      <c r="E584" s="82"/>
      <c r="F584" s="78"/>
    </row>
    <row r="585" spans="1:6" x14ac:dyDescent="0.25">
      <c r="A585" s="10"/>
      <c r="B585" s="185" t="s">
        <v>3341</v>
      </c>
      <c r="C585" s="37"/>
      <c r="D585" s="40" t="s">
        <v>3340</v>
      </c>
      <c r="E585" s="82"/>
      <c r="F585" s="78"/>
    </row>
    <row r="586" spans="1:6" x14ac:dyDescent="0.25">
      <c r="A586" s="10"/>
      <c r="B586" s="185"/>
      <c r="C586" s="37"/>
      <c r="D586" s="40"/>
      <c r="E586" s="82"/>
      <c r="F586" s="78"/>
    </row>
    <row r="587" spans="1:6" x14ac:dyDescent="0.25">
      <c r="A587" s="69" t="str">
        <f>A583</f>
        <v>31 Juli</v>
      </c>
      <c r="B587" s="186" t="s">
        <v>3312</v>
      </c>
      <c r="C587" s="37" t="s">
        <v>59</v>
      </c>
      <c r="D587" s="40"/>
      <c r="E587" s="82"/>
      <c r="F587" s="78"/>
    </row>
    <row r="588" spans="1:6" x14ac:dyDescent="0.25">
      <c r="A588" s="10"/>
      <c r="B588" s="185" t="s">
        <v>3339</v>
      </c>
      <c r="C588" s="37" t="s">
        <v>80</v>
      </c>
      <c r="D588" s="40"/>
      <c r="E588" s="82"/>
      <c r="F588" s="78"/>
    </row>
    <row r="589" spans="1:6" x14ac:dyDescent="0.25">
      <c r="A589" s="10"/>
      <c r="B589" s="185" t="s">
        <v>3341</v>
      </c>
      <c r="C589" s="37"/>
      <c r="D589" s="40" t="s">
        <v>81</v>
      </c>
      <c r="E589" s="82"/>
      <c r="F589" s="78"/>
    </row>
    <row r="590" spans="1:6" x14ac:dyDescent="0.25">
      <c r="A590" s="10"/>
      <c r="B590" s="19"/>
      <c r="C590" s="17"/>
      <c r="D590" s="40"/>
      <c r="E590" s="82"/>
      <c r="F590" s="104"/>
    </row>
    <row r="591" spans="1:6" ht="15.75" thickBot="1" x14ac:dyDescent="0.3">
      <c r="A591" s="640"/>
      <c r="B591" s="641"/>
      <c r="C591" s="641"/>
      <c r="D591" s="642"/>
      <c r="E591" s="105">
        <f>SUM(E546:E589)</f>
        <v>0</v>
      </c>
      <c r="F591" s="106">
        <f>SUM(F546:F589)</f>
        <v>0</v>
      </c>
    </row>
    <row r="592" spans="1:6" x14ac:dyDescent="0.25">
      <c r="A592" s="96"/>
      <c r="B592" s="96"/>
      <c r="C592" s="96"/>
      <c r="D592" s="96"/>
      <c r="E592" s="97"/>
      <c r="F592" s="97"/>
    </row>
    <row r="593" spans="1:6" x14ac:dyDescent="0.25">
      <c r="A593" s="96"/>
      <c r="B593" s="96"/>
      <c r="C593" s="96"/>
      <c r="D593" s="96"/>
      <c r="E593" s="97"/>
      <c r="F593" s="97"/>
    </row>
    <row r="594" spans="1:6" x14ac:dyDescent="0.25">
      <c r="A594" s="96"/>
      <c r="B594" s="96"/>
      <c r="C594" s="96"/>
      <c r="D594" s="96"/>
      <c r="E594" s="97"/>
      <c r="F594" s="97"/>
    </row>
    <row r="595" spans="1:6" x14ac:dyDescent="0.25">
      <c r="A595" s="96"/>
      <c r="B595" s="96"/>
      <c r="C595" s="96"/>
      <c r="D595" s="96"/>
      <c r="E595" s="97"/>
      <c r="F595" s="97"/>
    </row>
    <row r="596" spans="1:6" x14ac:dyDescent="0.25">
      <c r="A596" s="96"/>
      <c r="B596" s="96"/>
      <c r="C596" s="96"/>
      <c r="D596" s="96"/>
      <c r="E596" s="97"/>
      <c r="F596" s="97"/>
    </row>
    <row r="597" spans="1:6" x14ac:dyDescent="0.25">
      <c r="A597" s="96"/>
      <c r="B597" s="96"/>
      <c r="C597" s="96"/>
      <c r="D597" s="96"/>
      <c r="E597" s="97"/>
      <c r="F597" s="97"/>
    </row>
    <row r="598" spans="1:6" x14ac:dyDescent="0.25">
      <c r="A598" s="96"/>
      <c r="B598" s="96"/>
      <c r="C598" s="96"/>
      <c r="D598" s="96"/>
      <c r="E598" s="97"/>
      <c r="F598" s="97"/>
    </row>
    <row r="599" spans="1:6" x14ac:dyDescent="0.25">
      <c r="A599" s="96"/>
      <c r="B599" s="96"/>
      <c r="C599" s="96"/>
      <c r="D599" s="96"/>
      <c r="E599" s="97"/>
      <c r="F599" s="97"/>
    </row>
    <row r="600" spans="1:6" x14ac:dyDescent="0.25">
      <c r="A600" s="96"/>
      <c r="B600" s="96"/>
      <c r="C600" s="96"/>
      <c r="D600" s="96"/>
      <c r="E600" s="97"/>
      <c r="F600" s="97"/>
    </row>
    <row r="601" spans="1:6" x14ac:dyDescent="0.25">
      <c r="A601" s="96"/>
      <c r="B601" s="96"/>
      <c r="C601" s="96"/>
      <c r="D601" s="96"/>
      <c r="E601" s="97"/>
      <c r="F601" s="97"/>
    </row>
    <row r="602" spans="1:6" x14ac:dyDescent="0.25">
      <c r="A602" s="96"/>
      <c r="B602" s="96"/>
      <c r="C602" s="96"/>
      <c r="D602" s="96"/>
      <c r="E602" s="97"/>
      <c r="F602" s="97"/>
    </row>
    <row r="603" spans="1:6" x14ac:dyDescent="0.25">
      <c r="A603" s="96"/>
      <c r="B603" s="96"/>
      <c r="C603" s="96"/>
      <c r="D603" s="96"/>
      <c r="E603" s="97"/>
      <c r="F603" s="97"/>
    </row>
    <row r="604" spans="1:6" x14ac:dyDescent="0.25">
      <c r="A604" s="96"/>
      <c r="B604" s="96"/>
      <c r="C604" s="96"/>
      <c r="D604" s="96"/>
      <c r="E604" s="97"/>
      <c r="F604" s="97"/>
    </row>
    <row r="605" spans="1:6" x14ac:dyDescent="0.25">
      <c r="A605" s="96"/>
      <c r="B605" s="96"/>
      <c r="C605" s="96"/>
      <c r="D605" s="96"/>
      <c r="E605" s="97"/>
      <c r="F605" s="97"/>
    </row>
    <row r="606" spans="1:6" x14ac:dyDescent="0.25">
      <c r="A606" s="96"/>
      <c r="B606" s="96"/>
      <c r="C606" s="96"/>
      <c r="D606" s="96"/>
      <c r="E606" s="97"/>
      <c r="F606" s="97"/>
    </row>
    <row r="607" spans="1:6" x14ac:dyDescent="0.25">
      <c r="A607" s="96"/>
      <c r="B607" s="96"/>
      <c r="C607" s="96"/>
      <c r="D607" s="96"/>
      <c r="E607" s="97"/>
      <c r="F607" s="97"/>
    </row>
    <row r="608" spans="1:6" x14ac:dyDescent="0.25">
      <c r="A608" s="96"/>
      <c r="B608" s="96"/>
      <c r="C608" s="96"/>
      <c r="D608" s="96"/>
      <c r="E608" s="97"/>
      <c r="F608" s="97"/>
    </row>
    <row r="609" spans="1:6" x14ac:dyDescent="0.25">
      <c r="A609" s="96"/>
      <c r="B609" s="96"/>
      <c r="C609" s="96"/>
      <c r="D609" s="96"/>
      <c r="E609" s="97"/>
      <c r="F609" s="97"/>
    </row>
    <row r="610" spans="1:6" x14ac:dyDescent="0.25">
      <c r="A610" s="96"/>
      <c r="B610" s="96"/>
      <c r="C610" s="96"/>
      <c r="D610" s="96"/>
      <c r="E610" s="97"/>
      <c r="F610" s="97"/>
    </row>
    <row r="611" spans="1:6" x14ac:dyDescent="0.25">
      <c r="A611" s="96"/>
      <c r="B611" s="96"/>
      <c r="C611" s="96"/>
      <c r="D611" s="96"/>
      <c r="E611" s="97"/>
      <c r="F611" s="97"/>
    </row>
    <row r="612" spans="1:6" x14ac:dyDescent="0.25">
      <c r="A612" s="96"/>
      <c r="B612" s="96"/>
      <c r="C612" s="96"/>
      <c r="D612" s="96"/>
      <c r="E612" s="97"/>
      <c r="F612" s="97"/>
    </row>
    <row r="613" spans="1:6" x14ac:dyDescent="0.25">
      <c r="A613" s="96"/>
      <c r="B613" s="96"/>
      <c r="C613" s="96"/>
      <c r="D613" s="96"/>
      <c r="E613" s="97"/>
      <c r="F613" s="97"/>
    </row>
    <row r="614" spans="1:6" x14ac:dyDescent="0.25">
      <c r="A614" s="96"/>
      <c r="B614" s="96"/>
      <c r="C614" s="96"/>
      <c r="D614" s="96"/>
      <c r="E614" s="97"/>
      <c r="F614" s="97"/>
    </row>
    <row r="615" spans="1:6" x14ac:dyDescent="0.25">
      <c r="A615" s="96"/>
      <c r="B615" s="96"/>
      <c r="C615" s="96"/>
      <c r="D615" s="96"/>
      <c r="E615" s="97"/>
      <c r="F615" s="97"/>
    </row>
    <row r="616" spans="1:6" x14ac:dyDescent="0.25">
      <c r="A616" s="96"/>
      <c r="B616" s="96"/>
      <c r="C616" s="96"/>
      <c r="D616" s="96"/>
      <c r="E616" s="97"/>
      <c r="F616" s="97"/>
    </row>
    <row r="617" spans="1:6" x14ac:dyDescent="0.25">
      <c r="A617" s="96"/>
      <c r="B617" s="96"/>
      <c r="C617" s="96"/>
      <c r="D617" s="96"/>
      <c r="E617" s="97"/>
      <c r="F617" s="97"/>
    </row>
    <row r="618" spans="1:6" x14ac:dyDescent="0.25">
      <c r="A618" s="96"/>
      <c r="B618" s="96"/>
      <c r="C618" s="96"/>
      <c r="D618" s="96"/>
      <c r="E618" s="97"/>
      <c r="F618" s="97"/>
    </row>
    <row r="619" spans="1:6" x14ac:dyDescent="0.25">
      <c r="A619" s="96"/>
      <c r="B619" s="96"/>
      <c r="C619" s="96"/>
      <c r="D619" s="96"/>
      <c r="E619" s="97"/>
      <c r="F619" s="97"/>
    </row>
    <row r="620" spans="1:6" x14ac:dyDescent="0.25">
      <c r="A620" s="96"/>
      <c r="B620" s="96"/>
      <c r="C620" s="96"/>
      <c r="D620" s="96"/>
      <c r="E620" s="97"/>
      <c r="F620" s="97"/>
    </row>
    <row r="621" spans="1:6" x14ac:dyDescent="0.25">
      <c r="A621" s="96"/>
      <c r="B621" s="96"/>
      <c r="C621" s="96"/>
      <c r="D621" s="96"/>
      <c r="E621" s="97"/>
      <c r="F621" s="97"/>
    </row>
    <row r="622" spans="1:6" x14ac:dyDescent="0.25">
      <c r="A622" s="96"/>
      <c r="B622" s="96"/>
      <c r="C622" s="96"/>
      <c r="D622" s="96"/>
      <c r="E622" s="97"/>
      <c r="F622" s="97"/>
    </row>
    <row r="623" spans="1:6" x14ac:dyDescent="0.25">
      <c r="A623" s="96"/>
      <c r="B623" s="96"/>
      <c r="C623" s="96"/>
      <c r="D623" s="96"/>
      <c r="E623" s="97"/>
      <c r="F623" s="97"/>
    </row>
    <row r="624" spans="1:6" x14ac:dyDescent="0.25">
      <c r="A624" s="96"/>
      <c r="B624" s="96"/>
      <c r="C624" s="96"/>
      <c r="D624" s="96"/>
      <c r="E624" s="97"/>
      <c r="F624" s="97"/>
    </row>
    <row r="625" spans="1:6" x14ac:dyDescent="0.25">
      <c r="A625" s="96"/>
      <c r="B625" s="96"/>
      <c r="C625" s="96"/>
      <c r="D625" s="96"/>
      <c r="E625" s="97"/>
      <c r="F625" s="97"/>
    </row>
    <row r="626" spans="1:6" x14ac:dyDescent="0.25">
      <c r="A626" s="96"/>
      <c r="B626" s="96"/>
      <c r="C626" s="96"/>
      <c r="D626" s="96"/>
      <c r="E626" s="97"/>
      <c r="F626" s="97"/>
    </row>
    <row r="627" spans="1:6" x14ac:dyDescent="0.25">
      <c r="A627" s="96"/>
      <c r="B627" s="96"/>
      <c r="C627" s="96"/>
      <c r="D627" s="96"/>
      <c r="E627" s="97"/>
      <c r="F627" s="97"/>
    </row>
    <row r="628" spans="1:6" x14ac:dyDescent="0.25">
      <c r="A628" s="96"/>
      <c r="B628" s="96"/>
      <c r="C628" s="96"/>
      <c r="D628" s="96"/>
      <c r="E628" s="97"/>
      <c r="F628" s="97"/>
    </row>
    <row r="629" spans="1:6" x14ac:dyDescent="0.25">
      <c r="A629" s="96"/>
      <c r="B629" s="96"/>
      <c r="C629" s="96"/>
      <c r="D629" s="96"/>
      <c r="E629" s="97"/>
      <c r="F629" s="97"/>
    </row>
    <row r="630" spans="1:6" x14ac:dyDescent="0.25">
      <c r="A630" s="96"/>
      <c r="B630" s="96"/>
      <c r="C630" s="96"/>
      <c r="D630" s="96"/>
      <c r="E630" s="97"/>
      <c r="F630" s="97"/>
    </row>
    <row r="631" spans="1:6" x14ac:dyDescent="0.25">
      <c r="A631" s="96"/>
      <c r="B631" s="96"/>
      <c r="C631" s="96"/>
      <c r="D631" s="96"/>
      <c r="E631" s="97"/>
      <c r="F631" s="97"/>
    </row>
    <row r="632" spans="1:6" x14ac:dyDescent="0.25">
      <c r="A632" s="96"/>
      <c r="B632" s="96"/>
      <c r="C632" s="96"/>
      <c r="D632" s="96"/>
      <c r="E632" s="97"/>
      <c r="F632" s="97"/>
    </row>
    <row r="633" spans="1:6" x14ac:dyDescent="0.25">
      <c r="A633" s="96"/>
      <c r="B633" s="96"/>
      <c r="C633" s="96"/>
      <c r="D633" s="96"/>
      <c r="E633" s="97"/>
      <c r="F633" s="97"/>
    </row>
    <row r="634" spans="1:6" x14ac:dyDescent="0.25">
      <c r="A634" s="50" t="s">
        <v>0</v>
      </c>
      <c r="B634" s="50"/>
      <c r="C634" s="50"/>
      <c r="D634" s="9"/>
      <c r="E634" s="84"/>
      <c r="F634" s="75"/>
    </row>
    <row r="635" spans="1:6" x14ac:dyDescent="0.25">
      <c r="A635" s="50" t="s">
        <v>1</v>
      </c>
      <c r="B635" s="50"/>
      <c r="C635" s="50"/>
      <c r="D635" s="9"/>
      <c r="E635" s="84"/>
      <c r="F635" s="75"/>
    </row>
    <row r="636" spans="1:6" x14ac:dyDescent="0.25">
      <c r="A636" s="50" t="s">
        <v>16</v>
      </c>
      <c r="B636" s="50"/>
      <c r="C636" s="50"/>
      <c r="D636" s="9"/>
      <c r="E636" s="84"/>
      <c r="F636" s="75"/>
    </row>
    <row r="637" spans="1:6" x14ac:dyDescent="0.25">
      <c r="A637" s="643"/>
      <c r="B637" s="643"/>
      <c r="C637" s="643"/>
      <c r="D637" s="643"/>
      <c r="E637" s="643"/>
      <c r="F637" s="643"/>
    </row>
    <row r="638" spans="1:6" x14ac:dyDescent="0.25">
      <c r="A638" s="643" t="s">
        <v>3361</v>
      </c>
      <c r="B638" s="643"/>
      <c r="C638" s="643"/>
      <c r="D638" s="643"/>
      <c r="E638" s="643"/>
      <c r="F638" s="643"/>
    </row>
    <row r="639" spans="1:6" x14ac:dyDescent="0.25">
      <c r="A639" s="643" t="s">
        <v>3805</v>
      </c>
      <c r="B639" s="643"/>
      <c r="C639" s="643"/>
      <c r="D639" s="643"/>
      <c r="E639" s="643"/>
      <c r="F639" s="643"/>
    </row>
    <row r="640" spans="1:6" ht="15.75" thickBot="1" x14ac:dyDescent="0.3">
      <c r="A640" s="1"/>
      <c r="B640" s="1"/>
      <c r="C640" s="1"/>
      <c r="D640" s="1"/>
      <c r="E640" s="85"/>
      <c r="F640" s="76"/>
    </row>
    <row r="641" spans="1:6" x14ac:dyDescent="0.25">
      <c r="A641" s="53" t="s">
        <v>12</v>
      </c>
      <c r="B641" s="193" t="s">
        <v>3285</v>
      </c>
      <c r="C641" s="639" t="s">
        <v>3282</v>
      </c>
      <c r="D641" s="639"/>
      <c r="E641" s="199" t="s">
        <v>90</v>
      </c>
      <c r="F641" s="200" t="s">
        <v>10</v>
      </c>
    </row>
    <row r="642" spans="1:6" x14ac:dyDescent="0.25">
      <c r="A642" s="241" t="s">
        <v>3580</v>
      </c>
      <c r="B642" s="250" t="s">
        <v>3553</v>
      </c>
      <c r="C642" s="281" t="s">
        <v>59</v>
      </c>
      <c r="D642" s="282"/>
      <c r="E642" s="283">
        <f>F560</f>
        <v>0</v>
      </c>
      <c r="F642" s="284"/>
    </row>
    <row r="643" spans="1:6" x14ac:dyDescent="0.25">
      <c r="A643" s="249"/>
      <c r="B643" s="250"/>
      <c r="C643" s="250"/>
      <c r="D643" s="282" t="s">
        <v>3552</v>
      </c>
      <c r="E643" s="283"/>
      <c r="F643" s="284">
        <f>E642</f>
        <v>0</v>
      </c>
    </row>
    <row r="644" spans="1:6" ht="15" customHeight="1" x14ac:dyDescent="0.25">
      <c r="A644" s="249"/>
      <c r="B644" s="250"/>
      <c r="C644" s="285" t="s">
        <v>3667</v>
      </c>
      <c r="D644" s="282"/>
      <c r="E644" s="283"/>
      <c r="F644" s="284"/>
    </row>
    <row r="645" spans="1:6" x14ac:dyDescent="0.25">
      <c r="A645" s="249"/>
      <c r="B645" s="286"/>
      <c r="C645" s="287"/>
      <c r="D645" s="288"/>
      <c r="E645" s="289"/>
      <c r="F645" s="290"/>
    </row>
    <row r="646" spans="1:6" x14ac:dyDescent="0.25">
      <c r="A646" s="61" t="s">
        <v>3753</v>
      </c>
      <c r="B646" s="66" t="s">
        <v>3312</v>
      </c>
      <c r="C646" s="65" t="s">
        <v>59</v>
      </c>
      <c r="D646" s="62"/>
      <c r="E646" s="88"/>
      <c r="F646" s="78"/>
    </row>
    <row r="647" spans="1:6" x14ac:dyDescent="0.25">
      <c r="A647" s="64"/>
      <c r="B647" s="66" t="s">
        <v>3550</v>
      </c>
      <c r="C647" s="66"/>
      <c r="D647" s="62" t="s">
        <v>3551</v>
      </c>
      <c r="E647" s="88"/>
      <c r="F647" s="78"/>
    </row>
    <row r="648" spans="1:6" x14ac:dyDescent="0.25">
      <c r="A648" s="64"/>
      <c r="B648" s="66"/>
      <c r="C648" s="66"/>
      <c r="D648" s="62"/>
      <c r="E648" s="88"/>
      <c r="F648" s="78"/>
    </row>
    <row r="649" spans="1:6" x14ac:dyDescent="0.25">
      <c r="A649" s="61" t="s">
        <v>4696</v>
      </c>
      <c r="B649" s="66" t="s">
        <v>3566</v>
      </c>
      <c r="C649" s="349" t="s">
        <v>3744</v>
      </c>
      <c r="E649" s="88"/>
      <c r="F649" s="78"/>
    </row>
    <row r="650" spans="1:6" x14ac:dyDescent="0.25">
      <c r="A650" s="64"/>
      <c r="B650" s="66" t="s">
        <v>3312</v>
      </c>
      <c r="C650" s="66"/>
      <c r="D650" s="62" t="s">
        <v>4695</v>
      </c>
      <c r="E650" s="88"/>
      <c r="F650" s="78"/>
    </row>
    <row r="651" spans="1:6" x14ac:dyDescent="0.25">
      <c r="A651" s="64"/>
      <c r="B651" s="66"/>
      <c r="C651" s="239" t="s">
        <v>4697</v>
      </c>
      <c r="D651" s="62"/>
      <c r="E651" s="88"/>
      <c r="F651" s="78"/>
    </row>
    <row r="652" spans="1:6" x14ac:dyDescent="0.25">
      <c r="A652" s="64"/>
      <c r="B652" s="66"/>
      <c r="C652" s="66"/>
      <c r="D652" s="62"/>
      <c r="E652" s="88"/>
      <c r="F652" s="78"/>
    </row>
    <row r="653" spans="1:6" x14ac:dyDescent="0.25">
      <c r="A653" s="59" t="s">
        <v>3694</v>
      </c>
      <c r="B653" s="66" t="s">
        <v>3553</v>
      </c>
      <c r="C653" s="65" t="s">
        <v>3668</v>
      </c>
      <c r="D653" s="62"/>
      <c r="E653" s="88"/>
      <c r="F653" s="78"/>
    </row>
    <row r="654" spans="1:6" x14ac:dyDescent="0.25">
      <c r="A654" s="61"/>
      <c r="B654" s="66" t="s">
        <v>3553</v>
      </c>
      <c r="C654" s="65" t="s">
        <v>3729</v>
      </c>
      <c r="D654" s="62"/>
      <c r="E654" s="88"/>
      <c r="F654" s="78"/>
    </row>
    <row r="655" spans="1:6" x14ac:dyDescent="0.25">
      <c r="A655" s="61"/>
      <c r="B655" s="66" t="s">
        <v>3553</v>
      </c>
      <c r="C655" s="65" t="s">
        <v>3669</v>
      </c>
      <c r="D655" s="62"/>
      <c r="E655" s="88"/>
      <c r="F655" s="78"/>
    </row>
    <row r="656" spans="1:6" x14ac:dyDescent="0.25">
      <c r="A656" s="64"/>
      <c r="B656" s="66" t="s">
        <v>3312</v>
      </c>
      <c r="C656" s="66"/>
      <c r="D656" s="62" t="s">
        <v>59</v>
      </c>
      <c r="E656" s="88"/>
      <c r="F656" s="78"/>
    </row>
    <row r="657" spans="1:7" x14ac:dyDescent="0.25">
      <c r="A657" s="64"/>
      <c r="B657" s="66"/>
      <c r="C657" s="637" t="s">
        <v>3666</v>
      </c>
      <c r="D657" s="638"/>
      <c r="E657" s="88"/>
      <c r="F657" s="78"/>
    </row>
    <row r="658" spans="1:7" x14ac:dyDescent="0.25">
      <c r="A658" s="64"/>
      <c r="B658" s="66"/>
      <c r="C658" s="274"/>
      <c r="D658" s="275"/>
      <c r="E658" s="88"/>
      <c r="F658" s="78"/>
    </row>
    <row r="659" spans="1:7" x14ac:dyDescent="0.25">
      <c r="A659" s="168" t="s">
        <v>3694</v>
      </c>
      <c r="B659" s="168" t="s">
        <v>3331</v>
      </c>
      <c r="C659" s="43" t="s">
        <v>3314</v>
      </c>
      <c r="D659" s="24"/>
      <c r="E659" s="88"/>
      <c r="F659" s="78"/>
    </row>
    <row r="660" spans="1:7" ht="25.5" customHeight="1" x14ac:dyDescent="0.25">
      <c r="A660" s="64"/>
      <c r="B660" s="64" t="s">
        <v>3330</v>
      </c>
      <c r="C660" s="43" t="s">
        <v>3315</v>
      </c>
      <c r="D660" s="24"/>
      <c r="E660" s="88"/>
      <c r="F660" s="78"/>
    </row>
    <row r="661" spans="1:7" x14ac:dyDescent="0.25">
      <c r="A661" s="64"/>
      <c r="B661" s="64" t="s">
        <v>3332</v>
      </c>
      <c r="C661" s="43" t="s">
        <v>3316</v>
      </c>
      <c r="D661" s="27"/>
      <c r="E661" s="88"/>
      <c r="F661" s="78"/>
    </row>
    <row r="662" spans="1:7" x14ac:dyDescent="0.25">
      <c r="A662" s="64"/>
      <c r="B662" s="64" t="s">
        <v>3333</v>
      </c>
      <c r="C662" s="43" t="s">
        <v>3317</v>
      </c>
      <c r="D662" s="27"/>
      <c r="E662" s="88"/>
      <c r="F662" s="78"/>
    </row>
    <row r="663" spans="1:7" x14ac:dyDescent="0.25">
      <c r="A663" s="64"/>
      <c r="B663" s="66" t="s">
        <v>3318</v>
      </c>
      <c r="C663" s="37"/>
      <c r="D663" s="44" t="s">
        <v>51</v>
      </c>
      <c r="E663" s="88"/>
      <c r="F663" s="78"/>
    </row>
    <row r="664" spans="1:7" x14ac:dyDescent="0.25">
      <c r="A664" s="64"/>
      <c r="B664" s="66" t="s">
        <v>3319</v>
      </c>
      <c r="C664" s="37"/>
      <c r="D664" s="44" t="s">
        <v>52</v>
      </c>
      <c r="E664" s="88"/>
      <c r="F664" s="78"/>
    </row>
    <row r="665" spans="1:7" x14ac:dyDescent="0.25">
      <c r="A665" s="64"/>
      <c r="B665" s="66" t="s">
        <v>3320</v>
      </c>
      <c r="C665" s="37"/>
      <c r="D665" s="44" t="s">
        <v>53</v>
      </c>
      <c r="E665" s="88"/>
      <c r="F665" s="78"/>
      <c r="G665" s="269"/>
    </row>
    <row r="666" spans="1:7" x14ac:dyDescent="0.25">
      <c r="A666" s="64"/>
      <c r="B666" s="66" t="s">
        <v>3321</v>
      </c>
      <c r="C666" s="37"/>
      <c r="D666" s="44" t="s">
        <v>54</v>
      </c>
      <c r="E666" s="88"/>
      <c r="F666" s="78"/>
    </row>
    <row r="667" spans="1:7" x14ac:dyDescent="0.25">
      <c r="A667" s="64"/>
      <c r="B667" s="66" t="s">
        <v>3326</v>
      </c>
      <c r="C667" s="37"/>
      <c r="D667" s="44" t="s">
        <v>3322</v>
      </c>
      <c r="E667" s="88"/>
      <c r="F667" s="78"/>
    </row>
    <row r="668" spans="1:7" x14ac:dyDescent="0.25">
      <c r="A668" s="64"/>
      <c r="B668" s="66" t="s">
        <v>3327</v>
      </c>
      <c r="C668" s="37"/>
      <c r="D668" s="44" t="s">
        <v>3323</v>
      </c>
      <c r="E668" s="88"/>
      <c r="F668" s="78"/>
    </row>
    <row r="669" spans="1:7" x14ac:dyDescent="0.25">
      <c r="A669" s="64"/>
      <c r="B669" s="66" t="s">
        <v>3328</v>
      </c>
      <c r="C669" s="37"/>
      <c r="D669" s="44" t="s">
        <v>3324</v>
      </c>
      <c r="E669" s="88"/>
      <c r="F669" s="78"/>
    </row>
    <row r="670" spans="1:7" x14ac:dyDescent="0.25">
      <c r="A670" s="64"/>
      <c r="B670" s="66" t="s">
        <v>3329</v>
      </c>
      <c r="C670" s="37"/>
      <c r="D670" s="44" t="s">
        <v>3325</v>
      </c>
      <c r="E670" s="88"/>
      <c r="F670" s="78"/>
    </row>
    <row r="671" spans="1:7" x14ac:dyDescent="0.25">
      <c r="A671" s="64"/>
      <c r="B671" s="66"/>
      <c r="C671" s="37"/>
      <c r="D671" s="44"/>
      <c r="E671" s="88"/>
      <c r="F671" s="78"/>
    </row>
    <row r="672" spans="1:7" x14ac:dyDescent="0.25">
      <c r="A672" s="168" t="str">
        <f>A659</f>
        <v>31 Agust</v>
      </c>
      <c r="B672" s="198" t="s">
        <v>3333</v>
      </c>
      <c r="C672" s="37" t="s">
        <v>94</v>
      </c>
      <c r="D672" s="44"/>
      <c r="E672" s="88"/>
      <c r="F672" s="78"/>
    </row>
    <row r="673" spans="1:6" x14ac:dyDescent="0.25">
      <c r="A673" s="64"/>
      <c r="B673" s="66" t="s">
        <v>3334</v>
      </c>
      <c r="C673" s="37"/>
      <c r="D673" s="44" t="s">
        <v>95</v>
      </c>
      <c r="E673" s="88"/>
      <c r="F673" s="78"/>
    </row>
    <row r="674" spans="1:6" x14ac:dyDescent="0.25">
      <c r="A674" s="64"/>
      <c r="B674" s="66"/>
      <c r="C674" s="66"/>
      <c r="D674" s="62"/>
      <c r="E674" s="88"/>
      <c r="F674" s="78"/>
    </row>
    <row r="675" spans="1:6" x14ac:dyDescent="0.25">
      <c r="A675" s="168" t="str">
        <f>A672</f>
        <v>31 Agust</v>
      </c>
      <c r="B675" s="186" t="s">
        <v>3312</v>
      </c>
      <c r="C675" s="37" t="s">
        <v>59</v>
      </c>
      <c r="D675" s="40"/>
      <c r="E675" s="88"/>
      <c r="F675" s="78"/>
    </row>
    <row r="676" spans="1:6" x14ac:dyDescent="0.25">
      <c r="A676" s="10"/>
      <c r="B676" s="185" t="s">
        <v>3339</v>
      </c>
      <c r="C676" s="37" t="s">
        <v>3338</v>
      </c>
      <c r="D676" s="40"/>
      <c r="E676" s="88"/>
      <c r="F676" s="78"/>
    </row>
    <row r="677" spans="1:6" x14ac:dyDescent="0.25">
      <c r="A677" s="10"/>
      <c r="B677" s="185" t="s">
        <v>3341</v>
      </c>
      <c r="C677" s="37"/>
      <c r="D677" s="40" t="s">
        <v>3340</v>
      </c>
      <c r="E677" s="88"/>
      <c r="F677" s="78"/>
    </row>
    <row r="678" spans="1:6" x14ac:dyDescent="0.25">
      <c r="A678" s="10"/>
      <c r="B678" s="185"/>
      <c r="C678" s="37"/>
      <c r="D678" s="40"/>
      <c r="E678" s="88"/>
      <c r="F678" s="78"/>
    </row>
    <row r="679" spans="1:6" x14ac:dyDescent="0.25">
      <c r="A679" s="69" t="str">
        <f>A675</f>
        <v>31 Agust</v>
      </c>
      <c r="B679" s="186" t="s">
        <v>3312</v>
      </c>
      <c r="C679" s="37" t="s">
        <v>59</v>
      </c>
      <c r="D679" s="40"/>
      <c r="E679" s="88"/>
      <c r="F679" s="78"/>
    </row>
    <row r="680" spans="1:6" x14ac:dyDescent="0.25">
      <c r="A680" s="10"/>
      <c r="B680" s="185" t="s">
        <v>3339</v>
      </c>
      <c r="C680" s="37" t="s">
        <v>80</v>
      </c>
      <c r="D680" s="40"/>
      <c r="E680" s="88"/>
      <c r="F680" s="78"/>
    </row>
    <row r="681" spans="1:6" x14ac:dyDescent="0.25">
      <c r="A681" s="10"/>
      <c r="B681" s="185" t="s">
        <v>3341</v>
      </c>
      <c r="C681" s="37"/>
      <c r="D681" s="40" t="s">
        <v>81</v>
      </c>
      <c r="E681" s="82"/>
      <c r="F681" s="78"/>
    </row>
    <row r="682" spans="1:6" x14ac:dyDescent="0.25">
      <c r="A682" s="10"/>
      <c r="B682" s="19"/>
      <c r="C682" s="17"/>
      <c r="D682" s="40"/>
      <c r="E682" s="82"/>
      <c r="F682" s="104"/>
    </row>
    <row r="683" spans="1:6" ht="15.75" thickBot="1" x14ac:dyDescent="0.3">
      <c r="A683" s="640"/>
      <c r="B683" s="641"/>
      <c r="C683" s="641"/>
      <c r="D683" s="642"/>
      <c r="E683" s="105">
        <f>SUM(E646:E681)</f>
        <v>0</v>
      </c>
      <c r="F683" s="106">
        <f>SUM(F646:F681)</f>
        <v>0</v>
      </c>
    </row>
    <row r="684" spans="1:6" x14ac:dyDescent="0.25">
      <c r="A684" s="96"/>
      <c r="B684" s="96"/>
      <c r="C684" s="96"/>
      <c r="D684" s="96"/>
      <c r="E684" s="97"/>
      <c r="F684" s="97"/>
    </row>
    <row r="685" spans="1:6" x14ac:dyDescent="0.25">
      <c r="A685" s="96"/>
      <c r="B685" s="96"/>
      <c r="C685" s="96"/>
      <c r="D685" s="96"/>
      <c r="E685" s="97"/>
      <c r="F685" s="97"/>
    </row>
    <row r="686" spans="1:6" x14ac:dyDescent="0.25">
      <c r="A686" s="96"/>
      <c r="B686" s="96"/>
      <c r="C686" s="96"/>
      <c r="D686" s="96"/>
      <c r="E686" s="97"/>
      <c r="F686" s="97"/>
    </row>
    <row r="687" spans="1:6" x14ac:dyDescent="0.25">
      <c r="A687" s="96"/>
      <c r="B687" s="96"/>
      <c r="C687" s="96"/>
      <c r="D687" s="96"/>
      <c r="E687" s="97"/>
      <c r="F687" s="97"/>
    </row>
    <row r="688" spans="1:6" x14ac:dyDescent="0.25">
      <c r="A688" s="96"/>
      <c r="B688" s="96"/>
      <c r="C688" s="96"/>
      <c r="D688" s="96"/>
      <c r="E688" s="97"/>
      <c r="F688" s="97"/>
    </row>
    <row r="689" spans="1:6" x14ac:dyDescent="0.25">
      <c r="A689" s="96"/>
      <c r="B689" s="96"/>
      <c r="C689" s="96"/>
      <c r="D689" s="96"/>
      <c r="E689" s="97"/>
      <c r="F689" s="97"/>
    </row>
    <row r="690" spans="1:6" x14ac:dyDescent="0.25">
      <c r="A690" s="96"/>
      <c r="B690" s="96"/>
      <c r="C690" s="96"/>
      <c r="D690" s="96"/>
      <c r="E690" s="97"/>
      <c r="F690" s="97"/>
    </row>
    <row r="691" spans="1:6" x14ac:dyDescent="0.25">
      <c r="A691" s="96"/>
      <c r="B691" s="96"/>
      <c r="C691" s="96"/>
      <c r="D691" s="96"/>
      <c r="E691" s="97"/>
      <c r="F691" s="97"/>
    </row>
    <row r="692" spans="1:6" x14ac:dyDescent="0.25">
      <c r="A692" s="96"/>
      <c r="B692" s="96"/>
      <c r="C692" s="96"/>
      <c r="D692" s="96"/>
      <c r="E692" s="97"/>
      <c r="F692" s="97"/>
    </row>
    <row r="693" spans="1:6" x14ac:dyDescent="0.25">
      <c r="A693" s="96"/>
      <c r="B693" s="96"/>
      <c r="C693" s="96"/>
      <c r="D693" s="96"/>
      <c r="E693" s="97"/>
      <c r="F693" s="97"/>
    </row>
    <row r="694" spans="1:6" x14ac:dyDescent="0.25">
      <c r="A694" s="96"/>
      <c r="B694" s="96"/>
      <c r="C694" s="96"/>
      <c r="D694" s="96"/>
      <c r="E694" s="97"/>
      <c r="F694" s="97"/>
    </row>
    <row r="695" spans="1:6" x14ac:dyDescent="0.25">
      <c r="A695" s="96"/>
      <c r="B695" s="96"/>
      <c r="C695" s="96"/>
      <c r="D695" s="96"/>
      <c r="E695" s="97"/>
      <c r="F695" s="97"/>
    </row>
    <row r="696" spans="1:6" x14ac:dyDescent="0.25">
      <c r="A696" s="96"/>
      <c r="B696" s="96"/>
      <c r="C696" s="96"/>
      <c r="D696" s="96"/>
      <c r="E696" s="97"/>
      <c r="F696" s="97"/>
    </row>
    <row r="697" spans="1:6" x14ac:dyDescent="0.25">
      <c r="A697" s="96"/>
      <c r="B697" s="96"/>
      <c r="C697" s="96"/>
      <c r="D697" s="96"/>
      <c r="E697" s="97"/>
      <c r="F697" s="97"/>
    </row>
    <row r="698" spans="1:6" x14ac:dyDescent="0.25">
      <c r="A698" s="96"/>
      <c r="B698" s="96"/>
      <c r="C698" s="96"/>
      <c r="D698" s="96"/>
      <c r="E698" s="97"/>
      <c r="F698" s="97"/>
    </row>
    <row r="699" spans="1:6" x14ac:dyDescent="0.25">
      <c r="A699" s="96"/>
      <c r="B699" s="96"/>
      <c r="C699" s="96"/>
      <c r="D699" s="96"/>
      <c r="E699" s="97"/>
      <c r="F699" s="97"/>
    </row>
    <row r="700" spans="1:6" x14ac:dyDescent="0.25">
      <c r="A700" s="96"/>
      <c r="B700" s="96"/>
      <c r="C700" s="96"/>
      <c r="D700" s="96"/>
      <c r="E700" s="97"/>
      <c r="F700" s="97"/>
    </row>
    <row r="701" spans="1:6" x14ac:dyDescent="0.25">
      <c r="A701" s="96"/>
      <c r="B701" s="96"/>
      <c r="C701" s="96"/>
      <c r="D701" s="96"/>
      <c r="E701" s="97"/>
      <c r="F701" s="97"/>
    </row>
    <row r="702" spans="1:6" x14ac:dyDescent="0.25">
      <c r="A702" s="96"/>
      <c r="B702" s="96"/>
      <c r="C702" s="96"/>
      <c r="D702" s="96"/>
      <c r="E702" s="97"/>
      <c r="F702" s="97"/>
    </row>
    <row r="703" spans="1:6" x14ac:dyDescent="0.25">
      <c r="A703" s="96"/>
      <c r="B703" s="96"/>
      <c r="C703" s="96"/>
      <c r="D703" s="96"/>
      <c r="E703" s="97"/>
      <c r="F703" s="97"/>
    </row>
    <row r="704" spans="1:6" x14ac:dyDescent="0.25">
      <c r="A704" s="96"/>
      <c r="B704" s="96"/>
      <c r="C704" s="96"/>
      <c r="D704" s="96"/>
      <c r="E704" s="97"/>
      <c r="F704" s="97"/>
    </row>
    <row r="705" spans="1:6" x14ac:dyDescent="0.25">
      <c r="A705" s="96"/>
      <c r="B705" s="96"/>
      <c r="C705" s="96"/>
      <c r="D705" s="96"/>
      <c r="E705" s="97"/>
      <c r="F705" s="97"/>
    </row>
    <row r="706" spans="1:6" x14ac:dyDescent="0.25">
      <c r="A706" s="96"/>
      <c r="B706" s="96"/>
      <c r="C706" s="96"/>
      <c r="D706" s="96"/>
      <c r="E706" s="97"/>
      <c r="F706" s="97"/>
    </row>
    <row r="707" spans="1:6" x14ac:dyDescent="0.25">
      <c r="A707" s="96"/>
      <c r="B707" s="96"/>
      <c r="C707" s="96"/>
      <c r="D707" s="96"/>
      <c r="E707" s="97"/>
      <c r="F707" s="97"/>
    </row>
    <row r="708" spans="1:6" x14ac:dyDescent="0.25">
      <c r="A708" s="96"/>
      <c r="B708" s="96"/>
      <c r="C708" s="96"/>
      <c r="D708" s="96"/>
      <c r="E708" s="97"/>
      <c r="F708" s="97"/>
    </row>
    <row r="709" spans="1:6" x14ac:dyDescent="0.25">
      <c r="A709" s="96"/>
      <c r="B709" s="96"/>
      <c r="C709" s="96"/>
      <c r="D709" s="96"/>
      <c r="E709" s="97"/>
      <c r="F709" s="97"/>
    </row>
    <row r="710" spans="1:6" x14ac:dyDescent="0.25">
      <c r="A710" s="96"/>
      <c r="B710" s="96"/>
      <c r="C710" s="96"/>
      <c r="D710" s="96"/>
      <c r="E710" s="97"/>
      <c r="F710" s="97"/>
    </row>
    <row r="711" spans="1:6" x14ac:dyDescent="0.25">
      <c r="A711" s="96"/>
      <c r="B711" s="96"/>
      <c r="C711" s="96"/>
      <c r="D711" s="96"/>
      <c r="E711" s="97"/>
      <c r="F711" s="97"/>
    </row>
    <row r="712" spans="1:6" x14ac:dyDescent="0.25">
      <c r="A712" s="96"/>
      <c r="B712" s="96"/>
      <c r="C712" s="96"/>
      <c r="D712" s="96"/>
      <c r="E712" s="97"/>
      <c r="F712" s="97"/>
    </row>
    <row r="713" spans="1:6" x14ac:dyDescent="0.25">
      <c r="A713" s="96"/>
      <c r="B713" s="96"/>
      <c r="C713" s="96"/>
      <c r="D713" s="96"/>
      <c r="E713" s="97"/>
      <c r="F713" s="97"/>
    </row>
    <row r="714" spans="1:6" x14ac:dyDescent="0.25">
      <c r="A714" s="96"/>
      <c r="B714" s="96"/>
      <c r="C714" s="96"/>
      <c r="D714" s="96"/>
      <c r="E714" s="97"/>
      <c r="F714" s="97"/>
    </row>
    <row r="715" spans="1:6" x14ac:dyDescent="0.25">
      <c r="A715" s="96"/>
      <c r="B715" s="96"/>
      <c r="C715" s="96"/>
      <c r="D715" s="96"/>
      <c r="E715" s="97"/>
      <c r="F715" s="97"/>
    </row>
    <row r="716" spans="1:6" x14ac:dyDescent="0.25">
      <c r="A716" s="96"/>
      <c r="B716" s="96"/>
      <c r="C716" s="96"/>
      <c r="D716" s="96"/>
      <c r="E716" s="97"/>
      <c r="F716" s="97"/>
    </row>
    <row r="717" spans="1:6" x14ac:dyDescent="0.25">
      <c r="A717" s="96"/>
      <c r="B717" s="96"/>
      <c r="C717" s="96"/>
      <c r="D717" s="96"/>
      <c r="E717" s="97"/>
      <c r="F717" s="97"/>
    </row>
    <row r="718" spans="1:6" x14ac:dyDescent="0.25">
      <c r="A718" s="96"/>
      <c r="B718" s="96"/>
      <c r="C718" s="96"/>
      <c r="D718" s="96"/>
      <c r="E718" s="97"/>
      <c r="F718" s="97"/>
    </row>
    <row r="719" spans="1:6" x14ac:dyDescent="0.25">
      <c r="A719" s="96"/>
      <c r="B719" s="96"/>
      <c r="C719" s="96"/>
      <c r="D719" s="96"/>
      <c r="E719" s="97"/>
      <c r="F719" s="97"/>
    </row>
    <row r="720" spans="1:6" x14ac:dyDescent="0.25">
      <c r="A720" s="96"/>
      <c r="B720" s="96"/>
      <c r="C720" s="96"/>
      <c r="D720" s="96"/>
      <c r="E720" s="97"/>
      <c r="F720" s="97"/>
    </row>
    <row r="721" spans="1:6" x14ac:dyDescent="0.25">
      <c r="A721" s="96"/>
      <c r="B721" s="96"/>
      <c r="C721" s="96"/>
      <c r="D721" s="96"/>
      <c r="E721" s="97"/>
      <c r="F721" s="97"/>
    </row>
    <row r="722" spans="1:6" x14ac:dyDescent="0.25">
      <c r="A722" s="96"/>
      <c r="B722" s="96"/>
      <c r="C722" s="96"/>
      <c r="D722" s="96"/>
      <c r="E722" s="97"/>
      <c r="F722" s="97"/>
    </row>
    <row r="723" spans="1:6" x14ac:dyDescent="0.25">
      <c r="A723" s="96"/>
      <c r="B723" s="96"/>
      <c r="C723" s="96"/>
      <c r="D723" s="96"/>
      <c r="E723" s="97"/>
      <c r="F723" s="97"/>
    </row>
    <row r="724" spans="1:6" x14ac:dyDescent="0.25">
      <c r="A724" s="96"/>
      <c r="B724" s="96"/>
      <c r="C724" s="96"/>
      <c r="D724" s="96"/>
      <c r="E724" s="97"/>
      <c r="F724" s="97"/>
    </row>
    <row r="725" spans="1:6" x14ac:dyDescent="0.25">
      <c r="A725" s="96"/>
      <c r="B725" s="96"/>
      <c r="C725" s="96"/>
      <c r="D725" s="96"/>
      <c r="E725" s="97"/>
      <c r="F725" s="97"/>
    </row>
    <row r="726" spans="1:6" x14ac:dyDescent="0.25">
      <c r="A726" s="96"/>
      <c r="B726" s="96"/>
      <c r="C726" s="96"/>
      <c r="D726" s="96"/>
      <c r="E726" s="97"/>
      <c r="F726" s="97"/>
    </row>
    <row r="727" spans="1:6" x14ac:dyDescent="0.25">
      <c r="A727" s="96"/>
      <c r="B727" s="96"/>
      <c r="C727" s="96"/>
      <c r="D727" s="96"/>
      <c r="E727" s="97"/>
      <c r="F727" s="97"/>
    </row>
    <row r="728" spans="1:6" x14ac:dyDescent="0.25">
      <c r="A728" s="96"/>
      <c r="B728" s="96"/>
      <c r="C728" s="96"/>
      <c r="D728" s="96"/>
      <c r="E728" s="97"/>
      <c r="F728" s="97"/>
    </row>
    <row r="729" spans="1:6" x14ac:dyDescent="0.25">
      <c r="A729" s="96"/>
      <c r="B729" s="96"/>
      <c r="C729" s="96"/>
      <c r="D729" s="96"/>
      <c r="E729" s="97"/>
      <c r="F729" s="97"/>
    </row>
    <row r="730" spans="1:6" x14ac:dyDescent="0.25">
      <c r="A730" s="96"/>
      <c r="B730" s="96"/>
      <c r="C730" s="96"/>
      <c r="D730" s="96"/>
      <c r="E730" s="97"/>
      <c r="F730" s="97"/>
    </row>
    <row r="731" spans="1:6" x14ac:dyDescent="0.25">
      <c r="A731" s="96"/>
      <c r="B731" s="96"/>
      <c r="C731" s="96"/>
      <c r="D731" s="96"/>
      <c r="E731" s="97"/>
      <c r="F731" s="97"/>
    </row>
    <row r="732" spans="1:6" x14ac:dyDescent="0.25">
      <c r="A732" s="96"/>
      <c r="B732" s="96"/>
      <c r="C732" s="96"/>
      <c r="D732" s="96"/>
      <c r="E732" s="97"/>
      <c r="F732" s="97"/>
    </row>
    <row r="733" spans="1:6" x14ac:dyDescent="0.25">
      <c r="A733" s="96"/>
      <c r="B733" s="96"/>
      <c r="C733" s="96"/>
      <c r="D733" s="96"/>
      <c r="E733" s="97"/>
      <c r="F733" s="97"/>
    </row>
    <row r="734" spans="1:6" x14ac:dyDescent="0.25">
      <c r="A734" s="50" t="s">
        <v>0</v>
      </c>
      <c r="B734" s="50"/>
      <c r="C734" s="50"/>
      <c r="D734" s="9"/>
      <c r="E734" s="84"/>
      <c r="F734" s="75"/>
    </row>
    <row r="735" spans="1:6" x14ac:dyDescent="0.25">
      <c r="A735" s="50" t="s">
        <v>1</v>
      </c>
      <c r="B735" s="50"/>
      <c r="C735" s="50"/>
      <c r="D735" s="9"/>
      <c r="E735" s="84"/>
      <c r="F735" s="75"/>
    </row>
    <row r="736" spans="1:6" x14ac:dyDescent="0.25">
      <c r="A736" s="50" t="s">
        <v>16</v>
      </c>
      <c r="B736" s="50"/>
      <c r="C736" s="50"/>
      <c r="D736" s="9"/>
      <c r="E736" s="84"/>
      <c r="F736" s="75"/>
    </row>
    <row r="737" spans="1:6" x14ac:dyDescent="0.25">
      <c r="A737" s="643"/>
      <c r="B737" s="643"/>
      <c r="C737" s="643"/>
      <c r="D737" s="643"/>
      <c r="E737" s="643"/>
      <c r="F737" s="643"/>
    </row>
    <row r="738" spans="1:6" x14ac:dyDescent="0.25">
      <c r="A738" s="643" t="s">
        <v>3361</v>
      </c>
      <c r="B738" s="643"/>
      <c r="C738" s="643"/>
      <c r="D738" s="643"/>
      <c r="E738" s="643"/>
      <c r="F738" s="643"/>
    </row>
    <row r="739" spans="1:6" x14ac:dyDescent="0.25">
      <c r="A739" s="643" t="s">
        <v>3800</v>
      </c>
      <c r="B739" s="643"/>
      <c r="C739" s="643"/>
      <c r="D739" s="643"/>
      <c r="E739" s="643"/>
      <c r="F739" s="643"/>
    </row>
    <row r="740" spans="1:6" ht="15.75" thickBot="1" x14ac:dyDescent="0.3">
      <c r="A740" s="1"/>
      <c r="B740" s="1"/>
      <c r="C740" s="1"/>
      <c r="D740" s="1"/>
      <c r="E740" s="85"/>
      <c r="F740" s="76"/>
    </row>
    <row r="741" spans="1:6" x14ac:dyDescent="0.25">
      <c r="A741" s="53" t="s">
        <v>12</v>
      </c>
      <c r="B741" s="193" t="s">
        <v>3285</v>
      </c>
      <c r="C741" s="639" t="s">
        <v>3282</v>
      </c>
      <c r="D741" s="639"/>
      <c r="E741" s="199" t="s">
        <v>90</v>
      </c>
      <c r="F741" s="200" t="s">
        <v>10</v>
      </c>
    </row>
    <row r="742" spans="1:6" x14ac:dyDescent="0.25">
      <c r="A742" s="241" t="s">
        <v>3697</v>
      </c>
      <c r="B742" s="250" t="s">
        <v>3553</v>
      </c>
      <c r="C742" s="281" t="s">
        <v>59</v>
      </c>
      <c r="D742" s="282"/>
      <c r="E742" s="283">
        <f>F656</f>
        <v>0</v>
      </c>
      <c r="F742" s="284"/>
    </row>
    <row r="743" spans="1:6" x14ac:dyDescent="0.25">
      <c r="A743" s="249"/>
      <c r="B743" s="250"/>
      <c r="C743" s="250"/>
      <c r="D743" s="282" t="s">
        <v>3552</v>
      </c>
      <c r="E743" s="283"/>
      <c r="F743" s="284">
        <f>E742</f>
        <v>0</v>
      </c>
    </row>
    <row r="744" spans="1:6" x14ac:dyDescent="0.25">
      <c r="A744" s="249"/>
      <c r="B744" s="250"/>
      <c r="C744" s="285" t="s">
        <v>3667</v>
      </c>
      <c r="D744" s="282"/>
      <c r="E744" s="283"/>
      <c r="F744" s="284"/>
    </row>
    <row r="745" spans="1:6" x14ac:dyDescent="0.25">
      <c r="A745" s="56"/>
      <c r="B745" s="256"/>
      <c r="C745" s="257"/>
      <c r="D745" s="258"/>
      <c r="E745" s="259"/>
      <c r="F745" s="80"/>
    </row>
    <row r="746" spans="1:6" x14ac:dyDescent="0.25">
      <c r="A746" s="56"/>
      <c r="B746" s="256"/>
      <c r="C746" s="257"/>
      <c r="D746" s="258"/>
      <c r="E746" s="259"/>
      <c r="F746" s="80"/>
    </row>
    <row r="747" spans="1:6" x14ac:dyDescent="0.25">
      <c r="A747" s="61" t="s">
        <v>4832</v>
      </c>
      <c r="B747" s="66" t="s">
        <v>3312</v>
      </c>
      <c r="C747" s="65" t="s">
        <v>59</v>
      </c>
      <c r="D747" s="62"/>
      <c r="E747" s="259"/>
      <c r="F747" s="78"/>
    </row>
    <row r="748" spans="1:6" x14ac:dyDescent="0.25">
      <c r="A748" s="64"/>
      <c r="B748" s="66" t="s">
        <v>3550</v>
      </c>
      <c r="C748" s="66"/>
      <c r="D748" s="62" t="s">
        <v>3839</v>
      </c>
      <c r="E748" s="259"/>
      <c r="F748" s="78"/>
    </row>
    <row r="749" spans="1:6" x14ac:dyDescent="0.25">
      <c r="A749" s="64"/>
      <c r="B749" s="66"/>
      <c r="C749" s="239" t="s">
        <v>4833</v>
      </c>
      <c r="D749" s="62"/>
      <c r="E749" s="259"/>
      <c r="F749" s="78"/>
    </row>
    <row r="750" spans="1:6" x14ac:dyDescent="0.25">
      <c r="A750" s="56"/>
      <c r="B750" s="256"/>
      <c r="C750" s="257"/>
      <c r="D750" s="258"/>
      <c r="E750" s="259"/>
      <c r="F750" s="78"/>
    </row>
    <row r="751" spans="1:6" x14ac:dyDescent="0.25">
      <c r="A751" s="61" t="s">
        <v>3754</v>
      </c>
      <c r="B751" s="66" t="s">
        <v>3312</v>
      </c>
      <c r="C751" s="65" t="s">
        <v>59</v>
      </c>
      <c r="D751" s="62"/>
      <c r="E751" s="259"/>
      <c r="F751" s="78"/>
    </row>
    <row r="752" spans="1:6" x14ac:dyDescent="0.25">
      <c r="A752" s="64"/>
      <c r="B752" s="66" t="s">
        <v>3550</v>
      </c>
      <c r="C752" s="66"/>
      <c r="D752" s="62" t="s">
        <v>3551</v>
      </c>
      <c r="E752" s="259"/>
      <c r="F752" s="78"/>
    </row>
    <row r="753" spans="1:6" x14ac:dyDescent="0.25">
      <c r="A753" s="64"/>
      <c r="B753" s="66"/>
      <c r="C753" s="66"/>
      <c r="D753" s="62"/>
      <c r="E753" s="259"/>
      <c r="F753" s="78"/>
    </row>
    <row r="754" spans="1:6" x14ac:dyDescent="0.25">
      <c r="A754" s="61" t="s">
        <v>4701</v>
      </c>
      <c r="B754" s="185" t="s">
        <v>3339</v>
      </c>
      <c r="C754" s="65" t="s">
        <v>3751</v>
      </c>
      <c r="D754" s="62"/>
      <c r="E754" s="259"/>
      <c r="F754" s="78"/>
    </row>
    <row r="755" spans="1:6" x14ac:dyDescent="0.25">
      <c r="A755" s="64"/>
      <c r="B755" s="66" t="s">
        <v>3312</v>
      </c>
      <c r="C755" s="66"/>
      <c r="D755" s="62" t="s">
        <v>59</v>
      </c>
      <c r="E755" s="259"/>
      <c r="F755" s="78"/>
    </row>
    <row r="756" spans="1:6" x14ac:dyDescent="0.25">
      <c r="A756" s="64"/>
      <c r="B756" s="66"/>
      <c r="C756" s="637" t="s">
        <v>4702</v>
      </c>
      <c r="D756" s="638"/>
      <c r="E756" s="259"/>
      <c r="F756" s="78"/>
    </row>
    <row r="757" spans="1:6" x14ac:dyDescent="0.25">
      <c r="A757" s="64"/>
      <c r="B757" s="66"/>
      <c r="C757" s="66"/>
      <c r="D757" s="62"/>
      <c r="E757" s="259"/>
      <c r="F757" s="78"/>
    </row>
    <row r="758" spans="1:6" x14ac:dyDescent="0.25">
      <c r="A758" s="61" t="s">
        <v>3261</v>
      </c>
      <c r="B758" s="66" t="s">
        <v>3312</v>
      </c>
      <c r="C758" s="65" t="s">
        <v>59</v>
      </c>
      <c r="D758" s="62"/>
      <c r="E758" s="259"/>
      <c r="F758" s="78"/>
    </row>
    <row r="759" spans="1:6" x14ac:dyDescent="0.25">
      <c r="A759" s="64"/>
      <c r="B759" s="66" t="s">
        <v>3550</v>
      </c>
      <c r="C759" s="66"/>
      <c r="D759" s="62" t="s">
        <v>3839</v>
      </c>
      <c r="E759" s="259"/>
      <c r="F759" s="78"/>
    </row>
    <row r="760" spans="1:6" x14ac:dyDescent="0.25">
      <c r="A760" s="64"/>
      <c r="B760" s="66"/>
      <c r="C760" s="239" t="s">
        <v>4833</v>
      </c>
      <c r="D760" s="62"/>
      <c r="E760" s="259"/>
      <c r="F760" s="78"/>
    </row>
    <row r="761" spans="1:6" x14ac:dyDescent="0.25">
      <c r="A761" s="64"/>
      <c r="B761" s="66"/>
      <c r="C761" s="66"/>
      <c r="D761" s="62"/>
      <c r="E761" s="259"/>
      <c r="F761" s="78"/>
    </row>
    <row r="762" spans="1:6" x14ac:dyDescent="0.25">
      <c r="A762" s="59" t="s">
        <v>3261</v>
      </c>
      <c r="B762" s="66" t="s">
        <v>3553</v>
      </c>
      <c r="C762" s="65" t="s">
        <v>3668</v>
      </c>
      <c r="D762" s="62"/>
      <c r="E762" s="259"/>
      <c r="F762" s="78"/>
    </row>
    <row r="763" spans="1:6" x14ac:dyDescent="0.25">
      <c r="A763" s="59"/>
      <c r="B763" s="66" t="s">
        <v>3553</v>
      </c>
      <c r="C763" s="65" t="s">
        <v>3729</v>
      </c>
      <c r="D763" s="62"/>
      <c r="E763" s="259"/>
      <c r="F763" s="78"/>
    </row>
    <row r="764" spans="1:6" x14ac:dyDescent="0.25">
      <c r="A764" s="61"/>
      <c r="B764" s="66" t="s">
        <v>3553</v>
      </c>
      <c r="C764" s="65" t="s">
        <v>3669</v>
      </c>
      <c r="D764" s="62"/>
      <c r="E764" s="259"/>
      <c r="F764" s="78"/>
    </row>
    <row r="765" spans="1:6" x14ac:dyDescent="0.25">
      <c r="A765" s="64"/>
      <c r="B765" s="66" t="s">
        <v>3312</v>
      </c>
      <c r="C765" s="66"/>
      <c r="D765" s="62" t="s">
        <v>59</v>
      </c>
      <c r="E765" s="259"/>
      <c r="F765" s="78"/>
    </row>
    <row r="766" spans="1:6" x14ac:dyDescent="0.25">
      <c r="A766" s="64"/>
      <c r="B766" s="66"/>
      <c r="C766" s="637" t="s">
        <v>3666</v>
      </c>
      <c r="D766" s="638"/>
      <c r="E766" s="88"/>
      <c r="F766" s="78"/>
    </row>
    <row r="767" spans="1:6" x14ac:dyDescent="0.25">
      <c r="A767" s="64"/>
      <c r="B767" s="66"/>
      <c r="C767" s="274"/>
      <c r="D767" s="275"/>
      <c r="E767" s="88"/>
      <c r="F767" s="78"/>
    </row>
    <row r="768" spans="1:6" x14ac:dyDescent="0.25">
      <c r="A768" s="168" t="s">
        <v>3261</v>
      </c>
      <c r="B768" s="168" t="s">
        <v>3331</v>
      </c>
      <c r="C768" s="43" t="s">
        <v>3314</v>
      </c>
      <c r="D768" s="24"/>
      <c r="E768" s="88"/>
      <c r="F768" s="78"/>
    </row>
    <row r="769" spans="1:8" ht="21" customHeight="1" x14ac:dyDescent="0.25">
      <c r="A769" s="64"/>
      <c r="B769" s="64" t="s">
        <v>3330</v>
      </c>
      <c r="C769" s="43" t="s">
        <v>3315</v>
      </c>
      <c r="D769" s="24"/>
      <c r="E769" s="88"/>
      <c r="F769" s="78"/>
      <c r="G769" s="365"/>
      <c r="H769" s="89"/>
    </row>
    <row r="770" spans="1:8" x14ac:dyDescent="0.25">
      <c r="A770" s="64"/>
      <c r="B770" s="64" t="s">
        <v>3332</v>
      </c>
      <c r="C770" s="43" t="s">
        <v>3316</v>
      </c>
      <c r="D770" s="27"/>
      <c r="E770" s="88"/>
      <c r="F770" s="78"/>
    </row>
    <row r="771" spans="1:8" x14ac:dyDescent="0.25">
      <c r="A771" s="64"/>
      <c r="B771" s="64" t="s">
        <v>3333</v>
      </c>
      <c r="C771" s="43" t="s">
        <v>3317</v>
      </c>
      <c r="D771" s="27"/>
      <c r="E771" s="88"/>
      <c r="F771" s="78"/>
    </row>
    <row r="772" spans="1:8" x14ac:dyDescent="0.25">
      <c r="A772" s="64"/>
      <c r="B772" s="66" t="s">
        <v>3318</v>
      </c>
      <c r="C772" s="37"/>
      <c r="D772" s="44" t="s">
        <v>51</v>
      </c>
      <c r="E772" s="88"/>
      <c r="F772" s="78"/>
    </row>
    <row r="773" spans="1:8" x14ac:dyDescent="0.25">
      <c r="A773" s="64"/>
      <c r="B773" s="66" t="s">
        <v>3319</v>
      </c>
      <c r="C773" s="37"/>
      <c r="D773" s="44" t="s">
        <v>52</v>
      </c>
      <c r="E773" s="88"/>
      <c r="F773" s="78"/>
    </row>
    <row r="774" spans="1:8" x14ac:dyDescent="0.25">
      <c r="A774" s="64"/>
      <c r="B774" s="66" t="s">
        <v>3320</v>
      </c>
      <c r="C774" s="37"/>
      <c r="D774" s="44" t="s">
        <v>53</v>
      </c>
      <c r="E774" s="88"/>
      <c r="F774" s="78"/>
    </row>
    <row r="775" spans="1:8" x14ac:dyDescent="0.25">
      <c r="A775" s="64"/>
      <c r="B775" s="66" t="s">
        <v>3321</v>
      </c>
      <c r="C775" s="37"/>
      <c r="D775" s="44" t="s">
        <v>54</v>
      </c>
      <c r="E775" s="88"/>
      <c r="F775" s="78"/>
    </row>
    <row r="776" spans="1:8" x14ac:dyDescent="0.25">
      <c r="A776" s="64"/>
      <c r="B776" s="66" t="s">
        <v>3326</v>
      </c>
      <c r="C776" s="37"/>
      <c r="D776" s="44" t="s">
        <v>3322</v>
      </c>
      <c r="E776" s="88"/>
      <c r="F776" s="78"/>
    </row>
    <row r="777" spans="1:8" x14ac:dyDescent="0.25">
      <c r="A777" s="64"/>
      <c r="B777" s="66" t="s">
        <v>3327</v>
      </c>
      <c r="C777" s="37"/>
      <c r="D777" s="44" t="s">
        <v>3323</v>
      </c>
      <c r="E777" s="88"/>
      <c r="F777" s="78"/>
    </row>
    <row r="778" spans="1:8" x14ac:dyDescent="0.25">
      <c r="A778" s="64"/>
      <c r="B778" s="66" t="s">
        <v>3328</v>
      </c>
      <c r="C778" s="37"/>
      <c r="D778" s="44" t="s">
        <v>3324</v>
      </c>
      <c r="E778" s="88"/>
      <c r="F778" s="78"/>
    </row>
    <row r="779" spans="1:8" x14ac:dyDescent="0.25">
      <c r="A779" s="64"/>
      <c r="B779" s="66" t="s">
        <v>3329</v>
      </c>
      <c r="C779" s="37"/>
      <c r="D779" s="44" t="s">
        <v>3325</v>
      </c>
      <c r="E779" s="88"/>
      <c r="F779" s="78"/>
    </row>
    <row r="780" spans="1:8" x14ac:dyDescent="0.25">
      <c r="A780" s="64"/>
      <c r="B780" s="66"/>
      <c r="C780" s="37"/>
      <c r="D780" s="44"/>
      <c r="E780" s="88"/>
      <c r="F780" s="78"/>
    </row>
    <row r="781" spans="1:8" x14ac:dyDescent="0.25">
      <c r="A781" s="168" t="str">
        <f>A768</f>
        <v>30 Sept</v>
      </c>
      <c r="B781" s="198" t="s">
        <v>3333</v>
      </c>
      <c r="C781" s="37" t="s">
        <v>94</v>
      </c>
      <c r="D781" s="44"/>
      <c r="E781" s="88"/>
      <c r="F781" s="78"/>
    </row>
    <row r="782" spans="1:8" x14ac:dyDescent="0.25">
      <c r="A782" s="64"/>
      <c r="B782" s="66" t="s">
        <v>3334</v>
      </c>
      <c r="C782" s="37"/>
      <c r="D782" s="44" t="s">
        <v>95</v>
      </c>
      <c r="E782" s="88"/>
      <c r="F782" s="78"/>
    </row>
    <row r="783" spans="1:8" x14ac:dyDescent="0.25">
      <c r="A783" s="64"/>
      <c r="B783" s="66"/>
      <c r="C783" s="66"/>
      <c r="D783" s="62"/>
      <c r="E783" s="88"/>
      <c r="F783" s="78"/>
    </row>
    <row r="784" spans="1:8" x14ac:dyDescent="0.25">
      <c r="A784" s="168" t="str">
        <f>A781</f>
        <v>30 Sept</v>
      </c>
      <c r="B784" s="186" t="s">
        <v>3312</v>
      </c>
      <c r="C784" s="37" t="s">
        <v>59</v>
      </c>
      <c r="D784" s="40"/>
      <c r="E784" s="88"/>
      <c r="F784" s="81"/>
    </row>
    <row r="785" spans="1:6" x14ac:dyDescent="0.25">
      <c r="A785" s="10"/>
      <c r="B785" s="185" t="s">
        <v>3339</v>
      </c>
      <c r="C785" s="37" t="s">
        <v>3338</v>
      </c>
      <c r="D785" s="40"/>
      <c r="E785" s="88"/>
      <c r="F785" s="81"/>
    </row>
    <row r="786" spans="1:6" x14ac:dyDescent="0.25">
      <c r="A786" s="10"/>
      <c r="B786" s="185" t="s">
        <v>3341</v>
      </c>
      <c r="C786" s="37"/>
      <c r="D786" s="40" t="s">
        <v>3340</v>
      </c>
      <c r="E786" s="82"/>
      <c r="F786" s="81"/>
    </row>
    <row r="787" spans="1:6" x14ac:dyDescent="0.25">
      <c r="A787" s="10"/>
      <c r="B787" s="185"/>
      <c r="C787" s="37"/>
      <c r="D787" s="40"/>
      <c r="E787" s="82"/>
      <c r="F787" s="81"/>
    </row>
    <row r="788" spans="1:6" x14ac:dyDescent="0.25">
      <c r="A788" s="69" t="str">
        <f>A784</f>
        <v>30 Sept</v>
      </c>
      <c r="B788" s="186" t="s">
        <v>3312</v>
      </c>
      <c r="C788" s="37" t="s">
        <v>59</v>
      </c>
      <c r="D788" s="40"/>
      <c r="E788" s="82"/>
      <c r="F788" s="81"/>
    </row>
    <row r="789" spans="1:6" x14ac:dyDescent="0.25">
      <c r="A789" s="10"/>
      <c r="B789" s="185" t="s">
        <v>3339</v>
      </c>
      <c r="C789" s="37" t="s">
        <v>80</v>
      </c>
      <c r="D789" s="40"/>
      <c r="E789" s="82"/>
      <c r="F789" s="81"/>
    </row>
    <row r="790" spans="1:6" x14ac:dyDescent="0.25">
      <c r="A790" s="10"/>
      <c r="B790" s="185" t="s">
        <v>3341</v>
      </c>
      <c r="C790" s="37"/>
      <c r="D790" s="40" t="s">
        <v>81</v>
      </c>
      <c r="E790" s="82"/>
      <c r="F790" s="81"/>
    </row>
    <row r="791" spans="1:6" x14ac:dyDescent="0.25">
      <c r="A791" s="10"/>
      <c r="B791" s="19"/>
      <c r="C791" s="17"/>
      <c r="D791" s="40"/>
      <c r="E791" s="82"/>
      <c r="F791" s="104"/>
    </row>
    <row r="792" spans="1:6" ht="15.75" thickBot="1" x14ac:dyDescent="0.3">
      <c r="A792" s="640"/>
      <c r="B792" s="641"/>
      <c r="C792" s="641"/>
      <c r="D792" s="642"/>
      <c r="E792" s="105">
        <f>SUM(E751:E790)</f>
        <v>0</v>
      </c>
      <c r="F792" s="106">
        <f>SUM(F751:F790)</f>
        <v>0</v>
      </c>
    </row>
    <row r="793" spans="1:6" x14ac:dyDescent="0.25">
      <c r="A793" s="96"/>
      <c r="B793" s="96"/>
      <c r="C793" s="96"/>
      <c r="D793" s="96"/>
      <c r="E793" s="97"/>
      <c r="F793" s="97"/>
    </row>
    <row r="819" spans="1:6" x14ac:dyDescent="0.25">
      <c r="A819" s="50" t="s">
        <v>0</v>
      </c>
      <c r="B819" s="50"/>
      <c r="C819" s="50"/>
      <c r="D819" s="9"/>
      <c r="E819" s="84"/>
      <c r="F819" s="75"/>
    </row>
    <row r="820" spans="1:6" x14ac:dyDescent="0.25">
      <c r="A820" s="50" t="s">
        <v>1</v>
      </c>
      <c r="B820" s="50"/>
      <c r="C820" s="50"/>
      <c r="D820" s="9"/>
      <c r="E820" s="84"/>
      <c r="F820" s="75"/>
    </row>
    <row r="821" spans="1:6" x14ac:dyDescent="0.25">
      <c r="A821" s="50" t="s">
        <v>16</v>
      </c>
      <c r="B821" s="50"/>
      <c r="C821" s="50"/>
      <c r="D821" s="9"/>
      <c r="E821" s="84"/>
      <c r="F821" s="75"/>
    </row>
    <row r="822" spans="1:6" x14ac:dyDescent="0.25">
      <c r="A822" s="643"/>
      <c r="B822" s="643"/>
      <c r="C822" s="643"/>
      <c r="D822" s="643"/>
      <c r="E822" s="643"/>
      <c r="F822" s="643"/>
    </row>
    <row r="823" spans="1:6" x14ac:dyDescent="0.25">
      <c r="A823" s="643" t="s">
        <v>3361</v>
      </c>
      <c r="B823" s="643"/>
      <c r="C823" s="643"/>
      <c r="D823" s="643"/>
      <c r="E823" s="643"/>
      <c r="F823" s="643"/>
    </row>
    <row r="824" spans="1:6" x14ac:dyDescent="0.25">
      <c r="A824" s="643" t="s">
        <v>3801</v>
      </c>
      <c r="B824" s="643"/>
      <c r="C824" s="643"/>
      <c r="D824" s="643"/>
      <c r="E824" s="643"/>
      <c r="F824" s="643"/>
    </row>
    <row r="825" spans="1:6" ht="15.75" thickBot="1" x14ac:dyDescent="0.3">
      <c r="A825" s="1" t="s">
        <v>3711</v>
      </c>
      <c r="B825" s="1"/>
      <c r="C825" s="1"/>
      <c r="D825" s="1"/>
      <c r="E825" s="85"/>
      <c r="F825" s="76"/>
    </row>
    <row r="826" spans="1:6" x14ac:dyDescent="0.25">
      <c r="A826" s="53" t="s">
        <v>12</v>
      </c>
      <c r="B826" s="193" t="s">
        <v>3285</v>
      </c>
      <c r="C826" s="639" t="s">
        <v>3282</v>
      </c>
      <c r="D826" s="639"/>
      <c r="E826" s="199" t="s">
        <v>90</v>
      </c>
      <c r="F826" s="200" t="s">
        <v>10</v>
      </c>
    </row>
    <row r="827" spans="1:6" x14ac:dyDescent="0.25">
      <c r="A827" s="241" t="s">
        <v>3699</v>
      </c>
      <c r="B827" s="250" t="s">
        <v>3553</v>
      </c>
      <c r="C827" s="281" t="s">
        <v>59</v>
      </c>
      <c r="D827" s="282"/>
      <c r="E827" s="283">
        <f>F765</f>
        <v>0</v>
      </c>
      <c r="F827" s="284"/>
    </row>
    <row r="828" spans="1:6" x14ac:dyDescent="0.25">
      <c r="A828" s="249"/>
      <c r="B828" s="250"/>
      <c r="C828" s="250"/>
      <c r="D828" s="282" t="s">
        <v>3552</v>
      </c>
      <c r="E828" s="283"/>
      <c r="F828" s="284">
        <f>E827</f>
        <v>0</v>
      </c>
    </row>
    <row r="829" spans="1:6" x14ac:dyDescent="0.25">
      <c r="A829" s="249"/>
      <c r="B829" s="250"/>
      <c r="C829" s="285" t="s">
        <v>3667</v>
      </c>
      <c r="D829" s="282"/>
      <c r="E829" s="283"/>
      <c r="F829" s="284"/>
    </row>
    <row r="830" spans="1:6" x14ac:dyDescent="0.25">
      <c r="A830" s="56"/>
      <c r="B830" s="256"/>
      <c r="C830" s="257"/>
      <c r="D830" s="258"/>
      <c r="E830" s="259"/>
      <c r="F830" s="80"/>
    </row>
    <row r="831" spans="1:6" x14ac:dyDescent="0.25">
      <c r="A831" s="231" t="s">
        <v>4899</v>
      </c>
      <c r="B831" s="66" t="s">
        <v>3312</v>
      </c>
      <c r="C831" s="65" t="s">
        <v>59</v>
      </c>
      <c r="D831" s="346"/>
      <c r="E831" s="259"/>
      <c r="F831" s="79"/>
    </row>
    <row r="832" spans="1:6" x14ac:dyDescent="0.25">
      <c r="A832" s="56"/>
      <c r="B832" s="66" t="s">
        <v>3745</v>
      </c>
      <c r="C832" s="65" t="s">
        <v>3744</v>
      </c>
      <c r="D832" s="346"/>
      <c r="E832" s="259"/>
      <c r="F832" s="79"/>
    </row>
    <row r="833" spans="1:6" x14ac:dyDescent="0.25">
      <c r="A833" s="56"/>
      <c r="B833" s="66"/>
      <c r="C833" s="637" t="s">
        <v>4898</v>
      </c>
      <c r="D833" s="638"/>
      <c r="E833" s="259"/>
      <c r="F833" s="80"/>
    </row>
    <row r="834" spans="1:6" x14ac:dyDescent="0.25">
      <c r="A834" s="56"/>
      <c r="B834" s="256"/>
      <c r="C834" s="257"/>
      <c r="D834" s="258"/>
      <c r="E834" s="259"/>
      <c r="F834" s="80"/>
    </row>
    <row r="835" spans="1:6" x14ac:dyDescent="0.25">
      <c r="A835" s="61" t="s">
        <v>3700</v>
      </c>
      <c r="B835" s="66" t="s">
        <v>3312</v>
      </c>
      <c r="C835" s="65" t="s">
        <v>59</v>
      </c>
      <c r="D835" s="62"/>
      <c r="E835" s="259"/>
      <c r="F835" s="78"/>
    </row>
    <row r="836" spans="1:6" ht="15" customHeight="1" x14ac:dyDescent="0.25">
      <c r="A836" s="64"/>
      <c r="B836" s="66" t="s">
        <v>3550</v>
      </c>
      <c r="C836" s="66"/>
      <c r="D836" s="62" t="s">
        <v>3551</v>
      </c>
      <c r="E836" s="259"/>
      <c r="F836" s="78"/>
    </row>
    <row r="837" spans="1:6" x14ac:dyDescent="0.25">
      <c r="A837" s="64"/>
      <c r="B837" s="66"/>
      <c r="C837" s="66"/>
      <c r="D837" s="62"/>
      <c r="E837" s="88"/>
      <c r="F837" s="78"/>
    </row>
    <row r="838" spans="1:6" x14ac:dyDescent="0.25">
      <c r="A838" s="61" t="s">
        <v>4946</v>
      </c>
      <c r="B838" s="186" t="s">
        <v>3312</v>
      </c>
      <c r="C838" s="37" t="s">
        <v>59</v>
      </c>
      <c r="D838" s="346"/>
      <c r="E838" s="88"/>
      <c r="F838" s="78"/>
    </row>
    <row r="839" spans="1:6" x14ac:dyDescent="0.25">
      <c r="A839" s="64"/>
      <c r="B839" s="66" t="s">
        <v>3565</v>
      </c>
      <c r="C839" s="347"/>
      <c r="D839" s="346" t="s">
        <v>3737</v>
      </c>
      <c r="E839" s="88"/>
      <c r="F839" s="78"/>
    </row>
    <row r="840" spans="1:6" x14ac:dyDescent="0.25">
      <c r="A840" s="64"/>
      <c r="B840" s="66"/>
      <c r="C840" s="239" t="s">
        <v>3794</v>
      </c>
      <c r="D840" s="275"/>
      <c r="E840" s="88"/>
      <c r="F840" s="78"/>
    </row>
    <row r="841" spans="1:6" x14ac:dyDescent="0.25">
      <c r="A841" s="64"/>
      <c r="B841" s="66"/>
      <c r="C841" s="239"/>
      <c r="D841" s="275"/>
      <c r="E841" s="88"/>
      <c r="F841" s="78"/>
    </row>
    <row r="842" spans="1:6" x14ac:dyDescent="0.25">
      <c r="A842" s="61" t="s">
        <v>4911</v>
      </c>
      <c r="B842" s="186" t="s">
        <v>3312</v>
      </c>
      <c r="C842" s="37" t="s">
        <v>59</v>
      </c>
      <c r="D842" s="62"/>
      <c r="E842" s="88"/>
      <c r="F842" s="78"/>
    </row>
    <row r="843" spans="1:6" x14ac:dyDescent="0.25">
      <c r="A843" s="64"/>
      <c r="B843" s="66" t="s">
        <v>3562</v>
      </c>
      <c r="C843" s="66"/>
      <c r="D843" s="62" t="s">
        <v>3581</v>
      </c>
      <c r="E843" s="88"/>
      <c r="F843" s="78"/>
    </row>
    <row r="844" spans="1:6" x14ac:dyDescent="0.25">
      <c r="A844" s="64"/>
      <c r="B844" s="66"/>
      <c r="C844" s="239" t="s">
        <v>3579</v>
      </c>
      <c r="D844" s="62"/>
      <c r="E844" s="88"/>
      <c r="F844" s="78"/>
    </row>
    <row r="845" spans="1:6" x14ac:dyDescent="0.25">
      <c r="A845" s="64"/>
      <c r="B845" s="66"/>
      <c r="C845" s="66"/>
      <c r="D845" s="62"/>
      <c r="E845" s="88"/>
      <c r="F845" s="78"/>
    </row>
    <row r="846" spans="1:6" x14ac:dyDescent="0.25">
      <c r="A846" s="61" t="s">
        <v>3701</v>
      </c>
      <c r="B846" s="66" t="s">
        <v>3353</v>
      </c>
      <c r="C846" s="65" t="s">
        <v>4948</v>
      </c>
      <c r="D846" s="62"/>
      <c r="E846" s="88"/>
      <c r="F846" s="78"/>
    </row>
    <row r="847" spans="1:6" x14ac:dyDescent="0.25">
      <c r="A847" s="64"/>
      <c r="B847" s="66" t="s">
        <v>4952</v>
      </c>
      <c r="C847" s="65" t="s">
        <v>4949</v>
      </c>
      <c r="D847" s="62"/>
      <c r="E847" s="88"/>
      <c r="F847" s="78"/>
    </row>
    <row r="848" spans="1:6" x14ac:dyDescent="0.25">
      <c r="A848" s="64"/>
      <c r="B848" s="66" t="s">
        <v>4953</v>
      </c>
      <c r="C848" s="65" t="s">
        <v>4950</v>
      </c>
      <c r="D848" s="62"/>
      <c r="E848" s="88"/>
      <c r="F848" s="78"/>
    </row>
    <row r="849" spans="1:7" x14ac:dyDescent="0.25">
      <c r="A849" s="64"/>
      <c r="B849" s="66" t="s">
        <v>4954</v>
      </c>
      <c r="C849" s="65" t="s">
        <v>4951</v>
      </c>
      <c r="D849" s="62"/>
      <c r="E849" s="88"/>
      <c r="F849" s="78"/>
    </row>
    <row r="850" spans="1:7" x14ac:dyDescent="0.25">
      <c r="A850" s="64"/>
      <c r="B850" s="66" t="s">
        <v>3343</v>
      </c>
      <c r="C850" s="66"/>
      <c r="D850" s="62" t="s">
        <v>11</v>
      </c>
      <c r="E850" s="88"/>
      <c r="F850" s="78"/>
    </row>
    <row r="851" spans="1:7" x14ac:dyDescent="0.25">
      <c r="A851" s="64"/>
      <c r="B851" s="66"/>
      <c r="C851" s="239" t="s">
        <v>4955</v>
      </c>
      <c r="D851" s="62"/>
      <c r="E851" s="88"/>
      <c r="F851" s="78"/>
    </row>
    <row r="852" spans="1:7" x14ac:dyDescent="0.25">
      <c r="A852" s="64"/>
      <c r="B852" s="66"/>
      <c r="C852" s="66"/>
      <c r="D852" s="62"/>
      <c r="E852" s="88"/>
      <c r="F852" s="78"/>
    </row>
    <row r="853" spans="1:7" x14ac:dyDescent="0.25">
      <c r="A853" s="64" t="str">
        <f>A846</f>
        <v>31 Okt</v>
      </c>
      <c r="B853" s="66" t="s">
        <v>3545</v>
      </c>
      <c r="C853" s="65" t="s">
        <v>3544</v>
      </c>
      <c r="D853" s="62"/>
      <c r="E853" s="88"/>
      <c r="F853" s="78"/>
    </row>
    <row r="854" spans="1:7" x14ac:dyDescent="0.25">
      <c r="A854" s="64"/>
      <c r="B854" s="66" t="s">
        <v>3343</v>
      </c>
      <c r="C854" s="66"/>
      <c r="D854" s="62" t="s">
        <v>11</v>
      </c>
      <c r="E854" s="88"/>
      <c r="F854" s="78"/>
    </row>
    <row r="855" spans="1:7" x14ac:dyDescent="0.25">
      <c r="A855" s="64"/>
      <c r="B855" s="66"/>
      <c r="C855" s="239" t="s">
        <v>4956</v>
      </c>
      <c r="D855" s="62"/>
      <c r="E855" s="88"/>
      <c r="F855" s="78"/>
    </row>
    <row r="856" spans="1:7" x14ac:dyDescent="0.25">
      <c r="A856" s="64"/>
      <c r="B856" s="66"/>
      <c r="C856" s="66"/>
      <c r="D856" s="62"/>
      <c r="E856" s="88"/>
      <c r="F856" s="78"/>
    </row>
    <row r="857" spans="1:7" x14ac:dyDescent="0.25">
      <c r="A857" s="59" t="s">
        <v>3698</v>
      </c>
      <c r="B857" s="66" t="s">
        <v>3553</v>
      </c>
      <c r="C857" s="65" t="s">
        <v>3668</v>
      </c>
      <c r="D857" s="62"/>
      <c r="E857" s="88"/>
      <c r="F857" s="78"/>
    </row>
    <row r="858" spans="1:7" x14ac:dyDescent="0.25">
      <c r="A858" s="61"/>
      <c r="B858" s="66" t="s">
        <v>3553</v>
      </c>
      <c r="C858" s="65" t="s">
        <v>3669</v>
      </c>
      <c r="D858" s="62"/>
      <c r="E858" s="88"/>
      <c r="F858" s="78"/>
    </row>
    <row r="859" spans="1:7" x14ac:dyDescent="0.25">
      <c r="A859" s="61"/>
      <c r="B859" s="66" t="s">
        <v>3553</v>
      </c>
      <c r="C859" s="65" t="s">
        <v>3702</v>
      </c>
      <c r="D859" s="62"/>
      <c r="E859" s="88"/>
      <c r="F859" s="78"/>
    </row>
    <row r="860" spans="1:7" x14ac:dyDescent="0.25">
      <c r="A860" s="64"/>
      <c r="B860" s="66" t="s">
        <v>3312</v>
      </c>
      <c r="C860" s="66"/>
      <c r="D860" s="62" t="s">
        <v>59</v>
      </c>
      <c r="E860" s="88"/>
      <c r="F860" s="78"/>
    </row>
    <row r="861" spans="1:7" x14ac:dyDescent="0.25">
      <c r="A861" s="64"/>
      <c r="B861" s="66"/>
      <c r="C861" s="637" t="s">
        <v>3666</v>
      </c>
      <c r="D861" s="638"/>
      <c r="E861" s="88"/>
      <c r="F861" s="78"/>
    </row>
    <row r="862" spans="1:7" x14ac:dyDescent="0.25">
      <c r="A862" s="64"/>
      <c r="B862" s="66"/>
      <c r="C862" s="274"/>
      <c r="D862" s="275"/>
      <c r="E862" s="88"/>
      <c r="F862" s="78"/>
      <c r="G862" s="89"/>
    </row>
    <row r="863" spans="1:7" x14ac:dyDescent="0.25">
      <c r="A863" s="168" t="s">
        <v>3698</v>
      </c>
      <c r="B863" s="168" t="s">
        <v>3331</v>
      </c>
      <c r="C863" s="43" t="s">
        <v>3314</v>
      </c>
      <c r="D863" s="24"/>
      <c r="E863" s="88"/>
      <c r="F863" s="78"/>
    </row>
    <row r="864" spans="1:7" ht="21" customHeight="1" x14ac:dyDescent="0.25">
      <c r="A864" s="64"/>
      <c r="B864" s="64" t="s">
        <v>3330</v>
      </c>
      <c r="C864" s="43" t="s">
        <v>3315</v>
      </c>
      <c r="D864" s="24"/>
      <c r="E864" s="88"/>
      <c r="F864" s="78"/>
    </row>
    <row r="865" spans="1:6" x14ac:dyDescent="0.25">
      <c r="A865" s="64"/>
      <c r="B865" s="64" t="s">
        <v>3332</v>
      </c>
      <c r="C865" s="43" t="s">
        <v>3316</v>
      </c>
      <c r="D865" s="27"/>
      <c r="E865" s="88"/>
      <c r="F865" s="78"/>
    </row>
    <row r="866" spans="1:6" x14ac:dyDescent="0.25">
      <c r="A866" s="64"/>
      <c r="B866" s="64" t="s">
        <v>3333</v>
      </c>
      <c r="C866" s="43" t="s">
        <v>3317</v>
      </c>
      <c r="D866" s="27"/>
      <c r="E866" s="88"/>
      <c r="F866" s="78"/>
    </row>
    <row r="867" spans="1:6" x14ac:dyDescent="0.25">
      <c r="A867" s="64"/>
      <c r="B867" s="66" t="s">
        <v>3318</v>
      </c>
      <c r="C867" s="37"/>
      <c r="D867" s="44" t="s">
        <v>51</v>
      </c>
      <c r="E867" s="88"/>
      <c r="F867" s="78"/>
    </row>
    <row r="868" spans="1:6" x14ac:dyDescent="0.25">
      <c r="A868" s="64"/>
      <c r="B868" s="66" t="s">
        <v>3319</v>
      </c>
      <c r="C868" s="37"/>
      <c r="D868" s="44" t="s">
        <v>52</v>
      </c>
      <c r="E868" s="88"/>
      <c r="F868" s="78"/>
    </row>
    <row r="869" spans="1:6" x14ac:dyDescent="0.25">
      <c r="A869" s="64"/>
      <c r="B869" s="66" t="s">
        <v>3320</v>
      </c>
      <c r="C869" s="37"/>
      <c r="D869" s="44" t="s">
        <v>53</v>
      </c>
      <c r="E869" s="88"/>
      <c r="F869" s="78"/>
    </row>
    <row r="870" spans="1:6" x14ac:dyDescent="0.25">
      <c r="A870" s="64"/>
      <c r="B870" s="66" t="s">
        <v>3321</v>
      </c>
      <c r="C870" s="37"/>
      <c r="D870" s="44" t="s">
        <v>54</v>
      </c>
      <c r="E870" s="88"/>
      <c r="F870" s="78"/>
    </row>
    <row r="871" spans="1:6" x14ac:dyDescent="0.25">
      <c r="A871" s="64"/>
      <c r="B871" s="66" t="s">
        <v>3326</v>
      </c>
      <c r="C871" s="37"/>
      <c r="D871" s="44" t="s">
        <v>3322</v>
      </c>
      <c r="E871" s="88"/>
      <c r="F871" s="78"/>
    </row>
    <row r="872" spans="1:6" x14ac:dyDescent="0.25">
      <c r="A872" s="64"/>
      <c r="B872" s="66" t="s">
        <v>3327</v>
      </c>
      <c r="C872" s="37"/>
      <c r="D872" s="44" t="s">
        <v>3323</v>
      </c>
      <c r="E872" s="88"/>
      <c r="F872" s="78"/>
    </row>
    <row r="873" spans="1:6" x14ac:dyDescent="0.25">
      <c r="A873" s="64"/>
      <c r="B873" s="66" t="s">
        <v>3328</v>
      </c>
      <c r="C873" s="37"/>
      <c r="D873" s="44" t="s">
        <v>3324</v>
      </c>
      <c r="E873" s="88"/>
      <c r="F873" s="78"/>
    </row>
    <row r="874" spans="1:6" x14ac:dyDescent="0.25">
      <c r="A874" s="64"/>
      <c r="B874" s="66" t="s">
        <v>3329</v>
      </c>
      <c r="C874" s="37"/>
      <c r="D874" s="44" t="s">
        <v>3325</v>
      </c>
      <c r="E874" s="88"/>
      <c r="F874" s="78"/>
    </row>
    <row r="875" spans="1:6" x14ac:dyDescent="0.25">
      <c r="A875" s="64"/>
      <c r="B875" s="66"/>
      <c r="C875" s="37"/>
      <c r="D875" s="44"/>
      <c r="E875" s="88"/>
      <c r="F875" s="78"/>
    </row>
    <row r="876" spans="1:6" x14ac:dyDescent="0.25">
      <c r="A876" s="168" t="str">
        <f>A863</f>
        <v>31 OKT</v>
      </c>
      <c r="B876" s="198" t="s">
        <v>3333</v>
      </c>
      <c r="C876" s="37" t="s">
        <v>94</v>
      </c>
      <c r="D876" s="44"/>
      <c r="E876" s="88"/>
      <c r="F876" s="78"/>
    </row>
    <row r="877" spans="1:6" x14ac:dyDescent="0.25">
      <c r="A877" s="64"/>
      <c r="B877" s="66" t="s">
        <v>3334</v>
      </c>
      <c r="C877" s="37"/>
      <c r="D877" s="44" t="s">
        <v>95</v>
      </c>
      <c r="E877" s="88"/>
      <c r="F877" s="78"/>
    </row>
    <row r="878" spans="1:6" x14ac:dyDescent="0.25">
      <c r="A878" s="64"/>
      <c r="B878" s="66"/>
      <c r="C878" s="66"/>
      <c r="D878" s="62"/>
      <c r="E878" s="88"/>
      <c r="F878" s="78"/>
    </row>
    <row r="879" spans="1:6" x14ac:dyDescent="0.25">
      <c r="A879" s="168" t="str">
        <f>A876</f>
        <v>31 OKT</v>
      </c>
      <c r="B879" s="186" t="s">
        <v>3312</v>
      </c>
      <c r="C879" s="37" t="s">
        <v>59</v>
      </c>
      <c r="D879" s="40"/>
      <c r="E879" s="82"/>
      <c r="F879" s="78"/>
    </row>
    <row r="880" spans="1:6" x14ac:dyDescent="0.25">
      <c r="A880" s="10"/>
      <c r="B880" s="185" t="s">
        <v>3339</v>
      </c>
      <c r="C880" s="37" t="s">
        <v>3338</v>
      </c>
      <c r="D880" s="40"/>
      <c r="E880" s="82"/>
      <c r="F880" s="78"/>
    </row>
    <row r="881" spans="1:6" x14ac:dyDescent="0.25">
      <c r="A881" s="10"/>
      <c r="B881" s="185" t="s">
        <v>3341</v>
      </c>
      <c r="C881" s="37"/>
      <c r="D881" s="40" t="s">
        <v>3340</v>
      </c>
      <c r="E881" s="82"/>
      <c r="F881" s="78"/>
    </row>
    <row r="882" spans="1:6" x14ac:dyDescent="0.25">
      <c r="A882" s="10"/>
      <c r="B882" s="185"/>
      <c r="C882" s="37"/>
      <c r="D882" s="40"/>
      <c r="E882" s="82"/>
      <c r="F882" s="81"/>
    </row>
    <row r="883" spans="1:6" x14ac:dyDescent="0.25">
      <c r="A883" s="69" t="str">
        <f>A879</f>
        <v>31 OKT</v>
      </c>
      <c r="B883" s="186" t="s">
        <v>3312</v>
      </c>
      <c r="C883" s="37" t="s">
        <v>59</v>
      </c>
      <c r="D883" s="40"/>
      <c r="E883" s="82"/>
      <c r="F883" s="81"/>
    </row>
    <row r="884" spans="1:6" x14ac:dyDescent="0.25">
      <c r="A884" s="10"/>
      <c r="B884" s="185" t="s">
        <v>3339</v>
      </c>
      <c r="C884" s="37" t="s">
        <v>80</v>
      </c>
      <c r="D884" s="40"/>
      <c r="E884" s="82"/>
      <c r="F884" s="81"/>
    </row>
    <row r="885" spans="1:6" x14ac:dyDescent="0.25">
      <c r="A885" s="10"/>
      <c r="B885" s="185" t="s">
        <v>3341</v>
      </c>
      <c r="C885" s="37"/>
      <c r="D885" s="40" t="s">
        <v>81</v>
      </c>
      <c r="E885" s="82"/>
      <c r="F885" s="81"/>
    </row>
    <row r="886" spans="1:6" x14ac:dyDescent="0.25">
      <c r="A886" s="10"/>
      <c r="B886" s="19"/>
      <c r="C886" s="17"/>
      <c r="D886" s="40"/>
      <c r="E886" s="82"/>
      <c r="F886" s="104"/>
    </row>
    <row r="887" spans="1:6" ht="15.75" thickBot="1" x14ac:dyDescent="0.3">
      <c r="A887" s="640"/>
      <c r="B887" s="641"/>
      <c r="C887" s="641"/>
      <c r="D887" s="642"/>
      <c r="E887" s="105">
        <f>SUM(E835:E885)</f>
        <v>0</v>
      </c>
      <c r="F887" s="106">
        <f>SUM(F835:F885)</f>
        <v>0</v>
      </c>
    </row>
    <row r="888" spans="1:6" x14ac:dyDescent="0.25">
      <c r="A888" s="96"/>
      <c r="B888" s="96"/>
      <c r="C888" s="96"/>
      <c r="D888" s="96"/>
      <c r="E888" s="97"/>
      <c r="F888" s="97"/>
    </row>
    <row r="934" spans="1:6" x14ac:dyDescent="0.25">
      <c r="A934" s="50" t="s">
        <v>0</v>
      </c>
      <c r="B934" s="50"/>
      <c r="C934" s="50"/>
      <c r="D934" s="9"/>
      <c r="E934" s="84"/>
      <c r="F934" s="75"/>
    </row>
    <row r="935" spans="1:6" x14ac:dyDescent="0.25">
      <c r="A935" s="50" t="s">
        <v>1</v>
      </c>
      <c r="B935" s="50"/>
      <c r="C935" s="50"/>
      <c r="D935" s="9"/>
      <c r="E935" s="84"/>
      <c r="F935" s="75"/>
    </row>
    <row r="936" spans="1:6" x14ac:dyDescent="0.25">
      <c r="A936" s="50" t="s">
        <v>16</v>
      </c>
      <c r="B936" s="50"/>
      <c r="C936" s="50"/>
      <c r="D936" s="9"/>
      <c r="E936" s="84"/>
      <c r="F936" s="75"/>
    </row>
    <row r="937" spans="1:6" x14ac:dyDescent="0.25">
      <c r="A937" s="643"/>
      <c r="B937" s="643"/>
      <c r="C937" s="643"/>
      <c r="D937" s="643"/>
      <c r="E937" s="643"/>
      <c r="F937" s="643"/>
    </row>
    <row r="938" spans="1:6" x14ac:dyDescent="0.25">
      <c r="A938" s="643" t="s">
        <v>3361</v>
      </c>
      <c r="B938" s="643"/>
      <c r="C938" s="643"/>
      <c r="D938" s="643"/>
      <c r="E938" s="643"/>
      <c r="F938" s="643"/>
    </row>
    <row r="939" spans="1:6" x14ac:dyDescent="0.25">
      <c r="A939" s="643" t="s">
        <v>3802</v>
      </c>
      <c r="B939" s="643"/>
      <c r="C939" s="643"/>
      <c r="D939" s="643"/>
      <c r="E939" s="643"/>
      <c r="F939" s="643"/>
    </row>
    <row r="940" spans="1:6" ht="8.25" customHeight="1" thickBot="1" x14ac:dyDescent="0.3">
      <c r="A940" s="1"/>
      <c r="B940" s="1"/>
      <c r="C940" s="1"/>
      <c r="D940" s="1"/>
      <c r="E940" s="85"/>
      <c r="F940" s="76"/>
    </row>
    <row r="941" spans="1:6" x14ac:dyDescent="0.25">
      <c r="A941" s="53" t="s">
        <v>12</v>
      </c>
      <c r="B941" s="193" t="s">
        <v>3285</v>
      </c>
      <c r="C941" s="639" t="s">
        <v>3282</v>
      </c>
      <c r="D941" s="639"/>
      <c r="E941" s="199" t="s">
        <v>90</v>
      </c>
      <c r="F941" s="200" t="s">
        <v>10</v>
      </c>
    </row>
    <row r="942" spans="1:6" x14ac:dyDescent="0.25">
      <c r="A942" s="241" t="s">
        <v>3704</v>
      </c>
      <c r="B942" s="250" t="s">
        <v>3553</v>
      </c>
      <c r="C942" s="281" t="s">
        <v>59</v>
      </c>
      <c r="D942" s="282"/>
      <c r="E942" s="283">
        <f>F860</f>
        <v>0</v>
      </c>
      <c r="F942" s="284"/>
    </row>
    <row r="943" spans="1:6" ht="9" customHeight="1" x14ac:dyDescent="0.25">
      <c r="A943" s="249"/>
      <c r="B943" s="250"/>
      <c r="C943" s="250"/>
      <c r="D943" s="282" t="s">
        <v>3552</v>
      </c>
      <c r="E943" s="283"/>
      <c r="F943" s="284">
        <f>E942</f>
        <v>0</v>
      </c>
    </row>
    <row r="944" spans="1:6" x14ac:dyDescent="0.25">
      <c r="A944" s="249"/>
      <c r="B944" s="250"/>
      <c r="C944" s="285" t="s">
        <v>3667</v>
      </c>
      <c r="D944" s="282"/>
      <c r="E944" s="283"/>
      <c r="F944" s="284"/>
    </row>
    <row r="945" spans="1:6" x14ac:dyDescent="0.25">
      <c r="A945" s="249"/>
      <c r="B945" s="286"/>
      <c r="C945" s="287"/>
      <c r="D945" s="288"/>
      <c r="E945" s="289"/>
      <c r="F945" s="290"/>
    </row>
    <row r="946" spans="1:6" x14ac:dyDescent="0.25">
      <c r="A946" s="231" t="s">
        <v>4960</v>
      </c>
      <c r="B946" s="516" t="s">
        <v>3343</v>
      </c>
      <c r="C946" s="517" t="s">
        <v>11</v>
      </c>
      <c r="D946" s="518"/>
      <c r="E946" s="519"/>
      <c r="F946" s="80"/>
    </row>
    <row r="947" spans="1:6" x14ac:dyDescent="0.25">
      <c r="A947" s="56"/>
      <c r="B947" s="66" t="s">
        <v>3312</v>
      </c>
      <c r="C947" s="514"/>
      <c r="D947" s="515" t="s">
        <v>59</v>
      </c>
      <c r="E947" s="259"/>
      <c r="F947" s="80"/>
    </row>
    <row r="948" spans="1:6" x14ac:dyDescent="0.25">
      <c r="A948" s="56"/>
      <c r="B948" s="256"/>
      <c r="C948" s="637" t="s">
        <v>5083</v>
      </c>
      <c r="D948" s="638"/>
      <c r="E948" s="259"/>
      <c r="F948" s="80"/>
    </row>
    <row r="949" spans="1:6" x14ac:dyDescent="0.25">
      <c r="A949" s="56"/>
      <c r="B949" s="256"/>
      <c r="C949" s="274"/>
      <c r="D949" s="275"/>
      <c r="E949" s="259"/>
      <c r="F949" s="80"/>
    </row>
    <row r="950" spans="1:6" x14ac:dyDescent="0.25">
      <c r="A950" s="231" t="s">
        <v>4960</v>
      </c>
      <c r="B950" s="185" t="s">
        <v>3339</v>
      </c>
      <c r="C950" s="37" t="s">
        <v>80</v>
      </c>
      <c r="D950" s="62"/>
      <c r="E950" s="259"/>
      <c r="F950" s="78"/>
    </row>
    <row r="951" spans="1:6" x14ac:dyDescent="0.25">
      <c r="A951" s="56"/>
      <c r="B951" s="66" t="s">
        <v>3312</v>
      </c>
      <c r="C951" s="66"/>
      <c r="D951" s="62" t="s">
        <v>59</v>
      </c>
      <c r="E951" s="259"/>
      <c r="F951" s="78"/>
    </row>
    <row r="952" spans="1:6" x14ac:dyDescent="0.25">
      <c r="A952" s="56"/>
      <c r="B952" s="66"/>
      <c r="C952" s="239" t="s">
        <v>5085</v>
      </c>
      <c r="D952" s="62"/>
      <c r="E952" s="259"/>
      <c r="F952" s="78"/>
    </row>
    <row r="953" spans="1:6" x14ac:dyDescent="0.25">
      <c r="A953" s="56"/>
      <c r="B953" s="256"/>
      <c r="C953" s="257"/>
      <c r="D953" s="258"/>
      <c r="E953" s="259"/>
      <c r="F953" s="80"/>
    </row>
    <row r="954" spans="1:6" x14ac:dyDescent="0.25">
      <c r="A954" s="231" t="s">
        <v>5077</v>
      </c>
      <c r="B954" s="66" t="s">
        <v>3566</v>
      </c>
      <c r="C954" s="65" t="s">
        <v>3726</v>
      </c>
      <c r="D954" s="62"/>
      <c r="E954" s="259"/>
      <c r="F954" s="79"/>
    </row>
    <row r="955" spans="1:6" x14ac:dyDescent="0.25">
      <c r="A955" s="56"/>
      <c r="B955" s="66" t="s">
        <v>3339</v>
      </c>
      <c r="C955" s="66"/>
      <c r="D955" s="62" t="s">
        <v>5084</v>
      </c>
      <c r="E955" s="259"/>
      <c r="F955" s="79"/>
    </row>
    <row r="956" spans="1:6" x14ac:dyDescent="0.25">
      <c r="A956" s="56"/>
      <c r="B956" s="66"/>
      <c r="C956" s="637" t="s">
        <v>5076</v>
      </c>
      <c r="D956" s="638"/>
      <c r="E956" s="259"/>
      <c r="F956" s="80"/>
    </row>
    <row r="957" spans="1:6" x14ac:dyDescent="0.25">
      <c r="A957" s="56"/>
      <c r="B957" s="256"/>
      <c r="C957" s="257"/>
      <c r="D957" s="258"/>
      <c r="E957" s="259"/>
      <c r="F957" s="80"/>
    </row>
    <row r="958" spans="1:6" x14ac:dyDescent="0.25">
      <c r="A958" s="61" t="s">
        <v>5078</v>
      </c>
      <c r="B958" s="185" t="s">
        <v>3745</v>
      </c>
      <c r="C958" s="65" t="s">
        <v>3744</v>
      </c>
      <c r="D958" s="62"/>
      <c r="E958" s="259"/>
      <c r="F958" s="79"/>
    </row>
    <row r="959" spans="1:6" ht="23.25" customHeight="1" x14ac:dyDescent="0.25">
      <c r="A959" s="56"/>
      <c r="B959" s="66" t="s">
        <v>3312</v>
      </c>
      <c r="C959" s="66"/>
      <c r="D959" s="62" t="s">
        <v>59</v>
      </c>
      <c r="E959" s="259"/>
      <c r="F959" s="79"/>
    </row>
    <row r="960" spans="1:6" x14ac:dyDescent="0.25">
      <c r="A960" s="56"/>
      <c r="B960" s="66"/>
      <c r="C960" s="637" t="s">
        <v>5079</v>
      </c>
      <c r="D960" s="638"/>
      <c r="E960" s="259"/>
      <c r="F960" s="80"/>
    </row>
    <row r="961" spans="1:7" x14ac:dyDescent="0.25">
      <c r="A961" s="56"/>
      <c r="B961" s="185"/>
      <c r="C961" s="65"/>
      <c r="D961" s="62"/>
      <c r="E961" s="259"/>
      <c r="F961" s="80"/>
    </row>
    <row r="962" spans="1:7" x14ac:dyDescent="0.25">
      <c r="A962" s="61" t="s">
        <v>3755</v>
      </c>
      <c r="B962" s="66" t="s">
        <v>3312</v>
      </c>
      <c r="C962" s="65" t="s">
        <v>59</v>
      </c>
      <c r="D962" s="62"/>
      <c r="E962" s="259"/>
      <c r="F962" s="78"/>
    </row>
    <row r="963" spans="1:7" ht="27.75" customHeight="1" x14ac:dyDescent="0.25">
      <c r="A963" s="64"/>
      <c r="B963" s="66" t="s">
        <v>3550</v>
      </c>
      <c r="C963" s="66"/>
      <c r="D963" s="62" t="s">
        <v>3551</v>
      </c>
      <c r="E963" s="259"/>
      <c r="F963" s="78"/>
    </row>
    <row r="964" spans="1:7" x14ac:dyDescent="0.25">
      <c r="A964" s="56"/>
      <c r="B964" s="256"/>
      <c r="C964" s="257"/>
      <c r="D964" s="258"/>
      <c r="E964" s="259"/>
      <c r="F964" s="80"/>
    </row>
    <row r="965" spans="1:7" x14ac:dyDescent="0.25">
      <c r="A965" s="231" t="s">
        <v>4977</v>
      </c>
      <c r="B965" s="516" t="s">
        <v>3343</v>
      </c>
      <c r="C965" s="517" t="s">
        <v>11</v>
      </c>
      <c r="D965" s="63"/>
      <c r="E965" s="259"/>
      <c r="F965" s="80"/>
    </row>
    <row r="966" spans="1:7" x14ac:dyDescent="0.25">
      <c r="A966" s="56"/>
      <c r="B966" s="66" t="s">
        <v>3312</v>
      </c>
      <c r="C966" s="514"/>
      <c r="D966" s="515" t="s">
        <v>59</v>
      </c>
      <c r="E966" s="259"/>
      <c r="F966" s="80"/>
    </row>
    <row r="967" spans="1:7" x14ac:dyDescent="0.25">
      <c r="A967" s="56"/>
      <c r="B967" s="256"/>
      <c r="C967" s="637" t="s">
        <v>5086</v>
      </c>
      <c r="D967" s="638"/>
      <c r="E967" s="259"/>
      <c r="F967" s="80"/>
    </row>
    <row r="968" spans="1:7" x14ac:dyDescent="0.25">
      <c r="A968" s="56"/>
      <c r="B968" s="256"/>
      <c r="C968" s="274"/>
      <c r="D968" s="275"/>
      <c r="E968" s="259"/>
      <c r="F968" s="80"/>
    </row>
    <row r="969" spans="1:7" x14ac:dyDescent="0.25">
      <c r="A969" s="231" t="s">
        <v>4977</v>
      </c>
      <c r="B969" s="185" t="s">
        <v>3339</v>
      </c>
      <c r="C969" s="37" t="s">
        <v>80</v>
      </c>
      <c r="D969" s="62"/>
      <c r="E969" s="259"/>
      <c r="F969" s="78"/>
    </row>
    <row r="970" spans="1:7" x14ac:dyDescent="0.25">
      <c r="A970" s="56"/>
      <c r="B970" s="66" t="s">
        <v>3312</v>
      </c>
      <c r="C970" s="66"/>
      <c r="D970" s="62" t="s">
        <v>59</v>
      </c>
      <c r="E970" s="88"/>
      <c r="F970" s="78"/>
    </row>
    <row r="971" spans="1:7" x14ac:dyDescent="0.25">
      <c r="A971" s="56"/>
      <c r="B971" s="66"/>
      <c r="C971" s="239" t="s">
        <v>5087</v>
      </c>
      <c r="D971" s="62"/>
      <c r="E971" s="88"/>
      <c r="F971" s="78"/>
    </row>
    <row r="972" spans="1:7" x14ac:dyDescent="0.25">
      <c r="A972" s="56"/>
      <c r="B972" s="256"/>
      <c r="C972" s="257"/>
      <c r="D972" s="258"/>
      <c r="E972" s="259"/>
      <c r="F972" s="80"/>
    </row>
    <row r="973" spans="1:7" x14ac:dyDescent="0.25">
      <c r="A973" s="56"/>
      <c r="B973" s="256"/>
      <c r="C973" s="257"/>
      <c r="D973" s="258"/>
      <c r="E973" s="259"/>
      <c r="F973" s="80"/>
    </row>
    <row r="974" spans="1:7" x14ac:dyDescent="0.25">
      <c r="A974" s="61" t="s">
        <v>4991</v>
      </c>
      <c r="B974" s="185" t="s">
        <v>3339</v>
      </c>
      <c r="C974" s="37" t="s">
        <v>80</v>
      </c>
      <c r="D974" s="62"/>
      <c r="E974" s="88"/>
      <c r="F974" s="78"/>
      <c r="G974" s="89"/>
    </row>
    <row r="975" spans="1:7" x14ac:dyDescent="0.25">
      <c r="A975" s="64"/>
      <c r="B975" s="66" t="s">
        <v>3312</v>
      </c>
      <c r="C975" s="66"/>
      <c r="D975" s="62" t="s">
        <v>59</v>
      </c>
      <c r="E975" s="88"/>
      <c r="F975" s="78"/>
    </row>
    <row r="976" spans="1:7" x14ac:dyDescent="0.25">
      <c r="A976" s="64"/>
      <c r="B976" s="66"/>
      <c r="C976" s="239" t="s">
        <v>4037</v>
      </c>
      <c r="D976" s="62"/>
      <c r="E976" s="88"/>
      <c r="F976" s="78"/>
    </row>
    <row r="977" spans="1:6" x14ac:dyDescent="0.25">
      <c r="A977" s="56"/>
      <c r="B977" s="256"/>
      <c r="C977" s="257"/>
      <c r="D977" s="258"/>
      <c r="E977" s="259"/>
      <c r="F977" s="80"/>
    </row>
    <row r="978" spans="1:6" x14ac:dyDescent="0.25">
      <c r="A978" s="61" t="s">
        <v>5010</v>
      </c>
      <c r="B978" s="66" t="s">
        <v>3312</v>
      </c>
      <c r="C978" s="65" t="s">
        <v>59</v>
      </c>
      <c r="D978" s="258"/>
      <c r="E978" s="315"/>
      <c r="F978" s="80"/>
    </row>
    <row r="979" spans="1:6" x14ac:dyDescent="0.25">
      <c r="A979" s="56"/>
      <c r="B979" s="66" t="s">
        <v>3565</v>
      </c>
      <c r="C979" s="65" t="s">
        <v>5081</v>
      </c>
      <c r="D979" s="513"/>
      <c r="E979" s="315"/>
      <c r="F979" s="79"/>
    </row>
    <row r="980" spans="1:6" x14ac:dyDescent="0.25">
      <c r="A980" s="56"/>
      <c r="B980" s="256"/>
      <c r="C980" s="637" t="s">
        <v>5082</v>
      </c>
      <c r="D980" s="638"/>
      <c r="E980" s="259"/>
      <c r="F980" s="80"/>
    </row>
    <row r="981" spans="1:6" x14ac:dyDescent="0.25">
      <c r="A981" s="56"/>
      <c r="B981" s="256"/>
      <c r="C981" s="257"/>
      <c r="D981" s="258"/>
      <c r="E981" s="259"/>
      <c r="F981" s="80"/>
    </row>
    <row r="982" spans="1:6" x14ac:dyDescent="0.25">
      <c r="A982" s="59" t="s">
        <v>3703</v>
      </c>
      <c r="B982" s="66" t="s">
        <v>3553</v>
      </c>
      <c r="C982" s="65" t="s">
        <v>3668</v>
      </c>
      <c r="D982" s="62"/>
      <c r="E982" s="259"/>
      <c r="F982" s="78"/>
    </row>
    <row r="983" spans="1:6" ht="24.75" customHeight="1" x14ac:dyDescent="0.25">
      <c r="A983" s="61"/>
      <c r="B983" s="66" t="s">
        <v>3553</v>
      </c>
      <c r="C983" s="65" t="s">
        <v>3669</v>
      </c>
      <c r="D983" s="62"/>
      <c r="E983" s="259"/>
      <c r="F983" s="78"/>
    </row>
    <row r="984" spans="1:6" x14ac:dyDescent="0.25">
      <c r="A984" s="61"/>
      <c r="B984" s="66" t="s">
        <v>3553</v>
      </c>
      <c r="C984" s="65" t="s">
        <v>3702</v>
      </c>
      <c r="D984" s="62"/>
      <c r="E984" s="259"/>
      <c r="F984" s="78"/>
    </row>
    <row r="985" spans="1:6" x14ac:dyDescent="0.25">
      <c r="A985" s="61"/>
      <c r="B985" s="66" t="s">
        <v>3553</v>
      </c>
      <c r="C985" s="65" t="s">
        <v>5080</v>
      </c>
      <c r="D985" s="62"/>
      <c r="E985" s="259"/>
      <c r="F985" s="78"/>
    </row>
    <row r="986" spans="1:6" x14ac:dyDescent="0.25">
      <c r="A986" s="64"/>
      <c r="B986" s="66" t="s">
        <v>3312</v>
      </c>
      <c r="C986" s="66"/>
      <c r="D986" s="62" t="s">
        <v>59</v>
      </c>
      <c r="E986" s="88"/>
      <c r="F986" s="78"/>
    </row>
    <row r="987" spans="1:6" x14ac:dyDescent="0.25">
      <c r="A987" s="64"/>
      <c r="B987" s="66"/>
      <c r="C987" s="637" t="s">
        <v>3666</v>
      </c>
      <c r="D987" s="638"/>
      <c r="E987" s="88"/>
      <c r="F987" s="78"/>
    </row>
    <row r="988" spans="1:6" x14ac:dyDescent="0.25">
      <c r="A988" s="64"/>
      <c r="B988" s="66"/>
      <c r="C988" s="274"/>
      <c r="D988" s="275"/>
      <c r="E988" s="88"/>
      <c r="F988" s="78"/>
    </row>
    <row r="989" spans="1:6" x14ac:dyDescent="0.25">
      <c r="A989" s="168" t="str">
        <f>A982</f>
        <v>30 NOV</v>
      </c>
      <c r="B989" s="168" t="s">
        <v>3331</v>
      </c>
      <c r="C989" s="43" t="s">
        <v>3314</v>
      </c>
      <c r="D989" s="24"/>
      <c r="E989" s="88"/>
      <c r="F989" s="78"/>
    </row>
    <row r="990" spans="1:6" ht="28.5" customHeight="1" x14ac:dyDescent="0.25">
      <c r="A990" s="64"/>
      <c r="B990" s="64" t="s">
        <v>3330</v>
      </c>
      <c r="C990" s="43" t="s">
        <v>3315</v>
      </c>
      <c r="D990" s="24"/>
      <c r="E990" s="88"/>
      <c r="F990" s="78"/>
    </row>
    <row r="991" spans="1:6" x14ac:dyDescent="0.25">
      <c r="A991" s="64"/>
      <c r="B991" s="64" t="s">
        <v>3332</v>
      </c>
      <c r="C991" s="43" t="s">
        <v>3316</v>
      </c>
      <c r="D991" s="27"/>
      <c r="E991" s="88"/>
      <c r="F991" s="78"/>
    </row>
    <row r="992" spans="1:6" x14ac:dyDescent="0.25">
      <c r="A992" s="64"/>
      <c r="B992" s="64" t="s">
        <v>3333</v>
      </c>
      <c r="C992" s="43" t="s">
        <v>3317</v>
      </c>
      <c r="D992" s="27"/>
      <c r="E992" s="88"/>
      <c r="F992" s="78"/>
    </row>
    <row r="993" spans="1:7" x14ac:dyDescent="0.25">
      <c r="A993" s="64"/>
      <c r="B993" s="66" t="s">
        <v>3318</v>
      </c>
      <c r="C993" s="37"/>
      <c r="D993" s="44" t="s">
        <v>51</v>
      </c>
      <c r="E993" s="88"/>
      <c r="F993" s="78"/>
    </row>
    <row r="994" spans="1:7" x14ac:dyDescent="0.25">
      <c r="A994" s="64"/>
      <c r="B994" s="66" t="s">
        <v>3319</v>
      </c>
      <c r="C994" s="37"/>
      <c r="D994" s="44" t="s">
        <v>52</v>
      </c>
      <c r="E994" s="88"/>
      <c r="F994" s="78"/>
    </row>
    <row r="995" spans="1:7" x14ac:dyDescent="0.25">
      <c r="A995" s="64"/>
      <c r="B995" s="66" t="s">
        <v>3320</v>
      </c>
      <c r="C995" s="37"/>
      <c r="D995" s="44" t="s">
        <v>53</v>
      </c>
      <c r="E995" s="88"/>
      <c r="F995" s="78"/>
    </row>
    <row r="996" spans="1:7" x14ac:dyDescent="0.25">
      <c r="A996" s="64"/>
      <c r="B996" s="66" t="s">
        <v>3321</v>
      </c>
      <c r="C996" s="37"/>
      <c r="D996" s="44" t="s">
        <v>54</v>
      </c>
      <c r="E996" s="88"/>
      <c r="F996" s="78"/>
      <c r="G996" s="253"/>
    </row>
    <row r="997" spans="1:7" x14ac:dyDescent="0.25">
      <c r="A997" s="64"/>
      <c r="B997" s="66" t="s">
        <v>3326</v>
      </c>
      <c r="C997" s="37"/>
      <c r="D997" s="44" t="s">
        <v>3322</v>
      </c>
      <c r="E997" s="88"/>
      <c r="F997" s="78"/>
      <c r="G997" s="253"/>
    </row>
    <row r="998" spans="1:7" x14ac:dyDescent="0.25">
      <c r="A998" s="64"/>
      <c r="B998" s="66" t="s">
        <v>3327</v>
      </c>
      <c r="C998" s="37"/>
      <c r="D998" s="44" t="s">
        <v>3323</v>
      </c>
      <c r="E998" s="88"/>
      <c r="F998" s="78"/>
      <c r="G998" s="253"/>
    </row>
    <row r="999" spans="1:7" x14ac:dyDescent="0.25">
      <c r="A999" s="64"/>
      <c r="B999" s="66" t="s">
        <v>3328</v>
      </c>
      <c r="C999" s="37"/>
      <c r="D999" s="44" t="s">
        <v>3324</v>
      </c>
      <c r="E999" s="88"/>
      <c r="F999" s="78"/>
      <c r="G999" s="253"/>
    </row>
    <row r="1000" spans="1:7" x14ac:dyDescent="0.25">
      <c r="A1000" s="64"/>
      <c r="B1000" s="66" t="s">
        <v>3329</v>
      </c>
      <c r="C1000" s="37"/>
      <c r="D1000" s="44" t="s">
        <v>3325</v>
      </c>
      <c r="E1000" s="88"/>
      <c r="F1000" s="78"/>
      <c r="G1000" s="253"/>
    </row>
    <row r="1001" spans="1:7" x14ac:dyDescent="0.25">
      <c r="A1001" s="64"/>
      <c r="B1001" s="66"/>
      <c r="C1001" s="37"/>
      <c r="D1001" s="44"/>
      <c r="E1001" s="88"/>
      <c r="F1001" s="78"/>
      <c r="G1001" s="253"/>
    </row>
    <row r="1002" spans="1:7" x14ac:dyDescent="0.25">
      <c r="A1002" s="168" t="str">
        <f>A989</f>
        <v>30 NOV</v>
      </c>
      <c r="B1002" s="198" t="s">
        <v>3333</v>
      </c>
      <c r="C1002" s="37" t="s">
        <v>94</v>
      </c>
      <c r="D1002" s="44"/>
      <c r="E1002" s="88"/>
      <c r="F1002" s="78"/>
      <c r="G1002" s="253"/>
    </row>
    <row r="1003" spans="1:7" x14ac:dyDescent="0.25">
      <c r="A1003" s="64"/>
      <c r="B1003" s="66" t="s">
        <v>3334</v>
      </c>
      <c r="C1003" s="37"/>
      <c r="D1003" s="44" t="s">
        <v>95</v>
      </c>
      <c r="E1003" s="88"/>
      <c r="F1003" s="78"/>
      <c r="G1003" s="253"/>
    </row>
    <row r="1004" spans="1:7" x14ac:dyDescent="0.25">
      <c r="A1004" s="64"/>
      <c r="B1004" s="66"/>
      <c r="C1004" s="66"/>
      <c r="D1004" s="62"/>
      <c r="E1004" s="88"/>
      <c r="F1004" s="78"/>
    </row>
    <row r="1005" spans="1:7" x14ac:dyDescent="0.25">
      <c r="A1005" s="168" t="str">
        <f>A1002</f>
        <v>30 NOV</v>
      </c>
      <c r="B1005" s="186" t="s">
        <v>3312</v>
      </c>
      <c r="C1005" s="37" t="s">
        <v>59</v>
      </c>
      <c r="D1005" s="40"/>
      <c r="E1005" s="82"/>
      <c r="F1005" s="81"/>
    </row>
    <row r="1006" spans="1:7" x14ac:dyDescent="0.25">
      <c r="A1006" s="10"/>
      <c r="B1006" s="185" t="s">
        <v>3339</v>
      </c>
      <c r="C1006" s="37" t="s">
        <v>3338</v>
      </c>
      <c r="D1006" s="40"/>
      <c r="E1006" s="82"/>
      <c r="F1006" s="81"/>
    </row>
    <row r="1007" spans="1:7" x14ac:dyDescent="0.25">
      <c r="A1007" s="10"/>
      <c r="B1007" s="185" t="s">
        <v>3341</v>
      </c>
      <c r="C1007" s="37"/>
      <c r="D1007" s="40" t="s">
        <v>3340</v>
      </c>
      <c r="E1007" s="82"/>
      <c r="F1007" s="81"/>
    </row>
    <row r="1008" spans="1:7" x14ac:dyDescent="0.25">
      <c r="A1008" s="10"/>
      <c r="B1008" s="185"/>
      <c r="C1008" s="37"/>
      <c r="D1008" s="40"/>
      <c r="E1008" s="82"/>
      <c r="F1008" s="81"/>
    </row>
    <row r="1009" spans="1:6" x14ac:dyDescent="0.25">
      <c r="A1009" s="69" t="str">
        <f>A1005</f>
        <v>30 NOV</v>
      </c>
      <c r="B1009" s="186" t="s">
        <v>3312</v>
      </c>
      <c r="C1009" s="37" t="s">
        <v>59</v>
      </c>
      <c r="D1009" s="40"/>
      <c r="E1009" s="82"/>
      <c r="F1009" s="81"/>
    </row>
    <row r="1010" spans="1:6" x14ac:dyDescent="0.25">
      <c r="A1010" s="10"/>
      <c r="B1010" s="185" t="s">
        <v>3339</v>
      </c>
      <c r="C1010" s="37" t="s">
        <v>80</v>
      </c>
      <c r="D1010" s="40"/>
      <c r="E1010" s="82"/>
      <c r="F1010" s="81"/>
    </row>
    <row r="1011" spans="1:6" x14ac:dyDescent="0.25">
      <c r="A1011" s="10"/>
      <c r="B1011" s="185" t="s">
        <v>3341</v>
      </c>
      <c r="C1011" s="37"/>
      <c r="D1011" s="40" t="s">
        <v>81</v>
      </c>
      <c r="E1011" s="82"/>
      <c r="F1011" s="81"/>
    </row>
    <row r="1012" spans="1:6" x14ac:dyDescent="0.25">
      <c r="A1012" s="10"/>
      <c r="B1012" s="19"/>
      <c r="C1012" s="17"/>
      <c r="D1012" s="40"/>
      <c r="E1012" s="82"/>
      <c r="F1012" s="104"/>
    </row>
    <row r="1013" spans="1:6" ht="15.75" thickBot="1" x14ac:dyDescent="0.3">
      <c r="A1013" s="640"/>
      <c r="B1013" s="641"/>
      <c r="C1013" s="641"/>
      <c r="D1013" s="642"/>
      <c r="E1013" s="105">
        <f>SUM(E982:E1011)</f>
        <v>0</v>
      </c>
      <c r="F1013" s="106">
        <f>SUM(F982:F1011)</f>
        <v>0</v>
      </c>
    </row>
    <row r="1014" spans="1:6" x14ac:dyDescent="0.25">
      <c r="A1014" s="96"/>
      <c r="B1014" s="96"/>
      <c r="C1014" s="96"/>
      <c r="D1014" s="96"/>
      <c r="E1014" s="97"/>
      <c r="F1014" s="97"/>
    </row>
    <row r="1015" spans="1:6" x14ac:dyDescent="0.25">
      <c r="A1015" s="96"/>
      <c r="B1015" s="96"/>
      <c r="C1015" s="96"/>
      <c r="D1015" s="96"/>
      <c r="E1015" s="97"/>
      <c r="F1015" s="97"/>
    </row>
    <row r="1016" spans="1:6" x14ac:dyDescent="0.25">
      <c r="A1016" s="96"/>
      <c r="B1016" s="96"/>
      <c r="C1016" s="96"/>
      <c r="D1016" s="96"/>
      <c r="E1016" s="97"/>
      <c r="F1016" s="97"/>
    </row>
    <row r="1017" spans="1:6" x14ac:dyDescent="0.25">
      <c r="A1017" s="96"/>
      <c r="B1017" s="96"/>
      <c r="C1017" s="96"/>
      <c r="D1017" s="96"/>
      <c r="E1017" s="97"/>
      <c r="F1017" s="97"/>
    </row>
    <row r="1018" spans="1:6" x14ac:dyDescent="0.25">
      <c r="A1018" s="96"/>
      <c r="B1018" s="96"/>
      <c r="C1018" s="96"/>
      <c r="D1018" s="96"/>
      <c r="E1018" s="97"/>
      <c r="F1018" s="97"/>
    </row>
    <row r="1019" spans="1:6" x14ac:dyDescent="0.25">
      <c r="A1019" s="96"/>
      <c r="B1019" s="96"/>
      <c r="C1019" s="96"/>
      <c r="D1019" s="96"/>
      <c r="E1019" s="97"/>
      <c r="F1019" s="97"/>
    </row>
    <row r="1020" spans="1:6" x14ac:dyDescent="0.25">
      <c r="A1020" s="96"/>
      <c r="B1020" s="96"/>
      <c r="C1020" s="96"/>
      <c r="D1020" s="96"/>
      <c r="E1020" s="97"/>
      <c r="F1020" s="97"/>
    </row>
    <row r="1021" spans="1:6" x14ac:dyDescent="0.25">
      <c r="A1021" s="96"/>
      <c r="B1021" s="96"/>
      <c r="C1021" s="96"/>
      <c r="D1021" s="96"/>
      <c r="E1021" s="97"/>
      <c r="F1021" s="97"/>
    </row>
    <row r="1022" spans="1:6" x14ac:dyDescent="0.25">
      <c r="A1022" s="96"/>
      <c r="B1022" s="96"/>
      <c r="C1022" s="96"/>
      <c r="D1022" s="96"/>
      <c r="E1022" s="97"/>
      <c r="F1022" s="97"/>
    </row>
    <row r="1023" spans="1:6" x14ac:dyDescent="0.25">
      <c r="A1023" s="96"/>
      <c r="B1023" s="96"/>
      <c r="C1023" s="96"/>
      <c r="D1023" s="96"/>
      <c r="E1023" s="97"/>
      <c r="F1023" s="97"/>
    </row>
    <row r="1024" spans="1:6" x14ac:dyDescent="0.25">
      <c r="A1024" s="96"/>
      <c r="B1024" s="96"/>
      <c r="C1024" s="96"/>
      <c r="D1024" s="96"/>
      <c r="E1024" s="97"/>
      <c r="F1024" s="97"/>
    </row>
    <row r="1025" spans="1:6" x14ac:dyDescent="0.25">
      <c r="A1025" s="96"/>
      <c r="B1025" s="96"/>
      <c r="C1025" s="96"/>
      <c r="D1025" s="96"/>
      <c r="E1025" s="97"/>
      <c r="F1025" s="97"/>
    </row>
    <row r="1026" spans="1:6" x14ac:dyDescent="0.25">
      <c r="A1026" s="96"/>
      <c r="B1026" s="96"/>
      <c r="C1026" s="96"/>
      <c r="D1026" s="96"/>
      <c r="E1026" s="97"/>
      <c r="F1026" s="97"/>
    </row>
    <row r="1027" spans="1:6" x14ac:dyDescent="0.25">
      <c r="A1027" s="96"/>
      <c r="B1027" s="96"/>
      <c r="C1027" s="96"/>
      <c r="D1027" s="96"/>
      <c r="E1027" s="97"/>
      <c r="F1027" s="97"/>
    </row>
    <row r="1028" spans="1:6" x14ac:dyDescent="0.25">
      <c r="A1028" s="96"/>
      <c r="B1028" s="96"/>
      <c r="C1028" s="96"/>
      <c r="D1028" s="96"/>
      <c r="E1028" s="97"/>
      <c r="F1028" s="97"/>
    </row>
    <row r="1029" spans="1:6" x14ac:dyDescent="0.25">
      <c r="A1029" s="96"/>
      <c r="B1029" s="96"/>
      <c r="C1029" s="96"/>
      <c r="D1029" s="96"/>
      <c r="E1029" s="97"/>
      <c r="F1029" s="97"/>
    </row>
    <row r="1030" spans="1:6" x14ac:dyDescent="0.25">
      <c r="A1030" s="96"/>
      <c r="B1030" s="96"/>
      <c r="C1030" s="96"/>
      <c r="D1030" s="96"/>
      <c r="E1030" s="97"/>
      <c r="F1030" s="97"/>
    </row>
    <row r="1031" spans="1:6" x14ac:dyDescent="0.25">
      <c r="A1031" s="96"/>
      <c r="B1031" s="96"/>
      <c r="C1031" s="96"/>
      <c r="D1031" s="96"/>
      <c r="E1031" s="97"/>
      <c r="F1031" s="97"/>
    </row>
    <row r="1032" spans="1:6" x14ac:dyDescent="0.25">
      <c r="A1032" s="50" t="s">
        <v>0</v>
      </c>
      <c r="B1032" s="50"/>
      <c r="C1032" s="50"/>
      <c r="D1032" s="9"/>
      <c r="E1032" s="84"/>
      <c r="F1032" s="75"/>
    </row>
    <row r="1033" spans="1:6" x14ac:dyDescent="0.25">
      <c r="A1033" s="50" t="s">
        <v>1</v>
      </c>
      <c r="B1033" s="50"/>
      <c r="C1033" s="50"/>
      <c r="D1033" s="9"/>
      <c r="E1033" s="84"/>
      <c r="F1033" s="75"/>
    </row>
    <row r="1034" spans="1:6" x14ac:dyDescent="0.25">
      <c r="A1034" s="50" t="s">
        <v>16</v>
      </c>
      <c r="B1034" s="50"/>
      <c r="C1034" s="50"/>
      <c r="D1034" s="9"/>
      <c r="E1034" s="84"/>
      <c r="F1034" s="75"/>
    </row>
    <row r="1035" spans="1:6" x14ac:dyDescent="0.25">
      <c r="A1035" s="643"/>
      <c r="B1035" s="643"/>
      <c r="C1035" s="643"/>
      <c r="D1035" s="643"/>
      <c r="E1035" s="643"/>
      <c r="F1035" s="643"/>
    </row>
    <row r="1036" spans="1:6" x14ac:dyDescent="0.25">
      <c r="A1036" s="643" t="s">
        <v>3361</v>
      </c>
      <c r="B1036" s="643"/>
      <c r="C1036" s="643"/>
      <c r="D1036" s="643"/>
      <c r="E1036" s="643"/>
      <c r="F1036" s="643"/>
    </row>
    <row r="1037" spans="1:6" x14ac:dyDescent="0.25">
      <c r="A1037" s="643" t="s">
        <v>3803</v>
      </c>
      <c r="B1037" s="643"/>
      <c r="C1037" s="643"/>
      <c r="D1037" s="643"/>
      <c r="E1037" s="643"/>
      <c r="F1037" s="643"/>
    </row>
    <row r="1038" spans="1:6" ht="15.75" thickBot="1" x14ac:dyDescent="0.3">
      <c r="A1038" s="1"/>
      <c r="B1038" s="1"/>
      <c r="C1038" s="1"/>
      <c r="D1038" s="1"/>
      <c r="E1038" s="85"/>
      <c r="F1038" s="76"/>
    </row>
    <row r="1039" spans="1:6" x14ac:dyDescent="0.25">
      <c r="A1039" s="53" t="s">
        <v>12</v>
      </c>
      <c r="B1039" s="193" t="s">
        <v>3285</v>
      </c>
      <c r="C1039" s="639" t="s">
        <v>3282</v>
      </c>
      <c r="D1039" s="639"/>
      <c r="E1039" s="199" t="s">
        <v>90</v>
      </c>
      <c r="F1039" s="200" t="s">
        <v>10</v>
      </c>
    </row>
    <row r="1040" spans="1:6" x14ac:dyDescent="0.25">
      <c r="A1040" s="241" t="s">
        <v>3705</v>
      </c>
      <c r="B1040" s="250" t="s">
        <v>3553</v>
      </c>
      <c r="C1040" s="281" t="s">
        <v>59</v>
      </c>
      <c r="D1040" s="282"/>
      <c r="E1040" s="283">
        <f>F986</f>
        <v>0</v>
      </c>
      <c r="F1040" s="284"/>
    </row>
    <row r="1041" spans="1:6" x14ac:dyDescent="0.25">
      <c r="A1041" s="249"/>
      <c r="B1041" s="250"/>
      <c r="C1041" s="250"/>
      <c r="D1041" s="282" t="s">
        <v>3552</v>
      </c>
      <c r="E1041" s="283"/>
      <c r="F1041" s="284">
        <f>E1040</f>
        <v>0</v>
      </c>
    </row>
    <row r="1042" spans="1:6" x14ac:dyDescent="0.25">
      <c r="A1042" s="249"/>
      <c r="B1042" s="250"/>
      <c r="C1042" s="285" t="s">
        <v>3667</v>
      </c>
      <c r="D1042" s="282"/>
      <c r="E1042" s="283"/>
      <c r="F1042" s="284"/>
    </row>
    <row r="1043" spans="1:6" x14ac:dyDescent="0.25">
      <c r="A1043" s="56"/>
      <c r="B1043" s="256"/>
      <c r="C1043" s="257"/>
      <c r="D1043" s="258"/>
      <c r="E1043" s="259"/>
      <c r="F1043" s="80"/>
    </row>
    <row r="1044" spans="1:6" x14ac:dyDescent="0.25">
      <c r="A1044" s="61" t="s">
        <v>5161</v>
      </c>
      <c r="B1044" s="185" t="s">
        <v>3339</v>
      </c>
      <c r="C1044" s="37" t="s">
        <v>80</v>
      </c>
      <c r="D1044" s="62"/>
      <c r="E1044" s="259"/>
      <c r="F1044" s="78"/>
    </row>
    <row r="1045" spans="1:6" x14ac:dyDescent="0.25">
      <c r="A1045" s="64"/>
      <c r="B1045" s="66" t="s">
        <v>3312</v>
      </c>
      <c r="C1045" s="66"/>
      <c r="D1045" s="62" t="s">
        <v>59</v>
      </c>
      <c r="E1045" s="259"/>
      <c r="F1045" s="78"/>
    </row>
    <row r="1046" spans="1:6" x14ac:dyDescent="0.25">
      <c r="A1046" s="64"/>
      <c r="B1046" s="66"/>
      <c r="C1046" s="239" t="s">
        <v>4037</v>
      </c>
      <c r="D1046" s="62"/>
      <c r="E1046" s="259"/>
      <c r="F1046" s="78"/>
    </row>
    <row r="1047" spans="1:6" x14ac:dyDescent="0.25">
      <c r="A1047" s="64"/>
      <c r="B1047" s="256"/>
      <c r="C1047" s="257"/>
      <c r="D1047" s="258"/>
      <c r="E1047" s="259"/>
      <c r="F1047" s="78"/>
    </row>
    <row r="1048" spans="1:6" x14ac:dyDescent="0.25">
      <c r="A1048" s="61" t="s">
        <v>5169</v>
      </c>
      <c r="B1048" s="185" t="s">
        <v>3339</v>
      </c>
      <c r="C1048" s="37" t="s">
        <v>80</v>
      </c>
      <c r="D1048" s="62"/>
      <c r="E1048" s="259"/>
      <c r="F1048" s="78"/>
    </row>
    <row r="1049" spans="1:6" x14ac:dyDescent="0.25">
      <c r="A1049" s="64"/>
      <c r="B1049" s="66" t="s">
        <v>3312</v>
      </c>
      <c r="C1049" s="66"/>
      <c r="D1049" s="62" t="s">
        <v>59</v>
      </c>
      <c r="E1049" s="259"/>
      <c r="F1049" s="78"/>
    </row>
    <row r="1050" spans="1:6" x14ac:dyDescent="0.25">
      <c r="A1050" s="64"/>
      <c r="B1050" s="66"/>
      <c r="C1050" s="239" t="s">
        <v>4037</v>
      </c>
      <c r="D1050" s="62"/>
      <c r="E1050" s="259"/>
      <c r="F1050" s="78"/>
    </row>
    <row r="1051" spans="1:6" x14ac:dyDescent="0.25">
      <c r="A1051" s="64"/>
      <c r="B1051" s="256"/>
      <c r="C1051" s="257"/>
      <c r="D1051" s="258"/>
      <c r="E1051" s="259"/>
      <c r="F1051" s="78"/>
    </row>
    <row r="1052" spans="1:6" x14ac:dyDescent="0.25">
      <c r="A1052" s="61" t="s">
        <v>3792</v>
      </c>
      <c r="B1052" s="66" t="s">
        <v>3312</v>
      </c>
      <c r="C1052" s="65" t="s">
        <v>59</v>
      </c>
      <c r="D1052" s="62"/>
      <c r="E1052" s="259"/>
      <c r="F1052" s="78"/>
    </row>
    <row r="1053" spans="1:6" x14ac:dyDescent="0.25">
      <c r="A1053" s="64"/>
      <c r="B1053" s="66" t="s">
        <v>3550</v>
      </c>
      <c r="C1053" s="66"/>
      <c r="D1053" s="62" t="s">
        <v>3551</v>
      </c>
      <c r="E1053" s="259"/>
      <c r="F1053" s="78"/>
    </row>
    <row r="1054" spans="1:6" x14ac:dyDescent="0.25">
      <c r="A1054" s="64"/>
      <c r="B1054" s="66"/>
      <c r="C1054" s="66"/>
      <c r="D1054" s="62"/>
      <c r="E1054" s="259"/>
      <c r="F1054" s="78"/>
    </row>
    <row r="1055" spans="1:6" x14ac:dyDescent="0.25">
      <c r="A1055" s="61" t="s">
        <v>3757</v>
      </c>
      <c r="B1055" s="186" t="s">
        <v>3312</v>
      </c>
      <c r="C1055" s="37" t="s">
        <v>59</v>
      </c>
      <c r="D1055" s="62"/>
      <c r="E1055" s="259"/>
      <c r="F1055" s="78"/>
    </row>
    <row r="1056" spans="1:6" x14ac:dyDescent="0.25">
      <c r="A1056" s="64"/>
      <c r="B1056" s="66" t="s">
        <v>3562</v>
      </c>
      <c r="C1056" s="66"/>
      <c r="D1056" s="62" t="s">
        <v>3581</v>
      </c>
      <c r="E1056" s="259"/>
      <c r="F1056" s="78"/>
    </row>
    <row r="1057" spans="1:6" x14ac:dyDescent="0.25">
      <c r="A1057" s="64"/>
      <c r="B1057" s="66"/>
      <c r="C1057" s="239" t="s">
        <v>3579</v>
      </c>
      <c r="D1057" s="62"/>
      <c r="E1057" s="259"/>
      <c r="F1057" s="78"/>
    </row>
    <row r="1058" spans="1:6" x14ac:dyDescent="0.25">
      <c r="A1058" s="64"/>
      <c r="B1058" s="66"/>
      <c r="C1058" s="66"/>
      <c r="D1058" s="62"/>
      <c r="E1058" s="259"/>
      <c r="F1058" s="78"/>
    </row>
    <row r="1059" spans="1:6" x14ac:dyDescent="0.25">
      <c r="A1059" s="61" t="s">
        <v>5179</v>
      </c>
      <c r="B1059" s="185" t="s">
        <v>3339</v>
      </c>
      <c r="C1059" s="37" t="s">
        <v>80</v>
      </c>
      <c r="D1059" s="62"/>
      <c r="E1059" s="259"/>
      <c r="F1059" s="78"/>
    </row>
    <row r="1060" spans="1:6" x14ac:dyDescent="0.25">
      <c r="A1060" s="64"/>
      <c r="B1060" s="66" t="s">
        <v>3312</v>
      </c>
      <c r="C1060" s="66"/>
      <c r="D1060" s="62" t="s">
        <v>59</v>
      </c>
      <c r="E1060" s="259"/>
      <c r="F1060" s="78"/>
    </row>
    <row r="1061" spans="1:6" x14ac:dyDescent="0.25">
      <c r="A1061" s="64"/>
      <c r="B1061" s="66"/>
      <c r="C1061" s="239" t="s">
        <v>4037</v>
      </c>
      <c r="D1061" s="62"/>
      <c r="E1061" s="259"/>
      <c r="F1061" s="78"/>
    </row>
    <row r="1062" spans="1:6" x14ac:dyDescent="0.25">
      <c r="A1062" s="64"/>
      <c r="B1062" s="66"/>
      <c r="C1062" s="66"/>
      <c r="D1062" s="62"/>
      <c r="E1062" s="259"/>
      <c r="F1062" s="78"/>
    </row>
    <row r="1063" spans="1:6" x14ac:dyDescent="0.25">
      <c r="A1063" s="61" t="s">
        <v>5191</v>
      </c>
      <c r="B1063" s="185" t="s">
        <v>3339</v>
      </c>
      <c r="C1063" s="37" t="s">
        <v>80</v>
      </c>
      <c r="D1063" s="62"/>
      <c r="E1063" s="259"/>
      <c r="F1063" s="78"/>
    </row>
    <row r="1064" spans="1:6" x14ac:dyDescent="0.25">
      <c r="A1064" s="64"/>
      <c r="B1064" s="66" t="s">
        <v>3312</v>
      </c>
      <c r="C1064" s="66"/>
      <c r="D1064" s="62" t="s">
        <v>59</v>
      </c>
      <c r="E1064" s="259"/>
      <c r="F1064" s="78"/>
    </row>
    <row r="1065" spans="1:6" x14ac:dyDescent="0.25">
      <c r="A1065" s="64"/>
      <c r="B1065" s="66"/>
      <c r="C1065" s="239" t="s">
        <v>4037</v>
      </c>
      <c r="D1065" s="62"/>
      <c r="E1065" s="259"/>
      <c r="F1065" s="78"/>
    </row>
    <row r="1066" spans="1:6" x14ac:dyDescent="0.25">
      <c r="A1066" s="64"/>
      <c r="B1066" s="66"/>
      <c r="C1066" s="66"/>
      <c r="D1066" s="62"/>
      <c r="E1066" s="259"/>
      <c r="F1066" s="78"/>
    </row>
    <row r="1067" spans="1:6" x14ac:dyDescent="0.25">
      <c r="A1067" s="61" t="s">
        <v>5150</v>
      </c>
      <c r="B1067" s="186" t="s">
        <v>3312</v>
      </c>
      <c r="C1067" s="37" t="s">
        <v>59</v>
      </c>
      <c r="D1067" s="62"/>
      <c r="E1067" s="259"/>
      <c r="F1067" s="78"/>
    </row>
    <row r="1068" spans="1:6" x14ac:dyDescent="0.25">
      <c r="A1068" s="64"/>
      <c r="B1068" s="66" t="s">
        <v>3562</v>
      </c>
      <c r="C1068" s="66"/>
      <c r="D1068" s="62" t="s">
        <v>3581</v>
      </c>
      <c r="E1068" s="88"/>
      <c r="F1068" s="78"/>
    </row>
    <row r="1069" spans="1:6" x14ac:dyDescent="0.25">
      <c r="A1069" s="64"/>
      <c r="B1069" s="66"/>
      <c r="C1069" s="239" t="s">
        <v>3579</v>
      </c>
      <c r="D1069" s="62"/>
      <c r="E1069" s="88"/>
      <c r="F1069" s="78"/>
    </row>
    <row r="1070" spans="1:6" x14ac:dyDescent="0.25">
      <c r="A1070" s="64"/>
      <c r="B1070" s="66"/>
      <c r="C1070" s="65"/>
      <c r="D1070" s="62"/>
      <c r="E1070" s="350"/>
      <c r="F1070" s="78"/>
    </row>
    <row r="1071" spans="1:6" x14ac:dyDescent="0.25">
      <c r="A1071" s="59" t="s">
        <v>3706</v>
      </c>
      <c r="B1071" s="66" t="s">
        <v>3553</v>
      </c>
      <c r="C1071" s="65" t="s">
        <v>3668</v>
      </c>
      <c r="D1071" s="62"/>
      <c r="E1071" s="350"/>
      <c r="F1071" s="78"/>
    </row>
    <row r="1072" spans="1:6" x14ac:dyDescent="0.25">
      <c r="A1072" s="61"/>
      <c r="B1072" s="66" t="s">
        <v>3553</v>
      </c>
      <c r="C1072" s="65" t="s">
        <v>3669</v>
      </c>
      <c r="D1072" s="62"/>
      <c r="E1072" s="350"/>
      <c r="F1072" s="78"/>
    </row>
    <row r="1073" spans="1:10" x14ac:dyDescent="0.25">
      <c r="A1073" s="61"/>
      <c r="B1073" s="66" t="s">
        <v>3553</v>
      </c>
      <c r="C1073" s="65" t="s">
        <v>3702</v>
      </c>
      <c r="D1073" s="62"/>
      <c r="E1073" s="350"/>
      <c r="F1073" s="78"/>
    </row>
    <row r="1074" spans="1:10" x14ac:dyDescent="0.25">
      <c r="A1074" s="64"/>
      <c r="B1074" s="66" t="s">
        <v>3312</v>
      </c>
      <c r="C1074" s="66"/>
      <c r="D1074" s="62" t="s">
        <v>59</v>
      </c>
      <c r="E1074" s="350"/>
      <c r="F1074" s="78"/>
    </row>
    <row r="1075" spans="1:10" x14ac:dyDescent="0.25">
      <c r="A1075" s="64"/>
      <c r="B1075" s="66"/>
      <c r="C1075" s="637" t="s">
        <v>3666</v>
      </c>
      <c r="D1075" s="638"/>
      <c r="E1075" s="350"/>
      <c r="F1075" s="78"/>
    </row>
    <row r="1076" spans="1:10" x14ac:dyDescent="0.25">
      <c r="A1076" s="64"/>
      <c r="B1076" s="66"/>
      <c r="C1076" s="274"/>
      <c r="D1076" s="275"/>
      <c r="E1076" s="350"/>
      <c r="F1076" s="78"/>
    </row>
    <row r="1077" spans="1:10" x14ac:dyDescent="0.25">
      <c r="A1077" s="168" t="str">
        <f>A1071</f>
        <v>31 DES</v>
      </c>
      <c r="B1077" s="168" t="s">
        <v>3331</v>
      </c>
      <c r="C1077" s="43" t="s">
        <v>3314</v>
      </c>
      <c r="D1077" s="24"/>
      <c r="E1077" s="350"/>
      <c r="F1077" s="78"/>
    </row>
    <row r="1078" spans="1:10" ht="24.75" customHeight="1" x14ac:dyDescent="0.25">
      <c r="A1078" s="64"/>
      <c r="B1078" s="64" t="s">
        <v>3330</v>
      </c>
      <c r="C1078" s="43" t="s">
        <v>3315</v>
      </c>
      <c r="D1078" s="24"/>
      <c r="E1078" s="350"/>
      <c r="F1078" s="78"/>
      <c r="J1078" s="253"/>
    </row>
    <row r="1079" spans="1:10" x14ac:dyDescent="0.25">
      <c r="A1079" s="64"/>
      <c r="B1079" s="64" t="s">
        <v>3332</v>
      </c>
      <c r="C1079" s="43" t="s">
        <v>3316</v>
      </c>
      <c r="D1079" s="27"/>
      <c r="E1079" s="350"/>
      <c r="F1079" s="78"/>
    </row>
    <row r="1080" spans="1:10" x14ac:dyDescent="0.25">
      <c r="A1080" s="64"/>
      <c r="B1080" s="64" t="s">
        <v>3333</v>
      </c>
      <c r="C1080" s="43" t="s">
        <v>3317</v>
      </c>
      <c r="D1080" s="27"/>
      <c r="E1080" s="350"/>
      <c r="F1080" s="78"/>
    </row>
    <row r="1081" spans="1:10" x14ac:dyDescent="0.25">
      <c r="A1081" s="64"/>
      <c r="B1081" s="66" t="s">
        <v>3318</v>
      </c>
      <c r="C1081" s="37"/>
      <c r="D1081" s="44" t="s">
        <v>51</v>
      </c>
      <c r="E1081" s="350"/>
      <c r="F1081" s="78"/>
    </row>
    <row r="1082" spans="1:10" x14ac:dyDescent="0.25">
      <c r="A1082" s="64"/>
      <c r="B1082" s="66" t="s">
        <v>3319</v>
      </c>
      <c r="C1082" s="37"/>
      <c r="D1082" s="44" t="s">
        <v>52</v>
      </c>
      <c r="E1082" s="88"/>
      <c r="F1082" s="78"/>
    </row>
    <row r="1083" spans="1:10" x14ac:dyDescent="0.25">
      <c r="A1083" s="64"/>
      <c r="B1083" s="66" t="s">
        <v>3320</v>
      </c>
      <c r="C1083" s="37"/>
      <c r="D1083" s="44" t="s">
        <v>53</v>
      </c>
      <c r="E1083" s="88"/>
      <c r="F1083" s="78"/>
    </row>
    <row r="1084" spans="1:10" x14ac:dyDescent="0.25">
      <c r="A1084" s="64"/>
      <c r="B1084" s="66" t="s">
        <v>3321</v>
      </c>
      <c r="C1084" s="37"/>
      <c r="D1084" s="44" t="s">
        <v>54</v>
      </c>
      <c r="E1084" s="88"/>
      <c r="F1084" s="78"/>
    </row>
    <row r="1085" spans="1:10" x14ac:dyDescent="0.25">
      <c r="A1085" s="64"/>
      <c r="B1085" s="66" t="s">
        <v>3326</v>
      </c>
      <c r="C1085" s="37"/>
      <c r="D1085" s="44" t="s">
        <v>3322</v>
      </c>
      <c r="E1085" s="88"/>
      <c r="F1085" s="78"/>
    </row>
    <row r="1086" spans="1:10" x14ac:dyDescent="0.25">
      <c r="A1086" s="64"/>
      <c r="B1086" s="66" t="s">
        <v>3327</v>
      </c>
      <c r="C1086" s="37"/>
      <c r="D1086" s="44" t="s">
        <v>3323</v>
      </c>
      <c r="E1086" s="88"/>
      <c r="F1086" s="78"/>
    </row>
    <row r="1087" spans="1:10" x14ac:dyDescent="0.25">
      <c r="A1087" s="64"/>
      <c r="B1087" s="66" t="s">
        <v>3328</v>
      </c>
      <c r="C1087" s="37"/>
      <c r="D1087" s="44" t="s">
        <v>3324</v>
      </c>
      <c r="E1087" s="88"/>
      <c r="F1087" s="78"/>
    </row>
    <row r="1088" spans="1:10" x14ac:dyDescent="0.25">
      <c r="A1088" s="64"/>
      <c r="B1088" s="66" t="s">
        <v>3329</v>
      </c>
      <c r="C1088" s="37"/>
      <c r="D1088" s="44" t="s">
        <v>3325</v>
      </c>
      <c r="E1088" s="88"/>
      <c r="F1088" s="78"/>
    </row>
    <row r="1089" spans="1:6" x14ac:dyDescent="0.25">
      <c r="A1089" s="64"/>
      <c r="B1089" s="66"/>
      <c r="C1089" s="37"/>
      <c r="D1089" s="44"/>
      <c r="E1089" s="88"/>
      <c r="F1089" s="78"/>
    </row>
    <row r="1090" spans="1:6" x14ac:dyDescent="0.25">
      <c r="A1090" s="168" t="str">
        <f>A1077</f>
        <v>31 DES</v>
      </c>
      <c r="B1090" s="198" t="s">
        <v>3333</v>
      </c>
      <c r="C1090" s="37" t="s">
        <v>94</v>
      </c>
      <c r="D1090" s="44"/>
      <c r="E1090" s="88"/>
      <c r="F1090" s="78"/>
    </row>
    <row r="1091" spans="1:6" x14ac:dyDescent="0.25">
      <c r="A1091" s="64"/>
      <c r="B1091" s="66" t="s">
        <v>3334</v>
      </c>
      <c r="C1091" s="37"/>
      <c r="D1091" s="44" t="s">
        <v>95</v>
      </c>
      <c r="E1091" s="88"/>
      <c r="F1091" s="78"/>
    </row>
    <row r="1092" spans="1:6" x14ac:dyDescent="0.25">
      <c r="A1092" s="64"/>
      <c r="B1092" s="66"/>
      <c r="C1092" s="66"/>
      <c r="D1092" s="62"/>
      <c r="E1092" s="88"/>
      <c r="F1092" s="78"/>
    </row>
    <row r="1093" spans="1:6" x14ac:dyDescent="0.25">
      <c r="A1093" s="168" t="str">
        <f>A1090</f>
        <v>31 DES</v>
      </c>
      <c r="B1093" s="186" t="s">
        <v>3312</v>
      </c>
      <c r="C1093" s="37" t="s">
        <v>59</v>
      </c>
      <c r="D1093" s="40"/>
      <c r="E1093" s="88"/>
      <c r="F1093" s="81"/>
    </row>
    <row r="1094" spans="1:6" x14ac:dyDescent="0.25">
      <c r="A1094" s="10"/>
      <c r="B1094" s="185" t="s">
        <v>3339</v>
      </c>
      <c r="C1094" s="37" t="s">
        <v>3338</v>
      </c>
      <c r="D1094" s="40"/>
      <c r="E1094" s="88"/>
      <c r="F1094" s="81"/>
    </row>
    <row r="1095" spans="1:6" x14ac:dyDescent="0.25">
      <c r="A1095" s="10"/>
      <c r="B1095" s="185" t="s">
        <v>3341</v>
      </c>
      <c r="C1095" s="37"/>
      <c r="D1095" s="40" t="s">
        <v>3340</v>
      </c>
      <c r="E1095" s="88"/>
      <c r="F1095" s="81"/>
    </row>
    <row r="1096" spans="1:6" x14ac:dyDescent="0.25">
      <c r="A1096" s="10"/>
      <c r="B1096" s="185"/>
      <c r="C1096" s="37"/>
      <c r="D1096" s="40"/>
      <c r="E1096" s="88"/>
      <c r="F1096" s="81"/>
    </row>
    <row r="1097" spans="1:6" x14ac:dyDescent="0.25">
      <c r="A1097" s="69" t="str">
        <f>A1093</f>
        <v>31 DES</v>
      </c>
      <c r="B1097" s="186" t="s">
        <v>3312</v>
      </c>
      <c r="C1097" s="37" t="s">
        <v>59</v>
      </c>
      <c r="D1097" s="40"/>
      <c r="E1097" s="88"/>
      <c r="F1097" s="104"/>
    </row>
    <row r="1098" spans="1:6" x14ac:dyDescent="0.25">
      <c r="A1098" s="10"/>
      <c r="B1098" s="185" t="s">
        <v>3339</v>
      </c>
      <c r="C1098" s="37" t="s">
        <v>80</v>
      </c>
      <c r="D1098" s="40"/>
      <c r="E1098" s="88"/>
      <c r="F1098" s="104"/>
    </row>
    <row r="1099" spans="1:6" x14ac:dyDescent="0.25">
      <c r="A1099" s="10"/>
      <c r="B1099" s="185" t="s">
        <v>3341</v>
      </c>
      <c r="C1099" s="37"/>
      <c r="D1099" s="40" t="s">
        <v>81</v>
      </c>
      <c r="E1099" s="88"/>
      <c r="F1099" s="104"/>
    </row>
    <row r="1100" spans="1:6" x14ac:dyDescent="0.25">
      <c r="A1100" s="10"/>
      <c r="B1100" s="19"/>
      <c r="C1100" s="37"/>
      <c r="D1100" s="40"/>
      <c r="E1100" s="88"/>
      <c r="F1100" s="104"/>
    </row>
    <row r="1101" spans="1:6" x14ac:dyDescent="0.25">
      <c r="A1101" s="72" t="s">
        <v>3709</v>
      </c>
      <c r="B1101" s="66" t="s">
        <v>3312</v>
      </c>
      <c r="C1101" s="65" t="s">
        <v>59</v>
      </c>
      <c r="D1101" s="258"/>
      <c r="E1101" s="88"/>
      <c r="F1101" s="104"/>
    </row>
    <row r="1102" spans="1:6" x14ac:dyDescent="0.25">
      <c r="A1102" s="10"/>
      <c r="B1102" s="66" t="s">
        <v>3565</v>
      </c>
      <c r="C1102" s="65" t="s">
        <v>5081</v>
      </c>
      <c r="D1102" s="513"/>
      <c r="E1102" s="88"/>
      <c r="F1102" s="104"/>
    </row>
    <row r="1103" spans="1:6" x14ac:dyDescent="0.25">
      <c r="A1103" s="10"/>
      <c r="B1103" s="256"/>
      <c r="C1103" s="637" t="s">
        <v>5154</v>
      </c>
      <c r="D1103" s="638"/>
      <c r="E1103" s="88"/>
      <c r="F1103" s="104"/>
    </row>
    <row r="1104" spans="1:6" x14ac:dyDescent="0.25">
      <c r="A1104" s="64"/>
      <c r="B1104" s="277"/>
      <c r="C1104" s="66"/>
      <c r="D1104" s="62"/>
      <c r="E1104" s="88"/>
      <c r="F1104" s="104"/>
    </row>
    <row r="1105" spans="1:8" x14ac:dyDescent="0.25">
      <c r="A1105" s="64" t="str">
        <f>A1101</f>
        <v>31 Des</v>
      </c>
      <c r="B1105" s="277" t="s">
        <v>3746</v>
      </c>
      <c r="C1105" s="65" t="s">
        <v>3759</v>
      </c>
      <c r="D1105" s="62"/>
      <c r="E1105" s="88"/>
      <c r="F1105" s="104"/>
    </row>
    <row r="1106" spans="1:8" ht="26.25" customHeight="1" x14ac:dyDescent="0.25">
      <c r="A1106" s="10"/>
      <c r="B1106" s="19" t="s">
        <v>3550</v>
      </c>
      <c r="C1106" s="37"/>
      <c r="D1106" s="40" t="s">
        <v>3760</v>
      </c>
      <c r="E1106" s="88"/>
      <c r="F1106" s="104"/>
    </row>
    <row r="1107" spans="1:8" x14ac:dyDescent="0.25">
      <c r="A1107" s="10"/>
      <c r="B1107" s="19"/>
      <c r="C1107" s="528" t="s">
        <v>5151</v>
      </c>
      <c r="D1107" s="40"/>
      <c r="E1107" s="88"/>
      <c r="F1107" s="104"/>
    </row>
    <row r="1108" spans="1:8" x14ac:dyDescent="0.25">
      <c r="A1108" s="10"/>
      <c r="B1108" s="19"/>
      <c r="C1108" s="37"/>
      <c r="D1108" s="40"/>
      <c r="E1108" s="88"/>
      <c r="F1108" s="104"/>
      <c r="G1108" s="89"/>
      <c r="H1108" s="527"/>
    </row>
    <row r="1109" spans="1:8" x14ac:dyDescent="0.25">
      <c r="A1109" s="72" t="s">
        <v>3709</v>
      </c>
      <c r="B1109" s="19" t="s">
        <v>3742</v>
      </c>
      <c r="C1109" s="354" t="s">
        <v>3762</v>
      </c>
      <c r="D1109" s="355"/>
      <c r="E1109" s="88"/>
      <c r="F1109" s="104"/>
    </row>
    <row r="1110" spans="1:8" x14ac:dyDescent="0.25">
      <c r="A1110" s="10"/>
      <c r="B1110" s="66" t="s">
        <v>3745</v>
      </c>
      <c r="C1110" s="354"/>
      <c r="D1110" s="355" t="s">
        <v>3744</v>
      </c>
      <c r="E1110" s="88"/>
      <c r="F1110" s="104"/>
      <c r="H1110" s="89"/>
    </row>
    <row r="1111" spans="1:8" x14ac:dyDescent="0.25">
      <c r="A1111" s="10"/>
      <c r="B1111" s="277"/>
      <c r="C1111" s="356" t="s">
        <v>5152</v>
      </c>
      <c r="D1111" s="355"/>
      <c r="E1111" s="88"/>
      <c r="F1111" s="104"/>
    </row>
    <row r="1112" spans="1:8" x14ac:dyDescent="0.25">
      <c r="A1112" s="10"/>
      <c r="B1112" s="277"/>
      <c r="C1112" s="354"/>
      <c r="D1112" s="355"/>
      <c r="E1112" s="88"/>
      <c r="F1112" s="104"/>
    </row>
    <row r="1113" spans="1:8" x14ac:dyDescent="0.25">
      <c r="A1113" s="10" t="s">
        <v>3761</v>
      </c>
      <c r="B1113" s="277" t="s">
        <v>4001</v>
      </c>
      <c r="C1113" s="354" t="s">
        <v>5153</v>
      </c>
      <c r="D1113" s="355"/>
      <c r="E1113" s="88"/>
      <c r="F1113" s="104"/>
    </row>
    <row r="1114" spans="1:8" x14ac:dyDescent="0.25">
      <c r="A1114" s="10"/>
      <c r="B1114" s="66" t="s">
        <v>3745</v>
      </c>
      <c r="C1114" s="354"/>
      <c r="D1114" s="355" t="s">
        <v>3744</v>
      </c>
      <c r="E1114" s="88"/>
      <c r="F1114" s="104"/>
    </row>
    <row r="1115" spans="1:8" x14ac:dyDescent="0.25">
      <c r="A1115" s="10"/>
      <c r="B1115" s="277"/>
      <c r="C1115" s="529" t="s">
        <v>5242</v>
      </c>
      <c r="D1115" s="355"/>
      <c r="E1115" s="88"/>
      <c r="F1115" s="104"/>
    </row>
    <row r="1116" spans="1:8" x14ac:dyDescent="0.25">
      <c r="A1116" s="10"/>
      <c r="B1116" s="277"/>
      <c r="C1116" s="352"/>
      <c r="D1116" s="353"/>
      <c r="E1116" s="88"/>
      <c r="F1116" s="104"/>
    </row>
    <row r="1117" spans="1:8" x14ac:dyDescent="0.25">
      <c r="A1117" s="72" t="s">
        <v>3761</v>
      </c>
      <c r="B1117" s="277" t="s">
        <v>3765</v>
      </c>
      <c r="C1117" s="354" t="s">
        <v>3766</v>
      </c>
      <c r="D1117" s="355"/>
      <c r="E1117" s="88"/>
      <c r="F1117" s="104"/>
    </row>
    <row r="1118" spans="1:8" x14ac:dyDescent="0.25">
      <c r="A1118" s="10"/>
      <c r="B1118" s="277" t="s">
        <v>3764</v>
      </c>
      <c r="C1118" s="354"/>
      <c r="D1118" s="355" t="s">
        <v>3763</v>
      </c>
      <c r="E1118" s="88"/>
      <c r="F1118" s="104"/>
    </row>
    <row r="1119" spans="1:8" x14ac:dyDescent="0.25">
      <c r="A1119" s="10"/>
      <c r="B1119" s="277"/>
      <c r="C1119" s="356" t="s">
        <v>3793</v>
      </c>
      <c r="D1119" s="355"/>
      <c r="E1119" s="88"/>
      <c r="F1119" s="104"/>
    </row>
    <row r="1120" spans="1:8" x14ac:dyDescent="0.25">
      <c r="A1120" s="10"/>
      <c r="B1120" s="277"/>
      <c r="C1120" s="356"/>
      <c r="D1120" s="355"/>
      <c r="E1120" s="88"/>
      <c r="F1120" s="104"/>
    </row>
    <row r="1121" spans="1:6" x14ac:dyDescent="0.25">
      <c r="A1121" s="72" t="s">
        <v>3709</v>
      </c>
      <c r="B1121" s="277" t="s">
        <v>5245</v>
      </c>
      <c r="C1121" s="354" t="s">
        <v>5246</v>
      </c>
      <c r="D1121" s="355"/>
      <c r="E1121" s="88"/>
      <c r="F1121" s="104"/>
    </row>
    <row r="1122" spans="1:6" x14ac:dyDescent="0.25">
      <c r="A1122" s="10"/>
      <c r="B1122" s="277" t="s">
        <v>3710</v>
      </c>
      <c r="C1122" s="356"/>
      <c r="D1122" s="355" t="s">
        <v>5241</v>
      </c>
      <c r="E1122" s="82"/>
      <c r="F1122" s="104"/>
    </row>
    <row r="1123" spans="1:6" x14ac:dyDescent="0.25">
      <c r="A1123" s="10"/>
      <c r="B1123" s="277"/>
      <c r="C1123" s="356" t="s">
        <v>5247</v>
      </c>
      <c r="D1123" s="355"/>
      <c r="E1123" s="82"/>
      <c r="F1123" s="104"/>
    </row>
    <row r="1124" spans="1:6" x14ac:dyDescent="0.25">
      <c r="A1124" s="10"/>
      <c r="B1124" s="277"/>
      <c r="C1124" s="356"/>
      <c r="D1124" s="355"/>
      <c r="E1124" s="82"/>
      <c r="F1124" s="104"/>
    </row>
    <row r="1125" spans="1:6" x14ac:dyDescent="0.25">
      <c r="A1125" s="10"/>
      <c r="B1125" s="277"/>
      <c r="C1125" s="354"/>
      <c r="D1125" s="355"/>
      <c r="E1125" s="82"/>
      <c r="F1125" s="104"/>
    </row>
    <row r="1126" spans="1:6" ht="15.75" thickBot="1" x14ac:dyDescent="0.3">
      <c r="A1126" s="640"/>
      <c r="B1126" s="641"/>
      <c r="C1126" s="641"/>
      <c r="D1126" s="642"/>
      <c r="E1126" s="105">
        <f>SUM(E1052:E1125)</f>
        <v>0</v>
      </c>
      <c r="F1126" s="105">
        <f>SUM(F1052:F1125)</f>
        <v>0</v>
      </c>
    </row>
    <row r="1127" spans="1:6" x14ac:dyDescent="0.25">
      <c r="A1127" s="96"/>
      <c r="B1127" s="96"/>
      <c r="C1127" s="96"/>
      <c r="D1127" s="96"/>
      <c r="E1127" s="97"/>
      <c r="F1127" s="97"/>
    </row>
    <row r="1129" spans="1:6" x14ac:dyDescent="0.25">
      <c r="F1129" s="367"/>
    </row>
    <row r="1130" spans="1:6" x14ac:dyDescent="0.25">
      <c r="B1130" s="277"/>
      <c r="C1130" s="95"/>
      <c r="D1130" s="368"/>
      <c r="E1130" s="369"/>
      <c r="F1130" s="369"/>
    </row>
    <row r="1131" spans="1:6" x14ac:dyDescent="0.25">
      <c r="B1131" s="277"/>
      <c r="C1131" s="368"/>
      <c r="D1131" s="368"/>
      <c r="E1131" s="369"/>
      <c r="F1131" s="369"/>
    </row>
    <row r="1132" spans="1:6" x14ac:dyDescent="0.25">
      <c r="B1132" s="277"/>
      <c r="C1132" s="370"/>
      <c r="D1132" s="371"/>
      <c r="E1132" s="369"/>
      <c r="F1132" s="369"/>
    </row>
    <row r="1133" spans="1:6" x14ac:dyDescent="0.25">
      <c r="F1133" s="367"/>
    </row>
  </sheetData>
  <mergeCells count="88">
    <mergeCell ref="A1126:D1126"/>
    <mergeCell ref="A887:D887"/>
    <mergeCell ref="A375:F375"/>
    <mergeCell ref="A76:D76"/>
    <mergeCell ref="C460:D460"/>
    <mergeCell ref="C492:D492"/>
    <mergeCell ref="C299:D299"/>
    <mergeCell ref="A738:F738"/>
    <mergeCell ref="C833:D833"/>
    <mergeCell ref="C756:D756"/>
    <mergeCell ref="A539:F539"/>
    <mergeCell ref="C541:D541"/>
    <mergeCell ref="C561:D561"/>
    <mergeCell ref="A365:D365"/>
    <mergeCell ref="C328:D328"/>
    <mergeCell ref="A373:F373"/>
    <mergeCell ref="A374:F374"/>
    <mergeCell ref="A824:F824"/>
    <mergeCell ref="C826:D826"/>
    <mergeCell ref="A537:F537"/>
    <mergeCell ref="A538:F538"/>
    <mergeCell ref="A519:D519"/>
    <mergeCell ref="A457:F457"/>
    <mergeCell ref="A456:F456"/>
    <mergeCell ref="C467:D467"/>
    <mergeCell ref="A683:D683"/>
    <mergeCell ref="C657:D657"/>
    <mergeCell ref="A297:F297"/>
    <mergeCell ref="A792:D792"/>
    <mergeCell ref="A591:D591"/>
    <mergeCell ref="C766:D766"/>
    <mergeCell ref="A737:F737"/>
    <mergeCell ref="A637:F637"/>
    <mergeCell ref="A638:F638"/>
    <mergeCell ref="C741:D741"/>
    <mergeCell ref="A639:F639"/>
    <mergeCell ref="A739:F739"/>
    <mergeCell ref="C641:D641"/>
    <mergeCell ref="A458:F458"/>
    <mergeCell ref="C486:D486"/>
    <mergeCell ref="C377:D377"/>
    <mergeCell ref="A427:D427"/>
    <mergeCell ref="C401:D401"/>
    <mergeCell ref="C861:D861"/>
    <mergeCell ref="A822:F822"/>
    <mergeCell ref="A823:F823"/>
    <mergeCell ref="C967:D967"/>
    <mergeCell ref="A937:F937"/>
    <mergeCell ref="A938:F938"/>
    <mergeCell ref="A939:F939"/>
    <mergeCell ref="C941:D941"/>
    <mergeCell ref="C960:D960"/>
    <mergeCell ref="C956:D956"/>
    <mergeCell ref="C948:D948"/>
    <mergeCell ref="A1036:F1036"/>
    <mergeCell ref="A1037:F1037"/>
    <mergeCell ref="C1039:D1039"/>
    <mergeCell ref="C1075:D1075"/>
    <mergeCell ref="C980:D980"/>
    <mergeCell ref="C987:D987"/>
    <mergeCell ref="A1013:D1013"/>
    <mergeCell ref="A1035:F1035"/>
    <mergeCell ref="C1103:D1103"/>
    <mergeCell ref="A4:F4"/>
    <mergeCell ref="C6:D6"/>
    <mergeCell ref="A5:F5"/>
    <mergeCell ref="C32:D32"/>
    <mergeCell ref="C40:D40"/>
    <mergeCell ref="C47:D47"/>
    <mergeCell ref="A97:F97"/>
    <mergeCell ref="A98:F98"/>
    <mergeCell ref="A99:F99"/>
    <mergeCell ref="C101:D101"/>
    <mergeCell ref="A164:D164"/>
    <mergeCell ref="C139:D139"/>
    <mergeCell ref="A196:F196"/>
    <mergeCell ref="A197:F197"/>
    <mergeCell ref="A198:F198"/>
    <mergeCell ref="C120:D120"/>
    <mergeCell ref="C200:D200"/>
    <mergeCell ref="A277:D277"/>
    <mergeCell ref="A295:F295"/>
    <mergeCell ref="A296:F296"/>
    <mergeCell ref="C248:D248"/>
    <mergeCell ref="C221:D221"/>
    <mergeCell ref="C237:D237"/>
    <mergeCell ref="C229:D229"/>
    <mergeCell ref="C251:D251"/>
  </mergeCells>
  <phoneticPr fontId="5" type="noConversion"/>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1283"/>
  <sheetViews>
    <sheetView view="pageLayout" workbookViewId="0">
      <selection activeCell="I1258" sqref="I1258"/>
    </sheetView>
  </sheetViews>
  <sheetFormatPr defaultRowHeight="15" x14ac:dyDescent="0.25"/>
  <cols>
    <col min="1" max="2" width="7.85546875" customWidth="1"/>
    <col min="3" max="3" width="9.7109375" customWidth="1"/>
    <col min="4" max="4" width="3.28515625" customWidth="1"/>
    <col min="5" max="5" width="32.5703125" customWidth="1"/>
    <col min="6" max="6" width="7" style="3" customWidth="1"/>
    <col min="7" max="7" width="14" style="227" customWidth="1"/>
    <col min="8" max="8" width="14.85546875" style="227" customWidth="1"/>
    <col min="9" max="9" width="14.7109375" customWidth="1"/>
    <col min="10" max="10" width="11.140625" customWidth="1"/>
    <col min="11" max="11" width="13.42578125" customWidth="1"/>
    <col min="12" max="12" width="23.85546875" customWidth="1"/>
    <col min="13" max="13" width="18.140625" customWidth="1"/>
  </cols>
  <sheetData>
    <row r="1" spans="1:14" x14ac:dyDescent="0.25">
      <c r="A1" s="50" t="s">
        <v>0</v>
      </c>
      <c r="B1" s="50"/>
      <c r="C1" s="50"/>
      <c r="D1" s="50"/>
      <c r="E1" s="9"/>
      <c r="F1" s="18"/>
      <c r="G1" s="219"/>
      <c r="H1" s="219"/>
      <c r="I1" s="9"/>
      <c r="J1" s="9"/>
      <c r="K1" s="9"/>
      <c r="L1" s="9"/>
      <c r="M1" s="9"/>
      <c r="N1" s="1"/>
    </row>
    <row r="2" spans="1:14" x14ac:dyDescent="0.25">
      <c r="A2" s="50" t="s">
        <v>1</v>
      </c>
      <c r="B2" s="50"/>
      <c r="C2" s="50"/>
      <c r="D2" s="50"/>
      <c r="E2" s="9"/>
      <c r="F2" s="18"/>
      <c r="G2" s="219"/>
      <c r="H2" s="219"/>
      <c r="I2" s="9"/>
      <c r="J2" s="9"/>
      <c r="K2" s="9"/>
      <c r="L2" s="9"/>
      <c r="M2" s="9"/>
      <c r="N2" s="1"/>
    </row>
    <row r="3" spans="1:14" x14ac:dyDescent="0.25">
      <c r="A3" s="50" t="s">
        <v>16</v>
      </c>
      <c r="B3" s="50"/>
      <c r="C3" s="50"/>
      <c r="D3" s="50"/>
      <c r="E3" s="9"/>
      <c r="F3" s="18"/>
      <c r="G3" s="219"/>
      <c r="H3" s="219"/>
      <c r="I3" s="9"/>
      <c r="J3" s="9"/>
      <c r="K3" s="9"/>
      <c r="L3" s="9"/>
      <c r="M3" s="9"/>
      <c r="N3" s="1"/>
    </row>
    <row r="4" spans="1:14" x14ac:dyDescent="0.25">
      <c r="A4" s="643" t="s">
        <v>117</v>
      </c>
      <c r="B4" s="643"/>
      <c r="C4" s="643"/>
      <c r="D4" s="643"/>
      <c r="E4" s="643"/>
      <c r="F4" s="643"/>
      <c r="G4" s="643"/>
      <c r="H4" s="643"/>
      <c r="I4" s="9"/>
      <c r="J4" s="9"/>
      <c r="K4" s="9"/>
      <c r="L4" s="9"/>
      <c r="M4" s="9"/>
      <c r="N4" s="1"/>
    </row>
    <row r="5" spans="1:14" x14ac:dyDescent="0.25">
      <c r="A5" s="643" t="s">
        <v>5248</v>
      </c>
      <c r="B5" s="643"/>
      <c r="C5" s="643"/>
      <c r="D5" s="643"/>
      <c r="E5" s="643"/>
      <c r="F5" s="643"/>
      <c r="G5" s="643"/>
      <c r="H5" s="643"/>
      <c r="I5" s="9"/>
      <c r="J5" s="9"/>
      <c r="K5" s="9"/>
      <c r="L5" s="9"/>
      <c r="M5" s="9"/>
      <c r="N5" s="1"/>
    </row>
    <row r="6" spans="1:14" ht="15.75" thickBot="1" x14ac:dyDescent="0.3">
      <c r="A6" s="1"/>
      <c r="B6" s="1"/>
      <c r="C6" s="1"/>
      <c r="D6" s="1"/>
      <c r="E6" s="1"/>
      <c r="F6" s="19"/>
      <c r="G6" s="178"/>
      <c r="H6" s="178"/>
      <c r="I6" s="1"/>
      <c r="J6" s="1"/>
      <c r="K6" s="1"/>
      <c r="L6" s="1"/>
      <c r="M6" s="1"/>
      <c r="N6" s="1"/>
    </row>
    <row r="7" spans="1:14" ht="29.25" customHeight="1" x14ac:dyDescent="0.25">
      <c r="A7" s="53" t="s">
        <v>12</v>
      </c>
      <c r="B7" s="192" t="s">
        <v>3283</v>
      </c>
      <c r="C7" s="193" t="s">
        <v>3285</v>
      </c>
      <c r="D7" s="652" t="s">
        <v>3282</v>
      </c>
      <c r="E7" s="653"/>
      <c r="F7" s="215" t="s">
        <v>3284</v>
      </c>
      <c r="G7" s="220" t="s">
        <v>57</v>
      </c>
      <c r="H7" s="221" t="s">
        <v>58</v>
      </c>
      <c r="I7" s="9"/>
      <c r="J7" s="9"/>
      <c r="K7" s="9"/>
      <c r="L7" s="9"/>
      <c r="M7" s="9"/>
      <c r="N7" s="1"/>
    </row>
    <row r="8" spans="1:14" ht="16.5" customHeight="1" x14ac:dyDescent="0.25">
      <c r="A8" s="56"/>
      <c r="B8" s="240"/>
      <c r="C8" s="194"/>
      <c r="D8" s="195"/>
      <c r="E8" s="191"/>
      <c r="F8" s="56"/>
      <c r="G8" s="222"/>
      <c r="H8" s="223"/>
      <c r="I8" s="9"/>
      <c r="J8" s="9"/>
      <c r="K8" s="9"/>
      <c r="L8" s="9"/>
      <c r="M8" s="9"/>
      <c r="N8" s="1"/>
    </row>
    <row r="9" spans="1:14" ht="15" customHeight="1" x14ac:dyDescent="0.25">
      <c r="A9" s="61" t="s">
        <v>3712</v>
      </c>
      <c r="B9" s="189"/>
      <c r="C9" s="189" t="s">
        <v>3286</v>
      </c>
      <c r="D9" s="67" t="s">
        <v>3269</v>
      </c>
      <c r="E9" s="55"/>
      <c r="F9" s="19"/>
      <c r="G9" s="216"/>
      <c r="H9" s="217"/>
      <c r="I9" s="9"/>
      <c r="J9" s="9"/>
      <c r="K9" s="9"/>
      <c r="L9" s="9"/>
      <c r="M9" s="9"/>
      <c r="N9" s="1"/>
    </row>
    <row r="10" spans="1:14" ht="15" customHeight="1" x14ac:dyDescent="0.25">
      <c r="A10" s="64"/>
      <c r="B10" s="66"/>
      <c r="C10" s="66" t="s">
        <v>3287</v>
      </c>
      <c r="D10" s="67" t="s">
        <v>3270</v>
      </c>
      <c r="E10" s="55"/>
      <c r="F10" s="19"/>
      <c r="G10" s="216"/>
      <c r="H10" s="217"/>
      <c r="I10" s="9"/>
      <c r="J10" s="9"/>
      <c r="K10" s="9"/>
      <c r="L10" s="9"/>
      <c r="M10" s="9"/>
      <c r="N10" s="1"/>
    </row>
    <row r="11" spans="1:14" ht="15" customHeight="1" x14ac:dyDescent="0.25">
      <c r="A11" s="64"/>
      <c r="B11" s="66"/>
      <c r="C11" s="66" t="s">
        <v>3288</v>
      </c>
      <c r="D11" s="67" t="s">
        <v>3271</v>
      </c>
      <c r="E11" s="55"/>
      <c r="F11" s="19"/>
      <c r="G11" s="216"/>
      <c r="H11" s="217"/>
      <c r="I11" s="9"/>
      <c r="J11" s="9"/>
      <c r="K11" s="9"/>
      <c r="L11" s="9"/>
      <c r="M11" s="9"/>
      <c r="N11" s="1"/>
    </row>
    <row r="12" spans="1:14" ht="15" customHeight="1" x14ac:dyDescent="0.25">
      <c r="A12" s="64"/>
      <c r="B12" s="66"/>
      <c r="C12" s="66" t="s">
        <v>3289</v>
      </c>
      <c r="D12" s="67" t="s">
        <v>3272</v>
      </c>
      <c r="E12" s="55"/>
      <c r="F12" s="19"/>
      <c r="G12" s="216"/>
      <c r="H12" s="217"/>
      <c r="I12" s="9"/>
      <c r="J12" s="9"/>
      <c r="K12" s="9"/>
      <c r="L12" s="9"/>
      <c r="M12" s="9"/>
      <c r="N12" s="1"/>
    </row>
    <row r="13" spans="1:14" ht="15" customHeight="1" x14ac:dyDescent="0.25">
      <c r="A13" s="64"/>
      <c r="B13" s="66"/>
      <c r="C13" s="66" t="s">
        <v>3290</v>
      </c>
      <c r="D13" s="67" t="s">
        <v>3273</v>
      </c>
      <c r="E13" s="55"/>
      <c r="F13" s="19"/>
      <c r="G13" s="216"/>
      <c r="H13" s="217"/>
      <c r="I13" s="9"/>
      <c r="J13" s="9"/>
      <c r="K13" s="9"/>
      <c r="L13" s="9"/>
      <c r="M13" s="9"/>
      <c r="N13" s="1"/>
    </row>
    <row r="14" spans="1:14" ht="15" customHeight="1" x14ac:dyDescent="0.25">
      <c r="A14" s="64"/>
      <c r="B14" s="66"/>
      <c r="C14" s="66" t="s">
        <v>3291</v>
      </c>
      <c r="D14" s="67" t="s">
        <v>3274</v>
      </c>
      <c r="E14" s="55"/>
      <c r="F14" s="19"/>
      <c r="G14" s="216"/>
      <c r="H14" s="217"/>
      <c r="I14" s="9"/>
      <c r="J14" s="9"/>
      <c r="K14" s="9"/>
      <c r="L14" s="9"/>
      <c r="M14" s="9"/>
      <c r="N14" s="1"/>
    </row>
    <row r="15" spans="1:14" ht="15" customHeight="1" x14ac:dyDescent="0.25">
      <c r="A15" s="64"/>
      <c r="B15" s="66"/>
      <c r="C15" s="66" t="s">
        <v>3292</v>
      </c>
      <c r="D15" s="67" t="s">
        <v>3275</v>
      </c>
      <c r="E15" s="55"/>
      <c r="F15" s="19"/>
      <c r="G15" s="216"/>
      <c r="H15" s="217"/>
      <c r="I15" s="9"/>
      <c r="J15" s="9"/>
      <c r="K15" s="9"/>
      <c r="L15" s="9"/>
      <c r="M15" s="9"/>
      <c r="N15" s="1"/>
    </row>
    <row r="16" spans="1:14" ht="15" customHeight="1" x14ac:dyDescent="0.25">
      <c r="A16" s="64"/>
      <c r="B16" s="66"/>
      <c r="C16" s="66" t="s">
        <v>3293</v>
      </c>
      <c r="D16" s="67" t="s">
        <v>3276</v>
      </c>
      <c r="E16" s="55"/>
      <c r="F16" s="19"/>
      <c r="G16" s="216"/>
      <c r="H16" s="217"/>
      <c r="I16" s="9"/>
      <c r="J16" s="9"/>
      <c r="K16" s="9"/>
      <c r="L16" s="9"/>
      <c r="M16" s="9"/>
      <c r="N16" s="1"/>
    </row>
    <row r="17" spans="1:14" ht="15" customHeight="1" x14ac:dyDescent="0.25">
      <c r="A17" s="64"/>
      <c r="B17" s="66"/>
      <c r="C17" s="66" t="s">
        <v>3294</v>
      </c>
      <c r="D17" s="67" t="s">
        <v>3277</v>
      </c>
      <c r="E17" s="55"/>
      <c r="F17" s="19"/>
      <c r="G17" s="216"/>
      <c r="H17" s="217"/>
      <c r="I17" s="9"/>
      <c r="J17" s="9"/>
      <c r="K17" s="9"/>
      <c r="L17" s="9"/>
      <c r="M17" s="9"/>
      <c r="N17" s="1"/>
    </row>
    <row r="18" spans="1:14" ht="15" customHeight="1" x14ac:dyDescent="0.25">
      <c r="A18" s="64"/>
      <c r="B18" s="66"/>
      <c r="C18" s="66" t="s">
        <v>3295</v>
      </c>
      <c r="D18" s="67" t="s">
        <v>3297</v>
      </c>
      <c r="E18" s="55"/>
      <c r="F18" s="19"/>
      <c r="G18" s="216"/>
      <c r="H18" s="217"/>
      <c r="I18" s="9"/>
      <c r="J18" s="9"/>
      <c r="K18" s="9"/>
      <c r="L18" s="9"/>
      <c r="M18" s="9"/>
      <c r="N18" s="1"/>
    </row>
    <row r="19" spans="1:14" ht="15" customHeight="1" x14ac:dyDescent="0.25">
      <c r="A19" s="61"/>
      <c r="B19" s="189"/>
      <c r="C19" s="66" t="s">
        <v>3296</v>
      </c>
      <c r="D19" s="67" t="s">
        <v>3554</v>
      </c>
      <c r="E19" s="55"/>
      <c r="F19" s="19"/>
      <c r="G19" s="216"/>
      <c r="H19" s="217"/>
      <c r="I19" s="9"/>
      <c r="J19" s="9"/>
      <c r="K19" s="9"/>
      <c r="L19" s="9"/>
      <c r="M19" s="9"/>
      <c r="N19" s="1"/>
    </row>
    <row r="20" spans="1:14" ht="15" customHeight="1" x14ac:dyDescent="0.25">
      <c r="A20" s="61"/>
      <c r="B20" s="189"/>
      <c r="C20" s="66" t="s">
        <v>3298</v>
      </c>
      <c r="D20" s="67" t="s">
        <v>3299</v>
      </c>
      <c r="E20" s="55"/>
      <c r="F20" s="19"/>
      <c r="G20" s="216"/>
      <c r="H20" s="217"/>
      <c r="I20" s="9"/>
      <c r="J20" s="9"/>
      <c r="K20" s="9"/>
      <c r="L20" s="9"/>
      <c r="M20" s="9"/>
      <c r="N20" s="1"/>
    </row>
    <row r="21" spans="1:14" ht="15" customHeight="1" x14ac:dyDescent="0.25">
      <c r="A21" s="64"/>
      <c r="B21" s="66"/>
      <c r="C21" s="66" t="s">
        <v>3301</v>
      </c>
      <c r="D21" s="51"/>
      <c r="E21" s="55" t="s">
        <v>3304</v>
      </c>
      <c r="F21" s="64">
        <f>SUM(F9:F20)</f>
        <v>0</v>
      </c>
      <c r="G21" s="216"/>
      <c r="H21" s="217">
        <f>SUM(G9:G20)</f>
        <v>0</v>
      </c>
      <c r="I21" s="303">
        <f>H21+H52</f>
        <v>0</v>
      </c>
      <c r="J21" s="9"/>
      <c r="K21" s="9"/>
      <c r="L21" s="9"/>
      <c r="M21" s="9"/>
      <c r="N21" s="1"/>
    </row>
    <row r="22" spans="1:14" ht="20.25" customHeight="1" x14ac:dyDescent="0.25">
      <c r="A22" s="64"/>
      <c r="B22" s="66"/>
      <c r="C22" s="66"/>
      <c r="D22" s="51"/>
      <c r="E22" s="55"/>
      <c r="F22" s="64"/>
      <c r="G22" s="218"/>
      <c r="H22" s="217"/>
      <c r="I22" s="49"/>
      <c r="J22" s="1"/>
      <c r="K22" s="254">
        <f>H21</f>
        <v>0</v>
      </c>
      <c r="L22" s="254">
        <f>H21+H35+H49</f>
        <v>0</v>
      </c>
      <c r="M22" s="1"/>
      <c r="N22" s="1"/>
    </row>
    <row r="23" spans="1:14" ht="20.25" customHeight="1" x14ac:dyDescent="0.25">
      <c r="A23" s="61" t="s">
        <v>3712</v>
      </c>
      <c r="B23" s="189"/>
      <c r="C23" s="189" t="s">
        <v>3286</v>
      </c>
      <c r="D23" s="67" t="s">
        <v>3269</v>
      </c>
      <c r="E23" s="55"/>
      <c r="F23" s="19"/>
      <c r="G23" s="216"/>
      <c r="H23" s="217"/>
      <c r="I23" s="49"/>
      <c r="J23" s="1"/>
      <c r="K23" s="1"/>
      <c r="L23" s="1"/>
      <c r="M23" s="1"/>
      <c r="N23" s="1"/>
    </row>
    <row r="24" spans="1:14" ht="15" customHeight="1" x14ac:dyDescent="0.25">
      <c r="A24" s="64"/>
      <c r="B24" s="66"/>
      <c r="C24" s="66" t="s">
        <v>3287</v>
      </c>
      <c r="D24" s="67" t="s">
        <v>3270</v>
      </c>
      <c r="E24" s="55"/>
      <c r="F24" s="64"/>
      <c r="G24" s="218"/>
      <c r="H24" s="217"/>
      <c r="I24" s="49"/>
      <c r="J24" s="1"/>
      <c r="K24" s="1"/>
      <c r="L24" s="1"/>
      <c r="M24" s="1"/>
      <c r="N24" s="1"/>
    </row>
    <row r="25" spans="1:14" ht="15" customHeight="1" x14ac:dyDescent="0.25">
      <c r="A25" s="64"/>
      <c r="B25" s="66"/>
      <c r="C25" s="66" t="s">
        <v>3288</v>
      </c>
      <c r="D25" s="67" t="s">
        <v>3271</v>
      </c>
      <c r="E25" s="55"/>
      <c r="F25" s="64"/>
      <c r="G25" s="218"/>
      <c r="H25" s="217"/>
      <c r="I25" s="49"/>
      <c r="J25" s="1"/>
      <c r="K25" s="1"/>
      <c r="L25" s="1"/>
      <c r="M25" s="1"/>
      <c r="N25" s="1"/>
    </row>
    <row r="26" spans="1:14" ht="15" customHeight="1" x14ac:dyDescent="0.25">
      <c r="A26" s="64"/>
      <c r="B26" s="66"/>
      <c r="C26" s="66" t="s">
        <v>3289</v>
      </c>
      <c r="D26" s="67" t="s">
        <v>3272</v>
      </c>
      <c r="E26" s="55"/>
      <c r="F26" s="64"/>
      <c r="G26" s="218"/>
      <c r="H26" s="217"/>
      <c r="I26" s="49"/>
      <c r="J26" s="1"/>
      <c r="K26" s="1"/>
      <c r="L26" s="1"/>
      <c r="M26" s="1"/>
      <c r="N26" s="1"/>
    </row>
    <row r="27" spans="1:14" ht="15" customHeight="1" x14ac:dyDescent="0.25">
      <c r="A27" s="64"/>
      <c r="B27" s="66"/>
      <c r="C27" s="66" t="s">
        <v>3290</v>
      </c>
      <c r="D27" s="67" t="s">
        <v>3273</v>
      </c>
      <c r="E27" s="55"/>
      <c r="F27" s="64"/>
      <c r="G27" s="218"/>
      <c r="H27" s="217"/>
      <c r="I27" s="49"/>
      <c r="J27" s="1"/>
      <c r="K27" s="1"/>
      <c r="L27" s="254">
        <f>H21+H35+H49</f>
        <v>0</v>
      </c>
      <c r="M27" s="1"/>
      <c r="N27" s="1"/>
    </row>
    <row r="28" spans="1:14" ht="15" customHeight="1" x14ac:dyDescent="0.25">
      <c r="A28" s="64"/>
      <c r="B28" s="66"/>
      <c r="C28" s="66" t="s">
        <v>3291</v>
      </c>
      <c r="D28" s="67" t="s">
        <v>3274</v>
      </c>
      <c r="E28" s="55"/>
      <c r="F28" s="64"/>
      <c r="G28" s="218"/>
      <c r="H28" s="217"/>
      <c r="I28" s="49"/>
      <c r="J28" s="1"/>
      <c r="K28" s="1"/>
      <c r="L28" s="1"/>
      <c r="M28" s="1"/>
      <c r="N28" s="1"/>
    </row>
    <row r="29" spans="1:14" ht="15" customHeight="1" x14ac:dyDescent="0.25">
      <c r="A29" s="64"/>
      <c r="B29" s="66"/>
      <c r="C29" s="66" t="s">
        <v>3292</v>
      </c>
      <c r="D29" s="67" t="s">
        <v>3275</v>
      </c>
      <c r="E29" s="55"/>
      <c r="F29" s="64"/>
      <c r="G29" s="218"/>
      <c r="H29" s="217"/>
      <c r="I29" s="49"/>
      <c r="J29" s="1"/>
      <c r="K29" s="1"/>
      <c r="L29" s="1"/>
      <c r="M29" s="1"/>
      <c r="N29" s="1"/>
    </row>
    <row r="30" spans="1:14" ht="15" customHeight="1" x14ac:dyDescent="0.25">
      <c r="A30" s="64"/>
      <c r="B30" s="66"/>
      <c r="C30" s="66" t="s">
        <v>3293</v>
      </c>
      <c r="D30" s="67" t="s">
        <v>3276</v>
      </c>
      <c r="E30" s="55"/>
      <c r="F30" s="64"/>
      <c r="G30" s="218"/>
      <c r="H30" s="217"/>
      <c r="I30" s="49"/>
      <c r="J30" s="1"/>
      <c r="K30" s="1"/>
      <c r="L30" s="1"/>
      <c r="M30" s="1"/>
      <c r="N30" s="1"/>
    </row>
    <row r="31" spans="1:14" ht="15" customHeight="1" x14ac:dyDescent="0.25">
      <c r="A31" s="64"/>
      <c r="B31" s="66"/>
      <c r="C31" s="66" t="s">
        <v>3294</v>
      </c>
      <c r="D31" s="67" t="s">
        <v>3277</v>
      </c>
      <c r="E31" s="55"/>
      <c r="F31" s="64"/>
      <c r="G31" s="218"/>
      <c r="H31" s="217"/>
      <c r="I31" s="49"/>
      <c r="J31" s="1"/>
      <c r="K31" s="1"/>
      <c r="L31" s="1"/>
      <c r="M31" s="1"/>
      <c r="N31" s="1"/>
    </row>
    <row r="32" spans="1:14" ht="15" customHeight="1" x14ac:dyDescent="0.25">
      <c r="A32" s="64"/>
      <c r="B32" s="66"/>
      <c r="C32" s="66" t="s">
        <v>3295</v>
      </c>
      <c r="D32" s="67" t="s">
        <v>3297</v>
      </c>
      <c r="E32" s="55"/>
      <c r="F32" s="64"/>
      <c r="G32" s="218"/>
      <c r="H32" s="217"/>
      <c r="I32" s="49"/>
      <c r="J32" s="1"/>
      <c r="K32" s="1"/>
      <c r="L32" s="1"/>
      <c r="M32" s="1"/>
      <c r="N32" s="1"/>
    </row>
    <row r="33" spans="1:14" ht="15" customHeight="1" x14ac:dyDescent="0.25">
      <c r="A33" s="61"/>
      <c r="B33" s="189"/>
      <c r="C33" s="66" t="s">
        <v>3296</v>
      </c>
      <c r="D33" s="67" t="s">
        <v>3554</v>
      </c>
      <c r="E33" s="55"/>
      <c r="F33" s="64"/>
      <c r="G33" s="218"/>
      <c r="H33" s="217"/>
      <c r="I33" s="49"/>
      <c r="J33" s="1"/>
      <c r="K33" s="1"/>
      <c r="L33" s="1"/>
      <c r="M33" s="1"/>
      <c r="N33" s="1"/>
    </row>
    <row r="34" spans="1:14" ht="15" customHeight="1" x14ac:dyDescent="0.25">
      <c r="A34" s="61"/>
      <c r="B34" s="189"/>
      <c r="C34" s="66" t="s">
        <v>3298</v>
      </c>
      <c r="D34" s="67" t="s">
        <v>3299</v>
      </c>
      <c r="E34" s="55"/>
      <c r="F34" s="64"/>
      <c r="G34" s="218"/>
      <c r="H34" s="217"/>
      <c r="I34" s="49"/>
      <c r="J34" s="1"/>
      <c r="K34" s="1"/>
      <c r="L34" s="1"/>
      <c r="M34" s="1"/>
      <c r="N34" s="1"/>
    </row>
    <row r="35" spans="1:14" ht="15" customHeight="1" x14ac:dyDescent="0.25">
      <c r="A35" s="64"/>
      <c r="B35" s="66"/>
      <c r="C35" s="66" t="s">
        <v>3301</v>
      </c>
      <c r="D35" s="51"/>
      <c r="E35" s="55" t="s">
        <v>3674</v>
      </c>
      <c r="F35" s="64">
        <f>SUM(F23:F34)</f>
        <v>0</v>
      </c>
      <c r="G35" s="218"/>
      <c r="H35" s="217">
        <f>SUM(G23:G33)</f>
        <v>0</v>
      </c>
      <c r="I35" s="49"/>
      <c r="J35" s="1"/>
      <c r="K35" s="1"/>
      <c r="L35" s="1"/>
      <c r="M35" s="1"/>
      <c r="N35" s="1"/>
    </row>
    <row r="36" spans="1:14" ht="15" customHeight="1" x14ac:dyDescent="0.25">
      <c r="A36" s="64"/>
      <c r="B36" s="66"/>
      <c r="C36" s="66"/>
      <c r="D36" s="51"/>
      <c r="E36" s="55"/>
      <c r="F36" s="64"/>
      <c r="G36" s="218"/>
      <c r="H36" s="217"/>
      <c r="I36" s="49"/>
      <c r="J36" s="1"/>
      <c r="K36" s="1"/>
      <c r="L36" s="1"/>
      <c r="M36" s="1"/>
      <c r="N36" s="1"/>
    </row>
    <row r="37" spans="1:14" ht="15" customHeight="1" x14ac:dyDescent="0.25">
      <c r="A37" s="61" t="s">
        <v>3712</v>
      </c>
      <c r="B37" s="189"/>
      <c r="C37" s="189" t="s">
        <v>3286</v>
      </c>
      <c r="D37" s="67" t="s">
        <v>3269</v>
      </c>
      <c r="E37" s="55"/>
      <c r="F37" s="64"/>
      <c r="G37" s="218"/>
      <c r="H37" s="217"/>
      <c r="I37" s="320">
        <f>H35+H55</f>
        <v>0</v>
      </c>
      <c r="J37" s="1"/>
      <c r="K37" s="1"/>
      <c r="L37" s="1"/>
      <c r="M37" s="1"/>
      <c r="N37" s="1"/>
    </row>
    <row r="38" spans="1:14" ht="15" customHeight="1" x14ac:dyDescent="0.25">
      <c r="A38" s="64"/>
      <c r="B38" s="66"/>
      <c r="C38" s="66" t="s">
        <v>3287</v>
      </c>
      <c r="D38" s="67" t="s">
        <v>3270</v>
      </c>
      <c r="E38" s="55"/>
      <c r="F38" s="64"/>
      <c r="G38" s="218"/>
      <c r="H38" s="217"/>
      <c r="I38" s="49"/>
      <c r="J38" s="1"/>
      <c r="K38" s="1"/>
      <c r="L38" s="1"/>
      <c r="M38" s="1"/>
      <c r="N38" s="1"/>
    </row>
    <row r="39" spans="1:14" ht="15" customHeight="1" x14ac:dyDescent="0.25">
      <c r="A39" s="64"/>
      <c r="B39" s="66"/>
      <c r="C39" s="66" t="s">
        <v>3288</v>
      </c>
      <c r="D39" s="67" t="s">
        <v>3271</v>
      </c>
      <c r="E39" s="55"/>
      <c r="F39" s="64"/>
      <c r="G39" s="218"/>
      <c r="H39" s="217"/>
      <c r="I39" s="320"/>
      <c r="J39" s="1"/>
      <c r="K39" s="1"/>
      <c r="L39" s="1"/>
      <c r="M39" s="1"/>
      <c r="N39" s="1"/>
    </row>
    <row r="40" spans="1:14" ht="15" customHeight="1" x14ac:dyDescent="0.25">
      <c r="A40" s="64"/>
      <c r="B40" s="66"/>
      <c r="C40" s="66" t="s">
        <v>3289</v>
      </c>
      <c r="D40" s="67" t="s">
        <v>3272</v>
      </c>
      <c r="E40" s="55"/>
      <c r="F40" s="64"/>
      <c r="G40" s="218"/>
      <c r="H40" s="217"/>
      <c r="I40" s="49"/>
      <c r="J40" s="1"/>
      <c r="K40" s="1"/>
      <c r="L40" s="1"/>
      <c r="M40" s="1"/>
      <c r="N40" s="1"/>
    </row>
    <row r="41" spans="1:14" ht="15" customHeight="1" x14ac:dyDescent="0.25">
      <c r="A41" s="64"/>
      <c r="B41" s="66"/>
      <c r="C41" s="66" t="s">
        <v>3290</v>
      </c>
      <c r="D41" s="67" t="s">
        <v>3273</v>
      </c>
      <c r="E41" s="55"/>
      <c r="F41" s="64"/>
      <c r="G41" s="218"/>
      <c r="H41" s="217"/>
      <c r="I41" s="49"/>
      <c r="J41" s="1"/>
      <c r="K41" s="1"/>
      <c r="L41" s="1"/>
      <c r="M41" s="1"/>
      <c r="N41" s="1"/>
    </row>
    <row r="42" spans="1:14" ht="15" customHeight="1" x14ac:dyDescent="0.25">
      <c r="A42" s="64"/>
      <c r="B42" s="66"/>
      <c r="C42" s="66" t="s">
        <v>3291</v>
      </c>
      <c r="D42" s="67" t="s">
        <v>3274</v>
      </c>
      <c r="E42" s="55"/>
      <c r="F42" s="64"/>
      <c r="G42" s="218"/>
      <c r="H42" s="217"/>
      <c r="I42" s="49"/>
      <c r="J42" s="1"/>
      <c r="K42" s="1"/>
      <c r="L42" s="1"/>
      <c r="M42" s="1"/>
      <c r="N42" s="1"/>
    </row>
    <row r="43" spans="1:14" ht="15" customHeight="1" x14ac:dyDescent="0.25">
      <c r="A43" s="64"/>
      <c r="B43" s="66"/>
      <c r="C43" s="66" t="s">
        <v>3292</v>
      </c>
      <c r="D43" s="67" t="s">
        <v>3275</v>
      </c>
      <c r="E43" s="55"/>
      <c r="F43" s="64"/>
      <c r="G43" s="218"/>
      <c r="H43" s="217"/>
      <c r="I43" s="49"/>
      <c r="J43" s="1"/>
      <c r="K43" s="1"/>
      <c r="L43" s="1"/>
      <c r="M43" s="1"/>
      <c r="N43" s="1"/>
    </row>
    <row r="44" spans="1:14" x14ac:dyDescent="0.25">
      <c r="A44" s="64"/>
      <c r="B44" s="66"/>
      <c r="C44" s="66" t="s">
        <v>3293</v>
      </c>
      <c r="D44" s="67" t="s">
        <v>3276</v>
      </c>
      <c r="E44" s="55"/>
      <c r="F44" s="64"/>
      <c r="G44" s="218"/>
      <c r="H44" s="217"/>
    </row>
    <row r="45" spans="1:14" x14ac:dyDescent="0.25">
      <c r="A45" s="64"/>
      <c r="B45" s="66"/>
      <c r="C45" s="66" t="s">
        <v>3294</v>
      </c>
      <c r="D45" s="67" t="s">
        <v>3277</v>
      </c>
      <c r="E45" s="55"/>
      <c r="F45" s="64"/>
      <c r="G45" s="218"/>
      <c r="H45" s="217"/>
    </row>
    <row r="46" spans="1:14" x14ac:dyDescent="0.25">
      <c r="A46" s="64"/>
      <c r="B46" s="66"/>
      <c r="C46" s="66" t="s">
        <v>3295</v>
      </c>
      <c r="D46" s="67" t="s">
        <v>3297</v>
      </c>
      <c r="E46" s="55"/>
      <c r="F46" s="64"/>
      <c r="G46" s="218"/>
      <c r="H46" s="217"/>
    </row>
    <row r="47" spans="1:14" x14ac:dyDescent="0.25">
      <c r="A47" s="61"/>
      <c r="B47" s="189"/>
      <c r="C47" s="66" t="s">
        <v>3296</v>
      </c>
      <c r="D47" s="67" t="s">
        <v>3554</v>
      </c>
      <c r="E47" s="55"/>
      <c r="F47" s="64"/>
      <c r="G47" s="218"/>
      <c r="H47" s="217"/>
    </row>
    <row r="48" spans="1:14" x14ac:dyDescent="0.25">
      <c r="A48" s="61"/>
      <c r="B48" s="189"/>
      <c r="C48" s="66" t="s">
        <v>3298</v>
      </c>
      <c r="D48" s="67" t="s">
        <v>3299</v>
      </c>
      <c r="E48" s="55"/>
      <c r="F48" s="64"/>
      <c r="G48" s="218"/>
      <c r="H48" s="217"/>
      <c r="I48" s="269">
        <f>H49+H58</f>
        <v>0</v>
      </c>
    </row>
    <row r="49" spans="1:12" x14ac:dyDescent="0.25">
      <c r="A49" s="64"/>
      <c r="B49" s="66"/>
      <c r="C49" s="66" t="s">
        <v>3301</v>
      </c>
      <c r="D49" s="51"/>
      <c r="E49" s="55" t="s">
        <v>3675</v>
      </c>
      <c r="F49" s="64">
        <f>SUM(F37:F48)</f>
        <v>0</v>
      </c>
      <c r="G49" s="218"/>
      <c r="H49" s="217">
        <f>SUM(G37:G47)</f>
        <v>0</v>
      </c>
    </row>
    <row r="50" spans="1:12" x14ac:dyDescent="0.25">
      <c r="A50" s="64"/>
      <c r="B50" s="66"/>
      <c r="C50" s="66"/>
      <c r="D50" s="51"/>
      <c r="E50" s="55"/>
      <c r="F50" s="64"/>
      <c r="G50" s="218"/>
      <c r="H50" s="217"/>
    </row>
    <row r="51" spans="1:12" x14ac:dyDescent="0.25">
      <c r="A51" s="61" t="str">
        <f>A9</f>
        <v>31 Januari</v>
      </c>
      <c r="B51" s="189"/>
      <c r="C51" s="189" t="s">
        <v>3300</v>
      </c>
      <c r="D51" s="51" t="s">
        <v>3232</v>
      </c>
      <c r="E51" s="55"/>
      <c r="F51" s="64">
        <f>F21</f>
        <v>0</v>
      </c>
      <c r="G51" s="218"/>
      <c r="H51" s="217"/>
      <c r="I51" s="269"/>
    </row>
    <row r="52" spans="1:12" x14ac:dyDescent="0.25">
      <c r="A52" s="64"/>
      <c r="B52" s="66"/>
      <c r="C52" s="66" t="s">
        <v>3302</v>
      </c>
      <c r="D52" s="51"/>
      <c r="E52" s="55" t="s">
        <v>3233</v>
      </c>
      <c r="F52" s="64">
        <f>F51</f>
        <v>0</v>
      </c>
      <c r="G52" s="218"/>
      <c r="H52" s="217">
        <f>G51</f>
        <v>0</v>
      </c>
      <c r="I52" s="269"/>
    </row>
    <row r="53" spans="1:12" x14ac:dyDescent="0.25">
      <c r="A53" s="64"/>
      <c r="B53" s="66"/>
      <c r="C53" s="66"/>
      <c r="D53" s="51"/>
      <c r="E53" s="55"/>
      <c r="F53" s="64"/>
      <c r="G53" s="218"/>
      <c r="H53" s="217"/>
    </row>
    <row r="54" spans="1:12" x14ac:dyDescent="0.25">
      <c r="A54" s="64" t="str">
        <f>A51</f>
        <v>31 Januari</v>
      </c>
      <c r="B54" s="66"/>
      <c r="C54" s="189" t="s">
        <v>3300</v>
      </c>
      <c r="D54" s="51" t="s">
        <v>3676</v>
      </c>
      <c r="E54" s="55"/>
      <c r="F54" s="64">
        <f>F35</f>
        <v>0</v>
      </c>
      <c r="G54" s="218">
        <f>F54*20000</f>
        <v>0</v>
      </c>
      <c r="H54" s="217"/>
      <c r="L54">
        <v>40470000</v>
      </c>
    </row>
    <row r="55" spans="1:12" x14ac:dyDescent="0.25">
      <c r="A55" s="64"/>
      <c r="B55" s="66"/>
      <c r="C55" s="66" t="s">
        <v>3302</v>
      </c>
      <c r="D55" s="51"/>
      <c r="E55" s="55" t="s">
        <v>3233</v>
      </c>
      <c r="F55" s="64"/>
      <c r="G55" s="218"/>
      <c r="H55" s="217">
        <f>G54</f>
        <v>0</v>
      </c>
      <c r="I55" s="269"/>
      <c r="L55">
        <v>40650000</v>
      </c>
    </row>
    <row r="56" spans="1:12" x14ac:dyDescent="0.25">
      <c r="A56" s="64"/>
      <c r="B56" s="66"/>
      <c r="C56" s="66"/>
      <c r="D56" s="51"/>
      <c r="E56" s="55"/>
      <c r="F56" s="64"/>
      <c r="G56" s="218"/>
      <c r="H56" s="217"/>
      <c r="L56">
        <f>L54+L55</f>
        <v>81120000</v>
      </c>
    </row>
    <row r="57" spans="1:12" x14ac:dyDescent="0.25">
      <c r="A57" s="64" t="str">
        <f>A54</f>
        <v>31 Januari</v>
      </c>
      <c r="B57" s="66"/>
      <c r="C57" s="189" t="s">
        <v>3300</v>
      </c>
      <c r="D57" s="51" t="s">
        <v>3677</v>
      </c>
      <c r="E57" s="55"/>
      <c r="F57" s="64">
        <f>F49</f>
        <v>0</v>
      </c>
      <c r="G57" s="218">
        <f>F57*20000</f>
        <v>0</v>
      </c>
      <c r="H57" s="217"/>
      <c r="K57" s="269">
        <f>H58+H55+H52</f>
        <v>0</v>
      </c>
    </row>
    <row r="58" spans="1:12" x14ac:dyDescent="0.25">
      <c r="A58" s="64"/>
      <c r="B58" s="66"/>
      <c r="C58" s="66" t="s">
        <v>3302</v>
      </c>
      <c r="D58" s="51"/>
      <c r="E58" s="55" t="s">
        <v>3233</v>
      </c>
      <c r="F58" s="64"/>
      <c r="G58" s="218"/>
      <c r="H58" s="217">
        <f>G57</f>
        <v>0</v>
      </c>
      <c r="I58" s="269"/>
    </row>
    <row r="59" spans="1:12" x14ac:dyDescent="0.25">
      <c r="A59" s="64"/>
      <c r="B59" s="66"/>
      <c r="C59" s="66"/>
      <c r="D59" s="51"/>
      <c r="E59" s="55"/>
      <c r="F59" s="64"/>
      <c r="G59" s="218"/>
      <c r="H59" s="217"/>
    </row>
    <row r="60" spans="1:12" ht="22.5" customHeight="1" thickBot="1" x14ac:dyDescent="0.3">
      <c r="A60" s="655" t="s">
        <v>15</v>
      </c>
      <c r="B60" s="655"/>
      <c r="C60" s="655"/>
      <c r="D60" s="655"/>
      <c r="E60" s="655"/>
      <c r="F60" s="655"/>
      <c r="G60" s="299">
        <f>SUM(G9:G59)</f>
        <v>0</v>
      </c>
      <c r="H60" s="300">
        <f>SUM(H9:H59)</f>
        <v>0</v>
      </c>
    </row>
    <row r="61" spans="1:12" x14ac:dyDescent="0.25">
      <c r="A61" s="96"/>
      <c r="B61" s="96"/>
      <c r="C61" s="96"/>
      <c r="D61" s="96"/>
      <c r="E61" s="96"/>
      <c r="F61" s="96"/>
      <c r="G61" s="226"/>
      <c r="H61" s="226"/>
    </row>
    <row r="62" spans="1:12" x14ac:dyDescent="0.25">
      <c r="A62" s="96"/>
      <c r="B62" s="96"/>
      <c r="C62" s="96"/>
      <c r="D62" s="96"/>
      <c r="E62" s="96"/>
      <c r="F62" s="96"/>
      <c r="G62" s="226"/>
      <c r="H62" s="226"/>
    </row>
    <row r="63" spans="1:12" x14ac:dyDescent="0.25">
      <c r="A63" s="657"/>
      <c r="B63" s="657"/>
      <c r="C63" s="657"/>
      <c r="D63" s="657"/>
      <c r="E63" s="96"/>
      <c r="F63" s="657" t="s">
        <v>5664</v>
      </c>
      <c r="G63" s="657"/>
      <c r="H63" s="657"/>
    </row>
    <row r="64" spans="1:12" x14ac:dyDescent="0.25">
      <c r="A64" s="657"/>
      <c r="B64" s="657"/>
      <c r="C64" s="657"/>
      <c r="D64" s="657"/>
      <c r="E64" s="96"/>
      <c r="F64" s="657" t="s">
        <v>3804</v>
      </c>
      <c r="G64" s="657"/>
      <c r="H64" s="657"/>
    </row>
    <row r="65" spans="1:8" x14ac:dyDescent="0.25">
      <c r="A65" s="657"/>
      <c r="B65" s="657"/>
      <c r="C65" s="657"/>
      <c r="D65" s="657"/>
      <c r="E65" s="96"/>
      <c r="F65" s="657"/>
      <c r="G65" s="657"/>
      <c r="H65" s="657"/>
    </row>
    <row r="66" spans="1:8" x14ac:dyDescent="0.25">
      <c r="A66" s="657"/>
      <c r="B66" s="657"/>
      <c r="C66" s="657"/>
      <c r="D66" s="657"/>
      <c r="E66" s="96"/>
      <c r="F66" s="657"/>
      <c r="G66" s="657"/>
      <c r="H66" s="657"/>
    </row>
    <row r="67" spans="1:8" x14ac:dyDescent="0.25">
      <c r="A67" s="657"/>
      <c r="B67" s="657"/>
      <c r="C67" s="657"/>
      <c r="D67" s="657"/>
      <c r="E67" s="96"/>
      <c r="F67" s="657" t="s">
        <v>3548</v>
      </c>
      <c r="G67" s="657"/>
      <c r="H67" s="657"/>
    </row>
    <row r="68" spans="1:8" x14ac:dyDescent="0.25">
      <c r="A68" s="96"/>
      <c r="B68" s="96"/>
      <c r="C68" s="96"/>
      <c r="D68" s="96"/>
      <c r="E68" s="96"/>
      <c r="F68" s="96"/>
      <c r="G68" s="226"/>
      <c r="H68" s="226"/>
    </row>
    <row r="71" spans="1:8" x14ac:dyDescent="0.25">
      <c r="E71" s="269"/>
    </row>
    <row r="104" spans="1:8" x14ac:dyDescent="0.25">
      <c r="A104" s="50"/>
      <c r="B104" s="50"/>
      <c r="C104" s="50"/>
      <c r="D104" s="50"/>
      <c r="E104" s="9"/>
      <c r="F104" s="18"/>
      <c r="G104" s="219"/>
      <c r="H104" s="219"/>
    </row>
    <row r="105" spans="1:8" x14ac:dyDescent="0.25">
      <c r="A105" s="50"/>
      <c r="B105" s="50"/>
      <c r="C105" s="50"/>
      <c r="D105" s="50"/>
      <c r="E105" s="9"/>
      <c r="F105" s="18"/>
      <c r="G105" s="219"/>
      <c r="H105" s="219"/>
    </row>
    <row r="106" spans="1:8" x14ac:dyDescent="0.25">
      <c r="A106" s="50"/>
      <c r="B106" s="50"/>
      <c r="C106" s="50"/>
      <c r="D106" s="50"/>
      <c r="E106" s="9"/>
      <c r="F106" s="18"/>
      <c r="G106" s="219"/>
      <c r="H106" s="219"/>
    </row>
    <row r="107" spans="1:8" x14ac:dyDescent="0.25">
      <c r="A107" s="643"/>
      <c r="B107" s="643"/>
      <c r="C107" s="643"/>
      <c r="D107" s="643"/>
      <c r="E107" s="643"/>
      <c r="F107" s="643"/>
      <c r="G107" s="643"/>
      <c r="H107" s="643"/>
    </row>
    <row r="108" spans="1:8" x14ac:dyDescent="0.25">
      <c r="A108" s="643"/>
      <c r="B108" s="643"/>
      <c r="C108" s="643"/>
      <c r="D108" s="643"/>
      <c r="E108" s="643"/>
      <c r="F108" s="643"/>
      <c r="G108" s="643"/>
      <c r="H108" s="643"/>
    </row>
    <row r="109" spans="1:8" x14ac:dyDescent="0.25">
      <c r="A109" s="240"/>
      <c r="B109" s="240"/>
      <c r="C109" s="240"/>
      <c r="D109" s="240"/>
      <c r="E109" s="240"/>
      <c r="F109" s="240"/>
      <c r="G109" s="240"/>
      <c r="H109" s="240"/>
    </row>
    <row r="110" spans="1:8" x14ac:dyDescent="0.25">
      <c r="A110" s="50" t="s">
        <v>0</v>
      </c>
      <c r="B110" s="50"/>
      <c r="C110" s="50"/>
      <c r="D110" s="50"/>
      <c r="E110" s="9"/>
      <c r="F110" s="18"/>
      <c r="G110" s="219"/>
      <c r="H110" s="219"/>
    </row>
    <row r="111" spans="1:8" ht="22.5" customHeight="1" x14ac:dyDescent="0.25">
      <c r="A111" s="50" t="s">
        <v>1</v>
      </c>
      <c r="B111" s="50"/>
      <c r="C111" s="50"/>
      <c r="D111" s="50"/>
      <c r="E111" s="9"/>
      <c r="F111" s="18"/>
      <c r="G111" s="219"/>
      <c r="H111" s="219"/>
    </row>
    <row r="112" spans="1:8" x14ac:dyDescent="0.25">
      <c r="A112" s="50" t="s">
        <v>16</v>
      </c>
      <c r="B112" s="50"/>
      <c r="C112" s="50"/>
      <c r="D112" s="50"/>
      <c r="E112" s="9"/>
      <c r="F112" s="18"/>
      <c r="G112" s="219"/>
      <c r="H112" s="219"/>
    </row>
    <row r="113" spans="1:8" x14ac:dyDescent="0.25">
      <c r="A113" s="643" t="s">
        <v>117</v>
      </c>
      <c r="B113" s="643"/>
      <c r="C113" s="643"/>
      <c r="D113" s="643"/>
      <c r="E113" s="643"/>
      <c r="F113" s="643"/>
      <c r="G113" s="643"/>
      <c r="H113" s="643"/>
    </row>
    <row r="114" spans="1:8" x14ac:dyDescent="0.25">
      <c r="A114" s="643" t="s">
        <v>5383</v>
      </c>
      <c r="B114" s="643"/>
      <c r="C114" s="643"/>
      <c r="D114" s="643"/>
      <c r="E114" s="643"/>
      <c r="F114" s="643"/>
      <c r="G114" s="643"/>
      <c r="H114" s="643"/>
    </row>
    <row r="115" spans="1:8" ht="15.75" thickBot="1" x14ac:dyDescent="0.3">
      <c r="A115" s="1"/>
      <c r="B115" s="1"/>
      <c r="C115" s="1"/>
      <c r="D115" s="1"/>
      <c r="E115" s="1"/>
      <c r="F115" s="19"/>
      <c r="G115" s="178"/>
      <c r="H115" s="178"/>
    </row>
    <row r="116" spans="1:8" ht="22.5" x14ac:dyDescent="0.25">
      <c r="A116" s="53" t="s">
        <v>12</v>
      </c>
      <c r="B116" s="192" t="s">
        <v>3283</v>
      </c>
      <c r="C116" s="193" t="s">
        <v>3285</v>
      </c>
      <c r="D116" s="652" t="s">
        <v>3282</v>
      </c>
      <c r="E116" s="653"/>
      <c r="F116" s="215" t="s">
        <v>3284</v>
      </c>
      <c r="G116" s="220" t="s">
        <v>57</v>
      </c>
      <c r="H116" s="221" t="s">
        <v>58</v>
      </c>
    </row>
    <row r="117" spans="1:8" x14ac:dyDescent="0.25">
      <c r="A117" s="56"/>
      <c r="B117" s="240"/>
      <c r="C117" s="194"/>
      <c r="D117" s="195"/>
      <c r="E117" s="191"/>
      <c r="F117" s="56"/>
      <c r="G117" s="222"/>
      <c r="H117" s="223"/>
    </row>
    <row r="118" spans="1:8" x14ac:dyDescent="0.25">
      <c r="A118" s="61" t="s">
        <v>5462</v>
      </c>
      <c r="B118" s="240"/>
      <c r="C118" s="243" t="s">
        <v>3303</v>
      </c>
      <c r="D118" s="244" t="s">
        <v>3305</v>
      </c>
      <c r="E118" s="245"/>
      <c r="F118" s="246"/>
      <c r="G118" s="247">
        <f>SUM(H119:H121)</f>
        <v>0</v>
      </c>
      <c r="H118" s="248"/>
    </row>
    <row r="119" spans="1:8" x14ac:dyDescent="0.25">
      <c r="A119" s="56"/>
      <c r="B119" s="240"/>
      <c r="C119" s="250" t="s">
        <v>3291</v>
      </c>
      <c r="D119" s="251"/>
      <c r="E119" s="252" t="s">
        <v>3274</v>
      </c>
      <c r="F119" s="246"/>
      <c r="G119" s="247"/>
      <c r="H119" s="248"/>
    </row>
    <row r="120" spans="1:8" x14ac:dyDescent="0.25">
      <c r="A120" s="56"/>
      <c r="B120" s="240"/>
      <c r="C120" s="250" t="s">
        <v>3292</v>
      </c>
      <c r="D120" s="251"/>
      <c r="E120" s="252" t="s">
        <v>3275</v>
      </c>
      <c r="F120" s="246"/>
      <c r="G120" s="247"/>
      <c r="H120" s="248"/>
    </row>
    <row r="121" spans="1:8" x14ac:dyDescent="0.25">
      <c r="A121" s="56"/>
      <c r="B121" s="240"/>
      <c r="C121" s="250" t="s">
        <v>3295</v>
      </c>
      <c r="D121" s="251"/>
      <c r="E121" s="252" t="s">
        <v>3724</v>
      </c>
      <c r="F121" s="246"/>
      <c r="G121" s="247"/>
      <c r="H121" s="248"/>
    </row>
    <row r="122" spans="1:8" x14ac:dyDescent="0.25">
      <c r="A122" s="56"/>
      <c r="B122" s="240"/>
      <c r="C122" s="194"/>
      <c r="D122" s="312" t="s">
        <v>3723</v>
      </c>
      <c r="E122" s="230"/>
      <c r="F122" s="240"/>
      <c r="G122" s="222"/>
      <c r="H122" s="223"/>
    </row>
    <row r="123" spans="1:8" x14ac:dyDescent="0.25">
      <c r="A123" s="56"/>
      <c r="B123" s="240"/>
      <c r="C123" s="194"/>
      <c r="D123" s="194"/>
      <c r="E123" s="230"/>
      <c r="F123" s="240"/>
      <c r="G123" s="222"/>
      <c r="H123" s="223"/>
    </row>
    <row r="124" spans="1:8" x14ac:dyDescent="0.25">
      <c r="A124" s="56"/>
      <c r="B124" s="240"/>
      <c r="C124" s="194"/>
      <c r="D124" s="194"/>
      <c r="E124" s="230"/>
      <c r="F124" s="240"/>
      <c r="G124" s="222"/>
      <c r="H124" s="223"/>
    </row>
    <row r="125" spans="1:8" x14ac:dyDescent="0.25">
      <c r="A125" s="61" t="s">
        <v>5462</v>
      </c>
      <c r="B125" s="189"/>
      <c r="C125" s="189" t="s">
        <v>3286</v>
      </c>
      <c r="D125" s="67" t="s">
        <v>3269</v>
      </c>
      <c r="E125" s="55"/>
      <c r="F125" s="240"/>
      <c r="G125" s="222"/>
      <c r="H125" s="217"/>
    </row>
    <row r="126" spans="1:8" x14ac:dyDescent="0.25">
      <c r="A126" s="64"/>
      <c r="B126" s="66"/>
      <c r="C126" s="66" t="s">
        <v>3287</v>
      </c>
      <c r="D126" s="67" t="s">
        <v>3270</v>
      </c>
      <c r="E126" s="55"/>
      <c r="F126" s="240"/>
      <c r="G126" s="222"/>
      <c r="H126" s="217"/>
    </row>
    <row r="127" spans="1:8" x14ac:dyDescent="0.25">
      <c r="A127" s="64"/>
      <c r="B127" s="66"/>
      <c r="C127" s="66" t="s">
        <v>3288</v>
      </c>
      <c r="D127" s="67" t="s">
        <v>3271</v>
      </c>
      <c r="E127" s="55"/>
      <c r="F127" s="240"/>
      <c r="G127" s="222"/>
      <c r="H127" s="217"/>
    </row>
    <row r="128" spans="1:8" x14ac:dyDescent="0.25">
      <c r="A128" s="64"/>
      <c r="B128" s="66"/>
      <c r="C128" s="66" t="s">
        <v>3289</v>
      </c>
      <c r="D128" s="67" t="s">
        <v>3272</v>
      </c>
      <c r="E128" s="55"/>
      <c r="F128" s="240"/>
      <c r="G128" s="222"/>
      <c r="H128" s="217"/>
    </row>
    <row r="129" spans="1:12" x14ac:dyDescent="0.25">
      <c r="A129" s="64"/>
      <c r="B129" s="66"/>
      <c r="C129" s="66" t="s">
        <v>3290</v>
      </c>
      <c r="D129" s="67" t="s">
        <v>3273</v>
      </c>
      <c r="E129" s="55"/>
      <c r="F129" s="240"/>
      <c r="G129" s="222"/>
      <c r="H129" s="217"/>
    </row>
    <row r="130" spans="1:12" x14ac:dyDescent="0.25">
      <c r="A130" s="64"/>
      <c r="B130" s="66"/>
      <c r="C130" s="66" t="s">
        <v>3291</v>
      </c>
      <c r="D130" s="67" t="s">
        <v>3274</v>
      </c>
      <c r="E130" s="55"/>
      <c r="F130" s="240"/>
      <c r="G130" s="222"/>
      <c r="H130" s="217"/>
    </row>
    <row r="131" spans="1:12" x14ac:dyDescent="0.25">
      <c r="A131" s="64"/>
      <c r="B131" s="66"/>
      <c r="C131" s="66" t="s">
        <v>3292</v>
      </c>
      <c r="D131" s="67" t="s">
        <v>3275</v>
      </c>
      <c r="E131" s="55"/>
      <c r="F131" s="240"/>
      <c r="G131" s="222"/>
      <c r="H131" s="217"/>
    </row>
    <row r="132" spans="1:12" x14ac:dyDescent="0.25">
      <c r="A132" s="64"/>
      <c r="B132" s="66"/>
      <c r="C132" s="66" t="s">
        <v>3293</v>
      </c>
      <c r="D132" s="67" t="s">
        <v>3276</v>
      </c>
      <c r="E132" s="55"/>
      <c r="F132" s="240"/>
      <c r="G132" s="222"/>
      <c r="H132" s="217"/>
    </row>
    <row r="133" spans="1:12" x14ac:dyDescent="0.25">
      <c r="A133" s="64"/>
      <c r="B133" s="66"/>
      <c r="C133" s="66" t="s">
        <v>3294</v>
      </c>
      <c r="D133" s="67" t="s">
        <v>3277</v>
      </c>
      <c r="E133" s="55"/>
      <c r="F133" s="240"/>
      <c r="G133" s="222"/>
      <c r="H133" s="217"/>
    </row>
    <row r="134" spans="1:12" x14ac:dyDescent="0.25">
      <c r="A134" s="64"/>
      <c r="B134" s="66"/>
      <c r="C134" s="66" t="s">
        <v>3295</v>
      </c>
      <c r="D134" s="67" t="s">
        <v>3297</v>
      </c>
      <c r="E134" s="55"/>
      <c r="F134" s="240"/>
      <c r="G134" s="222"/>
      <c r="H134" s="217"/>
    </row>
    <row r="135" spans="1:12" x14ac:dyDescent="0.25">
      <c r="A135" s="61"/>
      <c r="B135" s="189"/>
      <c r="C135" s="66" t="s">
        <v>3296</v>
      </c>
      <c r="D135" s="67" t="s">
        <v>3554</v>
      </c>
      <c r="E135" s="55"/>
      <c r="F135" s="240"/>
      <c r="G135" s="222"/>
      <c r="H135" s="217"/>
    </row>
    <row r="136" spans="1:12" x14ac:dyDescent="0.25">
      <c r="A136" s="61"/>
      <c r="B136" s="189"/>
      <c r="C136" s="66" t="s">
        <v>3298</v>
      </c>
      <c r="D136" s="67" t="s">
        <v>3299</v>
      </c>
      <c r="E136" s="55"/>
      <c r="F136" s="240"/>
      <c r="G136" s="222"/>
      <c r="H136" s="217"/>
    </row>
    <row r="137" spans="1:12" x14ac:dyDescent="0.25">
      <c r="A137" s="64"/>
      <c r="B137" s="66"/>
      <c r="C137" s="66" t="s">
        <v>3301</v>
      </c>
      <c r="D137" s="51"/>
      <c r="E137" s="55" t="s">
        <v>3304</v>
      </c>
      <c r="F137" s="64">
        <f>SUM(F125:F136)</f>
        <v>0</v>
      </c>
      <c r="G137" s="222"/>
      <c r="H137" s="217">
        <f>SUM(G125:G136)</f>
        <v>0</v>
      </c>
    </row>
    <row r="138" spans="1:12" x14ac:dyDescent="0.25">
      <c r="A138" s="64"/>
      <c r="B138" s="66"/>
      <c r="C138" s="66"/>
      <c r="D138" s="51"/>
      <c r="E138" s="55"/>
      <c r="F138" s="64"/>
      <c r="G138" s="222"/>
      <c r="H138" s="217"/>
    </row>
    <row r="139" spans="1:12" x14ac:dyDescent="0.25">
      <c r="A139" s="61" t="s">
        <v>5462</v>
      </c>
      <c r="B139" s="189"/>
      <c r="C139" s="189" t="s">
        <v>3286</v>
      </c>
      <c r="D139" s="67" t="s">
        <v>3269</v>
      </c>
      <c r="E139" s="55"/>
      <c r="F139" s="19"/>
      <c r="G139" s="222"/>
      <c r="H139" s="217"/>
      <c r="L139" s="269">
        <f>H137+H151+H165</f>
        <v>0</v>
      </c>
    </row>
    <row r="140" spans="1:12" x14ac:dyDescent="0.25">
      <c r="A140" s="64"/>
      <c r="B140" s="66"/>
      <c r="C140" s="66" t="s">
        <v>3287</v>
      </c>
      <c r="D140" s="67" t="s">
        <v>3270</v>
      </c>
      <c r="E140" s="55"/>
      <c r="F140" s="64"/>
      <c r="G140" s="222"/>
      <c r="H140" s="217"/>
      <c r="K140" s="269"/>
    </row>
    <row r="141" spans="1:12" x14ac:dyDescent="0.25">
      <c r="A141" s="64"/>
      <c r="B141" s="66"/>
      <c r="C141" s="66" t="s">
        <v>3288</v>
      </c>
      <c r="D141" s="67" t="s">
        <v>3271</v>
      </c>
      <c r="E141" s="55"/>
      <c r="F141" s="64"/>
      <c r="G141" s="222"/>
      <c r="H141" s="217"/>
    </row>
    <row r="142" spans="1:12" x14ac:dyDescent="0.25">
      <c r="A142" s="64"/>
      <c r="B142" s="66"/>
      <c r="C142" s="66" t="s">
        <v>3289</v>
      </c>
      <c r="D142" s="67" t="s">
        <v>3272</v>
      </c>
      <c r="E142" s="55"/>
      <c r="F142" s="64"/>
      <c r="G142" s="222"/>
      <c r="H142" s="217"/>
    </row>
    <row r="143" spans="1:12" x14ac:dyDescent="0.25">
      <c r="A143" s="64"/>
      <c r="B143" s="66"/>
      <c r="C143" s="66" t="s">
        <v>3290</v>
      </c>
      <c r="D143" s="67" t="s">
        <v>3273</v>
      </c>
      <c r="E143" s="55"/>
      <c r="F143" s="64"/>
      <c r="G143" s="222"/>
      <c r="H143" s="217"/>
    </row>
    <row r="144" spans="1:12" x14ac:dyDescent="0.25">
      <c r="A144" s="64"/>
      <c r="B144" s="66"/>
      <c r="C144" s="66" t="s">
        <v>3291</v>
      </c>
      <c r="D144" s="67" t="s">
        <v>3274</v>
      </c>
      <c r="E144" s="55"/>
      <c r="F144" s="64"/>
      <c r="G144" s="222"/>
      <c r="H144" s="217"/>
    </row>
    <row r="145" spans="1:9" x14ac:dyDescent="0.25">
      <c r="A145" s="64"/>
      <c r="B145" s="66"/>
      <c r="C145" s="66" t="s">
        <v>3292</v>
      </c>
      <c r="D145" s="67" t="s">
        <v>3275</v>
      </c>
      <c r="E145" s="55"/>
      <c r="F145" s="64"/>
      <c r="G145" s="222"/>
      <c r="H145" s="217"/>
    </row>
    <row r="146" spans="1:9" x14ac:dyDescent="0.25">
      <c r="A146" s="64"/>
      <c r="B146" s="66"/>
      <c r="C146" s="66" t="s">
        <v>3293</v>
      </c>
      <c r="D146" s="67" t="s">
        <v>3276</v>
      </c>
      <c r="E146" s="55"/>
      <c r="F146" s="64"/>
      <c r="G146" s="222"/>
      <c r="H146" s="217"/>
    </row>
    <row r="147" spans="1:9" x14ac:dyDescent="0.25">
      <c r="A147" s="64"/>
      <c r="B147" s="66"/>
      <c r="C147" s="66" t="s">
        <v>3294</v>
      </c>
      <c r="D147" s="67" t="s">
        <v>3277</v>
      </c>
      <c r="E147" s="55"/>
      <c r="F147" s="64"/>
      <c r="G147" s="222"/>
      <c r="H147" s="217"/>
    </row>
    <row r="148" spans="1:9" x14ac:dyDescent="0.25">
      <c r="A148" s="64"/>
      <c r="B148" s="66"/>
      <c r="C148" s="66" t="s">
        <v>3295</v>
      </c>
      <c r="D148" s="67" t="s">
        <v>3297</v>
      </c>
      <c r="E148" s="55"/>
      <c r="F148" s="64"/>
      <c r="G148" s="222"/>
      <c r="H148" s="217"/>
    </row>
    <row r="149" spans="1:9" x14ac:dyDescent="0.25">
      <c r="A149" s="61"/>
      <c r="B149" s="189"/>
      <c r="C149" s="66" t="s">
        <v>3296</v>
      </c>
      <c r="D149" s="67" t="s">
        <v>3554</v>
      </c>
      <c r="E149" s="55"/>
      <c r="F149" s="64"/>
      <c r="G149" s="222"/>
      <c r="H149" s="217"/>
    </row>
    <row r="150" spans="1:9" x14ac:dyDescent="0.25">
      <c r="A150" s="61"/>
      <c r="B150" s="189"/>
      <c r="C150" s="66" t="s">
        <v>3298</v>
      </c>
      <c r="D150" s="67" t="s">
        <v>3299</v>
      </c>
      <c r="E150" s="55"/>
      <c r="F150" s="64"/>
      <c r="G150" s="222"/>
      <c r="H150" s="217"/>
    </row>
    <row r="151" spans="1:9" x14ac:dyDescent="0.25">
      <c r="A151" s="64"/>
      <c r="B151" s="66"/>
      <c r="C151" s="66" t="s">
        <v>3301</v>
      </c>
      <c r="D151" s="51"/>
      <c r="E151" s="55" t="s">
        <v>3674</v>
      </c>
      <c r="F151" s="64">
        <f>SUM(F139:F150)</f>
        <v>0</v>
      </c>
      <c r="G151" s="222"/>
      <c r="H151" s="217">
        <f>SUM(G139:G149)</f>
        <v>0</v>
      </c>
      <c r="I151" s="269"/>
    </row>
    <row r="152" spans="1:9" x14ac:dyDescent="0.25">
      <c r="A152" s="64"/>
      <c r="B152" s="66"/>
      <c r="C152" s="66"/>
      <c r="D152" s="51"/>
      <c r="E152" s="55"/>
      <c r="F152" s="64"/>
      <c r="G152" s="222"/>
      <c r="H152" s="217"/>
    </row>
    <row r="153" spans="1:9" x14ac:dyDescent="0.25">
      <c r="A153" s="61" t="s">
        <v>5462</v>
      </c>
      <c r="B153" s="189"/>
      <c r="C153" s="189" t="s">
        <v>3286</v>
      </c>
      <c r="D153" s="67" t="s">
        <v>3269</v>
      </c>
      <c r="E153" s="55"/>
      <c r="F153" s="64"/>
      <c r="G153" s="222"/>
      <c r="H153" s="217"/>
      <c r="I153" s="269">
        <f>H137+H168</f>
        <v>0</v>
      </c>
    </row>
    <row r="154" spans="1:9" x14ac:dyDescent="0.25">
      <c r="A154" s="64"/>
      <c r="B154" s="66"/>
      <c r="C154" s="66" t="s">
        <v>3287</v>
      </c>
      <c r="D154" s="67" t="s">
        <v>3270</v>
      </c>
      <c r="E154" s="55"/>
      <c r="F154" s="64"/>
      <c r="G154" s="222"/>
      <c r="H154" s="217"/>
    </row>
    <row r="155" spans="1:9" x14ac:dyDescent="0.25">
      <c r="A155" s="64"/>
      <c r="B155" s="66"/>
      <c r="C155" s="66" t="s">
        <v>3288</v>
      </c>
      <c r="D155" s="67" t="s">
        <v>3271</v>
      </c>
      <c r="E155" s="55"/>
      <c r="F155" s="64"/>
      <c r="G155" s="222"/>
      <c r="H155" s="217"/>
    </row>
    <row r="156" spans="1:9" x14ac:dyDescent="0.25">
      <c r="A156" s="64"/>
      <c r="B156" s="66"/>
      <c r="C156" s="66" t="s">
        <v>3289</v>
      </c>
      <c r="D156" s="67" t="s">
        <v>3272</v>
      </c>
      <c r="E156" s="55"/>
      <c r="F156" s="64"/>
      <c r="G156" s="222"/>
      <c r="H156" s="217"/>
    </row>
    <row r="157" spans="1:9" x14ac:dyDescent="0.25">
      <c r="A157" s="64"/>
      <c r="B157" s="66"/>
      <c r="C157" s="66" t="s">
        <v>3290</v>
      </c>
      <c r="D157" s="67" t="s">
        <v>3273</v>
      </c>
      <c r="E157" s="55"/>
      <c r="F157" s="64"/>
      <c r="G157" s="222"/>
      <c r="H157" s="217"/>
    </row>
    <row r="158" spans="1:9" x14ac:dyDescent="0.25">
      <c r="A158" s="64"/>
      <c r="B158" s="66"/>
      <c r="C158" s="66" t="s">
        <v>3291</v>
      </c>
      <c r="D158" s="67" t="s">
        <v>3274</v>
      </c>
      <c r="E158" s="55"/>
      <c r="F158" s="64"/>
      <c r="G158" s="222"/>
      <c r="H158" s="217"/>
    </row>
    <row r="159" spans="1:9" x14ac:dyDescent="0.25">
      <c r="A159" s="64"/>
      <c r="B159" s="66"/>
      <c r="C159" s="66" t="s">
        <v>3292</v>
      </c>
      <c r="D159" s="67" t="s">
        <v>3275</v>
      </c>
      <c r="E159" s="55"/>
      <c r="F159" s="64"/>
      <c r="G159" s="222"/>
      <c r="H159" s="217"/>
    </row>
    <row r="160" spans="1:9" x14ac:dyDescent="0.25">
      <c r="A160" s="64"/>
      <c r="B160" s="66"/>
      <c r="C160" s="66" t="s">
        <v>3293</v>
      </c>
      <c r="D160" s="67" t="s">
        <v>3276</v>
      </c>
      <c r="E160" s="55"/>
      <c r="F160" s="64"/>
      <c r="G160" s="222"/>
      <c r="H160" s="217"/>
    </row>
    <row r="161" spans="1:9" x14ac:dyDescent="0.25">
      <c r="A161" s="64"/>
      <c r="B161" s="66"/>
      <c r="C161" s="66" t="s">
        <v>3294</v>
      </c>
      <c r="D161" s="67" t="s">
        <v>3277</v>
      </c>
      <c r="E161" s="55"/>
      <c r="F161" s="64"/>
      <c r="G161" s="222"/>
      <c r="H161" s="217"/>
    </row>
    <row r="162" spans="1:9" x14ac:dyDescent="0.25">
      <c r="A162" s="64"/>
      <c r="B162" s="66"/>
      <c r="C162" s="66" t="s">
        <v>3295</v>
      </c>
      <c r="D162" s="67" t="s">
        <v>3297</v>
      </c>
      <c r="E162" s="55"/>
      <c r="F162" s="64"/>
      <c r="G162" s="222"/>
      <c r="H162" s="217"/>
    </row>
    <row r="163" spans="1:9" x14ac:dyDescent="0.25">
      <c r="A163" s="61"/>
      <c r="B163" s="189"/>
      <c r="C163" s="66" t="s">
        <v>3296</v>
      </c>
      <c r="D163" s="67" t="s">
        <v>3554</v>
      </c>
      <c r="E163" s="55"/>
      <c r="F163" s="64"/>
      <c r="G163" s="222"/>
      <c r="H163" s="217"/>
      <c r="I163" s="269"/>
    </row>
    <row r="164" spans="1:9" x14ac:dyDescent="0.25">
      <c r="A164" s="61"/>
      <c r="B164" s="189"/>
      <c r="C164" s="66" t="s">
        <v>3298</v>
      </c>
      <c r="D164" s="67" t="s">
        <v>3299</v>
      </c>
      <c r="E164" s="55"/>
      <c r="F164" s="64"/>
      <c r="G164" s="222"/>
      <c r="H164" s="217"/>
    </row>
    <row r="165" spans="1:9" x14ac:dyDescent="0.25">
      <c r="A165" s="64"/>
      <c r="B165" s="66"/>
      <c r="C165" s="66" t="s">
        <v>3301</v>
      </c>
      <c r="D165" s="51"/>
      <c r="E165" s="55" t="s">
        <v>3675</v>
      </c>
      <c r="F165" s="64">
        <f>SUM(F153:F164)</f>
        <v>0</v>
      </c>
      <c r="G165" s="222"/>
      <c r="H165" s="217">
        <f>SUM(G153:G163)</f>
        <v>0</v>
      </c>
      <c r="I165" s="269">
        <f>H165+H174</f>
        <v>0</v>
      </c>
    </row>
    <row r="166" spans="1:9" x14ac:dyDescent="0.25">
      <c r="A166" s="64"/>
      <c r="B166" s="66"/>
      <c r="C166" s="66"/>
      <c r="D166" s="51"/>
      <c r="E166" s="55"/>
      <c r="F166" s="64"/>
      <c r="G166" s="222"/>
      <c r="H166" s="217"/>
      <c r="I166" s="269"/>
    </row>
    <row r="167" spans="1:9" x14ac:dyDescent="0.25">
      <c r="A167" s="61" t="str">
        <f>A125</f>
        <v>28 Februari</v>
      </c>
      <c r="B167" s="189"/>
      <c r="C167" s="189" t="s">
        <v>3300</v>
      </c>
      <c r="D167" s="51" t="s">
        <v>3232</v>
      </c>
      <c r="E167" s="55"/>
      <c r="F167" s="64">
        <f>F137</f>
        <v>0</v>
      </c>
      <c r="G167" s="222"/>
      <c r="H167" s="217"/>
      <c r="I167" s="269"/>
    </row>
    <row r="168" spans="1:9" x14ac:dyDescent="0.25">
      <c r="A168" s="64"/>
      <c r="B168" s="66"/>
      <c r="C168" s="66" t="s">
        <v>3302</v>
      </c>
      <c r="D168" s="51"/>
      <c r="E168" s="55" t="s">
        <v>3233</v>
      </c>
      <c r="F168" s="64">
        <f>F167</f>
        <v>0</v>
      </c>
      <c r="G168" s="222"/>
      <c r="H168" s="217">
        <f>G167</f>
        <v>0</v>
      </c>
      <c r="I168" s="269">
        <f>H168+H137</f>
        <v>0</v>
      </c>
    </row>
    <row r="169" spans="1:9" x14ac:dyDescent="0.25">
      <c r="A169" s="64"/>
      <c r="B169" s="66"/>
      <c r="C169" s="66"/>
      <c r="D169" s="51"/>
      <c r="E169" s="55"/>
      <c r="F169" s="64"/>
      <c r="G169" s="222"/>
      <c r="H169" s="217"/>
    </row>
    <row r="170" spans="1:9" x14ac:dyDescent="0.25">
      <c r="A170" s="64" t="str">
        <f>A167</f>
        <v>28 Februari</v>
      </c>
      <c r="B170" s="66"/>
      <c r="C170" s="189" t="s">
        <v>3300</v>
      </c>
      <c r="D170" s="51" t="s">
        <v>3676</v>
      </c>
      <c r="E170" s="55"/>
      <c r="F170" s="64">
        <f>F151</f>
        <v>0</v>
      </c>
      <c r="G170" s="222"/>
      <c r="H170" s="217"/>
    </row>
    <row r="171" spans="1:9" x14ac:dyDescent="0.25">
      <c r="A171" s="64"/>
      <c r="B171" s="66"/>
      <c r="C171" s="66" t="s">
        <v>3302</v>
      </c>
      <c r="D171" s="51"/>
      <c r="E171" s="55" t="s">
        <v>3233</v>
      </c>
      <c r="F171" s="64"/>
      <c r="G171" s="222"/>
      <c r="H171" s="217">
        <f>G170</f>
        <v>0</v>
      </c>
      <c r="I171" s="269">
        <f>H151+H171</f>
        <v>0</v>
      </c>
    </row>
    <row r="172" spans="1:9" x14ac:dyDescent="0.25">
      <c r="A172" s="64"/>
      <c r="B172" s="66"/>
      <c r="C172" s="66"/>
      <c r="D172" s="51"/>
      <c r="E172" s="55"/>
      <c r="F172" s="64"/>
      <c r="G172" s="222"/>
      <c r="H172" s="217"/>
    </row>
    <row r="173" spans="1:9" x14ac:dyDescent="0.25">
      <c r="A173" s="64" t="str">
        <f>A170</f>
        <v>28 Februari</v>
      </c>
      <c r="B173" s="66"/>
      <c r="C173" s="189" t="s">
        <v>3300</v>
      </c>
      <c r="D173" s="51" t="s">
        <v>3677</v>
      </c>
      <c r="E173" s="55"/>
      <c r="F173" s="64">
        <f>F165</f>
        <v>0</v>
      </c>
      <c r="G173" s="222"/>
      <c r="H173" s="217"/>
    </row>
    <row r="174" spans="1:9" x14ac:dyDescent="0.25">
      <c r="A174" s="64"/>
      <c r="B174" s="66"/>
      <c r="C174" s="66" t="s">
        <v>3302</v>
      </c>
      <c r="D174" s="51"/>
      <c r="E174" s="55" t="s">
        <v>3233</v>
      </c>
      <c r="F174" s="64"/>
      <c r="G174" s="218"/>
      <c r="H174" s="217">
        <f>G173</f>
        <v>0</v>
      </c>
    </row>
    <row r="175" spans="1:9" x14ac:dyDescent="0.25">
      <c r="A175" s="64"/>
      <c r="B175" s="66"/>
      <c r="C175" s="66"/>
      <c r="D175" s="51"/>
      <c r="E175" s="55"/>
      <c r="F175" s="64"/>
      <c r="G175" s="218"/>
      <c r="H175" s="217"/>
    </row>
    <row r="176" spans="1:9" x14ac:dyDescent="0.25">
      <c r="A176" s="654" t="s">
        <v>15</v>
      </c>
      <c r="B176" s="654"/>
      <c r="C176" s="654"/>
      <c r="D176" s="654"/>
      <c r="E176" s="654"/>
      <c r="F176" s="654"/>
      <c r="G176" s="228">
        <f>SUM(G125:G175)</f>
        <v>0</v>
      </c>
      <c r="H176" s="229">
        <f>SUM(H125:H175)</f>
        <v>0</v>
      </c>
    </row>
    <row r="177" spans="1:8" x14ac:dyDescent="0.25">
      <c r="A177" s="658" t="s">
        <v>3560</v>
      </c>
      <c r="B177" s="659"/>
      <c r="C177" s="659"/>
      <c r="D177" s="659"/>
      <c r="E177" s="659"/>
      <c r="F177" s="660"/>
      <c r="G177" s="228">
        <f>G60</f>
        <v>0</v>
      </c>
      <c r="H177" s="229">
        <f>H60</f>
        <v>0</v>
      </c>
    </row>
    <row r="178" spans="1:8" ht="15.75" thickBot="1" x14ac:dyDescent="0.3">
      <c r="A178" s="640" t="s">
        <v>3549</v>
      </c>
      <c r="B178" s="641"/>
      <c r="C178" s="641"/>
      <c r="D178" s="641"/>
      <c r="E178" s="641"/>
      <c r="F178" s="642"/>
      <c r="G178" s="224">
        <f>SUM(G176:G177)</f>
        <v>0</v>
      </c>
      <c r="H178" s="225">
        <f>SUM(H176:H177)</f>
        <v>0</v>
      </c>
    </row>
    <row r="179" spans="1:8" x14ac:dyDescent="0.25">
      <c r="A179" s="96"/>
      <c r="B179" s="96"/>
      <c r="C179" s="96"/>
      <c r="D179" s="96"/>
      <c r="E179" s="96"/>
      <c r="F179" s="96"/>
      <c r="G179" s="226"/>
      <c r="H179" s="226"/>
    </row>
    <row r="180" spans="1:8" x14ac:dyDescent="0.25">
      <c r="A180" s="96"/>
      <c r="B180" s="96"/>
      <c r="C180" s="96"/>
      <c r="D180" s="96"/>
      <c r="E180" s="96"/>
      <c r="F180" s="96"/>
      <c r="G180" s="226"/>
      <c r="H180" s="226"/>
    </row>
    <row r="181" spans="1:8" x14ac:dyDescent="0.25">
      <c r="A181" s="657"/>
      <c r="B181" s="657"/>
      <c r="C181" s="657"/>
      <c r="D181" s="657"/>
      <c r="E181" s="96"/>
      <c r="F181" s="657" t="s">
        <v>5664</v>
      </c>
      <c r="G181" s="657"/>
      <c r="H181" s="657"/>
    </row>
    <row r="182" spans="1:8" x14ac:dyDescent="0.25">
      <c r="A182" s="657"/>
      <c r="B182" s="657"/>
      <c r="C182" s="657"/>
      <c r="D182" s="657"/>
      <c r="E182" s="96"/>
      <c r="F182" s="657" t="s">
        <v>3804</v>
      </c>
      <c r="G182" s="657"/>
      <c r="H182" s="657"/>
    </row>
    <row r="183" spans="1:8" x14ac:dyDescent="0.25">
      <c r="A183" s="657"/>
      <c r="B183" s="657"/>
      <c r="C183" s="657"/>
      <c r="D183" s="657"/>
      <c r="E183" s="96"/>
      <c r="F183" s="657"/>
      <c r="G183" s="657"/>
      <c r="H183" s="657"/>
    </row>
    <row r="184" spans="1:8" x14ac:dyDescent="0.25">
      <c r="A184" s="657"/>
      <c r="B184" s="657"/>
      <c r="C184" s="657"/>
      <c r="D184" s="657"/>
      <c r="E184" s="96"/>
      <c r="F184" s="657"/>
      <c r="G184" s="657"/>
      <c r="H184" s="657"/>
    </row>
    <row r="185" spans="1:8" x14ac:dyDescent="0.25">
      <c r="A185" s="657"/>
      <c r="B185" s="657"/>
      <c r="C185" s="657"/>
      <c r="D185" s="657"/>
      <c r="E185" s="96"/>
      <c r="F185" s="657" t="s">
        <v>3548</v>
      </c>
      <c r="G185" s="657"/>
      <c r="H185" s="657"/>
    </row>
    <row r="186" spans="1:8" x14ac:dyDescent="0.25">
      <c r="A186" s="96"/>
      <c r="B186" s="96"/>
      <c r="C186" s="96"/>
      <c r="D186" s="96"/>
      <c r="E186" s="96"/>
      <c r="F186" s="96"/>
      <c r="G186" s="226"/>
      <c r="H186" s="226"/>
    </row>
    <row r="188" spans="1:8" x14ac:dyDescent="0.25">
      <c r="A188" s="50"/>
      <c r="B188" s="50"/>
      <c r="C188" s="50"/>
      <c r="D188" s="50"/>
      <c r="E188" s="9"/>
      <c r="F188" s="18"/>
      <c r="G188" s="219"/>
      <c r="H188" s="219"/>
    </row>
    <row r="189" spans="1:8" x14ac:dyDescent="0.25">
      <c r="A189" s="50"/>
      <c r="B189" s="50"/>
      <c r="C189" s="50"/>
      <c r="D189" s="50"/>
      <c r="E189" s="9"/>
      <c r="F189" s="18"/>
      <c r="G189" s="219"/>
      <c r="H189" s="219"/>
    </row>
    <row r="190" spans="1:8" x14ac:dyDescent="0.25">
      <c r="A190" s="50"/>
      <c r="B190" s="50"/>
      <c r="C190" s="50"/>
      <c r="D190" s="50"/>
      <c r="E190" s="9"/>
      <c r="F190" s="18"/>
      <c r="G190" s="219"/>
      <c r="H190" s="219"/>
    </row>
    <row r="191" spans="1:8" x14ac:dyDescent="0.25">
      <c r="A191" s="50"/>
      <c r="B191" s="50"/>
      <c r="C191" s="50"/>
      <c r="D191" s="50"/>
      <c r="E191" s="9"/>
      <c r="F191" s="18"/>
      <c r="G191" s="219"/>
      <c r="H191" s="219"/>
    </row>
    <row r="192" spans="1:8" x14ac:dyDescent="0.25">
      <c r="A192" s="50"/>
      <c r="B192" s="50"/>
      <c r="C192" s="50"/>
      <c r="D192" s="50"/>
      <c r="E192" s="9"/>
      <c r="F192" s="18"/>
      <c r="G192" s="219"/>
      <c r="H192" s="219"/>
    </row>
    <row r="193" spans="1:8" x14ac:dyDescent="0.25">
      <c r="A193" s="50"/>
      <c r="B193" s="50"/>
      <c r="C193" s="50"/>
      <c r="D193" s="50"/>
      <c r="E193" s="9"/>
      <c r="F193" s="18"/>
      <c r="G193" s="219"/>
      <c r="H193" s="219"/>
    </row>
    <row r="194" spans="1:8" x14ac:dyDescent="0.25">
      <c r="A194" s="50"/>
      <c r="B194" s="50"/>
      <c r="C194" s="50"/>
      <c r="D194" s="50"/>
      <c r="E194" s="9"/>
      <c r="F194" s="18"/>
      <c r="G194" s="219"/>
      <c r="H194" s="219"/>
    </row>
    <row r="195" spans="1:8" x14ac:dyDescent="0.25">
      <c r="A195" s="50"/>
      <c r="B195" s="50"/>
      <c r="C195" s="50"/>
      <c r="D195" s="50"/>
      <c r="E195" s="9"/>
      <c r="F195" s="18"/>
      <c r="G195" s="219"/>
      <c r="H195" s="219"/>
    </row>
    <row r="196" spans="1:8" x14ac:dyDescent="0.25">
      <c r="A196" s="50"/>
      <c r="B196" s="50"/>
      <c r="C196" s="50"/>
      <c r="D196" s="50"/>
      <c r="E196" s="9"/>
      <c r="F196" s="18"/>
      <c r="G196" s="219"/>
      <c r="H196" s="219"/>
    </row>
    <row r="197" spans="1:8" x14ac:dyDescent="0.25">
      <c r="A197" s="50"/>
      <c r="B197" s="50"/>
      <c r="C197" s="50"/>
      <c r="D197" s="50"/>
      <c r="E197" s="9"/>
      <c r="F197" s="18"/>
      <c r="G197" s="219"/>
      <c r="H197" s="219"/>
    </row>
    <row r="198" spans="1:8" x14ac:dyDescent="0.25">
      <c r="A198" s="50"/>
      <c r="B198" s="50"/>
      <c r="C198" s="50"/>
      <c r="D198" s="50"/>
      <c r="E198" s="9"/>
      <c r="F198" s="18"/>
      <c r="G198" s="219"/>
      <c r="H198" s="219"/>
    </row>
    <row r="199" spans="1:8" x14ac:dyDescent="0.25">
      <c r="A199" s="50"/>
      <c r="B199" s="50"/>
      <c r="C199" s="50"/>
      <c r="D199" s="50"/>
      <c r="E199" s="9"/>
      <c r="F199" s="18"/>
      <c r="G199" s="219"/>
      <c r="H199" s="219"/>
    </row>
    <row r="200" spans="1:8" x14ac:dyDescent="0.25">
      <c r="A200" s="50"/>
      <c r="B200" s="50"/>
      <c r="C200" s="50"/>
      <c r="D200" s="50"/>
      <c r="E200" s="9"/>
      <c r="F200" s="18"/>
      <c r="G200" s="219"/>
      <c r="H200" s="219"/>
    </row>
    <row r="201" spans="1:8" x14ac:dyDescent="0.25">
      <c r="A201" s="50"/>
      <c r="B201" s="50"/>
      <c r="C201" s="50"/>
      <c r="D201" s="50"/>
      <c r="E201" s="9"/>
      <c r="F201" s="18"/>
      <c r="G201" s="219"/>
      <c r="H201" s="219"/>
    </row>
    <row r="202" spans="1:8" x14ac:dyDescent="0.25">
      <c r="A202" s="50"/>
      <c r="B202" s="50"/>
      <c r="C202" s="50"/>
      <c r="D202" s="50"/>
      <c r="E202" s="9"/>
      <c r="F202" s="18"/>
      <c r="G202" s="219"/>
      <c r="H202" s="219"/>
    </row>
    <row r="203" spans="1:8" x14ac:dyDescent="0.25">
      <c r="A203" s="50"/>
      <c r="B203" s="50"/>
      <c r="C203" s="50"/>
      <c r="D203" s="50"/>
      <c r="E203" s="9"/>
      <c r="F203" s="18"/>
      <c r="G203" s="219"/>
      <c r="H203" s="219"/>
    </row>
    <row r="204" spans="1:8" x14ac:dyDescent="0.25">
      <c r="A204" s="50"/>
      <c r="B204" s="50"/>
      <c r="C204" s="50"/>
      <c r="D204" s="50"/>
      <c r="E204" s="9"/>
      <c r="F204" s="18"/>
      <c r="G204" s="219"/>
      <c r="H204" s="219"/>
    </row>
    <row r="205" spans="1:8" x14ac:dyDescent="0.25">
      <c r="A205" s="50"/>
      <c r="B205" s="50"/>
      <c r="C205" s="50"/>
      <c r="D205" s="50"/>
      <c r="E205" s="9"/>
      <c r="F205" s="18"/>
      <c r="G205" s="219"/>
      <c r="H205" s="219"/>
    </row>
    <row r="206" spans="1:8" x14ac:dyDescent="0.25">
      <c r="A206" s="50"/>
      <c r="B206" s="50"/>
      <c r="C206" s="50"/>
      <c r="D206" s="50"/>
      <c r="E206" s="9"/>
      <c r="F206" s="18"/>
      <c r="G206" s="219"/>
      <c r="H206" s="219"/>
    </row>
    <row r="207" spans="1:8" x14ac:dyDescent="0.25">
      <c r="A207" s="50"/>
      <c r="B207" s="50"/>
      <c r="C207" s="50"/>
      <c r="D207" s="50"/>
      <c r="E207" s="9"/>
      <c r="F207" s="18"/>
      <c r="G207" s="219"/>
      <c r="H207" s="219"/>
    </row>
    <row r="208" spans="1:8" x14ac:dyDescent="0.25">
      <c r="A208" s="50"/>
      <c r="B208" s="50"/>
      <c r="C208" s="50"/>
      <c r="D208" s="50"/>
      <c r="E208" s="9"/>
      <c r="F208" s="18"/>
      <c r="G208" s="219"/>
      <c r="H208" s="219"/>
    </row>
    <row r="209" spans="1:8" x14ac:dyDescent="0.25">
      <c r="A209" s="50"/>
      <c r="B209" s="50"/>
      <c r="C209" s="50"/>
      <c r="D209" s="50"/>
      <c r="E209" s="9"/>
      <c r="F209" s="18"/>
      <c r="G209" s="219"/>
      <c r="H209" s="219"/>
    </row>
    <row r="210" spans="1:8" x14ac:dyDescent="0.25">
      <c r="A210" s="50"/>
      <c r="B210" s="50"/>
      <c r="C210" s="50"/>
      <c r="D210" s="50"/>
      <c r="E210" s="9"/>
      <c r="F210" s="18"/>
      <c r="G210" s="219"/>
      <c r="H210" s="219"/>
    </row>
    <row r="211" spans="1:8" x14ac:dyDescent="0.25">
      <c r="A211" s="50"/>
      <c r="B211" s="50"/>
      <c r="C211" s="50"/>
      <c r="D211" s="50"/>
      <c r="E211" s="9"/>
      <c r="F211" s="18"/>
      <c r="G211" s="219"/>
      <c r="H211" s="219"/>
    </row>
    <row r="212" spans="1:8" x14ac:dyDescent="0.25">
      <c r="A212" s="50"/>
      <c r="B212" s="50"/>
      <c r="C212" s="50"/>
      <c r="D212" s="50"/>
      <c r="E212" s="9"/>
      <c r="F212" s="18"/>
      <c r="G212" s="219"/>
      <c r="H212" s="219"/>
    </row>
    <row r="213" spans="1:8" x14ac:dyDescent="0.25">
      <c r="A213" s="50"/>
      <c r="B213" s="50"/>
      <c r="C213" s="50"/>
      <c r="D213" s="50"/>
      <c r="E213" s="9"/>
      <c r="F213" s="18"/>
      <c r="G213" s="219"/>
      <c r="H213" s="219"/>
    </row>
    <row r="214" spans="1:8" x14ac:dyDescent="0.25">
      <c r="A214" s="50"/>
      <c r="B214" s="50"/>
      <c r="C214" s="50"/>
      <c r="D214" s="50"/>
      <c r="E214" s="9"/>
      <c r="F214" s="18"/>
      <c r="G214" s="219"/>
      <c r="H214" s="219"/>
    </row>
    <row r="215" spans="1:8" x14ac:dyDescent="0.25">
      <c r="A215" s="50"/>
      <c r="B215" s="50"/>
      <c r="C215" s="50"/>
      <c r="D215" s="50"/>
      <c r="E215" s="9"/>
      <c r="F215" s="18"/>
      <c r="G215" s="219"/>
      <c r="H215" s="219"/>
    </row>
    <row r="216" spans="1:8" x14ac:dyDescent="0.25">
      <c r="A216" s="50"/>
      <c r="B216" s="50"/>
      <c r="C216" s="50"/>
      <c r="D216" s="50"/>
      <c r="E216" s="9"/>
      <c r="F216" s="18"/>
      <c r="G216" s="219"/>
      <c r="H216" s="219"/>
    </row>
    <row r="217" spans="1:8" x14ac:dyDescent="0.25">
      <c r="A217" s="50"/>
      <c r="B217" s="50"/>
      <c r="C217" s="50"/>
      <c r="D217" s="50"/>
      <c r="E217" s="9"/>
      <c r="F217" s="18"/>
      <c r="G217" s="219"/>
      <c r="H217" s="219"/>
    </row>
    <row r="218" spans="1:8" x14ac:dyDescent="0.25">
      <c r="A218" s="50"/>
      <c r="B218" s="50"/>
      <c r="C218" s="50"/>
      <c r="D218" s="50"/>
      <c r="E218" s="9"/>
      <c r="F218" s="18"/>
      <c r="G218" s="219"/>
      <c r="H218" s="219"/>
    </row>
    <row r="219" spans="1:8" x14ac:dyDescent="0.25">
      <c r="A219" s="50"/>
      <c r="B219" s="50"/>
      <c r="C219" s="50"/>
      <c r="D219" s="50"/>
      <c r="E219" s="9"/>
      <c r="F219" s="18"/>
      <c r="G219" s="219"/>
      <c r="H219" s="219"/>
    </row>
    <row r="220" spans="1:8" x14ac:dyDescent="0.25">
      <c r="A220" s="50"/>
      <c r="B220" s="50"/>
      <c r="C220" s="50"/>
      <c r="D220" s="50"/>
      <c r="E220" s="9"/>
      <c r="F220" s="18"/>
      <c r="G220" s="219"/>
      <c r="H220" s="219"/>
    </row>
    <row r="221" spans="1:8" x14ac:dyDescent="0.25">
      <c r="A221" s="50" t="s">
        <v>0</v>
      </c>
      <c r="B221" s="50"/>
      <c r="C221" s="50"/>
      <c r="D221" s="50"/>
      <c r="E221" s="9"/>
      <c r="F221" s="18"/>
      <c r="G221" s="219"/>
      <c r="H221" s="219"/>
    </row>
    <row r="222" spans="1:8" x14ac:dyDescent="0.25">
      <c r="A222" s="50" t="s">
        <v>1</v>
      </c>
      <c r="B222" s="50"/>
      <c r="C222" s="50"/>
      <c r="D222" s="50"/>
      <c r="E222" s="9"/>
      <c r="F222" s="18"/>
      <c r="G222" s="219"/>
      <c r="H222" s="219"/>
    </row>
    <row r="223" spans="1:8" x14ac:dyDescent="0.25">
      <c r="A223" s="50" t="s">
        <v>16</v>
      </c>
      <c r="B223" s="50"/>
      <c r="C223" s="50"/>
      <c r="D223" s="50"/>
      <c r="E223" s="9"/>
      <c r="F223" s="18"/>
      <c r="G223" s="219"/>
      <c r="H223" s="219"/>
    </row>
    <row r="224" spans="1:8" x14ac:dyDescent="0.25">
      <c r="A224" s="643" t="s">
        <v>117</v>
      </c>
      <c r="B224" s="643"/>
      <c r="C224" s="643"/>
      <c r="D224" s="643"/>
      <c r="E224" s="643"/>
      <c r="F224" s="643"/>
      <c r="G224" s="643"/>
      <c r="H224" s="643"/>
    </row>
    <row r="225" spans="1:8" x14ac:dyDescent="0.25">
      <c r="A225" s="643" t="s">
        <v>5384</v>
      </c>
      <c r="B225" s="643"/>
      <c r="C225" s="643"/>
      <c r="D225" s="643"/>
      <c r="E225" s="643"/>
      <c r="F225" s="643"/>
      <c r="G225" s="643"/>
      <c r="H225" s="643"/>
    </row>
    <row r="226" spans="1:8" ht="22.5" customHeight="1" thickBot="1" x14ac:dyDescent="0.3">
      <c r="A226" s="1"/>
      <c r="B226" s="1"/>
      <c r="C226" s="1"/>
      <c r="D226" s="1"/>
      <c r="E226" s="1"/>
      <c r="F226" s="19"/>
      <c r="G226" s="178"/>
      <c r="H226" s="178"/>
    </row>
    <row r="227" spans="1:8" ht="22.5" x14ac:dyDescent="0.25">
      <c r="A227" s="53" t="s">
        <v>12</v>
      </c>
      <c r="B227" s="192" t="s">
        <v>3283</v>
      </c>
      <c r="C227" s="193" t="s">
        <v>3285</v>
      </c>
      <c r="D227" s="652" t="s">
        <v>3282</v>
      </c>
      <c r="E227" s="653"/>
      <c r="F227" s="215" t="s">
        <v>3284</v>
      </c>
      <c r="G227" s="220" t="s">
        <v>57</v>
      </c>
      <c r="H227" s="221" t="s">
        <v>58</v>
      </c>
    </row>
    <row r="228" spans="1:8" x14ac:dyDescent="0.25">
      <c r="A228" s="56"/>
      <c r="B228" s="240"/>
      <c r="C228" s="194"/>
      <c r="D228" s="195"/>
      <c r="E228" s="191"/>
      <c r="F228" s="56"/>
      <c r="G228" s="222"/>
      <c r="H228" s="223"/>
    </row>
    <row r="229" spans="1:8" x14ac:dyDescent="0.25">
      <c r="A229" s="61" t="s">
        <v>3725</v>
      </c>
      <c r="B229" s="240"/>
      <c r="C229" s="243" t="s">
        <v>3303</v>
      </c>
      <c r="D229" s="244" t="s">
        <v>3305</v>
      </c>
      <c r="E229" s="245"/>
      <c r="F229" s="246"/>
      <c r="G229" s="247">
        <f>SUM(H230:H231)</f>
        <v>0</v>
      </c>
      <c r="H229" s="248"/>
    </row>
    <row r="230" spans="1:8" x14ac:dyDescent="0.25">
      <c r="A230" s="56"/>
      <c r="B230" s="240"/>
      <c r="C230" s="250" t="s">
        <v>3291</v>
      </c>
      <c r="D230" s="251"/>
      <c r="E230" s="252" t="s">
        <v>3274</v>
      </c>
      <c r="F230" s="246"/>
      <c r="G230" s="247"/>
      <c r="H230" s="248"/>
    </row>
    <row r="231" spans="1:8" x14ac:dyDescent="0.25">
      <c r="A231" s="56"/>
      <c r="B231" s="240"/>
      <c r="C231" s="250" t="s">
        <v>3292</v>
      </c>
      <c r="D231" s="251"/>
      <c r="E231" s="252" t="s">
        <v>3275</v>
      </c>
      <c r="F231" s="246"/>
      <c r="G231" s="247"/>
      <c r="H231" s="248"/>
    </row>
    <row r="232" spans="1:8" x14ac:dyDescent="0.25">
      <c r="A232" s="56"/>
      <c r="B232" s="240"/>
      <c r="C232" s="250"/>
      <c r="D232" s="251"/>
      <c r="E232" s="252"/>
      <c r="F232" s="246"/>
      <c r="G232" s="247"/>
      <c r="H232" s="248"/>
    </row>
    <row r="233" spans="1:8" x14ac:dyDescent="0.25">
      <c r="A233" s="56"/>
      <c r="B233" s="240"/>
      <c r="C233" s="250" t="s">
        <v>3295</v>
      </c>
      <c r="D233" s="261" t="s">
        <v>3724</v>
      </c>
      <c r="E233" s="252"/>
      <c r="F233" s="246"/>
      <c r="G233" s="247">
        <f>SUM(H234)</f>
        <v>0</v>
      </c>
      <c r="H233" s="248"/>
    </row>
    <row r="234" spans="1:8" x14ac:dyDescent="0.25">
      <c r="A234" s="56"/>
      <c r="B234" s="240"/>
      <c r="C234" s="243" t="s">
        <v>3303</v>
      </c>
      <c r="D234" s="251"/>
      <c r="E234" s="245" t="s">
        <v>3304</v>
      </c>
      <c r="F234" s="246"/>
      <c r="G234" s="247"/>
      <c r="H234" s="248"/>
    </row>
    <row r="235" spans="1:8" x14ac:dyDescent="0.25">
      <c r="A235" s="56"/>
      <c r="B235" s="240"/>
      <c r="C235" s="194"/>
      <c r="D235" s="312" t="s">
        <v>3723</v>
      </c>
      <c r="E235" s="230"/>
      <c r="F235" s="240"/>
      <c r="G235" s="222"/>
      <c r="H235" s="223"/>
    </row>
    <row r="236" spans="1:8" x14ac:dyDescent="0.25">
      <c r="A236" s="56"/>
      <c r="B236" s="240"/>
      <c r="C236" s="194"/>
      <c r="D236" s="312"/>
      <c r="E236" s="230"/>
      <c r="F236" s="240"/>
      <c r="G236" s="222"/>
      <c r="H236" s="223"/>
    </row>
    <row r="237" spans="1:8" x14ac:dyDescent="0.25">
      <c r="A237" s="61" t="s">
        <v>3713</v>
      </c>
      <c r="B237" s="189"/>
      <c r="C237" s="189" t="s">
        <v>3286</v>
      </c>
      <c r="D237" s="67" t="s">
        <v>3269</v>
      </c>
      <c r="E237" s="55"/>
      <c r="F237" s="240"/>
      <c r="G237" s="222"/>
      <c r="H237" s="217"/>
    </row>
    <row r="238" spans="1:8" x14ac:dyDescent="0.25">
      <c r="A238" s="64"/>
      <c r="B238" s="66"/>
      <c r="C238" s="66" t="s">
        <v>3287</v>
      </c>
      <c r="D238" s="67" t="s">
        <v>3270</v>
      </c>
      <c r="E238" s="55"/>
      <c r="F238" s="240"/>
      <c r="G238" s="222"/>
      <c r="H238" s="217"/>
    </row>
    <row r="239" spans="1:8" x14ac:dyDescent="0.25">
      <c r="A239" s="64"/>
      <c r="B239" s="66"/>
      <c r="C239" s="66" t="s">
        <v>3288</v>
      </c>
      <c r="D239" s="67" t="s">
        <v>3271</v>
      </c>
      <c r="E239" s="55"/>
      <c r="F239" s="240"/>
      <c r="G239" s="222"/>
      <c r="H239" s="217"/>
    </row>
    <row r="240" spans="1:8" x14ac:dyDescent="0.25">
      <c r="A240" s="64"/>
      <c r="B240" s="66"/>
      <c r="C240" s="66" t="s">
        <v>3289</v>
      </c>
      <c r="D240" s="67" t="s">
        <v>3272</v>
      </c>
      <c r="E240" s="55"/>
      <c r="F240" s="240"/>
      <c r="G240" s="222"/>
      <c r="H240" s="217"/>
    </row>
    <row r="241" spans="1:9" x14ac:dyDescent="0.25">
      <c r="A241" s="64"/>
      <c r="B241" s="66"/>
      <c r="C241" s="66" t="s">
        <v>3290</v>
      </c>
      <c r="D241" s="67" t="s">
        <v>3273</v>
      </c>
      <c r="E241" s="55"/>
      <c r="F241" s="240"/>
      <c r="G241" s="222"/>
      <c r="H241" s="217"/>
    </row>
    <row r="242" spans="1:9" x14ac:dyDescent="0.25">
      <c r="A242" s="64"/>
      <c r="B242" s="66"/>
      <c r="C242" s="66" t="s">
        <v>3291</v>
      </c>
      <c r="D242" s="67" t="s">
        <v>3274</v>
      </c>
      <c r="E242" s="55"/>
      <c r="F242" s="240"/>
      <c r="G242" s="222"/>
      <c r="H242" s="217"/>
    </row>
    <row r="243" spans="1:9" x14ac:dyDescent="0.25">
      <c r="A243" s="64"/>
      <c r="B243" s="66"/>
      <c r="C243" s="66" t="s">
        <v>3292</v>
      </c>
      <c r="D243" s="67" t="s">
        <v>3275</v>
      </c>
      <c r="E243" s="55"/>
      <c r="F243" s="240"/>
      <c r="G243" s="222"/>
      <c r="H243" s="217"/>
    </row>
    <row r="244" spans="1:9" x14ac:dyDescent="0.25">
      <c r="A244" s="64"/>
      <c r="B244" s="66"/>
      <c r="C244" s="66" t="s">
        <v>3293</v>
      </c>
      <c r="D244" s="67" t="s">
        <v>3276</v>
      </c>
      <c r="E244" s="55"/>
      <c r="F244" s="240"/>
      <c r="G244" s="222"/>
      <c r="H244" s="217"/>
    </row>
    <row r="245" spans="1:9" x14ac:dyDescent="0.25">
      <c r="A245" s="64"/>
      <c r="B245" s="66"/>
      <c r="C245" s="66" t="s">
        <v>3294</v>
      </c>
      <c r="D245" s="67" t="s">
        <v>3277</v>
      </c>
      <c r="E245" s="55"/>
      <c r="F245" s="240"/>
      <c r="G245" s="222"/>
      <c r="H245" s="217"/>
    </row>
    <row r="246" spans="1:9" x14ac:dyDescent="0.25">
      <c r="A246" s="64"/>
      <c r="B246" s="66"/>
      <c r="C246" s="66" t="s">
        <v>3295</v>
      </c>
      <c r="D246" s="67" t="s">
        <v>3297</v>
      </c>
      <c r="E246" s="55"/>
      <c r="F246" s="240"/>
      <c r="G246" s="222"/>
      <c r="H246" s="217"/>
    </row>
    <row r="247" spans="1:9" x14ac:dyDescent="0.25">
      <c r="A247" s="61"/>
      <c r="B247" s="189"/>
      <c r="C247" s="66" t="s">
        <v>3296</v>
      </c>
      <c r="D247" s="67" t="s">
        <v>3554</v>
      </c>
      <c r="E247" s="55"/>
      <c r="F247" s="240"/>
      <c r="G247" s="222"/>
      <c r="H247" s="217"/>
    </row>
    <row r="248" spans="1:9" x14ac:dyDescent="0.25">
      <c r="A248" s="61"/>
      <c r="B248" s="189"/>
      <c r="C248" s="66" t="s">
        <v>3298</v>
      </c>
      <c r="D248" s="67" t="s">
        <v>3299</v>
      </c>
      <c r="E248" s="55"/>
      <c r="F248" s="240"/>
      <c r="G248" s="222"/>
      <c r="H248" s="217"/>
    </row>
    <row r="249" spans="1:9" x14ac:dyDescent="0.25">
      <c r="A249" s="64"/>
      <c r="B249" s="66"/>
      <c r="C249" s="66" t="s">
        <v>3301</v>
      </c>
      <c r="D249" s="51"/>
      <c r="E249" s="55" t="s">
        <v>3304</v>
      </c>
      <c r="F249" s="64">
        <f>SUM(F237:F248)</f>
        <v>0</v>
      </c>
      <c r="G249" s="222"/>
      <c r="H249" s="217">
        <f>SUM(G237:G248)</f>
        <v>0</v>
      </c>
      <c r="I249" s="269">
        <f>H249+H280</f>
        <v>0</v>
      </c>
    </row>
    <row r="250" spans="1:9" x14ac:dyDescent="0.25">
      <c r="A250" s="64"/>
      <c r="B250" s="66"/>
      <c r="C250" s="66"/>
      <c r="D250" s="51"/>
      <c r="E250" s="55"/>
      <c r="F250" s="64"/>
      <c r="G250" s="222"/>
      <c r="H250" s="217"/>
    </row>
    <row r="251" spans="1:9" x14ac:dyDescent="0.25">
      <c r="A251" s="61" t="s">
        <v>3713</v>
      </c>
      <c r="B251" s="189"/>
      <c r="C251" s="189" t="s">
        <v>3286</v>
      </c>
      <c r="D251" s="67" t="s">
        <v>3269</v>
      </c>
      <c r="E251" s="55"/>
      <c r="F251" s="19"/>
      <c r="G251" s="222"/>
      <c r="H251" s="217"/>
    </row>
    <row r="252" spans="1:9" x14ac:dyDescent="0.25">
      <c r="A252" s="64"/>
      <c r="B252" s="66"/>
      <c r="C252" s="66" t="s">
        <v>3287</v>
      </c>
      <c r="D252" s="67" t="s">
        <v>3270</v>
      </c>
      <c r="E252" s="55"/>
      <c r="F252" s="64"/>
      <c r="G252" s="222"/>
      <c r="H252" s="217"/>
    </row>
    <row r="253" spans="1:9" x14ac:dyDescent="0.25">
      <c r="A253" s="64"/>
      <c r="B253" s="66"/>
      <c r="C253" s="66" t="s">
        <v>3288</v>
      </c>
      <c r="D253" s="67" t="s">
        <v>3271</v>
      </c>
      <c r="E253" s="55"/>
      <c r="F253" s="64"/>
      <c r="G253" s="222"/>
      <c r="H253" s="217"/>
    </row>
    <row r="254" spans="1:9" x14ac:dyDescent="0.25">
      <c r="A254" s="64"/>
      <c r="B254" s="66"/>
      <c r="C254" s="66" t="s">
        <v>3289</v>
      </c>
      <c r="D254" s="67" t="s">
        <v>3272</v>
      </c>
      <c r="E254" s="55"/>
      <c r="F254" s="64"/>
      <c r="G254" s="222"/>
      <c r="H254" s="217"/>
    </row>
    <row r="255" spans="1:9" x14ac:dyDescent="0.25">
      <c r="A255" s="64"/>
      <c r="B255" s="66"/>
      <c r="C255" s="66" t="s">
        <v>3290</v>
      </c>
      <c r="D255" s="67" t="s">
        <v>3273</v>
      </c>
      <c r="E255" s="55"/>
      <c r="F255" s="64"/>
      <c r="G255" s="222"/>
      <c r="H255" s="217"/>
      <c r="I255" s="269">
        <f>H249+H263+H277</f>
        <v>0</v>
      </c>
    </row>
    <row r="256" spans="1:9" x14ac:dyDescent="0.25">
      <c r="A256" s="64"/>
      <c r="B256" s="66"/>
      <c r="C256" s="66" t="s">
        <v>3291</v>
      </c>
      <c r="D256" s="67" t="s">
        <v>3274</v>
      </c>
      <c r="E256" s="55"/>
      <c r="F256" s="64"/>
      <c r="G256" s="222"/>
      <c r="H256" s="217"/>
    </row>
    <row r="257" spans="1:9" x14ac:dyDescent="0.25">
      <c r="A257" s="64"/>
      <c r="B257" s="66"/>
      <c r="C257" s="66" t="s">
        <v>3292</v>
      </c>
      <c r="D257" s="67" t="s">
        <v>3275</v>
      </c>
      <c r="E257" s="55"/>
      <c r="F257" s="64"/>
      <c r="G257" s="222"/>
      <c r="H257" s="217"/>
    </row>
    <row r="258" spans="1:9" x14ac:dyDescent="0.25">
      <c r="A258" s="64"/>
      <c r="B258" s="66"/>
      <c r="C258" s="66" t="s">
        <v>3293</v>
      </c>
      <c r="D258" s="67" t="s">
        <v>3276</v>
      </c>
      <c r="E258" s="55"/>
      <c r="F258" s="64"/>
      <c r="G258" s="222"/>
      <c r="H258" s="217"/>
    </row>
    <row r="259" spans="1:9" x14ac:dyDescent="0.25">
      <c r="A259" s="64"/>
      <c r="B259" s="66"/>
      <c r="C259" s="66" t="s">
        <v>3294</v>
      </c>
      <c r="D259" s="67" t="s">
        <v>3277</v>
      </c>
      <c r="E259" s="55"/>
      <c r="F259" s="64"/>
      <c r="G259" s="222"/>
      <c r="H259" s="217"/>
    </row>
    <row r="260" spans="1:9" x14ac:dyDescent="0.25">
      <c r="A260" s="64"/>
      <c r="B260" s="66"/>
      <c r="C260" s="66" t="s">
        <v>3295</v>
      </c>
      <c r="D260" s="67" t="s">
        <v>3297</v>
      </c>
      <c r="E260" s="55"/>
      <c r="F260" s="64"/>
      <c r="G260" s="222"/>
      <c r="H260" s="217"/>
    </row>
    <row r="261" spans="1:9" x14ac:dyDescent="0.25">
      <c r="A261" s="61"/>
      <c r="B261" s="189"/>
      <c r="C261" s="66" t="s">
        <v>3296</v>
      </c>
      <c r="D261" s="67" t="s">
        <v>3554</v>
      </c>
      <c r="E261" s="55"/>
      <c r="F261" s="64"/>
      <c r="G261" s="222"/>
      <c r="H261" s="217"/>
    </row>
    <row r="262" spans="1:9" x14ac:dyDescent="0.25">
      <c r="A262" s="61"/>
      <c r="B262" s="189"/>
      <c r="C262" s="66" t="s">
        <v>3298</v>
      </c>
      <c r="D262" s="67" t="s">
        <v>3299</v>
      </c>
      <c r="E262" s="55"/>
      <c r="F262" s="64"/>
      <c r="G262" s="222"/>
      <c r="H262" s="217"/>
    </row>
    <row r="263" spans="1:9" x14ac:dyDescent="0.25">
      <c r="A263" s="64"/>
      <c r="B263" s="66"/>
      <c r="C263" s="66" t="s">
        <v>3301</v>
      </c>
      <c r="D263" s="51"/>
      <c r="E263" s="55" t="s">
        <v>3674</v>
      </c>
      <c r="F263" s="64">
        <f>SUM(F251:F262)</f>
        <v>0</v>
      </c>
      <c r="G263" s="222"/>
      <c r="H263" s="217">
        <f>SUM(G251:G261)</f>
        <v>0</v>
      </c>
      <c r="I263" s="269">
        <f>H263+H283</f>
        <v>0</v>
      </c>
    </row>
    <row r="264" spans="1:9" x14ac:dyDescent="0.25">
      <c r="A264" s="64"/>
      <c r="B264" s="66"/>
      <c r="C264" s="66"/>
      <c r="D264" s="51"/>
      <c r="E264" s="55"/>
      <c r="F264" s="64"/>
      <c r="G264" s="222"/>
      <c r="H264" s="217"/>
    </row>
    <row r="265" spans="1:9" x14ac:dyDescent="0.25">
      <c r="A265" s="61" t="s">
        <v>3713</v>
      </c>
      <c r="B265" s="189"/>
      <c r="C265" s="189" t="s">
        <v>3286</v>
      </c>
      <c r="D265" s="67" t="s">
        <v>3269</v>
      </c>
      <c r="E265" s="55"/>
      <c r="F265" s="64"/>
      <c r="G265" s="222"/>
      <c r="H265" s="217"/>
    </row>
    <row r="266" spans="1:9" x14ac:dyDescent="0.25">
      <c r="A266" s="64"/>
      <c r="B266" s="66"/>
      <c r="C266" s="66" t="s">
        <v>3287</v>
      </c>
      <c r="D266" s="67" t="s">
        <v>3270</v>
      </c>
      <c r="E266" s="55"/>
      <c r="F266" s="64"/>
      <c r="G266" s="222"/>
      <c r="H266" s="217"/>
    </row>
    <row r="267" spans="1:9" x14ac:dyDescent="0.25">
      <c r="A267" s="64"/>
      <c r="B267" s="66"/>
      <c r="C267" s="66" t="s">
        <v>3288</v>
      </c>
      <c r="D267" s="67" t="s">
        <v>3271</v>
      </c>
      <c r="E267" s="55"/>
      <c r="F267" s="64"/>
      <c r="G267" s="222"/>
      <c r="H267" s="217"/>
    </row>
    <row r="268" spans="1:9" x14ac:dyDescent="0.25">
      <c r="A268" s="64"/>
      <c r="B268" s="66"/>
      <c r="C268" s="66" t="s">
        <v>3289</v>
      </c>
      <c r="D268" s="67" t="s">
        <v>3272</v>
      </c>
      <c r="E268" s="55"/>
      <c r="F268" s="64"/>
      <c r="G268" s="222"/>
      <c r="H268" s="217"/>
    </row>
    <row r="269" spans="1:9" x14ac:dyDescent="0.25">
      <c r="A269" s="64"/>
      <c r="B269" s="66"/>
      <c r="C269" s="66" t="s">
        <v>3290</v>
      </c>
      <c r="D269" s="67" t="s">
        <v>3273</v>
      </c>
      <c r="E269" s="55"/>
      <c r="F269" s="64"/>
      <c r="G269" s="222"/>
      <c r="H269" s="217"/>
    </row>
    <row r="270" spans="1:9" x14ac:dyDescent="0.25">
      <c r="A270" s="64"/>
      <c r="B270" s="66"/>
      <c r="C270" s="66" t="s">
        <v>3291</v>
      </c>
      <c r="D270" s="67" t="s">
        <v>3274</v>
      </c>
      <c r="E270" s="55"/>
      <c r="F270" s="64"/>
      <c r="G270" s="222"/>
      <c r="H270" s="217"/>
    </row>
    <row r="271" spans="1:9" x14ac:dyDescent="0.25">
      <c r="A271" s="64"/>
      <c r="B271" s="66"/>
      <c r="C271" s="66" t="s">
        <v>3292</v>
      </c>
      <c r="D271" s="67" t="s">
        <v>3275</v>
      </c>
      <c r="E271" s="55"/>
      <c r="F271" s="64"/>
      <c r="G271" s="222"/>
      <c r="H271" s="217"/>
      <c r="I271" s="269"/>
    </row>
    <row r="272" spans="1:9" x14ac:dyDescent="0.25">
      <c r="A272" s="64"/>
      <c r="B272" s="66"/>
      <c r="C272" s="66" t="s">
        <v>3293</v>
      </c>
      <c r="D272" s="67" t="s">
        <v>3276</v>
      </c>
      <c r="E272" s="55"/>
      <c r="F272" s="64"/>
      <c r="G272" s="222"/>
      <c r="H272" s="217"/>
    </row>
    <row r="273" spans="1:9" x14ac:dyDescent="0.25">
      <c r="A273" s="64"/>
      <c r="B273" s="66"/>
      <c r="C273" s="66" t="s">
        <v>3294</v>
      </c>
      <c r="D273" s="67" t="s">
        <v>3277</v>
      </c>
      <c r="E273" s="55"/>
      <c r="F273" s="64"/>
      <c r="G273" s="222"/>
      <c r="H273" s="217"/>
    </row>
    <row r="274" spans="1:9" x14ac:dyDescent="0.25">
      <c r="A274" s="64"/>
      <c r="B274" s="66"/>
      <c r="C274" s="66" t="s">
        <v>3295</v>
      </c>
      <c r="D274" s="67" t="s">
        <v>3297</v>
      </c>
      <c r="E274" s="55"/>
      <c r="F274" s="64"/>
      <c r="G274" s="222"/>
      <c r="H274" s="217"/>
    </row>
    <row r="275" spans="1:9" x14ac:dyDescent="0.25">
      <c r="A275" s="61"/>
      <c r="B275" s="189"/>
      <c r="C275" s="66" t="s">
        <v>3296</v>
      </c>
      <c r="D275" s="67" t="s">
        <v>3554</v>
      </c>
      <c r="E275" s="55"/>
      <c r="F275" s="64"/>
      <c r="G275" s="222"/>
      <c r="H275" s="217"/>
    </row>
    <row r="276" spans="1:9" x14ac:dyDescent="0.25">
      <c r="A276" s="61"/>
      <c r="B276" s="189"/>
      <c r="C276" s="66" t="s">
        <v>3298</v>
      </c>
      <c r="D276" s="67" t="s">
        <v>3299</v>
      </c>
      <c r="E276" s="55"/>
      <c r="F276" s="64"/>
      <c r="G276" s="222"/>
      <c r="H276" s="217"/>
    </row>
    <row r="277" spans="1:9" x14ac:dyDescent="0.25">
      <c r="A277" s="64"/>
      <c r="B277" s="66"/>
      <c r="C277" s="66" t="s">
        <v>3301</v>
      </c>
      <c r="D277" s="51"/>
      <c r="E277" s="55" t="s">
        <v>3675</v>
      </c>
      <c r="F277" s="64">
        <f>SUM(F265:F276)</f>
        <v>0</v>
      </c>
      <c r="G277" s="222"/>
      <c r="H277" s="217">
        <f>SUM(G265:G275)</f>
        <v>0</v>
      </c>
      <c r="I277" s="269">
        <f>H277+H286</f>
        <v>0</v>
      </c>
    </row>
    <row r="278" spans="1:9" x14ac:dyDescent="0.25">
      <c r="A278" s="64"/>
      <c r="B278" s="66"/>
      <c r="C278" s="66"/>
      <c r="D278" s="51"/>
      <c r="E278" s="55"/>
      <c r="F278" s="64"/>
      <c r="G278" s="222"/>
      <c r="H278" s="217"/>
      <c r="I278" s="269"/>
    </row>
    <row r="279" spans="1:9" x14ac:dyDescent="0.25">
      <c r="A279" s="61" t="str">
        <f>A237</f>
        <v>31 MARET</v>
      </c>
      <c r="B279" s="189"/>
      <c r="C279" s="189" t="s">
        <v>3300</v>
      </c>
      <c r="D279" s="51" t="s">
        <v>3232</v>
      </c>
      <c r="E279" s="55"/>
      <c r="F279" s="64">
        <f>F249</f>
        <v>0</v>
      </c>
      <c r="G279" s="222"/>
      <c r="H279" s="217"/>
    </row>
    <row r="280" spans="1:9" x14ac:dyDescent="0.25">
      <c r="A280" s="64"/>
      <c r="B280" s="66"/>
      <c r="C280" s="66" t="s">
        <v>3302</v>
      </c>
      <c r="D280" s="51"/>
      <c r="E280" s="55" t="s">
        <v>3233</v>
      </c>
      <c r="F280" s="64">
        <f>F279</f>
        <v>0</v>
      </c>
      <c r="G280" s="222"/>
      <c r="H280" s="217">
        <f>G279</f>
        <v>0</v>
      </c>
    </row>
    <row r="281" spans="1:9" x14ac:dyDescent="0.25">
      <c r="A281" s="64"/>
      <c r="B281" s="66"/>
      <c r="C281" s="66"/>
      <c r="D281" s="51"/>
      <c r="E281" s="55"/>
      <c r="F281" s="64"/>
      <c r="G281" s="222"/>
      <c r="H281" s="217"/>
      <c r="I281" s="269"/>
    </row>
    <row r="282" spans="1:9" x14ac:dyDescent="0.25">
      <c r="A282" s="64" t="str">
        <f>A279</f>
        <v>31 MARET</v>
      </c>
      <c r="B282" s="66"/>
      <c r="C282" s="189" t="s">
        <v>3300</v>
      </c>
      <c r="D282" s="51" t="s">
        <v>3676</v>
      </c>
      <c r="E282" s="55"/>
      <c r="F282" s="64">
        <f>F263</f>
        <v>0</v>
      </c>
      <c r="G282" s="222"/>
      <c r="H282" s="217"/>
      <c r="I282" s="269">
        <f>H280+H283+H286</f>
        <v>0</v>
      </c>
    </row>
    <row r="283" spans="1:9" x14ac:dyDescent="0.25">
      <c r="A283" s="64"/>
      <c r="B283" s="66"/>
      <c r="C283" s="66" t="s">
        <v>3302</v>
      </c>
      <c r="D283" s="51"/>
      <c r="E283" s="55" t="s">
        <v>3233</v>
      </c>
      <c r="F283" s="64"/>
      <c r="G283" s="222"/>
      <c r="H283" s="217">
        <f>G282</f>
        <v>0</v>
      </c>
    </row>
    <row r="284" spans="1:9" x14ac:dyDescent="0.25">
      <c r="A284" s="64"/>
      <c r="B284" s="66"/>
      <c r="C284" s="66"/>
      <c r="D284" s="51"/>
      <c r="E284" s="55"/>
      <c r="F284" s="64"/>
      <c r="G284" s="222"/>
      <c r="H284" s="217"/>
    </row>
    <row r="285" spans="1:9" x14ac:dyDescent="0.25">
      <c r="A285" s="64" t="str">
        <f>A282</f>
        <v>31 MARET</v>
      </c>
      <c r="B285" s="66"/>
      <c r="C285" s="189" t="s">
        <v>3300</v>
      </c>
      <c r="D285" s="51" t="s">
        <v>3677</v>
      </c>
      <c r="E285" s="55"/>
      <c r="F285" s="64">
        <f>F277</f>
        <v>0</v>
      </c>
      <c r="G285" s="222"/>
      <c r="H285" s="217"/>
    </row>
    <row r="286" spans="1:9" x14ac:dyDescent="0.25">
      <c r="A286" s="64"/>
      <c r="B286" s="66"/>
      <c r="C286" s="66" t="s">
        <v>3302</v>
      </c>
      <c r="D286" s="51"/>
      <c r="E286" s="55" t="s">
        <v>3233</v>
      </c>
      <c r="F286" s="64"/>
      <c r="G286" s="218"/>
      <c r="H286" s="217">
        <f>G285</f>
        <v>0</v>
      </c>
    </row>
    <row r="287" spans="1:9" x14ac:dyDescent="0.25">
      <c r="A287" s="64"/>
      <c r="B287" s="66"/>
      <c r="C287" s="66"/>
      <c r="D287" s="51"/>
      <c r="E287" s="55"/>
      <c r="F287" s="64"/>
      <c r="G287" s="218"/>
      <c r="H287" s="217"/>
    </row>
    <row r="288" spans="1:9" x14ac:dyDescent="0.25">
      <c r="A288" s="654" t="s">
        <v>15</v>
      </c>
      <c r="B288" s="654"/>
      <c r="C288" s="654"/>
      <c r="D288" s="654"/>
      <c r="E288" s="654"/>
      <c r="F288" s="654"/>
      <c r="G288" s="228">
        <f>SUM(G237:G287)</f>
        <v>0</v>
      </c>
      <c r="H288" s="229">
        <f>SUM(H237:H287)</f>
        <v>0</v>
      </c>
    </row>
    <row r="289" spans="1:8" x14ac:dyDescent="0.25">
      <c r="A289" s="658" t="s">
        <v>3560</v>
      </c>
      <c r="B289" s="659"/>
      <c r="C289" s="659"/>
      <c r="D289" s="659"/>
      <c r="E289" s="659"/>
      <c r="F289" s="660"/>
      <c r="G289" s="228">
        <f>G178</f>
        <v>0</v>
      </c>
      <c r="H289" s="229">
        <f>H178</f>
        <v>0</v>
      </c>
    </row>
    <row r="290" spans="1:8" ht="15.75" thickBot="1" x14ac:dyDescent="0.3">
      <c r="A290" s="640" t="s">
        <v>3571</v>
      </c>
      <c r="B290" s="641"/>
      <c r="C290" s="641"/>
      <c r="D290" s="641"/>
      <c r="E290" s="641"/>
      <c r="F290" s="642"/>
      <c r="G290" s="224">
        <f>SUM(G288:G289)</f>
        <v>0</v>
      </c>
      <c r="H290" s="225">
        <f>SUM(H288:H289)</f>
        <v>0</v>
      </c>
    </row>
    <row r="291" spans="1:8" x14ac:dyDescent="0.25">
      <c r="A291" s="96"/>
      <c r="B291" s="96"/>
      <c r="C291" s="96"/>
      <c r="D291" s="96"/>
      <c r="E291" s="96"/>
      <c r="F291" s="96"/>
      <c r="G291" s="226"/>
      <c r="H291" s="226"/>
    </row>
    <row r="292" spans="1:8" x14ac:dyDescent="0.25">
      <c r="A292" s="96"/>
      <c r="B292" s="96"/>
      <c r="C292" s="96"/>
      <c r="D292" s="96"/>
      <c r="E292" s="96"/>
      <c r="F292" s="96"/>
      <c r="G292" s="226"/>
      <c r="H292" s="226"/>
    </row>
    <row r="293" spans="1:8" x14ac:dyDescent="0.25">
      <c r="A293" s="657"/>
      <c r="B293" s="657"/>
      <c r="C293" s="657"/>
      <c r="D293" s="657"/>
      <c r="E293" s="96"/>
      <c r="F293" s="657" t="s">
        <v>5664</v>
      </c>
      <c r="G293" s="657"/>
      <c r="H293" s="657"/>
    </row>
    <row r="294" spans="1:8" x14ac:dyDescent="0.25">
      <c r="A294" s="657"/>
      <c r="B294" s="657"/>
      <c r="C294" s="657"/>
      <c r="D294" s="657"/>
      <c r="E294" s="96"/>
      <c r="F294" s="657" t="s">
        <v>3804</v>
      </c>
      <c r="G294" s="657"/>
      <c r="H294" s="657"/>
    </row>
    <row r="295" spans="1:8" x14ac:dyDescent="0.25">
      <c r="A295" s="657"/>
      <c r="B295" s="657"/>
      <c r="C295" s="657"/>
      <c r="D295" s="657"/>
      <c r="E295" s="96"/>
      <c r="F295" s="657"/>
      <c r="G295" s="657"/>
      <c r="H295" s="657"/>
    </row>
    <row r="296" spans="1:8" x14ac:dyDescent="0.25">
      <c r="A296" s="657"/>
      <c r="B296" s="657"/>
      <c r="C296" s="657"/>
      <c r="D296" s="657"/>
      <c r="E296" s="96"/>
      <c r="F296" s="657"/>
      <c r="G296" s="657"/>
      <c r="H296" s="657"/>
    </row>
    <row r="297" spans="1:8" x14ac:dyDescent="0.25">
      <c r="A297" s="657"/>
      <c r="B297" s="657"/>
      <c r="C297" s="657"/>
      <c r="D297" s="657"/>
      <c r="E297" s="96"/>
      <c r="F297" s="657" t="s">
        <v>3548</v>
      </c>
      <c r="G297" s="657"/>
      <c r="H297" s="657"/>
    </row>
    <row r="298" spans="1:8" x14ac:dyDescent="0.25">
      <c r="A298" s="96"/>
      <c r="B298" s="96"/>
      <c r="C298" s="96"/>
      <c r="D298" s="96"/>
      <c r="E298" s="96"/>
      <c r="F298" s="96"/>
      <c r="G298" s="226"/>
      <c r="H298" s="226"/>
    </row>
    <row r="299" spans="1:8" x14ac:dyDescent="0.25">
      <c r="A299" s="50"/>
      <c r="B299" s="50"/>
      <c r="C299" s="50"/>
      <c r="D299" s="50"/>
      <c r="E299" s="9"/>
      <c r="F299" s="18"/>
      <c r="G299" s="219"/>
      <c r="H299" s="219"/>
    </row>
    <row r="300" spans="1:8" x14ac:dyDescent="0.25">
      <c r="A300" s="50"/>
      <c r="B300" s="50"/>
      <c r="C300" s="50"/>
      <c r="D300" s="50"/>
      <c r="E300" s="9"/>
      <c r="F300" s="18"/>
      <c r="G300" s="219"/>
      <c r="H300" s="219"/>
    </row>
    <row r="301" spans="1:8" x14ac:dyDescent="0.25">
      <c r="A301" s="50"/>
      <c r="B301" s="50"/>
      <c r="C301" s="50"/>
      <c r="D301" s="50"/>
      <c r="E301" s="9"/>
      <c r="F301" s="18"/>
      <c r="G301" s="219"/>
      <c r="H301" s="219"/>
    </row>
    <row r="302" spans="1:8" x14ac:dyDescent="0.25">
      <c r="A302" s="50"/>
      <c r="B302" s="50"/>
      <c r="C302" s="50"/>
      <c r="D302" s="50"/>
      <c r="E302" s="9"/>
      <c r="F302" s="18"/>
      <c r="G302" s="219"/>
      <c r="H302" s="219"/>
    </row>
    <row r="303" spans="1:8" x14ac:dyDescent="0.25">
      <c r="A303" s="50"/>
      <c r="B303" s="50"/>
      <c r="C303" s="50"/>
      <c r="D303" s="50"/>
      <c r="E303" s="9"/>
      <c r="F303" s="18"/>
      <c r="G303" s="219"/>
      <c r="H303" s="219"/>
    </row>
    <row r="304" spans="1:8" x14ac:dyDescent="0.25">
      <c r="A304" s="50"/>
      <c r="B304" s="50"/>
      <c r="C304" s="50"/>
      <c r="D304" s="50"/>
      <c r="E304" s="9"/>
      <c r="F304" s="18"/>
      <c r="G304" s="219"/>
      <c r="H304" s="219"/>
    </row>
    <row r="305" spans="1:8" x14ac:dyDescent="0.25">
      <c r="A305" s="50"/>
      <c r="B305" s="50"/>
      <c r="C305" s="50"/>
      <c r="D305" s="50"/>
      <c r="E305" s="9"/>
      <c r="F305" s="18"/>
      <c r="G305" s="219"/>
      <c r="H305" s="219"/>
    </row>
    <row r="306" spans="1:8" x14ac:dyDescent="0.25">
      <c r="A306" s="50"/>
      <c r="B306" s="50"/>
      <c r="C306" s="50"/>
      <c r="D306" s="50"/>
      <c r="E306" s="9"/>
      <c r="F306" s="18"/>
      <c r="G306" s="219"/>
      <c r="H306" s="219"/>
    </row>
    <row r="307" spans="1:8" x14ac:dyDescent="0.25">
      <c r="A307" s="50"/>
      <c r="B307" s="50"/>
      <c r="C307" s="50"/>
      <c r="D307" s="50"/>
      <c r="E307" s="9"/>
      <c r="F307" s="18"/>
      <c r="G307" s="219"/>
      <c r="H307" s="219"/>
    </row>
    <row r="308" spans="1:8" x14ac:dyDescent="0.25">
      <c r="A308" s="50"/>
      <c r="B308" s="50"/>
      <c r="C308" s="50"/>
      <c r="D308" s="50"/>
      <c r="E308" s="9"/>
      <c r="F308" s="18"/>
      <c r="G308" s="219"/>
      <c r="H308" s="219"/>
    </row>
    <row r="309" spans="1:8" x14ac:dyDescent="0.25">
      <c r="A309" s="50"/>
      <c r="B309" s="50"/>
      <c r="C309" s="50"/>
      <c r="D309" s="50"/>
      <c r="E309" s="9"/>
      <c r="F309" s="18"/>
      <c r="G309" s="219"/>
      <c r="H309" s="219"/>
    </row>
    <row r="310" spans="1:8" x14ac:dyDescent="0.25">
      <c r="A310" s="50"/>
      <c r="B310" s="50"/>
      <c r="C310" s="50"/>
      <c r="D310" s="50"/>
      <c r="E310" s="9"/>
      <c r="F310" s="18"/>
      <c r="G310" s="219"/>
      <c r="H310" s="219"/>
    </row>
    <row r="311" spans="1:8" x14ac:dyDescent="0.25">
      <c r="A311" s="50"/>
      <c r="B311" s="50"/>
      <c r="C311" s="50"/>
      <c r="D311" s="50"/>
      <c r="E311" s="9"/>
      <c r="F311" s="18"/>
      <c r="G311" s="219"/>
      <c r="H311" s="219"/>
    </row>
    <row r="312" spans="1:8" x14ac:dyDescent="0.25">
      <c r="A312" s="50"/>
      <c r="B312" s="50"/>
      <c r="C312" s="50"/>
      <c r="D312" s="50"/>
      <c r="E312" s="9"/>
      <c r="F312" s="18"/>
      <c r="G312" s="219"/>
      <c r="H312" s="219"/>
    </row>
    <row r="313" spans="1:8" x14ac:dyDescent="0.25">
      <c r="A313" s="50"/>
      <c r="B313" s="50"/>
      <c r="C313" s="50"/>
      <c r="D313" s="50"/>
      <c r="E313" s="9"/>
      <c r="F313" s="18"/>
      <c r="G313" s="219"/>
      <c r="H313" s="219"/>
    </row>
    <row r="314" spans="1:8" x14ac:dyDescent="0.25">
      <c r="A314" s="50"/>
      <c r="B314" s="50"/>
      <c r="C314" s="50"/>
      <c r="D314" s="50"/>
      <c r="E314" s="9"/>
      <c r="F314" s="18"/>
      <c r="G314" s="219"/>
      <c r="H314" s="219"/>
    </row>
    <row r="315" spans="1:8" x14ac:dyDescent="0.25">
      <c r="A315" s="50"/>
      <c r="B315" s="50"/>
      <c r="C315" s="50"/>
      <c r="D315" s="50"/>
      <c r="E315" s="9"/>
      <c r="F315" s="18"/>
      <c r="G315" s="219"/>
      <c r="H315" s="219"/>
    </row>
    <row r="316" spans="1:8" x14ac:dyDescent="0.25">
      <c r="A316" s="50"/>
      <c r="B316" s="50"/>
      <c r="C316" s="50"/>
      <c r="D316" s="50"/>
      <c r="E316" s="9"/>
      <c r="F316" s="18"/>
      <c r="G316" s="219"/>
      <c r="H316" s="219"/>
    </row>
    <row r="317" spans="1:8" x14ac:dyDescent="0.25">
      <c r="A317" s="50"/>
      <c r="B317" s="50"/>
      <c r="C317" s="50"/>
      <c r="D317" s="50"/>
      <c r="E317" s="9"/>
      <c r="F317" s="18"/>
      <c r="G317" s="219"/>
      <c r="H317" s="219"/>
    </row>
    <row r="318" spans="1:8" x14ac:dyDescent="0.25">
      <c r="A318" s="50"/>
      <c r="B318" s="50"/>
      <c r="C318" s="50"/>
      <c r="D318" s="50"/>
      <c r="E318" s="9"/>
      <c r="F318" s="18"/>
      <c r="G318" s="219"/>
      <c r="H318" s="219"/>
    </row>
    <row r="319" spans="1:8" x14ac:dyDescent="0.25">
      <c r="A319" s="50"/>
      <c r="B319" s="50"/>
      <c r="C319" s="50"/>
      <c r="D319" s="50"/>
      <c r="E319" s="9"/>
      <c r="F319" s="18"/>
      <c r="G319" s="219"/>
      <c r="H319" s="219"/>
    </row>
    <row r="320" spans="1:8" x14ac:dyDescent="0.25">
      <c r="A320" s="50"/>
      <c r="B320" s="50"/>
      <c r="C320" s="50"/>
      <c r="D320" s="50"/>
      <c r="E320" s="9"/>
      <c r="F320" s="18"/>
      <c r="G320" s="219"/>
      <c r="H320" s="219"/>
    </row>
    <row r="321" spans="1:8" x14ac:dyDescent="0.25">
      <c r="A321" s="50"/>
      <c r="B321" s="50"/>
      <c r="C321" s="50"/>
      <c r="D321" s="50"/>
      <c r="E321" s="9"/>
      <c r="F321" s="18"/>
      <c r="G321" s="219"/>
      <c r="H321" s="219"/>
    </row>
    <row r="322" spans="1:8" x14ac:dyDescent="0.25">
      <c r="A322" s="50"/>
      <c r="B322" s="50"/>
      <c r="C322" s="50"/>
      <c r="D322" s="50"/>
      <c r="E322" s="9"/>
      <c r="F322" s="18"/>
      <c r="G322" s="219"/>
      <c r="H322" s="219"/>
    </row>
    <row r="323" spans="1:8" x14ac:dyDescent="0.25">
      <c r="A323" s="50"/>
      <c r="B323" s="50"/>
      <c r="C323" s="50"/>
      <c r="D323" s="50"/>
      <c r="E323" s="9"/>
      <c r="F323" s="18"/>
      <c r="G323" s="219"/>
      <c r="H323" s="219"/>
    </row>
    <row r="324" spans="1:8" x14ac:dyDescent="0.25">
      <c r="A324" s="50"/>
      <c r="B324" s="50"/>
      <c r="C324" s="50"/>
      <c r="D324" s="50"/>
      <c r="E324" s="9"/>
      <c r="F324" s="18"/>
      <c r="G324" s="219"/>
      <c r="H324" s="219"/>
    </row>
    <row r="325" spans="1:8" x14ac:dyDescent="0.25">
      <c r="A325" s="50"/>
      <c r="B325" s="50"/>
      <c r="C325" s="50"/>
      <c r="D325" s="50"/>
      <c r="E325" s="9"/>
      <c r="F325" s="18"/>
      <c r="G325" s="219"/>
      <c r="H325" s="219"/>
    </row>
    <row r="326" spans="1:8" x14ac:dyDescent="0.25">
      <c r="A326" s="50"/>
      <c r="B326" s="50"/>
      <c r="C326" s="50"/>
      <c r="D326" s="50"/>
      <c r="E326" s="9"/>
      <c r="F326" s="18"/>
      <c r="G326" s="219"/>
      <c r="H326" s="219"/>
    </row>
    <row r="327" spans="1:8" x14ac:dyDescent="0.25">
      <c r="A327" s="50"/>
      <c r="B327" s="50"/>
      <c r="C327" s="50"/>
      <c r="D327" s="50"/>
      <c r="E327" s="9"/>
      <c r="F327" s="18"/>
      <c r="G327" s="219"/>
      <c r="H327" s="219"/>
    </row>
    <row r="328" spans="1:8" x14ac:dyDescent="0.25">
      <c r="A328" s="50"/>
      <c r="B328" s="50"/>
      <c r="C328" s="50"/>
      <c r="D328" s="50"/>
      <c r="E328" s="9"/>
      <c r="F328" s="18"/>
      <c r="G328" s="219"/>
      <c r="H328" s="219"/>
    </row>
    <row r="329" spans="1:8" x14ac:dyDescent="0.25">
      <c r="A329" s="50"/>
      <c r="B329" s="50"/>
      <c r="C329" s="50"/>
      <c r="D329" s="50"/>
      <c r="E329" s="9"/>
      <c r="F329" s="18"/>
      <c r="G329" s="219"/>
      <c r="H329" s="219"/>
    </row>
    <row r="330" spans="1:8" x14ac:dyDescent="0.25">
      <c r="A330" s="50"/>
      <c r="B330" s="50"/>
      <c r="C330" s="50"/>
      <c r="D330" s="50"/>
      <c r="E330" s="9"/>
      <c r="F330" s="18"/>
      <c r="G330" s="219"/>
      <c r="H330" s="219"/>
    </row>
    <row r="331" spans="1:8" x14ac:dyDescent="0.25">
      <c r="A331" s="50"/>
      <c r="B331" s="50"/>
      <c r="C331" s="50"/>
      <c r="D331" s="50"/>
      <c r="E331" s="9"/>
      <c r="F331" s="18"/>
      <c r="G331" s="219"/>
      <c r="H331" s="219"/>
    </row>
    <row r="332" spans="1:8" x14ac:dyDescent="0.25">
      <c r="A332" s="50" t="s">
        <v>0</v>
      </c>
      <c r="B332" s="50"/>
      <c r="C332" s="50"/>
      <c r="D332" s="50"/>
      <c r="E332" s="9"/>
      <c r="F332" s="18"/>
      <c r="G332" s="219"/>
      <c r="H332" s="219"/>
    </row>
    <row r="333" spans="1:8" x14ac:dyDescent="0.25">
      <c r="A333" s="50" t="s">
        <v>1</v>
      </c>
      <c r="B333" s="50"/>
      <c r="C333" s="50"/>
      <c r="D333" s="50"/>
      <c r="E333" s="9"/>
      <c r="F333" s="18"/>
      <c r="G333" s="219"/>
      <c r="H333" s="219"/>
    </row>
    <row r="334" spans="1:8" x14ac:dyDescent="0.25">
      <c r="A334" s="50" t="s">
        <v>16</v>
      </c>
      <c r="B334" s="50"/>
      <c r="C334" s="50"/>
      <c r="D334" s="50"/>
      <c r="E334" s="9"/>
      <c r="F334" s="18"/>
      <c r="G334" s="219"/>
      <c r="H334" s="219"/>
    </row>
    <row r="335" spans="1:8" x14ac:dyDescent="0.25">
      <c r="A335" s="643" t="s">
        <v>117</v>
      </c>
      <c r="B335" s="643"/>
      <c r="C335" s="643"/>
      <c r="D335" s="643"/>
      <c r="E335" s="643"/>
      <c r="F335" s="643"/>
      <c r="G335" s="643"/>
      <c r="H335" s="643"/>
    </row>
    <row r="336" spans="1:8" x14ac:dyDescent="0.25">
      <c r="A336" s="643" t="s">
        <v>5657</v>
      </c>
      <c r="B336" s="643"/>
      <c r="C336" s="643"/>
      <c r="D336" s="643"/>
      <c r="E336" s="643"/>
      <c r="F336" s="643"/>
      <c r="G336" s="643"/>
      <c r="H336" s="643"/>
    </row>
    <row r="337" spans="1:9" ht="15.75" thickBot="1" x14ac:dyDescent="0.3">
      <c r="A337" s="1"/>
      <c r="B337" s="1"/>
      <c r="C337" s="1"/>
      <c r="D337" s="1"/>
      <c r="E337" s="1"/>
      <c r="F337" s="19"/>
      <c r="G337" s="178"/>
      <c r="H337" s="178"/>
    </row>
    <row r="338" spans="1:9" ht="22.5" customHeight="1" x14ac:dyDescent="0.25">
      <c r="A338" s="53" t="s">
        <v>12</v>
      </c>
      <c r="B338" s="192" t="s">
        <v>3283</v>
      </c>
      <c r="C338" s="193" t="s">
        <v>3285</v>
      </c>
      <c r="D338" s="652" t="s">
        <v>3282</v>
      </c>
      <c r="E338" s="653"/>
      <c r="F338" s="215" t="s">
        <v>3284</v>
      </c>
      <c r="G338" s="220" t="s">
        <v>57</v>
      </c>
      <c r="H338" s="221" t="s">
        <v>58</v>
      </c>
    </row>
    <row r="339" spans="1:9" x14ac:dyDescent="0.25">
      <c r="A339" s="56"/>
      <c r="B339" s="240"/>
      <c r="C339" s="194"/>
      <c r="D339" s="195"/>
      <c r="E339" s="191"/>
      <c r="F339" s="56"/>
      <c r="G339" s="222"/>
      <c r="H339" s="223"/>
    </row>
    <row r="340" spans="1:9" x14ac:dyDescent="0.25">
      <c r="A340" s="241" t="s">
        <v>3673</v>
      </c>
      <c r="B340" s="242"/>
      <c r="C340" s="243" t="s">
        <v>3303</v>
      </c>
      <c r="D340" s="244" t="s">
        <v>3305</v>
      </c>
      <c r="E340" s="245"/>
      <c r="F340" s="246"/>
      <c r="G340" s="247">
        <f>SUM(H341:H342)</f>
        <v>0</v>
      </c>
      <c r="H340" s="248"/>
      <c r="I340" s="253"/>
    </row>
    <row r="341" spans="1:9" x14ac:dyDescent="0.25">
      <c r="A341" s="249"/>
      <c r="B341" s="242"/>
      <c r="C341" s="250" t="s">
        <v>3291</v>
      </c>
      <c r="D341" s="251"/>
      <c r="E341" s="252" t="s">
        <v>3274</v>
      </c>
      <c r="F341" s="246"/>
      <c r="G341" s="247"/>
      <c r="H341" s="248"/>
    </row>
    <row r="342" spans="1:9" x14ac:dyDescent="0.25">
      <c r="A342" s="249"/>
      <c r="B342" s="242"/>
      <c r="C342" s="250" t="s">
        <v>3292</v>
      </c>
      <c r="D342" s="251"/>
      <c r="E342" s="252" t="s">
        <v>3275</v>
      </c>
      <c r="F342" s="246"/>
      <c r="G342" s="247"/>
      <c r="H342" s="248"/>
    </row>
    <row r="343" spans="1:9" x14ac:dyDescent="0.25">
      <c r="A343" s="249"/>
      <c r="B343" s="242"/>
      <c r="C343" s="250"/>
      <c r="D343" s="313" t="s">
        <v>3727</v>
      </c>
      <c r="E343" s="252"/>
      <c r="F343" s="246"/>
      <c r="G343" s="247"/>
      <c r="H343" s="248"/>
    </row>
    <row r="344" spans="1:9" x14ac:dyDescent="0.25">
      <c r="A344" s="249"/>
      <c r="B344" s="242"/>
      <c r="C344" s="250"/>
      <c r="D344" s="251"/>
      <c r="E344" s="252"/>
      <c r="F344" s="246"/>
      <c r="G344" s="247"/>
      <c r="H344" s="248"/>
    </row>
    <row r="345" spans="1:9" x14ac:dyDescent="0.25">
      <c r="A345" s="249"/>
      <c r="B345" s="242"/>
      <c r="C345" s="243" t="s">
        <v>3303</v>
      </c>
      <c r="D345" s="244" t="s">
        <v>3305</v>
      </c>
      <c r="E345" s="252"/>
      <c r="F345" s="246"/>
      <c r="G345" s="247">
        <f>SUM(H346:H348)</f>
        <v>0</v>
      </c>
      <c r="H345" s="248"/>
    </row>
    <row r="346" spans="1:9" x14ac:dyDescent="0.25">
      <c r="A346" s="249"/>
      <c r="B346" s="242"/>
      <c r="C346" s="250" t="s">
        <v>3291</v>
      </c>
      <c r="D346" s="251"/>
      <c r="E346" s="252" t="s">
        <v>3274</v>
      </c>
      <c r="F346" s="246"/>
      <c r="G346" s="247"/>
      <c r="H346" s="248"/>
    </row>
    <row r="347" spans="1:9" x14ac:dyDescent="0.25">
      <c r="A347" s="249"/>
      <c r="B347" s="242"/>
      <c r="C347" s="250"/>
      <c r="D347" s="313" t="s">
        <v>3728</v>
      </c>
      <c r="E347" s="252"/>
      <c r="F347" s="246"/>
      <c r="G347" s="247"/>
      <c r="H347" s="248"/>
    </row>
    <row r="348" spans="1:9" x14ac:dyDescent="0.25">
      <c r="A348" s="56"/>
      <c r="B348" s="240"/>
      <c r="C348" s="194"/>
      <c r="D348" s="194"/>
      <c r="E348" s="230"/>
      <c r="F348" s="240"/>
      <c r="G348" s="222"/>
      <c r="H348" s="223"/>
    </row>
    <row r="349" spans="1:9" x14ac:dyDescent="0.25">
      <c r="A349" s="61" t="s">
        <v>3567</v>
      </c>
      <c r="B349" s="189"/>
      <c r="C349" s="189" t="s">
        <v>3286</v>
      </c>
      <c r="D349" s="67" t="s">
        <v>3269</v>
      </c>
      <c r="E349" s="55"/>
      <c r="F349" s="240"/>
      <c r="G349" s="222"/>
      <c r="H349" s="217"/>
    </row>
    <row r="350" spans="1:9" x14ac:dyDescent="0.25">
      <c r="A350" s="64"/>
      <c r="B350" s="66"/>
      <c r="C350" s="66" t="s">
        <v>3287</v>
      </c>
      <c r="D350" s="67" t="s">
        <v>3270</v>
      </c>
      <c r="E350" s="55"/>
      <c r="F350" s="240"/>
      <c r="G350" s="222"/>
      <c r="H350" s="217"/>
    </row>
    <row r="351" spans="1:9" x14ac:dyDescent="0.25">
      <c r="A351" s="64"/>
      <c r="B351" s="66"/>
      <c r="C351" s="66" t="s">
        <v>3288</v>
      </c>
      <c r="D351" s="67" t="s">
        <v>3271</v>
      </c>
      <c r="E351" s="55"/>
      <c r="F351" s="240"/>
      <c r="G351" s="222"/>
      <c r="H351" s="217"/>
    </row>
    <row r="352" spans="1:9" x14ac:dyDescent="0.25">
      <c r="A352" s="64"/>
      <c r="B352" s="66"/>
      <c r="C352" s="66" t="s">
        <v>3289</v>
      </c>
      <c r="D352" s="67" t="s">
        <v>3272</v>
      </c>
      <c r="E352" s="55"/>
      <c r="F352" s="240"/>
      <c r="G352" s="222"/>
      <c r="H352" s="217"/>
    </row>
    <row r="353" spans="1:9" x14ac:dyDescent="0.25">
      <c r="A353" s="64"/>
      <c r="B353" s="66"/>
      <c r="C353" s="66" t="s">
        <v>3290</v>
      </c>
      <c r="D353" s="67" t="s">
        <v>3273</v>
      </c>
      <c r="E353" s="55"/>
      <c r="F353" s="240"/>
      <c r="G353" s="222"/>
      <c r="H353" s="217"/>
    </row>
    <row r="354" spans="1:9" x14ac:dyDescent="0.25">
      <c r="A354" s="64"/>
      <c r="B354" s="66"/>
      <c r="C354" s="66" t="s">
        <v>3291</v>
      </c>
      <c r="D354" s="67" t="s">
        <v>3274</v>
      </c>
      <c r="E354" s="55"/>
      <c r="F354" s="240"/>
      <c r="G354" s="222"/>
      <c r="H354" s="217"/>
    </row>
    <row r="355" spans="1:9" x14ac:dyDescent="0.25">
      <c r="A355" s="64"/>
      <c r="B355" s="66"/>
      <c r="C355" s="66" t="s">
        <v>3292</v>
      </c>
      <c r="D355" s="67" t="s">
        <v>3275</v>
      </c>
      <c r="E355" s="55"/>
      <c r="F355" s="240"/>
      <c r="G355" s="222"/>
      <c r="H355" s="217"/>
    </row>
    <row r="356" spans="1:9" x14ac:dyDescent="0.25">
      <c r="A356" s="64"/>
      <c r="B356" s="66"/>
      <c r="C356" s="66" t="s">
        <v>3293</v>
      </c>
      <c r="D356" s="67" t="s">
        <v>3276</v>
      </c>
      <c r="E356" s="55"/>
      <c r="F356" s="240"/>
      <c r="G356" s="222"/>
      <c r="H356" s="217"/>
    </row>
    <row r="357" spans="1:9" x14ac:dyDescent="0.25">
      <c r="A357" s="64"/>
      <c r="B357" s="66"/>
      <c r="C357" s="66" t="s">
        <v>3294</v>
      </c>
      <c r="D357" s="67" t="s">
        <v>3277</v>
      </c>
      <c r="E357" s="55"/>
      <c r="F357" s="240"/>
      <c r="G357" s="222"/>
      <c r="H357" s="217"/>
    </row>
    <row r="358" spans="1:9" x14ac:dyDescent="0.25">
      <c r="A358" s="64"/>
      <c r="B358" s="66"/>
      <c r="C358" s="66" t="s">
        <v>3295</v>
      </c>
      <c r="D358" s="67" t="s">
        <v>3297</v>
      </c>
      <c r="E358" s="55"/>
      <c r="F358" s="240"/>
      <c r="G358" s="222"/>
      <c r="H358" s="217"/>
    </row>
    <row r="359" spans="1:9" x14ac:dyDescent="0.25">
      <c r="A359" s="61"/>
      <c r="B359" s="189"/>
      <c r="C359" s="66" t="s">
        <v>3296</v>
      </c>
      <c r="D359" s="67" t="s">
        <v>3554</v>
      </c>
      <c r="E359" s="55"/>
      <c r="F359" s="240"/>
      <c r="G359" s="222"/>
      <c r="H359" s="217"/>
    </row>
    <row r="360" spans="1:9" x14ac:dyDescent="0.25">
      <c r="A360" s="61"/>
      <c r="B360" s="189"/>
      <c r="C360" s="66" t="s">
        <v>3298</v>
      </c>
      <c r="D360" s="67" t="s">
        <v>3299</v>
      </c>
      <c r="E360" s="55"/>
      <c r="F360" s="240"/>
      <c r="G360" s="222"/>
      <c r="H360" s="217"/>
    </row>
    <row r="361" spans="1:9" x14ac:dyDescent="0.25">
      <c r="A361" s="64"/>
      <c r="B361" s="66"/>
      <c r="C361" s="66" t="s">
        <v>3301</v>
      </c>
      <c r="D361" s="51"/>
      <c r="E361" s="55" t="s">
        <v>3304</v>
      </c>
      <c r="F361" s="64">
        <f>SUM(F349:F360)</f>
        <v>0</v>
      </c>
      <c r="G361" s="218"/>
      <c r="H361" s="217">
        <f>SUM(G349:G360)</f>
        <v>0</v>
      </c>
      <c r="I361" s="269">
        <f>H361+H392</f>
        <v>0</v>
      </c>
    </row>
    <row r="362" spans="1:9" x14ac:dyDescent="0.25">
      <c r="A362" s="64"/>
      <c r="B362" s="66"/>
      <c r="C362" s="66"/>
      <c r="D362" s="51"/>
      <c r="E362" s="55"/>
      <c r="F362" s="64"/>
      <c r="G362" s="218"/>
      <c r="H362" s="217"/>
    </row>
    <row r="363" spans="1:9" x14ac:dyDescent="0.25">
      <c r="A363" s="61" t="s">
        <v>3567</v>
      </c>
      <c r="B363" s="189"/>
      <c r="C363" s="189" t="s">
        <v>3286</v>
      </c>
      <c r="D363" s="67" t="s">
        <v>3269</v>
      </c>
      <c r="E363" s="55"/>
      <c r="F363" s="19"/>
      <c r="G363" s="216"/>
      <c r="H363" s="217"/>
    </row>
    <row r="364" spans="1:9" x14ac:dyDescent="0.25">
      <c r="A364" s="64"/>
      <c r="B364" s="66"/>
      <c r="C364" s="66" t="s">
        <v>3287</v>
      </c>
      <c r="D364" s="67" t="s">
        <v>3270</v>
      </c>
      <c r="E364" s="55"/>
      <c r="F364" s="64"/>
      <c r="G364" s="218"/>
      <c r="H364" s="217"/>
    </row>
    <row r="365" spans="1:9" x14ac:dyDescent="0.25">
      <c r="A365" s="64"/>
      <c r="B365" s="66"/>
      <c r="C365" s="66" t="s">
        <v>3288</v>
      </c>
      <c r="D365" s="67" t="s">
        <v>3271</v>
      </c>
      <c r="E365" s="55"/>
      <c r="F365" s="64"/>
      <c r="G365" s="218"/>
      <c r="H365" s="217"/>
    </row>
    <row r="366" spans="1:9" x14ac:dyDescent="0.25">
      <c r="A366" s="64"/>
      <c r="B366" s="66"/>
      <c r="C366" s="66" t="s">
        <v>3289</v>
      </c>
      <c r="D366" s="67" t="s">
        <v>3272</v>
      </c>
      <c r="E366" s="55"/>
      <c r="F366" s="64"/>
      <c r="G366" s="218"/>
      <c r="H366" s="217"/>
    </row>
    <row r="367" spans="1:9" x14ac:dyDescent="0.25">
      <c r="A367" s="64"/>
      <c r="B367" s="66"/>
      <c r="C367" s="66" t="s">
        <v>3290</v>
      </c>
      <c r="D367" s="67" t="s">
        <v>3273</v>
      </c>
      <c r="E367" s="55"/>
      <c r="F367" s="64"/>
      <c r="G367" s="218"/>
      <c r="H367" s="217"/>
    </row>
    <row r="368" spans="1:9" x14ac:dyDescent="0.25">
      <c r="A368" s="64"/>
      <c r="B368" s="66"/>
      <c r="C368" s="66" t="s">
        <v>3291</v>
      </c>
      <c r="D368" s="67" t="s">
        <v>3274</v>
      </c>
      <c r="E368" s="55"/>
      <c r="F368" s="64"/>
      <c r="G368" s="218"/>
      <c r="H368" s="217"/>
    </row>
    <row r="369" spans="1:9" x14ac:dyDescent="0.25">
      <c r="A369" s="64"/>
      <c r="B369" s="66"/>
      <c r="C369" s="66" t="s">
        <v>3292</v>
      </c>
      <c r="D369" s="67" t="s">
        <v>3275</v>
      </c>
      <c r="E369" s="55"/>
      <c r="F369" s="64"/>
      <c r="G369" s="218"/>
      <c r="H369" s="217"/>
    </row>
    <row r="370" spans="1:9" x14ac:dyDescent="0.25">
      <c r="A370" s="64"/>
      <c r="B370" s="66"/>
      <c r="C370" s="66" t="s">
        <v>3293</v>
      </c>
      <c r="D370" s="67" t="s">
        <v>3276</v>
      </c>
      <c r="E370" s="55"/>
      <c r="F370" s="64"/>
      <c r="G370" s="218"/>
      <c r="H370" s="217"/>
    </row>
    <row r="371" spans="1:9" x14ac:dyDescent="0.25">
      <c r="A371" s="64"/>
      <c r="B371" s="66"/>
      <c r="C371" s="66" t="s">
        <v>3294</v>
      </c>
      <c r="D371" s="67" t="s">
        <v>3277</v>
      </c>
      <c r="E371" s="55"/>
      <c r="F371" s="64"/>
      <c r="G371" s="218"/>
      <c r="H371" s="217"/>
    </row>
    <row r="372" spans="1:9" x14ac:dyDescent="0.25">
      <c r="A372" s="64"/>
      <c r="B372" s="66"/>
      <c r="C372" s="66" t="s">
        <v>3295</v>
      </c>
      <c r="D372" s="67" t="s">
        <v>3297</v>
      </c>
      <c r="E372" s="55"/>
      <c r="F372" s="64"/>
      <c r="G372" s="218"/>
      <c r="H372" s="217"/>
    </row>
    <row r="373" spans="1:9" x14ac:dyDescent="0.25">
      <c r="A373" s="61"/>
      <c r="B373" s="189"/>
      <c r="C373" s="66" t="s">
        <v>3296</v>
      </c>
      <c r="D373" s="67" t="s">
        <v>3554</v>
      </c>
      <c r="E373" s="55"/>
      <c r="F373" s="64"/>
      <c r="G373" s="218"/>
      <c r="H373" s="217"/>
    </row>
    <row r="374" spans="1:9" x14ac:dyDescent="0.25">
      <c r="A374" s="61"/>
      <c r="B374" s="189"/>
      <c r="C374" s="66" t="s">
        <v>3298</v>
      </c>
      <c r="D374" s="67" t="s">
        <v>3299</v>
      </c>
      <c r="E374" s="55"/>
      <c r="F374" s="64"/>
      <c r="G374" s="218"/>
      <c r="H374" s="217"/>
    </row>
    <row r="375" spans="1:9" x14ac:dyDescent="0.25">
      <c r="A375" s="64"/>
      <c r="B375" s="66"/>
      <c r="C375" s="66" t="s">
        <v>3301</v>
      </c>
      <c r="D375" s="51"/>
      <c r="E375" s="55" t="s">
        <v>3674</v>
      </c>
      <c r="F375" s="64">
        <f>SUM(F363:F374)</f>
        <v>0</v>
      </c>
      <c r="G375" s="218"/>
      <c r="H375" s="217">
        <f>SUM(G363:G373)</f>
        <v>0</v>
      </c>
      <c r="I375" s="269">
        <f>H375+H395</f>
        <v>0</v>
      </c>
    </row>
    <row r="376" spans="1:9" x14ac:dyDescent="0.25">
      <c r="A376" s="64"/>
      <c r="B376" s="66"/>
      <c r="C376" s="66"/>
      <c r="D376" s="51"/>
      <c r="E376" s="55"/>
      <c r="F376" s="64"/>
      <c r="G376" s="218"/>
      <c r="H376" s="217"/>
    </row>
    <row r="377" spans="1:9" x14ac:dyDescent="0.25">
      <c r="A377" s="61" t="s">
        <v>3567</v>
      </c>
      <c r="B377" s="189"/>
      <c r="C377" s="189" t="s">
        <v>3286</v>
      </c>
      <c r="D377" s="67" t="s">
        <v>3269</v>
      </c>
      <c r="E377" s="55"/>
      <c r="F377" s="64"/>
      <c r="G377" s="218"/>
      <c r="H377" s="217"/>
      <c r="I377" s="269"/>
    </row>
    <row r="378" spans="1:9" x14ac:dyDescent="0.25">
      <c r="A378" s="64"/>
      <c r="B378" s="66"/>
      <c r="C378" s="66" t="s">
        <v>3287</v>
      </c>
      <c r="D378" s="67" t="s">
        <v>3270</v>
      </c>
      <c r="E378" s="55"/>
      <c r="F378" s="64"/>
      <c r="G378" s="218"/>
      <c r="H378" s="217"/>
    </row>
    <row r="379" spans="1:9" x14ac:dyDescent="0.25">
      <c r="A379" s="64"/>
      <c r="B379" s="66"/>
      <c r="C379" s="66" t="s">
        <v>3288</v>
      </c>
      <c r="D379" s="67" t="s">
        <v>3271</v>
      </c>
      <c r="E379" s="55"/>
      <c r="F379" s="64"/>
      <c r="G379" s="218"/>
      <c r="H379" s="217"/>
    </row>
    <row r="380" spans="1:9" x14ac:dyDescent="0.25">
      <c r="A380" s="64"/>
      <c r="B380" s="66"/>
      <c r="C380" s="66" t="s">
        <v>3289</v>
      </c>
      <c r="D380" s="67" t="s">
        <v>3272</v>
      </c>
      <c r="E380" s="55"/>
      <c r="F380" s="64"/>
      <c r="G380" s="218"/>
      <c r="H380" s="217"/>
    </row>
    <row r="381" spans="1:9" x14ac:dyDescent="0.25">
      <c r="A381" s="64"/>
      <c r="B381" s="66"/>
      <c r="C381" s="66" t="s">
        <v>3290</v>
      </c>
      <c r="D381" s="67" t="s">
        <v>3273</v>
      </c>
      <c r="E381" s="55"/>
      <c r="F381" s="64"/>
      <c r="G381" s="218"/>
      <c r="H381" s="217"/>
    </row>
    <row r="382" spans="1:9" x14ac:dyDescent="0.25">
      <c r="A382" s="64"/>
      <c r="B382" s="66"/>
      <c r="C382" s="66" t="s">
        <v>3291</v>
      </c>
      <c r="D382" s="67" t="s">
        <v>3274</v>
      </c>
      <c r="E382" s="55"/>
      <c r="F382" s="64"/>
      <c r="G382" s="218"/>
      <c r="H382" s="217"/>
    </row>
    <row r="383" spans="1:9" x14ac:dyDescent="0.25">
      <c r="A383" s="64"/>
      <c r="B383" s="66"/>
      <c r="C383" s="66" t="s">
        <v>3292</v>
      </c>
      <c r="D383" s="67" t="s">
        <v>3275</v>
      </c>
      <c r="E383" s="55"/>
      <c r="F383" s="64"/>
      <c r="G383" s="218"/>
      <c r="H383" s="217"/>
    </row>
    <row r="384" spans="1:9" x14ac:dyDescent="0.25">
      <c r="A384" s="64"/>
      <c r="B384" s="66"/>
      <c r="C384" s="66" t="s">
        <v>3293</v>
      </c>
      <c r="D384" s="67" t="s">
        <v>3276</v>
      </c>
      <c r="E384" s="55"/>
      <c r="F384" s="64"/>
      <c r="G384" s="218"/>
      <c r="H384" s="217"/>
    </row>
    <row r="385" spans="1:9" x14ac:dyDescent="0.25">
      <c r="A385" s="64"/>
      <c r="B385" s="66"/>
      <c r="C385" s="66" t="s">
        <v>3294</v>
      </c>
      <c r="D385" s="67" t="s">
        <v>3277</v>
      </c>
      <c r="E385" s="55"/>
      <c r="F385" s="64"/>
      <c r="G385" s="218"/>
      <c r="H385" s="217"/>
    </row>
    <row r="386" spans="1:9" x14ac:dyDescent="0.25">
      <c r="A386" s="64"/>
      <c r="B386" s="66"/>
      <c r="C386" s="66" t="s">
        <v>3295</v>
      </c>
      <c r="D386" s="67" t="s">
        <v>3297</v>
      </c>
      <c r="E386" s="55"/>
      <c r="F386" s="64"/>
      <c r="G386" s="218"/>
      <c r="H386" s="217"/>
    </row>
    <row r="387" spans="1:9" x14ac:dyDescent="0.25">
      <c r="A387" s="61"/>
      <c r="B387" s="189"/>
      <c r="C387" s="66" t="s">
        <v>3296</v>
      </c>
      <c r="D387" s="67" t="s">
        <v>3554</v>
      </c>
      <c r="E387" s="55"/>
      <c r="F387" s="64"/>
      <c r="G387" s="218"/>
      <c r="H387" s="217"/>
    </row>
    <row r="388" spans="1:9" x14ac:dyDescent="0.25">
      <c r="A388" s="61"/>
      <c r="B388" s="189"/>
      <c r="C388" s="66" t="s">
        <v>3298</v>
      </c>
      <c r="D388" s="67" t="s">
        <v>3299</v>
      </c>
      <c r="E388" s="55"/>
      <c r="F388" s="64"/>
      <c r="G388" s="218"/>
      <c r="H388" s="217"/>
    </row>
    <row r="389" spans="1:9" x14ac:dyDescent="0.25">
      <c r="A389" s="64"/>
      <c r="B389" s="66"/>
      <c r="C389" s="66" t="s">
        <v>3301</v>
      </c>
      <c r="D389" s="51"/>
      <c r="E389" s="55" t="s">
        <v>3675</v>
      </c>
      <c r="F389" s="64">
        <f>SUM(F377:F388)</f>
        <v>0</v>
      </c>
      <c r="G389" s="218"/>
      <c r="H389" s="217">
        <f>SUM(G377:G387)</f>
        <v>0</v>
      </c>
      <c r="I389" s="269">
        <f>H389+H398</f>
        <v>0</v>
      </c>
    </row>
    <row r="390" spans="1:9" x14ac:dyDescent="0.25">
      <c r="A390" s="64"/>
      <c r="B390" s="66"/>
      <c r="C390" s="66"/>
      <c r="D390" s="51"/>
      <c r="E390" s="55"/>
      <c r="F390" s="64"/>
      <c r="G390" s="218"/>
      <c r="H390" s="217"/>
    </row>
    <row r="391" spans="1:9" x14ac:dyDescent="0.25">
      <c r="A391" s="61" t="str">
        <f>A349</f>
        <v>30 April</v>
      </c>
      <c r="B391" s="189"/>
      <c r="C391" s="189" t="s">
        <v>3300</v>
      </c>
      <c r="D391" s="51" t="s">
        <v>3232</v>
      </c>
      <c r="E391" s="55"/>
      <c r="F391" s="64">
        <f>F361</f>
        <v>0</v>
      </c>
      <c r="G391" s="218"/>
      <c r="H391" s="217"/>
    </row>
    <row r="392" spans="1:9" x14ac:dyDescent="0.25">
      <c r="A392" s="64"/>
      <c r="B392" s="66"/>
      <c r="C392" s="66" t="s">
        <v>3302</v>
      </c>
      <c r="D392" s="51"/>
      <c r="E392" s="55" t="s">
        <v>3233</v>
      </c>
      <c r="F392" s="64">
        <f>F391</f>
        <v>0</v>
      </c>
      <c r="G392" s="218"/>
      <c r="H392" s="217">
        <f>G391</f>
        <v>0</v>
      </c>
    </row>
    <row r="393" spans="1:9" x14ac:dyDescent="0.25">
      <c r="A393" s="64"/>
      <c r="B393" s="66"/>
      <c r="C393" s="66"/>
      <c r="D393" s="51"/>
      <c r="E393" s="55"/>
      <c r="F393" s="64"/>
      <c r="G393" s="218"/>
      <c r="H393" s="217"/>
      <c r="I393" s="269"/>
    </row>
    <row r="394" spans="1:9" x14ac:dyDescent="0.25">
      <c r="A394" s="64" t="str">
        <f>A391</f>
        <v>30 April</v>
      </c>
      <c r="B394" s="66"/>
      <c r="C394" s="189" t="s">
        <v>3300</v>
      </c>
      <c r="D394" s="51" t="s">
        <v>3676</v>
      </c>
      <c r="E394" s="55"/>
      <c r="F394" s="64">
        <f>F375</f>
        <v>0</v>
      </c>
      <c r="G394" s="218"/>
      <c r="H394" s="217"/>
      <c r="I394" s="269"/>
    </row>
    <row r="395" spans="1:9" x14ac:dyDescent="0.25">
      <c r="A395" s="64"/>
      <c r="B395" s="66"/>
      <c r="C395" s="66" t="s">
        <v>3302</v>
      </c>
      <c r="D395" s="51"/>
      <c r="E395" s="55" t="s">
        <v>3233</v>
      </c>
      <c r="F395" s="64"/>
      <c r="G395" s="218"/>
      <c r="H395" s="217">
        <f>G394</f>
        <v>0</v>
      </c>
    </row>
    <row r="396" spans="1:9" x14ac:dyDescent="0.25">
      <c r="A396" s="64"/>
      <c r="B396" s="66"/>
      <c r="C396" s="66"/>
      <c r="D396" s="51"/>
      <c r="E396" s="55"/>
      <c r="F396" s="64"/>
      <c r="G396" s="218"/>
      <c r="H396" s="217"/>
      <c r="I396" s="269"/>
    </row>
    <row r="397" spans="1:9" x14ac:dyDescent="0.25">
      <c r="A397" s="64" t="str">
        <f>A394</f>
        <v>30 April</v>
      </c>
      <c r="B397" s="66"/>
      <c r="C397" s="189" t="s">
        <v>3300</v>
      </c>
      <c r="D397" s="51" t="s">
        <v>3677</v>
      </c>
      <c r="E397" s="55"/>
      <c r="F397" s="64">
        <f>F389</f>
        <v>0</v>
      </c>
      <c r="G397" s="218"/>
      <c r="H397" s="217"/>
    </row>
    <row r="398" spans="1:9" x14ac:dyDescent="0.25">
      <c r="A398" s="64"/>
      <c r="B398" s="66"/>
      <c r="C398" s="66" t="s">
        <v>3302</v>
      </c>
      <c r="D398" s="51"/>
      <c r="E398" s="55" t="s">
        <v>3233</v>
      </c>
      <c r="F398" s="64"/>
      <c r="G398" s="218"/>
      <c r="H398" s="217">
        <f>G397</f>
        <v>0</v>
      </c>
    </row>
    <row r="399" spans="1:9" x14ac:dyDescent="0.25">
      <c r="A399" s="64"/>
      <c r="B399" s="66"/>
      <c r="C399" s="66"/>
      <c r="D399" s="51"/>
      <c r="E399" s="55"/>
      <c r="F399" s="64"/>
      <c r="G399" s="218"/>
      <c r="H399" s="217"/>
    </row>
    <row r="400" spans="1:9" x14ac:dyDescent="0.25">
      <c r="A400" s="654" t="s">
        <v>15</v>
      </c>
      <c r="B400" s="654"/>
      <c r="C400" s="654"/>
      <c r="D400" s="654"/>
      <c r="E400" s="654"/>
      <c r="F400" s="654"/>
      <c r="G400" s="228">
        <f>SUM(G340:G399)</f>
        <v>0</v>
      </c>
      <c r="H400" s="229">
        <f>SUM(H340:H399)</f>
        <v>0</v>
      </c>
    </row>
    <row r="401" spans="1:8" x14ac:dyDescent="0.25">
      <c r="A401" s="654" t="s">
        <v>3560</v>
      </c>
      <c r="B401" s="654"/>
      <c r="C401" s="654"/>
      <c r="D401" s="654"/>
      <c r="E401" s="654"/>
      <c r="F401" s="654"/>
      <c r="G401" s="228">
        <f>G265</f>
        <v>0</v>
      </c>
      <c r="H401" s="228">
        <f>H265</f>
        <v>0</v>
      </c>
    </row>
    <row r="402" spans="1:8" ht="15.75" thickBot="1" x14ac:dyDescent="0.3">
      <c r="A402" s="655" t="s">
        <v>3572</v>
      </c>
      <c r="B402" s="655"/>
      <c r="C402" s="655"/>
      <c r="D402" s="655"/>
      <c r="E402" s="655"/>
      <c r="F402" s="655"/>
      <c r="G402" s="224">
        <f>SUM(G400:G401)</f>
        <v>0</v>
      </c>
      <c r="H402" s="225">
        <f>SUM(H400:H401)</f>
        <v>0</v>
      </c>
    </row>
    <row r="403" spans="1:8" x14ac:dyDescent="0.25">
      <c r="A403" s="96"/>
      <c r="B403" s="96"/>
      <c r="C403" s="96"/>
      <c r="D403" s="96"/>
      <c r="E403" s="96"/>
      <c r="F403" s="96"/>
      <c r="G403" s="226"/>
      <c r="H403" s="226"/>
    </row>
    <row r="404" spans="1:8" x14ac:dyDescent="0.25">
      <c r="A404" s="96"/>
      <c r="B404" s="96"/>
      <c r="C404" s="96"/>
      <c r="D404" s="96"/>
      <c r="E404" s="96"/>
      <c r="F404" s="96"/>
      <c r="G404" s="226"/>
      <c r="H404" s="226"/>
    </row>
    <row r="405" spans="1:8" x14ac:dyDescent="0.25">
      <c r="A405" s="657"/>
      <c r="B405" s="657"/>
      <c r="C405" s="657"/>
      <c r="D405" s="657"/>
      <c r="E405" s="96"/>
      <c r="F405" s="657" t="s">
        <v>3537</v>
      </c>
      <c r="G405" s="657"/>
      <c r="H405" s="657"/>
    </row>
    <row r="406" spans="1:8" x14ac:dyDescent="0.25">
      <c r="A406" s="657"/>
      <c r="B406" s="657"/>
      <c r="C406" s="657"/>
      <c r="D406" s="657"/>
      <c r="E406" s="96"/>
      <c r="F406" s="657" t="s">
        <v>3804</v>
      </c>
      <c r="G406" s="657"/>
      <c r="H406" s="657"/>
    </row>
    <row r="407" spans="1:8" x14ac:dyDescent="0.25">
      <c r="A407" s="657"/>
      <c r="B407" s="657"/>
      <c r="C407" s="657"/>
      <c r="D407" s="657"/>
      <c r="E407" s="96"/>
      <c r="F407" s="657"/>
      <c r="G407" s="657"/>
      <c r="H407" s="657"/>
    </row>
    <row r="408" spans="1:8" x14ac:dyDescent="0.25">
      <c r="A408" s="657"/>
      <c r="B408" s="657"/>
      <c r="C408" s="657"/>
      <c r="D408" s="657"/>
      <c r="E408" s="96"/>
      <c r="F408" s="657"/>
      <c r="G408" s="657"/>
      <c r="H408" s="657"/>
    </row>
    <row r="409" spans="1:8" x14ac:dyDescent="0.25">
      <c r="A409" s="657"/>
      <c r="B409" s="657"/>
      <c r="C409" s="657"/>
      <c r="D409" s="657"/>
      <c r="E409" s="96"/>
      <c r="F409" s="657" t="s">
        <v>3548</v>
      </c>
      <c r="G409" s="657"/>
      <c r="H409" s="657"/>
    </row>
    <row r="410" spans="1:8" x14ac:dyDescent="0.25">
      <c r="A410" s="96"/>
      <c r="B410" s="96"/>
      <c r="C410" s="96"/>
      <c r="D410" s="96"/>
      <c r="E410" s="96"/>
      <c r="F410" s="96"/>
      <c r="G410" s="226"/>
      <c r="H410" s="226"/>
    </row>
    <row r="443" spans="1:8" x14ac:dyDescent="0.25">
      <c r="A443" s="50" t="s">
        <v>0</v>
      </c>
      <c r="B443" s="50"/>
      <c r="C443" s="50"/>
      <c r="D443" s="50"/>
      <c r="E443" s="9"/>
      <c r="F443" s="18"/>
      <c r="G443" s="219"/>
      <c r="H443" s="219"/>
    </row>
    <row r="444" spans="1:8" x14ac:dyDescent="0.25">
      <c r="A444" s="50" t="s">
        <v>1</v>
      </c>
      <c r="B444" s="50"/>
      <c r="C444" s="50"/>
      <c r="D444" s="50"/>
      <c r="E444" s="9"/>
      <c r="F444" s="18"/>
      <c r="G444" s="219"/>
      <c r="H444" s="219"/>
    </row>
    <row r="445" spans="1:8" x14ac:dyDescent="0.25">
      <c r="A445" s="50" t="s">
        <v>16</v>
      </c>
      <c r="B445" s="50"/>
      <c r="C445" s="50"/>
      <c r="D445" s="50"/>
      <c r="E445" s="9"/>
      <c r="F445" s="18"/>
      <c r="G445" s="219"/>
      <c r="H445" s="219"/>
    </row>
    <row r="446" spans="1:8" x14ac:dyDescent="0.25">
      <c r="A446" s="643" t="s">
        <v>117</v>
      </c>
      <c r="B446" s="643"/>
      <c r="C446" s="643"/>
      <c r="D446" s="643"/>
      <c r="E446" s="643"/>
      <c r="F446" s="643"/>
      <c r="G446" s="643"/>
      <c r="H446" s="643"/>
    </row>
    <row r="447" spans="1:8" x14ac:dyDescent="0.25">
      <c r="A447" s="643" t="s">
        <v>3795</v>
      </c>
      <c r="B447" s="643"/>
      <c r="C447" s="643"/>
      <c r="D447" s="643"/>
      <c r="E447" s="643"/>
      <c r="F447" s="643"/>
      <c r="G447" s="643"/>
      <c r="H447" s="643"/>
    </row>
    <row r="448" spans="1:8" ht="15.75" thickBot="1" x14ac:dyDescent="0.3">
      <c r="A448" s="1"/>
      <c r="B448" s="1"/>
      <c r="C448" s="1"/>
      <c r="D448" s="1"/>
      <c r="E448" s="1"/>
      <c r="F448" s="19"/>
      <c r="G448" s="178"/>
      <c r="H448" s="178"/>
    </row>
    <row r="449" spans="1:8" ht="22.5" customHeight="1" x14ac:dyDescent="0.25">
      <c r="A449" s="53" t="s">
        <v>12</v>
      </c>
      <c r="B449" s="192" t="s">
        <v>3283</v>
      </c>
      <c r="C449" s="193" t="s">
        <v>3285</v>
      </c>
      <c r="D449" s="652" t="s">
        <v>3282</v>
      </c>
      <c r="E449" s="653"/>
      <c r="F449" s="215" t="s">
        <v>3284</v>
      </c>
      <c r="G449" s="220" t="s">
        <v>57</v>
      </c>
      <c r="H449" s="221" t="s">
        <v>58</v>
      </c>
    </row>
    <row r="450" spans="1:8" x14ac:dyDescent="0.25">
      <c r="A450" s="56"/>
      <c r="B450" s="240"/>
      <c r="C450" s="194"/>
      <c r="D450" s="195"/>
      <c r="E450" s="191"/>
      <c r="F450" s="56"/>
      <c r="G450" s="222"/>
      <c r="H450" s="223"/>
    </row>
    <row r="451" spans="1:8" x14ac:dyDescent="0.25">
      <c r="A451" s="241" t="s">
        <v>4138</v>
      </c>
      <c r="B451" s="242"/>
      <c r="C451" s="243" t="s">
        <v>3303</v>
      </c>
      <c r="D451" s="244" t="s">
        <v>3305</v>
      </c>
      <c r="E451" s="245"/>
      <c r="F451" s="246"/>
      <c r="G451" s="247"/>
      <c r="H451" s="248"/>
    </row>
    <row r="452" spans="1:8" x14ac:dyDescent="0.25">
      <c r="A452" s="249"/>
      <c r="B452" s="242"/>
      <c r="C452" s="250" t="s">
        <v>3295</v>
      </c>
      <c r="D452" s="251"/>
      <c r="E452" s="245" t="s">
        <v>3297</v>
      </c>
      <c r="F452" s="246"/>
      <c r="G452" s="247"/>
      <c r="H452" s="248"/>
    </row>
    <row r="453" spans="1:8" x14ac:dyDescent="0.25">
      <c r="A453" s="249"/>
      <c r="B453" s="242"/>
      <c r="C453" s="250"/>
      <c r="D453" s="251"/>
      <c r="E453" s="252"/>
      <c r="F453" s="246"/>
      <c r="G453" s="247"/>
      <c r="H453" s="248"/>
    </row>
    <row r="454" spans="1:8" x14ac:dyDescent="0.25">
      <c r="A454" s="56"/>
      <c r="B454" s="240"/>
      <c r="C454" s="194"/>
      <c r="D454" s="194"/>
      <c r="E454" s="230"/>
      <c r="F454" s="240"/>
      <c r="G454" s="222"/>
      <c r="H454" s="223"/>
    </row>
    <row r="455" spans="1:8" x14ac:dyDescent="0.25">
      <c r="A455" s="61" t="s">
        <v>3570</v>
      </c>
      <c r="B455" s="189"/>
      <c r="C455" s="189" t="s">
        <v>3286</v>
      </c>
      <c r="D455" s="67" t="s">
        <v>3269</v>
      </c>
      <c r="E455" s="55"/>
      <c r="F455" s="240"/>
      <c r="G455" s="222"/>
      <c r="H455" s="217"/>
    </row>
    <row r="456" spans="1:8" x14ac:dyDescent="0.25">
      <c r="A456" s="64"/>
      <c r="B456" s="66"/>
      <c r="C456" s="66" t="s">
        <v>3287</v>
      </c>
      <c r="D456" s="67" t="s">
        <v>3270</v>
      </c>
      <c r="E456" s="55"/>
      <c r="F456" s="240"/>
      <c r="G456" s="222"/>
      <c r="H456" s="217"/>
    </row>
    <row r="457" spans="1:8" x14ac:dyDescent="0.25">
      <c r="A457" s="64"/>
      <c r="B457" s="66"/>
      <c r="C457" s="66" t="s">
        <v>3288</v>
      </c>
      <c r="D457" s="67" t="s">
        <v>3271</v>
      </c>
      <c r="E457" s="55"/>
      <c r="F457" s="240"/>
      <c r="G457" s="222"/>
      <c r="H457" s="217"/>
    </row>
    <row r="458" spans="1:8" x14ac:dyDescent="0.25">
      <c r="A458" s="64"/>
      <c r="B458" s="66"/>
      <c r="C458" s="66" t="s">
        <v>3289</v>
      </c>
      <c r="D458" s="67" t="s">
        <v>3272</v>
      </c>
      <c r="E458" s="55"/>
      <c r="F458" s="240"/>
      <c r="G458" s="222"/>
      <c r="H458" s="217"/>
    </row>
    <row r="459" spans="1:8" x14ac:dyDescent="0.25">
      <c r="A459" s="64"/>
      <c r="B459" s="66"/>
      <c r="C459" s="66" t="s">
        <v>3290</v>
      </c>
      <c r="D459" s="67" t="s">
        <v>3273</v>
      </c>
      <c r="E459" s="55"/>
      <c r="F459" s="240"/>
      <c r="G459" s="222"/>
      <c r="H459" s="217"/>
    </row>
    <row r="460" spans="1:8" x14ac:dyDescent="0.25">
      <c r="A460" s="64"/>
      <c r="B460" s="66"/>
      <c r="C460" s="66" t="s">
        <v>3291</v>
      </c>
      <c r="D460" s="67" t="s">
        <v>3274</v>
      </c>
      <c r="E460" s="55"/>
      <c r="F460" s="240"/>
      <c r="G460" s="222"/>
      <c r="H460" s="217"/>
    </row>
    <row r="461" spans="1:8" x14ac:dyDescent="0.25">
      <c r="A461" s="64"/>
      <c r="B461" s="66"/>
      <c r="C461" s="66" t="s">
        <v>3292</v>
      </c>
      <c r="D461" s="67" t="s">
        <v>3275</v>
      </c>
      <c r="E461" s="55"/>
      <c r="F461" s="240"/>
      <c r="G461" s="222"/>
      <c r="H461" s="217"/>
    </row>
    <row r="462" spans="1:8" x14ac:dyDescent="0.25">
      <c r="A462" s="64"/>
      <c r="B462" s="66"/>
      <c r="C462" s="66" t="s">
        <v>3293</v>
      </c>
      <c r="D462" s="67" t="s">
        <v>3276</v>
      </c>
      <c r="E462" s="55"/>
      <c r="F462" s="240"/>
      <c r="G462" s="222"/>
      <c r="H462" s="217"/>
    </row>
    <row r="463" spans="1:8" x14ac:dyDescent="0.25">
      <c r="A463" s="64"/>
      <c r="B463" s="66"/>
      <c r="C463" s="66" t="s">
        <v>3294</v>
      </c>
      <c r="D463" s="67" t="s">
        <v>3277</v>
      </c>
      <c r="E463" s="55"/>
      <c r="F463" s="240"/>
      <c r="G463" s="222"/>
      <c r="H463" s="217"/>
    </row>
    <row r="464" spans="1:8" x14ac:dyDescent="0.25">
      <c r="A464" s="64"/>
      <c r="B464" s="66"/>
      <c r="C464" s="66" t="s">
        <v>3295</v>
      </c>
      <c r="D464" s="67" t="s">
        <v>3297</v>
      </c>
      <c r="E464" s="55"/>
      <c r="F464" s="240"/>
      <c r="G464" s="222"/>
      <c r="H464" s="217"/>
    </row>
    <row r="465" spans="1:9" x14ac:dyDescent="0.25">
      <c r="A465" s="61"/>
      <c r="B465" s="189"/>
      <c r="C465" s="66" t="s">
        <v>3296</v>
      </c>
      <c r="D465" s="67" t="s">
        <v>3554</v>
      </c>
      <c r="E465" s="55"/>
      <c r="F465" s="240"/>
      <c r="G465" s="222"/>
      <c r="H465" s="217"/>
    </row>
    <row r="466" spans="1:9" x14ac:dyDescent="0.25">
      <c r="A466" s="61"/>
      <c r="B466" s="189"/>
      <c r="C466" s="66" t="s">
        <v>3298</v>
      </c>
      <c r="D466" s="67" t="s">
        <v>3299</v>
      </c>
      <c r="E466" s="55"/>
      <c r="F466" s="64"/>
      <c r="G466" s="218"/>
      <c r="H466" s="217"/>
    </row>
    <row r="467" spans="1:9" x14ac:dyDescent="0.25">
      <c r="A467" s="64"/>
      <c r="B467" s="66"/>
      <c r="C467" s="66" t="s">
        <v>3301</v>
      </c>
      <c r="D467" s="51"/>
      <c r="E467" s="55" t="s">
        <v>3304</v>
      </c>
      <c r="F467" s="64">
        <f>SUM(F455:F466)</f>
        <v>0</v>
      </c>
      <c r="G467" s="218"/>
      <c r="H467" s="217">
        <f>SUM(G455:G465)</f>
        <v>0</v>
      </c>
      <c r="I467" s="269">
        <f>H467+H498</f>
        <v>0</v>
      </c>
    </row>
    <row r="468" spans="1:9" x14ac:dyDescent="0.25">
      <c r="A468" s="64"/>
      <c r="B468" s="66"/>
      <c r="C468" s="66"/>
      <c r="D468" s="51"/>
      <c r="E468" s="55"/>
      <c r="F468" s="64"/>
      <c r="G468" s="218"/>
      <c r="H468" s="217"/>
    </row>
    <row r="469" spans="1:9" x14ac:dyDescent="0.25">
      <c r="A469" s="61" t="str">
        <f>A455</f>
        <v>31 Mei</v>
      </c>
      <c r="B469" s="189"/>
      <c r="C469" s="189" t="s">
        <v>3286</v>
      </c>
      <c r="D469" s="67" t="s">
        <v>3269</v>
      </c>
      <c r="E469" s="55"/>
      <c r="F469" s="19"/>
      <c r="G469" s="216"/>
      <c r="H469" s="217"/>
    </row>
    <row r="470" spans="1:9" x14ac:dyDescent="0.25">
      <c r="A470" s="64"/>
      <c r="B470" s="66"/>
      <c r="C470" s="66" t="s">
        <v>3287</v>
      </c>
      <c r="D470" s="67" t="s">
        <v>3270</v>
      </c>
      <c r="E470" s="55"/>
      <c r="F470" s="64"/>
      <c r="G470" s="218"/>
      <c r="H470" s="217"/>
    </row>
    <row r="471" spans="1:9" x14ac:dyDescent="0.25">
      <c r="A471" s="64"/>
      <c r="B471" s="66"/>
      <c r="C471" s="66" t="s">
        <v>3288</v>
      </c>
      <c r="D471" s="67" t="s">
        <v>3271</v>
      </c>
      <c r="E471" s="55"/>
      <c r="F471" s="64"/>
      <c r="G471" s="218"/>
      <c r="H471" s="217"/>
    </row>
    <row r="472" spans="1:9" x14ac:dyDescent="0.25">
      <c r="A472" s="64"/>
      <c r="B472" s="66"/>
      <c r="C472" s="66" t="s">
        <v>3289</v>
      </c>
      <c r="D472" s="67" t="s">
        <v>3272</v>
      </c>
      <c r="E472" s="55"/>
      <c r="F472" s="64"/>
      <c r="G472" s="218"/>
      <c r="H472" s="217"/>
    </row>
    <row r="473" spans="1:9" x14ac:dyDescent="0.25">
      <c r="A473" s="64"/>
      <c r="B473" s="66"/>
      <c r="C473" s="66" t="s">
        <v>3290</v>
      </c>
      <c r="D473" s="67" t="s">
        <v>3273</v>
      </c>
      <c r="E473" s="55"/>
      <c r="F473" s="64"/>
      <c r="G473" s="218"/>
      <c r="H473" s="217"/>
    </row>
    <row r="474" spans="1:9" x14ac:dyDescent="0.25">
      <c r="A474" s="64"/>
      <c r="B474" s="66"/>
      <c r="C474" s="66" t="s">
        <v>3291</v>
      </c>
      <c r="D474" s="67" t="s">
        <v>3274</v>
      </c>
      <c r="E474" s="55"/>
      <c r="F474" s="64"/>
      <c r="G474" s="218"/>
      <c r="H474" s="217"/>
    </row>
    <row r="475" spans="1:9" x14ac:dyDescent="0.25">
      <c r="A475" s="64"/>
      <c r="B475" s="66"/>
      <c r="C475" s="66" t="s">
        <v>3292</v>
      </c>
      <c r="D475" s="67" t="s">
        <v>3275</v>
      </c>
      <c r="E475" s="55"/>
      <c r="F475" s="64"/>
      <c r="G475" s="218"/>
      <c r="H475" s="217"/>
    </row>
    <row r="476" spans="1:9" x14ac:dyDescent="0.25">
      <c r="A476" s="64"/>
      <c r="B476" s="66"/>
      <c r="C476" s="66" t="s">
        <v>3293</v>
      </c>
      <c r="D476" s="67" t="s">
        <v>3276</v>
      </c>
      <c r="E476" s="55"/>
      <c r="F476" s="64"/>
      <c r="G476" s="218"/>
      <c r="H476" s="217"/>
    </row>
    <row r="477" spans="1:9" x14ac:dyDescent="0.25">
      <c r="A477" s="64"/>
      <c r="B477" s="66"/>
      <c r="C477" s="66" t="s">
        <v>3294</v>
      </c>
      <c r="D477" s="67" t="s">
        <v>3277</v>
      </c>
      <c r="E477" s="55"/>
      <c r="F477" s="64"/>
      <c r="G477" s="218"/>
      <c r="H477" s="217"/>
    </row>
    <row r="478" spans="1:9" x14ac:dyDescent="0.25">
      <c r="A478" s="64"/>
      <c r="B478" s="66"/>
      <c r="C478" s="66" t="s">
        <v>3295</v>
      </c>
      <c r="D478" s="67" t="s">
        <v>3297</v>
      </c>
      <c r="E478" s="55"/>
      <c r="F478" s="64"/>
      <c r="G478" s="218"/>
      <c r="H478" s="217"/>
    </row>
    <row r="479" spans="1:9" x14ac:dyDescent="0.25">
      <c r="A479" s="61"/>
      <c r="B479" s="189"/>
      <c r="C479" s="66" t="s">
        <v>3296</v>
      </c>
      <c r="D479" s="67" t="s">
        <v>3554</v>
      </c>
      <c r="E479" s="55"/>
      <c r="F479" s="64"/>
      <c r="G479" s="218"/>
      <c r="H479" s="217"/>
    </row>
    <row r="480" spans="1:9" x14ac:dyDescent="0.25">
      <c r="A480" s="61"/>
      <c r="B480" s="189"/>
      <c r="C480" s="66" t="s">
        <v>3298</v>
      </c>
      <c r="D480" s="67" t="s">
        <v>3299</v>
      </c>
      <c r="E480" s="55"/>
      <c r="F480" s="64"/>
      <c r="G480" s="218"/>
      <c r="H480" s="217"/>
    </row>
    <row r="481" spans="1:9" x14ac:dyDescent="0.25">
      <c r="A481" s="64"/>
      <c r="B481" s="66"/>
      <c r="C481" s="66" t="s">
        <v>3301</v>
      </c>
      <c r="D481" s="51"/>
      <c r="E481" s="55" t="s">
        <v>3674</v>
      </c>
      <c r="F481" s="64">
        <f>SUM(F469:F480)</f>
        <v>0</v>
      </c>
      <c r="G481" s="218"/>
      <c r="H481" s="217">
        <f>SUM(G469:G479)</f>
        <v>0</v>
      </c>
      <c r="I481" s="269">
        <f>H481+H501</f>
        <v>0</v>
      </c>
    </row>
    <row r="482" spans="1:9" x14ac:dyDescent="0.25">
      <c r="A482" s="64"/>
      <c r="B482" s="66"/>
      <c r="C482" s="66"/>
      <c r="D482" s="51"/>
      <c r="E482" s="55"/>
      <c r="F482" s="64"/>
      <c r="G482" s="218"/>
      <c r="H482" s="217"/>
    </row>
    <row r="483" spans="1:9" x14ac:dyDescent="0.25">
      <c r="A483" s="61" t="str">
        <f>A469</f>
        <v>31 Mei</v>
      </c>
      <c r="B483" s="189"/>
      <c r="C483" s="189" t="s">
        <v>3286</v>
      </c>
      <c r="D483" s="67" t="s">
        <v>3269</v>
      </c>
      <c r="E483" s="55"/>
      <c r="F483" s="19"/>
      <c r="G483" s="218"/>
      <c r="H483" s="217"/>
    </row>
    <row r="484" spans="1:9" x14ac:dyDescent="0.25">
      <c r="A484" s="64"/>
      <c r="B484" s="66"/>
      <c r="C484" s="66" t="s">
        <v>3287</v>
      </c>
      <c r="D484" s="67" t="s">
        <v>3270</v>
      </c>
      <c r="E484" s="55"/>
      <c r="F484" s="64"/>
      <c r="G484" s="218"/>
      <c r="H484" s="217"/>
    </row>
    <row r="485" spans="1:9" x14ac:dyDescent="0.25">
      <c r="A485" s="64"/>
      <c r="B485" s="66"/>
      <c r="C485" s="66" t="s">
        <v>3288</v>
      </c>
      <c r="D485" s="67" t="s">
        <v>3271</v>
      </c>
      <c r="E485" s="55"/>
      <c r="F485" s="64"/>
      <c r="G485" s="218"/>
      <c r="H485" s="217"/>
    </row>
    <row r="486" spans="1:9" x14ac:dyDescent="0.25">
      <c r="A486" s="64"/>
      <c r="B486" s="66"/>
      <c r="C486" s="66" t="s">
        <v>3289</v>
      </c>
      <c r="D486" s="67" t="s">
        <v>3272</v>
      </c>
      <c r="E486" s="55"/>
      <c r="F486" s="64"/>
      <c r="G486" s="218"/>
      <c r="H486" s="217"/>
      <c r="I486" s="269"/>
    </row>
    <row r="487" spans="1:9" x14ac:dyDescent="0.25">
      <c r="A487" s="64"/>
      <c r="B487" s="66"/>
      <c r="C487" s="66" t="s">
        <v>3290</v>
      </c>
      <c r="D487" s="67" t="s">
        <v>3273</v>
      </c>
      <c r="E487" s="55"/>
      <c r="F487" s="64"/>
      <c r="G487" s="218"/>
      <c r="H487" s="217"/>
    </row>
    <row r="488" spans="1:9" x14ac:dyDescent="0.25">
      <c r="A488" s="64"/>
      <c r="B488" s="66"/>
      <c r="C488" s="66" t="s">
        <v>3291</v>
      </c>
      <c r="D488" s="67" t="s">
        <v>3274</v>
      </c>
      <c r="E488" s="55"/>
      <c r="F488" s="64"/>
      <c r="G488" s="218"/>
      <c r="H488" s="217"/>
    </row>
    <row r="489" spans="1:9" x14ac:dyDescent="0.25">
      <c r="A489" s="64"/>
      <c r="B489" s="66"/>
      <c r="C489" s="66" t="s">
        <v>3292</v>
      </c>
      <c r="D489" s="67" t="s">
        <v>3275</v>
      </c>
      <c r="E489" s="55"/>
      <c r="F489" s="64"/>
      <c r="G489" s="218"/>
      <c r="H489" s="217"/>
    </row>
    <row r="490" spans="1:9" x14ac:dyDescent="0.25">
      <c r="A490" s="64"/>
      <c r="B490" s="66"/>
      <c r="C490" s="66" t="s">
        <v>3293</v>
      </c>
      <c r="D490" s="67" t="s">
        <v>3276</v>
      </c>
      <c r="E490" s="55"/>
      <c r="F490" s="64"/>
      <c r="G490" s="218"/>
      <c r="H490" s="217"/>
    </row>
    <row r="491" spans="1:9" x14ac:dyDescent="0.25">
      <c r="A491" s="64"/>
      <c r="B491" s="66"/>
      <c r="C491" s="66" t="s">
        <v>3294</v>
      </c>
      <c r="D491" s="67" t="s">
        <v>3277</v>
      </c>
      <c r="E491" s="55"/>
      <c r="F491" s="64"/>
      <c r="G491" s="218"/>
      <c r="H491" s="217"/>
    </row>
    <row r="492" spans="1:9" x14ac:dyDescent="0.25">
      <c r="A492" s="64"/>
      <c r="B492" s="66"/>
      <c r="C492" s="66" t="s">
        <v>3295</v>
      </c>
      <c r="D492" s="67" t="s">
        <v>3297</v>
      </c>
      <c r="E492" s="55"/>
      <c r="F492" s="64"/>
      <c r="G492" s="218"/>
      <c r="H492" s="217"/>
    </row>
    <row r="493" spans="1:9" x14ac:dyDescent="0.25">
      <c r="A493" s="61"/>
      <c r="B493" s="189"/>
      <c r="C493" s="66" t="s">
        <v>3296</v>
      </c>
      <c r="D493" s="67" t="s">
        <v>3554</v>
      </c>
      <c r="E493" s="55"/>
      <c r="F493" s="64"/>
      <c r="G493" s="218"/>
      <c r="H493" s="217"/>
      <c r="I493" s="269"/>
    </row>
    <row r="494" spans="1:9" x14ac:dyDescent="0.25">
      <c r="A494" s="61"/>
      <c r="B494" s="189"/>
      <c r="C494" s="66" t="s">
        <v>3298</v>
      </c>
      <c r="D494" s="67" t="s">
        <v>3299</v>
      </c>
      <c r="E494" s="55"/>
      <c r="F494" s="64"/>
      <c r="G494" s="218"/>
      <c r="H494" s="217"/>
    </row>
    <row r="495" spans="1:9" x14ac:dyDescent="0.25">
      <c r="A495" s="64"/>
      <c r="B495" s="66"/>
      <c r="C495" s="66" t="s">
        <v>3301</v>
      </c>
      <c r="D495" s="51"/>
      <c r="E495" s="55" t="s">
        <v>3675</v>
      </c>
      <c r="F495" s="64">
        <f>SUM(F483:F494)</f>
        <v>0</v>
      </c>
      <c r="G495" s="218"/>
      <c r="H495" s="217">
        <f>SUM(G483:G493)</f>
        <v>0</v>
      </c>
      <c r="I495" s="269">
        <f>H495+H504</f>
        <v>0</v>
      </c>
    </row>
    <row r="496" spans="1:9" x14ac:dyDescent="0.25">
      <c r="A496" s="64"/>
      <c r="B496" s="66"/>
      <c r="C496" s="66"/>
      <c r="D496" s="51"/>
      <c r="E496" s="55"/>
      <c r="F496" s="64"/>
      <c r="G496" s="218"/>
      <c r="H496" s="217"/>
      <c r="I496" s="269"/>
    </row>
    <row r="497" spans="1:9" x14ac:dyDescent="0.25">
      <c r="A497" s="61" t="str">
        <f>A455</f>
        <v>31 Mei</v>
      </c>
      <c r="B497" s="189"/>
      <c r="C497" s="189" t="s">
        <v>3300</v>
      </c>
      <c r="D497" s="51" t="s">
        <v>3232</v>
      </c>
      <c r="E497" s="55"/>
      <c r="F497" s="64">
        <f>F467</f>
        <v>0</v>
      </c>
      <c r="G497" s="218"/>
      <c r="H497" s="217"/>
    </row>
    <row r="498" spans="1:9" x14ac:dyDescent="0.25">
      <c r="A498" s="64"/>
      <c r="B498" s="66"/>
      <c r="C498" s="66" t="s">
        <v>3302</v>
      </c>
      <c r="D498" s="51"/>
      <c r="E498" s="55" t="s">
        <v>3233</v>
      </c>
      <c r="F498" s="64">
        <f>F497</f>
        <v>0</v>
      </c>
      <c r="G498" s="218"/>
      <c r="H498" s="217">
        <f>G497</f>
        <v>0</v>
      </c>
    </row>
    <row r="499" spans="1:9" x14ac:dyDescent="0.25">
      <c r="A499" s="64"/>
      <c r="B499" s="66"/>
      <c r="C499" s="66"/>
      <c r="D499" s="51"/>
      <c r="E499" s="55"/>
      <c r="F499" s="64"/>
      <c r="G499" s="218"/>
      <c r="H499" s="217"/>
    </row>
    <row r="500" spans="1:9" x14ac:dyDescent="0.25">
      <c r="A500" s="64" t="str">
        <f>A497</f>
        <v>31 Mei</v>
      </c>
      <c r="B500" s="66"/>
      <c r="C500" s="189" t="s">
        <v>3300</v>
      </c>
      <c r="D500" s="51" t="s">
        <v>3676</v>
      </c>
      <c r="E500" s="55"/>
      <c r="F500" s="64">
        <f>F481</f>
        <v>0</v>
      </c>
      <c r="G500" s="218"/>
      <c r="H500" s="217"/>
      <c r="I500" s="269"/>
    </row>
    <row r="501" spans="1:9" x14ac:dyDescent="0.25">
      <c r="A501" s="64"/>
      <c r="B501" s="66"/>
      <c r="C501" s="66" t="s">
        <v>3302</v>
      </c>
      <c r="D501" s="51"/>
      <c r="E501" s="55" t="s">
        <v>3233</v>
      </c>
      <c r="F501" s="64"/>
      <c r="G501" s="218"/>
      <c r="H501" s="217">
        <f>G500</f>
        <v>0</v>
      </c>
    </row>
    <row r="502" spans="1:9" x14ac:dyDescent="0.25">
      <c r="A502" s="64"/>
      <c r="B502" s="66"/>
      <c r="C502" s="66"/>
      <c r="D502" s="51"/>
      <c r="E502" s="55"/>
      <c r="F502" s="64"/>
      <c r="G502" s="218"/>
      <c r="H502" s="217"/>
    </row>
    <row r="503" spans="1:9" x14ac:dyDescent="0.25">
      <c r="A503" s="64" t="str">
        <f>A500</f>
        <v>31 Mei</v>
      </c>
      <c r="B503" s="66"/>
      <c r="C503" s="189" t="s">
        <v>3300</v>
      </c>
      <c r="D503" s="51" t="s">
        <v>3677</v>
      </c>
      <c r="E503" s="55"/>
      <c r="F503" s="64">
        <f>F495</f>
        <v>0</v>
      </c>
      <c r="G503" s="218"/>
      <c r="H503" s="217"/>
    </row>
    <row r="504" spans="1:9" ht="22.5" customHeight="1" x14ac:dyDescent="0.25">
      <c r="A504" s="64"/>
      <c r="B504" s="66"/>
      <c r="C504" s="66" t="s">
        <v>3302</v>
      </c>
      <c r="D504" s="51"/>
      <c r="E504" s="55" t="s">
        <v>3233</v>
      </c>
      <c r="F504" s="64"/>
      <c r="G504" s="218"/>
      <c r="H504" s="217">
        <f>G503</f>
        <v>0</v>
      </c>
    </row>
    <row r="505" spans="1:9" x14ac:dyDescent="0.25">
      <c r="A505" s="64"/>
      <c r="B505" s="66"/>
      <c r="C505" s="66"/>
      <c r="D505" s="51"/>
      <c r="E505" s="55"/>
      <c r="F505" s="64"/>
      <c r="G505" s="218"/>
      <c r="H505" s="217"/>
    </row>
    <row r="506" spans="1:9" x14ac:dyDescent="0.25">
      <c r="A506" s="654" t="s">
        <v>15</v>
      </c>
      <c r="B506" s="654"/>
      <c r="C506" s="654"/>
      <c r="D506" s="654"/>
      <c r="E506" s="654"/>
      <c r="F506" s="654"/>
      <c r="G506" s="228">
        <f>SUM(G451:G505)</f>
        <v>0</v>
      </c>
      <c r="H506" s="229">
        <f>SUM(H451:H505)</f>
        <v>0</v>
      </c>
    </row>
    <row r="507" spans="1:9" x14ac:dyDescent="0.25">
      <c r="A507" s="654" t="s">
        <v>3560</v>
      </c>
      <c r="B507" s="654"/>
      <c r="C507" s="654"/>
      <c r="D507" s="654"/>
      <c r="E507" s="654"/>
      <c r="F507" s="654"/>
      <c r="G507" s="228">
        <f>G402</f>
        <v>0</v>
      </c>
      <c r="H507" s="228">
        <f>H402</f>
        <v>0</v>
      </c>
    </row>
    <row r="508" spans="1:9" ht="15.75" thickBot="1" x14ac:dyDescent="0.3">
      <c r="A508" s="655" t="s">
        <v>3721</v>
      </c>
      <c r="B508" s="655"/>
      <c r="C508" s="655"/>
      <c r="D508" s="655"/>
      <c r="E508" s="655"/>
      <c r="F508" s="655"/>
      <c r="G508" s="224">
        <f>SUM(G506:G507)</f>
        <v>0</v>
      </c>
      <c r="H508" s="225">
        <f>SUM(H506:H507)</f>
        <v>0</v>
      </c>
    </row>
    <row r="509" spans="1:9" x14ac:dyDescent="0.25">
      <c r="A509" s="96"/>
      <c r="B509" s="96"/>
      <c r="C509" s="96"/>
      <c r="D509" s="96"/>
      <c r="E509" s="96"/>
      <c r="F509" s="96"/>
      <c r="G509" s="226"/>
      <c r="H509" s="226"/>
    </row>
    <row r="510" spans="1:9" x14ac:dyDescent="0.25">
      <c r="A510" s="96"/>
      <c r="B510" s="96"/>
      <c r="C510" s="96"/>
      <c r="D510" s="96"/>
      <c r="E510" s="96"/>
      <c r="F510" s="96"/>
      <c r="G510" s="226"/>
      <c r="H510" s="226"/>
    </row>
    <row r="511" spans="1:9" x14ac:dyDescent="0.25">
      <c r="A511" s="657"/>
      <c r="B511" s="657"/>
      <c r="C511" s="657"/>
      <c r="D511" s="657"/>
      <c r="E511" s="96"/>
      <c r="F511" s="657" t="s">
        <v>3537</v>
      </c>
      <c r="G511" s="657"/>
      <c r="H511" s="657"/>
    </row>
    <row r="512" spans="1:9" x14ac:dyDescent="0.25">
      <c r="A512" s="657"/>
      <c r="B512" s="657"/>
      <c r="C512" s="657"/>
      <c r="D512" s="657"/>
      <c r="E512" s="96"/>
      <c r="F512" s="657" t="s">
        <v>3804</v>
      </c>
      <c r="G512" s="657"/>
      <c r="H512" s="657"/>
    </row>
    <row r="513" spans="1:8" x14ac:dyDescent="0.25">
      <c r="A513" s="657"/>
      <c r="B513" s="657"/>
      <c r="C513" s="657"/>
      <c r="D513" s="657"/>
      <c r="E513" s="96"/>
      <c r="F513" s="657"/>
      <c r="G513" s="657"/>
      <c r="H513" s="657"/>
    </row>
    <row r="514" spans="1:8" x14ac:dyDescent="0.25">
      <c r="A514" s="657"/>
      <c r="B514" s="657"/>
      <c r="C514" s="657"/>
      <c r="D514" s="657"/>
      <c r="E514" s="96"/>
      <c r="F514" s="657"/>
      <c r="G514" s="657"/>
      <c r="H514" s="657"/>
    </row>
    <row r="515" spans="1:8" x14ac:dyDescent="0.25">
      <c r="A515" s="657"/>
      <c r="B515" s="657"/>
      <c r="C515" s="657"/>
      <c r="D515" s="657"/>
      <c r="E515" s="96"/>
      <c r="F515" s="657" t="s">
        <v>3548</v>
      </c>
      <c r="G515" s="657"/>
      <c r="H515" s="657"/>
    </row>
    <row r="516" spans="1:8" x14ac:dyDescent="0.25">
      <c r="A516" s="96"/>
      <c r="B516" s="96"/>
      <c r="C516" s="96"/>
      <c r="D516" s="96"/>
      <c r="E516" s="96"/>
      <c r="F516" s="96"/>
      <c r="G516" s="226"/>
      <c r="H516" s="226"/>
    </row>
    <row r="519" spans="1:8" x14ac:dyDescent="0.25">
      <c r="G519" s="276"/>
      <c r="H519" s="276"/>
    </row>
    <row r="520" spans="1:8" x14ac:dyDescent="0.25">
      <c r="G520" s="276"/>
      <c r="H520" s="276"/>
    </row>
    <row r="521" spans="1:8" x14ac:dyDescent="0.25">
      <c r="G521" s="276"/>
      <c r="H521" s="276"/>
    </row>
    <row r="522" spans="1:8" x14ac:dyDescent="0.25">
      <c r="A522" s="277"/>
      <c r="B522" s="277"/>
      <c r="C522" s="277"/>
      <c r="D522" s="21"/>
      <c r="E522" s="196"/>
      <c r="F522" s="277"/>
      <c r="G522" s="278"/>
      <c r="H522" s="278"/>
    </row>
    <row r="523" spans="1:8" x14ac:dyDescent="0.25">
      <c r="A523" s="277"/>
      <c r="B523" s="277"/>
      <c r="C523" s="277"/>
      <c r="D523" s="21"/>
      <c r="E523" s="196"/>
      <c r="F523" s="277"/>
      <c r="G523" s="278"/>
      <c r="H523" s="278"/>
    </row>
    <row r="524" spans="1:8" x14ac:dyDescent="0.25">
      <c r="A524" s="91"/>
      <c r="B524" s="91"/>
      <c r="C524" s="91"/>
      <c r="D524" s="21"/>
      <c r="E524" s="196"/>
      <c r="F524" s="277"/>
      <c r="G524" s="278"/>
      <c r="H524" s="278"/>
    </row>
    <row r="525" spans="1:8" x14ac:dyDescent="0.25">
      <c r="A525" s="277"/>
      <c r="B525" s="277"/>
      <c r="C525" s="277"/>
      <c r="D525" s="21"/>
      <c r="E525" s="196"/>
      <c r="F525" s="277"/>
      <c r="G525" s="278"/>
      <c r="H525" s="278"/>
    </row>
    <row r="526" spans="1:8" x14ac:dyDescent="0.25">
      <c r="A526" s="277"/>
      <c r="B526" s="277"/>
      <c r="C526" s="277"/>
      <c r="D526" s="21"/>
      <c r="E526" s="196"/>
      <c r="F526" s="277"/>
      <c r="G526" s="278"/>
      <c r="H526" s="278"/>
    </row>
    <row r="527" spans="1:8" x14ac:dyDescent="0.25">
      <c r="A527" s="656"/>
      <c r="B527" s="656"/>
      <c r="C527" s="656"/>
      <c r="D527" s="656"/>
      <c r="E527" s="656"/>
      <c r="F527" s="656"/>
      <c r="G527" s="226"/>
      <c r="H527" s="226"/>
    </row>
    <row r="528" spans="1:8" x14ac:dyDescent="0.25">
      <c r="A528" s="656"/>
      <c r="B528" s="656"/>
      <c r="C528" s="656"/>
      <c r="D528" s="656"/>
      <c r="E528" s="656"/>
      <c r="F528" s="656"/>
      <c r="G528" s="226"/>
      <c r="H528" s="226"/>
    </row>
    <row r="529" spans="1:8" x14ac:dyDescent="0.25">
      <c r="A529" s="656"/>
      <c r="B529" s="656"/>
      <c r="C529" s="656"/>
      <c r="D529" s="656"/>
      <c r="E529" s="656"/>
      <c r="F529" s="656"/>
      <c r="G529" s="226"/>
      <c r="H529" s="226"/>
    </row>
    <row r="530" spans="1:8" x14ac:dyDescent="0.25">
      <c r="A530" s="96"/>
      <c r="B530" s="96"/>
      <c r="C530" s="96"/>
      <c r="D530" s="96"/>
      <c r="E530" s="96"/>
      <c r="F530" s="96"/>
      <c r="G530" s="226"/>
      <c r="H530" s="226"/>
    </row>
    <row r="531" spans="1:8" x14ac:dyDescent="0.25">
      <c r="A531" s="96"/>
      <c r="B531" s="96"/>
      <c r="C531" s="96"/>
      <c r="D531" s="96"/>
      <c r="E531" s="96"/>
      <c r="F531" s="96"/>
      <c r="G531" s="226"/>
      <c r="H531" s="226"/>
    </row>
    <row r="532" spans="1:8" x14ac:dyDescent="0.25">
      <c r="A532" s="657"/>
      <c r="B532" s="657"/>
      <c r="C532" s="657"/>
      <c r="D532" s="657"/>
      <c r="E532" s="96"/>
      <c r="F532" s="657"/>
      <c r="G532" s="657"/>
      <c r="H532" s="657"/>
    </row>
    <row r="533" spans="1:8" x14ac:dyDescent="0.25">
      <c r="A533" s="657"/>
      <c r="B533" s="657"/>
      <c r="C533" s="657"/>
      <c r="D533" s="657"/>
      <c r="E533" s="96"/>
      <c r="F533" s="657"/>
      <c r="G533" s="657"/>
      <c r="H533" s="657"/>
    </row>
    <row r="534" spans="1:8" x14ac:dyDescent="0.25">
      <c r="A534" s="657"/>
      <c r="B534" s="657"/>
      <c r="C534" s="657"/>
      <c r="D534" s="657"/>
      <c r="E534" s="96"/>
      <c r="F534" s="657"/>
      <c r="G534" s="657"/>
      <c r="H534" s="657"/>
    </row>
    <row r="535" spans="1:8" x14ac:dyDescent="0.25">
      <c r="A535" s="657"/>
      <c r="B535" s="657"/>
      <c r="C535" s="657"/>
      <c r="D535" s="657"/>
      <c r="E535" s="96"/>
      <c r="F535" s="657"/>
      <c r="G535" s="657"/>
      <c r="H535" s="657"/>
    </row>
    <row r="536" spans="1:8" x14ac:dyDescent="0.25">
      <c r="A536" s="657"/>
      <c r="B536" s="657"/>
      <c r="C536" s="657"/>
      <c r="D536" s="657"/>
      <c r="E536" s="96"/>
      <c r="F536" s="657"/>
      <c r="G536" s="657"/>
      <c r="H536" s="657"/>
    </row>
    <row r="537" spans="1:8" x14ac:dyDescent="0.25">
      <c r="A537" s="96"/>
      <c r="B537" s="96"/>
      <c r="C537" s="96"/>
      <c r="D537" s="96"/>
      <c r="E537" s="96"/>
      <c r="F537" s="96"/>
      <c r="G537" s="226"/>
      <c r="H537" s="226"/>
    </row>
    <row r="553" spans="1:8" x14ac:dyDescent="0.25">
      <c r="A553" s="50" t="s">
        <v>0</v>
      </c>
      <c r="B553" s="50"/>
      <c r="C553" s="50"/>
      <c r="D553" s="50"/>
      <c r="E553" s="9"/>
      <c r="F553" s="18"/>
      <c r="G553" s="219"/>
      <c r="H553" s="219"/>
    </row>
    <row r="554" spans="1:8" x14ac:dyDescent="0.25">
      <c r="A554" s="50" t="s">
        <v>1</v>
      </c>
      <c r="B554" s="50"/>
      <c r="C554" s="50"/>
      <c r="D554" s="50"/>
      <c r="E554" s="9"/>
      <c r="F554" s="18"/>
      <c r="G554" s="219"/>
      <c r="H554" s="219"/>
    </row>
    <row r="555" spans="1:8" x14ac:dyDescent="0.25">
      <c r="A555" s="50" t="s">
        <v>16</v>
      </c>
      <c r="B555" s="50"/>
      <c r="C555" s="50"/>
      <c r="D555" s="50"/>
      <c r="E555" s="9"/>
      <c r="F555" s="18"/>
      <c r="G555" s="219"/>
      <c r="H555" s="219"/>
    </row>
    <row r="556" spans="1:8" x14ac:dyDescent="0.25">
      <c r="A556" s="643" t="s">
        <v>117</v>
      </c>
      <c r="B556" s="643"/>
      <c r="C556" s="643"/>
      <c r="D556" s="643"/>
      <c r="E556" s="643"/>
      <c r="F556" s="643"/>
      <c r="G556" s="643"/>
      <c r="H556" s="643"/>
    </row>
    <row r="557" spans="1:8" x14ac:dyDescent="0.25">
      <c r="A557" s="643" t="s">
        <v>3798</v>
      </c>
      <c r="B557" s="643"/>
      <c r="C557" s="643"/>
      <c r="D557" s="643"/>
      <c r="E557" s="643"/>
      <c r="F557" s="643"/>
      <c r="G557" s="643"/>
      <c r="H557" s="643"/>
    </row>
    <row r="558" spans="1:8" ht="15.75" thickBot="1" x14ac:dyDescent="0.3">
      <c r="A558" s="1"/>
      <c r="B558" s="1"/>
      <c r="C558" s="1"/>
      <c r="D558" s="1"/>
      <c r="E558" s="1"/>
      <c r="F558" s="19"/>
      <c r="G558" s="178"/>
      <c r="H558" s="178"/>
    </row>
    <row r="559" spans="1:8" ht="22.5" customHeight="1" x14ac:dyDescent="0.25">
      <c r="A559" s="53" t="s">
        <v>12</v>
      </c>
      <c r="B559" s="192" t="s">
        <v>3283</v>
      </c>
      <c r="C559" s="193" t="s">
        <v>3285</v>
      </c>
      <c r="D559" s="652" t="s">
        <v>3282</v>
      </c>
      <c r="E559" s="653"/>
      <c r="F559" s="215" t="s">
        <v>3284</v>
      </c>
      <c r="G559" s="220" t="s">
        <v>57</v>
      </c>
      <c r="H559" s="221" t="s">
        <v>58</v>
      </c>
    </row>
    <row r="560" spans="1:8" x14ac:dyDescent="0.25">
      <c r="A560" s="56"/>
      <c r="B560" s="240"/>
      <c r="C560" s="194"/>
      <c r="D560" s="195"/>
      <c r="E560" s="191"/>
      <c r="F560" s="56"/>
      <c r="G560" s="222"/>
      <c r="H560" s="223"/>
    </row>
    <row r="561" spans="1:9" x14ac:dyDescent="0.25">
      <c r="A561" s="241" t="s">
        <v>3730</v>
      </c>
      <c r="B561" s="242"/>
      <c r="C561" s="243" t="s">
        <v>3303</v>
      </c>
      <c r="D561" s="244" t="s">
        <v>3305</v>
      </c>
      <c r="E561" s="245"/>
      <c r="F561" s="246"/>
      <c r="G561" s="247">
        <f>SUM(H562:H563)</f>
        <v>0</v>
      </c>
      <c r="H561" s="248"/>
    </row>
    <row r="562" spans="1:9" x14ac:dyDescent="0.25">
      <c r="A562" s="249"/>
      <c r="B562" s="242"/>
      <c r="C562" s="250" t="s">
        <v>3291</v>
      </c>
      <c r="D562" s="251"/>
      <c r="E562" s="252" t="s">
        <v>3274</v>
      </c>
      <c r="F562" s="246"/>
      <c r="G562" s="247"/>
      <c r="H562" s="248"/>
    </row>
    <row r="563" spans="1:9" x14ac:dyDescent="0.25">
      <c r="A563" s="249"/>
      <c r="B563" s="242"/>
      <c r="C563" s="250" t="s">
        <v>3295</v>
      </c>
      <c r="D563" s="261"/>
      <c r="E563" s="245" t="s">
        <v>3297</v>
      </c>
      <c r="F563" s="262"/>
      <c r="G563" s="247"/>
      <c r="H563" s="248"/>
    </row>
    <row r="564" spans="1:9" x14ac:dyDescent="0.25">
      <c r="A564" s="249"/>
      <c r="B564" s="242"/>
      <c r="C564" s="250"/>
      <c r="D564" s="261"/>
      <c r="E564" s="245"/>
      <c r="F564" s="262"/>
      <c r="G564" s="247"/>
      <c r="H564" s="248"/>
    </row>
    <row r="565" spans="1:9" x14ac:dyDescent="0.25">
      <c r="A565" s="249"/>
      <c r="B565" s="242"/>
      <c r="C565" s="250" t="s">
        <v>3292</v>
      </c>
      <c r="D565" s="261" t="s">
        <v>3275</v>
      </c>
      <c r="E565" s="245"/>
      <c r="F565" s="262"/>
      <c r="G565" s="247">
        <f>H566</f>
        <v>0</v>
      </c>
      <c r="H565" s="248"/>
      <c r="I565" s="269"/>
    </row>
    <row r="566" spans="1:9" x14ac:dyDescent="0.25">
      <c r="A566" s="249"/>
      <c r="B566" s="242"/>
      <c r="C566" s="243" t="s">
        <v>3303</v>
      </c>
      <c r="D566" s="261"/>
      <c r="E566" s="314" t="s">
        <v>3305</v>
      </c>
      <c r="F566" s="246"/>
      <c r="G566" s="247"/>
      <c r="H566" s="248"/>
    </row>
    <row r="567" spans="1:9" x14ac:dyDescent="0.25">
      <c r="A567" s="56"/>
      <c r="B567" s="240"/>
      <c r="C567" s="194"/>
      <c r="D567" s="194"/>
      <c r="E567" s="230"/>
      <c r="F567" s="240"/>
      <c r="G567" s="222"/>
      <c r="H567" s="223"/>
    </row>
    <row r="568" spans="1:9" x14ac:dyDescent="0.25">
      <c r="A568" s="61" t="s">
        <v>3686</v>
      </c>
      <c r="B568" s="189"/>
      <c r="C568" s="189" t="s">
        <v>3286</v>
      </c>
      <c r="D568" s="67" t="s">
        <v>3269</v>
      </c>
      <c r="E568" s="55"/>
      <c r="F568" s="240"/>
      <c r="G568" s="222"/>
      <c r="H568" s="217"/>
    </row>
    <row r="569" spans="1:9" x14ac:dyDescent="0.25">
      <c r="A569" s="64"/>
      <c r="B569" s="66"/>
      <c r="C569" s="66" t="s">
        <v>3287</v>
      </c>
      <c r="D569" s="67" t="s">
        <v>3270</v>
      </c>
      <c r="E569" s="55"/>
      <c r="F569" s="240"/>
      <c r="G569" s="222"/>
      <c r="H569" s="217"/>
    </row>
    <row r="570" spans="1:9" x14ac:dyDescent="0.25">
      <c r="A570" s="64"/>
      <c r="B570" s="66"/>
      <c r="C570" s="66" t="s">
        <v>3288</v>
      </c>
      <c r="D570" s="67" t="s">
        <v>3271</v>
      </c>
      <c r="E570" s="55"/>
      <c r="F570" s="240"/>
      <c r="G570" s="222"/>
      <c r="H570" s="217"/>
    </row>
    <row r="571" spans="1:9" x14ac:dyDescent="0.25">
      <c r="A571" s="64"/>
      <c r="B571" s="66"/>
      <c r="C571" s="66" t="s">
        <v>3289</v>
      </c>
      <c r="D571" s="67" t="s">
        <v>3272</v>
      </c>
      <c r="E571" s="55"/>
      <c r="F571" s="240"/>
      <c r="G571" s="222"/>
      <c r="H571" s="217"/>
    </row>
    <row r="572" spans="1:9" x14ac:dyDescent="0.25">
      <c r="A572" s="64"/>
      <c r="B572" s="66"/>
      <c r="C572" s="66" t="s">
        <v>3290</v>
      </c>
      <c r="D572" s="67" t="s">
        <v>3273</v>
      </c>
      <c r="E572" s="55"/>
      <c r="F572" s="240"/>
      <c r="G572" s="222"/>
      <c r="H572" s="217"/>
    </row>
    <row r="573" spans="1:9" x14ac:dyDescent="0.25">
      <c r="A573" s="64"/>
      <c r="B573" s="66"/>
      <c r="C573" s="66" t="s">
        <v>3291</v>
      </c>
      <c r="D573" s="67" t="s">
        <v>3274</v>
      </c>
      <c r="E573" s="55"/>
      <c r="F573" s="240"/>
      <c r="G573" s="222"/>
      <c r="H573" s="217"/>
    </row>
    <row r="574" spans="1:9" x14ac:dyDescent="0.25">
      <c r="A574" s="64"/>
      <c r="B574" s="66"/>
      <c r="C574" s="66" t="s">
        <v>3292</v>
      </c>
      <c r="D574" s="67" t="s">
        <v>3275</v>
      </c>
      <c r="E574" s="55"/>
      <c r="F574" s="240"/>
      <c r="G574" s="222"/>
      <c r="H574" s="217"/>
    </row>
    <row r="575" spans="1:9" x14ac:dyDescent="0.25">
      <c r="A575" s="64"/>
      <c r="B575" s="66"/>
      <c r="C575" s="66" t="s">
        <v>3293</v>
      </c>
      <c r="D575" s="67" t="s">
        <v>3276</v>
      </c>
      <c r="E575" s="55"/>
      <c r="F575" s="240"/>
      <c r="G575" s="222"/>
      <c r="H575" s="217"/>
    </row>
    <row r="576" spans="1:9" x14ac:dyDescent="0.25">
      <c r="A576" s="64"/>
      <c r="B576" s="66"/>
      <c r="C576" s="66" t="s">
        <v>3294</v>
      </c>
      <c r="D576" s="67" t="s">
        <v>3277</v>
      </c>
      <c r="E576" s="55"/>
      <c r="F576" s="240"/>
      <c r="G576" s="222"/>
      <c r="H576" s="217"/>
    </row>
    <row r="577" spans="1:9" x14ac:dyDescent="0.25">
      <c r="A577" s="64"/>
      <c r="B577" s="66"/>
      <c r="C577" s="66" t="s">
        <v>3295</v>
      </c>
      <c r="D577" s="67" t="s">
        <v>3297</v>
      </c>
      <c r="E577" s="55"/>
      <c r="F577" s="240"/>
      <c r="G577" s="222"/>
      <c r="H577" s="217"/>
    </row>
    <row r="578" spans="1:9" x14ac:dyDescent="0.25">
      <c r="A578" s="61"/>
      <c r="B578" s="189"/>
      <c r="C578" s="66" t="s">
        <v>3296</v>
      </c>
      <c r="D578" s="67" t="s">
        <v>3554</v>
      </c>
      <c r="E578" s="55"/>
      <c r="F578" s="240"/>
      <c r="G578" s="222"/>
      <c r="H578" s="217"/>
    </row>
    <row r="579" spans="1:9" x14ac:dyDescent="0.25">
      <c r="A579" s="61"/>
      <c r="B579" s="189"/>
      <c r="C579" s="66" t="s">
        <v>3298</v>
      </c>
      <c r="D579" s="67" t="s">
        <v>3299</v>
      </c>
      <c r="E579" s="55"/>
      <c r="F579" s="64"/>
      <c r="G579" s="222"/>
      <c r="H579" s="217"/>
    </row>
    <row r="580" spans="1:9" x14ac:dyDescent="0.25">
      <c r="A580" s="64"/>
      <c r="B580" s="66"/>
      <c r="C580" s="66" t="s">
        <v>3301</v>
      </c>
      <c r="D580" s="51"/>
      <c r="E580" s="55" t="s">
        <v>3304</v>
      </c>
      <c r="F580" s="64">
        <f>SUM(F568:F579)</f>
        <v>0</v>
      </c>
      <c r="G580" s="222"/>
      <c r="H580" s="217">
        <f>SUM(G568:G578)</f>
        <v>0</v>
      </c>
      <c r="I580" s="269"/>
    </row>
    <row r="581" spans="1:9" x14ac:dyDescent="0.25">
      <c r="A581" s="64"/>
      <c r="B581" s="66"/>
      <c r="C581" s="66"/>
      <c r="D581" s="51"/>
      <c r="E581" s="55"/>
      <c r="F581" s="64"/>
      <c r="G581" s="222"/>
      <c r="H581" s="217"/>
    </row>
    <row r="582" spans="1:9" x14ac:dyDescent="0.25">
      <c r="A582" s="61" t="str">
        <f>A568</f>
        <v>30 JUNI</v>
      </c>
      <c r="B582" s="189"/>
      <c r="C582" s="189" t="s">
        <v>3286</v>
      </c>
      <c r="D582" s="67" t="s">
        <v>3269</v>
      </c>
      <c r="E582" s="55"/>
      <c r="F582" s="19"/>
      <c r="G582" s="222"/>
      <c r="H582" s="217"/>
    </row>
    <row r="583" spans="1:9" x14ac:dyDescent="0.25">
      <c r="A583" s="64"/>
      <c r="B583" s="66"/>
      <c r="C583" s="66" t="s">
        <v>3287</v>
      </c>
      <c r="D583" s="67" t="s">
        <v>3270</v>
      </c>
      <c r="E583" s="55"/>
      <c r="F583" s="64"/>
      <c r="G583" s="222"/>
      <c r="H583" s="217"/>
    </row>
    <row r="584" spans="1:9" x14ac:dyDescent="0.25">
      <c r="A584" s="64"/>
      <c r="B584" s="66"/>
      <c r="C584" s="66" t="s">
        <v>3288</v>
      </c>
      <c r="D584" s="67" t="s">
        <v>3271</v>
      </c>
      <c r="E584" s="55"/>
      <c r="F584" s="64"/>
      <c r="G584" s="222"/>
      <c r="H584" s="217"/>
    </row>
    <row r="585" spans="1:9" x14ac:dyDescent="0.25">
      <c r="A585" s="64"/>
      <c r="B585" s="66"/>
      <c r="C585" s="66" t="s">
        <v>3289</v>
      </c>
      <c r="D585" s="67" t="s">
        <v>3272</v>
      </c>
      <c r="E585" s="55"/>
      <c r="F585" s="64"/>
      <c r="G585" s="222"/>
      <c r="H585" s="217"/>
    </row>
    <row r="586" spans="1:9" x14ac:dyDescent="0.25">
      <c r="A586" s="64"/>
      <c r="B586" s="66"/>
      <c r="C586" s="66" t="s">
        <v>3290</v>
      </c>
      <c r="D586" s="67" t="s">
        <v>3273</v>
      </c>
      <c r="E586" s="55"/>
      <c r="F586" s="64"/>
      <c r="G586" s="222"/>
      <c r="H586" s="217"/>
    </row>
    <row r="587" spans="1:9" x14ac:dyDescent="0.25">
      <c r="A587" s="64"/>
      <c r="B587" s="66"/>
      <c r="C587" s="66" t="s">
        <v>3291</v>
      </c>
      <c r="D587" s="67" t="s">
        <v>3274</v>
      </c>
      <c r="E587" s="55"/>
      <c r="F587" s="64"/>
      <c r="G587" s="222"/>
      <c r="H587" s="217"/>
    </row>
    <row r="588" spans="1:9" x14ac:dyDescent="0.25">
      <c r="A588" s="64"/>
      <c r="B588" s="66"/>
      <c r="C588" s="66" t="s">
        <v>3292</v>
      </c>
      <c r="D588" s="67" t="s">
        <v>3275</v>
      </c>
      <c r="E588" s="55"/>
      <c r="F588" s="64"/>
      <c r="G588" s="222"/>
      <c r="H588" s="217"/>
    </row>
    <row r="589" spans="1:9" x14ac:dyDescent="0.25">
      <c r="A589" s="64"/>
      <c r="B589" s="66"/>
      <c r="C589" s="66" t="s">
        <v>3293</v>
      </c>
      <c r="D589" s="67" t="s">
        <v>3276</v>
      </c>
      <c r="E589" s="55"/>
      <c r="F589" s="64"/>
      <c r="G589" s="222"/>
      <c r="H589" s="217"/>
    </row>
    <row r="590" spans="1:9" x14ac:dyDescent="0.25">
      <c r="A590" s="64"/>
      <c r="B590" s="66"/>
      <c r="C590" s="66" t="s">
        <v>3294</v>
      </c>
      <c r="D590" s="67" t="s">
        <v>3277</v>
      </c>
      <c r="E590" s="55"/>
      <c r="F590" s="64"/>
      <c r="G590" s="222"/>
      <c r="H590" s="217"/>
    </row>
    <row r="591" spans="1:9" x14ac:dyDescent="0.25">
      <c r="A591" s="64"/>
      <c r="B591" s="66"/>
      <c r="C591" s="66" t="s">
        <v>3295</v>
      </c>
      <c r="D591" s="67" t="s">
        <v>3297</v>
      </c>
      <c r="E591" s="55"/>
      <c r="F591" s="64"/>
      <c r="G591" s="222"/>
      <c r="H591" s="217"/>
    </row>
    <row r="592" spans="1:9" x14ac:dyDescent="0.25">
      <c r="A592" s="61"/>
      <c r="B592" s="189"/>
      <c r="C592" s="66" t="s">
        <v>3296</v>
      </c>
      <c r="D592" s="67" t="s">
        <v>3554</v>
      </c>
      <c r="E592" s="55"/>
      <c r="F592" s="64"/>
      <c r="G592" s="222"/>
      <c r="H592" s="217"/>
    </row>
    <row r="593" spans="1:9" x14ac:dyDescent="0.25">
      <c r="A593" s="61"/>
      <c r="B593" s="189"/>
      <c r="C593" s="66" t="s">
        <v>3298</v>
      </c>
      <c r="D593" s="67" t="s">
        <v>3299</v>
      </c>
      <c r="E593" s="55"/>
      <c r="F593" s="64"/>
      <c r="G593" s="222"/>
      <c r="H593" s="217"/>
    </row>
    <row r="594" spans="1:9" x14ac:dyDescent="0.25">
      <c r="A594" s="64"/>
      <c r="B594" s="66"/>
      <c r="C594" s="66" t="s">
        <v>3301</v>
      </c>
      <c r="D594" s="51"/>
      <c r="E594" s="55" t="s">
        <v>3674</v>
      </c>
      <c r="F594" s="64">
        <f>SUM(F582:F593)</f>
        <v>0</v>
      </c>
      <c r="G594" s="222"/>
      <c r="H594" s="217">
        <f>SUM(G582:G592)</f>
        <v>0</v>
      </c>
      <c r="I594" s="269"/>
    </row>
    <row r="595" spans="1:9" x14ac:dyDescent="0.25">
      <c r="A595" s="64"/>
      <c r="B595" s="66"/>
      <c r="C595" s="66"/>
      <c r="D595" s="51"/>
      <c r="E595" s="55"/>
      <c r="F595" s="64"/>
      <c r="G595" s="222"/>
      <c r="H595" s="217"/>
    </row>
    <row r="596" spans="1:9" x14ac:dyDescent="0.25">
      <c r="A596" s="61" t="str">
        <f>A582</f>
        <v>30 JUNI</v>
      </c>
      <c r="B596" s="189"/>
      <c r="C596" s="189" t="s">
        <v>3286</v>
      </c>
      <c r="D596" s="67" t="s">
        <v>3269</v>
      </c>
      <c r="E596" s="55"/>
      <c r="F596" s="64"/>
      <c r="G596" s="222"/>
      <c r="H596" s="217"/>
    </row>
    <row r="597" spans="1:9" x14ac:dyDescent="0.25">
      <c r="A597" s="64"/>
      <c r="B597" s="66"/>
      <c r="C597" s="66" t="s">
        <v>3287</v>
      </c>
      <c r="D597" s="67" t="s">
        <v>3270</v>
      </c>
      <c r="E597" s="55"/>
      <c r="F597" s="64"/>
      <c r="G597" s="222"/>
      <c r="H597" s="217"/>
    </row>
    <row r="598" spans="1:9" x14ac:dyDescent="0.25">
      <c r="A598" s="64"/>
      <c r="B598" s="66"/>
      <c r="C598" s="66" t="s">
        <v>3288</v>
      </c>
      <c r="D598" s="67" t="s">
        <v>3271</v>
      </c>
      <c r="E598" s="55"/>
      <c r="F598" s="64"/>
      <c r="G598" s="222"/>
      <c r="H598" s="217"/>
    </row>
    <row r="599" spans="1:9" x14ac:dyDescent="0.25">
      <c r="A599" s="64"/>
      <c r="B599" s="66"/>
      <c r="C599" s="66" t="s">
        <v>3289</v>
      </c>
      <c r="D599" s="67" t="s">
        <v>3272</v>
      </c>
      <c r="E599" s="55"/>
      <c r="F599" s="64"/>
      <c r="G599" s="222"/>
      <c r="H599" s="217"/>
    </row>
    <row r="600" spans="1:9" x14ac:dyDescent="0.25">
      <c r="A600" s="64"/>
      <c r="B600" s="66"/>
      <c r="C600" s="66" t="s">
        <v>3290</v>
      </c>
      <c r="D600" s="67" t="s">
        <v>3273</v>
      </c>
      <c r="E600" s="55"/>
      <c r="F600" s="64"/>
      <c r="G600" s="222"/>
      <c r="H600" s="217"/>
    </row>
    <row r="601" spans="1:9" x14ac:dyDescent="0.25">
      <c r="A601" s="64"/>
      <c r="B601" s="66"/>
      <c r="C601" s="66" t="s">
        <v>3291</v>
      </c>
      <c r="D601" s="67" t="s">
        <v>3274</v>
      </c>
      <c r="E601" s="55"/>
      <c r="F601" s="64"/>
      <c r="G601" s="222"/>
      <c r="H601" s="217"/>
    </row>
    <row r="602" spans="1:9" x14ac:dyDescent="0.25">
      <c r="A602" s="64"/>
      <c r="B602" s="66"/>
      <c r="C602" s="66" t="s">
        <v>3292</v>
      </c>
      <c r="D602" s="67" t="s">
        <v>3275</v>
      </c>
      <c r="E602" s="55"/>
      <c r="F602" s="64"/>
      <c r="G602" s="222"/>
      <c r="H602" s="217"/>
    </row>
    <row r="603" spans="1:9" x14ac:dyDescent="0.25">
      <c r="A603" s="64"/>
      <c r="B603" s="66"/>
      <c r="C603" s="66" t="s">
        <v>3293</v>
      </c>
      <c r="D603" s="67" t="s">
        <v>3276</v>
      </c>
      <c r="E603" s="55"/>
      <c r="F603" s="64"/>
      <c r="G603" s="222"/>
      <c r="H603" s="217"/>
    </row>
    <row r="604" spans="1:9" x14ac:dyDescent="0.25">
      <c r="A604" s="64"/>
      <c r="B604" s="66"/>
      <c r="C604" s="66" t="s">
        <v>3294</v>
      </c>
      <c r="D604" s="67" t="s">
        <v>3277</v>
      </c>
      <c r="E604" s="55"/>
      <c r="F604" s="64"/>
      <c r="G604" s="222"/>
      <c r="H604" s="217"/>
    </row>
    <row r="605" spans="1:9" x14ac:dyDescent="0.25">
      <c r="A605" s="64"/>
      <c r="B605" s="66"/>
      <c r="C605" s="66" t="s">
        <v>3295</v>
      </c>
      <c r="D605" s="67" t="s">
        <v>3297</v>
      </c>
      <c r="E605" s="55"/>
      <c r="F605" s="64"/>
      <c r="G605" s="222"/>
      <c r="H605" s="217"/>
    </row>
    <row r="606" spans="1:9" x14ac:dyDescent="0.25">
      <c r="A606" s="61"/>
      <c r="B606" s="189"/>
      <c r="C606" s="66" t="s">
        <v>3296</v>
      </c>
      <c r="D606" s="67" t="s">
        <v>3554</v>
      </c>
      <c r="E606" s="55"/>
      <c r="F606" s="64"/>
      <c r="G606" s="222"/>
      <c r="H606" s="217"/>
    </row>
    <row r="607" spans="1:9" x14ac:dyDescent="0.25">
      <c r="A607" s="61"/>
      <c r="B607" s="189"/>
      <c r="C607" s="66" t="s">
        <v>3298</v>
      </c>
      <c r="D607" s="67" t="s">
        <v>3299</v>
      </c>
      <c r="E607" s="55"/>
      <c r="F607" s="64"/>
      <c r="G607" s="222"/>
      <c r="H607" s="217"/>
      <c r="I607" s="269"/>
    </row>
    <row r="608" spans="1:9" x14ac:dyDescent="0.25">
      <c r="A608" s="64"/>
      <c r="B608" s="66"/>
      <c r="C608" s="66" t="s">
        <v>3301</v>
      </c>
      <c r="D608" s="51"/>
      <c r="E608" s="55" t="s">
        <v>3675</v>
      </c>
      <c r="F608" s="64">
        <f>SUM(F596:F607)</f>
        <v>0</v>
      </c>
      <c r="G608" s="222"/>
      <c r="H608" s="217">
        <f>SUM(G596:G606)</f>
        <v>0</v>
      </c>
      <c r="I608" s="269"/>
    </row>
    <row r="609" spans="1:13" x14ac:dyDescent="0.25">
      <c r="A609" s="64"/>
      <c r="B609" s="66"/>
      <c r="C609" s="66"/>
      <c r="D609" s="51"/>
      <c r="E609" s="55"/>
      <c r="F609" s="64"/>
      <c r="G609" s="222"/>
      <c r="H609" s="217"/>
      <c r="I609" s="269"/>
    </row>
    <row r="610" spans="1:13" x14ac:dyDescent="0.25">
      <c r="A610" s="61" t="str">
        <f>A568</f>
        <v>30 JUNI</v>
      </c>
      <c r="B610" s="189"/>
      <c r="C610" s="189" t="s">
        <v>3300</v>
      </c>
      <c r="D610" s="51" t="s">
        <v>3232</v>
      </c>
      <c r="E610" s="55"/>
      <c r="F610" s="64">
        <f>F580</f>
        <v>0</v>
      </c>
      <c r="G610" s="222"/>
      <c r="H610" s="217"/>
    </row>
    <row r="611" spans="1:13" x14ac:dyDescent="0.25">
      <c r="A611" s="64"/>
      <c r="B611" s="66"/>
      <c r="C611" s="66" t="s">
        <v>3302</v>
      </c>
      <c r="D611" s="51"/>
      <c r="E611" s="55" t="s">
        <v>3233</v>
      </c>
      <c r="F611" s="64">
        <f>F610</f>
        <v>0</v>
      </c>
      <c r="G611" s="222"/>
      <c r="H611" s="217">
        <f>G610</f>
        <v>0</v>
      </c>
    </row>
    <row r="612" spans="1:13" x14ac:dyDescent="0.25">
      <c r="A612" s="64"/>
      <c r="B612" s="66"/>
      <c r="C612" s="66"/>
      <c r="D612" s="51"/>
      <c r="E612" s="55"/>
      <c r="F612" s="64"/>
      <c r="G612" s="222"/>
      <c r="H612" s="217"/>
    </row>
    <row r="613" spans="1:13" x14ac:dyDescent="0.25">
      <c r="A613" s="64" t="str">
        <f>A610</f>
        <v>30 JUNI</v>
      </c>
      <c r="B613" s="66"/>
      <c r="C613" s="189" t="s">
        <v>3300</v>
      </c>
      <c r="D613" s="51" t="s">
        <v>3676</v>
      </c>
      <c r="E613" s="55"/>
      <c r="F613" s="64">
        <f>F594</f>
        <v>0</v>
      </c>
      <c r="G613" s="222"/>
      <c r="H613" s="217"/>
    </row>
    <row r="614" spans="1:13" x14ac:dyDescent="0.25">
      <c r="A614" s="64"/>
      <c r="B614" s="66"/>
      <c r="C614" s="66" t="s">
        <v>3302</v>
      </c>
      <c r="D614" s="51"/>
      <c r="E614" s="55" t="s">
        <v>3233</v>
      </c>
      <c r="F614" s="64"/>
      <c r="G614" s="222"/>
      <c r="H614" s="217">
        <f>G613</f>
        <v>0</v>
      </c>
    </row>
    <row r="615" spans="1:13" x14ac:dyDescent="0.25">
      <c r="A615" s="64"/>
      <c r="B615" s="66"/>
      <c r="C615" s="66"/>
      <c r="D615" s="51"/>
      <c r="E615" s="55"/>
      <c r="F615" s="64"/>
      <c r="G615" s="222"/>
      <c r="H615" s="217"/>
    </row>
    <row r="616" spans="1:13" x14ac:dyDescent="0.25">
      <c r="A616" s="64" t="str">
        <f>A613</f>
        <v>30 JUNI</v>
      </c>
      <c r="B616" s="66"/>
      <c r="C616" s="189" t="s">
        <v>3300</v>
      </c>
      <c r="D616" s="51" t="s">
        <v>3677</v>
      </c>
      <c r="E616" s="55"/>
      <c r="F616" s="64">
        <f>F608</f>
        <v>0</v>
      </c>
      <c r="G616" s="222"/>
      <c r="H616" s="217"/>
    </row>
    <row r="617" spans="1:13" ht="22.5" customHeight="1" x14ac:dyDescent="0.25">
      <c r="A617" s="64"/>
      <c r="B617" s="66"/>
      <c r="C617" s="66" t="s">
        <v>3302</v>
      </c>
      <c r="D617" s="51"/>
      <c r="E617" s="55" t="s">
        <v>3233</v>
      </c>
      <c r="F617" s="64"/>
      <c r="G617" s="218"/>
      <c r="H617" s="217">
        <f>G616</f>
        <v>0</v>
      </c>
    </row>
    <row r="618" spans="1:13" x14ac:dyDescent="0.25">
      <c r="A618" s="64"/>
      <c r="B618" s="66"/>
      <c r="C618" s="66"/>
      <c r="D618" s="51"/>
      <c r="E618" s="55"/>
      <c r="F618" s="64"/>
      <c r="G618" s="218"/>
      <c r="H618" s="217"/>
    </row>
    <row r="619" spans="1:13" x14ac:dyDescent="0.25">
      <c r="A619" s="654" t="s">
        <v>15</v>
      </c>
      <c r="B619" s="654"/>
      <c r="C619" s="654"/>
      <c r="D619" s="654"/>
      <c r="E619" s="654"/>
      <c r="F619" s="654"/>
      <c r="G619" s="228">
        <f>SUM(G561:G618)</f>
        <v>0</v>
      </c>
      <c r="H619" s="229">
        <f>SUM(H561:H618)</f>
        <v>0</v>
      </c>
    </row>
    <row r="620" spans="1:13" x14ac:dyDescent="0.25">
      <c r="A620" s="654" t="s">
        <v>3560</v>
      </c>
      <c r="B620" s="654"/>
      <c r="C620" s="654"/>
      <c r="D620" s="654"/>
      <c r="E620" s="654"/>
      <c r="F620" s="654"/>
      <c r="G620" s="228">
        <f>G508</f>
        <v>0</v>
      </c>
      <c r="H620" s="228">
        <f>H508</f>
        <v>0</v>
      </c>
      <c r="J620" s="253"/>
      <c r="K620" s="253"/>
      <c r="L620" s="253"/>
      <c r="M620" s="253"/>
    </row>
    <row r="621" spans="1:13" ht="15.75" thickBot="1" x14ac:dyDescent="0.3">
      <c r="A621" s="655" t="s">
        <v>3720</v>
      </c>
      <c r="B621" s="655"/>
      <c r="C621" s="655"/>
      <c r="D621" s="655"/>
      <c r="E621" s="655"/>
      <c r="F621" s="655"/>
      <c r="G621" s="224">
        <f>SUM(G619:G620)</f>
        <v>0</v>
      </c>
      <c r="H621" s="225">
        <f>SUM(H619:H620)</f>
        <v>0</v>
      </c>
      <c r="I621" s="269"/>
      <c r="J621" s="253"/>
      <c r="K621" s="253"/>
      <c r="L621" s="253"/>
      <c r="M621" s="253"/>
    </row>
    <row r="622" spans="1:13" x14ac:dyDescent="0.25">
      <c r="A622" s="96"/>
      <c r="B622" s="96"/>
      <c r="C622" s="96"/>
      <c r="D622" s="96"/>
      <c r="E622" s="96"/>
      <c r="F622" s="96"/>
      <c r="G622" s="226"/>
      <c r="H622" s="226"/>
      <c r="J622" s="253"/>
      <c r="K622" s="253"/>
      <c r="L622" s="253"/>
      <c r="M622" s="253"/>
    </row>
    <row r="663" spans="1:8" x14ac:dyDescent="0.25">
      <c r="A663" s="50" t="s">
        <v>0</v>
      </c>
      <c r="B663" s="50"/>
      <c r="C663" s="50"/>
      <c r="D663" s="50"/>
      <c r="E663" s="9"/>
      <c r="F663" s="18"/>
      <c r="G663" s="219"/>
      <c r="H663" s="219"/>
    </row>
    <row r="664" spans="1:8" x14ac:dyDescent="0.25">
      <c r="A664" s="50" t="s">
        <v>1</v>
      </c>
      <c r="B664" s="50"/>
      <c r="C664" s="50"/>
      <c r="D664" s="50"/>
      <c r="E664" s="9"/>
      <c r="F664" s="18"/>
      <c r="G664" s="219"/>
      <c r="H664" s="219"/>
    </row>
    <row r="665" spans="1:8" x14ac:dyDescent="0.25">
      <c r="A665" s="50" t="s">
        <v>16</v>
      </c>
      <c r="B665" s="50"/>
      <c r="C665" s="50"/>
      <c r="D665" s="50"/>
      <c r="E665" s="9"/>
      <c r="F665" s="18"/>
      <c r="G665" s="219"/>
      <c r="H665" s="219"/>
    </row>
    <row r="666" spans="1:8" x14ac:dyDescent="0.25">
      <c r="A666" s="643" t="s">
        <v>117</v>
      </c>
      <c r="B666" s="643"/>
      <c r="C666" s="643"/>
      <c r="D666" s="643"/>
      <c r="E666" s="643"/>
      <c r="F666" s="643"/>
      <c r="G666" s="643"/>
      <c r="H666" s="643"/>
    </row>
    <row r="667" spans="1:8" x14ac:dyDescent="0.25">
      <c r="A667" s="643" t="s">
        <v>3799</v>
      </c>
      <c r="B667" s="643"/>
      <c r="C667" s="643"/>
      <c r="D667" s="643"/>
      <c r="E667" s="643"/>
      <c r="F667" s="643"/>
      <c r="G667" s="643"/>
      <c r="H667" s="643"/>
    </row>
    <row r="668" spans="1:8" ht="15.75" thickBot="1" x14ac:dyDescent="0.3">
      <c r="A668" s="1"/>
      <c r="B668" s="1"/>
      <c r="C668" s="1"/>
      <c r="D668" s="1"/>
      <c r="E668" s="1"/>
      <c r="F668" s="19"/>
      <c r="G668" s="178"/>
      <c r="H668" s="178"/>
    </row>
    <row r="669" spans="1:8" ht="22.5" x14ac:dyDescent="0.25">
      <c r="A669" s="53" t="s">
        <v>12</v>
      </c>
      <c r="B669" s="192" t="s">
        <v>3283</v>
      </c>
      <c r="C669" s="193" t="s">
        <v>3285</v>
      </c>
      <c r="D669" s="652" t="s">
        <v>3282</v>
      </c>
      <c r="E669" s="653"/>
      <c r="F669" s="215" t="s">
        <v>3284</v>
      </c>
      <c r="G669" s="220" t="s">
        <v>57</v>
      </c>
      <c r="H669" s="221" t="s">
        <v>58</v>
      </c>
    </row>
    <row r="670" spans="1:8" x14ac:dyDescent="0.25">
      <c r="A670" s="56"/>
      <c r="B670" s="240"/>
      <c r="C670" s="194"/>
      <c r="D670" s="195"/>
      <c r="E670" s="191"/>
      <c r="F670" s="56"/>
      <c r="G670" s="222"/>
      <c r="H670" s="223"/>
    </row>
    <row r="671" spans="1:8" x14ac:dyDescent="0.25">
      <c r="A671" s="241" t="s">
        <v>3731</v>
      </c>
      <c r="B671" s="242"/>
      <c r="C671" s="243" t="s">
        <v>3303</v>
      </c>
      <c r="D671" s="244" t="s">
        <v>3690</v>
      </c>
      <c r="E671" s="245"/>
      <c r="F671" s="246"/>
      <c r="G671" s="247">
        <f>SUM(H672:H672)</f>
        <v>0</v>
      </c>
      <c r="H671" s="248"/>
    </row>
    <row r="672" spans="1:8" x14ac:dyDescent="0.25">
      <c r="A672" s="249"/>
      <c r="B672" s="242"/>
      <c r="C672" s="250" t="s">
        <v>3291</v>
      </c>
      <c r="D672" s="251"/>
      <c r="E672" s="252" t="s">
        <v>3274</v>
      </c>
      <c r="F672" s="246"/>
      <c r="G672" s="247"/>
      <c r="H672" s="248"/>
    </row>
    <row r="673" spans="1:8" x14ac:dyDescent="0.25">
      <c r="A673" s="249"/>
      <c r="B673" s="242"/>
      <c r="C673" s="250"/>
      <c r="D673" s="251"/>
      <c r="E673" s="252"/>
      <c r="F673" s="246"/>
      <c r="G673" s="247"/>
      <c r="H673" s="248"/>
    </row>
    <row r="674" spans="1:8" x14ac:dyDescent="0.25">
      <c r="A674" s="241" t="s">
        <v>3731</v>
      </c>
      <c r="B674" s="242"/>
      <c r="C674" s="243" t="s">
        <v>3303</v>
      </c>
      <c r="D674" s="244" t="s">
        <v>3689</v>
      </c>
      <c r="E674" s="245"/>
      <c r="F674" s="246"/>
      <c r="G674" s="247">
        <f>SUM(H675:H679)</f>
        <v>0</v>
      </c>
      <c r="H674" s="248"/>
    </row>
    <row r="675" spans="1:8" x14ac:dyDescent="0.25">
      <c r="A675" s="249"/>
      <c r="B675" s="242"/>
      <c r="C675" s="250" t="s">
        <v>3295</v>
      </c>
      <c r="D675" s="251"/>
      <c r="E675" s="252" t="s">
        <v>3297</v>
      </c>
      <c r="F675" s="246"/>
      <c r="G675" s="247"/>
      <c r="H675" s="248"/>
    </row>
    <row r="676" spans="1:8" x14ac:dyDescent="0.25">
      <c r="A676" s="249"/>
      <c r="B676" s="242"/>
      <c r="C676" s="243"/>
      <c r="D676" s="261"/>
      <c r="E676" s="245"/>
      <c r="F676" s="262"/>
      <c r="G676" s="247"/>
      <c r="H676" s="248"/>
    </row>
    <row r="677" spans="1:8" x14ac:dyDescent="0.25">
      <c r="A677" s="56"/>
      <c r="B677" s="240"/>
      <c r="C677" s="194"/>
      <c r="D677" s="194"/>
      <c r="E677" s="230"/>
      <c r="F677" s="240"/>
      <c r="G677" s="222"/>
      <c r="H677" s="223"/>
    </row>
    <row r="678" spans="1:8" x14ac:dyDescent="0.25">
      <c r="A678" s="61" t="s">
        <v>3688</v>
      </c>
      <c r="B678" s="189"/>
      <c r="C678" s="189" t="s">
        <v>3286</v>
      </c>
      <c r="D678" s="67" t="s">
        <v>3269</v>
      </c>
      <c r="E678" s="55"/>
      <c r="F678" s="240"/>
      <c r="G678" s="222"/>
      <c r="H678" s="217"/>
    </row>
    <row r="679" spans="1:8" x14ac:dyDescent="0.25">
      <c r="A679" s="64"/>
      <c r="B679" s="66"/>
      <c r="C679" s="66" t="s">
        <v>3287</v>
      </c>
      <c r="D679" s="67" t="s">
        <v>3270</v>
      </c>
      <c r="E679" s="55"/>
      <c r="F679" s="240"/>
      <c r="G679" s="222"/>
      <c r="H679" s="217"/>
    </row>
    <row r="680" spans="1:8" x14ac:dyDescent="0.25">
      <c r="A680" s="64"/>
      <c r="B680" s="66"/>
      <c r="C680" s="66" t="s">
        <v>3288</v>
      </c>
      <c r="D680" s="67" t="s">
        <v>3271</v>
      </c>
      <c r="E680" s="55"/>
      <c r="F680" s="240"/>
      <c r="G680" s="222"/>
      <c r="H680" s="217"/>
    </row>
    <row r="681" spans="1:8" x14ac:dyDescent="0.25">
      <c r="A681" s="64"/>
      <c r="B681" s="66"/>
      <c r="C681" s="66" t="s">
        <v>3289</v>
      </c>
      <c r="D681" s="67" t="s">
        <v>3272</v>
      </c>
      <c r="E681" s="55"/>
      <c r="F681" s="240"/>
      <c r="G681" s="222"/>
      <c r="H681" s="217"/>
    </row>
    <row r="682" spans="1:8" x14ac:dyDescent="0.25">
      <c r="A682" s="64"/>
      <c r="B682" s="66"/>
      <c r="C682" s="66" t="s">
        <v>3290</v>
      </c>
      <c r="D682" s="67" t="s">
        <v>3273</v>
      </c>
      <c r="E682" s="55"/>
      <c r="F682" s="240"/>
      <c r="G682" s="222"/>
      <c r="H682" s="217"/>
    </row>
    <row r="683" spans="1:8" x14ac:dyDescent="0.25">
      <c r="A683" s="64"/>
      <c r="B683" s="66"/>
      <c r="C683" s="66" t="s">
        <v>3291</v>
      </c>
      <c r="D683" s="67" t="s">
        <v>3274</v>
      </c>
      <c r="E683" s="55"/>
      <c r="F683" s="240"/>
      <c r="G683" s="222"/>
      <c r="H683" s="217"/>
    </row>
    <row r="684" spans="1:8" x14ac:dyDescent="0.25">
      <c r="A684" s="64"/>
      <c r="B684" s="66"/>
      <c r="C684" s="66" t="s">
        <v>3292</v>
      </c>
      <c r="D684" s="67" t="s">
        <v>3275</v>
      </c>
      <c r="E684" s="55"/>
      <c r="F684" s="240"/>
      <c r="G684" s="222"/>
      <c r="H684" s="217"/>
    </row>
    <row r="685" spans="1:8" x14ac:dyDescent="0.25">
      <c r="A685" s="64"/>
      <c r="B685" s="66"/>
      <c r="C685" s="66" t="s">
        <v>3293</v>
      </c>
      <c r="D685" s="67" t="s">
        <v>3276</v>
      </c>
      <c r="E685" s="55"/>
      <c r="F685" s="240"/>
      <c r="G685" s="222"/>
      <c r="H685" s="217"/>
    </row>
    <row r="686" spans="1:8" x14ac:dyDescent="0.25">
      <c r="A686" s="64"/>
      <c r="B686" s="66"/>
      <c r="C686" s="66" t="s">
        <v>3294</v>
      </c>
      <c r="D686" s="67" t="s">
        <v>3277</v>
      </c>
      <c r="E686" s="55"/>
      <c r="F686" s="240"/>
      <c r="G686" s="222"/>
      <c r="H686" s="217"/>
    </row>
    <row r="687" spans="1:8" x14ac:dyDescent="0.25">
      <c r="A687" s="64"/>
      <c r="B687" s="66"/>
      <c r="C687" s="66" t="s">
        <v>3295</v>
      </c>
      <c r="D687" s="67" t="s">
        <v>3297</v>
      </c>
      <c r="E687" s="55"/>
      <c r="F687" s="240"/>
      <c r="G687" s="222"/>
      <c r="H687" s="217"/>
    </row>
    <row r="688" spans="1:8" x14ac:dyDescent="0.25">
      <c r="A688" s="61"/>
      <c r="B688" s="189"/>
      <c r="C688" s="66" t="s">
        <v>3296</v>
      </c>
      <c r="D688" s="67" t="s">
        <v>3554</v>
      </c>
      <c r="E688" s="55"/>
      <c r="F688" s="240"/>
      <c r="G688" s="222"/>
      <c r="H688" s="217"/>
    </row>
    <row r="689" spans="1:8" x14ac:dyDescent="0.25">
      <c r="A689" s="61"/>
      <c r="B689" s="189"/>
      <c r="C689" s="66" t="s">
        <v>3298</v>
      </c>
      <c r="D689" s="67" t="s">
        <v>3299</v>
      </c>
      <c r="E689" s="55"/>
      <c r="F689" s="64"/>
      <c r="G689" s="218"/>
      <c r="H689" s="217"/>
    </row>
    <row r="690" spans="1:8" x14ac:dyDescent="0.25">
      <c r="A690" s="64"/>
      <c r="B690" s="66"/>
      <c r="C690" s="66" t="s">
        <v>3301</v>
      </c>
      <c r="D690" s="51"/>
      <c r="E690" s="55" t="s">
        <v>3304</v>
      </c>
      <c r="F690" s="64">
        <f>SUM(F678:F689)</f>
        <v>0</v>
      </c>
      <c r="G690" s="218"/>
      <c r="H690" s="217">
        <f>SUM(G678:G688)</f>
        <v>0</v>
      </c>
    </row>
    <row r="691" spans="1:8" x14ac:dyDescent="0.25">
      <c r="A691" s="64"/>
      <c r="B691" s="66"/>
      <c r="C691" s="66"/>
      <c r="D691" s="51"/>
      <c r="E691" s="55"/>
      <c r="F691" s="64"/>
      <c r="G691" s="218"/>
      <c r="H691" s="217"/>
    </row>
    <row r="692" spans="1:8" x14ac:dyDescent="0.25">
      <c r="A692" s="61" t="str">
        <f>A678</f>
        <v>31 JULI</v>
      </c>
      <c r="B692" s="189"/>
      <c r="C692" s="189" t="s">
        <v>3286</v>
      </c>
      <c r="D692" s="67" t="s">
        <v>3269</v>
      </c>
      <c r="E692" s="55"/>
      <c r="F692" s="19"/>
      <c r="G692" s="216"/>
      <c r="H692" s="217"/>
    </row>
    <row r="693" spans="1:8" x14ac:dyDescent="0.25">
      <c r="A693" s="64"/>
      <c r="B693" s="66"/>
      <c r="C693" s="66" t="s">
        <v>3287</v>
      </c>
      <c r="D693" s="67" t="s">
        <v>3270</v>
      </c>
      <c r="E693" s="55"/>
      <c r="F693" s="64"/>
      <c r="G693" s="218"/>
      <c r="H693" s="217"/>
    </row>
    <row r="694" spans="1:8" x14ac:dyDescent="0.25">
      <c r="A694" s="64"/>
      <c r="B694" s="66"/>
      <c r="C694" s="66" t="s">
        <v>3288</v>
      </c>
      <c r="D694" s="67" t="s">
        <v>3271</v>
      </c>
      <c r="E694" s="55"/>
      <c r="F694" s="64"/>
      <c r="G694" s="218"/>
      <c r="H694" s="217"/>
    </row>
    <row r="695" spans="1:8" x14ac:dyDescent="0.25">
      <c r="A695" s="64"/>
      <c r="B695" s="66"/>
      <c r="C695" s="66" t="s">
        <v>3289</v>
      </c>
      <c r="D695" s="67" t="s">
        <v>3272</v>
      </c>
      <c r="E695" s="55"/>
      <c r="F695" s="64"/>
      <c r="G695" s="218"/>
      <c r="H695" s="217"/>
    </row>
    <row r="696" spans="1:8" x14ac:dyDescent="0.25">
      <c r="A696" s="64"/>
      <c r="B696" s="66"/>
      <c r="C696" s="66" t="s">
        <v>3290</v>
      </c>
      <c r="D696" s="67" t="s">
        <v>3273</v>
      </c>
      <c r="E696" s="55"/>
      <c r="F696" s="64"/>
      <c r="G696" s="218"/>
      <c r="H696" s="217"/>
    </row>
    <row r="697" spans="1:8" x14ac:dyDescent="0.25">
      <c r="A697" s="64"/>
      <c r="B697" s="66"/>
      <c r="C697" s="66" t="s">
        <v>3291</v>
      </c>
      <c r="D697" s="67" t="s">
        <v>3274</v>
      </c>
      <c r="E697" s="55"/>
      <c r="F697" s="64"/>
      <c r="G697" s="218"/>
      <c r="H697" s="217"/>
    </row>
    <row r="698" spans="1:8" x14ac:dyDescent="0.25">
      <c r="A698" s="64"/>
      <c r="B698" s="66"/>
      <c r="C698" s="66" t="s">
        <v>3292</v>
      </c>
      <c r="D698" s="67" t="s">
        <v>3275</v>
      </c>
      <c r="E698" s="55"/>
      <c r="F698" s="64"/>
      <c r="G698" s="218"/>
      <c r="H698" s="217"/>
    </row>
    <row r="699" spans="1:8" x14ac:dyDescent="0.25">
      <c r="A699" s="64"/>
      <c r="B699" s="66"/>
      <c r="C699" s="66" t="s">
        <v>3293</v>
      </c>
      <c r="D699" s="67" t="s">
        <v>3276</v>
      </c>
      <c r="E699" s="55"/>
      <c r="F699" s="64"/>
      <c r="G699" s="218"/>
      <c r="H699" s="217"/>
    </row>
    <row r="700" spans="1:8" x14ac:dyDescent="0.25">
      <c r="A700" s="64"/>
      <c r="B700" s="66"/>
      <c r="C700" s="66" t="s">
        <v>3294</v>
      </c>
      <c r="D700" s="67" t="s">
        <v>3277</v>
      </c>
      <c r="E700" s="55"/>
      <c r="F700" s="64"/>
      <c r="G700" s="218"/>
      <c r="H700" s="217"/>
    </row>
    <row r="701" spans="1:8" x14ac:dyDescent="0.25">
      <c r="A701" s="64"/>
      <c r="B701" s="66"/>
      <c r="C701" s="66" t="s">
        <v>3295</v>
      </c>
      <c r="D701" s="67" t="s">
        <v>3297</v>
      </c>
      <c r="E701" s="55"/>
      <c r="F701" s="64"/>
      <c r="G701" s="218"/>
      <c r="H701" s="217"/>
    </row>
    <row r="702" spans="1:8" x14ac:dyDescent="0.25">
      <c r="A702" s="61"/>
      <c r="B702" s="189"/>
      <c r="C702" s="66" t="s">
        <v>3296</v>
      </c>
      <c r="D702" s="67" t="s">
        <v>3554</v>
      </c>
      <c r="E702" s="55"/>
      <c r="F702" s="64"/>
      <c r="G702" s="218"/>
      <c r="H702" s="217"/>
    </row>
    <row r="703" spans="1:8" x14ac:dyDescent="0.25">
      <c r="A703" s="61"/>
      <c r="B703" s="189"/>
      <c r="C703" s="66" t="s">
        <v>3298</v>
      </c>
      <c r="D703" s="67" t="s">
        <v>3299</v>
      </c>
      <c r="E703" s="55"/>
      <c r="F703" s="64"/>
      <c r="G703" s="218"/>
      <c r="H703" s="217"/>
    </row>
    <row r="704" spans="1:8" x14ac:dyDescent="0.25">
      <c r="A704" s="64"/>
      <c r="B704" s="66"/>
      <c r="C704" s="66" t="s">
        <v>3301</v>
      </c>
      <c r="D704" s="51"/>
      <c r="E704" s="55" t="s">
        <v>3674</v>
      </c>
      <c r="F704" s="64">
        <f>SUM(F692:F703)</f>
        <v>0</v>
      </c>
      <c r="G704" s="218"/>
      <c r="H704" s="217">
        <f>SUM(G692:G702)</f>
        <v>0</v>
      </c>
    </row>
    <row r="705" spans="1:9" x14ac:dyDescent="0.25">
      <c r="A705" s="64"/>
      <c r="B705" s="66"/>
      <c r="C705" s="66"/>
      <c r="D705" s="51"/>
      <c r="E705" s="55"/>
      <c r="F705" s="64"/>
      <c r="G705" s="218"/>
      <c r="H705" s="217"/>
    </row>
    <row r="706" spans="1:9" x14ac:dyDescent="0.25">
      <c r="A706" s="61" t="str">
        <f>A692</f>
        <v>31 JULI</v>
      </c>
      <c r="B706" s="189"/>
      <c r="C706" s="189" t="s">
        <v>3286</v>
      </c>
      <c r="D706" s="67" t="s">
        <v>3269</v>
      </c>
      <c r="E706" s="55"/>
      <c r="F706" s="64"/>
      <c r="G706" s="218"/>
      <c r="H706" s="217"/>
    </row>
    <row r="707" spans="1:9" x14ac:dyDescent="0.25">
      <c r="A707" s="64"/>
      <c r="B707" s="66"/>
      <c r="C707" s="66" t="s">
        <v>3287</v>
      </c>
      <c r="D707" s="67" t="s">
        <v>3270</v>
      </c>
      <c r="E707" s="55"/>
      <c r="F707" s="64"/>
      <c r="G707" s="218"/>
      <c r="H707" s="217"/>
    </row>
    <row r="708" spans="1:9" x14ac:dyDescent="0.25">
      <c r="A708" s="64"/>
      <c r="B708" s="66"/>
      <c r="C708" s="66" t="s">
        <v>3288</v>
      </c>
      <c r="D708" s="67" t="s">
        <v>3271</v>
      </c>
      <c r="E708" s="55"/>
      <c r="F708" s="64"/>
      <c r="G708" s="218"/>
      <c r="H708" s="217"/>
    </row>
    <row r="709" spans="1:9" x14ac:dyDescent="0.25">
      <c r="A709" s="64"/>
      <c r="B709" s="66"/>
      <c r="C709" s="66" t="s">
        <v>3289</v>
      </c>
      <c r="D709" s="67" t="s">
        <v>3272</v>
      </c>
      <c r="E709" s="55"/>
      <c r="F709" s="64"/>
      <c r="G709" s="218"/>
      <c r="H709" s="217"/>
    </row>
    <row r="710" spans="1:9" x14ac:dyDescent="0.25">
      <c r="A710" s="64"/>
      <c r="B710" s="66"/>
      <c r="C710" s="66" t="s">
        <v>3290</v>
      </c>
      <c r="D710" s="67" t="s">
        <v>3273</v>
      </c>
      <c r="E710" s="55"/>
      <c r="F710" s="64"/>
      <c r="G710" s="218"/>
      <c r="H710" s="217"/>
    </row>
    <row r="711" spans="1:9" x14ac:dyDescent="0.25">
      <c r="A711" s="64"/>
      <c r="B711" s="66"/>
      <c r="C711" s="66" t="s">
        <v>3291</v>
      </c>
      <c r="D711" s="67" t="s">
        <v>3274</v>
      </c>
      <c r="E711" s="55"/>
      <c r="F711" s="64"/>
      <c r="G711" s="218"/>
      <c r="H711" s="217"/>
      <c r="I711" s="269"/>
    </row>
    <row r="712" spans="1:9" x14ac:dyDescent="0.25">
      <c r="A712" s="64"/>
      <c r="B712" s="66"/>
      <c r="C712" s="66" t="s">
        <v>3292</v>
      </c>
      <c r="D712" s="67" t="s">
        <v>3275</v>
      </c>
      <c r="E712" s="55"/>
      <c r="F712" s="64"/>
      <c r="G712" s="218"/>
      <c r="H712" s="217"/>
    </row>
    <row r="713" spans="1:9" x14ac:dyDescent="0.25">
      <c r="A713" s="64"/>
      <c r="B713" s="66"/>
      <c r="C713" s="66" t="s">
        <v>3293</v>
      </c>
      <c r="D713" s="67" t="s">
        <v>3276</v>
      </c>
      <c r="E713" s="55"/>
      <c r="F713" s="64"/>
      <c r="G713" s="218"/>
      <c r="H713" s="217"/>
    </row>
    <row r="714" spans="1:9" x14ac:dyDescent="0.25">
      <c r="A714" s="64"/>
      <c r="B714" s="66"/>
      <c r="C714" s="66" t="s">
        <v>3294</v>
      </c>
      <c r="D714" s="67" t="s">
        <v>3277</v>
      </c>
      <c r="E714" s="55"/>
      <c r="F714" s="64"/>
      <c r="G714" s="218"/>
      <c r="H714" s="217"/>
    </row>
    <row r="715" spans="1:9" x14ac:dyDescent="0.25">
      <c r="A715" s="64"/>
      <c r="B715" s="66"/>
      <c r="C715" s="66" t="s">
        <v>3295</v>
      </c>
      <c r="D715" s="67" t="s">
        <v>3297</v>
      </c>
      <c r="E715" s="55"/>
      <c r="F715" s="64"/>
      <c r="G715" s="218"/>
      <c r="H715" s="217"/>
    </row>
    <row r="716" spans="1:9" x14ac:dyDescent="0.25">
      <c r="A716" s="61"/>
      <c r="B716" s="189"/>
      <c r="C716" s="66" t="s">
        <v>3296</v>
      </c>
      <c r="D716" s="67" t="s">
        <v>3554</v>
      </c>
      <c r="E716" s="55"/>
      <c r="F716" s="64"/>
      <c r="G716" s="218"/>
      <c r="H716" s="217"/>
    </row>
    <row r="717" spans="1:9" x14ac:dyDescent="0.25">
      <c r="A717" s="61"/>
      <c r="B717" s="189"/>
      <c r="C717" s="66" t="s">
        <v>3298</v>
      </c>
      <c r="D717" s="67" t="s">
        <v>3299</v>
      </c>
      <c r="E717" s="55"/>
      <c r="F717" s="64"/>
      <c r="G717" s="218"/>
      <c r="H717" s="217"/>
    </row>
    <row r="718" spans="1:9" x14ac:dyDescent="0.25">
      <c r="A718" s="64"/>
      <c r="B718" s="66"/>
      <c r="C718" s="66" t="s">
        <v>3301</v>
      </c>
      <c r="D718" s="51"/>
      <c r="E718" s="55" t="s">
        <v>3675</v>
      </c>
      <c r="F718" s="64">
        <f>SUM(F706:F717)</f>
        <v>0</v>
      </c>
      <c r="G718" s="218"/>
      <c r="H718" s="217">
        <f>SUM(G706:G716)</f>
        <v>0</v>
      </c>
    </row>
    <row r="719" spans="1:9" x14ac:dyDescent="0.25">
      <c r="A719" s="64"/>
      <c r="B719" s="66"/>
      <c r="C719" s="66"/>
      <c r="D719" s="51"/>
      <c r="E719" s="55"/>
      <c r="F719" s="64"/>
      <c r="G719" s="218"/>
      <c r="H719" s="217"/>
    </row>
    <row r="720" spans="1:9" x14ac:dyDescent="0.25">
      <c r="A720" s="61" t="str">
        <f>A678</f>
        <v>31 JULI</v>
      </c>
      <c r="B720" s="189"/>
      <c r="C720" s="189" t="s">
        <v>3300</v>
      </c>
      <c r="D720" s="51" t="s">
        <v>3232</v>
      </c>
      <c r="E720" s="55"/>
      <c r="F720" s="64">
        <f>F690</f>
        <v>0</v>
      </c>
      <c r="G720" s="218"/>
      <c r="H720" s="217"/>
    </row>
    <row r="721" spans="1:9" x14ac:dyDescent="0.25">
      <c r="A721" s="64"/>
      <c r="B721" s="66"/>
      <c r="C721" s="66" t="s">
        <v>3302</v>
      </c>
      <c r="D721" s="51"/>
      <c r="E721" s="55" t="s">
        <v>3233</v>
      </c>
      <c r="F721" s="64">
        <f>F720</f>
        <v>0</v>
      </c>
      <c r="G721" s="218"/>
      <c r="H721" s="217">
        <f>G720</f>
        <v>0</v>
      </c>
      <c r="I721" s="269"/>
    </row>
    <row r="722" spans="1:9" x14ac:dyDescent="0.25">
      <c r="A722" s="64"/>
      <c r="B722" s="66"/>
      <c r="C722" s="66"/>
      <c r="D722" s="51"/>
      <c r="E722" s="55"/>
      <c r="F722" s="64"/>
      <c r="G722" s="218"/>
      <c r="H722" s="217"/>
    </row>
    <row r="723" spans="1:9" x14ac:dyDescent="0.25">
      <c r="A723" s="64" t="str">
        <f>A720</f>
        <v>31 JULI</v>
      </c>
      <c r="B723" s="66"/>
      <c r="C723" s="189" t="s">
        <v>3300</v>
      </c>
      <c r="D723" s="51" t="s">
        <v>3676</v>
      </c>
      <c r="E723" s="55"/>
      <c r="F723" s="64">
        <f>F704</f>
        <v>0</v>
      </c>
      <c r="G723" s="218"/>
      <c r="H723" s="217"/>
    </row>
    <row r="724" spans="1:9" x14ac:dyDescent="0.25">
      <c r="A724" s="64"/>
      <c r="B724" s="66"/>
      <c r="C724" s="66" t="s">
        <v>3302</v>
      </c>
      <c r="D724" s="51"/>
      <c r="E724" s="55" t="s">
        <v>3233</v>
      </c>
      <c r="F724" s="64"/>
      <c r="G724" s="218"/>
      <c r="H724" s="217">
        <f>G723</f>
        <v>0</v>
      </c>
      <c r="I724" s="269"/>
    </row>
    <row r="725" spans="1:9" x14ac:dyDescent="0.25">
      <c r="A725" s="64"/>
      <c r="B725" s="66"/>
      <c r="C725" s="66"/>
      <c r="D725" s="51"/>
      <c r="E725" s="55"/>
      <c r="F725" s="64"/>
      <c r="G725" s="218"/>
      <c r="H725" s="217"/>
    </row>
    <row r="726" spans="1:9" x14ac:dyDescent="0.25">
      <c r="A726" s="64" t="str">
        <f>A723</f>
        <v>31 JULI</v>
      </c>
      <c r="B726" s="66"/>
      <c r="C726" s="189" t="s">
        <v>3300</v>
      </c>
      <c r="D726" s="51" t="s">
        <v>3677</v>
      </c>
      <c r="E726" s="55"/>
      <c r="F726" s="64">
        <f>F718</f>
        <v>0</v>
      </c>
      <c r="G726" s="218"/>
      <c r="H726" s="217"/>
      <c r="I726" s="269"/>
    </row>
    <row r="727" spans="1:9" x14ac:dyDescent="0.25">
      <c r="A727" s="64"/>
      <c r="B727" s="66"/>
      <c r="C727" s="66" t="s">
        <v>3302</v>
      </c>
      <c r="D727" s="51"/>
      <c r="E727" s="55" t="s">
        <v>3233</v>
      </c>
      <c r="F727" s="64"/>
      <c r="G727" s="218"/>
      <c r="H727" s="217">
        <f>G726</f>
        <v>0</v>
      </c>
      <c r="I727" s="269"/>
    </row>
    <row r="728" spans="1:9" x14ac:dyDescent="0.25">
      <c r="A728" s="64"/>
      <c r="B728" s="66"/>
      <c r="C728" s="66"/>
      <c r="D728" s="51"/>
      <c r="E728" s="55"/>
      <c r="F728" s="64"/>
      <c r="G728" s="218"/>
      <c r="H728" s="217"/>
    </row>
    <row r="729" spans="1:9" x14ac:dyDescent="0.25">
      <c r="A729" s="654" t="s">
        <v>15</v>
      </c>
      <c r="B729" s="654"/>
      <c r="C729" s="654"/>
      <c r="D729" s="654"/>
      <c r="E729" s="654"/>
      <c r="F729" s="654"/>
      <c r="G729" s="228">
        <f>SUM(G671:G728)</f>
        <v>0</v>
      </c>
      <c r="H729" s="229">
        <f>SUM(H671:H728)</f>
        <v>0</v>
      </c>
    </row>
    <row r="730" spans="1:9" x14ac:dyDescent="0.25">
      <c r="A730" s="654" t="s">
        <v>3560</v>
      </c>
      <c r="B730" s="654"/>
      <c r="C730" s="654"/>
      <c r="D730" s="654"/>
      <c r="E730" s="654"/>
      <c r="F730" s="654"/>
      <c r="G730" s="228">
        <f>G618</f>
        <v>0</v>
      </c>
      <c r="H730" s="228">
        <f>H618</f>
        <v>0</v>
      </c>
    </row>
    <row r="731" spans="1:9" ht="15.75" thickBot="1" x14ac:dyDescent="0.3">
      <c r="A731" s="655" t="s">
        <v>3719</v>
      </c>
      <c r="B731" s="655"/>
      <c r="C731" s="655"/>
      <c r="D731" s="655"/>
      <c r="E731" s="655"/>
      <c r="F731" s="655"/>
      <c r="G731" s="224">
        <f>SUM(G729:G730)</f>
        <v>0</v>
      </c>
      <c r="H731" s="225">
        <f>SUM(H729:H730)</f>
        <v>0</v>
      </c>
    </row>
    <row r="732" spans="1:9" x14ac:dyDescent="0.25">
      <c r="A732" s="96"/>
      <c r="B732" s="96"/>
      <c r="C732" s="96"/>
      <c r="D732" s="96"/>
      <c r="E732" s="96"/>
      <c r="F732" s="96"/>
      <c r="G732" s="226"/>
      <c r="H732" s="226"/>
    </row>
    <row r="774" spans="1:8" x14ac:dyDescent="0.25">
      <c r="A774" s="50" t="s">
        <v>0</v>
      </c>
      <c r="B774" s="50"/>
      <c r="C774" s="50"/>
      <c r="D774" s="50"/>
      <c r="E774" s="9"/>
      <c r="F774" s="18"/>
      <c r="G774" s="219"/>
      <c r="H774" s="219"/>
    </row>
    <row r="775" spans="1:8" x14ac:dyDescent="0.25">
      <c r="A775" s="50" t="s">
        <v>1</v>
      </c>
      <c r="B775" s="50"/>
      <c r="C775" s="50"/>
      <c r="D775" s="50"/>
      <c r="E775" s="9"/>
      <c r="F775" s="18"/>
      <c r="G775" s="219"/>
      <c r="H775" s="219"/>
    </row>
    <row r="776" spans="1:8" x14ac:dyDescent="0.25">
      <c r="A776" s="50" t="s">
        <v>16</v>
      </c>
      <c r="B776" s="50"/>
      <c r="C776" s="50"/>
      <c r="D776" s="50"/>
      <c r="E776" s="9"/>
      <c r="F776" s="18"/>
      <c r="G776" s="219"/>
      <c r="H776" s="219"/>
    </row>
    <row r="777" spans="1:8" x14ac:dyDescent="0.25">
      <c r="A777" s="643" t="s">
        <v>117</v>
      </c>
      <c r="B777" s="643"/>
      <c r="C777" s="643"/>
      <c r="D777" s="643"/>
      <c r="E777" s="643"/>
      <c r="F777" s="643"/>
      <c r="G777" s="643"/>
      <c r="H777" s="643"/>
    </row>
    <row r="778" spans="1:8" x14ac:dyDescent="0.25">
      <c r="A778" s="643" t="s">
        <v>3805</v>
      </c>
      <c r="B778" s="643"/>
      <c r="C778" s="643"/>
      <c r="D778" s="643"/>
      <c r="E778" s="643"/>
      <c r="F778" s="643"/>
      <c r="G778" s="643"/>
      <c r="H778" s="643"/>
    </row>
    <row r="779" spans="1:8" ht="15.75" thickBot="1" x14ac:dyDescent="0.3">
      <c r="A779" s="1"/>
      <c r="B779" s="1"/>
      <c r="C779" s="1"/>
      <c r="D779" s="1"/>
      <c r="E779" s="1"/>
      <c r="F779" s="19"/>
      <c r="G779" s="178"/>
      <c r="H779" s="178"/>
    </row>
    <row r="780" spans="1:8" ht="22.5" x14ac:dyDescent="0.25">
      <c r="A780" s="53" t="s">
        <v>12</v>
      </c>
      <c r="B780" s="192" t="s">
        <v>3283</v>
      </c>
      <c r="C780" s="193" t="s">
        <v>3285</v>
      </c>
      <c r="D780" s="652" t="s">
        <v>3282</v>
      </c>
      <c r="E780" s="653"/>
      <c r="F780" s="215" t="s">
        <v>3284</v>
      </c>
      <c r="G780" s="220" t="s">
        <v>57</v>
      </c>
      <c r="H780" s="221" t="s">
        <v>58</v>
      </c>
    </row>
    <row r="781" spans="1:8" x14ac:dyDescent="0.25">
      <c r="A781" s="56"/>
      <c r="B781" s="240"/>
      <c r="C781" s="194"/>
      <c r="D781" s="195"/>
      <c r="E781" s="191"/>
      <c r="F781" s="56"/>
      <c r="G781" s="222"/>
      <c r="H781" s="223"/>
    </row>
    <row r="782" spans="1:8" x14ac:dyDescent="0.25">
      <c r="A782" s="241" t="s">
        <v>3734</v>
      </c>
      <c r="B782" s="242"/>
      <c r="C782" s="243" t="s">
        <v>3303</v>
      </c>
      <c r="D782" s="244" t="s">
        <v>3690</v>
      </c>
      <c r="E782" s="245"/>
      <c r="F782" s="246"/>
      <c r="G782" s="247">
        <f>H783</f>
        <v>0</v>
      </c>
      <c r="H782" s="248"/>
    </row>
    <row r="783" spans="1:8" x14ac:dyDescent="0.25">
      <c r="A783" s="249"/>
      <c r="B783" s="242"/>
      <c r="C783" s="250" t="s">
        <v>3291</v>
      </c>
      <c r="D783" s="251"/>
      <c r="E783" s="252" t="s">
        <v>3274</v>
      </c>
      <c r="F783" s="246"/>
      <c r="G783" s="247"/>
      <c r="H783" s="248"/>
    </row>
    <row r="784" spans="1:8" x14ac:dyDescent="0.25">
      <c r="A784" s="249"/>
      <c r="B784" s="242"/>
      <c r="C784" s="250"/>
      <c r="D784" s="251"/>
      <c r="E784" s="252"/>
      <c r="F784" s="246"/>
      <c r="G784" s="247"/>
      <c r="H784" s="248"/>
    </row>
    <row r="785" spans="1:9" x14ac:dyDescent="0.25">
      <c r="A785" s="249"/>
      <c r="B785" s="242"/>
      <c r="C785" s="250" t="s">
        <v>3295</v>
      </c>
      <c r="D785" s="261" t="s">
        <v>3297</v>
      </c>
      <c r="E785" s="245"/>
      <c r="F785" s="246"/>
      <c r="G785" s="247">
        <f>H786</f>
        <v>0</v>
      </c>
      <c r="H785" s="248"/>
    </row>
    <row r="786" spans="1:9" x14ac:dyDescent="0.25">
      <c r="A786" s="249"/>
      <c r="B786" s="242"/>
      <c r="C786" s="250" t="s">
        <v>3301</v>
      </c>
      <c r="D786" s="244"/>
      <c r="E786" s="245" t="s">
        <v>3735</v>
      </c>
      <c r="F786" s="242"/>
      <c r="G786" s="318"/>
      <c r="H786" s="248"/>
    </row>
    <row r="787" spans="1:9" x14ac:dyDescent="0.25">
      <c r="A787" s="249"/>
      <c r="B787" s="242"/>
      <c r="C787" s="316"/>
      <c r="D787" s="316"/>
      <c r="E787" s="317"/>
      <c r="F787" s="242"/>
      <c r="G787" s="318"/>
      <c r="H787" s="319"/>
    </row>
    <row r="788" spans="1:9" x14ac:dyDescent="0.25">
      <c r="A788" s="61" t="s">
        <v>3578</v>
      </c>
      <c r="B788" s="189"/>
      <c r="C788" s="189" t="s">
        <v>3286</v>
      </c>
      <c r="D788" s="67" t="s">
        <v>3269</v>
      </c>
      <c r="E788" s="55"/>
      <c r="F788" s="19"/>
      <c r="G788" s="216"/>
      <c r="H788" s="217"/>
    </row>
    <row r="789" spans="1:9" x14ac:dyDescent="0.25">
      <c r="A789" s="64"/>
      <c r="B789" s="66"/>
      <c r="C789" s="66" t="s">
        <v>3287</v>
      </c>
      <c r="D789" s="67" t="s">
        <v>3270</v>
      </c>
      <c r="E789" s="55"/>
      <c r="F789" s="19"/>
      <c r="G789" s="216"/>
      <c r="H789" s="217"/>
    </row>
    <row r="790" spans="1:9" x14ac:dyDescent="0.25">
      <c r="A790" s="64"/>
      <c r="B790" s="66"/>
      <c r="C790" s="66" t="s">
        <v>3288</v>
      </c>
      <c r="D790" s="67" t="s">
        <v>3271</v>
      </c>
      <c r="E790" s="55"/>
      <c r="F790" s="19"/>
      <c r="G790" s="216"/>
      <c r="H790" s="217"/>
    </row>
    <row r="791" spans="1:9" x14ac:dyDescent="0.25">
      <c r="A791" s="64"/>
      <c r="B791" s="66"/>
      <c r="C791" s="66" t="s">
        <v>3289</v>
      </c>
      <c r="D791" s="67" t="s">
        <v>3272</v>
      </c>
      <c r="E791" s="55"/>
      <c r="F791" s="19"/>
      <c r="G791" s="216"/>
      <c r="H791" s="217"/>
    </row>
    <row r="792" spans="1:9" x14ac:dyDescent="0.25">
      <c r="A792" s="64"/>
      <c r="B792" s="66"/>
      <c r="C792" s="66" t="s">
        <v>3290</v>
      </c>
      <c r="D792" s="67" t="s">
        <v>3273</v>
      </c>
      <c r="E792" s="55"/>
      <c r="F792" s="19"/>
      <c r="G792" s="216"/>
      <c r="H792" s="217"/>
    </row>
    <row r="793" spans="1:9" x14ac:dyDescent="0.25">
      <c r="A793" s="64"/>
      <c r="B793" s="66"/>
      <c r="C793" s="66" t="s">
        <v>3291</v>
      </c>
      <c r="D793" s="67" t="s">
        <v>3274</v>
      </c>
      <c r="E793" s="55"/>
      <c r="F793" s="19"/>
      <c r="G793" s="216"/>
      <c r="H793" s="217"/>
    </row>
    <row r="794" spans="1:9" x14ac:dyDescent="0.25">
      <c r="A794" s="64"/>
      <c r="B794" s="66"/>
      <c r="C794" s="66" t="s">
        <v>3292</v>
      </c>
      <c r="D794" s="67" t="s">
        <v>3275</v>
      </c>
      <c r="E794" s="55"/>
      <c r="F794" s="19"/>
      <c r="G794" s="216"/>
      <c r="H794" s="217"/>
    </row>
    <row r="795" spans="1:9" x14ac:dyDescent="0.25">
      <c r="A795" s="64"/>
      <c r="B795" s="66"/>
      <c r="C795" s="66" t="s">
        <v>3293</v>
      </c>
      <c r="D795" s="67" t="s">
        <v>3276</v>
      </c>
      <c r="E795" s="55"/>
      <c r="F795" s="19"/>
      <c r="G795" s="216"/>
      <c r="H795" s="217"/>
    </row>
    <row r="796" spans="1:9" x14ac:dyDescent="0.25">
      <c r="A796" s="64"/>
      <c r="B796" s="66"/>
      <c r="C796" s="66" t="s">
        <v>3294</v>
      </c>
      <c r="D796" s="67" t="s">
        <v>3277</v>
      </c>
      <c r="E796" s="55"/>
      <c r="F796" s="19"/>
      <c r="G796" s="216"/>
      <c r="H796" s="217"/>
    </row>
    <row r="797" spans="1:9" x14ac:dyDescent="0.25">
      <c r="A797" s="64"/>
      <c r="B797" s="66"/>
      <c r="C797" s="66" t="s">
        <v>3295</v>
      </c>
      <c r="D797" s="67" t="s">
        <v>3297</v>
      </c>
      <c r="E797" s="55"/>
      <c r="F797" s="19"/>
      <c r="G797" s="216"/>
      <c r="H797" s="217"/>
    </row>
    <row r="798" spans="1:9" x14ac:dyDescent="0.25">
      <c r="A798" s="61"/>
      <c r="B798" s="189"/>
      <c r="C798" s="66" t="s">
        <v>3296</v>
      </c>
      <c r="D798" s="67" t="s">
        <v>3554</v>
      </c>
      <c r="E798" s="55"/>
      <c r="F798" s="19"/>
      <c r="G798" s="216"/>
      <c r="H798" s="217"/>
    </row>
    <row r="799" spans="1:9" x14ac:dyDescent="0.25">
      <c r="A799" s="61"/>
      <c r="B799" s="189"/>
      <c r="C799" s="66" t="s">
        <v>3298</v>
      </c>
      <c r="D799" s="67" t="s">
        <v>3299</v>
      </c>
      <c r="E799" s="55"/>
      <c r="F799" s="19"/>
      <c r="G799" s="216"/>
      <c r="H799" s="217"/>
    </row>
    <row r="800" spans="1:9" x14ac:dyDescent="0.25">
      <c r="A800" s="64"/>
      <c r="B800" s="66"/>
      <c r="C800" s="66" t="s">
        <v>3301</v>
      </c>
      <c r="D800" s="51"/>
      <c r="E800" s="55" t="s">
        <v>3304</v>
      </c>
      <c r="F800" s="64">
        <f>SUM(F788:F799)</f>
        <v>0</v>
      </c>
      <c r="G800" s="218"/>
      <c r="H800" s="217">
        <f>SUM(G788:G798)</f>
        <v>0</v>
      </c>
      <c r="I800" s="269">
        <f>H800+H831</f>
        <v>0</v>
      </c>
    </row>
    <row r="801" spans="1:9" x14ac:dyDescent="0.25">
      <c r="A801" s="64"/>
      <c r="B801" s="66"/>
      <c r="C801" s="66"/>
      <c r="D801" s="51"/>
      <c r="E801" s="55"/>
      <c r="F801" s="64"/>
      <c r="G801" s="218"/>
      <c r="H801" s="217"/>
    </row>
    <row r="802" spans="1:9" x14ac:dyDescent="0.25">
      <c r="A802" s="61" t="str">
        <f>A788</f>
        <v>31 AGUSTUS</v>
      </c>
      <c r="B802" s="189"/>
      <c r="C802" s="189" t="s">
        <v>3286</v>
      </c>
      <c r="D802" s="67" t="s">
        <v>3269</v>
      </c>
      <c r="E802" s="55"/>
      <c r="F802" s="19"/>
      <c r="G802" s="216"/>
      <c r="H802" s="217"/>
    </row>
    <row r="803" spans="1:9" x14ac:dyDescent="0.25">
      <c r="A803" s="64"/>
      <c r="B803" s="66"/>
      <c r="C803" s="66" t="s">
        <v>3287</v>
      </c>
      <c r="D803" s="67" t="s">
        <v>3270</v>
      </c>
      <c r="E803" s="55"/>
      <c r="F803" s="64"/>
      <c r="G803" s="218"/>
      <c r="H803" s="217"/>
    </row>
    <row r="804" spans="1:9" x14ac:dyDescent="0.25">
      <c r="A804" s="64"/>
      <c r="B804" s="66"/>
      <c r="C804" s="66" t="s">
        <v>3288</v>
      </c>
      <c r="D804" s="67" t="s">
        <v>3271</v>
      </c>
      <c r="E804" s="55"/>
      <c r="F804" s="64"/>
      <c r="G804" s="218"/>
      <c r="H804" s="217"/>
    </row>
    <row r="805" spans="1:9" x14ac:dyDescent="0.25">
      <c r="A805" s="64"/>
      <c r="B805" s="66"/>
      <c r="C805" s="66" t="s">
        <v>3289</v>
      </c>
      <c r="D805" s="67" t="s">
        <v>3272</v>
      </c>
      <c r="E805" s="55"/>
      <c r="F805" s="64"/>
      <c r="G805" s="218"/>
      <c r="H805" s="217"/>
    </row>
    <row r="806" spans="1:9" x14ac:dyDescent="0.25">
      <c r="A806" s="64"/>
      <c r="B806" s="66"/>
      <c r="C806" s="66" t="s">
        <v>3290</v>
      </c>
      <c r="D806" s="67" t="s">
        <v>3273</v>
      </c>
      <c r="E806" s="55"/>
      <c r="F806" s="64"/>
      <c r="G806" s="218"/>
      <c r="H806" s="217"/>
    </row>
    <row r="807" spans="1:9" x14ac:dyDescent="0.25">
      <c r="A807" s="64"/>
      <c r="B807" s="66"/>
      <c r="C807" s="66" t="s">
        <v>3291</v>
      </c>
      <c r="D807" s="67" t="s">
        <v>3274</v>
      </c>
      <c r="E807" s="55"/>
      <c r="F807" s="64"/>
      <c r="G807" s="218"/>
      <c r="H807" s="217"/>
    </row>
    <row r="808" spans="1:9" x14ac:dyDescent="0.25">
      <c r="A808" s="64"/>
      <c r="B808" s="66"/>
      <c r="C808" s="66" t="s">
        <v>3292</v>
      </c>
      <c r="D808" s="67" t="s">
        <v>3275</v>
      </c>
      <c r="E808" s="55"/>
      <c r="F808" s="64"/>
      <c r="G808" s="218"/>
      <c r="H808" s="217"/>
    </row>
    <row r="809" spans="1:9" x14ac:dyDescent="0.25">
      <c r="A809" s="64"/>
      <c r="B809" s="66"/>
      <c r="C809" s="66" t="s">
        <v>3293</v>
      </c>
      <c r="D809" s="67" t="s">
        <v>3276</v>
      </c>
      <c r="E809" s="55"/>
      <c r="F809" s="64"/>
      <c r="G809" s="218"/>
      <c r="H809" s="217"/>
    </row>
    <row r="810" spans="1:9" x14ac:dyDescent="0.25">
      <c r="A810" s="64"/>
      <c r="B810" s="66"/>
      <c r="C810" s="66" t="s">
        <v>3294</v>
      </c>
      <c r="D810" s="67" t="s">
        <v>3277</v>
      </c>
      <c r="E810" s="55"/>
      <c r="F810" s="64"/>
      <c r="G810" s="218"/>
      <c r="H810" s="217"/>
    </row>
    <row r="811" spans="1:9" x14ac:dyDescent="0.25">
      <c r="A811" s="64"/>
      <c r="B811" s="66"/>
      <c r="C811" s="66" t="s">
        <v>3295</v>
      </c>
      <c r="D811" s="67" t="s">
        <v>3297</v>
      </c>
      <c r="E811" s="55"/>
      <c r="F811" s="64"/>
      <c r="G811" s="218"/>
      <c r="H811" s="217"/>
    </row>
    <row r="812" spans="1:9" x14ac:dyDescent="0.25">
      <c r="A812" s="61"/>
      <c r="B812" s="189"/>
      <c r="C812" s="66" t="s">
        <v>3296</v>
      </c>
      <c r="D812" s="67" t="s">
        <v>3554</v>
      </c>
      <c r="E812" s="55"/>
      <c r="F812" s="64"/>
      <c r="G812" s="218"/>
      <c r="H812" s="217"/>
    </row>
    <row r="813" spans="1:9" x14ac:dyDescent="0.25">
      <c r="A813" s="61"/>
      <c r="B813" s="189"/>
      <c r="C813" s="66" t="s">
        <v>3298</v>
      </c>
      <c r="D813" s="67" t="s">
        <v>3299</v>
      </c>
      <c r="E813" s="55"/>
      <c r="F813" s="64"/>
      <c r="G813" s="218"/>
      <c r="H813" s="217"/>
    </row>
    <row r="814" spans="1:9" x14ac:dyDescent="0.25">
      <c r="A814" s="64"/>
      <c r="B814" s="66"/>
      <c r="C814" s="66" t="s">
        <v>3301</v>
      </c>
      <c r="D814" s="51"/>
      <c r="E814" s="55" t="s">
        <v>3674</v>
      </c>
      <c r="F814" s="64">
        <f>SUM(F802:F813)</f>
        <v>0</v>
      </c>
      <c r="G814" s="218"/>
      <c r="H814" s="217">
        <f>SUM(G802:G812)</f>
        <v>0</v>
      </c>
      <c r="I814" s="269">
        <f>H814+H834</f>
        <v>0</v>
      </c>
    </row>
    <row r="815" spans="1:9" x14ac:dyDescent="0.25">
      <c r="A815" s="64"/>
      <c r="B815" s="66"/>
      <c r="C815" s="66"/>
      <c r="D815" s="51"/>
      <c r="E815" s="55"/>
      <c r="F815" s="64"/>
      <c r="G815" s="218"/>
      <c r="H815" s="217"/>
    </row>
    <row r="816" spans="1:9" x14ac:dyDescent="0.25">
      <c r="A816" s="61" t="str">
        <f>A802</f>
        <v>31 AGUSTUS</v>
      </c>
      <c r="B816" s="189"/>
      <c r="C816" s="189" t="s">
        <v>3286</v>
      </c>
      <c r="D816" s="67" t="s">
        <v>3269</v>
      </c>
      <c r="E816" s="55"/>
      <c r="F816" s="64"/>
      <c r="G816" s="218"/>
      <c r="H816" s="217"/>
    </row>
    <row r="817" spans="1:9" x14ac:dyDescent="0.25">
      <c r="A817" s="64"/>
      <c r="B817" s="66"/>
      <c r="C817" s="66" t="s">
        <v>3287</v>
      </c>
      <c r="D817" s="67" t="s">
        <v>3270</v>
      </c>
      <c r="E817" s="55"/>
      <c r="F817" s="64"/>
      <c r="G817" s="218"/>
      <c r="H817" s="217"/>
    </row>
    <row r="818" spans="1:9" x14ac:dyDescent="0.25">
      <c r="A818" s="64"/>
      <c r="B818" s="66"/>
      <c r="C818" s="66" t="s">
        <v>3288</v>
      </c>
      <c r="D818" s="67" t="s">
        <v>3271</v>
      </c>
      <c r="E818" s="55"/>
      <c r="F818" s="64"/>
      <c r="G818" s="218"/>
      <c r="H818" s="217"/>
    </row>
    <row r="819" spans="1:9" x14ac:dyDescent="0.25">
      <c r="A819" s="64"/>
      <c r="B819" s="66"/>
      <c r="C819" s="66" t="s">
        <v>3289</v>
      </c>
      <c r="D819" s="67" t="s">
        <v>3272</v>
      </c>
      <c r="E819" s="55"/>
      <c r="F819" s="64"/>
      <c r="G819" s="218"/>
      <c r="H819" s="217"/>
    </row>
    <row r="820" spans="1:9" x14ac:dyDescent="0.25">
      <c r="A820" s="64"/>
      <c r="B820" s="66"/>
      <c r="C820" s="66" t="s">
        <v>3290</v>
      </c>
      <c r="D820" s="67" t="s">
        <v>3273</v>
      </c>
      <c r="E820" s="55"/>
      <c r="F820" s="64"/>
      <c r="G820" s="218"/>
      <c r="H820" s="217"/>
    </row>
    <row r="821" spans="1:9" x14ac:dyDescent="0.25">
      <c r="A821" s="64"/>
      <c r="B821" s="66"/>
      <c r="C821" s="66" t="s">
        <v>3291</v>
      </c>
      <c r="D821" s="67" t="s">
        <v>3274</v>
      </c>
      <c r="E821" s="55"/>
      <c r="F821" s="64"/>
      <c r="G821" s="218"/>
      <c r="H821" s="217"/>
      <c r="I821" s="269"/>
    </row>
    <row r="822" spans="1:9" x14ac:dyDescent="0.25">
      <c r="A822" s="64"/>
      <c r="B822" s="66"/>
      <c r="C822" s="66" t="s">
        <v>3292</v>
      </c>
      <c r="D822" s="67" t="s">
        <v>3275</v>
      </c>
      <c r="E822" s="55"/>
      <c r="F822" s="64"/>
      <c r="G822" s="218"/>
      <c r="H822" s="217"/>
    </row>
    <row r="823" spans="1:9" x14ac:dyDescent="0.25">
      <c r="A823" s="64"/>
      <c r="B823" s="66"/>
      <c r="C823" s="66" t="s">
        <v>3293</v>
      </c>
      <c r="D823" s="67" t="s">
        <v>3276</v>
      </c>
      <c r="E823" s="55"/>
      <c r="F823" s="64"/>
      <c r="G823" s="218"/>
      <c r="H823" s="217"/>
    </row>
    <row r="824" spans="1:9" x14ac:dyDescent="0.25">
      <c r="A824" s="64"/>
      <c r="B824" s="66"/>
      <c r="C824" s="66" t="s">
        <v>3294</v>
      </c>
      <c r="D824" s="67" t="s">
        <v>3277</v>
      </c>
      <c r="E824" s="55"/>
      <c r="F824" s="64"/>
      <c r="G824" s="218"/>
      <c r="H824" s="217"/>
    </row>
    <row r="825" spans="1:9" x14ac:dyDescent="0.25">
      <c r="A825" s="64"/>
      <c r="B825" s="66"/>
      <c r="C825" s="66" t="s">
        <v>3295</v>
      </c>
      <c r="D825" s="67" t="s">
        <v>3297</v>
      </c>
      <c r="E825" s="55"/>
      <c r="F825" s="64"/>
      <c r="G825" s="218"/>
      <c r="H825" s="217"/>
    </row>
    <row r="826" spans="1:9" x14ac:dyDescent="0.25">
      <c r="A826" s="61"/>
      <c r="B826" s="189"/>
      <c r="C826" s="66" t="s">
        <v>3296</v>
      </c>
      <c r="D826" s="67" t="s">
        <v>3554</v>
      </c>
      <c r="E826" s="55"/>
      <c r="F826" s="64"/>
      <c r="G826" s="218"/>
      <c r="H826" s="217"/>
    </row>
    <row r="827" spans="1:9" x14ac:dyDescent="0.25">
      <c r="A827" s="61"/>
      <c r="B827" s="189"/>
      <c r="C827" s="66" t="s">
        <v>3298</v>
      </c>
      <c r="D827" s="67" t="s">
        <v>3299</v>
      </c>
      <c r="E827" s="55"/>
      <c r="F827" s="64"/>
      <c r="G827" s="218"/>
      <c r="H827" s="217"/>
    </row>
    <row r="828" spans="1:9" x14ac:dyDescent="0.25">
      <c r="A828" s="64"/>
      <c r="B828" s="66"/>
      <c r="C828" s="66" t="s">
        <v>3301</v>
      </c>
      <c r="D828" s="51"/>
      <c r="E828" s="55" t="s">
        <v>3675</v>
      </c>
      <c r="F828" s="64">
        <f>SUM(F816:F827)</f>
        <v>0</v>
      </c>
      <c r="G828" s="218"/>
      <c r="H828" s="217">
        <f>SUM(G816:G826)</f>
        <v>0</v>
      </c>
      <c r="I828" s="269">
        <f>H828+H837</f>
        <v>0</v>
      </c>
    </row>
    <row r="829" spans="1:9" x14ac:dyDescent="0.25">
      <c r="A829" s="64"/>
      <c r="B829" s="66"/>
      <c r="C829" s="66"/>
      <c r="D829" s="51"/>
      <c r="E829" s="55"/>
      <c r="F829" s="64"/>
      <c r="G829" s="218"/>
      <c r="H829" s="217"/>
      <c r="I829" s="269"/>
    </row>
    <row r="830" spans="1:9" x14ac:dyDescent="0.25">
      <c r="A830" s="61" t="str">
        <f>A788</f>
        <v>31 AGUSTUS</v>
      </c>
      <c r="B830" s="189"/>
      <c r="C830" s="189" t="s">
        <v>3300</v>
      </c>
      <c r="D830" s="51" t="s">
        <v>3232</v>
      </c>
      <c r="E830" s="55"/>
      <c r="F830" s="64">
        <f>F800</f>
        <v>0</v>
      </c>
      <c r="G830" s="218"/>
      <c r="H830" s="217"/>
      <c r="I830" s="269"/>
    </row>
    <row r="831" spans="1:9" x14ac:dyDescent="0.25">
      <c r="A831" s="64"/>
      <c r="B831" s="66"/>
      <c r="C831" s="66" t="s">
        <v>3302</v>
      </c>
      <c r="D831" s="51"/>
      <c r="E831" s="55" t="s">
        <v>3233</v>
      </c>
      <c r="F831" s="64">
        <f>F830</f>
        <v>0</v>
      </c>
      <c r="G831" s="218"/>
      <c r="H831" s="217">
        <f>G830</f>
        <v>0</v>
      </c>
      <c r="I831" s="269"/>
    </row>
    <row r="832" spans="1:9" x14ac:dyDescent="0.25">
      <c r="A832" s="64"/>
      <c r="B832" s="66"/>
      <c r="C832" s="66"/>
      <c r="D832" s="51"/>
      <c r="E832" s="55"/>
      <c r="F832" s="64"/>
      <c r="G832" s="218"/>
      <c r="H832" s="217"/>
    </row>
    <row r="833" spans="1:8" x14ac:dyDescent="0.25">
      <c r="A833" s="64" t="str">
        <f>A830</f>
        <v>31 AGUSTUS</v>
      </c>
      <c r="B833" s="66"/>
      <c r="C833" s="189" t="s">
        <v>3300</v>
      </c>
      <c r="D833" s="51" t="s">
        <v>3676</v>
      </c>
      <c r="E833" s="55"/>
      <c r="F833" s="64">
        <f>F814</f>
        <v>0</v>
      </c>
      <c r="G833" s="218"/>
      <c r="H833" s="217"/>
    </row>
    <row r="834" spans="1:8" x14ac:dyDescent="0.25">
      <c r="A834" s="64"/>
      <c r="B834" s="66"/>
      <c r="C834" s="66" t="s">
        <v>3302</v>
      </c>
      <c r="D834" s="51"/>
      <c r="E834" s="55" t="s">
        <v>3233</v>
      </c>
      <c r="F834" s="64"/>
      <c r="G834" s="218"/>
      <c r="H834" s="217">
        <f>G833</f>
        <v>0</v>
      </c>
    </row>
    <row r="835" spans="1:8" x14ac:dyDescent="0.25">
      <c r="A835" s="64"/>
      <c r="B835" s="66"/>
      <c r="C835" s="66"/>
      <c r="D835" s="51"/>
      <c r="E835" s="55"/>
      <c r="F835" s="64"/>
      <c r="G835" s="218"/>
      <c r="H835" s="217"/>
    </row>
    <row r="836" spans="1:8" x14ac:dyDescent="0.25">
      <c r="A836" s="64" t="str">
        <f>A833</f>
        <v>31 AGUSTUS</v>
      </c>
      <c r="B836" s="66"/>
      <c r="C836" s="189" t="s">
        <v>3300</v>
      </c>
      <c r="D836" s="51" t="s">
        <v>3677</v>
      </c>
      <c r="E836" s="55"/>
      <c r="F836" s="64">
        <f>F828</f>
        <v>0</v>
      </c>
      <c r="G836" s="218"/>
      <c r="H836" s="217"/>
    </row>
    <row r="837" spans="1:8" x14ac:dyDescent="0.25">
      <c r="A837" s="64"/>
      <c r="B837" s="66"/>
      <c r="C837" s="66" t="s">
        <v>3302</v>
      </c>
      <c r="D837" s="51"/>
      <c r="E837" s="55" t="s">
        <v>3233</v>
      </c>
      <c r="F837" s="64"/>
      <c r="G837" s="218"/>
      <c r="H837" s="217">
        <f>G836</f>
        <v>0</v>
      </c>
    </row>
    <row r="838" spans="1:8" x14ac:dyDescent="0.25">
      <c r="A838" s="64"/>
      <c r="B838" s="66"/>
      <c r="C838" s="66"/>
      <c r="D838" s="51"/>
      <c r="E838" s="55"/>
      <c r="F838" s="64"/>
      <c r="G838" s="218"/>
      <c r="H838" s="217"/>
    </row>
    <row r="839" spans="1:8" x14ac:dyDescent="0.25">
      <c r="A839" s="654" t="s">
        <v>15</v>
      </c>
      <c r="B839" s="654"/>
      <c r="C839" s="654"/>
      <c r="D839" s="654"/>
      <c r="E839" s="654"/>
      <c r="F839" s="654"/>
      <c r="G839" s="228">
        <f>SUM(G782:G838)</f>
        <v>0</v>
      </c>
      <c r="H839" s="229">
        <f>SUM(H782:H838)</f>
        <v>0</v>
      </c>
    </row>
    <row r="840" spans="1:8" x14ac:dyDescent="0.25">
      <c r="A840" s="654" t="s">
        <v>3560</v>
      </c>
      <c r="B840" s="654"/>
      <c r="C840" s="654"/>
      <c r="D840" s="654"/>
      <c r="E840" s="654"/>
      <c r="F840" s="654"/>
      <c r="G840" s="228">
        <f>G728</f>
        <v>0</v>
      </c>
      <c r="H840" s="228">
        <f>H728</f>
        <v>0</v>
      </c>
    </row>
    <row r="841" spans="1:8" ht="15.75" thickBot="1" x14ac:dyDescent="0.3">
      <c r="A841" s="655" t="s">
        <v>3718</v>
      </c>
      <c r="B841" s="655"/>
      <c r="C841" s="655"/>
      <c r="D841" s="655"/>
      <c r="E841" s="655"/>
      <c r="F841" s="655"/>
      <c r="G841" s="224">
        <f>SUM(G839:G840)</f>
        <v>0</v>
      </c>
      <c r="H841" s="225">
        <f>SUM(H839:H840)</f>
        <v>0</v>
      </c>
    </row>
    <row r="842" spans="1:8" x14ac:dyDescent="0.25">
      <c r="A842" s="96"/>
      <c r="B842" s="96"/>
      <c r="C842" s="96"/>
      <c r="D842" s="96"/>
      <c r="E842" s="96"/>
      <c r="F842" s="96"/>
      <c r="G842" s="226"/>
      <c r="H842" s="226"/>
    </row>
    <row r="885" spans="1:8" x14ac:dyDescent="0.25">
      <c r="A885" s="50" t="s">
        <v>0</v>
      </c>
      <c r="B885" s="50"/>
      <c r="C885" s="50"/>
      <c r="D885" s="50"/>
      <c r="E885" s="9"/>
      <c r="F885" s="18"/>
      <c r="G885" s="219"/>
      <c r="H885" s="219"/>
    </row>
    <row r="886" spans="1:8" x14ac:dyDescent="0.25">
      <c r="A886" s="50" t="s">
        <v>1</v>
      </c>
      <c r="B886" s="50"/>
      <c r="C886" s="50"/>
      <c r="D886" s="50"/>
      <c r="E886" s="9"/>
      <c r="F886" s="18"/>
      <c r="G886" s="219"/>
      <c r="H886" s="219"/>
    </row>
    <row r="887" spans="1:8" x14ac:dyDescent="0.25">
      <c r="A887" s="50" t="s">
        <v>16</v>
      </c>
      <c r="B887" s="50"/>
      <c r="C887" s="50"/>
      <c r="D887" s="50"/>
      <c r="E887" s="9"/>
      <c r="F887" s="18"/>
      <c r="G887" s="219"/>
      <c r="H887" s="219"/>
    </row>
    <row r="888" spans="1:8" x14ac:dyDescent="0.25">
      <c r="A888" s="643" t="s">
        <v>117</v>
      </c>
      <c r="B888" s="643"/>
      <c r="C888" s="643"/>
      <c r="D888" s="643"/>
      <c r="E888" s="643"/>
      <c r="F888" s="643"/>
      <c r="G888" s="643"/>
      <c r="H888" s="643"/>
    </row>
    <row r="889" spans="1:8" x14ac:dyDescent="0.25">
      <c r="A889" s="643" t="s">
        <v>3800</v>
      </c>
      <c r="B889" s="643"/>
      <c r="C889" s="643"/>
      <c r="D889" s="643"/>
      <c r="E889" s="643"/>
      <c r="F889" s="643"/>
      <c r="G889" s="643"/>
      <c r="H889" s="643"/>
    </row>
    <row r="890" spans="1:8" ht="15.75" thickBot="1" x14ac:dyDescent="0.3">
      <c r="A890" s="1"/>
      <c r="B890" s="1"/>
      <c r="C890" s="1"/>
      <c r="D890" s="1"/>
      <c r="E890" s="1"/>
      <c r="F890" s="19"/>
      <c r="G890" s="178"/>
      <c r="H890" s="178"/>
    </row>
    <row r="891" spans="1:8" ht="22.5" x14ac:dyDescent="0.25">
      <c r="A891" s="53" t="s">
        <v>12</v>
      </c>
      <c r="B891" s="192" t="s">
        <v>3283</v>
      </c>
      <c r="C891" s="193" t="s">
        <v>3285</v>
      </c>
      <c r="D891" s="652" t="s">
        <v>3282</v>
      </c>
      <c r="E891" s="653"/>
      <c r="F891" s="215" t="s">
        <v>3284</v>
      </c>
      <c r="G891" s="220" t="s">
        <v>57</v>
      </c>
      <c r="H891" s="221" t="s">
        <v>58</v>
      </c>
    </row>
    <row r="892" spans="1:8" x14ac:dyDescent="0.25">
      <c r="A892" s="56"/>
      <c r="B892" s="240"/>
      <c r="C892" s="194"/>
      <c r="D892" s="195"/>
      <c r="E892" s="191"/>
      <c r="F892" s="56"/>
      <c r="G892" s="222"/>
      <c r="H892" s="223"/>
    </row>
    <row r="893" spans="1:8" x14ac:dyDescent="0.25">
      <c r="A893" s="241" t="s">
        <v>3695</v>
      </c>
      <c r="B893" s="242"/>
      <c r="C893" s="243" t="s">
        <v>3303</v>
      </c>
      <c r="D893" s="244" t="s">
        <v>3690</v>
      </c>
      <c r="E893" s="245"/>
      <c r="F893" s="246"/>
      <c r="G893" s="247"/>
      <c r="H893" s="248"/>
    </row>
    <row r="894" spans="1:8" x14ac:dyDescent="0.25">
      <c r="A894" s="249"/>
      <c r="B894" s="242"/>
      <c r="C894" s="250" t="s">
        <v>3291</v>
      </c>
      <c r="D894" s="251"/>
      <c r="E894" s="252" t="s">
        <v>3274</v>
      </c>
      <c r="F894" s="246"/>
      <c r="G894" s="247"/>
      <c r="H894" s="248"/>
    </row>
    <row r="895" spans="1:8" x14ac:dyDescent="0.25">
      <c r="A895" s="249"/>
      <c r="B895" s="242"/>
      <c r="C895" s="250" t="s">
        <v>3295</v>
      </c>
      <c r="D895" s="251"/>
      <c r="E895" s="252" t="s">
        <v>3297</v>
      </c>
      <c r="F895" s="246"/>
      <c r="G895" s="247"/>
      <c r="H895" s="248"/>
    </row>
    <row r="896" spans="1:8" x14ac:dyDescent="0.25">
      <c r="A896" s="249"/>
      <c r="B896" s="242"/>
      <c r="C896" s="250"/>
      <c r="D896" s="251"/>
      <c r="E896" s="252"/>
      <c r="F896" s="246"/>
      <c r="G896" s="247"/>
      <c r="H896" s="248"/>
    </row>
    <row r="897" spans="1:9" x14ac:dyDescent="0.25">
      <c r="A897" s="56"/>
      <c r="B897" s="240"/>
      <c r="C897" s="194"/>
      <c r="D897" s="194"/>
      <c r="E897" s="230"/>
      <c r="F897" s="240"/>
      <c r="G897" s="222"/>
      <c r="H897" s="223"/>
    </row>
    <row r="898" spans="1:9" x14ac:dyDescent="0.25">
      <c r="A898" s="61" t="s">
        <v>3696</v>
      </c>
      <c r="B898" s="189"/>
      <c r="C898" s="189" t="s">
        <v>3286</v>
      </c>
      <c r="D898" s="67" t="s">
        <v>3269</v>
      </c>
      <c r="E898" s="55"/>
      <c r="F898" s="240"/>
      <c r="G898" s="222"/>
      <c r="H898" s="217"/>
    </row>
    <row r="899" spans="1:9" x14ac:dyDescent="0.25">
      <c r="A899" s="64"/>
      <c r="B899" s="66"/>
      <c r="C899" s="66" t="s">
        <v>3287</v>
      </c>
      <c r="D899" s="67" t="s">
        <v>3270</v>
      </c>
      <c r="E899" s="55"/>
      <c r="F899" s="240"/>
      <c r="G899" s="222"/>
      <c r="H899" s="217"/>
    </row>
    <row r="900" spans="1:9" x14ac:dyDescent="0.25">
      <c r="A900" s="64"/>
      <c r="B900" s="66"/>
      <c r="C900" s="66" t="s">
        <v>3288</v>
      </c>
      <c r="D900" s="67" t="s">
        <v>3271</v>
      </c>
      <c r="E900" s="55"/>
      <c r="F900" s="240"/>
      <c r="G900" s="222"/>
      <c r="H900" s="217"/>
    </row>
    <row r="901" spans="1:9" x14ac:dyDescent="0.25">
      <c r="A901" s="64"/>
      <c r="B901" s="66"/>
      <c r="C901" s="66" t="s">
        <v>3289</v>
      </c>
      <c r="D901" s="67" t="s">
        <v>3272</v>
      </c>
      <c r="E901" s="55"/>
      <c r="F901" s="240"/>
      <c r="G901" s="222"/>
      <c r="H901" s="217"/>
    </row>
    <row r="902" spans="1:9" x14ac:dyDescent="0.25">
      <c r="A902" s="64"/>
      <c r="B902" s="66"/>
      <c r="C902" s="66" t="s">
        <v>3290</v>
      </c>
      <c r="D902" s="67" t="s">
        <v>3273</v>
      </c>
      <c r="E902" s="55"/>
      <c r="F902" s="240"/>
      <c r="G902" s="222"/>
      <c r="H902" s="217"/>
    </row>
    <row r="903" spans="1:9" x14ac:dyDescent="0.25">
      <c r="A903" s="64"/>
      <c r="B903" s="66"/>
      <c r="C903" s="66" t="s">
        <v>3291</v>
      </c>
      <c r="D903" s="67" t="s">
        <v>3274</v>
      </c>
      <c r="E903" s="55"/>
      <c r="F903" s="240"/>
      <c r="G903" s="222"/>
      <c r="H903" s="217"/>
    </row>
    <row r="904" spans="1:9" x14ac:dyDescent="0.25">
      <c r="A904" s="64"/>
      <c r="B904" s="66"/>
      <c r="C904" s="66" t="s">
        <v>3292</v>
      </c>
      <c r="D904" s="67" t="s">
        <v>3275</v>
      </c>
      <c r="E904" s="55"/>
      <c r="F904" s="240"/>
      <c r="G904" s="222"/>
      <c r="H904" s="217"/>
    </row>
    <row r="905" spans="1:9" x14ac:dyDescent="0.25">
      <c r="A905" s="64"/>
      <c r="B905" s="66"/>
      <c r="C905" s="66" t="s">
        <v>3293</v>
      </c>
      <c r="D905" s="67" t="s">
        <v>3276</v>
      </c>
      <c r="E905" s="55"/>
      <c r="F905" s="240"/>
      <c r="G905" s="222"/>
      <c r="H905" s="217"/>
    </row>
    <row r="906" spans="1:9" x14ac:dyDescent="0.25">
      <c r="A906" s="64"/>
      <c r="B906" s="66"/>
      <c r="C906" s="66" t="s">
        <v>3294</v>
      </c>
      <c r="D906" s="67" t="s">
        <v>3277</v>
      </c>
      <c r="E906" s="55"/>
      <c r="F906" s="240"/>
      <c r="G906" s="222"/>
      <c r="H906" s="217"/>
    </row>
    <row r="907" spans="1:9" x14ac:dyDescent="0.25">
      <c r="A907" s="64"/>
      <c r="B907" s="66"/>
      <c r="C907" s="66" t="s">
        <v>3295</v>
      </c>
      <c r="D907" s="67" t="s">
        <v>3297</v>
      </c>
      <c r="E907" s="55"/>
      <c r="F907" s="240"/>
      <c r="G907" s="222"/>
      <c r="H907" s="217"/>
    </row>
    <row r="908" spans="1:9" x14ac:dyDescent="0.25">
      <c r="A908" s="61"/>
      <c r="B908" s="189"/>
      <c r="C908" s="66" t="s">
        <v>3296</v>
      </c>
      <c r="D908" s="67" t="s">
        <v>3554</v>
      </c>
      <c r="E908" s="55"/>
      <c r="F908" s="240"/>
      <c r="G908" s="222"/>
      <c r="H908" s="217"/>
    </row>
    <row r="909" spans="1:9" x14ac:dyDescent="0.25">
      <c r="A909" s="61"/>
      <c r="B909" s="189"/>
      <c r="C909" s="66" t="s">
        <v>3298</v>
      </c>
      <c r="D909" s="67" t="s">
        <v>3299</v>
      </c>
      <c r="E909" s="55"/>
      <c r="F909" s="240"/>
      <c r="G909" s="222"/>
      <c r="H909" s="217"/>
    </row>
    <row r="910" spans="1:9" x14ac:dyDescent="0.25">
      <c r="A910" s="64"/>
      <c r="B910" s="66"/>
      <c r="C910" s="66" t="s">
        <v>3301</v>
      </c>
      <c r="D910" s="51"/>
      <c r="E910" s="55" t="s">
        <v>3304</v>
      </c>
      <c r="F910" s="64">
        <f>SUM(F898:F909)</f>
        <v>0</v>
      </c>
      <c r="G910" s="222"/>
      <c r="H910" s="217">
        <f>SUM(G898:G908)</f>
        <v>0</v>
      </c>
      <c r="I910" s="269">
        <f>H910+H941</f>
        <v>0</v>
      </c>
    </row>
    <row r="911" spans="1:9" x14ac:dyDescent="0.25">
      <c r="A911" s="64"/>
      <c r="B911" s="66"/>
      <c r="C911" s="66"/>
      <c r="D911" s="51"/>
      <c r="E911" s="55"/>
      <c r="F911" s="64"/>
      <c r="G911" s="222"/>
      <c r="H911" s="217"/>
    </row>
    <row r="912" spans="1:9" x14ac:dyDescent="0.25">
      <c r="A912" s="61" t="str">
        <f>A898</f>
        <v>30 SEPT</v>
      </c>
      <c r="B912" s="189"/>
      <c r="C912" s="189" t="s">
        <v>3286</v>
      </c>
      <c r="D912" s="67" t="s">
        <v>3269</v>
      </c>
      <c r="E912" s="55"/>
      <c r="F912" s="19"/>
      <c r="G912" s="222"/>
      <c r="H912" s="217"/>
    </row>
    <row r="913" spans="1:9" x14ac:dyDescent="0.25">
      <c r="A913" s="64"/>
      <c r="B913" s="66"/>
      <c r="C913" s="66" t="s">
        <v>3287</v>
      </c>
      <c r="D913" s="67" t="s">
        <v>3270</v>
      </c>
      <c r="E913" s="55"/>
      <c r="F913" s="64"/>
      <c r="G913" s="222"/>
      <c r="H913" s="217"/>
    </row>
    <row r="914" spans="1:9" x14ac:dyDescent="0.25">
      <c r="A914" s="64"/>
      <c r="B914" s="66"/>
      <c r="C914" s="66" t="s">
        <v>3288</v>
      </c>
      <c r="D914" s="67" t="s">
        <v>3271</v>
      </c>
      <c r="E914" s="55"/>
      <c r="F914" s="64"/>
      <c r="G914" s="222"/>
      <c r="H914" s="217"/>
    </row>
    <row r="915" spans="1:9" x14ac:dyDescent="0.25">
      <c r="A915" s="64"/>
      <c r="B915" s="66"/>
      <c r="C915" s="66" t="s">
        <v>3289</v>
      </c>
      <c r="D915" s="67" t="s">
        <v>3272</v>
      </c>
      <c r="E915" s="55"/>
      <c r="F915" s="64"/>
      <c r="G915" s="222"/>
      <c r="H915" s="217"/>
    </row>
    <row r="916" spans="1:9" x14ac:dyDescent="0.25">
      <c r="A916" s="64"/>
      <c r="B916" s="66"/>
      <c r="C916" s="66" t="s">
        <v>3290</v>
      </c>
      <c r="D916" s="67" t="s">
        <v>3273</v>
      </c>
      <c r="E916" s="55"/>
      <c r="F916" s="64"/>
      <c r="G916" s="222"/>
      <c r="H916" s="217"/>
    </row>
    <row r="917" spans="1:9" x14ac:dyDescent="0.25">
      <c r="A917" s="64"/>
      <c r="B917" s="66"/>
      <c r="C917" s="66" t="s">
        <v>3291</v>
      </c>
      <c r="D917" s="67" t="s">
        <v>3274</v>
      </c>
      <c r="E917" s="55"/>
      <c r="F917" s="64"/>
      <c r="G917" s="222"/>
      <c r="H917" s="217"/>
    </row>
    <row r="918" spans="1:9" x14ac:dyDescent="0.25">
      <c r="A918" s="64"/>
      <c r="B918" s="66"/>
      <c r="C918" s="66" t="s">
        <v>3292</v>
      </c>
      <c r="D918" s="67" t="s">
        <v>3275</v>
      </c>
      <c r="E918" s="55"/>
      <c r="F918" s="64"/>
      <c r="G918" s="222"/>
      <c r="H918" s="217"/>
    </row>
    <row r="919" spans="1:9" x14ac:dyDescent="0.25">
      <c r="A919" s="64"/>
      <c r="B919" s="66"/>
      <c r="C919" s="66" t="s">
        <v>3293</v>
      </c>
      <c r="D919" s="67" t="s">
        <v>3276</v>
      </c>
      <c r="E919" s="55"/>
      <c r="F919" s="64"/>
      <c r="G919" s="222"/>
      <c r="H919" s="217"/>
    </row>
    <row r="920" spans="1:9" x14ac:dyDescent="0.25">
      <c r="A920" s="64"/>
      <c r="B920" s="66"/>
      <c r="C920" s="66" t="s">
        <v>3294</v>
      </c>
      <c r="D920" s="67" t="s">
        <v>3277</v>
      </c>
      <c r="E920" s="55"/>
      <c r="F920" s="64"/>
      <c r="G920" s="222"/>
      <c r="H920" s="217"/>
    </row>
    <row r="921" spans="1:9" x14ac:dyDescent="0.25">
      <c r="A921" s="64"/>
      <c r="B921" s="66"/>
      <c r="C921" s="66" t="s">
        <v>3295</v>
      </c>
      <c r="D921" s="67" t="s">
        <v>3297</v>
      </c>
      <c r="E921" s="55"/>
      <c r="F921" s="64"/>
      <c r="G921" s="222"/>
      <c r="H921" s="217"/>
    </row>
    <row r="922" spans="1:9" x14ac:dyDescent="0.25">
      <c r="A922" s="61"/>
      <c r="B922" s="189"/>
      <c r="C922" s="66" t="s">
        <v>3296</v>
      </c>
      <c r="D922" s="67" t="s">
        <v>3554</v>
      </c>
      <c r="E922" s="55"/>
      <c r="F922" s="64"/>
      <c r="G922" s="222"/>
      <c r="H922" s="217"/>
    </row>
    <row r="923" spans="1:9" x14ac:dyDescent="0.25">
      <c r="A923" s="61"/>
      <c r="B923" s="189"/>
      <c r="C923" s="66" t="s">
        <v>3298</v>
      </c>
      <c r="D923" s="67" t="s">
        <v>3299</v>
      </c>
      <c r="E923" s="55"/>
      <c r="F923" s="64"/>
      <c r="G923" s="222"/>
      <c r="H923" s="217"/>
    </row>
    <row r="924" spans="1:9" x14ac:dyDescent="0.25">
      <c r="A924" s="64"/>
      <c r="B924" s="66"/>
      <c r="C924" s="66" t="s">
        <v>3301</v>
      </c>
      <c r="D924" s="51"/>
      <c r="E924" s="55" t="s">
        <v>3674</v>
      </c>
      <c r="F924" s="64">
        <f>SUM(F912:F923)</f>
        <v>0</v>
      </c>
      <c r="G924" s="222"/>
      <c r="H924" s="217">
        <f>SUM(G912:G922)</f>
        <v>0</v>
      </c>
      <c r="I924" s="269">
        <f>H924+H944</f>
        <v>0</v>
      </c>
    </row>
    <row r="925" spans="1:9" x14ac:dyDescent="0.25">
      <c r="A925" s="64"/>
      <c r="B925" s="66"/>
      <c r="C925" s="66"/>
      <c r="D925" s="51"/>
      <c r="E925" s="55"/>
      <c r="F925" s="64"/>
      <c r="G925" s="222"/>
      <c r="H925" s="217"/>
    </row>
    <row r="926" spans="1:9" x14ac:dyDescent="0.25">
      <c r="A926" s="61" t="str">
        <f>A912</f>
        <v>30 SEPT</v>
      </c>
      <c r="B926" s="189"/>
      <c r="C926" s="189" t="s">
        <v>3286</v>
      </c>
      <c r="D926" s="67" t="s">
        <v>3269</v>
      </c>
      <c r="E926" s="55"/>
      <c r="F926" s="64"/>
      <c r="G926" s="222"/>
      <c r="H926" s="217"/>
    </row>
    <row r="927" spans="1:9" x14ac:dyDescent="0.25">
      <c r="A927" s="64"/>
      <c r="B927" s="66"/>
      <c r="C927" s="66" t="s">
        <v>3287</v>
      </c>
      <c r="D927" s="67" t="s">
        <v>3270</v>
      </c>
      <c r="E927" s="55"/>
      <c r="F927" s="64"/>
      <c r="G927" s="222"/>
      <c r="H927" s="217"/>
    </row>
    <row r="928" spans="1:9" x14ac:dyDescent="0.25">
      <c r="A928" s="64"/>
      <c r="B928" s="66"/>
      <c r="C928" s="66" t="s">
        <v>3288</v>
      </c>
      <c r="D928" s="67" t="s">
        <v>3271</v>
      </c>
      <c r="E928" s="55"/>
      <c r="F928" s="64"/>
      <c r="G928" s="222"/>
      <c r="H928" s="217"/>
    </row>
    <row r="929" spans="1:9" x14ac:dyDescent="0.25">
      <c r="A929" s="64"/>
      <c r="B929" s="66"/>
      <c r="C929" s="66" t="s">
        <v>3289</v>
      </c>
      <c r="D929" s="67" t="s">
        <v>3272</v>
      </c>
      <c r="E929" s="55"/>
      <c r="F929" s="64"/>
      <c r="G929" s="222"/>
      <c r="H929" s="217"/>
    </row>
    <row r="930" spans="1:9" x14ac:dyDescent="0.25">
      <c r="A930" s="64"/>
      <c r="B930" s="66"/>
      <c r="C930" s="66" t="s">
        <v>3290</v>
      </c>
      <c r="D930" s="67" t="s">
        <v>3273</v>
      </c>
      <c r="E930" s="55"/>
      <c r="F930" s="64"/>
      <c r="G930" s="222"/>
      <c r="H930" s="217"/>
    </row>
    <row r="931" spans="1:9" x14ac:dyDescent="0.25">
      <c r="A931" s="64"/>
      <c r="B931" s="66"/>
      <c r="C931" s="66" t="s">
        <v>3291</v>
      </c>
      <c r="D931" s="67" t="s">
        <v>3274</v>
      </c>
      <c r="E931" s="55"/>
      <c r="F931" s="64"/>
      <c r="G931" s="222"/>
      <c r="H931" s="217"/>
    </row>
    <row r="932" spans="1:9" x14ac:dyDescent="0.25">
      <c r="A932" s="64"/>
      <c r="B932" s="66"/>
      <c r="C932" s="66" t="s">
        <v>3292</v>
      </c>
      <c r="D932" s="67" t="s">
        <v>3275</v>
      </c>
      <c r="E932" s="55"/>
      <c r="F932" s="64"/>
      <c r="G932" s="222"/>
      <c r="H932" s="217"/>
      <c r="I932" s="269"/>
    </row>
    <row r="933" spans="1:9" x14ac:dyDescent="0.25">
      <c r="A933" s="64"/>
      <c r="B933" s="66"/>
      <c r="C933" s="66" t="s">
        <v>3293</v>
      </c>
      <c r="D933" s="67" t="s">
        <v>3276</v>
      </c>
      <c r="E933" s="55"/>
      <c r="F933" s="64"/>
      <c r="G933" s="222"/>
      <c r="H933" s="217"/>
    </row>
    <row r="934" spans="1:9" x14ac:dyDescent="0.25">
      <c r="A934" s="64"/>
      <c r="B934" s="66"/>
      <c r="C934" s="66" t="s">
        <v>3294</v>
      </c>
      <c r="D934" s="67" t="s">
        <v>3277</v>
      </c>
      <c r="E934" s="55"/>
      <c r="F934" s="64"/>
      <c r="G934" s="222"/>
      <c r="H934" s="217"/>
    </row>
    <row r="935" spans="1:9" x14ac:dyDescent="0.25">
      <c r="A935" s="64"/>
      <c r="B935" s="66"/>
      <c r="C935" s="66" t="s">
        <v>3295</v>
      </c>
      <c r="D935" s="67" t="s">
        <v>3297</v>
      </c>
      <c r="E935" s="55"/>
      <c r="F935" s="64"/>
      <c r="G935" s="222"/>
      <c r="H935" s="217"/>
      <c r="I935" s="269"/>
    </row>
    <row r="936" spans="1:9" x14ac:dyDescent="0.25">
      <c r="A936" s="61"/>
      <c r="B936" s="189"/>
      <c r="C936" s="66" t="s">
        <v>3296</v>
      </c>
      <c r="D936" s="67" t="s">
        <v>3554</v>
      </c>
      <c r="E936" s="55"/>
      <c r="F936" s="64"/>
      <c r="G936" s="222"/>
      <c r="H936" s="217"/>
    </row>
    <row r="937" spans="1:9" x14ac:dyDescent="0.25">
      <c r="A937" s="61"/>
      <c r="B937" s="189"/>
      <c r="C937" s="66" t="s">
        <v>3298</v>
      </c>
      <c r="D937" s="67" t="s">
        <v>3299</v>
      </c>
      <c r="E937" s="55"/>
      <c r="F937" s="64"/>
      <c r="G937" s="222"/>
      <c r="H937" s="217"/>
    </row>
    <row r="938" spans="1:9" x14ac:dyDescent="0.25">
      <c r="A938" s="64"/>
      <c r="B938" s="66"/>
      <c r="C938" s="66" t="s">
        <v>3301</v>
      </c>
      <c r="D938" s="51"/>
      <c r="E938" s="55" t="s">
        <v>3675</v>
      </c>
      <c r="F938" s="64">
        <f>SUM(F926:F937)</f>
        <v>0</v>
      </c>
      <c r="G938" s="222"/>
      <c r="H938" s="217">
        <f>SUM(G926:G936)</f>
        <v>0</v>
      </c>
      <c r="I938" s="269">
        <f>H938+H947</f>
        <v>0</v>
      </c>
    </row>
    <row r="939" spans="1:9" x14ac:dyDescent="0.25">
      <c r="A939" s="64"/>
      <c r="B939" s="66"/>
      <c r="C939" s="66"/>
      <c r="D939" s="51"/>
      <c r="E939" s="55"/>
      <c r="F939" s="64"/>
      <c r="G939" s="222"/>
      <c r="H939" s="217"/>
    </row>
    <row r="940" spans="1:9" x14ac:dyDescent="0.25">
      <c r="A940" s="61" t="str">
        <f>A898</f>
        <v>30 SEPT</v>
      </c>
      <c r="B940" s="189"/>
      <c r="C940" s="189" t="s">
        <v>3300</v>
      </c>
      <c r="D940" s="51" t="s">
        <v>3232</v>
      </c>
      <c r="E940" s="55"/>
      <c r="F940" s="64">
        <f>F910</f>
        <v>0</v>
      </c>
      <c r="G940" s="222"/>
      <c r="H940" s="217"/>
    </row>
    <row r="941" spans="1:9" x14ac:dyDescent="0.25">
      <c r="A941" s="64"/>
      <c r="B941" s="66"/>
      <c r="C941" s="66" t="s">
        <v>3302</v>
      </c>
      <c r="D941" s="51"/>
      <c r="E941" s="55" t="s">
        <v>3233</v>
      </c>
      <c r="F941" s="64">
        <f>F940</f>
        <v>0</v>
      </c>
      <c r="G941" s="222"/>
      <c r="H941" s="217">
        <f>G940</f>
        <v>0</v>
      </c>
      <c r="I941" s="269"/>
    </row>
    <row r="942" spans="1:9" x14ac:dyDescent="0.25">
      <c r="A942" s="64"/>
      <c r="B942" s="66"/>
      <c r="C942" s="66"/>
      <c r="D942" s="51"/>
      <c r="E942" s="55"/>
      <c r="F942" s="64"/>
      <c r="G942" s="222"/>
      <c r="H942" s="217"/>
      <c r="I942" s="269"/>
    </row>
    <row r="943" spans="1:9" x14ac:dyDescent="0.25">
      <c r="A943" s="64" t="str">
        <f>A940</f>
        <v>30 SEPT</v>
      </c>
      <c r="B943" s="66"/>
      <c r="C943" s="189" t="s">
        <v>3300</v>
      </c>
      <c r="D943" s="51" t="s">
        <v>3676</v>
      </c>
      <c r="E943" s="55"/>
      <c r="F943" s="64">
        <f>F924</f>
        <v>0</v>
      </c>
      <c r="G943" s="222"/>
      <c r="H943" s="217"/>
    </row>
    <row r="944" spans="1:9" x14ac:dyDescent="0.25">
      <c r="A944" s="64"/>
      <c r="B944" s="66"/>
      <c r="C944" s="66" t="s">
        <v>3302</v>
      </c>
      <c r="D944" s="51"/>
      <c r="E944" s="55" t="s">
        <v>3233</v>
      </c>
      <c r="F944" s="64"/>
      <c r="G944" s="222"/>
      <c r="H944" s="217">
        <f>G943</f>
        <v>0</v>
      </c>
    </row>
    <row r="945" spans="1:9" x14ac:dyDescent="0.25">
      <c r="A945" s="64"/>
      <c r="B945" s="66"/>
      <c r="C945" s="66"/>
      <c r="D945" s="51"/>
      <c r="E945" s="55"/>
      <c r="F945" s="64"/>
      <c r="G945" s="222"/>
      <c r="H945" s="217"/>
    </row>
    <row r="946" spans="1:9" x14ac:dyDescent="0.25">
      <c r="A946" s="64" t="str">
        <f>A943</f>
        <v>30 SEPT</v>
      </c>
      <c r="B946" s="66"/>
      <c r="C946" s="189" t="s">
        <v>3300</v>
      </c>
      <c r="D946" s="51" t="s">
        <v>3677</v>
      </c>
      <c r="E946" s="55"/>
      <c r="F946" s="64">
        <f>F938</f>
        <v>0</v>
      </c>
      <c r="G946" s="222"/>
      <c r="H946" s="217"/>
    </row>
    <row r="947" spans="1:9" x14ac:dyDescent="0.25">
      <c r="A947" s="64"/>
      <c r="B947" s="66"/>
      <c r="C947" s="66" t="s">
        <v>3302</v>
      </c>
      <c r="D947" s="51"/>
      <c r="E947" s="55" t="s">
        <v>3233</v>
      </c>
      <c r="F947" s="64"/>
      <c r="G947" s="218"/>
      <c r="H947" s="217">
        <f>G946</f>
        <v>0</v>
      </c>
      <c r="I947" s="269"/>
    </row>
    <row r="948" spans="1:9" x14ac:dyDescent="0.25">
      <c r="A948" s="64"/>
      <c r="B948" s="66"/>
      <c r="C948" s="66"/>
      <c r="D948" s="51"/>
      <c r="E948" s="55"/>
      <c r="F948" s="64"/>
      <c r="G948" s="218"/>
      <c r="H948" s="217"/>
    </row>
    <row r="949" spans="1:9" x14ac:dyDescent="0.25">
      <c r="A949" s="654" t="s">
        <v>15</v>
      </c>
      <c r="B949" s="654"/>
      <c r="C949" s="654"/>
      <c r="D949" s="654"/>
      <c r="E949" s="654"/>
      <c r="F949" s="654"/>
      <c r="G949" s="228">
        <f>SUM(G893:G948)</f>
        <v>0</v>
      </c>
      <c r="H949" s="229">
        <f>SUM(H893:H948)</f>
        <v>0</v>
      </c>
    </row>
    <row r="950" spans="1:9" x14ac:dyDescent="0.25">
      <c r="A950" s="654" t="s">
        <v>3560</v>
      </c>
      <c r="B950" s="654"/>
      <c r="C950" s="654"/>
      <c r="D950" s="654"/>
      <c r="E950" s="654"/>
      <c r="F950" s="654"/>
      <c r="G950" s="228">
        <f>G841</f>
        <v>0</v>
      </c>
      <c r="H950" s="228">
        <f>H841</f>
        <v>0</v>
      </c>
    </row>
    <row r="951" spans="1:9" ht="15.75" thickBot="1" x14ac:dyDescent="0.3">
      <c r="A951" s="655" t="s">
        <v>3717</v>
      </c>
      <c r="B951" s="655"/>
      <c r="C951" s="655"/>
      <c r="D951" s="655"/>
      <c r="E951" s="655"/>
      <c r="F951" s="655"/>
      <c r="G951" s="224">
        <f>SUM(G949:G950)</f>
        <v>0</v>
      </c>
      <c r="H951" s="225">
        <f>SUM(H949:H950)</f>
        <v>0</v>
      </c>
    </row>
    <row r="952" spans="1:9" x14ac:dyDescent="0.25">
      <c r="A952" s="96"/>
      <c r="B952" s="96"/>
      <c r="C952" s="96"/>
      <c r="D952" s="96"/>
      <c r="E952" s="96"/>
      <c r="F952" s="96"/>
      <c r="G952" s="226"/>
      <c r="H952" s="226"/>
    </row>
    <row r="996" spans="1:8" x14ac:dyDescent="0.25">
      <c r="A996" s="50" t="s">
        <v>0</v>
      </c>
      <c r="B996" s="50"/>
      <c r="C996" s="50"/>
      <c r="D996" s="50"/>
      <c r="E996" s="9"/>
      <c r="F996" s="18"/>
      <c r="G996" s="219"/>
      <c r="H996" s="219"/>
    </row>
    <row r="997" spans="1:8" x14ac:dyDescent="0.25">
      <c r="A997" s="50" t="s">
        <v>1</v>
      </c>
      <c r="B997" s="50"/>
      <c r="C997" s="50"/>
      <c r="D997" s="50"/>
      <c r="E997" s="9"/>
      <c r="F997" s="18"/>
      <c r="G997" s="219"/>
      <c r="H997" s="219"/>
    </row>
    <row r="998" spans="1:8" x14ac:dyDescent="0.25">
      <c r="A998" s="50" t="s">
        <v>16</v>
      </c>
      <c r="B998" s="50"/>
      <c r="C998" s="50"/>
      <c r="D998" s="50"/>
      <c r="E998" s="9"/>
      <c r="F998" s="18"/>
      <c r="G998" s="219"/>
      <c r="H998" s="219"/>
    </row>
    <row r="999" spans="1:8" x14ac:dyDescent="0.25">
      <c r="A999" s="643" t="s">
        <v>117</v>
      </c>
      <c r="B999" s="643"/>
      <c r="C999" s="643"/>
      <c r="D999" s="643"/>
      <c r="E999" s="643"/>
      <c r="F999" s="643"/>
      <c r="G999" s="643"/>
      <c r="H999" s="643"/>
    </row>
    <row r="1000" spans="1:8" x14ac:dyDescent="0.25">
      <c r="A1000" s="643" t="s">
        <v>3801</v>
      </c>
      <c r="B1000" s="643"/>
      <c r="C1000" s="643"/>
      <c r="D1000" s="643"/>
      <c r="E1000" s="643"/>
      <c r="F1000" s="643"/>
      <c r="G1000" s="643"/>
      <c r="H1000" s="643"/>
    </row>
    <row r="1001" spans="1:8" ht="15.75" thickBot="1" x14ac:dyDescent="0.3">
      <c r="A1001" s="1"/>
      <c r="B1001" s="1"/>
      <c r="C1001" s="1"/>
      <c r="D1001" s="1"/>
      <c r="E1001" s="1"/>
      <c r="F1001" s="19"/>
      <c r="G1001" s="178"/>
      <c r="H1001" s="178"/>
    </row>
    <row r="1002" spans="1:8" ht="22.5" x14ac:dyDescent="0.25">
      <c r="A1002" s="53" t="s">
        <v>12</v>
      </c>
      <c r="B1002" s="192" t="s">
        <v>3283</v>
      </c>
      <c r="C1002" s="193" t="s">
        <v>3285</v>
      </c>
      <c r="D1002" s="652" t="s">
        <v>3282</v>
      </c>
      <c r="E1002" s="653"/>
      <c r="F1002" s="215" t="s">
        <v>3284</v>
      </c>
      <c r="G1002" s="220" t="s">
        <v>57</v>
      </c>
      <c r="H1002" s="221" t="s">
        <v>58</v>
      </c>
    </row>
    <row r="1003" spans="1:8" x14ac:dyDescent="0.25">
      <c r="A1003" s="56"/>
      <c r="B1003" s="240"/>
      <c r="C1003" s="194"/>
      <c r="D1003" s="195"/>
      <c r="E1003" s="191"/>
      <c r="F1003" s="56"/>
      <c r="G1003" s="222"/>
      <c r="H1003" s="223"/>
    </row>
    <row r="1004" spans="1:8" x14ac:dyDescent="0.25">
      <c r="A1004" s="241" t="s">
        <v>4947</v>
      </c>
      <c r="B1004" s="242"/>
      <c r="C1004" s="243" t="s">
        <v>3303</v>
      </c>
      <c r="D1004" s="244" t="s">
        <v>3690</v>
      </c>
      <c r="E1004" s="245"/>
      <c r="F1004" s="246"/>
      <c r="G1004" s="247"/>
      <c r="H1004" s="248"/>
    </row>
    <row r="1005" spans="1:8" x14ac:dyDescent="0.25">
      <c r="A1005" s="249"/>
      <c r="B1005" s="242"/>
      <c r="C1005" s="250" t="s">
        <v>3291</v>
      </c>
      <c r="D1005" s="261"/>
      <c r="E1005" s="252" t="s">
        <v>3274</v>
      </c>
      <c r="F1005" s="246"/>
      <c r="G1005" s="247"/>
      <c r="H1005" s="248"/>
    </row>
    <row r="1006" spans="1:8" x14ac:dyDescent="0.25">
      <c r="A1006" s="249"/>
      <c r="B1006" s="242"/>
      <c r="C1006" s="250"/>
      <c r="D1006" s="261"/>
      <c r="E1006" s="252"/>
      <c r="F1006" s="246"/>
      <c r="G1006" s="247"/>
      <c r="H1006" s="248"/>
    </row>
    <row r="1007" spans="1:8" x14ac:dyDescent="0.25">
      <c r="A1007" s="56"/>
      <c r="B1007" s="240"/>
      <c r="C1007" s="194"/>
      <c r="D1007" s="194"/>
      <c r="E1007" s="230"/>
      <c r="F1007" s="240"/>
      <c r="G1007" s="222"/>
      <c r="H1007" s="223"/>
    </row>
    <row r="1008" spans="1:8" x14ac:dyDescent="0.25">
      <c r="A1008" s="61" t="s">
        <v>3698</v>
      </c>
      <c r="B1008" s="189"/>
      <c r="C1008" s="189" t="s">
        <v>3286</v>
      </c>
      <c r="D1008" s="67" t="s">
        <v>3269</v>
      </c>
      <c r="E1008" s="55"/>
      <c r="F1008" s="240"/>
      <c r="G1008" s="222"/>
      <c r="H1008" s="217"/>
    </row>
    <row r="1009" spans="1:8" x14ac:dyDescent="0.25">
      <c r="A1009" s="64"/>
      <c r="B1009" s="66"/>
      <c r="C1009" s="66" t="s">
        <v>3287</v>
      </c>
      <c r="D1009" s="67" t="s">
        <v>3270</v>
      </c>
      <c r="E1009" s="55"/>
      <c r="F1009" s="240"/>
      <c r="G1009" s="222"/>
      <c r="H1009" s="217"/>
    </row>
    <row r="1010" spans="1:8" x14ac:dyDescent="0.25">
      <c r="A1010" s="64"/>
      <c r="B1010" s="66"/>
      <c r="C1010" s="66" t="s">
        <v>3288</v>
      </c>
      <c r="D1010" s="67" t="s">
        <v>3271</v>
      </c>
      <c r="E1010" s="55"/>
      <c r="F1010" s="240"/>
      <c r="G1010" s="222"/>
      <c r="H1010" s="217"/>
    </row>
    <row r="1011" spans="1:8" x14ac:dyDescent="0.25">
      <c r="A1011" s="64"/>
      <c r="B1011" s="66"/>
      <c r="C1011" s="66" t="s">
        <v>3289</v>
      </c>
      <c r="D1011" s="67" t="s">
        <v>3272</v>
      </c>
      <c r="E1011" s="55"/>
      <c r="F1011" s="240"/>
      <c r="G1011" s="222"/>
      <c r="H1011" s="217"/>
    </row>
    <row r="1012" spans="1:8" x14ac:dyDescent="0.25">
      <c r="A1012" s="64"/>
      <c r="B1012" s="66"/>
      <c r="C1012" s="66" t="s">
        <v>3290</v>
      </c>
      <c r="D1012" s="67" t="s">
        <v>3273</v>
      </c>
      <c r="E1012" s="55"/>
      <c r="F1012" s="240"/>
      <c r="G1012" s="222"/>
      <c r="H1012" s="217"/>
    </row>
    <row r="1013" spans="1:8" x14ac:dyDescent="0.25">
      <c r="A1013" s="64"/>
      <c r="B1013" s="66"/>
      <c r="C1013" s="66" t="s">
        <v>3291</v>
      </c>
      <c r="D1013" s="67" t="s">
        <v>3274</v>
      </c>
      <c r="E1013" s="55"/>
      <c r="F1013" s="240"/>
      <c r="G1013" s="222"/>
      <c r="H1013" s="217"/>
    </row>
    <row r="1014" spans="1:8" x14ac:dyDescent="0.25">
      <c r="A1014" s="64"/>
      <c r="B1014" s="66"/>
      <c r="C1014" s="66" t="s">
        <v>3292</v>
      </c>
      <c r="D1014" s="67" t="s">
        <v>3275</v>
      </c>
      <c r="E1014" s="55"/>
      <c r="F1014" s="240"/>
      <c r="G1014" s="222"/>
      <c r="H1014" s="217"/>
    </row>
    <row r="1015" spans="1:8" x14ac:dyDescent="0.25">
      <c r="A1015" s="64"/>
      <c r="B1015" s="66"/>
      <c r="C1015" s="66" t="s">
        <v>3293</v>
      </c>
      <c r="D1015" s="67" t="s">
        <v>3276</v>
      </c>
      <c r="E1015" s="55"/>
      <c r="F1015" s="240"/>
      <c r="G1015" s="222"/>
      <c r="H1015" s="217"/>
    </row>
    <row r="1016" spans="1:8" x14ac:dyDescent="0.25">
      <c r="A1016" s="64"/>
      <c r="B1016" s="66"/>
      <c r="C1016" s="66" t="s">
        <v>3294</v>
      </c>
      <c r="D1016" s="67" t="s">
        <v>3277</v>
      </c>
      <c r="E1016" s="55"/>
      <c r="F1016" s="240"/>
      <c r="G1016" s="222"/>
      <c r="H1016" s="217"/>
    </row>
    <row r="1017" spans="1:8" x14ac:dyDescent="0.25">
      <c r="A1017" s="64"/>
      <c r="B1017" s="66"/>
      <c r="C1017" s="66" t="s">
        <v>3295</v>
      </c>
      <c r="D1017" s="67" t="s">
        <v>3297</v>
      </c>
      <c r="E1017" s="55"/>
      <c r="F1017" s="240"/>
      <c r="G1017" s="222"/>
      <c r="H1017" s="217"/>
    </row>
    <row r="1018" spans="1:8" x14ac:dyDescent="0.25">
      <c r="A1018" s="61"/>
      <c r="B1018" s="189"/>
      <c r="C1018" s="66" t="s">
        <v>3296</v>
      </c>
      <c r="D1018" s="67" t="s">
        <v>3554</v>
      </c>
      <c r="E1018" s="55"/>
      <c r="F1018" s="240"/>
      <c r="G1018" s="222"/>
      <c r="H1018" s="217"/>
    </row>
    <row r="1019" spans="1:8" x14ac:dyDescent="0.25">
      <c r="A1019" s="61"/>
      <c r="B1019" s="189"/>
      <c r="C1019" s="66" t="s">
        <v>3298</v>
      </c>
      <c r="D1019" s="67" t="s">
        <v>3299</v>
      </c>
      <c r="E1019" s="55"/>
      <c r="F1019" s="240"/>
      <c r="G1019" s="222"/>
      <c r="H1019" s="217"/>
    </row>
    <row r="1020" spans="1:8" x14ac:dyDescent="0.25">
      <c r="A1020" s="64"/>
      <c r="B1020" s="66"/>
      <c r="C1020" s="66" t="s">
        <v>3301</v>
      </c>
      <c r="D1020" s="51"/>
      <c r="E1020" s="55" t="s">
        <v>3304</v>
      </c>
      <c r="F1020" s="64">
        <f>SUM(F1008:F1019)</f>
        <v>0</v>
      </c>
      <c r="G1020" s="222"/>
      <c r="H1020" s="217">
        <f>SUM(G1008:G1018)</f>
        <v>0</v>
      </c>
    </row>
    <row r="1021" spans="1:8" x14ac:dyDescent="0.25">
      <c r="A1021" s="64"/>
      <c r="B1021" s="66"/>
      <c r="C1021" s="66"/>
      <c r="D1021" s="51"/>
      <c r="E1021" s="55"/>
      <c r="F1021" s="64"/>
      <c r="G1021" s="222"/>
      <c r="H1021" s="217"/>
    </row>
    <row r="1022" spans="1:8" x14ac:dyDescent="0.25">
      <c r="A1022" s="61" t="str">
        <f>A1008</f>
        <v>31 OKT</v>
      </c>
      <c r="B1022" s="189"/>
      <c r="C1022" s="189" t="s">
        <v>3286</v>
      </c>
      <c r="D1022" s="67" t="s">
        <v>3269</v>
      </c>
      <c r="E1022" s="55"/>
      <c r="F1022" s="19"/>
      <c r="G1022" s="222"/>
      <c r="H1022" s="217"/>
    </row>
    <row r="1023" spans="1:8" x14ac:dyDescent="0.25">
      <c r="A1023" s="64"/>
      <c r="B1023" s="66"/>
      <c r="C1023" s="66" t="s">
        <v>3287</v>
      </c>
      <c r="D1023" s="67" t="s">
        <v>3270</v>
      </c>
      <c r="E1023" s="55"/>
      <c r="F1023" s="64"/>
      <c r="G1023" s="222"/>
      <c r="H1023" s="217"/>
    </row>
    <row r="1024" spans="1:8" x14ac:dyDescent="0.25">
      <c r="A1024" s="64"/>
      <c r="B1024" s="66"/>
      <c r="C1024" s="66" t="s">
        <v>3288</v>
      </c>
      <c r="D1024" s="67" t="s">
        <v>3271</v>
      </c>
      <c r="E1024" s="55"/>
      <c r="F1024" s="64"/>
      <c r="G1024" s="222"/>
      <c r="H1024" s="217"/>
    </row>
    <row r="1025" spans="1:8" x14ac:dyDescent="0.25">
      <c r="A1025" s="64"/>
      <c r="B1025" s="66"/>
      <c r="C1025" s="66" t="s">
        <v>3289</v>
      </c>
      <c r="D1025" s="67" t="s">
        <v>3272</v>
      </c>
      <c r="E1025" s="55"/>
      <c r="F1025" s="64"/>
      <c r="G1025" s="222"/>
      <c r="H1025" s="217"/>
    </row>
    <row r="1026" spans="1:8" x14ac:dyDescent="0.25">
      <c r="A1026" s="64"/>
      <c r="B1026" s="66"/>
      <c r="C1026" s="66" t="s">
        <v>3290</v>
      </c>
      <c r="D1026" s="67" t="s">
        <v>3273</v>
      </c>
      <c r="E1026" s="55"/>
      <c r="F1026" s="64"/>
      <c r="G1026" s="222"/>
      <c r="H1026" s="217"/>
    </row>
    <row r="1027" spans="1:8" x14ac:dyDescent="0.25">
      <c r="A1027" s="64"/>
      <c r="B1027" s="66"/>
      <c r="C1027" s="66" t="s">
        <v>3291</v>
      </c>
      <c r="D1027" s="67" t="s">
        <v>3274</v>
      </c>
      <c r="E1027" s="55"/>
      <c r="F1027" s="64"/>
      <c r="G1027" s="222"/>
      <c r="H1027" s="217"/>
    </row>
    <row r="1028" spans="1:8" x14ac:dyDescent="0.25">
      <c r="A1028" s="64"/>
      <c r="B1028" s="66"/>
      <c r="C1028" s="66" t="s">
        <v>3292</v>
      </c>
      <c r="D1028" s="67" t="s">
        <v>3275</v>
      </c>
      <c r="E1028" s="55"/>
      <c r="F1028" s="64"/>
      <c r="G1028" s="222"/>
      <c r="H1028" s="217"/>
    </row>
    <row r="1029" spans="1:8" x14ac:dyDescent="0.25">
      <c r="A1029" s="64"/>
      <c r="B1029" s="66"/>
      <c r="C1029" s="66" t="s">
        <v>3293</v>
      </c>
      <c r="D1029" s="67" t="s">
        <v>3276</v>
      </c>
      <c r="E1029" s="55"/>
      <c r="F1029" s="64"/>
      <c r="G1029" s="222"/>
      <c r="H1029" s="217"/>
    </row>
    <row r="1030" spans="1:8" x14ac:dyDescent="0.25">
      <c r="A1030" s="64"/>
      <c r="B1030" s="66"/>
      <c r="C1030" s="66" t="s">
        <v>3294</v>
      </c>
      <c r="D1030" s="67" t="s">
        <v>3277</v>
      </c>
      <c r="E1030" s="55"/>
      <c r="F1030" s="64"/>
      <c r="G1030" s="222"/>
      <c r="H1030" s="217"/>
    </row>
    <row r="1031" spans="1:8" x14ac:dyDescent="0.25">
      <c r="A1031" s="64"/>
      <c r="B1031" s="66"/>
      <c r="C1031" s="66" t="s">
        <v>3295</v>
      </c>
      <c r="D1031" s="67" t="s">
        <v>3297</v>
      </c>
      <c r="E1031" s="55"/>
      <c r="F1031" s="64"/>
      <c r="G1031" s="222"/>
      <c r="H1031" s="217"/>
    </row>
    <row r="1032" spans="1:8" x14ac:dyDescent="0.25">
      <c r="A1032" s="61"/>
      <c r="B1032" s="189"/>
      <c r="C1032" s="66" t="s">
        <v>3296</v>
      </c>
      <c r="D1032" s="67" t="s">
        <v>3554</v>
      </c>
      <c r="E1032" s="55"/>
      <c r="F1032" s="64"/>
      <c r="G1032" s="222"/>
      <c r="H1032" s="217"/>
    </row>
    <row r="1033" spans="1:8" x14ac:dyDescent="0.25">
      <c r="A1033" s="61"/>
      <c r="B1033" s="189"/>
      <c r="C1033" s="66" t="s">
        <v>3298</v>
      </c>
      <c r="D1033" s="67" t="s">
        <v>3299</v>
      </c>
      <c r="E1033" s="55"/>
      <c r="F1033" s="64"/>
      <c r="G1033" s="222"/>
      <c r="H1033" s="217"/>
    </row>
    <row r="1034" spans="1:8" x14ac:dyDescent="0.25">
      <c r="A1034" s="64"/>
      <c r="B1034" s="66"/>
      <c r="C1034" s="66" t="s">
        <v>3301</v>
      </c>
      <c r="D1034" s="51"/>
      <c r="E1034" s="55" t="s">
        <v>3674</v>
      </c>
      <c r="F1034" s="64">
        <f>SUM(F1022:F1033)</f>
        <v>0</v>
      </c>
      <c r="G1034" s="222"/>
      <c r="H1034" s="217">
        <f>SUM(G1022:G1032)</f>
        <v>0</v>
      </c>
    </row>
    <row r="1035" spans="1:8" x14ac:dyDescent="0.25">
      <c r="A1035" s="64"/>
      <c r="B1035" s="66"/>
      <c r="C1035" s="66"/>
      <c r="D1035" s="51"/>
      <c r="E1035" s="55"/>
      <c r="F1035" s="64"/>
      <c r="G1035" s="222"/>
      <c r="H1035" s="217"/>
    </row>
    <row r="1036" spans="1:8" x14ac:dyDescent="0.25">
      <c r="A1036" s="61" t="str">
        <f>A1022</f>
        <v>31 OKT</v>
      </c>
      <c r="B1036" s="189"/>
      <c r="C1036" s="189" t="s">
        <v>3286</v>
      </c>
      <c r="D1036" s="67" t="s">
        <v>3269</v>
      </c>
      <c r="E1036" s="55"/>
      <c r="F1036" s="64"/>
      <c r="G1036" s="222"/>
      <c r="H1036" s="217"/>
    </row>
    <row r="1037" spans="1:8" x14ac:dyDescent="0.25">
      <c r="A1037" s="64"/>
      <c r="B1037" s="66"/>
      <c r="C1037" s="66" t="s">
        <v>3287</v>
      </c>
      <c r="D1037" s="67" t="s">
        <v>3270</v>
      </c>
      <c r="E1037" s="55"/>
      <c r="F1037" s="64"/>
      <c r="G1037" s="222"/>
      <c r="H1037" s="217"/>
    </row>
    <row r="1038" spans="1:8" x14ac:dyDescent="0.25">
      <c r="A1038" s="64"/>
      <c r="B1038" s="66"/>
      <c r="C1038" s="66" t="s">
        <v>3288</v>
      </c>
      <c r="D1038" s="67" t="s">
        <v>3271</v>
      </c>
      <c r="E1038" s="55"/>
      <c r="F1038" s="64"/>
      <c r="G1038" s="222"/>
      <c r="H1038" s="217"/>
    </row>
    <row r="1039" spans="1:8" x14ac:dyDescent="0.25">
      <c r="A1039" s="64"/>
      <c r="B1039" s="66"/>
      <c r="C1039" s="66" t="s">
        <v>3289</v>
      </c>
      <c r="D1039" s="67" t="s">
        <v>3272</v>
      </c>
      <c r="E1039" s="55"/>
      <c r="F1039" s="64"/>
      <c r="G1039" s="222"/>
      <c r="H1039" s="217"/>
    </row>
    <row r="1040" spans="1:8" x14ac:dyDescent="0.25">
      <c r="A1040" s="64"/>
      <c r="B1040" s="66"/>
      <c r="C1040" s="66" t="s">
        <v>3290</v>
      </c>
      <c r="D1040" s="67" t="s">
        <v>3273</v>
      </c>
      <c r="E1040" s="55"/>
      <c r="F1040" s="64"/>
      <c r="G1040" s="222"/>
      <c r="H1040" s="217"/>
    </row>
    <row r="1041" spans="1:9" x14ac:dyDescent="0.25">
      <c r="A1041" s="64"/>
      <c r="B1041" s="66"/>
      <c r="C1041" s="66" t="s">
        <v>3291</v>
      </c>
      <c r="D1041" s="67" t="s">
        <v>3274</v>
      </c>
      <c r="E1041" s="55"/>
      <c r="F1041" s="64"/>
      <c r="G1041" s="222"/>
      <c r="H1041" s="217"/>
    </row>
    <row r="1042" spans="1:9" x14ac:dyDescent="0.25">
      <c r="A1042" s="64"/>
      <c r="B1042" s="66"/>
      <c r="C1042" s="66" t="s">
        <v>3292</v>
      </c>
      <c r="D1042" s="67" t="s">
        <v>3275</v>
      </c>
      <c r="E1042" s="55"/>
      <c r="F1042" s="64"/>
      <c r="G1042" s="222"/>
      <c r="H1042" s="217"/>
    </row>
    <row r="1043" spans="1:9" x14ac:dyDescent="0.25">
      <c r="A1043" s="64"/>
      <c r="B1043" s="66"/>
      <c r="C1043" s="66" t="s">
        <v>3293</v>
      </c>
      <c r="D1043" s="67" t="s">
        <v>3276</v>
      </c>
      <c r="E1043" s="55"/>
      <c r="F1043" s="64"/>
      <c r="G1043" s="222"/>
      <c r="H1043" s="217"/>
    </row>
    <row r="1044" spans="1:9" x14ac:dyDescent="0.25">
      <c r="A1044" s="64"/>
      <c r="B1044" s="66"/>
      <c r="C1044" s="66" t="s">
        <v>3294</v>
      </c>
      <c r="D1044" s="67" t="s">
        <v>3277</v>
      </c>
      <c r="E1044" s="55"/>
      <c r="F1044" s="64"/>
      <c r="G1044" s="222"/>
      <c r="H1044" s="217"/>
    </row>
    <row r="1045" spans="1:9" x14ac:dyDescent="0.25">
      <c r="A1045" s="64"/>
      <c r="B1045" s="66"/>
      <c r="C1045" s="66" t="s">
        <v>3295</v>
      </c>
      <c r="D1045" s="67" t="s">
        <v>3297</v>
      </c>
      <c r="E1045" s="55"/>
      <c r="F1045" s="64"/>
      <c r="G1045" s="222"/>
      <c r="H1045" s="217"/>
    </row>
    <row r="1046" spans="1:9" x14ac:dyDescent="0.25">
      <c r="A1046" s="61"/>
      <c r="B1046" s="189"/>
      <c r="C1046" s="66" t="s">
        <v>3296</v>
      </c>
      <c r="D1046" s="67" t="s">
        <v>3554</v>
      </c>
      <c r="E1046" s="55"/>
      <c r="F1046" s="64"/>
      <c r="G1046" s="222"/>
      <c r="H1046" s="217"/>
      <c r="I1046" s="269"/>
    </row>
    <row r="1047" spans="1:9" x14ac:dyDescent="0.25">
      <c r="A1047" s="61"/>
      <c r="B1047" s="189"/>
      <c r="C1047" s="66" t="s">
        <v>3298</v>
      </c>
      <c r="D1047" s="67" t="s">
        <v>3299</v>
      </c>
      <c r="E1047" s="55"/>
      <c r="F1047" s="64"/>
      <c r="G1047" s="222"/>
      <c r="H1047" s="217"/>
    </row>
    <row r="1048" spans="1:9" x14ac:dyDescent="0.25">
      <c r="A1048" s="64"/>
      <c r="B1048" s="66"/>
      <c r="C1048" s="66" t="s">
        <v>3301</v>
      </c>
      <c r="D1048" s="51"/>
      <c r="E1048" s="55" t="s">
        <v>3675</v>
      </c>
      <c r="F1048" s="64">
        <f>SUM(F1036:F1047)</f>
        <v>0</v>
      </c>
      <c r="G1048" s="222"/>
      <c r="H1048" s="217">
        <f>SUM(G1036:G1046)</f>
        <v>0</v>
      </c>
    </row>
    <row r="1049" spans="1:9" x14ac:dyDescent="0.25">
      <c r="A1049" s="64"/>
      <c r="B1049" s="66"/>
      <c r="C1049" s="66"/>
      <c r="D1049" s="51"/>
      <c r="E1049" s="55"/>
      <c r="F1049" s="64"/>
      <c r="G1049" s="222"/>
      <c r="H1049" s="217"/>
    </row>
    <row r="1050" spans="1:9" x14ac:dyDescent="0.25">
      <c r="A1050" s="61" t="str">
        <f>A1008</f>
        <v>31 OKT</v>
      </c>
      <c r="B1050" s="189"/>
      <c r="C1050" s="189" t="s">
        <v>3300</v>
      </c>
      <c r="D1050" s="51" t="s">
        <v>3232</v>
      </c>
      <c r="E1050" s="55"/>
      <c r="F1050" s="64">
        <f>F1020</f>
        <v>0</v>
      </c>
      <c r="G1050" s="218"/>
      <c r="H1050" s="217"/>
    </row>
    <row r="1051" spans="1:9" x14ac:dyDescent="0.25">
      <c r="A1051" s="64"/>
      <c r="B1051" s="66"/>
      <c r="C1051" s="66" t="s">
        <v>3302</v>
      </c>
      <c r="D1051" s="51"/>
      <c r="E1051" s="55" t="s">
        <v>3233</v>
      </c>
      <c r="F1051" s="64">
        <f>F1050</f>
        <v>0</v>
      </c>
      <c r="G1051" s="218"/>
      <c r="H1051" s="217">
        <f>G1050</f>
        <v>0</v>
      </c>
      <c r="I1051" s="269"/>
    </row>
    <row r="1052" spans="1:9" x14ac:dyDescent="0.25">
      <c r="A1052" s="64"/>
      <c r="B1052" s="66"/>
      <c r="C1052" s="66"/>
      <c r="D1052" s="51"/>
      <c r="E1052" s="55"/>
      <c r="F1052" s="64"/>
      <c r="G1052" s="218"/>
      <c r="H1052" s="217"/>
    </row>
    <row r="1053" spans="1:9" x14ac:dyDescent="0.25">
      <c r="A1053" s="64" t="str">
        <f>A1050</f>
        <v>31 OKT</v>
      </c>
      <c r="B1053" s="66"/>
      <c r="C1053" s="189" t="s">
        <v>3300</v>
      </c>
      <c r="D1053" s="51" t="s">
        <v>3676</v>
      </c>
      <c r="E1053" s="55"/>
      <c r="F1053" s="64">
        <f>F1034</f>
        <v>0</v>
      </c>
      <c r="G1053" s="218"/>
      <c r="H1053" s="217"/>
    </row>
    <row r="1054" spans="1:9" x14ac:dyDescent="0.25">
      <c r="A1054" s="64"/>
      <c r="B1054" s="66"/>
      <c r="C1054" s="66" t="s">
        <v>3302</v>
      </c>
      <c r="D1054" s="51"/>
      <c r="E1054" s="55" t="s">
        <v>3233</v>
      </c>
      <c r="F1054" s="64"/>
      <c r="G1054" s="218"/>
      <c r="H1054" s="217">
        <f>G1053</f>
        <v>0</v>
      </c>
    </row>
    <row r="1055" spans="1:9" x14ac:dyDescent="0.25">
      <c r="A1055" s="64"/>
      <c r="B1055" s="66"/>
      <c r="C1055" s="66"/>
      <c r="D1055" s="51"/>
      <c r="E1055" s="55"/>
      <c r="F1055" s="64"/>
      <c r="G1055" s="218"/>
      <c r="H1055" s="217"/>
    </row>
    <row r="1056" spans="1:9" x14ac:dyDescent="0.25">
      <c r="A1056" s="64" t="str">
        <f>A1053</f>
        <v>31 OKT</v>
      </c>
      <c r="B1056" s="66"/>
      <c r="C1056" s="189" t="s">
        <v>3300</v>
      </c>
      <c r="D1056" s="51" t="s">
        <v>3677</v>
      </c>
      <c r="E1056" s="55"/>
      <c r="F1056" s="64">
        <f>F1048</f>
        <v>0</v>
      </c>
      <c r="G1056" s="218"/>
      <c r="H1056" s="217"/>
      <c r="I1056" s="269"/>
    </row>
    <row r="1057" spans="1:8" x14ac:dyDescent="0.25">
      <c r="A1057" s="64"/>
      <c r="B1057" s="66"/>
      <c r="C1057" s="66" t="s">
        <v>3302</v>
      </c>
      <c r="D1057" s="51"/>
      <c r="E1057" s="55" t="s">
        <v>3233</v>
      </c>
      <c r="F1057" s="64"/>
      <c r="G1057" s="218"/>
      <c r="H1057" s="217">
        <f>G1056</f>
        <v>0</v>
      </c>
    </row>
    <row r="1058" spans="1:8" x14ac:dyDescent="0.25">
      <c r="A1058" s="64"/>
      <c r="B1058" s="66"/>
      <c r="C1058" s="66"/>
      <c r="D1058" s="51"/>
      <c r="E1058" s="55"/>
      <c r="F1058" s="64"/>
      <c r="G1058" s="218"/>
      <c r="H1058" s="217"/>
    </row>
    <row r="1059" spans="1:8" x14ac:dyDescent="0.25">
      <c r="A1059" s="654" t="s">
        <v>15</v>
      </c>
      <c r="B1059" s="654"/>
      <c r="C1059" s="654"/>
      <c r="D1059" s="654"/>
      <c r="E1059" s="654"/>
      <c r="F1059" s="654"/>
      <c r="G1059" s="228">
        <f>SUM(G1004:G1058)</f>
        <v>0</v>
      </c>
      <c r="H1059" s="229">
        <f>SUM(H1004:H1058)</f>
        <v>0</v>
      </c>
    </row>
    <row r="1060" spans="1:8" x14ac:dyDescent="0.25">
      <c r="A1060" s="654" t="s">
        <v>3560</v>
      </c>
      <c r="B1060" s="654"/>
      <c r="C1060" s="654"/>
      <c r="D1060" s="654"/>
      <c r="E1060" s="654"/>
      <c r="F1060" s="654"/>
      <c r="G1060" s="228">
        <f>G951</f>
        <v>0</v>
      </c>
      <c r="H1060" s="228">
        <f>H951</f>
        <v>0</v>
      </c>
    </row>
    <row r="1061" spans="1:8" ht="15.75" thickBot="1" x14ac:dyDescent="0.3">
      <c r="A1061" s="655" t="s">
        <v>3716</v>
      </c>
      <c r="B1061" s="655"/>
      <c r="C1061" s="655"/>
      <c r="D1061" s="655"/>
      <c r="E1061" s="655"/>
      <c r="F1061" s="655"/>
      <c r="G1061" s="224">
        <f>SUM(G1059:G1060)</f>
        <v>0</v>
      </c>
      <c r="H1061" s="225">
        <f>SUM(H1059:H1060)</f>
        <v>0</v>
      </c>
    </row>
    <row r="1062" spans="1:8" x14ac:dyDescent="0.25">
      <c r="A1062" s="96"/>
      <c r="B1062" s="96"/>
      <c r="C1062" s="96"/>
      <c r="D1062" s="96"/>
      <c r="E1062" s="96"/>
      <c r="F1062" s="96"/>
      <c r="G1062" s="226"/>
      <c r="H1062" s="226"/>
    </row>
    <row r="1106" spans="1:8" x14ac:dyDescent="0.25">
      <c r="A1106" s="50" t="s">
        <v>0</v>
      </c>
      <c r="B1106" s="50"/>
      <c r="C1106" s="50"/>
      <c r="D1106" s="50"/>
      <c r="E1106" s="9"/>
      <c r="F1106" s="18"/>
      <c r="G1106" s="219"/>
      <c r="H1106" s="219"/>
    </row>
    <row r="1107" spans="1:8" x14ac:dyDescent="0.25">
      <c r="A1107" s="50" t="s">
        <v>1</v>
      </c>
      <c r="B1107" s="50"/>
      <c r="C1107" s="50"/>
      <c r="D1107" s="50"/>
      <c r="E1107" s="9"/>
      <c r="F1107" s="18"/>
      <c r="G1107" s="219"/>
      <c r="H1107" s="219"/>
    </row>
    <row r="1108" spans="1:8" x14ac:dyDescent="0.25">
      <c r="A1108" s="50" t="s">
        <v>16</v>
      </c>
      <c r="B1108" s="50"/>
      <c r="C1108" s="50"/>
      <c r="D1108" s="50"/>
      <c r="E1108" s="9"/>
      <c r="F1108" s="18"/>
      <c r="G1108" s="219"/>
      <c r="H1108" s="219"/>
    </row>
    <row r="1109" spans="1:8" x14ac:dyDescent="0.25">
      <c r="A1109" s="643" t="s">
        <v>117</v>
      </c>
      <c r="B1109" s="643"/>
      <c r="C1109" s="643"/>
      <c r="D1109" s="643"/>
      <c r="E1109" s="643"/>
      <c r="F1109" s="643"/>
      <c r="G1109" s="643"/>
      <c r="H1109" s="643"/>
    </row>
    <row r="1110" spans="1:8" x14ac:dyDescent="0.25">
      <c r="A1110" s="643" t="s">
        <v>3802</v>
      </c>
      <c r="B1110" s="643"/>
      <c r="C1110" s="643"/>
      <c r="D1110" s="643"/>
      <c r="E1110" s="643"/>
      <c r="F1110" s="643"/>
      <c r="G1110" s="643"/>
      <c r="H1110" s="643"/>
    </row>
    <row r="1111" spans="1:8" ht="15.75" thickBot="1" x14ac:dyDescent="0.3">
      <c r="A1111" s="1"/>
      <c r="B1111" s="1"/>
      <c r="C1111" s="1"/>
      <c r="D1111" s="1"/>
      <c r="E1111" s="1"/>
      <c r="F1111" s="19"/>
      <c r="G1111" s="178"/>
      <c r="H1111" s="178"/>
    </row>
    <row r="1112" spans="1:8" ht="22.5" x14ac:dyDescent="0.25">
      <c r="A1112" s="53" t="s">
        <v>12</v>
      </c>
      <c r="B1112" s="192" t="s">
        <v>3283</v>
      </c>
      <c r="C1112" s="193" t="s">
        <v>3285</v>
      </c>
      <c r="D1112" s="652" t="s">
        <v>3282</v>
      </c>
      <c r="E1112" s="653"/>
      <c r="F1112" s="215" t="s">
        <v>3284</v>
      </c>
      <c r="G1112" s="220" t="s">
        <v>57</v>
      </c>
      <c r="H1112" s="221" t="s">
        <v>58</v>
      </c>
    </row>
    <row r="1113" spans="1:8" x14ac:dyDescent="0.25">
      <c r="A1113" s="56"/>
      <c r="B1113" s="240"/>
      <c r="C1113" s="194"/>
      <c r="D1113" s="195"/>
      <c r="E1113" s="191"/>
      <c r="F1113" s="56"/>
      <c r="G1113" s="222"/>
      <c r="H1113" s="223"/>
    </row>
    <row r="1114" spans="1:8" x14ac:dyDescent="0.25">
      <c r="A1114" s="241" t="s">
        <v>3738</v>
      </c>
      <c r="B1114" s="242"/>
      <c r="C1114" s="243" t="s">
        <v>3303</v>
      </c>
      <c r="D1114" s="244" t="s">
        <v>3690</v>
      </c>
      <c r="E1114" s="245"/>
      <c r="F1114" s="246"/>
      <c r="G1114" s="247">
        <f>SUM(H1115:H1115)</f>
        <v>0</v>
      </c>
      <c r="H1114" s="248"/>
    </row>
    <row r="1115" spans="1:8" x14ac:dyDescent="0.25">
      <c r="A1115" s="249"/>
      <c r="B1115" s="242"/>
      <c r="C1115" s="250" t="s">
        <v>3291</v>
      </c>
      <c r="D1115" s="251"/>
      <c r="E1115" s="252" t="s">
        <v>3274</v>
      </c>
      <c r="F1115" s="246"/>
      <c r="G1115" s="247"/>
      <c r="H1115" s="248"/>
    </row>
    <row r="1116" spans="1:8" x14ac:dyDescent="0.25">
      <c r="A1116" s="249"/>
      <c r="B1116" s="242"/>
      <c r="C1116" s="250"/>
      <c r="D1116" s="251"/>
      <c r="E1116" s="252"/>
      <c r="F1116" s="246"/>
      <c r="G1116" s="247"/>
      <c r="H1116" s="248"/>
    </row>
    <row r="1117" spans="1:8" x14ac:dyDescent="0.25">
      <c r="A1117" s="61" t="s">
        <v>3703</v>
      </c>
      <c r="B1117" s="189"/>
      <c r="C1117" s="189" t="s">
        <v>3286</v>
      </c>
      <c r="D1117" s="67" t="s">
        <v>3269</v>
      </c>
      <c r="E1117" s="55"/>
      <c r="F1117" s="19"/>
      <c r="G1117" s="216"/>
      <c r="H1117" s="217"/>
    </row>
    <row r="1118" spans="1:8" x14ac:dyDescent="0.25">
      <c r="A1118" s="64"/>
      <c r="B1118" s="66"/>
      <c r="C1118" s="66" t="s">
        <v>3287</v>
      </c>
      <c r="D1118" s="67" t="s">
        <v>3270</v>
      </c>
      <c r="E1118" s="55"/>
      <c r="F1118" s="19"/>
      <c r="G1118" s="216"/>
      <c r="H1118" s="217"/>
    </row>
    <row r="1119" spans="1:8" x14ac:dyDescent="0.25">
      <c r="A1119" s="64"/>
      <c r="B1119" s="66"/>
      <c r="C1119" s="66" t="s">
        <v>3288</v>
      </c>
      <c r="D1119" s="67" t="s">
        <v>3271</v>
      </c>
      <c r="E1119" s="55"/>
      <c r="F1119" s="19"/>
      <c r="G1119" s="216"/>
      <c r="H1119" s="217"/>
    </row>
    <row r="1120" spans="1:8" x14ac:dyDescent="0.25">
      <c r="A1120" s="64"/>
      <c r="B1120" s="66"/>
      <c r="C1120" s="66" t="s">
        <v>3289</v>
      </c>
      <c r="D1120" s="67" t="s">
        <v>3272</v>
      </c>
      <c r="E1120" s="55"/>
      <c r="F1120" s="19"/>
      <c r="G1120" s="216"/>
      <c r="H1120" s="217"/>
    </row>
    <row r="1121" spans="1:9" x14ac:dyDescent="0.25">
      <c r="A1121" s="64"/>
      <c r="B1121" s="66"/>
      <c r="C1121" s="66" t="s">
        <v>3290</v>
      </c>
      <c r="D1121" s="67" t="s">
        <v>3273</v>
      </c>
      <c r="E1121" s="55"/>
      <c r="F1121" s="19"/>
      <c r="G1121" s="216"/>
      <c r="H1121" s="217"/>
    </row>
    <row r="1122" spans="1:9" x14ac:dyDescent="0.25">
      <c r="A1122" s="64"/>
      <c r="B1122" s="66"/>
      <c r="C1122" s="66" t="s">
        <v>3291</v>
      </c>
      <c r="D1122" s="67" t="s">
        <v>3274</v>
      </c>
      <c r="E1122" s="55"/>
      <c r="F1122" s="19"/>
      <c r="G1122" s="216"/>
      <c r="H1122" s="217"/>
    </row>
    <row r="1123" spans="1:9" x14ac:dyDescent="0.25">
      <c r="A1123" s="64"/>
      <c r="B1123" s="66"/>
      <c r="C1123" s="66" t="s">
        <v>3292</v>
      </c>
      <c r="D1123" s="67" t="s">
        <v>3275</v>
      </c>
      <c r="E1123" s="55"/>
      <c r="F1123" s="19"/>
      <c r="G1123" s="216"/>
      <c r="H1123" s="217"/>
    </row>
    <row r="1124" spans="1:9" x14ac:dyDescent="0.25">
      <c r="A1124" s="64"/>
      <c r="B1124" s="66"/>
      <c r="C1124" s="66" t="s">
        <v>3293</v>
      </c>
      <c r="D1124" s="67" t="s">
        <v>3276</v>
      </c>
      <c r="E1124" s="55"/>
      <c r="F1124" s="19"/>
      <c r="G1124" s="216"/>
      <c r="H1124" s="217"/>
    </row>
    <row r="1125" spans="1:9" x14ac:dyDescent="0.25">
      <c r="A1125" s="64"/>
      <c r="B1125" s="66"/>
      <c r="C1125" s="66" t="s">
        <v>3294</v>
      </c>
      <c r="D1125" s="67" t="s">
        <v>3277</v>
      </c>
      <c r="E1125" s="55"/>
      <c r="F1125" s="19"/>
      <c r="G1125" s="216"/>
      <c r="H1125" s="217"/>
    </row>
    <row r="1126" spans="1:9" x14ac:dyDescent="0.25">
      <c r="A1126" s="64"/>
      <c r="B1126" s="66"/>
      <c r="C1126" s="66" t="s">
        <v>3295</v>
      </c>
      <c r="D1126" s="67" t="s">
        <v>3297</v>
      </c>
      <c r="E1126" s="55"/>
      <c r="F1126" s="19"/>
      <c r="G1126" s="216"/>
      <c r="H1126" s="217"/>
    </row>
    <row r="1127" spans="1:9" x14ac:dyDescent="0.25">
      <c r="A1127" s="61"/>
      <c r="B1127" s="189"/>
      <c r="C1127" s="66" t="s">
        <v>3296</v>
      </c>
      <c r="D1127" s="67" t="s">
        <v>3554</v>
      </c>
      <c r="E1127" s="55"/>
      <c r="F1127" s="19"/>
      <c r="G1127" s="216"/>
      <c r="H1127" s="217"/>
    </row>
    <row r="1128" spans="1:9" x14ac:dyDescent="0.25">
      <c r="A1128" s="61"/>
      <c r="B1128" s="189"/>
      <c r="C1128" s="66" t="s">
        <v>3298</v>
      </c>
      <c r="D1128" s="67" t="s">
        <v>3299</v>
      </c>
      <c r="E1128" s="55"/>
      <c r="F1128" s="19"/>
      <c r="G1128" s="216"/>
      <c r="H1128" s="217"/>
    </row>
    <row r="1129" spans="1:9" x14ac:dyDescent="0.25">
      <c r="A1129" s="64"/>
      <c r="B1129" s="66"/>
      <c r="C1129" s="66" t="s">
        <v>3301</v>
      </c>
      <c r="D1129" s="51"/>
      <c r="E1129" s="55" t="s">
        <v>3304</v>
      </c>
      <c r="F1129" s="64">
        <f>SUM(F1117:F1128)</f>
        <v>0</v>
      </c>
      <c r="G1129" s="216"/>
      <c r="H1129" s="217">
        <f>SUM(G1117:G1127)</f>
        <v>0</v>
      </c>
      <c r="I1129" s="269">
        <f>H1129+H1160</f>
        <v>0</v>
      </c>
    </row>
    <row r="1130" spans="1:9" x14ac:dyDescent="0.25">
      <c r="A1130" s="64"/>
      <c r="B1130" s="66"/>
      <c r="C1130" s="66"/>
      <c r="D1130" s="51"/>
      <c r="E1130" s="55"/>
      <c r="F1130" s="64"/>
      <c r="G1130" s="216"/>
      <c r="H1130" s="217"/>
    </row>
    <row r="1131" spans="1:9" x14ac:dyDescent="0.25">
      <c r="A1131" s="61" t="str">
        <f>A1117</f>
        <v>30 NOV</v>
      </c>
      <c r="B1131" s="189"/>
      <c r="C1131" s="189" t="s">
        <v>3286</v>
      </c>
      <c r="D1131" s="67" t="s">
        <v>3269</v>
      </c>
      <c r="E1131" s="55"/>
      <c r="F1131" s="19"/>
      <c r="G1131" s="216"/>
      <c r="H1131" s="217"/>
    </row>
    <row r="1132" spans="1:9" x14ac:dyDescent="0.25">
      <c r="A1132" s="64"/>
      <c r="B1132" s="66"/>
      <c r="C1132" s="66" t="s">
        <v>3287</v>
      </c>
      <c r="D1132" s="67" t="s">
        <v>3270</v>
      </c>
      <c r="E1132" s="55"/>
      <c r="F1132" s="64"/>
      <c r="G1132" s="216"/>
      <c r="H1132" s="217"/>
    </row>
    <row r="1133" spans="1:9" x14ac:dyDescent="0.25">
      <c r="A1133" s="64"/>
      <c r="B1133" s="66"/>
      <c r="C1133" s="66" t="s">
        <v>3288</v>
      </c>
      <c r="D1133" s="67" t="s">
        <v>3271</v>
      </c>
      <c r="E1133" s="55"/>
      <c r="F1133" s="64"/>
      <c r="G1133" s="216"/>
      <c r="H1133" s="217"/>
    </row>
    <row r="1134" spans="1:9" x14ac:dyDescent="0.25">
      <c r="A1134" s="64"/>
      <c r="B1134" s="66"/>
      <c r="C1134" s="66" t="s">
        <v>3289</v>
      </c>
      <c r="D1134" s="67" t="s">
        <v>3272</v>
      </c>
      <c r="E1134" s="55"/>
      <c r="F1134" s="64"/>
      <c r="G1134" s="216"/>
      <c r="H1134" s="217"/>
    </row>
    <row r="1135" spans="1:9" x14ac:dyDescent="0.25">
      <c r="A1135" s="64"/>
      <c r="B1135" s="66"/>
      <c r="C1135" s="66" t="s">
        <v>3290</v>
      </c>
      <c r="D1135" s="67" t="s">
        <v>3273</v>
      </c>
      <c r="E1135" s="55"/>
      <c r="F1135" s="64"/>
      <c r="G1135" s="216"/>
      <c r="H1135" s="217"/>
    </row>
    <row r="1136" spans="1:9" x14ac:dyDescent="0.25">
      <c r="A1136" s="64"/>
      <c r="B1136" s="66"/>
      <c r="C1136" s="66" t="s">
        <v>3291</v>
      </c>
      <c r="D1136" s="67" t="s">
        <v>3274</v>
      </c>
      <c r="E1136" s="55"/>
      <c r="F1136" s="64"/>
      <c r="G1136" s="216"/>
      <c r="H1136" s="217"/>
    </row>
    <row r="1137" spans="1:9" x14ac:dyDescent="0.25">
      <c r="A1137" s="64"/>
      <c r="B1137" s="66"/>
      <c r="C1137" s="66" t="s">
        <v>3292</v>
      </c>
      <c r="D1137" s="67" t="s">
        <v>3275</v>
      </c>
      <c r="E1137" s="55"/>
      <c r="F1137" s="64"/>
      <c r="G1137" s="216"/>
      <c r="H1137" s="217"/>
    </row>
    <row r="1138" spans="1:9" x14ac:dyDescent="0.25">
      <c r="A1138" s="64"/>
      <c r="B1138" s="66"/>
      <c r="C1138" s="66" t="s">
        <v>3293</v>
      </c>
      <c r="D1138" s="67" t="s">
        <v>3276</v>
      </c>
      <c r="E1138" s="55"/>
      <c r="F1138" s="64"/>
      <c r="G1138" s="216"/>
      <c r="H1138" s="217"/>
    </row>
    <row r="1139" spans="1:9" x14ac:dyDescent="0.25">
      <c r="A1139" s="64"/>
      <c r="B1139" s="66"/>
      <c r="C1139" s="66" t="s">
        <v>3294</v>
      </c>
      <c r="D1139" s="67" t="s">
        <v>3277</v>
      </c>
      <c r="E1139" s="55"/>
      <c r="F1139" s="64"/>
      <c r="G1139" s="216"/>
      <c r="H1139" s="217"/>
    </row>
    <row r="1140" spans="1:9" x14ac:dyDescent="0.25">
      <c r="A1140" s="64"/>
      <c r="B1140" s="66"/>
      <c r="C1140" s="66" t="s">
        <v>3295</v>
      </c>
      <c r="D1140" s="67" t="s">
        <v>3297</v>
      </c>
      <c r="E1140" s="55"/>
      <c r="F1140" s="64"/>
      <c r="G1140" s="216"/>
      <c r="H1140" s="217"/>
    </row>
    <row r="1141" spans="1:9" x14ac:dyDescent="0.25">
      <c r="A1141" s="61"/>
      <c r="B1141" s="189"/>
      <c r="C1141" s="66" t="s">
        <v>3296</v>
      </c>
      <c r="D1141" s="67" t="s">
        <v>3554</v>
      </c>
      <c r="E1141" s="55"/>
      <c r="F1141" s="64"/>
      <c r="G1141" s="216"/>
      <c r="H1141" s="217"/>
    </row>
    <row r="1142" spans="1:9" x14ac:dyDescent="0.25">
      <c r="A1142" s="61"/>
      <c r="B1142" s="189"/>
      <c r="C1142" s="66" t="s">
        <v>3298</v>
      </c>
      <c r="D1142" s="67" t="s">
        <v>3299</v>
      </c>
      <c r="E1142" s="55"/>
      <c r="F1142" s="64"/>
      <c r="G1142" s="216"/>
      <c r="H1142" s="217"/>
    </row>
    <row r="1143" spans="1:9" x14ac:dyDescent="0.25">
      <c r="A1143" s="64"/>
      <c r="B1143" s="66"/>
      <c r="C1143" s="66" t="s">
        <v>3301</v>
      </c>
      <c r="D1143" s="51"/>
      <c r="E1143" s="55" t="s">
        <v>3674</v>
      </c>
      <c r="F1143" s="64">
        <f>SUM(F1131:F1142)</f>
        <v>0</v>
      </c>
      <c r="G1143" s="216"/>
      <c r="H1143" s="217">
        <f>SUM(G1131:G1141)</f>
        <v>0</v>
      </c>
      <c r="I1143" s="269">
        <f>H1143+H1163</f>
        <v>0</v>
      </c>
    </row>
    <row r="1144" spans="1:9" x14ac:dyDescent="0.25">
      <c r="A1144" s="64"/>
      <c r="B1144" s="66"/>
      <c r="C1144" s="66"/>
      <c r="D1144" s="51"/>
      <c r="E1144" s="55"/>
      <c r="F1144" s="64"/>
      <c r="G1144" s="216"/>
      <c r="H1144" s="217"/>
    </row>
    <row r="1145" spans="1:9" x14ac:dyDescent="0.25">
      <c r="A1145" s="291" t="str">
        <f>A1131</f>
        <v>30 NOV</v>
      </c>
      <c r="B1145" s="292"/>
      <c r="C1145" s="292" t="s">
        <v>3286</v>
      </c>
      <c r="D1145" s="293" t="s">
        <v>3269</v>
      </c>
      <c r="E1145" s="294"/>
      <c r="F1145" s="19"/>
      <c r="G1145" s="216"/>
      <c r="H1145" s="295"/>
      <c r="I1145" s="269"/>
    </row>
    <row r="1146" spans="1:9" x14ac:dyDescent="0.25">
      <c r="A1146" s="296"/>
      <c r="B1146" s="297"/>
      <c r="C1146" s="297" t="s">
        <v>3287</v>
      </c>
      <c r="D1146" s="293" t="s">
        <v>3270</v>
      </c>
      <c r="E1146" s="294"/>
      <c r="F1146" s="64"/>
      <c r="G1146" s="216"/>
      <c r="H1146" s="295"/>
      <c r="I1146" s="269"/>
    </row>
    <row r="1147" spans="1:9" x14ac:dyDescent="0.25">
      <c r="A1147" s="296"/>
      <c r="B1147" s="297"/>
      <c r="C1147" s="297" t="s">
        <v>3288</v>
      </c>
      <c r="D1147" s="293" t="s">
        <v>3271</v>
      </c>
      <c r="E1147" s="294"/>
      <c r="F1147" s="64"/>
      <c r="G1147" s="216"/>
      <c r="H1147" s="295"/>
      <c r="I1147" s="269"/>
    </row>
    <row r="1148" spans="1:9" x14ac:dyDescent="0.25">
      <c r="A1148" s="296"/>
      <c r="B1148" s="297"/>
      <c r="C1148" s="297" t="s">
        <v>3289</v>
      </c>
      <c r="D1148" s="293" t="s">
        <v>3272</v>
      </c>
      <c r="E1148" s="294"/>
      <c r="F1148" s="64"/>
      <c r="G1148" s="216"/>
      <c r="H1148" s="295"/>
    </row>
    <row r="1149" spans="1:9" x14ac:dyDescent="0.25">
      <c r="A1149" s="296"/>
      <c r="B1149" s="297"/>
      <c r="C1149" s="297" t="s">
        <v>3290</v>
      </c>
      <c r="D1149" s="293" t="s">
        <v>3273</v>
      </c>
      <c r="E1149" s="294"/>
      <c r="F1149" s="64"/>
      <c r="G1149" s="216"/>
      <c r="H1149" s="295"/>
    </row>
    <row r="1150" spans="1:9" x14ac:dyDescent="0.25">
      <c r="A1150" s="296"/>
      <c r="B1150" s="297"/>
      <c r="C1150" s="297" t="s">
        <v>3291</v>
      </c>
      <c r="D1150" s="293" t="s">
        <v>3274</v>
      </c>
      <c r="E1150" s="294"/>
      <c r="F1150" s="64"/>
      <c r="G1150" s="216"/>
      <c r="H1150" s="295"/>
    </row>
    <row r="1151" spans="1:9" x14ac:dyDescent="0.25">
      <c r="A1151" s="296"/>
      <c r="B1151" s="297"/>
      <c r="C1151" s="297" t="s">
        <v>3292</v>
      </c>
      <c r="D1151" s="293" t="s">
        <v>3275</v>
      </c>
      <c r="E1151" s="294"/>
      <c r="F1151" s="64"/>
      <c r="G1151" s="216"/>
      <c r="H1151" s="295"/>
    </row>
    <row r="1152" spans="1:9" x14ac:dyDescent="0.25">
      <c r="A1152" s="296"/>
      <c r="B1152" s="297"/>
      <c r="C1152" s="297" t="s">
        <v>3293</v>
      </c>
      <c r="D1152" s="293" t="s">
        <v>3276</v>
      </c>
      <c r="E1152" s="294"/>
      <c r="F1152" s="64"/>
      <c r="G1152" s="216"/>
      <c r="H1152" s="295"/>
    </row>
    <row r="1153" spans="1:9" x14ac:dyDescent="0.25">
      <c r="A1153" s="296"/>
      <c r="B1153" s="297"/>
      <c r="C1153" s="297" t="s">
        <v>3294</v>
      </c>
      <c r="D1153" s="293" t="s">
        <v>3277</v>
      </c>
      <c r="E1153" s="294"/>
      <c r="F1153" s="64"/>
      <c r="G1153" s="216"/>
      <c r="H1153" s="295"/>
    </row>
    <row r="1154" spans="1:9" x14ac:dyDescent="0.25">
      <c r="A1154" s="296"/>
      <c r="B1154" s="297"/>
      <c r="C1154" s="297" t="s">
        <v>3295</v>
      </c>
      <c r="D1154" s="293" t="s">
        <v>3297</v>
      </c>
      <c r="E1154" s="294"/>
      <c r="F1154" s="64"/>
      <c r="G1154" s="216"/>
      <c r="H1154" s="295"/>
    </row>
    <row r="1155" spans="1:9" x14ac:dyDescent="0.25">
      <c r="A1155" s="291"/>
      <c r="B1155" s="292"/>
      <c r="C1155" s="297" t="s">
        <v>3296</v>
      </c>
      <c r="D1155" s="293" t="s">
        <v>3554</v>
      </c>
      <c r="E1155" s="294"/>
      <c r="F1155" s="64"/>
      <c r="G1155" s="216"/>
      <c r="H1155" s="295"/>
      <c r="I1155" s="269"/>
    </row>
    <row r="1156" spans="1:9" x14ac:dyDescent="0.25">
      <c r="A1156" s="291"/>
      <c r="B1156" s="292"/>
      <c r="C1156" s="297" t="s">
        <v>3298</v>
      </c>
      <c r="D1156" s="293" t="s">
        <v>3299</v>
      </c>
      <c r="E1156" s="294"/>
      <c r="F1156" s="64"/>
      <c r="G1156" s="216"/>
      <c r="H1156" s="295"/>
    </row>
    <row r="1157" spans="1:9" x14ac:dyDescent="0.25">
      <c r="A1157" s="296"/>
      <c r="B1157" s="297"/>
      <c r="C1157" s="297" t="s">
        <v>3301</v>
      </c>
      <c r="D1157" s="298"/>
      <c r="E1157" s="294" t="s">
        <v>3708</v>
      </c>
      <c r="F1157" s="64">
        <f>SUM(F1145:F1156)</f>
        <v>0</v>
      </c>
      <c r="G1157" s="216"/>
      <c r="H1157" s="295">
        <f>SUM(G1145:G1155)</f>
        <v>0</v>
      </c>
      <c r="I1157" s="269">
        <f>H1157+H1166</f>
        <v>0</v>
      </c>
    </row>
    <row r="1158" spans="1:9" x14ac:dyDescent="0.25">
      <c r="A1158" s="64"/>
      <c r="B1158" s="66"/>
      <c r="C1158" s="66"/>
      <c r="D1158" s="51"/>
      <c r="E1158" s="55"/>
      <c r="F1158" s="64"/>
      <c r="G1158" s="216"/>
      <c r="H1158" s="217"/>
    </row>
    <row r="1159" spans="1:9" x14ac:dyDescent="0.25">
      <c r="A1159" s="61" t="str">
        <f>A1117</f>
        <v>30 NOV</v>
      </c>
      <c r="B1159" s="189"/>
      <c r="C1159" s="189" t="s">
        <v>3300</v>
      </c>
      <c r="D1159" s="51" t="s">
        <v>3232</v>
      </c>
      <c r="E1159" s="55"/>
      <c r="F1159" s="64">
        <f>F1129</f>
        <v>0</v>
      </c>
      <c r="G1159" s="216"/>
      <c r="H1159" s="217"/>
      <c r="I1159" s="269"/>
    </row>
    <row r="1160" spans="1:9" x14ac:dyDescent="0.25">
      <c r="A1160" s="64"/>
      <c r="B1160" s="66"/>
      <c r="C1160" s="66" t="s">
        <v>3302</v>
      </c>
      <c r="D1160" s="51"/>
      <c r="E1160" s="55" t="s">
        <v>3233</v>
      </c>
      <c r="F1160" s="64">
        <f>F1159</f>
        <v>0</v>
      </c>
      <c r="G1160" s="216"/>
      <c r="H1160" s="217">
        <f>G1159</f>
        <v>0</v>
      </c>
    </row>
    <row r="1161" spans="1:9" x14ac:dyDescent="0.25">
      <c r="A1161" s="64"/>
      <c r="B1161" s="66"/>
      <c r="C1161" s="66"/>
      <c r="D1161" s="51"/>
      <c r="E1161" s="55"/>
      <c r="F1161" s="64"/>
      <c r="G1161" s="216"/>
      <c r="H1161" s="217"/>
    </row>
    <row r="1162" spans="1:9" x14ac:dyDescent="0.25">
      <c r="A1162" s="64" t="str">
        <f>A1159</f>
        <v>30 NOV</v>
      </c>
      <c r="B1162" s="66"/>
      <c r="C1162" s="189" t="s">
        <v>3300</v>
      </c>
      <c r="D1162" s="51" t="s">
        <v>3676</v>
      </c>
      <c r="E1162" s="55"/>
      <c r="F1162" s="64">
        <f>F1143</f>
        <v>0</v>
      </c>
      <c r="G1162" s="216"/>
      <c r="H1162" s="217"/>
    </row>
    <row r="1163" spans="1:9" x14ac:dyDescent="0.25">
      <c r="A1163" s="64"/>
      <c r="B1163" s="66"/>
      <c r="C1163" s="66" t="s">
        <v>3302</v>
      </c>
      <c r="D1163" s="51"/>
      <c r="E1163" s="55" t="s">
        <v>3233</v>
      </c>
      <c r="F1163" s="64"/>
      <c r="G1163" s="216"/>
      <c r="H1163" s="217">
        <f>G1162</f>
        <v>0</v>
      </c>
    </row>
    <row r="1164" spans="1:9" x14ac:dyDescent="0.25">
      <c r="A1164" s="64"/>
      <c r="B1164" s="66"/>
      <c r="C1164" s="66"/>
      <c r="D1164" s="51"/>
      <c r="E1164" s="55"/>
      <c r="F1164" s="64"/>
      <c r="G1164" s="216"/>
      <c r="H1164" s="217"/>
    </row>
    <row r="1165" spans="1:9" x14ac:dyDescent="0.25">
      <c r="A1165" s="64" t="str">
        <f>A1162</f>
        <v>30 NOV</v>
      </c>
      <c r="B1165" s="66"/>
      <c r="C1165" s="189" t="s">
        <v>3300</v>
      </c>
      <c r="D1165" s="51" t="s">
        <v>3677</v>
      </c>
      <c r="E1165" s="55"/>
      <c r="F1165" s="64">
        <f>F1157</f>
        <v>0</v>
      </c>
      <c r="G1165" s="216"/>
      <c r="H1165" s="217"/>
      <c r="I1165" s="269"/>
    </row>
    <row r="1166" spans="1:9" x14ac:dyDescent="0.25">
      <c r="A1166" s="64"/>
      <c r="B1166" s="66"/>
      <c r="C1166" s="66" t="s">
        <v>3302</v>
      </c>
      <c r="D1166" s="51"/>
      <c r="E1166" s="55" t="s">
        <v>3233</v>
      </c>
      <c r="F1166" s="64"/>
      <c r="G1166" s="218"/>
      <c r="H1166" s="217">
        <f>G1165</f>
        <v>0</v>
      </c>
    </row>
    <row r="1167" spans="1:9" x14ac:dyDescent="0.25">
      <c r="A1167" s="64"/>
      <c r="B1167" s="66"/>
      <c r="C1167" s="66"/>
      <c r="D1167" s="51"/>
      <c r="E1167" s="55"/>
      <c r="F1167" s="64"/>
      <c r="G1167" s="218"/>
      <c r="H1167" s="217"/>
    </row>
    <row r="1168" spans="1:9" x14ac:dyDescent="0.25">
      <c r="A1168" s="654" t="s">
        <v>15</v>
      </c>
      <c r="B1168" s="654"/>
      <c r="C1168" s="654"/>
      <c r="D1168" s="654"/>
      <c r="E1168" s="654"/>
      <c r="F1168" s="654"/>
      <c r="G1168" s="228">
        <f>SUM(G1114:G1167)</f>
        <v>0</v>
      </c>
      <c r="H1168" s="229">
        <f>SUM(H1114:H1167)</f>
        <v>0</v>
      </c>
    </row>
    <row r="1169" spans="1:8" x14ac:dyDescent="0.25">
      <c r="A1169" s="654" t="s">
        <v>3560</v>
      </c>
      <c r="B1169" s="654"/>
      <c r="C1169" s="654"/>
      <c r="D1169" s="654"/>
      <c r="E1169" s="654"/>
      <c r="F1169" s="654"/>
      <c r="G1169" s="228">
        <f>G1061</f>
        <v>0</v>
      </c>
      <c r="H1169" s="228">
        <f>H1061</f>
        <v>0</v>
      </c>
    </row>
    <row r="1170" spans="1:8" ht="15.75" thickBot="1" x14ac:dyDescent="0.3">
      <c r="A1170" s="655" t="s">
        <v>3715</v>
      </c>
      <c r="B1170" s="655"/>
      <c r="C1170" s="655"/>
      <c r="D1170" s="655"/>
      <c r="E1170" s="655"/>
      <c r="F1170" s="655"/>
      <c r="G1170" s="224">
        <f>SUM(G1168:G1169)</f>
        <v>0</v>
      </c>
      <c r="H1170" s="225">
        <f>SUM(H1168:H1169)</f>
        <v>0</v>
      </c>
    </row>
    <row r="1171" spans="1:8" x14ac:dyDescent="0.25">
      <c r="A1171" s="96"/>
      <c r="B1171" s="96"/>
      <c r="C1171" s="96"/>
      <c r="D1171" s="96"/>
      <c r="E1171" s="96"/>
      <c r="F1171" s="96"/>
      <c r="G1171" s="226"/>
      <c r="H1171" s="226"/>
    </row>
    <row r="1217" spans="1:8" x14ac:dyDescent="0.25">
      <c r="A1217" s="50" t="s">
        <v>0</v>
      </c>
      <c r="B1217" s="50"/>
      <c r="C1217" s="50"/>
      <c r="D1217" s="50"/>
      <c r="E1217" s="9"/>
      <c r="F1217" s="18"/>
      <c r="G1217" s="219"/>
      <c r="H1217" s="219"/>
    </row>
    <row r="1218" spans="1:8" x14ac:dyDescent="0.25">
      <c r="A1218" s="50" t="s">
        <v>1</v>
      </c>
      <c r="B1218" s="50"/>
      <c r="C1218" s="50"/>
      <c r="D1218" s="50"/>
      <c r="E1218" s="9"/>
      <c r="F1218" s="18"/>
      <c r="G1218" s="219"/>
      <c r="H1218" s="219"/>
    </row>
    <row r="1219" spans="1:8" x14ac:dyDescent="0.25">
      <c r="A1219" s="50" t="s">
        <v>16</v>
      </c>
      <c r="B1219" s="50"/>
      <c r="C1219" s="50"/>
      <c r="D1219" s="50"/>
      <c r="E1219" s="9"/>
      <c r="F1219" s="18"/>
      <c r="G1219" s="219"/>
      <c r="H1219" s="219"/>
    </row>
    <row r="1220" spans="1:8" x14ac:dyDescent="0.25">
      <c r="A1220" s="643" t="s">
        <v>117</v>
      </c>
      <c r="B1220" s="643"/>
      <c r="C1220" s="643"/>
      <c r="D1220" s="643"/>
      <c r="E1220" s="643"/>
      <c r="F1220" s="643"/>
      <c r="G1220" s="643"/>
      <c r="H1220" s="643"/>
    </row>
    <row r="1221" spans="1:8" x14ac:dyDescent="0.25">
      <c r="A1221" s="643" t="s">
        <v>3803</v>
      </c>
      <c r="B1221" s="643"/>
      <c r="C1221" s="643"/>
      <c r="D1221" s="643"/>
      <c r="E1221" s="643"/>
      <c r="F1221" s="643"/>
      <c r="G1221" s="643"/>
      <c r="H1221" s="643"/>
    </row>
    <row r="1222" spans="1:8" ht="15.75" thickBot="1" x14ac:dyDescent="0.3">
      <c r="A1222" s="1"/>
      <c r="B1222" s="1"/>
      <c r="C1222" s="1"/>
      <c r="D1222" s="1"/>
      <c r="E1222" s="1"/>
      <c r="F1222" s="19"/>
      <c r="G1222" s="178"/>
      <c r="H1222" s="178"/>
    </row>
    <row r="1223" spans="1:8" ht="22.5" x14ac:dyDescent="0.25">
      <c r="A1223" s="53" t="s">
        <v>12</v>
      </c>
      <c r="B1223" s="192" t="s">
        <v>3283</v>
      </c>
      <c r="C1223" s="193" t="s">
        <v>3285</v>
      </c>
      <c r="D1223" s="652" t="s">
        <v>3282</v>
      </c>
      <c r="E1223" s="653"/>
      <c r="F1223" s="215" t="s">
        <v>3284</v>
      </c>
      <c r="G1223" s="220" t="s">
        <v>57</v>
      </c>
      <c r="H1223" s="221" t="s">
        <v>58</v>
      </c>
    </row>
    <row r="1224" spans="1:8" x14ac:dyDescent="0.25">
      <c r="A1224" s="56"/>
      <c r="B1224" s="240"/>
      <c r="C1224" s="194"/>
      <c r="D1224" s="195"/>
      <c r="E1224" s="191"/>
      <c r="F1224" s="56"/>
      <c r="G1224" s="222"/>
      <c r="H1224" s="223"/>
    </row>
    <row r="1225" spans="1:8" x14ac:dyDescent="0.25">
      <c r="A1225" s="241" t="s">
        <v>3707</v>
      </c>
      <c r="B1225" s="242"/>
      <c r="C1225" s="243" t="s">
        <v>3303</v>
      </c>
      <c r="D1225" s="244" t="s">
        <v>3690</v>
      </c>
      <c r="E1225" s="245"/>
      <c r="F1225" s="246"/>
      <c r="G1225" s="247">
        <f>SUM(H1226:H1227)</f>
        <v>0</v>
      </c>
      <c r="H1225" s="248"/>
    </row>
    <row r="1226" spans="1:8" x14ac:dyDescent="0.25">
      <c r="A1226" s="249"/>
      <c r="B1226" s="242"/>
      <c r="C1226" s="250" t="s">
        <v>3291</v>
      </c>
      <c r="D1226" s="251"/>
      <c r="E1226" s="252" t="s">
        <v>3274</v>
      </c>
      <c r="F1226" s="246"/>
      <c r="G1226" s="247"/>
      <c r="H1226" s="248"/>
    </row>
    <row r="1227" spans="1:8" x14ac:dyDescent="0.25">
      <c r="A1227" s="249"/>
      <c r="B1227" s="242"/>
      <c r="C1227" s="250" t="s">
        <v>3295</v>
      </c>
      <c r="D1227" s="251"/>
      <c r="E1227" s="245" t="s">
        <v>3297</v>
      </c>
      <c r="F1227" s="246"/>
      <c r="G1227" s="247"/>
      <c r="H1227" s="248"/>
    </row>
    <row r="1228" spans="1:8" x14ac:dyDescent="0.25">
      <c r="A1228" s="56"/>
      <c r="B1228" s="240"/>
      <c r="C1228" s="189"/>
      <c r="D1228" s="67"/>
      <c r="E1228" s="55"/>
      <c r="F1228" s="277"/>
      <c r="G1228" s="218"/>
      <c r="H1228" s="217"/>
    </row>
    <row r="1229" spans="1:8" x14ac:dyDescent="0.25">
      <c r="A1229" s="61" t="s">
        <v>3706</v>
      </c>
      <c r="B1229" s="189"/>
      <c r="C1229" s="189" t="s">
        <v>3286</v>
      </c>
      <c r="D1229" s="67" t="s">
        <v>3269</v>
      </c>
      <c r="E1229" s="55"/>
      <c r="F1229" s="277"/>
      <c r="G1229" s="218"/>
      <c r="H1229" s="217"/>
    </row>
    <row r="1230" spans="1:8" x14ac:dyDescent="0.25">
      <c r="A1230" s="64"/>
      <c r="B1230" s="66"/>
      <c r="C1230" s="66" t="s">
        <v>3287</v>
      </c>
      <c r="D1230" s="67" t="s">
        <v>3270</v>
      </c>
      <c r="E1230" s="55"/>
      <c r="F1230" s="277"/>
      <c r="G1230" s="218"/>
      <c r="H1230" s="217"/>
    </row>
    <row r="1231" spans="1:8" x14ac:dyDescent="0.25">
      <c r="A1231" s="64"/>
      <c r="B1231" s="66"/>
      <c r="C1231" s="66" t="s">
        <v>3288</v>
      </c>
      <c r="D1231" s="67" t="s">
        <v>3271</v>
      </c>
      <c r="E1231" s="55"/>
      <c r="F1231" s="277"/>
      <c r="G1231" s="218"/>
      <c r="H1231" s="217"/>
    </row>
    <row r="1232" spans="1:8" x14ac:dyDescent="0.25">
      <c r="A1232" s="64"/>
      <c r="B1232" s="66"/>
      <c r="C1232" s="66" t="s">
        <v>3289</v>
      </c>
      <c r="D1232" s="67" t="s">
        <v>3272</v>
      </c>
      <c r="E1232" s="55"/>
      <c r="F1232" s="277"/>
      <c r="G1232" s="218"/>
      <c r="H1232" s="217"/>
    </row>
    <row r="1233" spans="1:8" x14ac:dyDescent="0.25">
      <c r="A1233" s="64"/>
      <c r="B1233" s="66"/>
      <c r="C1233" s="66" t="s">
        <v>3290</v>
      </c>
      <c r="D1233" s="67" t="s">
        <v>3273</v>
      </c>
      <c r="E1233" s="55"/>
      <c r="F1233" s="277"/>
      <c r="G1233" s="218"/>
      <c r="H1233" s="217"/>
    </row>
    <row r="1234" spans="1:8" x14ac:dyDescent="0.25">
      <c r="A1234" s="64"/>
      <c r="B1234" s="66"/>
      <c r="C1234" s="66" t="s">
        <v>3291</v>
      </c>
      <c r="D1234" s="67" t="s">
        <v>3274</v>
      </c>
      <c r="E1234" s="55"/>
      <c r="F1234" s="277"/>
      <c r="G1234" s="218"/>
      <c r="H1234" s="217"/>
    </row>
    <row r="1235" spans="1:8" x14ac:dyDescent="0.25">
      <c r="A1235" s="64"/>
      <c r="B1235" s="66"/>
      <c r="C1235" s="66" t="s">
        <v>3292</v>
      </c>
      <c r="D1235" s="67" t="s">
        <v>3275</v>
      </c>
      <c r="E1235" s="55"/>
      <c r="F1235" s="277"/>
      <c r="G1235" s="218"/>
      <c r="H1235" s="217"/>
    </row>
    <row r="1236" spans="1:8" x14ac:dyDescent="0.25">
      <c r="A1236" s="64"/>
      <c r="B1236" s="66"/>
      <c r="C1236" s="66" t="s">
        <v>3293</v>
      </c>
      <c r="D1236" s="67" t="s">
        <v>3276</v>
      </c>
      <c r="E1236" s="55"/>
      <c r="F1236" s="277"/>
      <c r="G1236" s="218"/>
      <c r="H1236" s="217"/>
    </row>
    <row r="1237" spans="1:8" x14ac:dyDescent="0.25">
      <c r="A1237" s="64"/>
      <c r="B1237" s="66"/>
      <c r="C1237" s="66" t="s">
        <v>3294</v>
      </c>
      <c r="D1237" s="67" t="s">
        <v>3277</v>
      </c>
      <c r="E1237" s="55"/>
      <c r="F1237" s="277"/>
      <c r="G1237" s="218"/>
      <c r="H1237" s="217"/>
    </row>
    <row r="1238" spans="1:8" x14ac:dyDescent="0.25">
      <c r="A1238" s="64"/>
      <c r="B1238" s="66"/>
      <c r="C1238" s="66" t="s">
        <v>3295</v>
      </c>
      <c r="D1238" s="67" t="s">
        <v>3297</v>
      </c>
      <c r="E1238" s="55"/>
      <c r="F1238" s="277"/>
      <c r="G1238" s="218"/>
      <c r="H1238" s="217"/>
    </row>
    <row r="1239" spans="1:8" x14ac:dyDescent="0.25">
      <c r="A1239" s="61"/>
      <c r="B1239" s="189"/>
      <c r="C1239" s="66" t="s">
        <v>3296</v>
      </c>
      <c r="D1239" s="67" t="s">
        <v>3554</v>
      </c>
      <c r="E1239" s="55"/>
      <c r="F1239" s="277"/>
      <c r="G1239" s="218"/>
      <c r="H1239" s="217"/>
    </row>
    <row r="1240" spans="1:8" x14ac:dyDescent="0.25">
      <c r="A1240" s="61"/>
      <c r="B1240" s="189"/>
      <c r="C1240" s="66" t="s">
        <v>3298</v>
      </c>
      <c r="D1240" s="67" t="s">
        <v>3299</v>
      </c>
      <c r="E1240" s="55"/>
      <c r="F1240" s="277"/>
      <c r="G1240" s="218"/>
      <c r="H1240" s="217"/>
    </row>
    <row r="1241" spans="1:8" x14ac:dyDescent="0.25">
      <c r="A1241" s="64"/>
      <c r="B1241" s="66"/>
      <c r="C1241" s="66" t="s">
        <v>3301</v>
      </c>
      <c r="D1241" s="51"/>
      <c r="E1241" s="55" t="s">
        <v>3304</v>
      </c>
      <c r="F1241" s="64">
        <f>SUM(F1229:F1240)</f>
        <v>0</v>
      </c>
      <c r="G1241" s="218"/>
      <c r="H1241" s="217">
        <f>SUM(G1229:G1240)</f>
        <v>0</v>
      </c>
    </row>
    <row r="1242" spans="1:8" x14ac:dyDescent="0.25">
      <c r="A1242" s="64"/>
      <c r="B1242" s="66"/>
      <c r="C1242" s="66"/>
      <c r="D1242" s="51"/>
      <c r="E1242" s="55"/>
      <c r="F1242" s="64"/>
      <c r="G1242" s="218"/>
      <c r="H1242" s="217"/>
    </row>
    <row r="1243" spans="1:8" x14ac:dyDescent="0.25">
      <c r="A1243" s="61" t="str">
        <f>A1229</f>
        <v>31 DES</v>
      </c>
      <c r="B1243" s="189"/>
      <c r="C1243" s="189" t="s">
        <v>3286</v>
      </c>
      <c r="D1243" s="67" t="s">
        <v>3269</v>
      </c>
      <c r="E1243" s="55"/>
      <c r="F1243" s="19"/>
      <c r="G1243" s="218"/>
      <c r="H1243" s="217"/>
    </row>
    <row r="1244" spans="1:8" x14ac:dyDescent="0.25">
      <c r="A1244" s="64"/>
      <c r="B1244" s="66"/>
      <c r="C1244" s="66" t="s">
        <v>3287</v>
      </c>
      <c r="D1244" s="67" t="s">
        <v>3270</v>
      </c>
      <c r="E1244" s="55"/>
      <c r="F1244" s="64"/>
      <c r="G1244" s="218"/>
      <c r="H1244" s="217"/>
    </row>
    <row r="1245" spans="1:8" x14ac:dyDescent="0.25">
      <c r="A1245" s="64"/>
      <c r="B1245" s="66"/>
      <c r="C1245" s="66" t="s">
        <v>3288</v>
      </c>
      <c r="D1245" s="67" t="s">
        <v>3271</v>
      </c>
      <c r="E1245" s="55"/>
      <c r="F1245" s="64"/>
      <c r="G1245" s="218"/>
      <c r="H1245" s="217"/>
    </row>
    <row r="1246" spans="1:8" x14ac:dyDescent="0.25">
      <c r="A1246" s="64"/>
      <c r="B1246" s="66"/>
      <c r="C1246" s="66" t="s">
        <v>3289</v>
      </c>
      <c r="D1246" s="67" t="s">
        <v>3272</v>
      </c>
      <c r="E1246" s="55"/>
      <c r="F1246" s="64"/>
      <c r="G1246" s="218"/>
      <c r="H1246" s="217"/>
    </row>
    <row r="1247" spans="1:8" x14ac:dyDescent="0.25">
      <c r="A1247" s="64"/>
      <c r="B1247" s="66"/>
      <c r="C1247" s="66" t="s">
        <v>3290</v>
      </c>
      <c r="D1247" s="67" t="s">
        <v>3273</v>
      </c>
      <c r="E1247" s="55"/>
      <c r="F1247" s="64"/>
      <c r="G1247" s="218"/>
      <c r="H1247" s="217"/>
    </row>
    <row r="1248" spans="1:8" x14ac:dyDescent="0.25">
      <c r="A1248" s="64"/>
      <c r="B1248" s="66"/>
      <c r="C1248" s="66" t="s">
        <v>3291</v>
      </c>
      <c r="D1248" s="67" t="s">
        <v>3274</v>
      </c>
      <c r="E1248" s="55"/>
      <c r="F1248" s="64"/>
      <c r="G1248" s="218"/>
      <c r="H1248" s="217"/>
    </row>
    <row r="1249" spans="1:8" x14ac:dyDescent="0.25">
      <c r="A1249" s="64"/>
      <c r="B1249" s="66"/>
      <c r="C1249" s="66" t="s">
        <v>3292</v>
      </c>
      <c r="D1249" s="67" t="s">
        <v>3275</v>
      </c>
      <c r="E1249" s="55"/>
      <c r="F1249" s="64"/>
      <c r="G1249" s="218"/>
      <c r="H1249" s="217"/>
    </row>
    <row r="1250" spans="1:8" x14ac:dyDescent="0.25">
      <c r="A1250" s="64"/>
      <c r="B1250" s="66"/>
      <c r="C1250" s="66" t="s">
        <v>3293</v>
      </c>
      <c r="D1250" s="67" t="s">
        <v>3276</v>
      </c>
      <c r="E1250" s="55"/>
      <c r="F1250" s="64"/>
      <c r="G1250" s="218"/>
      <c r="H1250" s="217"/>
    </row>
    <row r="1251" spans="1:8" x14ac:dyDescent="0.25">
      <c r="A1251" s="64"/>
      <c r="B1251" s="66"/>
      <c r="C1251" s="66" t="s">
        <v>3294</v>
      </c>
      <c r="D1251" s="67" t="s">
        <v>3277</v>
      </c>
      <c r="E1251" s="55"/>
      <c r="F1251" s="64"/>
      <c r="G1251" s="218"/>
      <c r="H1251" s="217"/>
    </row>
    <row r="1252" spans="1:8" x14ac:dyDescent="0.25">
      <c r="A1252" s="64"/>
      <c r="B1252" s="66"/>
      <c r="C1252" s="66" t="s">
        <v>3295</v>
      </c>
      <c r="D1252" s="67" t="s">
        <v>3297</v>
      </c>
      <c r="E1252" s="55"/>
      <c r="F1252" s="64"/>
      <c r="G1252" s="218"/>
      <c r="H1252" s="217"/>
    </row>
    <row r="1253" spans="1:8" x14ac:dyDescent="0.25">
      <c r="A1253" s="61"/>
      <c r="B1253" s="189"/>
      <c r="C1253" s="66" t="s">
        <v>3296</v>
      </c>
      <c r="D1253" s="67" t="s">
        <v>3554</v>
      </c>
      <c r="E1253" s="55"/>
      <c r="F1253" s="64"/>
      <c r="G1253" s="218"/>
      <c r="H1253" s="217"/>
    </row>
    <row r="1254" spans="1:8" x14ac:dyDescent="0.25">
      <c r="A1254" s="61"/>
      <c r="B1254" s="189"/>
      <c r="C1254" s="66" t="s">
        <v>3298</v>
      </c>
      <c r="D1254" s="67" t="s">
        <v>3299</v>
      </c>
      <c r="E1254" s="55"/>
      <c r="F1254" s="64"/>
      <c r="G1254" s="218"/>
      <c r="H1254" s="217"/>
    </row>
    <row r="1255" spans="1:8" x14ac:dyDescent="0.25">
      <c r="A1255" s="64"/>
      <c r="B1255" s="66"/>
      <c r="C1255" s="66" t="s">
        <v>3301</v>
      </c>
      <c r="D1255" s="51"/>
      <c r="E1255" s="55" t="s">
        <v>3674</v>
      </c>
      <c r="F1255" s="64">
        <f>SUM(F1243:F1254)</f>
        <v>0</v>
      </c>
      <c r="G1255" s="218"/>
      <c r="H1255" s="217">
        <f>SUM(G1243:G1253)</f>
        <v>0</v>
      </c>
    </row>
    <row r="1256" spans="1:8" x14ac:dyDescent="0.25">
      <c r="A1256" s="64"/>
      <c r="B1256" s="66"/>
      <c r="C1256" s="66"/>
      <c r="D1256" s="51"/>
      <c r="E1256" s="55"/>
      <c r="F1256" s="64"/>
      <c r="G1256" s="218"/>
      <c r="H1256" s="217"/>
    </row>
    <row r="1257" spans="1:8" x14ac:dyDescent="0.25">
      <c r="A1257" s="61" t="str">
        <f>A1243</f>
        <v>31 DES</v>
      </c>
      <c r="B1257" s="189"/>
      <c r="C1257" s="189" t="s">
        <v>3286</v>
      </c>
      <c r="D1257" s="67" t="s">
        <v>3269</v>
      </c>
      <c r="E1257" s="55"/>
      <c r="F1257" s="19"/>
      <c r="G1257" s="218"/>
      <c r="H1257" s="217"/>
    </row>
    <row r="1258" spans="1:8" x14ac:dyDescent="0.25">
      <c r="A1258" s="64"/>
      <c r="B1258" s="66"/>
      <c r="C1258" s="66" t="s">
        <v>3287</v>
      </c>
      <c r="D1258" s="67" t="s">
        <v>3270</v>
      </c>
      <c r="E1258" s="55"/>
      <c r="F1258" s="64"/>
      <c r="G1258" s="218"/>
      <c r="H1258" s="217"/>
    </row>
    <row r="1259" spans="1:8" x14ac:dyDescent="0.25">
      <c r="A1259" s="64"/>
      <c r="B1259" s="66"/>
      <c r="C1259" s="66" t="s">
        <v>3288</v>
      </c>
      <c r="D1259" s="67" t="s">
        <v>3271</v>
      </c>
      <c r="E1259" s="55"/>
      <c r="F1259" s="64"/>
      <c r="G1259" s="218"/>
      <c r="H1259" s="217"/>
    </row>
    <row r="1260" spans="1:8" x14ac:dyDescent="0.25">
      <c r="A1260" s="64"/>
      <c r="B1260" s="66"/>
      <c r="C1260" s="66" t="s">
        <v>3289</v>
      </c>
      <c r="D1260" s="67" t="s">
        <v>3272</v>
      </c>
      <c r="E1260" s="55"/>
      <c r="F1260" s="64"/>
      <c r="G1260" s="218"/>
      <c r="H1260" s="217"/>
    </row>
    <row r="1261" spans="1:8" x14ac:dyDescent="0.25">
      <c r="A1261" s="64"/>
      <c r="B1261" s="66"/>
      <c r="C1261" s="66" t="s">
        <v>3290</v>
      </c>
      <c r="D1261" s="67" t="s">
        <v>3273</v>
      </c>
      <c r="E1261" s="55"/>
      <c r="F1261" s="64"/>
      <c r="G1261" s="218"/>
      <c r="H1261" s="217"/>
    </row>
    <row r="1262" spans="1:8" x14ac:dyDescent="0.25">
      <c r="A1262" s="64"/>
      <c r="B1262" s="66"/>
      <c r="C1262" s="66" t="s">
        <v>3291</v>
      </c>
      <c r="D1262" s="67" t="s">
        <v>3274</v>
      </c>
      <c r="E1262" s="55"/>
      <c r="F1262" s="64"/>
      <c r="G1262" s="218"/>
      <c r="H1262" s="217"/>
    </row>
    <row r="1263" spans="1:8" x14ac:dyDescent="0.25">
      <c r="A1263" s="64"/>
      <c r="B1263" s="66"/>
      <c r="C1263" s="66" t="s">
        <v>3292</v>
      </c>
      <c r="D1263" s="67" t="s">
        <v>3275</v>
      </c>
      <c r="E1263" s="55"/>
      <c r="F1263" s="64"/>
      <c r="G1263" s="218"/>
      <c r="H1263" s="217"/>
    </row>
    <row r="1264" spans="1:8" x14ac:dyDescent="0.25">
      <c r="A1264" s="64"/>
      <c r="B1264" s="66"/>
      <c r="C1264" s="66" t="s">
        <v>3293</v>
      </c>
      <c r="D1264" s="67" t="s">
        <v>3276</v>
      </c>
      <c r="E1264" s="55"/>
      <c r="F1264" s="64"/>
      <c r="G1264" s="218"/>
      <c r="H1264" s="217"/>
    </row>
    <row r="1265" spans="1:9" x14ac:dyDescent="0.25">
      <c r="A1265" s="64"/>
      <c r="B1265" s="66"/>
      <c r="C1265" s="66" t="s">
        <v>3294</v>
      </c>
      <c r="D1265" s="67" t="s">
        <v>3277</v>
      </c>
      <c r="E1265" s="55"/>
      <c r="F1265" s="64"/>
      <c r="G1265" s="218"/>
      <c r="H1265" s="217"/>
    </row>
    <row r="1266" spans="1:9" x14ac:dyDescent="0.25">
      <c r="A1266" s="64"/>
      <c r="B1266" s="66"/>
      <c r="C1266" s="66" t="s">
        <v>3295</v>
      </c>
      <c r="D1266" s="67" t="s">
        <v>3297</v>
      </c>
      <c r="E1266" s="55"/>
      <c r="F1266" s="64"/>
      <c r="G1266" s="218"/>
      <c r="H1266" s="217"/>
    </row>
    <row r="1267" spans="1:9" x14ac:dyDescent="0.25">
      <c r="A1267" s="61"/>
      <c r="B1267" s="189"/>
      <c r="C1267" s="66" t="s">
        <v>3296</v>
      </c>
      <c r="D1267" s="67" t="s">
        <v>3554</v>
      </c>
      <c r="E1267" s="55"/>
      <c r="F1267" s="64"/>
      <c r="G1267" s="218"/>
      <c r="H1267" s="217"/>
    </row>
    <row r="1268" spans="1:9" x14ac:dyDescent="0.25">
      <c r="A1268" s="61"/>
      <c r="B1268" s="189"/>
      <c r="C1268" s="66" t="s">
        <v>3298</v>
      </c>
      <c r="D1268" s="67" t="s">
        <v>3299</v>
      </c>
      <c r="E1268" s="55"/>
      <c r="F1268" s="64"/>
      <c r="G1268" s="218"/>
      <c r="H1268" s="217"/>
      <c r="I1268" s="269"/>
    </row>
    <row r="1269" spans="1:9" x14ac:dyDescent="0.25">
      <c r="A1269" s="64"/>
      <c r="B1269" s="66"/>
      <c r="C1269" s="66" t="s">
        <v>3301</v>
      </c>
      <c r="D1269" s="51"/>
      <c r="E1269" s="55" t="s">
        <v>3675</v>
      </c>
      <c r="F1269" s="64">
        <f>SUM(F1257:F1268)</f>
        <v>0</v>
      </c>
      <c r="G1269" s="218"/>
      <c r="H1269" s="217">
        <f>SUM(G1257:G1267)</f>
        <v>0</v>
      </c>
      <c r="I1269" s="269">
        <f>H1269+H1278</f>
        <v>0</v>
      </c>
    </row>
    <row r="1270" spans="1:9" x14ac:dyDescent="0.25">
      <c r="A1270" s="64"/>
      <c r="B1270" s="66"/>
      <c r="C1270" s="66"/>
      <c r="D1270" s="51"/>
      <c r="E1270" s="55"/>
      <c r="F1270" s="64"/>
      <c r="G1270" s="218"/>
      <c r="H1270" s="217"/>
    </row>
    <row r="1271" spans="1:9" x14ac:dyDescent="0.25">
      <c r="A1271" s="61" t="str">
        <f>A1229</f>
        <v>31 DES</v>
      </c>
      <c r="B1271" s="189"/>
      <c r="C1271" s="189" t="s">
        <v>3300</v>
      </c>
      <c r="D1271" s="51" t="s">
        <v>3232</v>
      </c>
      <c r="E1271" s="55"/>
      <c r="F1271" s="64">
        <f>F1241</f>
        <v>0</v>
      </c>
      <c r="G1271" s="218"/>
      <c r="H1271" s="217"/>
    </row>
    <row r="1272" spans="1:9" x14ac:dyDescent="0.25">
      <c r="A1272" s="64"/>
      <c r="B1272" s="66"/>
      <c r="C1272" s="66" t="s">
        <v>3302</v>
      </c>
      <c r="D1272" s="51"/>
      <c r="E1272" s="55" t="s">
        <v>3233</v>
      </c>
      <c r="F1272" s="64">
        <f>F1271</f>
        <v>0</v>
      </c>
      <c r="G1272" s="218"/>
      <c r="H1272" s="217">
        <f>G1271</f>
        <v>0</v>
      </c>
      <c r="I1272" s="269">
        <f>H1272+H1241</f>
        <v>0</v>
      </c>
    </row>
    <row r="1273" spans="1:9" x14ac:dyDescent="0.25">
      <c r="A1273" s="64"/>
      <c r="B1273" s="66"/>
      <c r="C1273" s="66"/>
      <c r="D1273" s="51"/>
      <c r="E1273" s="55"/>
      <c r="F1273" s="64"/>
      <c r="G1273" s="218"/>
      <c r="H1273" s="217"/>
    </row>
    <row r="1274" spans="1:9" x14ac:dyDescent="0.25">
      <c r="A1274" s="64" t="str">
        <f>A1271</f>
        <v>31 DES</v>
      </c>
      <c r="B1274" s="66"/>
      <c r="C1274" s="189" t="s">
        <v>3300</v>
      </c>
      <c r="D1274" s="51" t="s">
        <v>3676</v>
      </c>
      <c r="E1274" s="55"/>
      <c r="F1274" s="64">
        <f>F1255</f>
        <v>0</v>
      </c>
      <c r="G1274" s="218"/>
      <c r="H1274" s="217"/>
      <c r="I1274" s="269"/>
    </row>
    <row r="1275" spans="1:9" x14ac:dyDescent="0.25">
      <c r="A1275" s="64"/>
      <c r="B1275" s="66"/>
      <c r="C1275" s="66" t="s">
        <v>3302</v>
      </c>
      <c r="D1275" s="51"/>
      <c r="E1275" s="55" t="s">
        <v>3233</v>
      </c>
      <c r="F1275" s="64"/>
      <c r="G1275" s="218"/>
      <c r="H1275" s="217">
        <f>G1274</f>
        <v>0</v>
      </c>
      <c r="I1275" s="269">
        <f>H1255+H1275</f>
        <v>0</v>
      </c>
    </row>
    <row r="1276" spans="1:9" x14ac:dyDescent="0.25">
      <c r="A1276" s="64"/>
      <c r="B1276" s="66"/>
      <c r="C1276" s="66"/>
      <c r="D1276" s="51"/>
      <c r="E1276" s="55"/>
      <c r="F1276" s="64"/>
      <c r="G1276" s="218"/>
      <c r="H1276" s="217"/>
    </row>
    <row r="1277" spans="1:9" x14ac:dyDescent="0.25">
      <c r="A1277" s="64" t="str">
        <f>A1274</f>
        <v>31 DES</v>
      </c>
      <c r="B1277" s="66"/>
      <c r="C1277" s="189" t="s">
        <v>3300</v>
      </c>
      <c r="D1277" s="51" t="s">
        <v>3677</v>
      </c>
      <c r="E1277" s="55"/>
      <c r="F1277" s="64">
        <f>F1269</f>
        <v>0</v>
      </c>
      <c r="G1277" s="218"/>
      <c r="H1277" s="217"/>
    </row>
    <row r="1278" spans="1:9" x14ac:dyDescent="0.25">
      <c r="A1278" s="64"/>
      <c r="B1278" s="66"/>
      <c r="C1278" s="66" t="s">
        <v>3302</v>
      </c>
      <c r="D1278" s="51"/>
      <c r="E1278" s="55" t="s">
        <v>3233</v>
      </c>
      <c r="F1278" s="64"/>
      <c r="G1278" s="218"/>
      <c r="H1278" s="217">
        <f>G1277</f>
        <v>0</v>
      </c>
    </row>
    <row r="1279" spans="1:9" x14ac:dyDescent="0.25">
      <c r="A1279" s="64"/>
      <c r="B1279" s="66"/>
      <c r="C1279" s="66"/>
      <c r="D1279" s="51"/>
      <c r="E1279" s="55"/>
      <c r="F1279" s="64"/>
      <c r="G1279" s="218"/>
      <c r="H1279" s="217"/>
    </row>
    <row r="1280" spans="1:9" x14ac:dyDescent="0.25">
      <c r="A1280" s="654" t="s">
        <v>15</v>
      </c>
      <c r="B1280" s="654"/>
      <c r="C1280" s="654"/>
      <c r="D1280" s="654"/>
      <c r="E1280" s="654"/>
      <c r="F1280" s="654"/>
      <c r="G1280" s="228">
        <f>SUM(G1225:G1279)</f>
        <v>0</v>
      </c>
      <c r="H1280" s="229">
        <f>SUM(H1225:H1279)</f>
        <v>0</v>
      </c>
    </row>
    <row r="1281" spans="1:8" x14ac:dyDescent="0.25">
      <c r="A1281" s="654" t="s">
        <v>3560</v>
      </c>
      <c r="B1281" s="654"/>
      <c r="C1281" s="654"/>
      <c r="D1281" s="654"/>
      <c r="E1281" s="654"/>
      <c r="F1281" s="654"/>
      <c r="G1281" s="228">
        <f>G1169</f>
        <v>0</v>
      </c>
      <c r="H1281" s="228">
        <f>H1169</f>
        <v>0</v>
      </c>
    </row>
    <row r="1282" spans="1:8" ht="15.75" thickBot="1" x14ac:dyDescent="0.3">
      <c r="A1282" s="655" t="s">
        <v>3714</v>
      </c>
      <c r="B1282" s="655"/>
      <c r="C1282" s="655"/>
      <c r="D1282" s="655"/>
      <c r="E1282" s="655"/>
      <c r="F1282" s="655"/>
      <c r="G1282" s="224">
        <f>SUM(G1280:G1281)</f>
        <v>0</v>
      </c>
      <c r="H1282" s="225">
        <f>SUM(H1280:H1281)</f>
        <v>0</v>
      </c>
    </row>
    <row r="1283" spans="1:8" x14ac:dyDescent="0.25">
      <c r="A1283" s="96"/>
      <c r="B1283" s="96"/>
      <c r="C1283" s="96"/>
      <c r="D1283" s="96"/>
      <c r="E1283" s="96"/>
      <c r="F1283" s="96"/>
      <c r="G1283" s="226"/>
      <c r="H1283" s="226"/>
    </row>
  </sheetData>
  <mergeCells count="135">
    <mergeCell ref="A296:D296"/>
    <mergeCell ref="F296:H296"/>
    <mergeCell ref="A297:D297"/>
    <mergeCell ref="F297:H297"/>
    <mergeCell ref="A185:D185"/>
    <mergeCell ref="F185:H185"/>
    <mergeCell ref="A225:H225"/>
    <mergeCell ref="D227:E227"/>
    <mergeCell ref="A293:D293"/>
    <mergeCell ref="F293:H293"/>
    <mergeCell ref="A294:D294"/>
    <mergeCell ref="F294:H294"/>
    <mergeCell ref="A295:D295"/>
    <mergeCell ref="F295:H295"/>
    <mergeCell ref="F64:H64"/>
    <mergeCell ref="A65:D65"/>
    <mergeCell ref="F65:H65"/>
    <mergeCell ref="A1109:H1109"/>
    <mergeCell ref="A1110:H1110"/>
    <mergeCell ref="A529:F529"/>
    <mergeCell ref="A532:D532"/>
    <mergeCell ref="F532:H532"/>
    <mergeCell ref="A533:D533"/>
    <mergeCell ref="F533:H533"/>
    <mergeCell ref="A888:H888"/>
    <mergeCell ref="A889:H889"/>
    <mergeCell ref="D559:E559"/>
    <mergeCell ref="A534:D534"/>
    <mergeCell ref="F534:H534"/>
    <mergeCell ref="A535:D535"/>
    <mergeCell ref="A556:H556"/>
    <mergeCell ref="A557:H557"/>
    <mergeCell ref="A731:F731"/>
    <mergeCell ref="A666:H666"/>
    <mergeCell ref="A66:D66"/>
    <mergeCell ref="F66:H66"/>
    <mergeCell ref="A67:D67"/>
    <mergeCell ref="F67:H67"/>
    <mergeCell ref="D1112:E1112"/>
    <mergeCell ref="A1168:F1168"/>
    <mergeCell ref="A1169:F1169"/>
    <mergeCell ref="A1170:F1170"/>
    <mergeCell ref="A999:H999"/>
    <mergeCell ref="A1000:H1000"/>
    <mergeCell ref="D1002:E1002"/>
    <mergeCell ref="A1059:F1059"/>
    <mergeCell ref="A1060:F1060"/>
    <mergeCell ref="A1061:F1061"/>
    <mergeCell ref="A667:H667"/>
    <mergeCell ref="D669:E669"/>
    <mergeCell ref="A729:F729"/>
    <mergeCell ref="A730:F730"/>
    <mergeCell ref="A619:F619"/>
    <mergeCell ref="A620:F620"/>
    <mergeCell ref="A621:F621"/>
    <mergeCell ref="A950:F950"/>
    <mergeCell ref="A951:F951"/>
    <mergeCell ref="A777:H777"/>
    <mergeCell ref="A778:H778"/>
    <mergeCell ref="D780:E780"/>
    <mergeCell ref="A840:F840"/>
    <mergeCell ref="A839:F839"/>
    <mergeCell ref="A841:F841"/>
    <mergeCell ref="A536:D536"/>
    <mergeCell ref="F536:H536"/>
    <mergeCell ref="A107:H107"/>
    <mergeCell ref="A402:F402"/>
    <mergeCell ref="A405:D405"/>
    <mergeCell ref="F405:H405"/>
    <mergeCell ref="A406:D406"/>
    <mergeCell ref="F406:H406"/>
    <mergeCell ref="A108:H108"/>
    <mergeCell ref="A178:F178"/>
    <mergeCell ref="A181:D181"/>
    <mergeCell ref="F181:H181"/>
    <mergeCell ref="A182:D182"/>
    <mergeCell ref="D449:E449"/>
    <mergeCell ref="A113:H113"/>
    <mergeCell ref="A114:H114"/>
    <mergeCell ref="D116:E116"/>
    <mergeCell ref="A176:F176"/>
    <mergeCell ref="A177:F177"/>
    <mergeCell ref="F182:H182"/>
    <mergeCell ref="A183:D183"/>
    <mergeCell ref="F183:H183"/>
    <mergeCell ref="A184:D184"/>
    <mergeCell ref="F184:H184"/>
    <mergeCell ref="A4:H4"/>
    <mergeCell ref="A5:H5"/>
    <mergeCell ref="D7:E7"/>
    <mergeCell ref="A224:H224"/>
    <mergeCell ref="F408:H408"/>
    <mergeCell ref="A409:D409"/>
    <mergeCell ref="F409:H409"/>
    <mergeCell ref="A446:H446"/>
    <mergeCell ref="A447:H447"/>
    <mergeCell ref="A407:D407"/>
    <mergeCell ref="F407:H407"/>
    <mergeCell ref="A408:D408"/>
    <mergeCell ref="A335:H335"/>
    <mergeCell ref="A336:H336"/>
    <mergeCell ref="D338:E338"/>
    <mergeCell ref="A400:F400"/>
    <mergeCell ref="A401:F401"/>
    <mergeCell ref="A288:F288"/>
    <mergeCell ref="A289:F289"/>
    <mergeCell ref="A290:F290"/>
    <mergeCell ref="A60:F60"/>
    <mergeCell ref="A63:D63"/>
    <mergeCell ref="F63:H63"/>
    <mergeCell ref="A64:D64"/>
    <mergeCell ref="A1220:H1220"/>
    <mergeCell ref="A1221:H1221"/>
    <mergeCell ref="D1223:E1223"/>
    <mergeCell ref="A1280:F1280"/>
    <mergeCell ref="A1281:F1281"/>
    <mergeCell ref="A1282:F1282"/>
    <mergeCell ref="A528:F528"/>
    <mergeCell ref="A514:D514"/>
    <mergeCell ref="A506:F506"/>
    <mergeCell ref="A507:F507"/>
    <mergeCell ref="A515:D515"/>
    <mergeCell ref="A511:D511"/>
    <mergeCell ref="A513:D513"/>
    <mergeCell ref="F513:H513"/>
    <mergeCell ref="F535:H535"/>
    <mergeCell ref="A527:F527"/>
    <mergeCell ref="A508:F508"/>
    <mergeCell ref="F511:H511"/>
    <mergeCell ref="F514:H514"/>
    <mergeCell ref="F515:H515"/>
    <mergeCell ref="A512:D512"/>
    <mergeCell ref="F512:H512"/>
    <mergeCell ref="D891:E891"/>
    <mergeCell ref="A949:F949"/>
  </mergeCells>
  <phoneticPr fontId="5" type="noConversion"/>
  <pageMargins left="0.70866141732283472" right="0.70866141732283472" top="0.74803149606299213" bottom="0.74803149606299213" header="0.31496062992125984" footer="0.31496062992125984"/>
  <pageSetup paperSize="9" scale="90"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M66"/>
  <sheetViews>
    <sheetView view="pageLayout" workbookViewId="0">
      <selection activeCell="A4" sqref="A4:A5"/>
    </sheetView>
  </sheetViews>
  <sheetFormatPr defaultRowHeight="15" x14ac:dyDescent="0.25"/>
  <cols>
    <col min="1" max="1" width="4" style="3" customWidth="1"/>
    <col min="2" max="2" width="9.85546875" customWidth="1"/>
    <col min="3" max="3" width="3.28515625" customWidth="1"/>
    <col min="4" max="4" width="32.5703125" customWidth="1"/>
    <col min="5" max="5" width="7" customWidth="1"/>
    <col min="6" max="6" width="14" style="89" customWidth="1"/>
    <col min="7" max="7" width="14.85546875" style="83" customWidth="1"/>
    <col min="8" max="8" width="14.7109375" customWidth="1"/>
    <col min="9" max="9" width="11.140625" customWidth="1"/>
    <col min="10" max="10" width="10.5703125" customWidth="1"/>
    <col min="11" max="11" width="23.85546875" customWidth="1"/>
    <col min="12" max="12" width="18.140625" customWidth="1"/>
  </cols>
  <sheetData>
    <row r="1" spans="1:13" x14ac:dyDescent="0.25">
      <c r="A1" s="50" t="s">
        <v>0</v>
      </c>
      <c r="B1" s="50"/>
      <c r="C1" s="50"/>
      <c r="D1" s="9"/>
      <c r="E1" s="9"/>
      <c r="F1" s="84"/>
      <c r="G1" s="75"/>
      <c r="H1" s="9"/>
      <c r="I1" s="9"/>
      <c r="J1" s="9"/>
      <c r="K1" s="9"/>
      <c r="L1" s="9"/>
      <c r="M1" s="1"/>
    </row>
    <row r="2" spans="1:13" x14ac:dyDescent="0.25">
      <c r="A2" s="50" t="s">
        <v>1</v>
      </c>
      <c r="B2" s="50"/>
      <c r="C2" s="50"/>
      <c r="D2" s="9"/>
      <c r="E2" s="9"/>
      <c r="F2" s="84"/>
      <c r="G2" s="75"/>
      <c r="H2" s="9"/>
      <c r="I2" s="9"/>
      <c r="J2" s="9"/>
      <c r="K2" s="9"/>
      <c r="L2" s="9"/>
      <c r="M2" s="1"/>
    </row>
    <row r="3" spans="1:13" x14ac:dyDescent="0.25">
      <c r="A3" s="50" t="s">
        <v>16</v>
      </c>
      <c r="B3" s="50"/>
      <c r="C3" s="50"/>
      <c r="D3" s="9"/>
      <c r="E3" s="9"/>
      <c r="F3" s="84"/>
      <c r="G3" s="75"/>
      <c r="H3" s="9"/>
      <c r="I3" s="9"/>
      <c r="J3" s="9"/>
      <c r="K3" s="9"/>
      <c r="L3" s="9"/>
      <c r="M3" s="1"/>
    </row>
    <row r="4" spans="1:13" x14ac:dyDescent="0.25">
      <c r="A4" s="2" t="s">
        <v>3234</v>
      </c>
      <c r="B4" s="2"/>
      <c r="C4" s="2"/>
      <c r="D4" s="2"/>
      <c r="E4" s="2"/>
      <c r="F4" s="2"/>
      <c r="G4" s="2"/>
      <c r="H4" s="9"/>
      <c r="I4" s="9"/>
      <c r="J4" s="9"/>
      <c r="K4" s="9"/>
      <c r="L4" s="9"/>
      <c r="M4" s="1"/>
    </row>
    <row r="5" spans="1:13" x14ac:dyDescent="0.25">
      <c r="A5" s="2" t="s">
        <v>3268</v>
      </c>
      <c r="B5" s="2"/>
      <c r="C5" s="2"/>
      <c r="D5" s="2"/>
      <c r="E5" s="2"/>
      <c r="F5" s="2"/>
      <c r="G5" s="2"/>
      <c r="H5" s="9"/>
      <c r="I5" s="9"/>
      <c r="J5" s="9"/>
      <c r="K5" s="9"/>
      <c r="L5" s="9"/>
      <c r="M5" s="1"/>
    </row>
    <row r="6" spans="1:13" ht="15.75" thickBot="1" x14ac:dyDescent="0.3">
      <c r="A6" s="19"/>
      <c r="B6" s="1"/>
      <c r="C6" s="1"/>
      <c r="D6" s="1"/>
      <c r="E6" s="1"/>
      <c r="F6" s="85"/>
      <c r="G6" s="76"/>
      <c r="H6" s="1"/>
      <c r="I6" s="1"/>
      <c r="J6" s="1"/>
      <c r="K6" s="1"/>
      <c r="L6" s="1"/>
      <c r="M6" s="1"/>
    </row>
    <row r="7" spans="1:13" ht="27.75" customHeight="1" x14ac:dyDescent="0.25">
      <c r="A7" s="33" t="s">
        <v>55</v>
      </c>
      <c r="B7" s="53" t="s">
        <v>3</v>
      </c>
      <c r="C7" s="661" t="s">
        <v>5</v>
      </c>
      <c r="D7" s="661"/>
      <c r="E7" s="34" t="s">
        <v>56</v>
      </c>
      <c r="F7" s="86" t="s">
        <v>57</v>
      </c>
      <c r="G7" s="77" t="s">
        <v>58</v>
      </c>
      <c r="H7" s="9"/>
      <c r="I7" s="9"/>
      <c r="J7" s="9"/>
      <c r="K7" s="9"/>
      <c r="L7" s="9"/>
      <c r="M7" s="1"/>
    </row>
    <row r="8" spans="1:13" ht="15" customHeight="1" x14ac:dyDescent="0.25">
      <c r="A8" s="42"/>
      <c r="B8" s="61"/>
      <c r="C8" s="95"/>
      <c r="D8" s="165"/>
      <c r="E8" s="10"/>
      <c r="F8" s="87"/>
      <c r="G8" s="78"/>
      <c r="H8" s="9"/>
      <c r="I8" s="9"/>
      <c r="J8" s="9"/>
      <c r="K8" s="9"/>
      <c r="L8" s="9"/>
      <c r="M8" s="1"/>
    </row>
    <row r="9" spans="1:13" ht="15" customHeight="1" x14ac:dyDescent="0.25">
      <c r="A9" s="42"/>
      <c r="B9" s="183" t="s">
        <v>3261</v>
      </c>
      <c r="C9" s="51" t="s">
        <v>79</v>
      </c>
      <c r="D9" s="52"/>
      <c r="E9" s="24"/>
      <c r="F9" s="82"/>
      <c r="G9" s="80"/>
      <c r="H9" s="9"/>
      <c r="I9" s="9"/>
      <c r="J9" s="9"/>
      <c r="K9" s="9"/>
      <c r="L9" s="9"/>
      <c r="M9" s="1"/>
    </row>
    <row r="10" spans="1:13" ht="15" customHeight="1" x14ac:dyDescent="0.25">
      <c r="A10" s="42"/>
      <c r="B10" s="74"/>
      <c r="C10" s="51"/>
      <c r="D10" s="21" t="s">
        <v>3265</v>
      </c>
      <c r="E10" s="24"/>
      <c r="F10" s="82"/>
      <c r="G10" s="79"/>
      <c r="H10" s="9"/>
      <c r="I10" s="9"/>
      <c r="J10" s="9"/>
      <c r="K10" s="9"/>
      <c r="L10" s="9"/>
      <c r="M10" s="1"/>
    </row>
    <row r="11" spans="1:13" ht="15" customHeight="1" x14ac:dyDescent="0.25">
      <c r="A11" s="42"/>
      <c r="B11" s="74"/>
      <c r="C11" s="51"/>
      <c r="D11" s="21" t="s">
        <v>3262</v>
      </c>
      <c r="E11" s="24"/>
      <c r="F11" s="82"/>
      <c r="G11" s="79"/>
      <c r="H11" s="9"/>
      <c r="I11" s="9"/>
      <c r="J11" s="9"/>
      <c r="K11" s="9"/>
      <c r="L11" s="9"/>
      <c r="M11" s="1"/>
    </row>
    <row r="12" spans="1:13" ht="15" customHeight="1" x14ac:dyDescent="0.25">
      <c r="A12" s="42"/>
      <c r="B12" s="64"/>
      <c r="C12" s="66"/>
      <c r="D12" s="62"/>
      <c r="E12" s="10"/>
      <c r="F12" s="88"/>
      <c r="G12" s="78"/>
      <c r="H12" s="9"/>
      <c r="I12" s="9"/>
      <c r="J12" s="9"/>
      <c r="K12" s="9"/>
      <c r="L12" s="9"/>
      <c r="M12" s="1"/>
    </row>
    <row r="13" spans="1:13" x14ac:dyDescent="0.25">
      <c r="A13" s="30"/>
      <c r="B13" s="69"/>
      <c r="C13" s="37"/>
      <c r="D13" s="40"/>
      <c r="E13" s="28"/>
      <c r="F13" s="82"/>
      <c r="G13" s="81"/>
      <c r="J13" s="20"/>
    </row>
    <row r="14" spans="1:13" x14ac:dyDescent="0.25">
      <c r="A14" s="30"/>
      <c r="B14" s="10"/>
      <c r="C14" s="37"/>
      <c r="D14" s="40"/>
      <c r="E14" s="28"/>
      <c r="F14" s="82"/>
      <c r="G14" s="81"/>
      <c r="J14" s="20"/>
    </row>
    <row r="15" spans="1:13" x14ac:dyDescent="0.25">
      <c r="A15" s="30"/>
      <c r="B15" s="10"/>
      <c r="C15" s="37"/>
      <c r="D15" s="40"/>
      <c r="E15" s="28"/>
      <c r="F15" s="82"/>
      <c r="G15" s="81"/>
      <c r="H15" s="21"/>
      <c r="I15" s="20"/>
      <c r="J15" s="20"/>
      <c r="K15" s="20"/>
      <c r="L15" s="20"/>
      <c r="M15" s="1"/>
    </row>
    <row r="16" spans="1:13" x14ac:dyDescent="0.25">
      <c r="A16" s="30"/>
      <c r="B16" s="10"/>
      <c r="C16" s="37"/>
      <c r="D16" s="40"/>
      <c r="E16" s="28"/>
      <c r="F16" s="82"/>
      <c r="G16" s="81"/>
      <c r="H16" s="21"/>
      <c r="I16" s="20"/>
      <c r="J16" s="20"/>
      <c r="K16" s="20"/>
      <c r="L16" s="20"/>
      <c r="M16" s="1"/>
    </row>
    <row r="17" spans="1:13" x14ac:dyDescent="0.25">
      <c r="A17" s="30"/>
      <c r="B17" s="69"/>
      <c r="C17" s="37"/>
      <c r="D17" s="40"/>
      <c r="E17" s="28"/>
      <c r="F17" s="82"/>
      <c r="G17" s="81"/>
      <c r="H17" s="21"/>
      <c r="I17" s="20"/>
      <c r="J17" s="20"/>
      <c r="K17" s="20"/>
      <c r="L17" s="20"/>
      <c r="M17" s="1"/>
    </row>
    <row r="18" spans="1:13" x14ac:dyDescent="0.25">
      <c r="A18" s="30"/>
      <c r="B18" s="10"/>
      <c r="C18" s="37"/>
      <c r="D18" s="40"/>
      <c r="E18" s="28"/>
      <c r="F18" s="82"/>
      <c r="G18" s="81"/>
      <c r="H18" s="21"/>
      <c r="I18" s="20"/>
      <c r="J18" s="20"/>
      <c r="K18" s="20"/>
      <c r="L18" s="20"/>
      <c r="M18" s="1"/>
    </row>
    <row r="19" spans="1:13" x14ac:dyDescent="0.25">
      <c r="A19" s="30"/>
      <c r="B19" s="10"/>
      <c r="C19" s="37"/>
      <c r="D19" s="40"/>
      <c r="E19" s="28"/>
      <c r="F19" s="82"/>
      <c r="G19" s="81"/>
      <c r="H19" s="21"/>
      <c r="I19" s="20"/>
      <c r="J19" s="20"/>
      <c r="K19" s="20"/>
      <c r="L19" s="20"/>
      <c r="M19" s="1"/>
    </row>
    <row r="20" spans="1:13" x14ac:dyDescent="0.25">
      <c r="A20" s="103"/>
      <c r="B20" s="10"/>
      <c r="C20" s="17"/>
      <c r="D20" s="40"/>
      <c r="E20" s="20"/>
      <c r="F20" s="82"/>
      <c r="G20" s="104"/>
      <c r="H20" s="21"/>
      <c r="I20" s="20"/>
      <c r="J20" s="20"/>
      <c r="K20" s="20"/>
      <c r="L20" s="20"/>
      <c r="M20" s="1"/>
    </row>
    <row r="21" spans="1:13" ht="20.25" customHeight="1" thickBot="1" x14ac:dyDescent="0.3">
      <c r="A21" s="655" t="s">
        <v>15</v>
      </c>
      <c r="B21" s="655"/>
      <c r="C21" s="655"/>
      <c r="D21" s="655"/>
      <c r="E21" s="655"/>
      <c r="F21" s="105">
        <f>SUM(F8:F19)</f>
        <v>0</v>
      </c>
      <c r="G21" s="106">
        <f>SUM(G8:G19)</f>
        <v>0</v>
      </c>
      <c r="H21" s="49"/>
      <c r="I21" s="1"/>
      <c r="J21" s="1"/>
      <c r="K21" s="1"/>
      <c r="L21" s="1"/>
      <c r="M21" s="1"/>
    </row>
    <row r="22" spans="1:13" ht="15" customHeight="1" x14ac:dyDescent="0.25">
      <c r="A22" s="96"/>
      <c r="B22" s="96"/>
      <c r="C22" s="96"/>
      <c r="D22" s="96"/>
      <c r="E22" s="96"/>
      <c r="F22" s="97"/>
      <c r="G22" s="97"/>
      <c r="H22" s="49"/>
      <c r="I22" s="1"/>
      <c r="J22" s="1"/>
      <c r="K22" s="1"/>
      <c r="L22" s="1"/>
      <c r="M22" s="1"/>
    </row>
    <row r="23" spans="1:13" ht="15" customHeight="1" x14ac:dyDescent="0.25">
      <c r="A23" s="96"/>
      <c r="B23" s="96"/>
      <c r="C23" s="96"/>
      <c r="D23" s="96"/>
      <c r="E23" s="96"/>
      <c r="F23" s="97"/>
      <c r="G23" s="97"/>
      <c r="H23" s="49"/>
      <c r="I23" s="1"/>
      <c r="J23" s="1"/>
      <c r="K23" s="1"/>
      <c r="L23" s="1"/>
      <c r="M23" s="1"/>
    </row>
    <row r="24" spans="1:13" ht="15" customHeight="1" x14ac:dyDescent="0.25">
      <c r="A24" s="96"/>
      <c r="B24" s="96"/>
      <c r="C24" s="96"/>
      <c r="D24" s="96"/>
      <c r="E24" s="96"/>
      <c r="F24" s="97"/>
      <c r="G24" s="97"/>
      <c r="H24" s="49"/>
      <c r="I24" s="1"/>
      <c r="J24" s="1"/>
      <c r="K24" s="1"/>
      <c r="L24" s="1"/>
      <c r="M24" s="1"/>
    </row>
    <row r="25" spans="1:13" ht="15" customHeight="1" x14ac:dyDescent="0.25">
      <c r="A25" s="96"/>
      <c r="B25" s="96"/>
      <c r="C25" s="96"/>
      <c r="D25" s="96"/>
      <c r="E25" s="96"/>
      <c r="F25" s="97"/>
      <c r="G25" s="97"/>
      <c r="H25" s="49"/>
      <c r="I25" s="1"/>
      <c r="J25" s="1"/>
      <c r="K25" s="1"/>
      <c r="L25" s="1"/>
      <c r="M25" s="1"/>
    </row>
    <row r="26" spans="1:13" ht="15" customHeight="1" x14ac:dyDescent="0.25">
      <c r="A26" s="96"/>
      <c r="B26" s="96"/>
      <c r="C26" s="96"/>
      <c r="D26" s="96"/>
      <c r="E26" s="96"/>
      <c r="F26" s="97"/>
      <c r="G26" s="97"/>
      <c r="H26" s="49"/>
      <c r="I26" s="1"/>
      <c r="J26" s="1"/>
      <c r="K26" s="1"/>
      <c r="L26" s="1"/>
      <c r="M26" s="1"/>
    </row>
    <row r="27" spans="1:13" ht="15" customHeight="1" x14ac:dyDescent="0.25">
      <c r="A27" s="96"/>
      <c r="B27" s="96"/>
      <c r="C27" s="96"/>
      <c r="D27" s="96"/>
      <c r="E27" s="96"/>
      <c r="F27" s="97"/>
      <c r="G27" s="97"/>
      <c r="H27" s="49"/>
      <c r="I27" s="1"/>
      <c r="J27" s="1"/>
      <c r="K27" s="1"/>
      <c r="L27" s="1"/>
      <c r="M27" s="1"/>
    </row>
    <row r="28" spans="1:13" ht="15" customHeight="1" x14ac:dyDescent="0.25">
      <c r="A28" s="96"/>
      <c r="B28" s="96"/>
      <c r="C28" s="96"/>
      <c r="D28" s="96"/>
      <c r="E28" s="96"/>
      <c r="F28" s="97"/>
      <c r="G28" s="97"/>
      <c r="H28" s="49"/>
      <c r="I28" s="1"/>
      <c r="J28" s="1"/>
      <c r="K28" s="1"/>
      <c r="L28" s="1"/>
      <c r="M28" s="1"/>
    </row>
    <row r="29" spans="1:13" ht="15" customHeight="1" x14ac:dyDescent="0.25">
      <c r="A29" s="96"/>
      <c r="B29" s="96"/>
      <c r="C29" s="96"/>
      <c r="D29" s="96"/>
      <c r="E29" s="96"/>
      <c r="F29" s="97"/>
      <c r="G29" s="97"/>
      <c r="H29" s="49"/>
      <c r="I29" s="1"/>
      <c r="J29" s="1"/>
      <c r="K29" s="1"/>
      <c r="L29" s="1"/>
      <c r="M29" s="1"/>
    </row>
    <row r="30" spans="1:13" ht="15" customHeight="1" x14ac:dyDescent="0.25">
      <c r="A30" s="96"/>
      <c r="B30" s="96"/>
      <c r="C30" s="96"/>
      <c r="D30" s="96"/>
      <c r="E30" s="96"/>
      <c r="F30" s="97"/>
      <c r="G30" s="97"/>
      <c r="H30" s="49"/>
      <c r="I30" s="1"/>
      <c r="J30" s="1"/>
      <c r="K30" s="1"/>
      <c r="L30" s="1"/>
      <c r="M30" s="1"/>
    </row>
    <row r="31" spans="1:13" ht="15" customHeight="1" x14ac:dyDescent="0.25">
      <c r="A31" s="96"/>
      <c r="B31" s="96"/>
      <c r="C31" s="96"/>
      <c r="D31" s="96"/>
      <c r="E31" s="96"/>
      <c r="F31" s="97"/>
      <c r="G31" s="97"/>
      <c r="H31" s="49"/>
      <c r="I31" s="1"/>
      <c r="J31" s="1"/>
      <c r="K31" s="1"/>
      <c r="L31" s="1"/>
      <c r="M31" s="1"/>
    </row>
    <row r="32" spans="1:13" ht="15" customHeight="1" x14ac:dyDescent="0.25">
      <c r="A32" s="96"/>
      <c r="B32" s="96"/>
      <c r="C32" s="96"/>
      <c r="D32" s="96"/>
      <c r="E32" s="96"/>
      <c r="F32" s="97"/>
      <c r="G32" s="97"/>
      <c r="H32" s="49"/>
      <c r="I32" s="1"/>
      <c r="J32" s="1"/>
      <c r="K32" s="1"/>
      <c r="L32" s="1"/>
      <c r="M32" s="1"/>
    </row>
    <row r="33" spans="1:13" ht="15" customHeight="1" x14ac:dyDescent="0.25">
      <c r="A33" s="96"/>
      <c r="B33" s="96"/>
      <c r="C33" s="96"/>
      <c r="D33" s="96"/>
      <c r="E33" s="96"/>
      <c r="F33" s="97"/>
      <c r="G33" s="97"/>
      <c r="H33" s="49"/>
      <c r="I33" s="1"/>
      <c r="J33" s="1"/>
      <c r="K33" s="1"/>
      <c r="L33" s="1"/>
      <c r="M33" s="1"/>
    </row>
    <row r="34" spans="1:13" ht="15" customHeight="1" x14ac:dyDescent="0.25">
      <c r="A34" s="96"/>
      <c r="B34" s="96"/>
      <c r="C34" s="96"/>
      <c r="D34" s="96"/>
      <c r="E34" s="96"/>
      <c r="F34" s="97"/>
      <c r="G34" s="97"/>
      <c r="H34" s="49"/>
      <c r="I34" s="1"/>
      <c r="J34" s="1"/>
      <c r="K34" s="1"/>
      <c r="L34" s="1"/>
      <c r="M34" s="1"/>
    </row>
    <row r="35" spans="1:13" ht="15" customHeight="1" x14ac:dyDescent="0.25">
      <c r="A35" s="96"/>
      <c r="B35" s="96"/>
      <c r="C35" s="96"/>
      <c r="D35" s="96"/>
      <c r="E35" s="96"/>
      <c r="F35" s="97"/>
      <c r="G35" s="97"/>
      <c r="H35" s="49"/>
      <c r="I35" s="1"/>
      <c r="J35" s="1"/>
      <c r="K35" s="1"/>
      <c r="L35" s="1"/>
      <c r="M35" s="1"/>
    </row>
    <row r="36" spans="1:13" ht="15" customHeight="1" x14ac:dyDescent="0.25">
      <c r="A36" s="96"/>
      <c r="B36" s="96"/>
      <c r="C36" s="96"/>
      <c r="D36" s="96"/>
      <c r="E36" s="96"/>
      <c r="F36" s="97"/>
      <c r="G36" s="97"/>
      <c r="H36" s="49"/>
      <c r="I36" s="1"/>
      <c r="J36" s="1"/>
      <c r="K36" s="1"/>
      <c r="L36" s="1"/>
      <c r="M36" s="1"/>
    </row>
    <row r="37" spans="1:13" ht="15" customHeight="1" x14ac:dyDescent="0.25">
      <c r="A37" s="96"/>
      <c r="B37" s="96"/>
      <c r="C37" s="96"/>
      <c r="D37" s="96"/>
      <c r="E37" s="96"/>
      <c r="F37" s="97"/>
      <c r="G37" s="97"/>
      <c r="H37" s="49"/>
      <c r="I37" s="1"/>
      <c r="J37" s="1"/>
      <c r="K37" s="1"/>
      <c r="L37" s="1"/>
      <c r="M37" s="1"/>
    </row>
    <row r="38" spans="1:13" ht="15" customHeight="1" x14ac:dyDescent="0.25">
      <c r="A38" s="96"/>
      <c r="B38" s="96"/>
      <c r="C38" s="96"/>
      <c r="D38" s="96"/>
      <c r="E38" s="96"/>
      <c r="F38" s="97"/>
      <c r="G38" s="97"/>
      <c r="H38" s="49"/>
      <c r="I38" s="1"/>
      <c r="J38" s="1"/>
      <c r="K38" s="1"/>
      <c r="L38" s="1"/>
      <c r="M38" s="1"/>
    </row>
    <row r="39" spans="1:13" ht="15" customHeight="1" x14ac:dyDescent="0.25">
      <c r="A39" s="96"/>
      <c r="B39" s="96"/>
      <c r="C39" s="96"/>
      <c r="D39" s="96"/>
      <c r="E39" s="96"/>
      <c r="F39" s="97"/>
      <c r="G39" s="97"/>
      <c r="H39" s="49"/>
      <c r="I39" s="1"/>
      <c r="J39" s="1"/>
      <c r="K39" s="1"/>
      <c r="L39" s="1"/>
      <c r="M39" s="1"/>
    </row>
    <row r="40" spans="1:13" ht="15" customHeight="1" x14ac:dyDescent="0.25">
      <c r="A40" s="96"/>
      <c r="B40" s="96"/>
      <c r="C40" s="96"/>
      <c r="D40" s="96"/>
      <c r="E40" s="96"/>
      <c r="F40" s="97"/>
      <c r="G40" s="97"/>
      <c r="H40" s="49"/>
      <c r="I40" s="1"/>
      <c r="J40" s="1"/>
      <c r="K40" s="1"/>
      <c r="L40" s="1"/>
      <c r="M40" s="1"/>
    </row>
    <row r="41" spans="1:13" ht="15" customHeight="1" x14ac:dyDescent="0.25">
      <c r="A41" s="96"/>
      <c r="B41" s="96"/>
      <c r="C41" s="96"/>
      <c r="D41" s="96"/>
      <c r="E41" s="96"/>
      <c r="F41" s="97"/>
      <c r="G41" s="97"/>
      <c r="H41" s="49"/>
      <c r="I41" s="1"/>
      <c r="J41" s="1"/>
      <c r="K41" s="1"/>
      <c r="L41" s="1"/>
      <c r="M41" s="1"/>
    </row>
    <row r="42" spans="1:13" ht="15" customHeight="1" x14ac:dyDescent="0.25">
      <c r="A42" s="96"/>
      <c r="B42" s="96"/>
      <c r="C42" s="96"/>
      <c r="D42" s="96"/>
      <c r="E42" s="96"/>
      <c r="F42" s="97"/>
      <c r="G42" s="97"/>
      <c r="H42" s="49"/>
      <c r="I42" s="1"/>
      <c r="J42" s="1"/>
      <c r="K42" s="1"/>
      <c r="L42" s="1"/>
      <c r="M42" s="1"/>
    </row>
    <row r="43" spans="1:13" ht="15" customHeight="1" x14ac:dyDescent="0.25">
      <c r="A43" s="96"/>
      <c r="B43" s="96"/>
      <c r="C43" s="96"/>
      <c r="D43" s="96"/>
      <c r="E43" s="96"/>
      <c r="F43" s="97"/>
      <c r="G43" s="97"/>
      <c r="H43" s="49"/>
      <c r="I43" s="1"/>
      <c r="J43" s="1"/>
      <c r="K43" s="1"/>
      <c r="L43" s="1"/>
      <c r="M43" s="1"/>
    </row>
    <row r="44" spans="1:13" ht="15" customHeight="1" x14ac:dyDescent="0.25">
      <c r="A44" s="96"/>
      <c r="B44" s="96"/>
      <c r="C44" s="96"/>
      <c r="D44" s="96"/>
      <c r="E44" s="96"/>
      <c r="F44" s="97"/>
      <c r="G44" s="97"/>
      <c r="H44" s="49"/>
      <c r="I44" s="1"/>
      <c r="J44" s="1"/>
      <c r="K44" s="1"/>
      <c r="L44" s="1"/>
      <c r="M44" s="1"/>
    </row>
    <row r="45" spans="1:13" ht="15" customHeight="1" x14ac:dyDescent="0.25">
      <c r="A45" s="96"/>
      <c r="B45" s="96"/>
      <c r="C45" s="96"/>
      <c r="D45" s="96"/>
      <c r="E45" s="96"/>
      <c r="F45" s="97"/>
      <c r="G45" s="97"/>
      <c r="H45" s="49"/>
      <c r="I45" s="1"/>
      <c r="J45" s="1"/>
      <c r="K45" s="1"/>
      <c r="L45" s="1"/>
      <c r="M45" s="1"/>
    </row>
    <row r="46" spans="1:13" ht="15" customHeight="1" x14ac:dyDescent="0.25">
      <c r="A46" s="96"/>
      <c r="B46" s="96"/>
      <c r="C46" s="96"/>
      <c r="D46" s="96"/>
      <c r="E46" s="96"/>
      <c r="F46" s="97"/>
      <c r="G46" s="97"/>
      <c r="H46" s="49"/>
      <c r="I46" s="1"/>
      <c r="J46" s="1"/>
      <c r="K46" s="1"/>
      <c r="L46" s="1"/>
      <c r="M46" s="1"/>
    </row>
    <row r="47" spans="1:13" ht="15" customHeight="1" x14ac:dyDescent="0.25">
      <c r="A47" s="96"/>
      <c r="B47" s="96"/>
      <c r="C47" s="96"/>
      <c r="D47" s="96"/>
      <c r="E47" s="96"/>
      <c r="F47" s="97"/>
      <c r="G47" s="97"/>
      <c r="H47" s="49"/>
      <c r="I47" s="1"/>
      <c r="J47" s="1"/>
      <c r="K47" s="1"/>
      <c r="L47" s="1"/>
      <c r="M47" s="1"/>
    </row>
    <row r="48" spans="1:13" ht="15" customHeight="1" x14ac:dyDescent="0.25">
      <c r="A48" s="96"/>
      <c r="B48" s="96"/>
      <c r="C48" s="96"/>
      <c r="D48" s="96"/>
      <c r="E48" s="96"/>
      <c r="F48" s="97"/>
      <c r="G48" s="97"/>
      <c r="H48" s="49"/>
      <c r="I48" s="1"/>
      <c r="J48" s="1"/>
      <c r="K48" s="1"/>
      <c r="L48" s="1"/>
      <c r="M48" s="1"/>
    </row>
    <row r="49" spans="1:13" ht="15" customHeight="1" x14ac:dyDescent="0.25">
      <c r="A49" s="96"/>
      <c r="B49" s="96"/>
      <c r="C49" s="96"/>
      <c r="D49" s="96"/>
      <c r="E49" s="96"/>
      <c r="F49" s="97"/>
      <c r="G49" s="97"/>
      <c r="H49" s="49"/>
      <c r="I49" s="1"/>
      <c r="J49" s="1"/>
      <c r="K49" s="1"/>
      <c r="L49" s="1"/>
      <c r="M49" s="1"/>
    </row>
    <row r="50" spans="1:13" ht="15" customHeight="1" x14ac:dyDescent="0.25">
      <c r="A50" s="96"/>
      <c r="B50" s="96"/>
      <c r="C50" s="96"/>
      <c r="D50" s="96"/>
      <c r="E50" s="96"/>
      <c r="F50" s="97"/>
      <c r="G50" s="97"/>
      <c r="H50" s="49"/>
      <c r="I50" s="1"/>
      <c r="J50" s="1"/>
      <c r="K50" s="1"/>
      <c r="L50" s="1"/>
      <c r="M50" s="1"/>
    </row>
    <row r="51" spans="1:13" ht="15" customHeight="1" x14ac:dyDescent="0.25">
      <c r="A51" s="96"/>
      <c r="B51" s="96"/>
      <c r="C51" s="96"/>
      <c r="D51" s="96"/>
      <c r="E51" s="96"/>
      <c r="F51" s="97"/>
      <c r="G51" s="97"/>
      <c r="H51" s="49"/>
      <c r="I51" s="1"/>
      <c r="J51" s="1"/>
      <c r="K51" s="1"/>
      <c r="L51" s="1"/>
      <c r="M51" s="1"/>
    </row>
    <row r="52" spans="1:13" ht="15" customHeight="1" x14ac:dyDescent="0.25">
      <c r="A52" s="96"/>
      <c r="B52" s="96"/>
      <c r="C52" s="96"/>
      <c r="D52" s="96"/>
      <c r="E52" s="96"/>
      <c r="F52" s="97"/>
      <c r="G52" s="97"/>
      <c r="H52" s="49"/>
      <c r="I52" s="1"/>
      <c r="J52" s="1"/>
      <c r="K52" s="1"/>
      <c r="L52" s="1"/>
      <c r="M52" s="1"/>
    </row>
    <row r="53" spans="1:13" ht="15" customHeight="1" x14ac:dyDescent="0.25">
      <c r="A53" s="96"/>
      <c r="B53" s="96"/>
      <c r="C53" s="96"/>
      <c r="D53" s="96"/>
      <c r="E53" s="96"/>
      <c r="F53" s="97"/>
      <c r="G53" s="97"/>
      <c r="H53" s="49"/>
      <c r="I53" s="1"/>
      <c r="J53" s="1"/>
      <c r="K53" s="1"/>
      <c r="L53" s="1"/>
      <c r="M53" s="1"/>
    </row>
    <row r="54" spans="1:13" ht="15" customHeight="1" x14ac:dyDescent="0.25">
      <c r="A54" s="96"/>
      <c r="B54" s="96"/>
      <c r="C54" s="96"/>
      <c r="D54" s="96"/>
      <c r="E54" s="96"/>
      <c r="F54" s="97"/>
      <c r="G54" s="97"/>
      <c r="H54" s="49"/>
      <c r="I54" s="1"/>
      <c r="J54" s="1"/>
      <c r="K54" s="1"/>
      <c r="L54" s="1"/>
      <c r="M54" s="1"/>
    </row>
    <row r="55" spans="1:13" ht="15" customHeight="1" x14ac:dyDescent="0.25">
      <c r="A55" s="96"/>
      <c r="B55" s="96"/>
      <c r="C55" s="96"/>
      <c r="D55" s="96"/>
      <c r="E55" s="96"/>
      <c r="F55" s="97"/>
      <c r="G55" s="97"/>
      <c r="H55" s="49"/>
      <c r="I55" s="1"/>
      <c r="J55" s="1"/>
      <c r="K55" s="1"/>
      <c r="L55" s="1"/>
      <c r="M55" s="1"/>
    </row>
    <row r="56" spans="1:13" ht="15" customHeight="1" x14ac:dyDescent="0.25">
      <c r="A56" s="96"/>
      <c r="B56" s="96"/>
      <c r="C56" s="96"/>
      <c r="D56" s="96"/>
      <c r="E56" s="96"/>
      <c r="F56" s="97"/>
      <c r="G56" s="97"/>
      <c r="H56" s="49"/>
      <c r="I56" s="1"/>
      <c r="J56" s="1"/>
      <c r="K56" s="1"/>
      <c r="L56" s="1"/>
      <c r="M56" s="1"/>
    </row>
    <row r="57" spans="1:13" ht="15" customHeight="1" x14ac:dyDescent="0.25">
      <c r="A57" s="96"/>
      <c r="B57" s="96"/>
      <c r="C57" s="96"/>
      <c r="D57" s="96"/>
      <c r="E57" s="96"/>
      <c r="F57" s="97"/>
      <c r="G57" s="97"/>
      <c r="H57" s="49"/>
      <c r="I57" s="1"/>
      <c r="J57" s="1"/>
      <c r="K57" s="1"/>
      <c r="L57" s="1"/>
      <c r="M57" s="1"/>
    </row>
    <row r="58" spans="1:13" ht="15" customHeight="1" x14ac:dyDescent="0.25">
      <c r="A58" s="96"/>
      <c r="B58" s="96"/>
      <c r="C58" s="96"/>
      <c r="D58" s="96"/>
      <c r="E58" s="96"/>
      <c r="F58" s="97"/>
      <c r="G58" s="97"/>
      <c r="H58" s="49"/>
      <c r="I58" s="1"/>
      <c r="J58" s="1"/>
      <c r="K58" s="1"/>
      <c r="L58" s="1"/>
      <c r="M58" s="1"/>
    </row>
    <row r="59" spans="1:13" ht="15" customHeight="1" x14ac:dyDescent="0.25">
      <c r="A59" s="96"/>
      <c r="B59" s="96"/>
      <c r="C59" s="96"/>
      <c r="D59" s="96"/>
      <c r="E59" s="96"/>
      <c r="F59" s="97"/>
      <c r="G59" s="97"/>
      <c r="H59" s="49"/>
      <c r="I59" s="1"/>
      <c r="J59" s="1"/>
      <c r="K59" s="1"/>
      <c r="L59" s="1"/>
      <c r="M59" s="1"/>
    </row>
    <row r="60" spans="1:13" ht="15" customHeight="1" x14ac:dyDescent="0.25">
      <c r="A60" s="96"/>
      <c r="B60" s="96"/>
      <c r="C60" s="96"/>
      <c r="D60" s="96"/>
      <c r="E60" s="96"/>
      <c r="F60" s="97"/>
      <c r="G60" s="97"/>
      <c r="H60" s="49"/>
      <c r="I60" s="1"/>
      <c r="J60" s="1"/>
      <c r="K60" s="1"/>
      <c r="L60" s="1"/>
      <c r="M60" s="1"/>
    </row>
    <row r="61" spans="1:13" ht="15" customHeight="1" x14ac:dyDescent="0.25">
      <c r="A61" s="96"/>
      <c r="B61" s="96"/>
      <c r="C61" s="96"/>
      <c r="D61" s="96"/>
      <c r="E61" s="96"/>
      <c r="F61" s="97"/>
      <c r="G61" s="97"/>
      <c r="H61" s="49"/>
      <c r="I61" s="1"/>
      <c r="J61" s="1"/>
      <c r="K61" s="1"/>
      <c r="L61" s="1"/>
      <c r="M61" s="1"/>
    </row>
    <row r="62" spans="1:13" ht="15" customHeight="1" x14ac:dyDescent="0.25">
      <c r="A62" s="96"/>
      <c r="B62" s="96"/>
      <c r="C62" s="96"/>
      <c r="D62" s="96"/>
      <c r="E62" s="96"/>
      <c r="F62" s="97"/>
      <c r="G62" s="97"/>
      <c r="H62" s="49"/>
      <c r="I62" s="1"/>
      <c r="J62" s="1"/>
      <c r="K62" s="1"/>
      <c r="L62" s="1"/>
      <c r="M62" s="1"/>
    </row>
    <row r="63" spans="1:13" ht="15" customHeight="1" x14ac:dyDescent="0.25">
      <c r="A63" s="96"/>
      <c r="B63" s="96"/>
      <c r="C63" s="96"/>
      <c r="D63" s="96"/>
      <c r="E63" s="96"/>
      <c r="F63" s="97"/>
      <c r="G63" s="97"/>
      <c r="H63" s="49"/>
      <c r="I63" s="1"/>
      <c r="J63" s="1"/>
      <c r="K63" s="1"/>
      <c r="L63" s="1"/>
      <c r="M63" s="1"/>
    </row>
    <row r="64" spans="1:13" ht="15" customHeight="1" x14ac:dyDescent="0.25">
      <c r="A64" s="96"/>
      <c r="B64" s="96"/>
      <c r="C64" s="96"/>
      <c r="D64" s="96"/>
      <c r="E64" s="96"/>
      <c r="F64" s="97"/>
      <c r="G64" s="97"/>
      <c r="H64" s="49"/>
      <c r="I64" s="1"/>
      <c r="J64" s="1"/>
      <c r="K64" s="1"/>
      <c r="L64" s="1"/>
      <c r="M64" s="1"/>
    </row>
    <row r="65" spans="1:13" ht="15" customHeight="1" x14ac:dyDescent="0.25">
      <c r="A65" s="96"/>
      <c r="B65" s="96"/>
      <c r="C65" s="96"/>
      <c r="D65" s="96"/>
      <c r="E65" s="96"/>
      <c r="F65" s="97"/>
      <c r="G65" s="97"/>
      <c r="H65" s="49"/>
      <c r="I65" s="1"/>
      <c r="J65" s="1"/>
      <c r="K65" s="1"/>
      <c r="L65" s="1"/>
      <c r="M65" s="1"/>
    </row>
    <row r="66" spans="1:13" ht="15" customHeight="1" x14ac:dyDescent="0.25">
      <c r="A66" s="96"/>
      <c r="B66" s="96"/>
      <c r="C66" s="96"/>
      <c r="D66" s="96"/>
      <c r="E66" s="96"/>
      <c r="F66" s="97"/>
      <c r="G66" s="97"/>
      <c r="H66" s="49"/>
      <c r="I66" s="1"/>
      <c r="J66" s="1"/>
      <c r="K66" s="1"/>
      <c r="L66" s="1"/>
      <c r="M66" s="1"/>
    </row>
  </sheetData>
  <mergeCells count="2">
    <mergeCell ref="C7:D7"/>
    <mergeCell ref="A21:E21"/>
  </mergeCells>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Q62"/>
  <sheetViews>
    <sheetView showWhiteSpace="0" zoomScale="90" zoomScaleNormal="90" workbookViewId="0">
      <pane xSplit="9" ySplit="15" topLeftCell="AM16" activePane="bottomRight" state="frozen"/>
      <selection pane="topRight" activeCell="J1" sqref="J1"/>
      <selection pane="bottomLeft" activeCell="A16" sqref="A16"/>
      <selection pane="bottomRight" activeCell="C10" sqref="C10:C32"/>
    </sheetView>
  </sheetViews>
  <sheetFormatPr defaultColWidth="9.140625" defaultRowHeight="11.25" x14ac:dyDescent="0.2"/>
  <cols>
    <col min="1" max="1" width="7" style="1" customWidth="1"/>
    <col min="2" max="2" width="7.28515625" style="19" customWidth="1"/>
    <col min="3" max="3" width="35.28515625" style="1" customWidth="1"/>
    <col min="4" max="4" width="8.140625" style="1" customWidth="1"/>
    <col min="5" max="5" width="7.85546875" style="1" customWidth="1"/>
    <col min="6" max="6" width="12.140625" style="73" customWidth="1"/>
    <col min="7" max="8" width="9.28515625" style="73" customWidth="1"/>
    <col min="9" max="9" width="21.28515625" style="73" customWidth="1"/>
    <col min="10" max="11" width="9.28515625" style="73" customWidth="1"/>
    <col min="12" max="12" width="22.140625" style="73" customWidth="1"/>
    <col min="13" max="14" width="9.28515625" style="73" customWidth="1"/>
    <col min="15" max="15" width="22.85546875" style="73" customWidth="1"/>
    <col min="16" max="17" width="9.28515625" style="73" customWidth="1"/>
    <col min="18" max="18" width="20.42578125" style="73" customWidth="1"/>
    <col min="19" max="20" width="9.28515625" style="73" customWidth="1"/>
    <col min="21" max="21" width="22.140625" style="73" customWidth="1"/>
    <col min="22" max="23" width="9.28515625" style="73" customWidth="1"/>
    <col min="24" max="24" width="21.7109375" style="73" customWidth="1"/>
    <col min="25" max="26" width="9.28515625" style="73" customWidth="1"/>
    <col min="27" max="27" width="20.85546875" style="73" customWidth="1"/>
    <col min="28" max="29" width="9.28515625" style="73" customWidth="1"/>
    <col min="30" max="30" width="22.140625" style="73" customWidth="1"/>
    <col min="31" max="32" width="9.28515625" style="73" customWidth="1"/>
    <col min="33" max="33" width="23.85546875" style="73" customWidth="1"/>
    <col min="34" max="35" width="9.28515625" style="73" customWidth="1"/>
    <col min="36" max="36" width="21.7109375" style="73" customWidth="1"/>
    <col min="37" max="38" width="9.28515625" style="73" customWidth="1"/>
    <col min="39" max="39" width="24.5703125" style="73" customWidth="1"/>
    <col min="40" max="41" width="9.28515625" style="73" customWidth="1"/>
    <col min="42" max="42" width="26.85546875" style="73" customWidth="1"/>
    <col min="43" max="43" width="19.85546875" style="73" customWidth="1"/>
    <col min="44" max="16384" width="9.140625" style="1"/>
  </cols>
  <sheetData>
    <row r="1" spans="1:43" x14ac:dyDescent="0.2">
      <c r="A1" s="9" t="s">
        <v>0</v>
      </c>
      <c r="B1" s="18"/>
      <c r="C1" s="9"/>
      <c r="D1" s="9"/>
      <c r="E1" s="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row>
    <row r="2" spans="1:43" x14ac:dyDescent="0.2">
      <c r="A2" s="9" t="s">
        <v>1</v>
      </c>
      <c r="B2" s="18"/>
      <c r="C2" s="9"/>
      <c r="D2" s="9"/>
      <c r="E2" s="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row>
    <row r="3" spans="1:43" x14ac:dyDescent="0.2">
      <c r="A3" s="677" t="s">
        <v>3345</v>
      </c>
      <c r="B3" s="677"/>
      <c r="C3" s="677"/>
      <c r="D3" s="677"/>
      <c r="E3" s="677"/>
      <c r="F3" s="677"/>
      <c r="G3" s="677"/>
      <c r="H3" s="677"/>
      <c r="I3" s="677"/>
      <c r="J3" s="677"/>
      <c r="K3" s="677"/>
      <c r="L3" s="677"/>
      <c r="M3" s="677"/>
      <c r="N3" s="677"/>
      <c r="O3" s="677"/>
      <c r="P3" s="677"/>
      <c r="Q3" s="677"/>
      <c r="R3" s="677"/>
      <c r="S3" s="677"/>
      <c r="T3" s="677"/>
      <c r="U3" s="677"/>
      <c r="V3" s="677"/>
      <c r="W3" s="677"/>
      <c r="X3" s="677"/>
      <c r="Y3" s="677"/>
      <c r="Z3" s="677"/>
      <c r="AA3" s="677"/>
      <c r="AB3" s="677"/>
      <c r="AC3" s="677"/>
      <c r="AD3" s="677"/>
      <c r="AE3" s="677"/>
      <c r="AF3" s="677"/>
      <c r="AG3" s="677"/>
      <c r="AH3" s="677"/>
      <c r="AI3" s="677"/>
      <c r="AJ3" s="677"/>
      <c r="AK3" s="677"/>
      <c r="AL3" s="677"/>
      <c r="AM3" s="677"/>
      <c r="AN3" s="677"/>
      <c r="AO3" s="677"/>
      <c r="AP3" s="677"/>
      <c r="AQ3" s="677"/>
    </row>
    <row r="4" spans="1:43" x14ac:dyDescent="0.2">
      <c r="A4" s="677" t="s">
        <v>3358</v>
      </c>
      <c r="B4" s="677"/>
      <c r="C4" s="677"/>
      <c r="D4" s="677"/>
      <c r="E4" s="677"/>
      <c r="F4" s="677"/>
      <c r="G4" s="677"/>
      <c r="H4" s="677"/>
      <c r="I4" s="677"/>
      <c r="J4" s="677"/>
      <c r="K4" s="677"/>
      <c r="L4" s="677"/>
      <c r="M4" s="677"/>
      <c r="N4" s="677"/>
      <c r="O4" s="677"/>
      <c r="P4" s="677"/>
      <c r="Q4" s="677"/>
      <c r="R4" s="677"/>
      <c r="S4" s="677"/>
      <c r="T4" s="677"/>
      <c r="U4" s="677"/>
      <c r="V4" s="677"/>
      <c r="W4" s="677"/>
      <c r="X4" s="677"/>
      <c r="Y4" s="677"/>
      <c r="Z4" s="677"/>
      <c r="AA4" s="677"/>
      <c r="AB4" s="677"/>
      <c r="AC4" s="677"/>
      <c r="AD4" s="677"/>
      <c r="AE4" s="677"/>
      <c r="AF4" s="677"/>
      <c r="AG4" s="677"/>
      <c r="AH4" s="677"/>
      <c r="AI4" s="677"/>
      <c r="AJ4" s="677"/>
      <c r="AK4" s="677"/>
      <c r="AL4" s="677"/>
      <c r="AM4" s="677"/>
      <c r="AN4" s="677"/>
      <c r="AO4" s="677"/>
      <c r="AP4" s="677"/>
      <c r="AQ4" s="677"/>
    </row>
    <row r="5" spans="1:43" x14ac:dyDescent="0.2">
      <c r="A5" s="18"/>
      <c r="B5" s="18"/>
      <c r="C5" s="18"/>
      <c r="D5" s="18"/>
      <c r="E5" s="18"/>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row>
    <row r="6" spans="1:43" x14ac:dyDescent="0.2">
      <c r="A6" s="678" t="s">
        <v>3346</v>
      </c>
      <c r="B6" s="679"/>
      <c r="C6" s="680" t="s">
        <v>13</v>
      </c>
      <c r="D6" s="678" t="s">
        <v>3347</v>
      </c>
      <c r="E6" s="679"/>
      <c r="F6" s="673" t="s">
        <v>10</v>
      </c>
      <c r="G6" s="675"/>
      <c r="H6" s="204"/>
      <c r="I6" s="204"/>
      <c r="J6" s="204"/>
      <c r="K6" s="204"/>
      <c r="L6" s="204"/>
      <c r="M6" s="673" t="s">
        <v>90</v>
      </c>
      <c r="N6" s="674"/>
      <c r="O6" s="674"/>
      <c r="P6" s="674"/>
      <c r="Q6" s="674"/>
      <c r="R6" s="674"/>
      <c r="S6" s="674"/>
      <c r="T6" s="674"/>
      <c r="U6" s="674"/>
      <c r="V6" s="674"/>
      <c r="W6" s="674"/>
      <c r="X6" s="674"/>
      <c r="Y6" s="674"/>
      <c r="Z6" s="674"/>
      <c r="AA6" s="674"/>
      <c r="AB6" s="674"/>
      <c r="AC6" s="674"/>
      <c r="AD6" s="674"/>
      <c r="AE6" s="674"/>
      <c r="AF6" s="674"/>
      <c r="AG6" s="674"/>
      <c r="AH6" s="674"/>
      <c r="AI6" s="674"/>
      <c r="AJ6" s="674"/>
      <c r="AK6" s="674"/>
      <c r="AL6" s="674"/>
      <c r="AM6" s="674"/>
      <c r="AN6" s="674"/>
      <c r="AO6" s="674"/>
      <c r="AP6" s="674"/>
      <c r="AQ6" s="675"/>
    </row>
    <row r="7" spans="1:43" ht="21.75" customHeight="1" x14ac:dyDescent="0.2">
      <c r="A7" s="680" t="s">
        <v>12</v>
      </c>
      <c r="B7" s="680" t="s">
        <v>21</v>
      </c>
      <c r="C7" s="681"/>
      <c r="D7" s="665" t="s">
        <v>12</v>
      </c>
      <c r="E7" s="665" t="s">
        <v>3348</v>
      </c>
      <c r="F7" s="668" t="s">
        <v>23</v>
      </c>
      <c r="G7" s="669"/>
      <c r="H7" s="668" t="s">
        <v>3413</v>
      </c>
      <c r="I7" s="676"/>
      <c r="J7" s="669"/>
      <c r="K7" s="683" t="s">
        <v>3359</v>
      </c>
      <c r="L7" s="684"/>
      <c r="M7" s="685"/>
      <c r="N7" s="670" t="s">
        <v>3349</v>
      </c>
      <c r="O7" s="671"/>
      <c r="P7" s="672"/>
      <c r="Q7" s="683" t="s">
        <v>3350</v>
      </c>
      <c r="R7" s="684"/>
      <c r="S7" s="685"/>
      <c r="T7" s="670" t="s">
        <v>3351</v>
      </c>
      <c r="U7" s="671"/>
      <c r="V7" s="672"/>
      <c r="W7" s="683" t="s">
        <v>3352</v>
      </c>
      <c r="X7" s="684"/>
      <c r="Y7" s="685"/>
      <c r="Z7" s="668" t="s">
        <v>28</v>
      </c>
      <c r="AA7" s="676"/>
      <c r="AB7" s="676"/>
      <c r="AC7" s="676"/>
      <c r="AD7" s="676"/>
      <c r="AE7" s="676"/>
      <c r="AF7" s="676"/>
      <c r="AG7" s="676"/>
      <c r="AH7" s="676"/>
      <c r="AI7" s="676"/>
      <c r="AJ7" s="676"/>
      <c r="AK7" s="676"/>
      <c r="AL7" s="676"/>
      <c r="AM7" s="676"/>
      <c r="AN7" s="676"/>
      <c r="AO7" s="676"/>
      <c r="AP7" s="676"/>
      <c r="AQ7" s="669"/>
    </row>
    <row r="8" spans="1:43" ht="22.5" customHeight="1" x14ac:dyDescent="0.2">
      <c r="A8" s="681"/>
      <c r="B8" s="681"/>
      <c r="C8" s="681"/>
      <c r="D8" s="666"/>
      <c r="E8" s="666"/>
      <c r="F8" s="205" t="s">
        <v>30</v>
      </c>
      <c r="G8" s="205" t="s">
        <v>31</v>
      </c>
      <c r="H8" s="205" t="s">
        <v>3380</v>
      </c>
      <c r="I8" s="205" t="s">
        <v>3385</v>
      </c>
      <c r="J8" s="209" t="s">
        <v>15</v>
      </c>
      <c r="K8" s="205" t="s">
        <v>3380</v>
      </c>
      <c r="L8" s="205" t="s">
        <v>3385</v>
      </c>
      <c r="M8" s="209" t="s">
        <v>15</v>
      </c>
      <c r="N8" s="205" t="s">
        <v>3380</v>
      </c>
      <c r="O8" s="205" t="s">
        <v>3385</v>
      </c>
      <c r="P8" s="209" t="s">
        <v>15</v>
      </c>
      <c r="Q8" s="205" t="s">
        <v>3380</v>
      </c>
      <c r="R8" s="205" t="s">
        <v>3385</v>
      </c>
      <c r="S8" s="209" t="s">
        <v>15</v>
      </c>
      <c r="T8" s="205" t="s">
        <v>3380</v>
      </c>
      <c r="U8" s="205" t="s">
        <v>3385</v>
      </c>
      <c r="V8" s="209" t="s">
        <v>15</v>
      </c>
      <c r="W8" s="205" t="s">
        <v>3380</v>
      </c>
      <c r="X8" s="205" t="s">
        <v>3385</v>
      </c>
      <c r="Y8" s="209" t="s">
        <v>15</v>
      </c>
      <c r="Z8" s="670" t="s">
        <v>3381</v>
      </c>
      <c r="AA8" s="671"/>
      <c r="AB8" s="672"/>
      <c r="AC8" s="668" t="s">
        <v>3382</v>
      </c>
      <c r="AD8" s="676"/>
      <c r="AE8" s="669"/>
      <c r="AF8" s="668" t="s">
        <v>3383</v>
      </c>
      <c r="AG8" s="676"/>
      <c r="AH8" s="669"/>
      <c r="AI8" s="668" t="s">
        <v>3395</v>
      </c>
      <c r="AJ8" s="676"/>
      <c r="AK8" s="669"/>
      <c r="AL8" s="668" t="s">
        <v>3396</v>
      </c>
      <c r="AM8" s="676"/>
      <c r="AN8" s="669"/>
      <c r="AO8" s="668" t="s">
        <v>3397</v>
      </c>
      <c r="AP8" s="676"/>
      <c r="AQ8" s="669"/>
    </row>
    <row r="9" spans="1:43" ht="15" customHeight="1" x14ac:dyDescent="0.2">
      <c r="A9" s="682"/>
      <c r="B9" s="682"/>
      <c r="C9" s="682"/>
      <c r="D9" s="667"/>
      <c r="E9" s="667"/>
      <c r="F9" s="206" t="s">
        <v>3343</v>
      </c>
      <c r="G9" s="206" t="s">
        <v>3344</v>
      </c>
      <c r="H9" s="673" t="s">
        <v>3414</v>
      </c>
      <c r="I9" s="674"/>
      <c r="J9" s="675"/>
      <c r="K9" s="673" t="s">
        <v>3353</v>
      </c>
      <c r="L9" s="674"/>
      <c r="M9" s="675"/>
      <c r="N9" s="673" t="s">
        <v>3354</v>
      </c>
      <c r="O9" s="674"/>
      <c r="P9" s="675"/>
      <c r="Q9" s="673" t="s">
        <v>3355</v>
      </c>
      <c r="R9" s="674"/>
      <c r="S9" s="675"/>
      <c r="T9" s="673" t="s">
        <v>3356</v>
      </c>
      <c r="U9" s="674"/>
      <c r="V9" s="675"/>
      <c r="W9" s="673" t="s">
        <v>3357</v>
      </c>
      <c r="X9" s="674"/>
      <c r="Y9" s="675"/>
      <c r="Z9" s="205" t="s">
        <v>3380</v>
      </c>
      <c r="AA9" s="205" t="s">
        <v>3385</v>
      </c>
      <c r="AB9" s="209" t="s">
        <v>15</v>
      </c>
      <c r="AC9" s="205" t="s">
        <v>3380</v>
      </c>
      <c r="AD9" s="205" t="s">
        <v>3385</v>
      </c>
      <c r="AE9" s="209" t="s">
        <v>15</v>
      </c>
      <c r="AF9" s="205" t="s">
        <v>3380</v>
      </c>
      <c r="AG9" s="205" t="s">
        <v>3385</v>
      </c>
      <c r="AH9" s="209" t="s">
        <v>15</v>
      </c>
      <c r="AI9" s="205" t="s">
        <v>3380</v>
      </c>
      <c r="AJ9" s="205" t="s">
        <v>3385</v>
      </c>
      <c r="AK9" s="209" t="s">
        <v>15</v>
      </c>
      <c r="AL9" s="205" t="s">
        <v>3380</v>
      </c>
      <c r="AM9" s="205" t="s">
        <v>3385</v>
      </c>
      <c r="AN9" s="209" t="s">
        <v>15</v>
      </c>
      <c r="AO9" s="205" t="s">
        <v>3380</v>
      </c>
      <c r="AP9" s="205" t="s">
        <v>3385</v>
      </c>
      <c r="AQ9" s="209" t="s">
        <v>15</v>
      </c>
    </row>
    <row r="10" spans="1:43" x14ac:dyDescent="0.2">
      <c r="A10" s="202" t="s">
        <v>3362</v>
      </c>
      <c r="B10" s="210" t="s">
        <v>3363</v>
      </c>
      <c r="C10" s="60" t="s">
        <v>3364</v>
      </c>
      <c r="D10" s="202" t="s">
        <v>3365</v>
      </c>
      <c r="E10" s="60" t="s">
        <v>3366</v>
      </c>
      <c r="F10" s="208">
        <f>M10+P10+S10+V10+Y10+AB10+AE10+AH10+AK10+AN10+AQ10+J10</f>
        <v>150000</v>
      </c>
      <c r="G10" s="207"/>
      <c r="H10" s="207"/>
      <c r="I10" s="207"/>
      <c r="J10" s="207"/>
      <c r="K10" s="207"/>
      <c r="L10" s="207"/>
      <c r="M10" s="207"/>
      <c r="N10" s="207"/>
      <c r="O10" s="207"/>
      <c r="P10" s="207"/>
      <c r="Q10" s="207"/>
      <c r="R10" s="207"/>
      <c r="S10" s="207"/>
      <c r="T10" s="207" t="s">
        <v>3384</v>
      </c>
      <c r="U10" s="207" t="s">
        <v>3386</v>
      </c>
      <c r="V10" s="207">
        <v>150000</v>
      </c>
      <c r="W10" s="207"/>
      <c r="X10" s="207"/>
      <c r="Y10" s="207"/>
      <c r="Z10" s="207"/>
      <c r="AA10" s="207"/>
      <c r="AB10" s="207"/>
      <c r="AC10" s="207"/>
      <c r="AD10" s="207"/>
      <c r="AE10" s="207"/>
      <c r="AF10" s="207"/>
      <c r="AG10" s="207"/>
      <c r="AH10" s="207"/>
      <c r="AI10" s="207"/>
      <c r="AJ10" s="207"/>
      <c r="AK10" s="207"/>
      <c r="AL10" s="207"/>
      <c r="AM10" s="207"/>
      <c r="AN10" s="207"/>
      <c r="AO10" s="207"/>
      <c r="AP10" s="207"/>
      <c r="AQ10" s="207"/>
    </row>
    <row r="11" spans="1:43" x14ac:dyDescent="0.2">
      <c r="A11" s="31"/>
      <c r="B11" s="72" t="s">
        <v>3367</v>
      </c>
      <c r="C11" s="31" t="s">
        <v>3368</v>
      </c>
      <c r="D11" s="92" t="s">
        <v>3365</v>
      </c>
      <c r="E11" s="31" t="s">
        <v>3366</v>
      </c>
      <c r="F11" s="208">
        <f>M11+P11+S11+V11+Y11+AB11+AE11+AH11+AK11+AN11+AQ11+J11</f>
        <v>130000</v>
      </c>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t="s">
        <v>3387</v>
      </c>
      <c r="AD11" s="208" t="s">
        <v>3388</v>
      </c>
      <c r="AE11" s="208">
        <v>130000</v>
      </c>
      <c r="AF11" s="208"/>
      <c r="AG11" s="208"/>
      <c r="AH11" s="208"/>
      <c r="AI11" s="208"/>
      <c r="AJ11" s="208"/>
      <c r="AK11" s="208"/>
      <c r="AL11" s="208"/>
      <c r="AM11" s="208"/>
      <c r="AN11" s="208"/>
      <c r="AO11" s="208"/>
      <c r="AP11" s="208"/>
      <c r="AQ11" s="208"/>
    </row>
    <row r="12" spans="1:43" x14ac:dyDescent="0.2">
      <c r="A12" s="92"/>
      <c r="B12" s="72" t="s">
        <v>3369</v>
      </c>
      <c r="C12" s="31" t="s">
        <v>3370</v>
      </c>
      <c r="D12" s="31">
        <f>A12</f>
        <v>0</v>
      </c>
      <c r="E12" s="31" t="s">
        <v>3366</v>
      </c>
      <c r="F12" s="208">
        <f t="shared" ref="F12:F36" si="0">M12+P12+S12+V12+Y12+AB12+AE12+AH12+AK12+AN12+AQ12+J12</f>
        <v>150000</v>
      </c>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t="s">
        <v>3387</v>
      </c>
      <c r="AD12" s="208" t="s">
        <v>3388</v>
      </c>
      <c r="AE12" s="208">
        <v>150000</v>
      </c>
      <c r="AF12" s="208"/>
      <c r="AG12" s="208"/>
      <c r="AH12" s="208"/>
      <c r="AI12" s="208"/>
      <c r="AJ12" s="208"/>
      <c r="AK12" s="208"/>
      <c r="AL12" s="208"/>
      <c r="AM12" s="208"/>
      <c r="AN12" s="208"/>
      <c r="AO12" s="208"/>
      <c r="AP12" s="208"/>
      <c r="AQ12" s="208"/>
    </row>
    <row r="13" spans="1:43" x14ac:dyDescent="0.2">
      <c r="A13" s="92" t="s">
        <v>3372</v>
      </c>
      <c r="B13" s="72" t="s">
        <v>3373</v>
      </c>
      <c r="C13" s="31" t="s">
        <v>3371</v>
      </c>
      <c r="D13" s="31" t="str">
        <f t="shared" ref="D13:D36" si="1">A13</f>
        <v>04 Jan</v>
      </c>
      <c r="E13" s="31" t="s">
        <v>3366</v>
      </c>
      <c r="F13" s="208">
        <f t="shared" si="0"/>
        <v>110000</v>
      </c>
      <c r="G13" s="208"/>
      <c r="H13" s="208"/>
      <c r="I13" s="208"/>
      <c r="J13" s="208"/>
      <c r="K13" s="208"/>
      <c r="L13" s="208"/>
      <c r="M13" s="208"/>
      <c r="N13" s="208"/>
      <c r="O13" s="208"/>
      <c r="P13" s="208"/>
      <c r="Q13" s="208"/>
      <c r="R13" s="208"/>
      <c r="S13" s="208"/>
      <c r="T13" s="208"/>
      <c r="U13" s="208"/>
      <c r="V13" s="208"/>
      <c r="W13" s="208" t="s">
        <v>3390</v>
      </c>
      <c r="X13" s="208" t="s">
        <v>3389</v>
      </c>
      <c r="Y13" s="208">
        <v>110000</v>
      </c>
      <c r="Z13" s="208"/>
      <c r="AA13" s="208"/>
      <c r="AB13" s="208"/>
      <c r="AC13" s="208"/>
      <c r="AD13" s="208"/>
      <c r="AE13" s="208"/>
      <c r="AF13" s="208"/>
      <c r="AG13" s="208"/>
      <c r="AH13" s="208"/>
      <c r="AI13" s="208"/>
      <c r="AJ13" s="208"/>
      <c r="AK13" s="208"/>
      <c r="AL13" s="208"/>
      <c r="AM13" s="208"/>
      <c r="AN13" s="208"/>
      <c r="AO13" s="208"/>
      <c r="AP13" s="208"/>
      <c r="AQ13" s="208"/>
    </row>
    <row r="14" spans="1:43" x14ac:dyDescent="0.2">
      <c r="A14" s="92" t="s">
        <v>3374</v>
      </c>
      <c r="B14" s="72" t="s">
        <v>3375</v>
      </c>
      <c r="C14" s="31" t="s">
        <v>3376</v>
      </c>
      <c r="D14" s="31" t="str">
        <f t="shared" si="1"/>
        <v>06 jan</v>
      </c>
      <c r="E14" s="31" t="s">
        <v>3366</v>
      </c>
      <c r="F14" s="208">
        <f t="shared" si="0"/>
        <v>188000</v>
      </c>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t="s">
        <v>3387</v>
      </c>
      <c r="AD14" s="208" t="s">
        <v>3388</v>
      </c>
      <c r="AE14" s="208">
        <v>188000</v>
      </c>
      <c r="AF14" s="208"/>
      <c r="AG14" s="208"/>
      <c r="AH14" s="208"/>
      <c r="AI14" s="208"/>
      <c r="AJ14" s="208"/>
      <c r="AK14" s="208"/>
      <c r="AL14" s="208"/>
      <c r="AM14" s="208"/>
      <c r="AN14" s="208"/>
      <c r="AO14" s="208"/>
      <c r="AP14" s="208"/>
      <c r="AQ14" s="208"/>
    </row>
    <row r="15" spans="1:43" x14ac:dyDescent="0.2">
      <c r="A15" s="31"/>
      <c r="B15" s="72" t="s">
        <v>3377</v>
      </c>
      <c r="C15" s="31" t="s">
        <v>3378</v>
      </c>
      <c r="D15" s="31">
        <f t="shared" si="1"/>
        <v>0</v>
      </c>
      <c r="E15" s="31" t="s">
        <v>3366</v>
      </c>
      <c r="F15" s="208">
        <f t="shared" si="0"/>
        <v>334000</v>
      </c>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t="s">
        <v>3387</v>
      </c>
      <c r="AD15" s="208" t="s">
        <v>3388</v>
      </c>
      <c r="AE15" s="208">
        <v>334000</v>
      </c>
      <c r="AF15" s="208"/>
      <c r="AG15" s="208"/>
      <c r="AH15" s="208"/>
      <c r="AI15" s="208"/>
      <c r="AJ15" s="208"/>
      <c r="AK15" s="208"/>
      <c r="AL15" s="208"/>
      <c r="AM15" s="208"/>
      <c r="AN15" s="208"/>
      <c r="AO15" s="208"/>
      <c r="AP15" s="208"/>
      <c r="AQ15" s="208"/>
    </row>
    <row r="16" spans="1:43" x14ac:dyDescent="0.2">
      <c r="A16" s="92" t="s">
        <v>3379</v>
      </c>
      <c r="B16" s="72" t="s">
        <v>3391</v>
      </c>
      <c r="C16" s="31" t="s">
        <v>3392</v>
      </c>
      <c r="D16" s="31" t="str">
        <f t="shared" si="1"/>
        <v>20 Jan</v>
      </c>
      <c r="E16" s="31" t="s">
        <v>3366</v>
      </c>
      <c r="F16" s="208">
        <f t="shared" si="0"/>
        <v>185000</v>
      </c>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t="s">
        <v>3393</v>
      </c>
      <c r="AM16" s="208" t="s">
        <v>3394</v>
      </c>
      <c r="AN16" s="208">
        <v>185000</v>
      </c>
      <c r="AO16" s="208"/>
      <c r="AP16" s="208"/>
      <c r="AQ16" s="208"/>
    </row>
    <row r="17" spans="1:43" x14ac:dyDescent="0.2">
      <c r="A17" s="92" t="s">
        <v>3398</v>
      </c>
      <c r="B17" s="72" t="s">
        <v>3399</v>
      </c>
      <c r="C17" s="31" t="s">
        <v>3400</v>
      </c>
      <c r="D17" s="31" t="str">
        <f t="shared" si="1"/>
        <v>22 Jan</v>
      </c>
      <c r="E17" s="31" t="s">
        <v>3366</v>
      </c>
      <c r="F17" s="208">
        <f t="shared" si="0"/>
        <v>636000</v>
      </c>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t="s">
        <v>3401</v>
      </c>
      <c r="AM17" s="208" t="s">
        <v>3402</v>
      </c>
      <c r="AN17" s="208">
        <v>636000</v>
      </c>
      <c r="AO17" s="208"/>
      <c r="AP17" s="208"/>
      <c r="AQ17" s="208"/>
    </row>
    <row r="18" spans="1:43" x14ac:dyDescent="0.2">
      <c r="A18" s="31"/>
      <c r="B18" s="72" t="s">
        <v>3403</v>
      </c>
      <c r="C18" s="31" t="s">
        <v>3404</v>
      </c>
      <c r="D18" s="92" t="s">
        <v>3398</v>
      </c>
      <c r="E18" s="31" t="s">
        <v>3366</v>
      </c>
      <c r="F18" s="208">
        <f t="shared" si="0"/>
        <v>12550000</v>
      </c>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t="s">
        <v>3405</v>
      </c>
      <c r="AP18" s="208" t="s">
        <v>3406</v>
      </c>
      <c r="AQ18" s="208">
        <v>12550000</v>
      </c>
    </row>
    <row r="19" spans="1:43" x14ac:dyDescent="0.2">
      <c r="A19" s="31"/>
      <c r="B19" s="72" t="s">
        <v>3407</v>
      </c>
      <c r="C19" s="31" t="s">
        <v>3408</v>
      </c>
      <c r="D19" s="92" t="s">
        <v>3398</v>
      </c>
      <c r="E19" s="31" t="s">
        <v>3366</v>
      </c>
      <c r="F19" s="208">
        <f t="shared" si="0"/>
        <v>28173777</v>
      </c>
      <c r="G19" s="208"/>
      <c r="H19" s="208"/>
      <c r="I19" s="208"/>
      <c r="J19" s="208"/>
      <c r="K19" s="208"/>
      <c r="L19" s="208"/>
      <c r="M19" s="208"/>
      <c r="N19" s="208"/>
      <c r="O19" s="208"/>
      <c r="P19" s="208"/>
      <c r="Q19" s="208" t="s">
        <v>3409</v>
      </c>
      <c r="R19" s="208" t="s">
        <v>3410</v>
      </c>
      <c r="S19" s="208">
        <v>28173777</v>
      </c>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row>
    <row r="20" spans="1:43" x14ac:dyDescent="0.2">
      <c r="A20" s="31"/>
      <c r="B20" s="72" t="s">
        <v>3411</v>
      </c>
      <c r="C20" s="31" t="s">
        <v>3412</v>
      </c>
      <c r="D20" s="31">
        <f t="shared" si="1"/>
        <v>0</v>
      </c>
      <c r="E20" s="31" t="s">
        <v>3366</v>
      </c>
      <c r="F20" s="208">
        <f t="shared" si="0"/>
        <v>6800000</v>
      </c>
      <c r="G20" s="208"/>
      <c r="H20" s="208" t="s">
        <v>3415</v>
      </c>
      <c r="I20" s="208" t="s">
        <v>3416</v>
      </c>
      <c r="J20" s="208">
        <v>6800000</v>
      </c>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row>
    <row r="21" spans="1:43" x14ac:dyDescent="0.2">
      <c r="A21" s="31"/>
      <c r="B21" s="72" t="s">
        <v>3417</v>
      </c>
      <c r="C21" s="31" t="s">
        <v>3418</v>
      </c>
      <c r="D21" s="31">
        <f t="shared" si="1"/>
        <v>0</v>
      </c>
      <c r="E21" s="31" t="s">
        <v>3366</v>
      </c>
      <c r="F21" s="208">
        <f t="shared" si="0"/>
        <v>41820000</v>
      </c>
      <c r="G21" s="208"/>
      <c r="H21" s="208" t="s">
        <v>3419</v>
      </c>
      <c r="I21" s="208" t="s">
        <v>3420</v>
      </c>
      <c r="J21" s="208">
        <v>41820000</v>
      </c>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row>
    <row r="22" spans="1:43" x14ac:dyDescent="0.2">
      <c r="A22" s="31"/>
      <c r="B22" s="72" t="s">
        <v>3421</v>
      </c>
      <c r="C22" s="31" t="s">
        <v>3422</v>
      </c>
      <c r="D22" s="31">
        <f t="shared" si="1"/>
        <v>0</v>
      </c>
      <c r="E22" s="31" t="s">
        <v>3366</v>
      </c>
      <c r="F22" s="208">
        <f t="shared" si="0"/>
        <v>810000</v>
      </c>
      <c r="G22" s="208"/>
      <c r="H22" s="208"/>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t="s">
        <v>3401</v>
      </c>
      <c r="AM22" s="208" t="s">
        <v>3402</v>
      </c>
      <c r="AN22" s="208">
        <v>810000</v>
      </c>
      <c r="AO22" s="208"/>
      <c r="AP22" s="208"/>
      <c r="AQ22" s="208"/>
    </row>
    <row r="23" spans="1:43" x14ac:dyDescent="0.2">
      <c r="A23" s="31"/>
      <c r="B23" s="72" t="s">
        <v>3423</v>
      </c>
      <c r="C23" s="31" t="s">
        <v>3424</v>
      </c>
      <c r="D23" s="31">
        <f t="shared" si="1"/>
        <v>0</v>
      </c>
      <c r="E23" s="31" t="s">
        <v>3366</v>
      </c>
      <c r="F23" s="208">
        <f t="shared" si="0"/>
        <v>202000</v>
      </c>
      <c r="G23" s="208"/>
      <c r="H23" s="208"/>
      <c r="I23" s="208"/>
      <c r="J23" s="208"/>
      <c r="K23" s="208"/>
      <c r="L23" s="208"/>
      <c r="M23" s="208"/>
      <c r="N23" s="208"/>
      <c r="O23" s="208"/>
      <c r="P23" s="208"/>
      <c r="Q23" s="208" t="s">
        <v>3425</v>
      </c>
      <c r="R23" s="208" t="s">
        <v>3426</v>
      </c>
      <c r="S23" s="208">
        <v>202000</v>
      </c>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row>
    <row r="24" spans="1:43" x14ac:dyDescent="0.2">
      <c r="A24" s="92" t="s">
        <v>3427</v>
      </c>
      <c r="B24" s="72" t="s">
        <v>3428</v>
      </c>
      <c r="C24" s="31" t="s">
        <v>3257</v>
      </c>
      <c r="D24" s="31" t="str">
        <f t="shared" si="1"/>
        <v>23 Jan</v>
      </c>
      <c r="E24" s="31" t="s">
        <v>3366</v>
      </c>
      <c r="F24" s="208">
        <f t="shared" si="0"/>
        <v>1023500</v>
      </c>
      <c r="G24" s="208"/>
      <c r="H24" s="208"/>
      <c r="I24" s="208"/>
      <c r="J24" s="208"/>
      <c r="K24" s="208"/>
      <c r="L24" s="208"/>
      <c r="M24" s="208"/>
      <c r="N24" s="208"/>
      <c r="O24" s="208"/>
      <c r="P24" s="208"/>
      <c r="Q24" s="208"/>
      <c r="R24" s="208"/>
      <c r="S24" s="208"/>
      <c r="T24" s="208"/>
      <c r="U24" s="208"/>
      <c r="V24" s="208"/>
      <c r="W24" s="208"/>
      <c r="X24" s="208"/>
      <c r="Y24" s="208"/>
      <c r="Z24" s="208"/>
      <c r="AA24" s="208"/>
      <c r="AB24" s="208"/>
      <c r="AC24" s="208" t="s">
        <v>3387</v>
      </c>
      <c r="AD24" s="208" t="s">
        <v>3388</v>
      </c>
      <c r="AE24" s="208">
        <v>1023500</v>
      </c>
      <c r="AF24" s="208"/>
      <c r="AG24" s="208"/>
      <c r="AH24" s="208"/>
      <c r="AI24" s="208"/>
      <c r="AJ24" s="208"/>
      <c r="AK24" s="208"/>
      <c r="AL24" s="208"/>
      <c r="AM24" s="208"/>
      <c r="AN24" s="208"/>
      <c r="AO24" s="208"/>
      <c r="AP24" s="208"/>
      <c r="AQ24" s="208"/>
    </row>
    <row r="25" spans="1:43" x14ac:dyDescent="0.2">
      <c r="A25" s="31"/>
      <c r="B25" s="72" t="s">
        <v>3429</v>
      </c>
      <c r="C25" s="31" t="s">
        <v>3430</v>
      </c>
      <c r="D25" s="31">
        <f t="shared" si="1"/>
        <v>0</v>
      </c>
      <c r="E25" s="31" t="s">
        <v>3366</v>
      </c>
      <c r="F25" s="208">
        <f t="shared" si="0"/>
        <v>1207500</v>
      </c>
      <c r="G25" s="208"/>
      <c r="H25" s="208"/>
      <c r="I25" s="208"/>
      <c r="J25" s="208"/>
      <c r="K25" s="208"/>
      <c r="L25" s="208"/>
      <c r="M25" s="208"/>
      <c r="N25" s="208"/>
      <c r="O25" s="208"/>
      <c r="P25" s="208"/>
      <c r="Q25" s="208"/>
      <c r="R25" s="208"/>
      <c r="S25" s="208"/>
      <c r="T25" s="208"/>
      <c r="U25" s="208"/>
      <c r="V25" s="208"/>
      <c r="W25" s="208"/>
      <c r="X25" s="208"/>
      <c r="Y25" s="208"/>
      <c r="Z25" s="208"/>
      <c r="AA25" s="208"/>
      <c r="AB25" s="208"/>
      <c r="AC25" s="208" t="s">
        <v>3431</v>
      </c>
      <c r="AD25" s="208" t="s">
        <v>3432</v>
      </c>
      <c r="AE25" s="208">
        <v>1207500</v>
      </c>
      <c r="AF25" s="208"/>
      <c r="AG25" s="208"/>
      <c r="AH25" s="208"/>
      <c r="AI25" s="208"/>
      <c r="AJ25" s="208"/>
      <c r="AK25" s="208"/>
      <c r="AL25" s="208"/>
      <c r="AM25" s="208"/>
      <c r="AN25" s="208"/>
      <c r="AO25" s="208"/>
      <c r="AP25" s="208"/>
      <c r="AQ25" s="208"/>
    </row>
    <row r="26" spans="1:43" x14ac:dyDescent="0.2">
      <c r="A26" s="31"/>
      <c r="B26" s="72" t="s">
        <v>3433</v>
      </c>
      <c r="C26" s="31" t="s">
        <v>3434</v>
      </c>
      <c r="D26" s="31">
        <f t="shared" si="1"/>
        <v>0</v>
      </c>
      <c r="E26" s="31" t="s">
        <v>3366</v>
      </c>
      <c r="F26" s="208">
        <f t="shared" si="0"/>
        <v>71660</v>
      </c>
      <c r="G26" s="208"/>
      <c r="H26" s="208"/>
      <c r="I26" s="208"/>
      <c r="J26" s="208"/>
      <c r="K26" s="208"/>
      <c r="L26" s="208"/>
      <c r="M26" s="208"/>
      <c r="N26" s="208"/>
      <c r="O26" s="208"/>
      <c r="P26" s="208"/>
      <c r="Q26" s="208"/>
      <c r="R26" s="208"/>
      <c r="S26" s="208"/>
      <c r="T26" s="208"/>
      <c r="U26" s="208"/>
      <c r="V26" s="208"/>
      <c r="W26" s="208"/>
      <c r="X26" s="208"/>
      <c r="Y26" s="208"/>
      <c r="Z26" s="208"/>
      <c r="AA26" s="208"/>
      <c r="AB26" s="208"/>
      <c r="AC26" s="208" t="s">
        <v>3435</v>
      </c>
      <c r="AD26" s="208" t="s">
        <v>3436</v>
      </c>
      <c r="AE26" s="208">
        <v>71660</v>
      </c>
      <c r="AF26" s="208"/>
      <c r="AG26" s="208"/>
      <c r="AH26" s="208"/>
      <c r="AI26" s="208"/>
      <c r="AJ26" s="208"/>
      <c r="AK26" s="208"/>
      <c r="AL26" s="208"/>
      <c r="AM26" s="208"/>
      <c r="AN26" s="208"/>
      <c r="AO26" s="208"/>
      <c r="AP26" s="208"/>
      <c r="AQ26" s="208"/>
    </row>
    <row r="27" spans="1:43" x14ac:dyDescent="0.2">
      <c r="A27" s="31"/>
      <c r="B27" s="72" t="s">
        <v>3437</v>
      </c>
      <c r="C27" s="31" t="s">
        <v>3438</v>
      </c>
      <c r="D27" s="31">
        <f t="shared" si="1"/>
        <v>0</v>
      </c>
      <c r="E27" s="31" t="s">
        <v>3366</v>
      </c>
      <c r="F27" s="208">
        <f t="shared" si="0"/>
        <v>377000</v>
      </c>
      <c r="G27" s="208"/>
      <c r="H27" s="208"/>
      <c r="I27" s="208"/>
      <c r="J27" s="208"/>
      <c r="K27" s="208"/>
      <c r="L27" s="208"/>
      <c r="M27" s="208"/>
      <c r="N27" s="208"/>
      <c r="O27" s="208"/>
      <c r="P27" s="208"/>
      <c r="Q27" s="208"/>
      <c r="R27" s="208"/>
      <c r="S27" s="208"/>
      <c r="T27" s="208"/>
      <c r="U27" s="208"/>
      <c r="V27" s="208"/>
      <c r="W27" s="208"/>
      <c r="X27" s="208"/>
      <c r="Y27" s="208"/>
      <c r="Z27" s="208"/>
      <c r="AA27" s="208"/>
      <c r="AB27" s="208"/>
      <c r="AC27" s="208" t="s">
        <v>3387</v>
      </c>
      <c r="AD27" s="208" t="s">
        <v>3388</v>
      </c>
      <c r="AE27" s="208">
        <v>377000</v>
      </c>
      <c r="AF27" s="208"/>
      <c r="AG27" s="208"/>
      <c r="AH27" s="208"/>
      <c r="AI27" s="208"/>
      <c r="AJ27" s="208"/>
      <c r="AK27" s="208"/>
      <c r="AL27" s="208"/>
      <c r="AM27" s="208"/>
      <c r="AN27" s="208"/>
      <c r="AO27" s="208"/>
      <c r="AP27" s="208"/>
      <c r="AQ27" s="208"/>
    </row>
    <row r="28" spans="1:43" x14ac:dyDescent="0.2">
      <c r="A28" s="31"/>
      <c r="B28" s="72" t="s">
        <v>3439</v>
      </c>
      <c r="C28" s="31" t="s">
        <v>3442</v>
      </c>
      <c r="D28" s="31">
        <f t="shared" si="1"/>
        <v>0</v>
      </c>
      <c r="E28" s="31" t="s">
        <v>3366</v>
      </c>
      <c r="F28" s="208">
        <f t="shared" si="0"/>
        <v>4230575</v>
      </c>
      <c r="G28" s="208"/>
      <c r="H28" s="208"/>
      <c r="I28" s="208"/>
      <c r="J28" s="208"/>
      <c r="K28" s="208"/>
      <c r="L28" s="208"/>
      <c r="M28" s="208"/>
      <c r="N28" s="208"/>
      <c r="O28" s="208"/>
      <c r="P28" s="208"/>
      <c r="Q28" s="208"/>
      <c r="R28" s="208"/>
      <c r="S28" s="208"/>
      <c r="T28" s="208"/>
      <c r="U28" s="208"/>
      <c r="V28" s="208"/>
      <c r="W28" s="208"/>
      <c r="X28" s="208"/>
      <c r="Y28" s="208"/>
      <c r="Z28" s="208"/>
      <c r="AA28" s="208"/>
      <c r="AB28" s="208"/>
      <c r="AC28" s="208" t="s">
        <v>3313</v>
      </c>
      <c r="AD28" s="208" t="s">
        <v>3440</v>
      </c>
      <c r="AE28" s="208">
        <v>4230575</v>
      </c>
      <c r="AF28" s="208"/>
      <c r="AG28" s="208"/>
      <c r="AH28" s="208"/>
      <c r="AI28" s="208"/>
      <c r="AJ28" s="208"/>
      <c r="AK28" s="208"/>
      <c r="AL28" s="208"/>
      <c r="AM28" s="208"/>
      <c r="AN28" s="208"/>
      <c r="AO28" s="208"/>
      <c r="AP28" s="208"/>
      <c r="AQ28" s="208"/>
    </row>
    <row r="29" spans="1:43" x14ac:dyDescent="0.2">
      <c r="A29" s="31"/>
      <c r="B29" s="72" t="s">
        <v>3441</v>
      </c>
      <c r="C29" s="31" t="s">
        <v>3443</v>
      </c>
      <c r="D29" s="31">
        <f t="shared" si="1"/>
        <v>0</v>
      </c>
      <c r="E29" s="31" t="s">
        <v>3366</v>
      </c>
      <c r="F29" s="208">
        <f t="shared" si="0"/>
        <v>500000</v>
      </c>
      <c r="G29" s="208"/>
      <c r="H29" s="208"/>
      <c r="I29" s="208"/>
      <c r="J29" s="208"/>
      <c r="K29" s="208"/>
      <c r="L29" s="208"/>
      <c r="M29" s="208"/>
      <c r="N29" s="208"/>
      <c r="O29" s="208"/>
      <c r="P29" s="208"/>
      <c r="Q29" s="208"/>
      <c r="R29" s="208"/>
      <c r="S29" s="208"/>
      <c r="T29" s="208"/>
      <c r="U29" s="208"/>
      <c r="V29" s="208"/>
      <c r="W29" s="208"/>
      <c r="X29" s="208"/>
      <c r="Y29" s="208"/>
      <c r="Z29" s="208"/>
      <c r="AA29" s="208"/>
      <c r="AB29" s="208"/>
      <c r="AC29" s="208" t="s">
        <v>3444</v>
      </c>
      <c r="AD29" s="208" t="s">
        <v>3445</v>
      </c>
      <c r="AE29" s="208">
        <v>500000</v>
      </c>
      <c r="AF29" s="208"/>
      <c r="AG29" s="208"/>
      <c r="AH29" s="208"/>
      <c r="AI29" s="208"/>
      <c r="AJ29" s="208"/>
      <c r="AK29" s="208"/>
      <c r="AL29" s="208"/>
      <c r="AM29" s="208"/>
      <c r="AN29" s="208"/>
      <c r="AO29" s="208"/>
      <c r="AP29" s="208"/>
      <c r="AQ29" s="208"/>
    </row>
    <row r="30" spans="1:43" x14ac:dyDescent="0.2">
      <c r="A30" s="92" t="s">
        <v>3447</v>
      </c>
      <c r="B30" s="72" t="s">
        <v>3446</v>
      </c>
      <c r="C30" s="31" t="s">
        <v>3448</v>
      </c>
      <c r="D30" s="31" t="str">
        <f t="shared" si="1"/>
        <v>24 Jan</v>
      </c>
      <c r="E30" s="31" t="s">
        <v>3366</v>
      </c>
      <c r="F30" s="208">
        <f t="shared" si="0"/>
        <v>5850000</v>
      </c>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t="s">
        <v>3387</v>
      </c>
      <c r="AD30" s="208"/>
      <c r="AE30" s="208"/>
      <c r="AF30" s="208"/>
      <c r="AG30" s="208"/>
      <c r="AH30" s="208"/>
      <c r="AI30" s="208"/>
      <c r="AJ30" s="208"/>
      <c r="AK30" s="208"/>
      <c r="AL30" s="208"/>
      <c r="AM30" s="208"/>
      <c r="AN30" s="208"/>
      <c r="AO30" s="208" t="s">
        <v>3405</v>
      </c>
      <c r="AP30" s="208" t="s">
        <v>3406</v>
      </c>
      <c r="AQ30" s="208">
        <v>5850000</v>
      </c>
    </row>
    <row r="31" spans="1:43" x14ac:dyDescent="0.2">
      <c r="A31" s="31"/>
      <c r="B31" s="72" t="s">
        <v>3449</v>
      </c>
      <c r="C31" s="31" t="s">
        <v>3450</v>
      </c>
      <c r="D31" s="31">
        <f t="shared" si="1"/>
        <v>0</v>
      </c>
      <c r="E31" s="31" t="s">
        <v>3366</v>
      </c>
      <c r="F31" s="208">
        <f t="shared" si="0"/>
        <v>229000</v>
      </c>
      <c r="G31" s="208"/>
      <c r="H31" s="208"/>
      <c r="I31" s="208"/>
      <c r="J31" s="208"/>
      <c r="K31" s="208"/>
      <c r="L31" s="208"/>
      <c r="M31" s="208"/>
      <c r="N31" s="208"/>
      <c r="O31" s="208"/>
      <c r="P31" s="208"/>
      <c r="Q31" s="208"/>
      <c r="R31" s="208"/>
      <c r="S31" s="208"/>
      <c r="T31" s="208"/>
      <c r="U31" s="208"/>
      <c r="V31" s="208"/>
      <c r="W31" s="208"/>
      <c r="X31" s="208"/>
      <c r="Y31" s="208"/>
      <c r="Z31" s="208"/>
      <c r="AA31" s="208"/>
      <c r="AB31" s="208"/>
      <c r="AC31" s="208"/>
      <c r="AD31" s="208" t="s">
        <v>3388</v>
      </c>
      <c r="AE31" s="208">
        <v>229000</v>
      </c>
      <c r="AF31" s="208"/>
      <c r="AG31" s="208"/>
      <c r="AH31" s="208"/>
      <c r="AI31" s="208"/>
      <c r="AJ31" s="208"/>
      <c r="AK31" s="208"/>
      <c r="AL31" s="208"/>
      <c r="AM31" s="208"/>
      <c r="AN31" s="208"/>
      <c r="AO31" s="208"/>
      <c r="AP31" s="208"/>
      <c r="AQ31" s="208"/>
    </row>
    <row r="32" spans="1:43" x14ac:dyDescent="0.2">
      <c r="A32" s="92" t="s">
        <v>3501</v>
      </c>
      <c r="B32" s="72" t="s">
        <v>3451</v>
      </c>
      <c r="C32" s="31" t="s">
        <v>3452</v>
      </c>
      <c r="D32" s="31" t="str">
        <f t="shared" si="1"/>
        <v>27 Jan</v>
      </c>
      <c r="E32" s="31" t="s">
        <v>3366</v>
      </c>
      <c r="F32" s="208">
        <f t="shared" si="0"/>
        <v>12282800</v>
      </c>
      <c r="G32" s="208"/>
      <c r="H32" s="208"/>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t="s">
        <v>3405</v>
      </c>
      <c r="AP32" s="208" t="s">
        <v>3406</v>
      </c>
      <c r="AQ32" s="208">
        <v>12282800</v>
      </c>
    </row>
    <row r="33" spans="1:43" x14ac:dyDescent="0.2">
      <c r="A33" s="31"/>
      <c r="B33" s="72" t="s">
        <v>3453</v>
      </c>
      <c r="C33" s="31" t="s">
        <v>3454</v>
      </c>
      <c r="D33" s="31">
        <f t="shared" si="1"/>
        <v>0</v>
      </c>
      <c r="E33" s="31" t="s">
        <v>3366</v>
      </c>
      <c r="F33" s="208">
        <f t="shared" si="0"/>
        <v>1500000</v>
      </c>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t="s">
        <v>3455</v>
      </c>
      <c r="AP33" s="208" t="s">
        <v>3456</v>
      </c>
      <c r="AQ33" s="208">
        <v>1500000</v>
      </c>
    </row>
    <row r="34" spans="1:43" x14ac:dyDescent="0.2">
      <c r="A34" s="31"/>
      <c r="B34" s="72" t="s">
        <v>3457</v>
      </c>
      <c r="C34" s="31" t="s">
        <v>3256</v>
      </c>
      <c r="D34" s="31">
        <f t="shared" si="1"/>
        <v>0</v>
      </c>
      <c r="E34" s="31" t="s">
        <v>3366</v>
      </c>
      <c r="F34" s="208">
        <f t="shared" si="0"/>
        <v>9987916</v>
      </c>
      <c r="G34" s="208"/>
      <c r="H34" s="208"/>
      <c r="I34" s="208"/>
      <c r="J34" s="208"/>
      <c r="K34" s="208"/>
      <c r="L34" s="208"/>
      <c r="M34" s="208"/>
      <c r="N34" s="208"/>
      <c r="O34" s="208"/>
      <c r="P34" s="208"/>
      <c r="Q34" s="208"/>
      <c r="R34" s="208"/>
      <c r="S34" s="208"/>
      <c r="T34" s="208"/>
      <c r="U34" s="208"/>
      <c r="V34" s="208"/>
      <c r="W34" s="208"/>
      <c r="X34" s="208"/>
      <c r="Y34" s="208"/>
      <c r="Z34" s="208" t="s">
        <v>3458</v>
      </c>
      <c r="AA34" s="208" t="s">
        <v>3459</v>
      </c>
      <c r="AB34" s="208">
        <v>9987916</v>
      </c>
      <c r="AC34" s="208"/>
      <c r="AD34" s="208"/>
      <c r="AE34" s="208"/>
      <c r="AF34" s="208"/>
      <c r="AG34" s="208"/>
      <c r="AH34" s="208"/>
      <c r="AI34" s="208"/>
      <c r="AJ34" s="208"/>
      <c r="AK34" s="208"/>
      <c r="AL34" s="208"/>
      <c r="AM34" s="208"/>
      <c r="AN34" s="208"/>
      <c r="AO34" s="208"/>
      <c r="AP34" s="208"/>
      <c r="AQ34" s="208"/>
    </row>
    <row r="35" spans="1:43" x14ac:dyDescent="0.2">
      <c r="A35" s="31"/>
      <c r="B35" s="72" t="s">
        <v>3460</v>
      </c>
      <c r="C35" s="31" t="s">
        <v>3255</v>
      </c>
      <c r="D35" s="31">
        <f t="shared" si="1"/>
        <v>0</v>
      </c>
      <c r="E35" s="31" t="s">
        <v>3366</v>
      </c>
      <c r="F35" s="208">
        <f t="shared" si="0"/>
        <v>4399533</v>
      </c>
      <c r="G35" s="208"/>
      <c r="H35" s="208"/>
      <c r="I35" s="208"/>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t="s">
        <v>3461</v>
      </c>
      <c r="AP35" s="208" t="s">
        <v>3462</v>
      </c>
      <c r="AQ35" s="208">
        <v>4399533</v>
      </c>
    </row>
    <row r="36" spans="1:43" x14ac:dyDescent="0.2">
      <c r="A36" s="31"/>
      <c r="B36" s="72" t="s">
        <v>3465</v>
      </c>
      <c r="C36" s="31" t="s">
        <v>3259</v>
      </c>
      <c r="D36" s="31">
        <f t="shared" si="1"/>
        <v>0</v>
      </c>
      <c r="E36" s="31" t="s">
        <v>3366</v>
      </c>
      <c r="F36" s="208">
        <f t="shared" si="0"/>
        <v>8000000</v>
      </c>
      <c r="G36" s="208"/>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t="s">
        <v>3463</v>
      </c>
      <c r="AP36" s="208" t="s">
        <v>3464</v>
      </c>
      <c r="AQ36" s="208">
        <v>8000000</v>
      </c>
    </row>
    <row r="37" spans="1:43" x14ac:dyDescent="0.2">
      <c r="A37" s="31"/>
      <c r="B37" s="72" t="s">
        <v>3466</v>
      </c>
      <c r="C37" s="31" t="s">
        <v>3260</v>
      </c>
      <c r="D37" s="31">
        <f t="shared" ref="D37:D61" si="2">A37</f>
        <v>0</v>
      </c>
      <c r="E37" s="31" t="s">
        <v>3366</v>
      </c>
      <c r="F37" s="208">
        <f t="shared" ref="F37:F61" si="3">M37+P37+S37+V37+Y37+AB37+AE37+AH37+AK37+AN37+AQ37+J37</f>
        <v>14855000</v>
      </c>
      <c r="G37" s="208"/>
      <c r="H37" s="208"/>
      <c r="I37" s="208"/>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t="s">
        <v>3463</v>
      </c>
      <c r="AP37" s="208" t="s">
        <v>3464</v>
      </c>
      <c r="AQ37" s="208">
        <v>14855000</v>
      </c>
    </row>
    <row r="38" spans="1:43" x14ac:dyDescent="0.2">
      <c r="A38" s="31"/>
      <c r="B38" s="72" t="s">
        <v>3467</v>
      </c>
      <c r="C38" s="31" t="s">
        <v>3468</v>
      </c>
      <c r="D38" s="31">
        <f t="shared" si="2"/>
        <v>0</v>
      </c>
      <c r="E38" s="31" t="s">
        <v>3366</v>
      </c>
      <c r="F38" s="208">
        <f t="shared" si="3"/>
        <v>195000</v>
      </c>
      <c r="G38" s="208"/>
      <c r="H38" s="208"/>
      <c r="I38" s="208"/>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t="s">
        <v>3469</v>
      </c>
      <c r="AP38" s="208" t="s">
        <v>3464</v>
      </c>
      <c r="AQ38" s="208">
        <v>195000</v>
      </c>
    </row>
    <row r="39" spans="1:43" x14ac:dyDescent="0.2">
      <c r="A39" s="31"/>
      <c r="B39" s="72" t="s">
        <v>3470</v>
      </c>
      <c r="C39" s="31" t="s">
        <v>3476</v>
      </c>
      <c r="D39" s="31">
        <f t="shared" si="2"/>
        <v>0</v>
      </c>
      <c r="E39" s="31" t="s">
        <v>3366</v>
      </c>
      <c r="F39" s="208">
        <f t="shared" si="3"/>
        <v>9970080</v>
      </c>
      <c r="G39" s="208"/>
      <c r="H39" s="208"/>
      <c r="I39" s="208"/>
      <c r="J39" s="208"/>
      <c r="K39" s="208"/>
      <c r="L39" s="208"/>
      <c r="M39" s="208"/>
      <c r="N39" s="208"/>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t="s">
        <v>3477</v>
      </c>
      <c r="AP39" s="208" t="s">
        <v>3478</v>
      </c>
      <c r="AQ39" s="208">
        <v>9970080</v>
      </c>
    </row>
    <row r="40" spans="1:43" x14ac:dyDescent="0.2">
      <c r="A40" s="31"/>
      <c r="B40" s="72" t="s">
        <v>3471</v>
      </c>
      <c r="C40" s="31" t="s">
        <v>3479</v>
      </c>
      <c r="D40" s="31">
        <f t="shared" si="2"/>
        <v>0</v>
      </c>
      <c r="E40" s="31" t="s">
        <v>3366</v>
      </c>
      <c r="F40" s="208">
        <f t="shared" si="3"/>
        <v>82346378</v>
      </c>
      <c r="G40" s="208"/>
      <c r="H40" s="208"/>
      <c r="I40" s="208"/>
      <c r="J40" s="208"/>
      <c r="K40" s="208"/>
      <c r="L40" s="208"/>
      <c r="M40" s="208"/>
      <c r="N40" s="208"/>
      <c r="O40" s="208"/>
      <c r="P40" s="208"/>
      <c r="Q40" s="208"/>
      <c r="R40" s="208"/>
      <c r="S40" s="208"/>
      <c r="T40" s="208"/>
      <c r="U40" s="208"/>
      <c r="V40" s="208"/>
      <c r="W40" s="208"/>
      <c r="X40" s="208"/>
      <c r="Y40" s="208"/>
      <c r="Z40" s="208" t="s">
        <v>3480</v>
      </c>
      <c r="AA40" s="208" t="s">
        <v>3481</v>
      </c>
      <c r="AB40" s="208">
        <v>82346378</v>
      </c>
      <c r="AC40" s="208"/>
      <c r="AD40" s="208"/>
      <c r="AE40" s="208"/>
      <c r="AF40" s="208"/>
      <c r="AG40" s="208"/>
      <c r="AH40" s="208"/>
      <c r="AI40" s="208"/>
      <c r="AJ40" s="208"/>
      <c r="AK40" s="208"/>
      <c r="AL40" s="208"/>
      <c r="AM40" s="208"/>
      <c r="AN40" s="208"/>
      <c r="AO40" s="208"/>
      <c r="AP40" s="208"/>
      <c r="AQ40" s="208"/>
    </row>
    <row r="41" spans="1:43" x14ac:dyDescent="0.2">
      <c r="A41" s="31"/>
      <c r="B41" s="72" t="s">
        <v>3472</v>
      </c>
      <c r="C41" s="31" t="s">
        <v>3482</v>
      </c>
      <c r="D41" s="31">
        <f t="shared" si="2"/>
        <v>0</v>
      </c>
      <c r="E41" s="31" t="s">
        <v>3366</v>
      </c>
      <c r="F41" s="208">
        <f t="shared" si="3"/>
        <v>17840702</v>
      </c>
      <c r="G41" s="208"/>
      <c r="H41" s="208"/>
      <c r="I41" s="208"/>
      <c r="J41" s="208"/>
      <c r="K41" s="208"/>
      <c r="L41" s="208"/>
      <c r="M41" s="208"/>
      <c r="N41" s="208"/>
      <c r="O41" s="208"/>
      <c r="P41" s="208"/>
      <c r="Q41" s="208"/>
      <c r="R41" s="208"/>
      <c r="S41" s="208"/>
      <c r="T41" s="208"/>
      <c r="U41" s="208"/>
      <c r="V41" s="208"/>
      <c r="W41" s="208" t="s">
        <v>3483</v>
      </c>
      <c r="X41" s="208" t="s">
        <v>3484</v>
      </c>
      <c r="Y41" s="208">
        <v>17840702</v>
      </c>
      <c r="Z41" s="208"/>
      <c r="AA41" s="208"/>
      <c r="AB41" s="208"/>
      <c r="AC41" s="208"/>
      <c r="AD41" s="208"/>
      <c r="AE41" s="208"/>
      <c r="AF41" s="208"/>
      <c r="AG41" s="208"/>
      <c r="AH41" s="208"/>
      <c r="AI41" s="208"/>
      <c r="AJ41" s="208"/>
      <c r="AK41" s="208"/>
      <c r="AL41" s="208"/>
      <c r="AM41" s="208"/>
      <c r="AN41" s="208"/>
      <c r="AO41" s="208"/>
      <c r="AP41" s="208"/>
      <c r="AQ41" s="208"/>
    </row>
    <row r="42" spans="1:43" x14ac:dyDescent="0.2">
      <c r="A42" s="31"/>
      <c r="B42" s="72" t="s">
        <v>3473</v>
      </c>
      <c r="C42" s="31" t="s">
        <v>3485</v>
      </c>
      <c r="D42" s="31">
        <f t="shared" si="2"/>
        <v>0</v>
      </c>
      <c r="E42" s="31" t="s">
        <v>3366</v>
      </c>
      <c r="F42" s="208">
        <f t="shared" si="3"/>
        <v>17671486</v>
      </c>
      <c r="G42" s="208"/>
      <c r="H42" s="208"/>
      <c r="I42" s="208"/>
      <c r="J42" s="208"/>
      <c r="K42" s="208"/>
      <c r="L42" s="208"/>
      <c r="M42" s="208"/>
      <c r="N42" s="208"/>
      <c r="O42" s="208"/>
      <c r="P42" s="208"/>
      <c r="Q42" s="208"/>
      <c r="R42" s="208"/>
      <c r="S42" s="208"/>
      <c r="T42" s="208" t="s">
        <v>3486</v>
      </c>
      <c r="U42" s="208" t="s">
        <v>3487</v>
      </c>
      <c r="V42" s="208">
        <v>17671486</v>
      </c>
      <c r="W42" s="208"/>
      <c r="X42" s="208"/>
      <c r="Y42" s="208"/>
      <c r="Z42" s="208"/>
      <c r="AA42" s="208"/>
      <c r="AB42" s="208"/>
      <c r="AC42" s="208"/>
      <c r="AD42" s="208"/>
      <c r="AE42" s="208"/>
      <c r="AF42" s="208"/>
      <c r="AG42" s="208"/>
      <c r="AH42" s="208"/>
      <c r="AI42" s="208"/>
      <c r="AJ42" s="208"/>
      <c r="AK42" s="208"/>
      <c r="AL42" s="208"/>
      <c r="AM42" s="208"/>
      <c r="AN42" s="208"/>
      <c r="AO42" s="208"/>
      <c r="AP42" s="208"/>
      <c r="AQ42" s="208"/>
    </row>
    <row r="43" spans="1:43" x14ac:dyDescent="0.2">
      <c r="A43" s="31"/>
      <c r="B43" s="72" t="s">
        <v>3474</v>
      </c>
      <c r="C43" s="31" t="s">
        <v>3267</v>
      </c>
      <c r="D43" s="31">
        <f t="shared" si="2"/>
        <v>0</v>
      </c>
      <c r="E43" s="31" t="s">
        <v>3366</v>
      </c>
      <c r="F43" s="208">
        <f t="shared" si="3"/>
        <v>2750000</v>
      </c>
      <c r="G43" s="208"/>
      <c r="H43" s="208"/>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t="s">
        <v>3461</v>
      </c>
      <c r="AP43" s="208" t="s">
        <v>3488</v>
      </c>
      <c r="AQ43" s="208">
        <v>2750000</v>
      </c>
    </row>
    <row r="44" spans="1:43" x14ac:dyDescent="0.2">
      <c r="A44" s="31"/>
      <c r="B44" s="72" t="s">
        <v>3475</v>
      </c>
      <c r="C44" s="31" t="s">
        <v>3489</v>
      </c>
      <c r="D44" s="31">
        <f t="shared" si="2"/>
        <v>0</v>
      </c>
      <c r="E44" s="31" t="s">
        <v>3366</v>
      </c>
      <c r="F44" s="208">
        <f t="shared" si="3"/>
        <v>42046740</v>
      </c>
      <c r="G44" s="208"/>
      <c r="H44" s="208"/>
      <c r="I44" s="208"/>
      <c r="J44" s="208"/>
      <c r="K44" s="208"/>
      <c r="L44" s="208"/>
      <c r="M44" s="208"/>
      <c r="N44" s="208"/>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t="s">
        <v>3463</v>
      </c>
      <c r="AP44" s="208" t="s">
        <v>3464</v>
      </c>
      <c r="AQ44" s="208">
        <v>42046740</v>
      </c>
    </row>
    <row r="45" spans="1:43" x14ac:dyDescent="0.2">
      <c r="A45" s="31"/>
      <c r="B45" s="72" t="s">
        <v>3490</v>
      </c>
      <c r="C45" s="31" t="s">
        <v>3499</v>
      </c>
      <c r="D45" s="31">
        <f t="shared" si="2"/>
        <v>0</v>
      </c>
      <c r="E45" s="31" t="s">
        <v>3366</v>
      </c>
      <c r="F45" s="208">
        <f t="shared" si="3"/>
        <v>400000</v>
      </c>
      <c r="G45" s="208"/>
      <c r="H45" s="208"/>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t="s">
        <v>3455</v>
      </c>
      <c r="AP45" s="208" t="s">
        <v>3456</v>
      </c>
      <c r="AQ45" s="208">
        <v>400000</v>
      </c>
    </row>
    <row r="46" spans="1:43" x14ac:dyDescent="0.2">
      <c r="A46" s="31"/>
      <c r="B46" s="72" t="s">
        <v>3491</v>
      </c>
      <c r="C46" s="31" t="s">
        <v>3255</v>
      </c>
      <c r="D46" s="31">
        <f t="shared" si="2"/>
        <v>0</v>
      </c>
      <c r="E46" s="31" t="s">
        <v>3366</v>
      </c>
      <c r="F46" s="208">
        <f t="shared" si="3"/>
        <v>226125</v>
      </c>
      <c r="G46" s="208"/>
      <c r="H46" s="208"/>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t="s">
        <v>3455</v>
      </c>
      <c r="AP46" s="208" t="s">
        <v>3456</v>
      </c>
      <c r="AQ46" s="208">
        <v>226125</v>
      </c>
    </row>
    <row r="47" spans="1:43" x14ac:dyDescent="0.2">
      <c r="A47" s="31"/>
      <c r="B47" s="72" t="s">
        <v>3492</v>
      </c>
      <c r="C47" s="31" t="s">
        <v>3500</v>
      </c>
      <c r="D47" s="31">
        <f t="shared" si="2"/>
        <v>0</v>
      </c>
      <c r="E47" s="31" t="s">
        <v>3366</v>
      </c>
      <c r="F47" s="208">
        <f t="shared" si="3"/>
        <v>5000000</v>
      </c>
      <c r="G47" s="208"/>
      <c r="H47" s="208"/>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t="s">
        <v>3463</v>
      </c>
      <c r="AP47" s="208" t="s">
        <v>3464</v>
      </c>
      <c r="AQ47" s="208">
        <v>5000000</v>
      </c>
    </row>
    <row r="48" spans="1:43" x14ac:dyDescent="0.2">
      <c r="A48" s="31"/>
      <c r="B48" s="72" t="s">
        <v>3493</v>
      </c>
      <c r="C48" s="31" t="s">
        <v>3502</v>
      </c>
      <c r="D48" s="31">
        <f t="shared" si="2"/>
        <v>0</v>
      </c>
      <c r="E48" s="31" t="s">
        <v>3366</v>
      </c>
      <c r="F48" s="208">
        <f t="shared" si="3"/>
        <v>21092716</v>
      </c>
      <c r="G48" s="208"/>
      <c r="H48" s="208"/>
      <c r="I48" s="208"/>
      <c r="J48" s="208"/>
      <c r="K48" s="208"/>
      <c r="L48" s="208"/>
      <c r="M48" s="208"/>
      <c r="N48" s="208"/>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t="s">
        <v>3463</v>
      </c>
      <c r="AP48" s="208" t="s">
        <v>3464</v>
      </c>
      <c r="AQ48" s="208">
        <v>21092716</v>
      </c>
    </row>
    <row r="49" spans="1:43" x14ac:dyDescent="0.2">
      <c r="A49" s="92" t="s">
        <v>3530</v>
      </c>
      <c r="B49" s="72" t="s">
        <v>3494</v>
      </c>
      <c r="C49" s="31" t="s">
        <v>3258</v>
      </c>
      <c r="D49" s="31" t="str">
        <f t="shared" si="2"/>
        <v>28 Jan</v>
      </c>
      <c r="E49" s="31" t="s">
        <v>3366</v>
      </c>
      <c r="F49" s="208">
        <f t="shared" si="3"/>
        <v>255000</v>
      </c>
      <c r="G49" s="208"/>
      <c r="H49" s="208"/>
      <c r="I49" s="208"/>
      <c r="J49" s="208"/>
      <c r="K49" s="208"/>
      <c r="L49" s="208"/>
      <c r="M49" s="208"/>
      <c r="N49" s="208"/>
      <c r="O49" s="208"/>
      <c r="P49" s="208"/>
      <c r="Q49" s="208"/>
      <c r="R49" s="208"/>
      <c r="S49" s="208"/>
      <c r="T49" s="208"/>
      <c r="U49" s="208"/>
      <c r="V49" s="208"/>
      <c r="W49" s="208"/>
      <c r="X49" s="208"/>
      <c r="Y49" s="208"/>
      <c r="Z49" s="208"/>
      <c r="AA49" s="208"/>
      <c r="AB49" s="208"/>
      <c r="AC49" s="208" t="s">
        <v>3387</v>
      </c>
      <c r="AD49" s="208" t="s">
        <v>3388</v>
      </c>
      <c r="AE49" s="208">
        <v>255000</v>
      </c>
      <c r="AF49" s="208"/>
      <c r="AG49" s="208"/>
      <c r="AH49" s="208"/>
      <c r="AI49" s="208"/>
      <c r="AJ49" s="208"/>
      <c r="AK49" s="208"/>
      <c r="AL49" s="208"/>
      <c r="AM49" s="208"/>
      <c r="AN49" s="208"/>
      <c r="AO49" s="208"/>
      <c r="AP49" s="208"/>
      <c r="AQ49" s="208"/>
    </row>
    <row r="50" spans="1:43" x14ac:dyDescent="0.2">
      <c r="A50" s="31"/>
      <c r="B50" s="72" t="s">
        <v>3495</v>
      </c>
      <c r="C50" s="31" t="s">
        <v>3503</v>
      </c>
      <c r="D50" s="31">
        <f t="shared" si="2"/>
        <v>0</v>
      </c>
      <c r="E50" s="31" t="s">
        <v>3366</v>
      </c>
      <c r="F50" s="208">
        <f t="shared" si="3"/>
        <v>500000</v>
      </c>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t="s">
        <v>3504</v>
      </c>
      <c r="AM50" s="208" t="s">
        <v>3505</v>
      </c>
      <c r="AN50" s="208">
        <v>500000</v>
      </c>
      <c r="AO50" s="208"/>
      <c r="AP50" s="208"/>
      <c r="AQ50" s="208"/>
    </row>
    <row r="51" spans="1:43" x14ac:dyDescent="0.2">
      <c r="A51" s="31"/>
      <c r="B51" s="72" t="s">
        <v>3496</v>
      </c>
      <c r="C51" s="31" t="s">
        <v>3506</v>
      </c>
      <c r="D51" s="31">
        <f t="shared" si="2"/>
        <v>0</v>
      </c>
      <c r="E51" s="31" t="s">
        <v>3366</v>
      </c>
      <c r="F51" s="208">
        <f t="shared" si="3"/>
        <v>1800000</v>
      </c>
      <c r="G51" s="208"/>
      <c r="H51" s="208" t="s">
        <v>3507</v>
      </c>
      <c r="I51" s="208" t="s">
        <v>3508</v>
      </c>
      <c r="J51" s="208">
        <v>1800000</v>
      </c>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row>
    <row r="52" spans="1:43" x14ac:dyDescent="0.2">
      <c r="A52" s="31"/>
      <c r="B52" s="72" t="s">
        <v>3497</v>
      </c>
      <c r="C52" s="31" t="s">
        <v>3263</v>
      </c>
      <c r="D52" s="31">
        <f t="shared" si="2"/>
        <v>0</v>
      </c>
      <c r="E52" s="31" t="s">
        <v>3366</v>
      </c>
      <c r="F52" s="208">
        <f t="shared" si="3"/>
        <v>350000</v>
      </c>
      <c r="G52" s="208"/>
      <c r="H52" s="208"/>
      <c r="I52" s="208"/>
      <c r="J52" s="208"/>
      <c r="K52" s="208"/>
      <c r="L52" s="208"/>
      <c r="M52" s="208"/>
      <c r="N52" s="208"/>
      <c r="O52" s="208"/>
      <c r="P52" s="208"/>
      <c r="Q52" s="208"/>
      <c r="R52" s="208"/>
      <c r="S52" s="208"/>
      <c r="T52" s="208"/>
      <c r="U52" s="208"/>
      <c r="V52" s="208"/>
      <c r="W52" s="208"/>
      <c r="X52" s="208"/>
      <c r="Y52" s="208"/>
      <c r="Z52" s="208"/>
      <c r="AA52" s="208"/>
      <c r="AB52" s="208"/>
      <c r="AC52" s="208" t="s">
        <v>3509</v>
      </c>
      <c r="AD52" s="208" t="s">
        <v>3510</v>
      </c>
      <c r="AE52" s="208">
        <v>350000</v>
      </c>
      <c r="AF52" s="208"/>
      <c r="AG52" s="208"/>
      <c r="AH52" s="208"/>
      <c r="AI52" s="208"/>
      <c r="AJ52" s="208"/>
      <c r="AK52" s="208"/>
      <c r="AL52" s="208"/>
      <c r="AM52" s="208"/>
      <c r="AN52" s="208"/>
      <c r="AO52" s="208"/>
      <c r="AP52" s="208"/>
      <c r="AQ52" s="208"/>
    </row>
    <row r="53" spans="1:43" x14ac:dyDescent="0.2">
      <c r="A53" s="31"/>
      <c r="B53" s="72" t="s">
        <v>3498</v>
      </c>
      <c r="C53" s="31" t="s">
        <v>3511</v>
      </c>
      <c r="D53" s="31">
        <f t="shared" si="2"/>
        <v>0</v>
      </c>
      <c r="E53" s="31" t="s">
        <v>3366</v>
      </c>
      <c r="F53" s="208">
        <f t="shared" si="3"/>
        <v>1664700</v>
      </c>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t="s">
        <v>3387</v>
      </c>
      <c r="AD53" s="208" t="s">
        <v>3388</v>
      </c>
      <c r="AE53" s="208">
        <v>1664700</v>
      </c>
      <c r="AF53" s="208"/>
      <c r="AG53" s="208"/>
      <c r="AH53" s="208"/>
      <c r="AI53" s="208"/>
      <c r="AJ53" s="208"/>
      <c r="AK53" s="208"/>
      <c r="AL53" s="208"/>
      <c r="AM53" s="208"/>
      <c r="AN53" s="208"/>
      <c r="AO53" s="208"/>
      <c r="AP53" s="208"/>
      <c r="AQ53" s="208"/>
    </row>
    <row r="54" spans="1:43" x14ac:dyDescent="0.2">
      <c r="A54" s="31"/>
      <c r="B54" s="72" t="s">
        <v>3512</v>
      </c>
      <c r="C54" s="31" t="s">
        <v>3519</v>
      </c>
      <c r="D54" s="31">
        <f t="shared" si="2"/>
        <v>0</v>
      </c>
      <c r="E54" s="31" t="s">
        <v>3366</v>
      </c>
      <c r="F54" s="208">
        <f t="shared" si="3"/>
        <v>150000</v>
      </c>
      <c r="G54" s="208"/>
      <c r="H54" s="208"/>
      <c r="I54" s="208"/>
      <c r="J54" s="208"/>
      <c r="K54" s="208"/>
      <c r="L54" s="208"/>
      <c r="M54" s="208"/>
      <c r="N54" s="208"/>
      <c r="O54" s="208"/>
      <c r="P54" s="208"/>
      <c r="Q54" s="208"/>
      <c r="R54" s="208"/>
      <c r="S54" s="208"/>
      <c r="T54" s="208"/>
      <c r="U54" s="208"/>
      <c r="V54" s="208"/>
      <c r="W54" s="208" t="s">
        <v>3520</v>
      </c>
      <c r="X54" s="208" t="s">
        <v>3521</v>
      </c>
      <c r="Y54" s="208">
        <v>150000</v>
      </c>
      <c r="Z54" s="208"/>
      <c r="AA54" s="208"/>
      <c r="AB54" s="208"/>
      <c r="AC54" s="208"/>
      <c r="AD54" s="208"/>
      <c r="AE54" s="208"/>
      <c r="AF54" s="208"/>
      <c r="AG54" s="208"/>
      <c r="AH54" s="208"/>
      <c r="AI54" s="208"/>
      <c r="AJ54" s="208"/>
      <c r="AK54" s="208"/>
      <c r="AL54" s="208"/>
      <c r="AM54" s="208"/>
      <c r="AN54" s="208"/>
      <c r="AO54" s="208"/>
      <c r="AP54" s="208"/>
      <c r="AQ54" s="208"/>
    </row>
    <row r="55" spans="1:43" x14ac:dyDescent="0.2">
      <c r="A55" s="31"/>
      <c r="B55" s="72" t="s">
        <v>3513</v>
      </c>
      <c r="C55" s="31" t="s">
        <v>3522</v>
      </c>
      <c r="D55" s="31">
        <f t="shared" si="2"/>
        <v>0</v>
      </c>
      <c r="E55" s="31" t="s">
        <v>3366</v>
      </c>
      <c r="F55" s="208">
        <f t="shared" si="3"/>
        <v>100000</v>
      </c>
      <c r="G55" s="208"/>
      <c r="H55" s="208"/>
      <c r="I55" s="208"/>
      <c r="J55" s="208"/>
      <c r="K55" s="208"/>
      <c r="L55" s="208"/>
      <c r="M55" s="208"/>
      <c r="N55" s="208"/>
      <c r="O55" s="208"/>
      <c r="P55" s="208"/>
      <c r="Q55" s="208"/>
      <c r="R55" s="208"/>
      <c r="S55" s="208"/>
      <c r="T55" s="208"/>
      <c r="U55" s="208"/>
      <c r="V55" s="208"/>
      <c r="W55" s="208"/>
      <c r="X55" s="208"/>
      <c r="Y55" s="208"/>
      <c r="Z55" s="208" t="s">
        <v>3525</v>
      </c>
      <c r="AA55" s="208" t="s">
        <v>3526</v>
      </c>
      <c r="AB55" s="208">
        <v>100000</v>
      </c>
      <c r="AC55" s="208"/>
      <c r="AD55" s="208"/>
      <c r="AE55" s="208"/>
      <c r="AF55" s="208"/>
      <c r="AG55" s="208"/>
      <c r="AH55" s="208"/>
      <c r="AI55" s="208"/>
      <c r="AJ55" s="208"/>
      <c r="AK55" s="208"/>
      <c r="AL55" s="208"/>
      <c r="AM55" s="208"/>
      <c r="AN55" s="208"/>
      <c r="AO55" s="208"/>
      <c r="AP55" s="208"/>
      <c r="AQ55" s="208"/>
    </row>
    <row r="56" spans="1:43" x14ac:dyDescent="0.2">
      <c r="A56" s="31"/>
      <c r="B56" s="72" t="s">
        <v>3514</v>
      </c>
      <c r="C56" s="31" t="s">
        <v>3523</v>
      </c>
      <c r="D56" s="31">
        <f t="shared" si="2"/>
        <v>0</v>
      </c>
      <c r="E56" s="31" t="s">
        <v>3366</v>
      </c>
      <c r="F56" s="208">
        <f t="shared" si="3"/>
        <v>3030000</v>
      </c>
      <c r="G56" s="208"/>
      <c r="H56" s="208"/>
      <c r="I56" s="208"/>
      <c r="J56" s="208"/>
      <c r="K56" s="208"/>
      <c r="L56" s="208"/>
      <c r="M56" s="208"/>
      <c r="N56" s="208"/>
      <c r="O56" s="208"/>
      <c r="P56" s="208"/>
      <c r="Q56" s="208"/>
      <c r="R56" s="208"/>
      <c r="S56" s="208"/>
      <c r="T56" s="208"/>
      <c r="U56" s="208"/>
      <c r="V56" s="208"/>
      <c r="W56" s="208" t="s">
        <v>3279</v>
      </c>
      <c r="X56" s="208" t="s">
        <v>3524</v>
      </c>
      <c r="Y56" s="208">
        <v>3030000</v>
      </c>
      <c r="Z56" s="208"/>
      <c r="AA56" s="208"/>
      <c r="AB56" s="208"/>
      <c r="AC56" s="208"/>
      <c r="AD56" s="208"/>
      <c r="AE56" s="208"/>
      <c r="AF56" s="208"/>
      <c r="AG56" s="208"/>
      <c r="AH56" s="208"/>
      <c r="AI56" s="208"/>
      <c r="AJ56" s="208"/>
      <c r="AK56" s="208"/>
      <c r="AL56" s="208"/>
      <c r="AM56" s="208"/>
      <c r="AN56" s="208"/>
      <c r="AO56" s="208"/>
      <c r="AP56" s="208"/>
      <c r="AQ56" s="208"/>
    </row>
    <row r="57" spans="1:43" x14ac:dyDescent="0.2">
      <c r="A57" s="31"/>
      <c r="B57" s="72" t="s">
        <v>3515</v>
      </c>
      <c r="C57" s="31" t="s">
        <v>3529</v>
      </c>
      <c r="D57" s="31">
        <f t="shared" si="2"/>
        <v>0</v>
      </c>
      <c r="E57" s="31" t="s">
        <v>3366</v>
      </c>
      <c r="F57" s="208">
        <f t="shared" si="3"/>
        <v>2100000</v>
      </c>
      <c r="G57" s="208"/>
      <c r="H57" s="208"/>
      <c r="I57" s="208"/>
      <c r="J57" s="208"/>
      <c r="K57" s="208"/>
      <c r="L57" s="208"/>
      <c r="M57" s="208"/>
      <c r="N57" s="208"/>
      <c r="O57" s="208"/>
      <c r="P57" s="208"/>
      <c r="Q57" s="208"/>
      <c r="R57" s="208"/>
      <c r="S57" s="208"/>
      <c r="T57" s="208"/>
      <c r="U57" s="208"/>
      <c r="V57" s="208"/>
      <c r="W57" s="208"/>
      <c r="X57" s="208"/>
      <c r="Y57" s="208"/>
      <c r="Z57" s="208" t="s">
        <v>3527</v>
      </c>
      <c r="AA57" s="208" t="s">
        <v>3528</v>
      </c>
      <c r="AB57" s="208">
        <v>2100000</v>
      </c>
      <c r="AC57" s="208"/>
      <c r="AD57" s="208"/>
      <c r="AE57" s="208"/>
      <c r="AF57" s="208"/>
      <c r="AG57" s="208"/>
      <c r="AH57" s="208"/>
      <c r="AI57" s="208"/>
      <c r="AJ57" s="208"/>
      <c r="AK57" s="208"/>
      <c r="AL57" s="208"/>
      <c r="AM57" s="208"/>
      <c r="AN57" s="208"/>
      <c r="AO57" s="208"/>
      <c r="AP57" s="208"/>
      <c r="AQ57" s="208"/>
    </row>
    <row r="58" spans="1:43" x14ac:dyDescent="0.2">
      <c r="A58" s="92" t="s">
        <v>3535</v>
      </c>
      <c r="B58" s="72" t="s">
        <v>3516</v>
      </c>
      <c r="C58" s="31" t="s">
        <v>3531</v>
      </c>
      <c r="D58" s="31" t="str">
        <f t="shared" si="2"/>
        <v>29 Jan</v>
      </c>
      <c r="E58" s="31" t="s">
        <v>3366</v>
      </c>
      <c r="F58" s="208">
        <f t="shared" si="3"/>
        <v>1247500</v>
      </c>
      <c r="G58" s="208"/>
      <c r="H58" s="208"/>
      <c r="I58" s="208"/>
      <c r="J58" s="208"/>
      <c r="K58" s="208"/>
      <c r="L58" s="208"/>
      <c r="M58" s="208"/>
      <c r="N58" s="208"/>
      <c r="O58" s="208"/>
      <c r="P58" s="208"/>
      <c r="Q58" s="208"/>
      <c r="R58" s="208"/>
      <c r="S58" s="208"/>
      <c r="T58" s="208"/>
      <c r="U58" s="208"/>
      <c r="V58" s="208"/>
      <c r="W58" s="208"/>
      <c r="X58" s="208"/>
      <c r="Y58" s="208"/>
      <c r="Z58" s="208"/>
      <c r="AA58" s="208"/>
      <c r="AB58" s="208"/>
      <c r="AC58" s="208" t="s">
        <v>3387</v>
      </c>
      <c r="AD58" s="208" t="s">
        <v>3388</v>
      </c>
      <c r="AE58" s="208">
        <v>1247500</v>
      </c>
      <c r="AF58" s="208"/>
      <c r="AG58" s="208"/>
      <c r="AH58" s="208"/>
      <c r="AI58" s="208"/>
      <c r="AJ58" s="208"/>
      <c r="AK58" s="208"/>
      <c r="AL58" s="208"/>
      <c r="AM58" s="208"/>
      <c r="AN58" s="208"/>
      <c r="AO58" s="208"/>
      <c r="AP58" s="208"/>
      <c r="AQ58" s="208"/>
    </row>
    <row r="59" spans="1:43" x14ac:dyDescent="0.2">
      <c r="A59" s="31"/>
      <c r="B59" s="72" t="s">
        <v>3517</v>
      </c>
      <c r="C59" s="31" t="s">
        <v>3532</v>
      </c>
      <c r="D59" s="31">
        <f t="shared" si="2"/>
        <v>0</v>
      </c>
      <c r="E59" s="31" t="s">
        <v>3366</v>
      </c>
      <c r="F59" s="208">
        <f t="shared" si="3"/>
        <v>65000</v>
      </c>
      <c r="G59" s="208"/>
      <c r="H59" s="208"/>
      <c r="I59" s="208"/>
      <c r="J59" s="208"/>
      <c r="K59" s="208"/>
      <c r="L59" s="208"/>
      <c r="M59" s="208"/>
      <c r="N59" s="208"/>
      <c r="O59" s="208"/>
      <c r="P59" s="208"/>
      <c r="Q59" s="208"/>
      <c r="R59" s="208"/>
      <c r="S59" s="208"/>
      <c r="T59" s="208"/>
      <c r="U59" s="208"/>
      <c r="V59" s="208"/>
      <c r="W59" s="208"/>
      <c r="X59" s="208"/>
      <c r="Y59" s="208"/>
      <c r="Z59" s="208"/>
      <c r="AA59" s="208"/>
      <c r="AB59" s="208"/>
      <c r="AC59" s="208" t="s">
        <v>3387</v>
      </c>
      <c r="AD59" s="208" t="s">
        <v>3388</v>
      </c>
      <c r="AE59" s="208">
        <v>65000</v>
      </c>
      <c r="AF59" s="208"/>
      <c r="AG59" s="208"/>
      <c r="AH59" s="208"/>
      <c r="AI59" s="208"/>
      <c r="AJ59" s="208"/>
      <c r="AK59" s="208"/>
      <c r="AL59" s="208"/>
      <c r="AM59" s="208"/>
      <c r="AN59" s="208"/>
      <c r="AO59" s="208"/>
      <c r="AP59" s="208"/>
      <c r="AQ59" s="208"/>
    </row>
    <row r="60" spans="1:43" x14ac:dyDescent="0.2">
      <c r="A60" s="92" t="s">
        <v>3536</v>
      </c>
      <c r="B60" s="72" t="s">
        <v>3518</v>
      </c>
      <c r="C60" s="31" t="s">
        <v>3264</v>
      </c>
      <c r="D60" s="31" t="str">
        <f t="shared" si="2"/>
        <v>31 jan</v>
      </c>
      <c r="E60" s="31" t="s">
        <v>3366</v>
      </c>
      <c r="F60" s="208">
        <f t="shared" si="3"/>
        <v>675000</v>
      </c>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t="s">
        <v>3533</v>
      </c>
      <c r="AP60" s="208" t="s">
        <v>3534</v>
      </c>
      <c r="AQ60" s="208">
        <v>675000</v>
      </c>
    </row>
    <row r="61" spans="1:43" x14ac:dyDescent="0.2">
      <c r="A61" s="31"/>
      <c r="B61" s="10"/>
      <c r="C61" s="31"/>
      <c r="D61" s="31">
        <f t="shared" si="2"/>
        <v>0</v>
      </c>
      <c r="E61" s="31" t="s">
        <v>3366</v>
      </c>
      <c r="F61" s="208">
        <f t="shared" si="3"/>
        <v>0</v>
      </c>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row>
    <row r="62" spans="1:43" ht="24.75" customHeight="1" x14ac:dyDescent="0.2">
      <c r="A62" s="662" t="s">
        <v>15</v>
      </c>
      <c r="B62" s="663"/>
      <c r="C62" s="663"/>
      <c r="D62" s="663"/>
      <c r="E62" s="664"/>
      <c r="F62" s="201">
        <f>SUM(F10:F61)</f>
        <v>368229688</v>
      </c>
      <c r="G62" s="201">
        <f t="shared" ref="G62:AP62" si="4">SUM(G10:G61)</f>
        <v>0</v>
      </c>
      <c r="H62" s="201">
        <f t="shared" si="4"/>
        <v>0</v>
      </c>
      <c r="I62" s="201">
        <f t="shared" si="4"/>
        <v>0</v>
      </c>
      <c r="J62" s="201">
        <f t="shared" si="4"/>
        <v>50420000</v>
      </c>
      <c r="K62" s="201">
        <f t="shared" si="4"/>
        <v>0</v>
      </c>
      <c r="L62" s="201">
        <f t="shared" si="4"/>
        <v>0</v>
      </c>
      <c r="M62" s="201">
        <f t="shared" si="4"/>
        <v>0</v>
      </c>
      <c r="N62" s="201">
        <f t="shared" si="4"/>
        <v>0</v>
      </c>
      <c r="O62" s="201">
        <f t="shared" si="4"/>
        <v>0</v>
      </c>
      <c r="P62" s="201">
        <f t="shared" si="4"/>
        <v>0</v>
      </c>
      <c r="Q62" s="201">
        <f t="shared" si="4"/>
        <v>0</v>
      </c>
      <c r="R62" s="201">
        <f t="shared" si="4"/>
        <v>0</v>
      </c>
      <c r="S62" s="201">
        <f t="shared" si="4"/>
        <v>28375777</v>
      </c>
      <c r="T62" s="201">
        <f t="shared" si="4"/>
        <v>0</v>
      </c>
      <c r="U62" s="201">
        <f t="shared" si="4"/>
        <v>0</v>
      </c>
      <c r="V62" s="201">
        <f t="shared" si="4"/>
        <v>17821486</v>
      </c>
      <c r="W62" s="201">
        <f t="shared" si="4"/>
        <v>0</v>
      </c>
      <c r="X62" s="201">
        <f t="shared" si="4"/>
        <v>0</v>
      </c>
      <c r="Y62" s="201">
        <f t="shared" si="4"/>
        <v>21130702</v>
      </c>
      <c r="Z62" s="201">
        <f t="shared" si="4"/>
        <v>0</v>
      </c>
      <c r="AA62" s="201">
        <f t="shared" si="4"/>
        <v>0</v>
      </c>
      <c r="AB62" s="201">
        <f t="shared" si="4"/>
        <v>94534294</v>
      </c>
      <c r="AC62" s="201">
        <f t="shared" si="4"/>
        <v>0</v>
      </c>
      <c r="AD62" s="201">
        <f t="shared" si="4"/>
        <v>0</v>
      </c>
      <c r="AE62" s="201">
        <f t="shared" si="4"/>
        <v>12023435</v>
      </c>
      <c r="AF62" s="201">
        <f t="shared" si="4"/>
        <v>0</v>
      </c>
      <c r="AG62" s="201">
        <f t="shared" si="4"/>
        <v>0</v>
      </c>
      <c r="AH62" s="201">
        <f t="shared" si="4"/>
        <v>0</v>
      </c>
      <c r="AI62" s="201">
        <f t="shared" si="4"/>
        <v>0</v>
      </c>
      <c r="AJ62" s="201">
        <f t="shared" si="4"/>
        <v>0</v>
      </c>
      <c r="AK62" s="201">
        <f t="shared" si="4"/>
        <v>0</v>
      </c>
      <c r="AL62" s="201">
        <f t="shared" si="4"/>
        <v>0</v>
      </c>
      <c r="AM62" s="201">
        <f t="shared" si="4"/>
        <v>0</v>
      </c>
      <c r="AN62" s="201">
        <f t="shared" si="4"/>
        <v>2131000</v>
      </c>
      <c r="AO62" s="201">
        <f t="shared" si="4"/>
        <v>0</v>
      </c>
      <c r="AP62" s="201">
        <f t="shared" si="4"/>
        <v>0</v>
      </c>
      <c r="AQ62" s="201">
        <f>SUM(AQ10:AQ61)</f>
        <v>141792994</v>
      </c>
    </row>
  </sheetData>
  <mergeCells count="32">
    <mergeCell ref="W9:Y9"/>
    <mergeCell ref="Z8:AB8"/>
    <mergeCell ref="AC8:AE8"/>
    <mergeCell ref="W7:Y7"/>
    <mergeCell ref="AF8:AH8"/>
    <mergeCell ref="Z7:AQ7"/>
    <mergeCell ref="AO8:AQ8"/>
    <mergeCell ref="AI8:AK8"/>
    <mergeCell ref="AL8:AN8"/>
    <mergeCell ref="A3:AQ3"/>
    <mergeCell ref="A4:AQ4"/>
    <mergeCell ref="A6:B6"/>
    <mergeCell ref="C6:C9"/>
    <mergeCell ref="D6:E6"/>
    <mergeCell ref="F6:G6"/>
    <mergeCell ref="M6:AQ6"/>
    <mergeCell ref="A7:A9"/>
    <mergeCell ref="B7:B9"/>
    <mergeCell ref="D7:D9"/>
    <mergeCell ref="K7:M7"/>
    <mergeCell ref="N7:P7"/>
    <mergeCell ref="K9:M9"/>
    <mergeCell ref="N9:P9"/>
    <mergeCell ref="Q7:S7"/>
    <mergeCell ref="Q9:S9"/>
    <mergeCell ref="A62:E62"/>
    <mergeCell ref="E7:E9"/>
    <mergeCell ref="F7:G7"/>
    <mergeCell ref="T7:V7"/>
    <mergeCell ref="T9:V9"/>
    <mergeCell ref="H7:J7"/>
    <mergeCell ref="H9:J9"/>
  </mergeCells>
  <pageMargins left="0.31496062992125984" right="0.31496062992125984" top="0.74803149606299213" bottom="0.74803149606299213" header="0.31496062992125984" footer="0.31496062992125984"/>
  <pageSetup paperSize="5"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dimension ref="A1:O1432"/>
  <sheetViews>
    <sheetView view="pageLayout" topLeftCell="A1419" zoomScale="90" zoomScaleNormal="90" zoomScalePageLayoutView="90" workbookViewId="0">
      <selection activeCell="N1302" sqref="N1302"/>
    </sheetView>
  </sheetViews>
  <sheetFormatPr defaultColWidth="9.140625" defaultRowHeight="11.25" x14ac:dyDescent="0.2"/>
  <cols>
    <col min="1" max="1" width="7" style="19" customWidth="1"/>
    <col min="2" max="2" width="7.28515625" style="19" customWidth="1"/>
    <col min="3" max="3" width="38.85546875" style="1" customWidth="1"/>
    <col min="4" max="4" width="6.5703125" style="19" customWidth="1"/>
    <col min="5" max="5" width="6.85546875" style="19" customWidth="1"/>
    <col min="6" max="6" width="10" style="19" customWidth="1"/>
    <col min="7" max="7" width="29.28515625" style="1" customWidth="1"/>
    <col min="8" max="8" width="16.28515625" style="1" customWidth="1"/>
    <col min="9" max="9" width="12.7109375" style="19" customWidth="1"/>
    <col min="10" max="10" width="17" style="1" customWidth="1"/>
    <col min="11" max="11" width="16.5703125" style="1" bestFit="1" customWidth="1"/>
    <col min="12" max="12" width="12.5703125" style="1" bestFit="1" customWidth="1"/>
    <col min="13" max="13" width="12.85546875" style="1" customWidth="1"/>
    <col min="14" max="14" width="12.5703125" style="1" customWidth="1"/>
    <col min="15" max="15" width="14.7109375" style="1" customWidth="1"/>
    <col min="16" max="16384" width="9.140625" style="1"/>
  </cols>
  <sheetData>
    <row r="1" spans="1:11" ht="12.75" x14ac:dyDescent="0.2">
      <c r="A1" s="428" t="s">
        <v>0</v>
      </c>
      <c r="B1" s="305"/>
      <c r="C1" s="143"/>
      <c r="D1" s="305"/>
      <c r="E1" s="305"/>
      <c r="F1" s="305"/>
      <c r="G1" s="143"/>
      <c r="H1" s="143"/>
      <c r="I1" s="305"/>
      <c r="J1" s="143"/>
      <c r="K1" s="143"/>
    </row>
    <row r="2" spans="1:11" ht="12.75" x14ac:dyDescent="0.2">
      <c r="A2" s="428" t="s">
        <v>1</v>
      </c>
      <c r="B2" s="305"/>
      <c r="C2" s="143"/>
      <c r="D2" s="305"/>
      <c r="E2" s="305"/>
      <c r="F2" s="305"/>
      <c r="G2" s="143"/>
      <c r="H2" s="143"/>
      <c r="I2" s="305"/>
      <c r="J2" s="143"/>
      <c r="K2" s="143"/>
    </row>
    <row r="3" spans="1:11" ht="12.75" x14ac:dyDescent="0.2">
      <c r="A3" s="687" t="s">
        <v>3345</v>
      </c>
      <c r="B3" s="687"/>
      <c r="C3" s="687"/>
      <c r="D3" s="687"/>
      <c r="E3" s="687"/>
      <c r="F3" s="687"/>
      <c r="G3" s="687"/>
      <c r="H3" s="687"/>
      <c r="I3" s="687"/>
      <c r="J3" s="687"/>
      <c r="K3" s="687"/>
    </row>
    <row r="4" spans="1:11" ht="12.75" x14ac:dyDescent="0.2">
      <c r="A4" s="687" t="s">
        <v>5565</v>
      </c>
      <c r="B4" s="687"/>
      <c r="C4" s="687"/>
      <c r="D4" s="687"/>
      <c r="E4" s="687"/>
      <c r="F4" s="687"/>
      <c r="G4" s="687"/>
      <c r="H4" s="687"/>
      <c r="I4" s="687"/>
      <c r="J4" s="687"/>
      <c r="K4" s="687"/>
    </row>
    <row r="5" spans="1:11" x14ac:dyDescent="0.2">
      <c r="A5" s="18"/>
      <c r="B5" s="18"/>
      <c r="C5" s="18"/>
      <c r="D5" s="18"/>
      <c r="E5" s="18"/>
      <c r="F5" s="18"/>
      <c r="G5" s="18"/>
      <c r="H5" s="18"/>
      <c r="I5" s="18"/>
      <c r="J5" s="18"/>
      <c r="K5" s="18"/>
    </row>
    <row r="6" spans="1:11" ht="15" customHeight="1" x14ac:dyDescent="0.2">
      <c r="A6" s="678" t="s">
        <v>3346</v>
      </c>
      <c r="B6" s="679"/>
      <c r="C6" s="680" t="s">
        <v>13</v>
      </c>
      <c r="D6" s="678" t="s">
        <v>3347</v>
      </c>
      <c r="E6" s="679"/>
      <c r="F6" s="688" t="s">
        <v>90</v>
      </c>
      <c r="G6" s="689"/>
      <c r="H6" s="690"/>
      <c r="I6" s="688" t="s">
        <v>10</v>
      </c>
      <c r="J6" s="689"/>
      <c r="K6" s="690"/>
    </row>
    <row r="7" spans="1:11" ht="21.75" customHeight="1" x14ac:dyDescent="0.2">
      <c r="A7" s="680" t="s">
        <v>12</v>
      </c>
      <c r="B7" s="680" t="s">
        <v>21</v>
      </c>
      <c r="C7" s="681"/>
      <c r="D7" s="665" t="s">
        <v>12</v>
      </c>
      <c r="E7" s="665" t="s">
        <v>3348</v>
      </c>
      <c r="F7" s="665" t="s">
        <v>3285</v>
      </c>
      <c r="G7" s="665" t="s">
        <v>3282</v>
      </c>
      <c r="H7" s="665" t="s">
        <v>3539</v>
      </c>
      <c r="I7" s="665" t="s">
        <v>3285</v>
      </c>
      <c r="J7" s="665" t="s">
        <v>3282</v>
      </c>
      <c r="K7" s="665" t="s">
        <v>3539</v>
      </c>
    </row>
    <row r="8" spans="1:11" ht="9" customHeight="1" x14ac:dyDescent="0.2">
      <c r="A8" s="682"/>
      <c r="B8" s="682"/>
      <c r="C8" s="682"/>
      <c r="D8" s="667"/>
      <c r="E8" s="667"/>
      <c r="F8" s="667"/>
      <c r="G8" s="667"/>
      <c r="H8" s="667"/>
      <c r="I8" s="667"/>
      <c r="J8" s="667"/>
      <c r="K8" s="667"/>
    </row>
    <row r="9" spans="1:11" x14ac:dyDescent="0.2">
      <c r="A9" s="366" t="s">
        <v>5385</v>
      </c>
      <c r="B9" s="210" t="s">
        <v>3767</v>
      </c>
      <c r="C9" s="202" t="s">
        <v>4144</v>
      </c>
      <c r="D9" s="210" t="str">
        <f>A9</f>
        <v>05 Jan</v>
      </c>
      <c r="E9" s="6" t="s">
        <v>3366</v>
      </c>
      <c r="F9" s="235" t="s">
        <v>3921</v>
      </c>
      <c r="G9" s="236" t="s">
        <v>3402</v>
      </c>
      <c r="H9" s="236"/>
      <c r="I9" s="10" t="s">
        <v>3343</v>
      </c>
      <c r="J9" s="31" t="s">
        <v>11</v>
      </c>
      <c r="K9" s="429">
        <f>H9</f>
        <v>0</v>
      </c>
    </row>
    <row r="10" spans="1:11" x14ac:dyDescent="0.2">
      <c r="A10" s="263"/>
      <c r="B10" s="72" t="s">
        <v>3768</v>
      </c>
      <c r="C10" s="31" t="s">
        <v>5386</v>
      </c>
      <c r="D10" s="72">
        <f>A10</f>
        <v>0</v>
      </c>
      <c r="E10" s="10" t="s">
        <v>3366</v>
      </c>
      <c r="F10" s="218" t="s">
        <v>4013</v>
      </c>
      <c r="G10" s="237" t="s">
        <v>4052</v>
      </c>
      <c r="H10" s="237"/>
      <c r="I10" s="10" t="s">
        <v>3343</v>
      </c>
      <c r="J10" s="31" t="s">
        <v>11</v>
      </c>
      <c r="K10" s="429">
        <f t="shared" ref="K10:K61" si="0">H10</f>
        <v>0</v>
      </c>
    </row>
    <row r="11" spans="1:11" x14ac:dyDescent="0.2">
      <c r="A11" s="72"/>
      <c r="B11" s="72" t="s">
        <v>3769</v>
      </c>
      <c r="C11" s="31" t="s">
        <v>5387</v>
      </c>
      <c r="D11" s="72">
        <f t="shared" ref="D11:D76" si="1">A11</f>
        <v>0</v>
      </c>
      <c r="E11" s="10" t="s">
        <v>3366</v>
      </c>
      <c r="F11" s="218" t="s">
        <v>3921</v>
      </c>
      <c r="G11" s="237" t="s">
        <v>3402</v>
      </c>
      <c r="H11" s="237"/>
      <c r="I11" s="10" t="s">
        <v>3343</v>
      </c>
      <c r="J11" s="31" t="s">
        <v>11</v>
      </c>
      <c r="K11" s="429">
        <f t="shared" si="0"/>
        <v>0</v>
      </c>
    </row>
    <row r="12" spans="1:11" x14ac:dyDescent="0.2">
      <c r="A12" s="72"/>
      <c r="B12" s="72" t="s">
        <v>3770</v>
      </c>
      <c r="C12" s="31" t="s">
        <v>5388</v>
      </c>
      <c r="D12" s="72">
        <f t="shared" si="1"/>
        <v>0</v>
      </c>
      <c r="E12" s="10" t="s">
        <v>3366</v>
      </c>
      <c r="F12" s="218" t="s">
        <v>3946</v>
      </c>
      <c r="G12" s="237" t="s">
        <v>3432</v>
      </c>
      <c r="H12" s="237"/>
      <c r="I12" s="10" t="s">
        <v>3343</v>
      </c>
      <c r="J12" s="31" t="s">
        <v>11</v>
      </c>
      <c r="K12" s="429">
        <f t="shared" si="0"/>
        <v>0</v>
      </c>
    </row>
    <row r="13" spans="1:11" x14ac:dyDescent="0.2">
      <c r="A13" s="72"/>
      <c r="B13" s="72" t="s">
        <v>3771</v>
      </c>
      <c r="C13" s="31" t="s">
        <v>5389</v>
      </c>
      <c r="D13" s="72">
        <f t="shared" si="1"/>
        <v>0</v>
      </c>
      <c r="E13" s="10" t="s">
        <v>3366</v>
      </c>
      <c r="F13" s="218" t="s">
        <v>3922</v>
      </c>
      <c r="G13" s="237" t="s">
        <v>3923</v>
      </c>
      <c r="H13" s="237"/>
      <c r="I13" s="10" t="s">
        <v>3343</v>
      </c>
      <c r="J13" s="31" t="s">
        <v>11</v>
      </c>
      <c r="K13" s="429">
        <f t="shared" si="0"/>
        <v>0</v>
      </c>
    </row>
    <row r="14" spans="1:11" x14ac:dyDescent="0.2">
      <c r="A14" s="72"/>
      <c r="B14" s="72" t="s">
        <v>3772</v>
      </c>
      <c r="C14" s="31" t="s">
        <v>3869</v>
      </c>
      <c r="D14" s="72">
        <f t="shared" si="1"/>
        <v>0</v>
      </c>
      <c r="E14" s="10" t="s">
        <v>3366</v>
      </c>
      <c r="F14" s="218" t="s">
        <v>3947</v>
      </c>
      <c r="G14" s="237" t="s">
        <v>3436</v>
      </c>
      <c r="H14" s="237"/>
      <c r="I14" s="10" t="s">
        <v>3343</v>
      </c>
      <c r="J14" s="31" t="s">
        <v>11</v>
      </c>
      <c r="K14" s="429">
        <f t="shared" si="0"/>
        <v>0</v>
      </c>
    </row>
    <row r="15" spans="1:11" x14ac:dyDescent="0.2">
      <c r="A15" s="72"/>
      <c r="B15" s="72" t="s">
        <v>3773</v>
      </c>
      <c r="C15" s="31" t="s">
        <v>3855</v>
      </c>
      <c r="D15" s="72">
        <f t="shared" si="1"/>
        <v>0</v>
      </c>
      <c r="E15" s="10" t="s">
        <v>3366</v>
      </c>
      <c r="F15" s="218" t="s">
        <v>3939</v>
      </c>
      <c r="G15" s="237" t="s">
        <v>3940</v>
      </c>
      <c r="H15" s="237"/>
      <c r="I15" s="10" t="s">
        <v>3343</v>
      </c>
      <c r="J15" s="31" t="s">
        <v>11</v>
      </c>
      <c r="K15" s="429">
        <f t="shared" si="0"/>
        <v>0</v>
      </c>
    </row>
    <row r="16" spans="1:11" x14ac:dyDescent="0.2">
      <c r="A16" s="72" t="s">
        <v>5390</v>
      </c>
      <c r="B16" s="72" t="s">
        <v>3774</v>
      </c>
      <c r="C16" s="31" t="s">
        <v>5391</v>
      </c>
      <c r="D16" s="72" t="str">
        <f t="shared" si="1"/>
        <v>08 Jan</v>
      </c>
      <c r="E16" s="10" t="s">
        <v>3366</v>
      </c>
      <c r="F16" s="218" t="s">
        <v>3946</v>
      </c>
      <c r="G16" s="237" t="s">
        <v>3432</v>
      </c>
      <c r="H16" s="237"/>
      <c r="I16" s="10" t="s">
        <v>3343</v>
      </c>
      <c r="J16" s="31" t="s">
        <v>11</v>
      </c>
      <c r="K16" s="429">
        <f t="shared" si="0"/>
        <v>0</v>
      </c>
    </row>
    <row r="17" spans="1:12" x14ac:dyDescent="0.2">
      <c r="A17" s="72"/>
      <c r="B17" s="72" t="s">
        <v>3775</v>
      </c>
      <c r="C17" s="31" t="s">
        <v>5392</v>
      </c>
      <c r="D17" s="72">
        <f t="shared" si="1"/>
        <v>0</v>
      </c>
      <c r="E17" s="10" t="s">
        <v>3366</v>
      </c>
      <c r="F17" s="218" t="s">
        <v>4038</v>
      </c>
      <c r="G17" s="237" t="s">
        <v>4408</v>
      </c>
      <c r="H17" s="237"/>
      <c r="I17" s="10" t="s">
        <v>3343</v>
      </c>
      <c r="J17" s="31" t="s">
        <v>11</v>
      </c>
      <c r="K17" s="429">
        <f t="shared" si="0"/>
        <v>0</v>
      </c>
    </row>
    <row r="18" spans="1:12" x14ac:dyDescent="0.2">
      <c r="A18" s="72" t="s">
        <v>5393</v>
      </c>
      <c r="B18" s="72" t="s">
        <v>3847</v>
      </c>
      <c r="C18" s="31" t="s">
        <v>5394</v>
      </c>
      <c r="D18" s="72" t="str">
        <f t="shared" si="1"/>
        <v>12 Jan</v>
      </c>
      <c r="E18" s="10" t="s">
        <v>3366</v>
      </c>
      <c r="F18" s="218" t="s">
        <v>3939</v>
      </c>
      <c r="G18" s="237" t="s">
        <v>3940</v>
      </c>
      <c r="H18" s="237"/>
      <c r="I18" s="10" t="s">
        <v>3343</v>
      </c>
      <c r="J18" s="31" t="s">
        <v>11</v>
      </c>
      <c r="K18" s="429">
        <f t="shared" si="0"/>
        <v>0</v>
      </c>
    </row>
    <row r="19" spans="1:12" x14ac:dyDescent="0.2">
      <c r="A19" s="72" t="s">
        <v>5395</v>
      </c>
      <c r="B19" s="72" t="s">
        <v>3848</v>
      </c>
      <c r="C19" s="31" t="s">
        <v>4356</v>
      </c>
      <c r="D19" s="72" t="str">
        <f t="shared" si="1"/>
        <v>13 Jan</v>
      </c>
      <c r="E19" s="10" t="s">
        <v>3366</v>
      </c>
      <c r="F19" s="218" t="s">
        <v>3929</v>
      </c>
      <c r="G19" s="237" t="s">
        <v>5396</v>
      </c>
      <c r="H19" s="237"/>
      <c r="I19" s="10" t="s">
        <v>3343</v>
      </c>
      <c r="J19" s="31" t="s">
        <v>11</v>
      </c>
      <c r="K19" s="429">
        <f t="shared" si="0"/>
        <v>0</v>
      </c>
    </row>
    <row r="20" spans="1:12" x14ac:dyDescent="0.2">
      <c r="A20" s="72"/>
      <c r="B20" s="72" t="s">
        <v>3849</v>
      </c>
      <c r="C20" s="31" t="s">
        <v>5397</v>
      </c>
      <c r="D20" s="72">
        <f t="shared" si="1"/>
        <v>0</v>
      </c>
      <c r="E20" s="10" t="s">
        <v>3366</v>
      </c>
      <c r="F20" s="218" t="s">
        <v>3745</v>
      </c>
      <c r="G20" s="237" t="s">
        <v>5399</v>
      </c>
      <c r="H20" s="237"/>
      <c r="I20" s="10" t="s">
        <v>3343</v>
      </c>
      <c r="J20" s="31" t="s">
        <v>11</v>
      </c>
      <c r="K20" s="429">
        <f t="shared" si="0"/>
        <v>0</v>
      </c>
    </row>
    <row r="21" spans="1:12" x14ac:dyDescent="0.2">
      <c r="A21" s="72"/>
      <c r="B21" s="72" t="s">
        <v>3850</v>
      </c>
      <c r="C21" s="31" t="s">
        <v>5398</v>
      </c>
      <c r="D21" s="72">
        <f t="shared" si="1"/>
        <v>0</v>
      </c>
      <c r="E21" s="10" t="s">
        <v>3366</v>
      </c>
      <c r="F21" s="218" t="s">
        <v>3745</v>
      </c>
      <c r="G21" s="237" t="s">
        <v>5399</v>
      </c>
      <c r="H21" s="237"/>
      <c r="I21" s="10" t="s">
        <v>3343</v>
      </c>
      <c r="J21" s="31" t="s">
        <v>11</v>
      </c>
      <c r="K21" s="429">
        <f t="shared" si="0"/>
        <v>0</v>
      </c>
    </row>
    <row r="22" spans="1:12" x14ac:dyDescent="0.2">
      <c r="A22" s="263" t="s">
        <v>5400</v>
      </c>
      <c r="B22" s="72" t="s">
        <v>3776</v>
      </c>
      <c r="C22" s="31" t="s">
        <v>5401</v>
      </c>
      <c r="D22" s="72" t="str">
        <f t="shared" si="1"/>
        <v>14 Jan</v>
      </c>
      <c r="E22" s="10" t="s">
        <v>3366</v>
      </c>
      <c r="F22" s="218" t="s">
        <v>3924</v>
      </c>
      <c r="G22" s="237" t="s">
        <v>3410</v>
      </c>
      <c r="H22" s="237"/>
      <c r="I22" s="10" t="s">
        <v>3343</v>
      </c>
      <c r="J22" s="31" t="s">
        <v>11</v>
      </c>
      <c r="K22" s="429">
        <f t="shared" si="0"/>
        <v>0</v>
      </c>
    </row>
    <row r="23" spans="1:12" x14ac:dyDescent="0.2">
      <c r="A23" s="72"/>
      <c r="B23" s="72" t="s">
        <v>3852</v>
      </c>
      <c r="C23" s="31" t="s">
        <v>5402</v>
      </c>
      <c r="D23" s="72">
        <f t="shared" si="1"/>
        <v>0</v>
      </c>
      <c r="E23" s="10" t="s">
        <v>3366</v>
      </c>
      <c r="F23" s="218" t="s">
        <v>3924</v>
      </c>
      <c r="G23" s="237" t="s">
        <v>3410</v>
      </c>
      <c r="H23" s="237"/>
      <c r="I23" s="10" t="s">
        <v>3343</v>
      </c>
      <c r="J23" s="31" t="s">
        <v>11</v>
      </c>
      <c r="K23" s="429">
        <f t="shared" si="0"/>
        <v>0</v>
      </c>
    </row>
    <row r="24" spans="1:12" x14ac:dyDescent="0.2">
      <c r="A24" s="10"/>
      <c r="B24" s="72" t="s">
        <v>3854</v>
      </c>
      <c r="C24" s="31" t="s">
        <v>5403</v>
      </c>
      <c r="D24" s="72">
        <f t="shared" si="1"/>
        <v>0</v>
      </c>
      <c r="E24" s="10" t="s">
        <v>3366</v>
      </c>
      <c r="F24" s="218" t="s">
        <v>3924</v>
      </c>
      <c r="G24" s="237" t="s">
        <v>5404</v>
      </c>
      <c r="H24" s="237"/>
      <c r="I24" s="10" t="s">
        <v>3343</v>
      </c>
      <c r="J24" s="31" t="s">
        <v>11</v>
      </c>
      <c r="K24" s="429">
        <f t="shared" si="0"/>
        <v>0</v>
      </c>
    </row>
    <row r="25" spans="1:12" x14ac:dyDescent="0.2">
      <c r="A25" s="72"/>
      <c r="B25" s="72" t="s">
        <v>3856</v>
      </c>
      <c r="C25" s="31" t="s">
        <v>3844</v>
      </c>
      <c r="D25" s="72">
        <f t="shared" si="1"/>
        <v>0</v>
      </c>
      <c r="E25" s="10" t="s">
        <v>3366</v>
      </c>
      <c r="F25" s="218" t="s">
        <v>3925</v>
      </c>
      <c r="G25" s="237" t="s">
        <v>3926</v>
      </c>
      <c r="H25" s="237"/>
      <c r="I25" s="10" t="s">
        <v>3343</v>
      </c>
      <c r="J25" s="31" t="s">
        <v>11</v>
      </c>
      <c r="K25" s="429">
        <f t="shared" si="0"/>
        <v>0</v>
      </c>
    </row>
    <row r="26" spans="1:12" x14ac:dyDescent="0.2">
      <c r="A26" s="10"/>
      <c r="B26" s="72"/>
      <c r="C26" s="31"/>
      <c r="D26" s="72">
        <f t="shared" si="1"/>
        <v>0</v>
      </c>
      <c r="E26" s="10" t="s">
        <v>3366</v>
      </c>
      <c r="F26" s="218" t="s">
        <v>3520</v>
      </c>
      <c r="G26" s="237" t="s">
        <v>5405</v>
      </c>
      <c r="H26" s="237"/>
      <c r="I26" s="10" t="s">
        <v>3343</v>
      </c>
      <c r="J26" s="31" t="s">
        <v>11</v>
      </c>
      <c r="K26" s="429">
        <f t="shared" si="0"/>
        <v>0</v>
      </c>
    </row>
    <row r="27" spans="1:12" x14ac:dyDescent="0.2">
      <c r="A27" s="10"/>
      <c r="B27" s="72"/>
      <c r="C27" s="31"/>
      <c r="D27" s="72">
        <f t="shared" si="1"/>
        <v>0</v>
      </c>
      <c r="E27" s="10" t="s">
        <v>3366</v>
      </c>
      <c r="F27" s="218" t="s">
        <v>3543</v>
      </c>
      <c r="G27" s="237" t="s">
        <v>3927</v>
      </c>
      <c r="H27" s="237"/>
      <c r="I27" s="10" t="s">
        <v>3343</v>
      </c>
      <c r="J27" s="31" t="s">
        <v>11</v>
      </c>
      <c r="K27" s="429">
        <f t="shared" si="0"/>
        <v>0</v>
      </c>
      <c r="L27" s="254"/>
    </row>
    <row r="28" spans="1:12" x14ac:dyDescent="0.2">
      <c r="A28" s="72"/>
      <c r="B28" s="72" t="s">
        <v>3857</v>
      </c>
      <c r="C28" s="31" t="s">
        <v>5406</v>
      </c>
      <c r="D28" s="72">
        <f t="shared" si="1"/>
        <v>0</v>
      </c>
      <c r="E28" s="10" t="s">
        <v>3366</v>
      </c>
      <c r="F28" s="218" t="s">
        <v>3960</v>
      </c>
      <c r="G28" s="237" t="s">
        <v>3456</v>
      </c>
      <c r="H28" s="237"/>
      <c r="I28" s="10" t="s">
        <v>3343</v>
      </c>
      <c r="J28" s="31" t="s">
        <v>11</v>
      </c>
      <c r="K28" s="429">
        <f t="shared" si="0"/>
        <v>0</v>
      </c>
    </row>
    <row r="29" spans="1:12" x14ac:dyDescent="0.2">
      <c r="A29" s="72"/>
      <c r="B29" s="72" t="s">
        <v>3858</v>
      </c>
      <c r="C29" s="31" t="s">
        <v>3878</v>
      </c>
      <c r="D29" s="72">
        <f t="shared" si="1"/>
        <v>0</v>
      </c>
      <c r="E29" s="10" t="s">
        <v>3366</v>
      </c>
      <c r="F29" s="218" t="s">
        <v>3946</v>
      </c>
      <c r="G29" s="237" t="s">
        <v>3432</v>
      </c>
      <c r="H29" s="237"/>
      <c r="I29" s="10" t="s">
        <v>3343</v>
      </c>
      <c r="J29" s="31" t="s">
        <v>11</v>
      </c>
      <c r="K29" s="429">
        <f t="shared" si="0"/>
        <v>0</v>
      </c>
    </row>
    <row r="30" spans="1:12" x14ac:dyDescent="0.2">
      <c r="A30" s="263" t="s">
        <v>5407</v>
      </c>
      <c r="B30" s="72" t="s">
        <v>3859</v>
      </c>
      <c r="C30" s="31" t="s">
        <v>5408</v>
      </c>
      <c r="D30" s="72" t="str">
        <f t="shared" si="1"/>
        <v>15 Jan</v>
      </c>
      <c r="E30" s="10" t="s">
        <v>3366</v>
      </c>
      <c r="F30" s="218" t="s">
        <v>3921</v>
      </c>
      <c r="G30" s="237" t="s">
        <v>3402</v>
      </c>
      <c r="H30" s="237"/>
      <c r="I30" s="10" t="s">
        <v>3343</v>
      </c>
      <c r="J30" s="31" t="s">
        <v>11</v>
      </c>
      <c r="K30" s="429">
        <f t="shared" si="0"/>
        <v>0</v>
      </c>
    </row>
    <row r="31" spans="1:12" x14ac:dyDescent="0.2">
      <c r="A31" s="72"/>
      <c r="B31" s="72" t="s">
        <v>3860</v>
      </c>
      <c r="C31" s="92" t="s">
        <v>5409</v>
      </c>
      <c r="D31" s="61"/>
      <c r="E31" s="64" t="s">
        <v>3366</v>
      </c>
      <c r="F31" s="216" t="s">
        <v>3952</v>
      </c>
      <c r="G31" s="301" t="s">
        <v>3440</v>
      </c>
      <c r="H31" s="237"/>
      <c r="I31" s="64" t="s">
        <v>3343</v>
      </c>
      <c r="J31" s="68" t="s">
        <v>11</v>
      </c>
      <c r="K31" s="430">
        <f t="shared" ref="K31" si="2">H31</f>
        <v>0</v>
      </c>
      <c r="L31" s="254"/>
    </row>
    <row r="32" spans="1:12" x14ac:dyDescent="0.2">
      <c r="A32" s="31"/>
      <c r="B32" s="72" t="s">
        <v>3861</v>
      </c>
      <c r="C32" s="31" t="s">
        <v>5410</v>
      </c>
      <c r="D32" s="72">
        <f t="shared" si="1"/>
        <v>0</v>
      </c>
      <c r="E32" s="10" t="s">
        <v>3366</v>
      </c>
      <c r="F32" s="218" t="s">
        <v>3935</v>
      </c>
      <c r="G32" s="237" t="s">
        <v>3406</v>
      </c>
      <c r="H32" s="237"/>
      <c r="I32" s="10" t="s">
        <v>3343</v>
      </c>
      <c r="J32" s="31" t="s">
        <v>11</v>
      </c>
      <c r="K32" s="429">
        <f t="shared" si="0"/>
        <v>0</v>
      </c>
    </row>
    <row r="33" spans="1:12" x14ac:dyDescent="0.2">
      <c r="A33" s="10"/>
      <c r="B33" s="72" t="s">
        <v>3862</v>
      </c>
      <c r="C33" s="31" t="s">
        <v>3846</v>
      </c>
      <c r="D33" s="72">
        <f t="shared" si="1"/>
        <v>0</v>
      </c>
      <c r="E33" s="10" t="s">
        <v>3366</v>
      </c>
      <c r="F33" s="216" t="s">
        <v>3922</v>
      </c>
      <c r="G33" s="301" t="s">
        <v>3923</v>
      </c>
      <c r="H33" s="237"/>
      <c r="I33" s="10" t="s">
        <v>3343</v>
      </c>
      <c r="J33" s="31" t="s">
        <v>11</v>
      </c>
      <c r="K33" s="429">
        <f t="shared" si="0"/>
        <v>0</v>
      </c>
    </row>
    <row r="34" spans="1:12" x14ac:dyDescent="0.2">
      <c r="A34" s="72" t="s">
        <v>5411</v>
      </c>
      <c r="B34" s="72" t="s">
        <v>3863</v>
      </c>
      <c r="C34" s="31" t="s">
        <v>5412</v>
      </c>
      <c r="D34" s="72" t="str">
        <f t="shared" si="1"/>
        <v>19 Jan</v>
      </c>
      <c r="E34" s="10" t="s">
        <v>3366</v>
      </c>
      <c r="F34" s="218" t="s">
        <v>3944</v>
      </c>
      <c r="G34" s="237" t="s">
        <v>5413</v>
      </c>
      <c r="H34" s="237"/>
      <c r="I34" s="10" t="s">
        <v>3343</v>
      </c>
      <c r="J34" s="31" t="s">
        <v>11</v>
      </c>
      <c r="K34" s="429">
        <f t="shared" si="0"/>
        <v>0</v>
      </c>
    </row>
    <row r="35" spans="1:12" x14ac:dyDescent="0.2">
      <c r="A35" s="72"/>
      <c r="B35" s="72" t="s">
        <v>3864</v>
      </c>
      <c r="C35" s="31" t="s">
        <v>5414</v>
      </c>
      <c r="D35" s="72">
        <f t="shared" si="1"/>
        <v>0</v>
      </c>
      <c r="E35" s="10" t="s">
        <v>3366</v>
      </c>
      <c r="F35" s="218" t="s">
        <v>3934</v>
      </c>
      <c r="G35" s="237" t="s">
        <v>3951</v>
      </c>
      <c r="H35" s="237"/>
      <c r="I35" s="10" t="s">
        <v>3343</v>
      </c>
      <c r="J35" s="31" t="s">
        <v>11</v>
      </c>
      <c r="K35" s="429">
        <f t="shared" si="0"/>
        <v>0</v>
      </c>
    </row>
    <row r="36" spans="1:12" x14ac:dyDescent="0.2">
      <c r="A36" s="72"/>
      <c r="B36" s="72" t="s">
        <v>3865</v>
      </c>
      <c r="C36" s="31" t="s">
        <v>5415</v>
      </c>
      <c r="D36" s="72">
        <f t="shared" si="1"/>
        <v>0</v>
      </c>
      <c r="E36" s="10" t="s">
        <v>3366</v>
      </c>
      <c r="F36" s="218" t="s">
        <v>3921</v>
      </c>
      <c r="G36" s="237" t="s">
        <v>3402</v>
      </c>
      <c r="H36" s="237"/>
      <c r="I36" s="10" t="s">
        <v>3343</v>
      </c>
      <c r="J36" s="31" t="s">
        <v>11</v>
      </c>
      <c r="K36" s="429">
        <f t="shared" si="0"/>
        <v>0</v>
      </c>
      <c r="L36" s="254"/>
    </row>
    <row r="37" spans="1:12" x14ac:dyDescent="0.2">
      <c r="A37" s="72"/>
      <c r="B37" s="72" t="s">
        <v>3867</v>
      </c>
      <c r="C37" s="31" t="s">
        <v>5416</v>
      </c>
      <c r="D37" s="72">
        <f t="shared" si="1"/>
        <v>0</v>
      </c>
      <c r="E37" s="10" t="s">
        <v>3366</v>
      </c>
      <c r="F37" s="218" t="s">
        <v>3935</v>
      </c>
      <c r="G37" s="237" t="s">
        <v>3406</v>
      </c>
      <c r="H37" s="237"/>
      <c r="I37" s="10" t="s">
        <v>3343</v>
      </c>
      <c r="J37" s="31" t="s">
        <v>11</v>
      </c>
      <c r="K37" s="429">
        <f t="shared" si="0"/>
        <v>0</v>
      </c>
    </row>
    <row r="38" spans="1:12" x14ac:dyDescent="0.2">
      <c r="A38" s="72"/>
      <c r="B38" s="72" t="s">
        <v>3868</v>
      </c>
      <c r="C38" s="31" t="s">
        <v>4144</v>
      </c>
      <c r="D38" s="72">
        <f t="shared" ref="D38:D39" si="3">A38</f>
        <v>0</v>
      </c>
      <c r="E38" s="10" t="s">
        <v>3366</v>
      </c>
      <c r="F38" s="218" t="s">
        <v>3921</v>
      </c>
      <c r="G38" s="237" t="s">
        <v>3402</v>
      </c>
      <c r="H38" s="237"/>
      <c r="I38" s="10" t="s">
        <v>3343</v>
      </c>
      <c r="J38" s="31" t="s">
        <v>11</v>
      </c>
      <c r="K38" s="429">
        <f t="shared" ref="K38:K39" si="4">H38</f>
        <v>0</v>
      </c>
    </row>
    <row r="39" spans="1:12" x14ac:dyDescent="0.2">
      <c r="A39" s="10"/>
      <c r="B39" s="72" t="s">
        <v>3870</v>
      </c>
      <c r="C39" s="31" t="s">
        <v>3878</v>
      </c>
      <c r="D39" s="72">
        <f t="shared" si="3"/>
        <v>0</v>
      </c>
      <c r="E39" s="10" t="s">
        <v>3366</v>
      </c>
      <c r="F39" s="218" t="s">
        <v>3946</v>
      </c>
      <c r="G39" s="237" t="s">
        <v>3432</v>
      </c>
      <c r="H39" s="237"/>
      <c r="I39" s="10" t="s">
        <v>3343</v>
      </c>
      <c r="J39" s="31" t="s">
        <v>11</v>
      </c>
      <c r="K39" s="429">
        <f t="shared" si="4"/>
        <v>0</v>
      </c>
      <c r="L39" s="254"/>
    </row>
    <row r="40" spans="1:12" x14ac:dyDescent="0.2">
      <c r="A40" s="61" t="s">
        <v>3379</v>
      </c>
      <c r="B40" s="72" t="s">
        <v>3871</v>
      </c>
      <c r="C40" s="431" t="s">
        <v>5417</v>
      </c>
      <c r="D40" s="61" t="str">
        <f t="shared" si="1"/>
        <v>20 Jan</v>
      </c>
      <c r="E40" s="64" t="s">
        <v>3366</v>
      </c>
      <c r="F40" s="216" t="s">
        <v>4013</v>
      </c>
      <c r="G40" s="301" t="s">
        <v>3526</v>
      </c>
      <c r="H40" s="237"/>
      <c r="I40" s="64" t="s">
        <v>3343</v>
      </c>
      <c r="J40" s="68" t="s">
        <v>11</v>
      </c>
      <c r="K40" s="430">
        <f t="shared" si="0"/>
        <v>0</v>
      </c>
    </row>
    <row r="41" spans="1:12" x14ac:dyDescent="0.2">
      <c r="A41" s="72"/>
      <c r="B41" s="72" t="s">
        <v>3872</v>
      </c>
      <c r="C41" s="31" t="s">
        <v>5418</v>
      </c>
      <c r="D41" s="72">
        <f t="shared" si="1"/>
        <v>0</v>
      </c>
      <c r="E41" s="10" t="s">
        <v>3366</v>
      </c>
      <c r="F41" s="216" t="s">
        <v>3934</v>
      </c>
      <c r="G41" s="301" t="s">
        <v>4032</v>
      </c>
      <c r="H41" s="237"/>
      <c r="I41" s="10" t="s">
        <v>3343</v>
      </c>
      <c r="J41" s="31" t="s">
        <v>11</v>
      </c>
      <c r="K41" s="429">
        <f t="shared" si="0"/>
        <v>0</v>
      </c>
    </row>
    <row r="42" spans="1:12" x14ac:dyDescent="0.2">
      <c r="A42" s="10"/>
      <c r="B42" s="72" t="s">
        <v>3873</v>
      </c>
      <c r="C42" s="31" t="s">
        <v>5419</v>
      </c>
      <c r="D42" s="72">
        <f t="shared" si="1"/>
        <v>0</v>
      </c>
      <c r="E42" s="10" t="s">
        <v>3366</v>
      </c>
      <c r="F42" s="216" t="s">
        <v>3934</v>
      </c>
      <c r="G42" s="237" t="s">
        <v>3951</v>
      </c>
      <c r="H42" s="237"/>
      <c r="I42" s="10" t="s">
        <v>3343</v>
      </c>
      <c r="J42" s="31" t="s">
        <v>11</v>
      </c>
      <c r="K42" s="429">
        <f t="shared" si="0"/>
        <v>0</v>
      </c>
      <c r="L42" s="254"/>
    </row>
    <row r="43" spans="1:12" x14ac:dyDescent="0.2">
      <c r="A43" s="263" t="s">
        <v>3840</v>
      </c>
      <c r="B43" s="72" t="s">
        <v>3874</v>
      </c>
      <c r="C43" s="31" t="s">
        <v>5420</v>
      </c>
      <c r="D43" s="72" t="str">
        <f t="shared" si="1"/>
        <v>21 Jan</v>
      </c>
      <c r="E43" s="10" t="s">
        <v>3366</v>
      </c>
      <c r="F43" s="218" t="s">
        <v>3939</v>
      </c>
      <c r="G43" s="237" t="s">
        <v>3940</v>
      </c>
      <c r="H43" s="237"/>
      <c r="I43" s="10" t="s">
        <v>3343</v>
      </c>
      <c r="J43" s="31" t="s">
        <v>11</v>
      </c>
      <c r="K43" s="429">
        <f t="shared" si="0"/>
        <v>0</v>
      </c>
      <c r="L43" s="254"/>
    </row>
    <row r="44" spans="1:12" x14ac:dyDescent="0.2">
      <c r="A44" s="72"/>
      <c r="B44" s="72" t="s">
        <v>3875</v>
      </c>
      <c r="C44" s="31" t="s">
        <v>5421</v>
      </c>
      <c r="D44" s="72">
        <f t="shared" si="1"/>
        <v>0</v>
      </c>
      <c r="E44" s="10" t="s">
        <v>3366</v>
      </c>
      <c r="F44" s="218" t="s">
        <v>4029</v>
      </c>
      <c r="G44" s="237" t="s">
        <v>4030</v>
      </c>
      <c r="H44" s="237"/>
      <c r="I44" s="10" t="s">
        <v>3343</v>
      </c>
      <c r="J44" s="31" t="s">
        <v>11</v>
      </c>
      <c r="K44" s="429">
        <f t="shared" si="0"/>
        <v>0</v>
      </c>
    </row>
    <row r="45" spans="1:12" x14ac:dyDescent="0.2">
      <c r="A45" s="72" t="s">
        <v>3398</v>
      </c>
      <c r="B45" s="72" t="s">
        <v>3877</v>
      </c>
      <c r="C45" s="31" t="s">
        <v>3878</v>
      </c>
      <c r="D45" s="72" t="str">
        <f t="shared" si="1"/>
        <v>22 Jan</v>
      </c>
      <c r="E45" s="10" t="s">
        <v>3366</v>
      </c>
      <c r="F45" s="218" t="s">
        <v>3946</v>
      </c>
      <c r="G45" s="237" t="s">
        <v>3432</v>
      </c>
      <c r="H45" s="237"/>
      <c r="I45" s="10" t="s">
        <v>3343</v>
      </c>
      <c r="J45" s="31" t="s">
        <v>11</v>
      </c>
      <c r="K45" s="429">
        <f t="shared" si="0"/>
        <v>0</v>
      </c>
    </row>
    <row r="46" spans="1:12" x14ac:dyDescent="0.2">
      <c r="A46" s="72" t="s">
        <v>3427</v>
      </c>
      <c r="B46" s="72" t="s">
        <v>3879</v>
      </c>
      <c r="C46" s="31" t="s">
        <v>5422</v>
      </c>
      <c r="D46" s="72" t="str">
        <f t="shared" si="1"/>
        <v>23 Jan</v>
      </c>
      <c r="E46" s="10" t="s">
        <v>3366</v>
      </c>
      <c r="F46" s="218" t="s">
        <v>3935</v>
      </c>
      <c r="G46" s="237" t="s">
        <v>3406</v>
      </c>
      <c r="H46" s="237"/>
      <c r="I46" s="10" t="s">
        <v>3343</v>
      </c>
      <c r="J46" s="31" t="s">
        <v>11</v>
      </c>
      <c r="K46" s="429">
        <f t="shared" si="0"/>
        <v>0</v>
      </c>
    </row>
    <row r="47" spans="1:12" x14ac:dyDescent="0.2">
      <c r="A47" s="10"/>
      <c r="B47" s="72" t="s">
        <v>3880</v>
      </c>
      <c r="C47" s="31" t="s">
        <v>5423</v>
      </c>
      <c r="D47" s="72">
        <f t="shared" si="1"/>
        <v>0</v>
      </c>
      <c r="E47" s="10" t="s">
        <v>3366</v>
      </c>
      <c r="F47" s="218" t="s">
        <v>3935</v>
      </c>
      <c r="G47" s="237" t="s">
        <v>3406</v>
      </c>
      <c r="H47" s="237"/>
      <c r="I47" s="10" t="s">
        <v>3343</v>
      </c>
      <c r="J47" s="31" t="s">
        <v>11</v>
      </c>
      <c r="K47" s="429">
        <f t="shared" si="0"/>
        <v>0</v>
      </c>
    </row>
    <row r="48" spans="1:12" x14ac:dyDescent="0.2">
      <c r="A48" s="72" t="s">
        <v>3530</v>
      </c>
      <c r="B48" s="72" t="s">
        <v>3882</v>
      </c>
      <c r="C48" s="31" t="s">
        <v>3900</v>
      </c>
      <c r="D48" s="72" t="str">
        <f t="shared" si="1"/>
        <v>28 Jan</v>
      </c>
      <c r="E48" s="10" t="s">
        <v>3366</v>
      </c>
      <c r="F48" s="218" t="s">
        <v>3971</v>
      </c>
      <c r="G48" s="237" t="s">
        <v>3972</v>
      </c>
      <c r="H48" s="237"/>
      <c r="I48" s="10" t="s">
        <v>3343</v>
      </c>
      <c r="J48" s="31" t="s">
        <v>11</v>
      </c>
      <c r="K48" s="429">
        <f t="shared" si="0"/>
        <v>0</v>
      </c>
    </row>
    <row r="49" spans="1:12" x14ac:dyDescent="0.2">
      <c r="A49" s="72"/>
      <c r="B49" s="72" t="s">
        <v>3883</v>
      </c>
      <c r="C49" s="31" t="s">
        <v>5424</v>
      </c>
      <c r="D49" s="72">
        <f t="shared" si="1"/>
        <v>0</v>
      </c>
      <c r="E49" s="10" t="s">
        <v>3366</v>
      </c>
      <c r="F49" s="218" t="s">
        <v>3483</v>
      </c>
      <c r="G49" s="237" t="s">
        <v>5425</v>
      </c>
      <c r="H49" s="237"/>
      <c r="I49" s="10" t="s">
        <v>3343</v>
      </c>
      <c r="J49" s="31" t="s">
        <v>11</v>
      </c>
      <c r="K49" s="429">
        <f t="shared" si="0"/>
        <v>0</v>
      </c>
    </row>
    <row r="50" spans="1:12" x14ac:dyDescent="0.2">
      <c r="A50" s="72"/>
      <c r="B50" s="72" t="s">
        <v>3884</v>
      </c>
      <c r="C50" s="31" t="s">
        <v>4065</v>
      </c>
      <c r="D50" s="72">
        <f t="shared" si="1"/>
        <v>0</v>
      </c>
      <c r="E50" s="10" t="s">
        <v>3366</v>
      </c>
      <c r="F50" s="218" t="s">
        <v>3486</v>
      </c>
      <c r="G50" s="237" t="s">
        <v>3973</v>
      </c>
      <c r="H50" s="237"/>
      <c r="I50" s="10" t="s">
        <v>3343</v>
      </c>
      <c r="J50" s="31" t="s">
        <v>11</v>
      </c>
      <c r="K50" s="429">
        <f t="shared" si="0"/>
        <v>0</v>
      </c>
    </row>
    <row r="51" spans="1:12" x14ac:dyDescent="0.2">
      <c r="A51" s="72"/>
      <c r="B51" s="72" t="s">
        <v>3885</v>
      </c>
      <c r="C51" s="31" t="s">
        <v>5426</v>
      </c>
      <c r="D51" s="72">
        <f t="shared" si="1"/>
        <v>0</v>
      </c>
      <c r="E51" s="10" t="s">
        <v>3366</v>
      </c>
      <c r="F51" s="218" t="s">
        <v>3486</v>
      </c>
      <c r="G51" s="237" t="s">
        <v>3973</v>
      </c>
      <c r="H51" s="237"/>
      <c r="I51" s="10" t="s">
        <v>3343</v>
      </c>
      <c r="J51" s="31" t="s">
        <v>11</v>
      </c>
      <c r="K51" s="429">
        <f t="shared" si="0"/>
        <v>0</v>
      </c>
    </row>
    <row r="52" spans="1:12" x14ac:dyDescent="0.2">
      <c r="A52" s="10"/>
      <c r="B52" s="72" t="s">
        <v>3886</v>
      </c>
      <c r="C52" s="31" t="s">
        <v>5427</v>
      </c>
      <c r="D52" s="72">
        <f t="shared" si="1"/>
        <v>0</v>
      </c>
      <c r="E52" s="10" t="s">
        <v>3366</v>
      </c>
      <c r="F52" s="218" t="s">
        <v>3486</v>
      </c>
      <c r="G52" s="237" t="s">
        <v>3973</v>
      </c>
      <c r="H52" s="237"/>
      <c r="I52" s="10" t="s">
        <v>3343</v>
      </c>
      <c r="J52" s="31" t="s">
        <v>11</v>
      </c>
      <c r="K52" s="429">
        <f t="shared" si="0"/>
        <v>0</v>
      </c>
    </row>
    <row r="53" spans="1:12" x14ac:dyDescent="0.2">
      <c r="A53" s="10"/>
      <c r="B53" s="72" t="s">
        <v>3888</v>
      </c>
      <c r="C53" s="31" t="s">
        <v>5428</v>
      </c>
      <c r="D53" s="72">
        <f t="shared" si="1"/>
        <v>0</v>
      </c>
      <c r="E53" s="10" t="s">
        <v>3366</v>
      </c>
      <c r="F53" s="218" t="s">
        <v>3925</v>
      </c>
      <c r="G53" s="237" t="s">
        <v>5429</v>
      </c>
      <c r="H53" s="237"/>
      <c r="I53" s="10" t="s">
        <v>3343</v>
      </c>
      <c r="J53" s="31" t="s">
        <v>11</v>
      </c>
      <c r="K53" s="429">
        <f t="shared" si="0"/>
        <v>0</v>
      </c>
    </row>
    <row r="54" spans="1:12" x14ac:dyDescent="0.2">
      <c r="A54" s="72"/>
      <c r="B54" s="72"/>
      <c r="C54" s="31"/>
      <c r="D54" s="72">
        <f t="shared" si="1"/>
        <v>0</v>
      </c>
      <c r="E54" s="10" t="s">
        <v>3366</v>
      </c>
      <c r="F54" s="218" t="s">
        <v>3520</v>
      </c>
      <c r="G54" s="237" t="s">
        <v>5430</v>
      </c>
      <c r="H54" s="237"/>
      <c r="I54" s="10" t="s">
        <v>3343</v>
      </c>
      <c r="J54" s="31" t="s">
        <v>11</v>
      </c>
      <c r="K54" s="429">
        <f t="shared" si="0"/>
        <v>0</v>
      </c>
    </row>
    <row r="55" spans="1:12" x14ac:dyDescent="0.2">
      <c r="A55" s="72"/>
      <c r="B55" s="72"/>
      <c r="C55" s="31"/>
      <c r="D55" s="72">
        <f t="shared" si="1"/>
        <v>0</v>
      </c>
      <c r="E55" s="10" t="s">
        <v>3366</v>
      </c>
      <c r="F55" s="218" t="s">
        <v>3543</v>
      </c>
      <c r="G55" s="237" t="s">
        <v>5431</v>
      </c>
      <c r="H55" s="237"/>
      <c r="I55" s="10" t="s">
        <v>3343</v>
      </c>
      <c r="J55" s="31" t="s">
        <v>11</v>
      </c>
      <c r="K55" s="429">
        <f t="shared" si="0"/>
        <v>0</v>
      </c>
      <c r="L55" s="254"/>
    </row>
    <row r="56" spans="1:12" x14ac:dyDescent="0.2">
      <c r="A56" s="72"/>
      <c r="B56" s="72">
        <v>44</v>
      </c>
      <c r="C56" s="31" t="s">
        <v>5432</v>
      </c>
      <c r="D56" s="72">
        <f t="shared" si="1"/>
        <v>0</v>
      </c>
      <c r="E56" s="10" t="s">
        <v>3366</v>
      </c>
      <c r="F56" s="218" t="s">
        <v>3965</v>
      </c>
      <c r="G56" s="237" t="s">
        <v>3478</v>
      </c>
      <c r="H56" s="237"/>
      <c r="I56" s="10" t="s">
        <v>3343</v>
      </c>
      <c r="J56" s="31" t="s">
        <v>11</v>
      </c>
      <c r="K56" s="429">
        <f t="shared" si="0"/>
        <v>0</v>
      </c>
    </row>
    <row r="57" spans="1:12" x14ac:dyDescent="0.2">
      <c r="A57" s="10"/>
      <c r="B57" s="72" t="s">
        <v>3890</v>
      </c>
      <c r="C57" s="31" t="s">
        <v>5433</v>
      </c>
      <c r="D57" s="72">
        <f t="shared" si="1"/>
        <v>0</v>
      </c>
      <c r="E57" s="10" t="s">
        <v>3366</v>
      </c>
      <c r="F57" s="218" t="s">
        <v>3969</v>
      </c>
      <c r="G57" s="237" t="s">
        <v>3970</v>
      </c>
      <c r="H57" s="237"/>
      <c r="I57" s="10" t="s">
        <v>3343</v>
      </c>
      <c r="J57" s="31" t="s">
        <v>11</v>
      </c>
      <c r="K57" s="429">
        <f t="shared" si="0"/>
        <v>0</v>
      </c>
    </row>
    <row r="58" spans="1:12" x14ac:dyDescent="0.2">
      <c r="A58" s="10"/>
      <c r="B58" s="72" t="s">
        <v>3891</v>
      </c>
      <c r="C58" s="31" t="s">
        <v>3908</v>
      </c>
      <c r="D58" s="72">
        <f t="shared" si="1"/>
        <v>0</v>
      </c>
      <c r="E58" s="10" t="s">
        <v>3366</v>
      </c>
      <c r="F58" s="218" t="s">
        <v>3956</v>
      </c>
      <c r="G58" s="237" t="s">
        <v>3957</v>
      </c>
      <c r="H58" s="237"/>
      <c r="I58" s="10" t="s">
        <v>3343</v>
      </c>
      <c r="J58" s="31" t="s">
        <v>11</v>
      </c>
      <c r="K58" s="429">
        <f t="shared" si="0"/>
        <v>0</v>
      </c>
    </row>
    <row r="59" spans="1:12" x14ac:dyDescent="0.2">
      <c r="A59" s="72"/>
      <c r="B59" s="72" t="s">
        <v>3893</v>
      </c>
      <c r="C59" s="31" t="s">
        <v>3910</v>
      </c>
      <c r="D59" s="72">
        <f t="shared" si="1"/>
        <v>0</v>
      </c>
      <c r="E59" s="10" t="s">
        <v>3366</v>
      </c>
      <c r="F59" s="218" t="s">
        <v>3974</v>
      </c>
      <c r="G59" s="237" t="s">
        <v>3975</v>
      </c>
      <c r="H59" s="237"/>
      <c r="I59" s="10" t="s">
        <v>3343</v>
      </c>
      <c r="J59" s="31" t="s">
        <v>11</v>
      </c>
      <c r="K59" s="429">
        <f t="shared" si="0"/>
        <v>0</v>
      </c>
    </row>
    <row r="60" spans="1:12" x14ac:dyDescent="0.2">
      <c r="A60" s="72"/>
      <c r="B60" s="72" t="s">
        <v>3894</v>
      </c>
      <c r="C60" s="31" t="s">
        <v>5434</v>
      </c>
      <c r="D60" s="72">
        <f t="shared" si="1"/>
        <v>0</v>
      </c>
      <c r="E60" s="10" t="s">
        <v>3366</v>
      </c>
      <c r="F60" s="218" t="s">
        <v>3976</v>
      </c>
      <c r="G60" s="237" t="s">
        <v>3488</v>
      </c>
      <c r="H60" s="237"/>
      <c r="I60" s="10" t="s">
        <v>3343</v>
      </c>
      <c r="J60" s="31" t="s">
        <v>11</v>
      </c>
      <c r="K60" s="429">
        <f t="shared" si="0"/>
        <v>0</v>
      </c>
    </row>
    <row r="61" spans="1:12" x14ac:dyDescent="0.2">
      <c r="A61" s="72"/>
      <c r="B61" s="72" t="s">
        <v>3896</v>
      </c>
      <c r="C61" s="31" t="s">
        <v>4025</v>
      </c>
      <c r="D61" s="72">
        <f t="shared" si="1"/>
        <v>0</v>
      </c>
      <c r="E61" s="10" t="s">
        <v>3366</v>
      </c>
      <c r="F61" s="218" t="s">
        <v>3932</v>
      </c>
      <c r="G61" s="237" t="s">
        <v>5435</v>
      </c>
      <c r="H61" s="237"/>
      <c r="I61" s="10" t="s">
        <v>3343</v>
      </c>
      <c r="J61" s="31" t="s">
        <v>11</v>
      </c>
      <c r="K61" s="429">
        <f t="shared" si="0"/>
        <v>0</v>
      </c>
    </row>
    <row r="62" spans="1:12" x14ac:dyDescent="0.2">
      <c r="A62" s="72"/>
      <c r="B62" s="72" t="s">
        <v>3897</v>
      </c>
      <c r="C62" s="31" t="s">
        <v>5436</v>
      </c>
      <c r="D62" s="72">
        <f t="shared" si="1"/>
        <v>0</v>
      </c>
      <c r="E62" s="10" t="s">
        <v>3366</v>
      </c>
      <c r="F62" s="218" t="s">
        <v>3971</v>
      </c>
      <c r="G62" s="237" t="s">
        <v>3972</v>
      </c>
      <c r="H62" s="237"/>
      <c r="I62" s="10" t="s">
        <v>3343</v>
      </c>
      <c r="J62" s="31" t="s">
        <v>11</v>
      </c>
      <c r="K62" s="429">
        <f t="shared" ref="K62:K77" si="5">H62</f>
        <v>0</v>
      </c>
    </row>
    <row r="63" spans="1:12" x14ac:dyDescent="0.2">
      <c r="A63" s="72"/>
      <c r="B63" s="72"/>
      <c r="C63" s="31"/>
      <c r="D63" s="72">
        <f t="shared" si="1"/>
        <v>0</v>
      </c>
      <c r="E63" s="10" t="s">
        <v>3366</v>
      </c>
      <c r="F63" s="218" t="s">
        <v>3483</v>
      </c>
      <c r="G63" s="237" t="s">
        <v>3484</v>
      </c>
      <c r="H63" s="237"/>
      <c r="I63" s="10" t="s">
        <v>3343</v>
      </c>
      <c r="J63" s="31" t="s">
        <v>11</v>
      </c>
      <c r="K63" s="429">
        <f t="shared" ref="K63:K64" si="6">H63</f>
        <v>0</v>
      </c>
    </row>
    <row r="64" spans="1:12" x14ac:dyDescent="0.2">
      <c r="A64" s="72"/>
      <c r="B64" s="72"/>
      <c r="C64" s="31"/>
      <c r="D64" s="72">
        <f t="shared" si="1"/>
        <v>0</v>
      </c>
      <c r="E64" s="10" t="s">
        <v>3366</v>
      </c>
      <c r="F64" s="218" t="s">
        <v>3486</v>
      </c>
      <c r="G64" s="237" t="s">
        <v>3973</v>
      </c>
      <c r="H64" s="237"/>
      <c r="I64" s="10" t="s">
        <v>3343</v>
      </c>
      <c r="J64" s="31" t="s">
        <v>11</v>
      </c>
      <c r="K64" s="429">
        <f t="shared" si="6"/>
        <v>0</v>
      </c>
      <c r="L64" s="254"/>
    </row>
    <row r="65" spans="1:12" x14ac:dyDescent="0.2">
      <c r="A65" s="10"/>
      <c r="B65" s="72" t="s">
        <v>3898</v>
      </c>
      <c r="C65" s="31" t="s">
        <v>4068</v>
      </c>
      <c r="D65" s="72">
        <f t="shared" si="1"/>
        <v>0</v>
      </c>
      <c r="E65" s="10" t="s">
        <v>3366</v>
      </c>
      <c r="F65" s="218" t="s">
        <v>3952</v>
      </c>
      <c r="G65" s="237" t="s">
        <v>3440</v>
      </c>
      <c r="H65" s="237"/>
      <c r="I65" s="10" t="s">
        <v>3343</v>
      </c>
      <c r="J65" s="31" t="s">
        <v>11</v>
      </c>
      <c r="K65" s="429">
        <f t="shared" si="5"/>
        <v>0</v>
      </c>
      <c r="L65" s="254"/>
    </row>
    <row r="66" spans="1:12" x14ac:dyDescent="0.2">
      <c r="A66" s="72"/>
      <c r="B66" s="72" t="s">
        <v>3899</v>
      </c>
      <c r="C66" s="31" t="s">
        <v>5437</v>
      </c>
      <c r="D66" s="72">
        <f t="shared" si="1"/>
        <v>0</v>
      </c>
      <c r="E66" s="10" t="s">
        <v>3366</v>
      </c>
      <c r="F66" s="218" t="s">
        <v>3954</v>
      </c>
      <c r="G66" s="237" t="s">
        <v>3955</v>
      </c>
      <c r="H66" s="237"/>
      <c r="I66" s="10" t="s">
        <v>3343</v>
      </c>
      <c r="J66" s="31" t="s">
        <v>11</v>
      </c>
      <c r="K66" s="429">
        <f t="shared" si="5"/>
        <v>0</v>
      </c>
    </row>
    <row r="67" spans="1:12" x14ac:dyDescent="0.2">
      <c r="A67" s="72"/>
      <c r="B67" s="72" t="s">
        <v>3901</v>
      </c>
      <c r="C67" s="31" t="s">
        <v>5438</v>
      </c>
      <c r="D67" s="72">
        <f t="shared" si="1"/>
        <v>0</v>
      </c>
      <c r="E67" s="10" t="s">
        <v>3366</v>
      </c>
      <c r="F67" s="218" t="s">
        <v>3956</v>
      </c>
      <c r="G67" s="237" t="s">
        <v>3957</v>
      </c>
      <c r="H67" s="237"/>
      <c r="I67" s="10" t="s">
        <v>3343</v>
      </c>
      <c r="J67" s="31" t="s">
        <v>11</v>
      </c>
      <c r="K67" s="429">
        <f t="shared" si="5"/>
        <v>0</v>
      </c>
    </row>
    <row r="68" spans="1:12" x14ac:dyDescent="0.2">
      <c r="A68" s="10"/>
      <c r="B68" s="72" t="s">
        <v>3902</v>
      </c>
      <c r="C68" s="31" t="s">
        <v>3264</v>
      </c>
      <c r="D68" s="72">
        <f t="shared" si="1"/>
        <v>0</v>
      </c>
      <c r="E68" s="10" t="s">
        <v>3366</v>
      </c>
      <c r="F68" s="218" t="s">
        <v>3922</v>
      </c>
      <c r="G68" s="237" t="s">
        <v>3923</v>
      </c>
      <c r="H68" s="237"/>
      <c r="I68" s="10" t="s">
        <v>3343</v>
      </c>
      <c r="J68" s="31" t="s">
        <v>11</v>
      </c>
      <c r="K68" s="429">
        <f t="shared" si="5"/>
        <v>0</v>
      </c>
    </row>
    <row r="69" spans="1:12" x14ac:dyDescent="0.2">
      <c r="A69" s="10"/>
      <c r="B69" s="72" t="s">
        <v>3903</v>
      </c>
      <c r="C69" s="31" t="s">
        <v>5439</v>
      </c>
      <c r="D69" s="72">
        <f t="shared" si="1"/>
        <v>0</v>
      </c>
      <c r="E69" s="10" t="s">
        <v>3366</v>
      </c>
      <c r="F69" s="218" t="s">
        <v>3934</v>
      </c>
      <c r="G69" s="237" t="s">
        <v>3951</v>
      </c>
      <c r="H69" s="237"/>
      <c r="I69" s="10" t="s">
        <v>3343</v>
      </c>
      <c r="J69" s="31" t="s">
        <v>11</v>
      </c>
      <c r="K69" s="429">
        <f t="shared" si="5"/>
        <v>0</v>
      </c>
    </row>
    <row r="70" spans="1:12" x14ac:dyDescent="0.2">
      <c r="A70" s="72"/>
      <c r="B70" s="72" t="s">
        <v>3905</v>
      </c>
      <c r="C70" s="31" t="s">
        <v>3887</v>
      </c>
      <c r="D70" s="72">
        <f t="shared" si="1"/>
        <v>0</v>
      </c>
      <c r="E70" s="10" t="s">
        <v>3366</v>
      </c>
      <c r="F70" s="218" t="s">
        <v>3941</v>
      </c>
      <c r="G70" s="237" t="s">
        <v>3942</v>
      </c>
      <c r="H70" s="237"/>
      <c r="I70" s="10" t="s">
        <v>3343</v>
      </c>
      <c r="J70" s="31" t="s">
        <v>11</v>
      </c>
      <c r="K70" s="429">
        <f t="shared" si="5"/>
        <v>0</v>
      </c>
    </row>
    <row r="71" spans="1:12" x14ac:dyDescent="0.2">
      <c r="A71" s="10"/>
      <c r="B71" s="72" t="s">
        <v>3907</v>
      </c>
      <c r="C71" s="31" t="s">
        <v>5440</v>
      </c>
      <c r="D71" s="72">
        <f t="shared" si="1"/>
        <v>0</v>
      </c>
      <c r="E71" s="10" t="s">
        <v>3366</v>
      </c>
      <c r="F71" s="218" t="s">
        <v>3936</v>
      </c>
      <c r="G71" s="237" t="s">
        <v>3937</v>
      </c>
      <c r="H71" s="237"/>
      <c r="I71" s="10" t="s">
        <v>3343</v>
      </c>
      <c r="J71" s="31" t="s">
        <v>11</v>
      </c>
      <c r="K71" s="429">
        <f t="shared" si="5"/>
        <v>0</v>
      </c>
    </row>
    <row r="72" spans="1:12" x14ac:dyDescent="0.2">
      <c r="A72" s="72"/>
      <c r="B72" s="72" t="s">
        <v>3909</v>
      </c>
      <c r="C72" s="31" t="s">
        <v>5441</v>
      </c>
      <c r="D72" s="72">
        <f t="shared" si="1"/>
        <v>0</v>
      </c>
      <c r="E72" s="10" t="s">
        <v>3366</v>
      </c>
      <c r="F72" s="218" t="s">
        <v>3921</v>
      </c>
      <c r="G72" s="237" t="s">
        <v>3402</v>
      </c>
      <c r="H72" s="237"/>
      <c r="I72" s="10" t="s">
        <v>3343</v>
      </c>
      <c r="J72" s="31" t="s">
        <v>11</v>
      </c>
      <c r="K72" s="429">
        <f t="shared" si="5"/>
        <v>0</v>
      </c>
    </row>
    <row r="73" spans="1:12" x14ac:dyDescent="0.2">
      <c r="A73" s="10"/>
      <c r="B73" s="72" t="s">
        <v>3911</v>
      </c>
      <c r="C73" s="31" t="s">
        <v>5442</v>
      </c>
      <c r="D73" s="72">
        <f t="shared" si="1"/>
        <v>0</v>
      </c>
      <c r="E73" s="10" t="s">
        <v>3366</v>
      </c>
      <c r="F73" s="218" t="s">
        <v>3936</v>
      </c>
      <c r="G73" s="237" t="s">
        <v>3937</v>
      </c>
      <c r="H73" s="237"/>
      <c r="I73" s="10" t="s">
        <v>3343</v>
      </c>
      <c r="J73" s="31" t="s">
        <v>11</v>
      </c>
      <c r="K73" s="429">
        <f t="shared" si="5"/>
        <v>0</v>
      </c>
    </row>
    <row r="74" spans="1:12" x14ac:dyDescent="0.2">
      <c r="A74" s="64"/>
      <c r="B74" s="72" t="s">
        <v>3913</v>
      </c>
      <c r="C74" s="31" t="s">
        <v>5443</v>
      </c>
      <c r="D74" s="61">
        <f t="shared" ref="D74:D75" si="7">A74</f>
        <v>0</v>
      </c>
      <c r="E74" s="64" t="s">
        <v>3366</v>
      </c>
      <c r="F74" s="216" t="s">
        <v>3936</v>
      </c>
      <c r="G74" s="301" t="s">
        <v>3937</v>
      </c>
      <c r="H74" s="237"/>
      <c r="I74" s="64" t="s">
        <v>3343</v>
      </c>
      <c r="J74" s="68" t="s">
        <v>11</v>
      </c>
      <c r="K74" s="430">
        <f t="shared" ref="K74:K75" si="8">H74</f>
        <v>0</v>
      </c>
    </row>
    <row r="75" spans="1:12" x14ac:dyDescent="0.2">
      <c r="A75" s="61"/>
      <c r="B75" s="72" t="s">
        <v>3915</v>
      </c>
      <c r="C75" s="31" t="s">
        <v>5444</v>
      </c>
      <c r="D75" s="61">
        <f t="shared" si="7"/>
        <v>0</v>
      </c>
      <c r="E75" s="64" t="s">
        <v>3366</v>
      </c>
      <c r="F75" s="216" t="s">
        <v>3922</v>
      </c>
      <c r="G75" s="301" t="s">
        <v>5656</v>
      </c>
      <c r="H75" s="237"/>
      <c r="I75" s="64" t="s">
        <v>3343</v>
      </c>
      <c r="J75" s="68" t="s">
        <v>11</v>
      </c>
      <c r="K75" s="430">
        <f t="shared" si="8"/>
        <v>0</v>
      </c>
    </row>
    <row r="76" spans="1:12" x14ac:dyDescent="0.2">
      <c r="A76" s="10"/>
      <c r="B76" s="72" t="s">
        <v>3916</v>
      </c>
      <c r="C76" s="31" t="s">
        <v>5445</v>
      </c>
      <c r="D76" s="72">
        <f t="shared" si="1"/>
        <v>0</v>
      </c>
      <c r="E76" s="10" t="s">
        <v>3366</v>
      </c>
      <c r="F76" s="218" t="s">
        <v>3922</v>
      </c>
      <c r="G76" s="237" t="s">
        <v>3923</v>
      </c>
      <c r="H76" s="237"/>
      <c r="I76" s="10" t="s">
        <v>3343</v>
      </c>
      <c r="J76" s="31" t="s">
        <v>11</v>
      </c>
      <c r="K76" s="429">
        <f t="shared" si="5"/>
        <v>0</v>
      </c>
    </row>
    <row r="77" spans="1:12" x14ac:dyDescent="0.2">
      <c r="A77" s="10"/>
      <c r="B77" s="72" t="s">
        <v>3917</v>
      </c>
      <c r="C77" s="31" t="s">
        <v>3878</v>
      </c>
      <c r="D77" s="72">
        <f t="shared" ref="D77:D91" si="9">A77</f>
        <v>0</v>
      </c>
      <c r="E77" s="10" t="s">
        <v>3366</v>
      </c>
      <c r="F77" s="218" t="s">
        <v>3946</v>
      </c>
      <c r="G77" s="237" t="s">
        <v>3432</v>
      </c>
      <c r="H77" s="237"/>
      <c r="I77" s="10" t="s">
        <v>3343</v>
      </c>
      <c r="J77" s="31" t="s">
        <v>11</v>
      </c>
      <c r="K77" s="429">
        <f t="shared" si="5"/>
        <v>0</v>
      </c>
    </row>
    <row r="78" spans="1:12" x14ac:dyDescent="0.2">
      <c r="A78" s="10"/>
      <c r="B78" s="72" t="s">
        <v>3918</v>
      </c>
      <c r="C78" s="31" t="s">
        <v>5446</v>
      </c>
      <c r="D78" s="72">
        <f t="shared" si="9"/>
        <v>0</v>
      </c>
      <c r="E78" s="10" t="s">
        <v>3366</v>
      </c>
      <c r="F78" s="218" t="s">
        <v>3969</v>
      </c>
      <c r="G78" s="237" t="s">
        <v>3970</v>
      </c>
      <c r="H78" s="237"/>
      <c r="I78" s="10" t="s">
        <v>3343</v>
      </c>
      <c r="J78" s="31" t="s">
        <v>11</v>
      </c>
      <c r="K78" s="429">
        <f t="shared" ref="K78:K91" si="10">H78</f>
        <v>0</v>
      </c>
    </row>
    <row r="79" spans="1:12" x14ac:dyDescent="0.2">
      <c r="A79" s="72"/>
      <c r="B79" s="72" t="s">
        <v>3919</v>
      </c>
      <c r="C79" s="31" t="s">
        <v>5447</v>
      </c>
      <c r="D79" s="72">
        <f t="shared" si="9"/>
        <v>0</v>
      </c>
      <c r="E79" s="10" t="s">
        <v>3366</v>
      </c>
      <c r="F79" s="218" t="s">
        <v>3969</v>
      </c>
      <c r="G79" s="237" t="s">
        <v>3970</v>
      </c>
      <c r="H79" s="237"/>
      <c r="I79" s="10" t="s">
        <v>3343</v>
      </c>
      <c r="J79" s="31" t="s">
        <v>11</v>
      </c>
      <c r="K79" s="429">
        <f t="shared" si="10"/>
        <v>0</v>
      </c>
    </row>
    <row r="80" spans="1:12" x14ac:dyDescent="0.2">
      <c r="A80" s="72" t="s">
        <v>3535</v>
      </c>
      <c r="B80" s="72" t="s">
        <v>5448</v>
      </c>
      <c r="C80" s="31" t="s">
        <v>3256</v>
      </c>
      <c r="D80" s="72" t="str">
        <f t="shared" si="9"/>
        <v>29 Jan</v>
      </c>
      <c r="E80" s="10" t="s">
        <v>3366</v>
      </c>
      <c r="F80" s="218" t="s">
        <v>3925</v>
      </c>
      <c r="G80" s="237" t="s">
        <v>3962</v>
      </c>
      <c r="H80" s="237"/>
      <c r="I80" s="10" t="s">
        <v>3343</v>
      </c>
      <c r="J80" s="31" t="s">
        <v>11</v>
      </c>
      <c r="K80" s="429">
        <f t="shared" si="10"/>
        <v>0</v>
      </c>
    </row>
    <row r="81" spans="1:14" x14ac:dyDescent="0.2">
      <c r="A81" s="72"/>
      <c r="B81" s="72"/>
      <c r="C81" s="31"/>
      <c r="D81" s="72">
        <f t="shared" si="9"/>
        <v>0</v>
      </c>
      <c r="E81" s="10" t="s">
        <v>3366</v>
      </c>
      <c r="F81" s="218" t="s">
        <v>3520</v>
      </c>
      <c r="G81" s="237" t="s">
        <v>3964</v>
      </c>
      <c r="H81" s="237"/>
      <c r="I81" s="10" t="s">
        <v>3343</v>
      </c>
      <c r="J81" s="31" t="s">
        <v>11</v>
      </c>
      <c r="K81" s="429">
        <f t="shared" si="10"/>
        <v>0</v>
      </c>
    </row>
    <row r="82" spans="1:14" x14ac:dyDescent="0.2">
      <c r="A82" s="72"/>
      <c r="B82" s="72"/>
      <c r="C82" s="31"/>
      <c r="D82" s="72">
        <f t="shared" si="9"/>
        <v>0</v>
      </c>
      <c r="E82" s="10" t="s">
        <v>3366</v>
      </c>
      <c r="F82" s="218" t="s">
        <v>3543</v>
      </c>
      <c r="G82" s="237" t="s">
        <v>5450</v>
      </c>
      <c r="H82" s="237"/>
      <c r="I82" s="10" t="s">
        <v>3343</v>
      </c>
      <c r="J82" s="31" t="s">
        <v>11</v>
      </c>
      <c r="K82" s="429">
        <f t="shared" si="10"/>
        <v>0</v>
      </c>
      <c r="L82" s="254"/>
    </row>
    <row r="83" spans="1:14" x14ac:dyDescent="0.2">
      <c r="A83" s="72"/>
      <c r="B83" s="72" t="s">
        <v>5451</v>
      </c>
      <c r="C83" s="31" t="s">
        <v>5452</v>
      </c>
      <c r="D83" s="72">
        <f t="shared" si="9"/>
        <v>0</v>
      </c>
      <c r="E83" s="10" t="s">
        <v>3366</v>
      </c>
      <c r="F83" s="218" t="s">
        <v>3960</v>
      </c>
      <c r="G83" s="237" t="s">
        <v>3456</v>
      </c>
      <c r="H83" s="237"/>
      <c r="I83" s="10" t="s">
        <v>3343</v>
      </c>
      <c r="J83" s="31" t="s">
        <v>11</v>
      </c>
      <c r="K83" s="429">
        <f t="shared" si="10"/>
        <v>0</v>
      </c>
    </row>
    <row r="84" spans="1:14" x14ac:dyDescent="0.2">
      <c r="A84" s="72"/>
      <c r="B84" s="72" t="s">
        <v>5453</v>
      </c>
      <c r="C84" s="31" t="s">
        <v>3889</v>
      </c>
      <c r="D84" s="72">
        <f t="shared" si="9"/>
        <v>0</v>
      </c>
      <c r="E84" s="10" t="s">
        <v>3366</v>
      </c>
      <c r="F84" s="218" t="s">
        <v>3925</v>
      </c>
      <c r="G84" s="237" t="s">
        <v>3958</v>
      </c>
      <c r="H84" s="237"/>
      <c r="I84" s="10" t="s">
        <v>3343</v>
      </c>
      <c r="J84" s="31" t="s">
        <v>11</v>
      </c>
      <c r="K84" s="429">
        <f t="shared" si="10"/>
        <v>0</v>
      </c>
    </row>
    <row r="85" spans="1:14" x14ac:dyDescent="0.2">
      <c r="A85" s="72"/>
      <c r="B85" s="72"/>
      <c r="C85" s="31"/>
      <c r="D85" s="72">
        <f t="shared" si="9"/>
        <v>0</v>
      </c>
      <c r="E85" s="10" t="s">
        <v>3366</v>
      </c>
      <c r="F85" s="218" t="s">
        <v>3520</v>
      </c>
      <c r="G85" s="237" t="s">
        <v>4019</v>
      </c>
      <c r="H85" s="237"/>
      <c r="I85" s="10" t="s">
        <v>3343</v>
      </c>
      <c r="J85" s="31" t="s">
        <v>11</v>
      </c>
      <c r="K85" s="429">
        <f t="shared" si="10"/>
        <v>0</v>
      </c>
    </row>
    <row r="86" spans="1:14" x14ac:dyDescent="0.2">
      <c r="A86" s="72"/>
      <c r="B86" s="72"/>
      <c r="C86" s="31"/>
      <c r="D86" s="72">
        <f t="shared" si="9"/>
        <v>0</v>
      </c>
      <c r="E86" s="10" t="s">
        <v>3366</v>
      </c>
      <c r="F86" s="218" t="s">
        <v>3543</v>
      </c>
      <c r="G86" s="237" t="s">
        <v>5454</v>
      </c>
      <c r="H86" s="237"/>
      <c r="I86" s="10" t="s">
        <v>3343</v>
      </c>
      <c r="J86" s="31" t="s">
        <v>11</v>
      </c>
      <c r="K86" s="429">
        <f t="shared" si="10"/>
        <v>0</v>
      </c>
      <c r="L86" s="254"/>
    </row>
    <row r="87" spans="1:14" x14ac:dyDescent="0.2">
      <c r="A87" s="72"/>
      <c r="B87" s="72" t="s">
        <v>5455</v>
      </c>
      <c r="C87" s="31" t="s">
        <v>3892</v>
      </c>
      <c r="D87" s="72">
        <f t="shared" si="9"/>
        <v>0</v>
      </c>
      <c r="E87" s="10" t="s">
        <v>3366</v>
      </c>
      <c r="F87" s="218" t="s">
        <v>3961</v>
      </c>
      <c r="G87" s="237" t="s">
        <v>3931</v>
      </c>
      <c r="H87" s="237"/>
      <c r="I87" s="10" t="s">
        <v>3343</v>
      </c>
      <c r="J87" s="31" t="s">
        <v>11</v>
      </c>
      <c r="K87" s="429">
        <f t="shared" si="10"/>
        <v>0</v>
      </c>
    </row>
    <row r="88" spans="1:14" x14ac:dyDescent="0.2">
      <c r="A88" s="72" t="s">
        <v>5467</v>
      </c>
      <c r="B88" s="72" t="s">
        <v>5456</v>
      </c>
      <c r="C88" s="31" t="s">
        <v>5457</v>
      </c>
      <c r="D88" s="72" t="str">
        <f t="shared" si="9"/>
        <v>30 Jan</v>
      </c>
      <c r="E88" s="10" t="s">
        <v>3366</v>
      </c>
      <c r="F88" s="218" t="s">
        <v>3932</v>
      </c>
      <c r="G88" s="237" t="s">
        <v>3933</v>
      </c>
      <c r="H88" s="237"/>
      <c r="I88" s="10" t="s">
        <v>3343</v>
      </c>
      <c r="J88" s="31" t="s">
        <v>11</v>
      </c>
      <c r="K88" s="429">
        <f t="shared" si="10"/>
        <v>0</v>
      </c>
    </row>
    <row r="89" spans="1:14" x14ac:dyDescent="0.2">
      <c r="A89" s="72"/>
      <c r="B89" s="72">
        <v>71</v>
      </c>
      <c r="C89" s="31" t="s">
        <v>5458</v>
      </c>
      <c r="D89" s="72">
        <f t="shared" si="9"/>
        <v>0</v>
      </c>
      <c r="E89" s="10" t="s">
        <v>3366</v>
      </c>
      <c r="F89" s="218" t="s">
        <v>4001</v>
      </c>
      <c r="G89" s="237" t="s">
        <v>3741</v>
      </c>
      <c r="H89" s="237"/>
      <c r="I89" s="10" t="s">
        <v>3343</v>
      </c>
      <c r="J89" s="31" t="s">
        <v>11</v>
      </c>
      <c r="K89" s="429">
        <f t="shared" si="10"/>
        <v>0</v>
      </c>
    </row>
    <row r="90" spans="1:14" x14ac:dyDescent="0.2">
      <c r="A90" s="72"/>
      <c r="B90" s="72" t="s">
        <v>5459</v>
      </c>
      <c r="C90" s="31" t="s">
        <v>3878</v>
      </c>
      <c r="D90" s="72">
        <f t="shared" si="9"/>
        <v>0</v>
      </c>
      <c r="E90" s="10" t="s">
        <v>3366</v>
      </c>
      <c r="F90" s="218" t="s">
        <v>3946</v>
      </c>
      <c r="G90" s="237" t="s">
        <v>3432</v>
      </c>
      <c r="H90" s="237"/>
      <c r="I90" s="10" t="s">
        <v>3343</v>
      </c>
      <c r="J90" s="31" t="s">
        <v>11</v>
      </c>
      <c r="K90" s="429">
        <f t="shared" si="10"/>
        <v>0</v>
      </c>
    </row>
    <row r="91" spans="1:14" x14ac:dyDescent="0.2">
      <c r="A91" s="72"/>
      <c r="B91" s="72" t="s">
        <v>5460</v>
      </c>
      <c r="C91" s="31" t="s">
        <v>5461</v>
      </c>
      <c r="D91" s="72">
        <f t="shared" si="9"/>
        <v>0</v>
      </c>
      <c r="E91" s="10" t="s">
        <v>3366</v>
      </c>
      <c r="F91" s="218" t="s">
        <v>3922</v>
      </c>
      <c r="G91" s="237" t="s">
        <v>3923</v>
      </c>
      <c r="H91" s="237"/>
      <c r="I91" s="10" t="s">
        <v>5449</v>
      </c>
      <c r="J91" s="31" t="s">
        <v>11</v>
      </c>
      <c r="K91" s="429">
        <f t="shared" si="10"/>
        <v>0</v>
      </c>
    </row>
    <row r="92" spans="1:14" ht="24.75" customHeight="1" thickBot="1" x14ac:dyDescent="0.25">
      <c r="A92" s="640" t="s">
        <v>15</v>
      </c>
      <c r="B92" s="641"/>
      <c r="C92" s="641"/>
      <c r="D92" s="641"/>
      <c r="E92" s="641"/>
      <c r="F92" s="641"/>
      <c r="G92" s="642"/>
      <c r="H92" s="432">
        <f>SUM(H9:H91)</f>
        <v>0</v>
      </c>
      <c r="I92" s="695" t="s">
        <v>15</v>
      </c>
      <c r="J92" s="696"/>
      <c r="K92" s="432">
        <f>SUM(K9:K91)</f>
        <v>0</v>
      </c>
      <c r="L92" s="254"/>
      <c r="M92" s="545"/>
      <c r="N92" s="254"/>
    </row>
    <row r="93" spans="1:14" ht="11.25" customHeight="1" x14ac:dyDescent="0.2">
      <c r="A93" s="240"/>
      <c r="B93" s="240"/>
      <c r="C93" s="240"/>
      <c r="D93" s="240"/>
      <c r="E93" s="240"/>
      <c r="F93" s="240"/>
      <c r="G93" s="240"/>
      <c r="H93" s="433"/>
      <c r="I93" s="433"/>
      <c r="J93" s="433"/>
      <c r="K93" s="433"/>
    </row>
    <row r="94" spans="1:14" x14ac:dyDescent="0.2">
      <c r="G94" s="1" t="s">
        <v>3569</v>
      </c>
      <c r="H94" s="254">
        <v>481310562</v>
      </c>
    </row>
    <row r="95" spans="1:14" ht="12" x14ac:dyDescent="0.2">
      <c r="A95" s="691"/>
      <c r="B95" s="691"/>
      <c r="C95" s="691"/>
      <c r="D95" s="691"/>
      <c r="E95" s="304"/>
      <c r="F95" s="304"/>
      <c r="G95" s="260"/>
      <c r="H95" s="434">
        <f>H94-H92</f>
        <v>481310562</v>
      </c>
      <c r="I95" s="691"/>
      <c r="J95" s="691"/>
      <c r="K95" s="691"/>
    </row>
    <row r="96" spans="1:14" ht="12" x14ac:dyDescent="0.2">
      <c r="A96" s="304"/>
      <c r="B96" s="304"/>
      <c r="C96" s="304"/>
      <c r="D96" s="304"/>
      <c r="E96" s="304"/>
      <c r="F96" s="304"/>
      <c r="G96" s="260"/>
      <c r="H96" s="434"/>
      <c r="I96" s="304"/>
      <c r="J96" s="304"/>
      <c r="K96" s="304"/>
    </row>
    <row r="97" spans="1:12" ht="12.75" x14ac:dyDescent="0.2">
      <c r="A97" s="687" t="s">
        <v>3345</v>
      </c>
      <c r="B97" s="687"/>
      <c r="C97" s="687"/>
      <c r="D97" s="687"/>
      <c r="E97" s="687"/>
      <c r="F97" s="687"/>
      <c r="G97" s="687"/>
      <c r="H97" s="687"/>
      <c r="I97" s="687"/>
      <c r="J97" s="687"/>
      <c r="K97" s="687"/>
    </row>
    <row r="98" spans="1:12" ht="12.75" x14ac:dyDescent="0.2">
      <c r="A98" s="687" t="s">
        <v>3555</v>
      </c>
      <c r="B98" s="687"/>
      <c r="C98" s="687"/>
      <c r="D98" s="687"/>
      <c r="E98" s="687"/>
      <c r="F98" s="687"/>
      <c r="G98" s="687"/>
      <c r="H98" s="687"/>
      <c r="I98" s="687"/>
      <c r="J98" s="687"/>
      <c r="K98" s="687"/>
    </row>
    <row r="99" spans="1:12" x14ac:dyDescent="0.2">
      <c r="A99" s="18"/>
      <c r="B99" s="18"/>
      <c r="C99" s="18"/>
      <c r="D99" s="18"/>
      <c r="E99" s="18"/>
      <c r="F99" s="18"/>
      <c r="G99" s="18"/>
      <c r="H99" s="18"/>
      <c r="I99" s="18"/>
      <c r="J99" s="18"/>
      <c r="K99" s="18"/>
    </row>
    <row r="100" spans="1:12" x14ac:dyDescent="0.2">
      <c r="A100" s="678" t="s">
        <v>3346</v>
      </c>
      <c r="B100" s="679"/>
      <c r="C100" s="680" t="s">
        <v>13</v>
      </c>
      <c r="D100" s="678" t="s">
        <v>3347</v>
      </c>
      <c r="E100" s="679"/>
      <c r="F100" s="688" t="s">
        <v>90</v>
      </c>
      <c r="G100" s="689"/>
      <c r="H100" s="690"/>
      <c r="I100" s="688" t="s">
        <v>10</v>
      </c>
      <c r="J100" s="689"/>
      <c r="K100" s="690"/>
    </row>
    <row r="101" spans="1:12" x14ac:dyDescent="0.2">
      <c r="A101" s="680" t="s">
        <v>12</v>
      </c>
      <c r="B101" s="680" t="s">
        <v>21</v>
      </c>
      <c r="C101" s="681"/>
      <c r="D101" s="665" t="s">
        <v>12</v>
      </c>
      <c r="E101" s="665" t="s">
        <v>3348</v>
      </c>
      <c r="F101" s="665" t="s">
        <v>3285</v>
      </c>
      <c r="G101" s="665" t="s">
        <v>3282</v>
      </c>
      <c r="H101" s="665" t="s">
        <v>3539</v>
      </c>
      <c r="I101" s="665" t="s">
        <v>3285</v>
      </c>
      <c r="J101" s="665" t="s">
        <v>3282</v>
      </c>
      <c r="K101" s="665" t="s">
        <v>3539</v>
      </c>
    </row>
    <row r="102" spans="1:12" x14ac:dyDescent="0.2">
      <c r="A102" s="682"/>
      <c r="B102" s="682"/>
      <c r="C102" s="682"/>
      <c r="D102" s="667"/>
      <c r="E102" s="667"/>
      <c r="F102" s="667"/>
      <c r="G102" s="667"/>
      <c r="H102" s="667"/>
      <c r="I102" s="667"/>
      <c r="J102" s="667"/>
      <c r="K102" s="667"/>
    </row>
    <row r="103" spans="1:12" x14ac:dyDescent="0.2">
      <c r="A103" s="210" t="s">
        <v>3670</v>
      </c>
      <c r="B103" s="210">
        <v>74</v>
      </c>
      <c r="C103" s="202" t="s">
        <v>5479</v>
      </c>
      <c r="D103" s="10" t="str">
        <f t="shared" ref="D103:D137" si="11">A103</f>
        <v>02 Feb</v>
      </c>
      <c r="E103" s="6" t="s">
        <v>3366</v>
      </c>
      <c r="F103" s="235" t="s">
        <v>3935</v>
      </c>
      <c r="G103" s="236" t="s">
        <v>3406</v>
      </c>
      <c r="H103" s="236"/>
      <c r="I103" s="10" t="s">
        <v>3343</v>
      </c>
      <c r="J103" s="31" t="s">
        <v>11</v>
      </c>
      <c r="K103" s="429">
        <f>H103</f>
        <v>0</v>
      </c>
    </row>
    <row r="104" spans="1:12" x14ac:dyDescent="0.2">
      <c r="A104" s="72"/>
      <c r="B104" s="72">
        <v>75</v>
      </c>
      <c r="C104" s="31" t="s">
        <v>5480</v>
      </c>
      <c r="D104" s="10">
        <f t="shared" si="11"/>
        <v>0</v>
      </c>
      <c r="E104" s="10" t="s">
        <v>3366</v>
      </c>
      <c r="F104" s="218" t="s">
        <v>3925</v>
      </c>
      <c r="G104" s="237" t="s">
        <v>3979</v>
      </c>
      <c r="H104" s="237"/>
      <c r="I104" s="10" t="s">
        <v>3343</v>
      </c>
      <c r="J104" s="31" t="s">
        <v>11</v>
      </c>
      <c r="K104" s="429">
        <f t="shared" ref="K104:K170" si="12">H104</f>
        <v>0</v>
      </c>
    </row>
    <row r="105" spans="1:12" x14ac:dyDescent="0.2">
      <c r="A105" s="72"/>
      <c r="B105" s="72"/>
      <c r="C105" s="92" t="s">
        <v>5480</v>
      </c>
      <c r="D105" s="10">
        <f t="shared" si="11"/>
        <v>0</v>
      </c>
      <c r="E105" s="10" t="s">
        <v>3366</v>
      </c>
      <c r="F105" s="218" t="s">
        <v>3543</v>
      </c>
      <c r="G105" s="237" t="s">
        <v>5481</v>
      </c>
      <c r="H105" s="237"/>
      <c r="I105" s="10" t="s">
        <v>3343</v>
      </c>
      <c r="J105" s="31" t="s">
        <v>11</v>
      </c>
      <c r="K105" s="429">
        <f t="shared" si="12"/>
        <v>0</v>
      </c>
      <c r="L105" s="271"/>
    </row>
    <row r="106" spans="1:12" x14ac:dyDescent="0.2">
      <c r="A106" s="263" t="s">
        <v>3983</v>
      </c>
      <c r="B106" s="72">
        <v>76</v>
      </c>
      <c r="C106" s="92" t="s">
        <v>5482</v>
      </c>
      <c r="D106" s="10" t="str">
        <f t="shared" si="11"/>
        <v>04 Feb</v>
      </c>
      <c r="E106" s="10" t="s">
        <v>3366</v>
      </c>
      <c r="F106" s="218" t="s">
        <v>3946</v>
      </c>
      <c r="G106" s="237" t="s">
        <v>3432</v>
      </c>
      <c r="H106" s="237"/>
      <c r="I106" s="10" t="s">
        <v>3343</v>
      </c>
      <c r="J106" s="31" t="s">
        <v>11</v>
      </c>
      <c r="K106" s="429">
        <f t="shared" si="12"/>
        <v>0</v>
      </c>
    </row>
    <row r="107" spans="1:12" x14ac:dyDescent="0.2">
      <c r="A107" s="72" t="s">
        <v>3988</v>
      </c>
      <c r="B107" s="72">
        <f t="shared" ref="B107:B114" si="13">B106+1</f>
        <v>77</v>
      </c>
      <c r="C107" s="31" t="s">
        <v>5483</v>
      </c>
      <c r="D107" s="10" t="str">
        <f t="shared" si="11"/>
        <v>06 Feb</v>
      </c>
      <c r="E107" s="10" t="s">
        <v>3366</v>
      </c>
      <c r="F107" s="218" t="s">
        <v>3934</v>
      </c>
      <c r="G107" s="237" t="s">
        <v>4032</v>
      </c>
      <c r="H107" s="237"/>
      <c r="I107" s="10" t="s">
        <v>3343</v>
      </c>
      <c r="J107" s="31" t="s">
        <v>11</v>
      </c>
      <c r="K107" s="429">
        <f t="shared" si="12"/>
        <v>0</v>
      </c>
    </row>
    <row r="108" spans="1:12" x14ac:dyDescent="0.2">
      <c r="A108" s="10"/>
      <c r="B108" s="72">
        <f t="shared" si="13"/>
        <v>78</v>
      </c>
      <c r="C108" s="31" t="s">
        <v>5484</v>
      </c>
      <c r="D108" s="10">
        <f t="shared" si="11"/>
        <v>0</v>
      </c>
      <c r="E108" s="10" t="s">
        <v>3366</v>
      </c>
      <c r="F108" s="218" t="s">
        <v>3999</v>
      </c>
      <c r="G108" s="237" t="s">
        <v>4000</v>
      </c>
      <c r="H108" s="237"/>
      <c r="I108" s="10" t="s">
        <v>3343</v>
      </c>
      <c r="J108" s="31" t="s">
        <v>11</v>
      </c>
      <c r="K108" s="429">
        <f t="shared" si="12"/>
        <v>0</v>
      </c>
      <c r="L108" s="254"/>
    </row>
    <row r="109" spans="1:12" x14ac:dyDescent="0.2">
      <c r="A109" s="72"/>
      <c r="B109" s="72">
        <f t="shared" si="13"/>
        <v>79</v>
      </c>
      <c r="C109" s="31" t="s">
        <v>5485</v>
      </c>
      <c r="D109" s="10">
        <f t="shared" si="11"/>
        <v>0</v>
      </c>
      <c r="E109" s="10" t="s">
        <v>3366</v>
      </c>
      <c r="F109" s="218" t="s">
        <v>3961</v>
      </c>
      <c r="G109" s="237" t="s">
        <v>3931</v>
      </c>
      <c r="H109" s="237"/>
      <c r="I109" s="10" t="s">
        <v>3343</v>
      </c>
      <c r="J109" s="31" t="s">
        <v>11</v>
      </c>
      <c r="K109" s="429">
        <f t="shared" si="12"/>
        <v>0</v>
      </c>
    </row>
    <row r="110" spans="1:12" x14ac:dyDescent="0.2">
      <c r="A110" s="72" t="s">
        <v>3561</v>
      </c>
      <c r="B110" s="72">
        <f t="shared" si="13"/>
        <v>80</v>
      </c>
      <c r="C110" s="31" t="s">
        <v>5486</v>
      </c>
      <c r="D110" s="10" t="str">
        <f t="shared" si="11"/>
        <v>09 Feb</v>
      </c>
      <c r="E110" s="10" t="s">
        <v>3366</v>
      </c>
      <c r="F110" s="218" t="s">
        <v>4005</v>
      </c>
      <c r="G110" s="237" t="s">
        <v>4376</v>
      </c>
      <c r="H110" s="237"/>
      <c r="I110" s="10" t="s">
        <v>3343</v>
      </c>
      <c r="J110" s="31" t="s">
        <v>11</v>
      </c>
      <c r="K110" s="429">
        <f t="shared" si="12"/>
        <v>0</v>
      </c>
    </row>
    <row r="111" spans="1:12" x14ac:dyDescent="0.2">
      <c r="A111" s="72"/>
      <c r="B111" s="72"/>
      <c r="C111" s="31" t="s">
        <v>5486</v>
      </c>
      <c r="D111" s="10">
        <f t="shared" si="11"/>
        <v>0</v>
      </c>
      <c r="E111" s="10" t="s">
        <v>3366</v>
      </c>
      <c r="F111" s="218" t="s">
        <v>4006</v>
      </c>
      <c r="G111" s="237" t="s">
        <v>4007</v>
      </c>
      <c r="H111" s="237"/>
      <c r="I111" s="10" t="s">
        <v>3343</v>
      </c>
      <c r="J111" s="31" t="s">
        <v>11</v>
      </c>
      <c r="K111" s="429">
        <f t="shared" si="12"/>
        <v>0</v>
      </c>
      <c r="L111" s="254"/>
    </row>
    <row r="112" spans="1:12" x14ac:dyDescent="0.2">
      <c r="A112" s="10"/>
      <c r="B112" s="72">
        <v>81</v>
      </c>
      <c r="C112" s="31" t="s">
        <v>5487</v>
      </c>
      <c r="D112" s="10">
        <f t="shared" si="11"/>
        <v>0</v>
      </c>
      <c r="E112" s="10" t="s">
        <v>3366</v>
      </c>
      <c r="F112" s="218" t="s">
        <v>3954</v>
      </c>
      <c r="G112" s="237" t="s">
        <v>3955</v>
      </c>
      <c r="H112" s="237"/>
      <c r="I112" s="10" t="s">
        <v>3343</v>
      </c>
      <c r="J112" s="31" t="s">
        <v>11</v>
      </c>
      <c r="K112" s="429">
        <f t="shared" si="12"/>
        <v>0</v>
      </c>
    </row>
    <row r="113" spans="1:11" x14ac:dyDescent="0.2">
      <c r="A113" s="10"/>
      <c r="B113" s="72">
        <f t="shared" si="13"/>
        <v>82</v>
      </c>
      <c r="C113" s="31" t="s">
        <v>5488</v>
      </c>
      <c r="D113" s="10">
        <f t="shared" si="11"/>
        <v>0</v>
      </c>
      <c r="E113" s="10" t="s">
        <v>3366</v>
      </c>
      <c r="F113" s="218" t="s">
        <v>3946</v>
      </c>
      <c r="G113" s="237" t="s">
        <v>3432</v>
      </c>
      <c r="H113" s="237"/>
      <c r="I113" s="10" t="s">
        <v>3343</v>
      </c>
      <c r="J113" s="31" t="s">
        <v>11</v>
      </c>
      <c r="K113" s="429">
        <f t="shared" si="12"/>
        <v>0</v>
      </c>
    </row>
    <row r="114" spans="1:11" x14ac:dyDescent="0.2">
      <c r="A114" s="72"/>
      <c r="B114" s="72">
        <f t="shared" si="13"/>
        <v>83</v>
      </c>
      <c r="C114" s="31" t="s">
        <v>5389</v>
      </c>
      <c r="D114" s="10">
        <f t="shared" si="11"/>
        <v>0</v>
      </c>
      <c r="E114" s="10" t="s">
        <v>3366</v>
      </c>
      <c r="F114" s="218" t="s">
        <v>3922</v>
      </c>
      <c r="G114" s="237" t="s">
        <v>3923</v>
      </c>
      <c r="H114" s="237"/>
      <c r="I114" s="10" t="s">
        <v>3343</v>
      </c>
      <c r="J114" s="31" t="s">
        <v>11</v>
      </c>
      <c r="K114" s="429">
        <f t="shared" si="12"/>
        <v>0</v>
      </c>
    </row>
    <row r="115" spans="1:11" x14ac:dyDescent="0.2">
      <c r="A115" s="72"/>
      <c r="B115" s="72">
        <v>84</v>
      </c>
      <c r="C115" s="31" t="s">
        <v>5489</v>
      </c>
      <c r="D115" s="10">
        <f t="shared" si="11"/>
        <v>0</v>
      </c>
      <c r="E115" s="10" t="s">
        <v>3366</v>
      </c>
      <c r="F115" s="218" t="s">
        <v>3947</v>
      </c>
      <c r="G115" s="237" t="s">
        <v>3436</v>
      </c>
      <c r="H115" s="237"/>
      <c r="I115" s="10" t="s">
        <v>3343</v>
      </c>
      <c r="J115" s="31" t="s">
        <v>11</v>
      </c>
      <c r="K115" s="429">
        <f t="shared" si="12"/>
        <v>0</v>
      </c>
    </row>
    <row r="116" spans="1:11" x14ac:dyDescent="0.2">
      <c r="A116" s="10"/>
      <c r="B116" s="72">
        <v>85</v>
      </c>
      <c r="C116" s="31" t="s">
        <v>5490</v>
      </c>
      <c r="D116" s="10">
        <f t="shared" si="11"/>
        <v>0</v>
      </c>
      <c r="E116" s="10" t="s">
        <v>3366</v>
      </c>
      <c r="F116" s="218" t="s">
        <v>3921</v>
      </c>
      <c r="G116" s="237" t="s">
        <v>3402</v>
      </c>
      <c r="H116" s="237"/>
      <c r="I116" s="10" t="s">
        <v>3343</v>
      </c>
      <c r="J116" s="31" t="s">
        <v>11</v>
      </c>
      <c r="K116" s="429">
        <f t="shared" si="12"/>
        <v>0</v>
      </c>
    </row>
    <row r="117" spans="1:11" x14ac:dyDescent="0.2">
      <c r="A117" s="72" t="s">
        <v>3993</v>
      </c>
      <c r="B117" s="72">
        <v>86</v>
      </c>
      <c r="C117" s="31" t="s">
        <v>5491</v>
      </c>
      <c r="D117" s="10" t="str">
        <f t="shared" si="11"/>
        <v>10 Feb</v>
      </c>
      <c r="E117" s="10" t="s">
        <v>3366</v>
      </c>
      <c r="F117" s="218" t="s">
        <v>4005</v>
      </c>
      <c r="G117" s="237" t="s">
        <v>4376</v>
      </c>
      <c r="H117" s="237"/>
      <c r="I117" s="10" t="s">
        <v>3343</v>
      </c>
      <c r="J117" s="31" t="s">
        <v>11</v>
      </c>
      <c r="K117" s="429">
        <f t="shared" si="12"/>
        <v>0</v>
      </c>
    </row>
    <row r="118" spans="1:11" x14ac:dyDescent="0.2">
      <c r="A118" s="72"/>
      <c r="B118" s="72">
        <f>B117+1</f>
        <v>87</v>
      </c>
      <c r="C118" s="31" t="s">
        <v>5492</v>
      </c>
      <c r="D118" s="10">
        <f t="shared" si="11"/>
        <v>0</v>
      </c>
      <c r="E118" s="10" t="s">
        <v>3366</v>
      </c>
      <c r="F118" s="218" t="s">
        <v>4029</v>
      </c>
      <c r="G118" s="237" t="s">
        <v>5493</v>
      </c>
      <c r="H118" s="237"/>
      <c r="I118" s="10" t="s">
        <v>3343</v>
      </c>
      <c r="J118" s="31" t="s">
        <v>11</v>
      </c>
      <c r="K118" s="429">
        <f t="shared" si="12"/>
        <v>0</v>
      </c>
    </row>
    <row r="119" spans="1:11" x14ac:dyDescent="0.2">
      <c r="A119" s="263" t="s">
        <v>3995</v>
      </c>
      <c r="B119" s="72">
        <f t="shared" ref="B119:B138" si="14">B118+1</f>
        <v>88</v>
      </c>
      <c r="C119" s="31" t="s">
        <v>5494</v>
      </c>
      <c r="D119" s="10" t="str">
        <f t="shared" si="11"/>
        <v>11 Feb</v>
      </c>
      <c r="E119" s="10" t="s">
        <v>3366</v>
      </c>
      <c r="F119" s="218" t="s">
        <v>3924</v>
      </c>
      <c r="G119" s="237" t="s">
        <v>5495</v>
      </c>
      <c r="H119" s="237"/>
      <c r="I119" s="10" t="s">
        <v>3343</v>
      </c>
      <c r="J119" s="31" t="s">
        <v>11</v>
      </c>
      <c r="K119" s="429">
        <f t="shared" si="12"/>
        <v>0</v>
      </c>
    </row>
    <row r="120" spans="1:11" x14ac:dyDescent="0.2">
      <c r="A120" s="72"/>
      <c r="B120" s="72">
        <f t="shared" si="14"/>
        <v>89</v>
      </c>
      <c r="C120" s="31" t="s">
        <v>5496</v>
      </c>
      <c r="D120" s="10">
        <f t="shared" si="11"/>
        <v>0</v>
      </c>
      <c r="E120" s="10" t="s">
        <v>3366</v>
      </c>
      <c r="F120" s="218" t="s">
        <v>3924</v>
      </c>
      <c r="G120" s="237" t="s">
        <v>3410</v>
      </c>
      <c r="H120" s="237"/>
      <c r="I120" s="10" t="s">
        <v>3343</v>
      </c>
      <c r="J120" s="31" t="s">
        <v>11</v>
      </c>
      <c r="K120" s="429">
        <f t="shared" si="12"/>
        <v>0</v>
      </c>
    </row>
    <row r="121" spans="1:11" x14ac:dyDescent="0.2">
      <c r="A121" s="263"/>
      <c r="B121" s="72">
        <f t="shared" si="14"/>
        <v>90</v>
      </c>
      <c r="C121" s="31" t="s">
        <v>5497</v>
      </c>
      <c r="D121" s="10">
        <f t="shared" si="11"/>
        <v>0</v>
      </c>
      <c r="E121" s="10" t="s">
        <v>3366</v>
      </c>
      <c r="F121" s="218" t="s">
        <v>3924</v>
      </c>
      <c r="G121" s="237" t="s">
        <v>3410</v>
      </c>
      <c r="H121" s="237"/>
      <c r="I121" s="10" t="s">
        <v>3343</v>
      </c>
      <c r="J121" s="31" t="s">
        <v>11</v>
      </c>
      <c r="K121" s="429">
        <f t="shared" si="12"/>
        <v>0</v>
      </c>
    </row>
    <row r="122" spans="1:11" x14ac:dyDescent="0.2">
      <c r="A122" s="10"/>
      <c r="B122" s="72">
        <f t="shared" si="14"/>
        <v>91</v>
      </c>
      <c r="C122" s="31" t="s">
        <v>4150</v>
      </c>
      <c r="D122" s="10">
        <f t="shared" si="11"/>
        <v>0</v>
      </c>
      <c r="E122" s="10" t="s">
        <v>3366</v>
      </c>
      <c r="F122" s="218" t="s">
        <v>3925</v>
      </c>
      <c r="G122" s="237" t="s">
        <v>3926</v>
      </c>
      <c r="H122" s="237"/>
      <c r="I122" s="10" t="s">
        <v>3343</v>
      </c>
      <c r="J122" s="31" t="s">
        <v>11</v>
      </c>
      <c r="K122" s="429">
        <f t="shared" si="12"/>
        <v>0</v>
      </c>
    </row>
    <row r="123" spans="1:11" x14ac:dyDescent="0.2">
      <c r="A123" s="72"/>
      <c r="B123" s="72"/>
      <c r="C123" s="31" t="s">
        <v>4150</v>
      </c>
      <c r="D123" s="10">
        <f t="shared" si="11"/>
        <v>0</v>
      </c>
      <c r="E123" s="10" t="s">
        <v>3366</v>
      </c>
      <c r="F123" s="218" t="s">
        <v>3520</v>
      </c>
      <c r="G123" s="237" t="s">
        <v>3928</v>
      </c>
      <c r="H123" s="237"/>
      <c r="I123" s="10" t="s">
        <v>3343</v>
      </c>
      <c r="J123" s="31" t="s">
        <v>11</v>
      </c>
      <c r="K123" s="429">
        <f t="shared" si="12"/>
        <v>0</v>
      </c>
    </row>
    <row r="124" spans="1:11" x14ac:dyDescent="0.2">
      <c r="A124" s="72"/>
      <c r="B124" s="72"/>
      <c r="C124" s="31" t="s">
        <v>5498</v>
      </c>
      <c r="D124" s="10">
        <f t="shared" si="11"/>
        <v>0</v>
      </c>
      <c r="E124" s="10" t="s">
        <v>3366</v>
      </c>
      <c r="F124" s="218" t="s">
        <v>3543</v>
      </c>
      <c r="G124" s="237" t="s">
        <v>3927</v>
      </c>
      <c r="H124" s="237"/>
      <c r="I124" s="10" t="s">
        <v>3343</v>
      </c>
      <c r="J124" s="31" t="s">
        <v>11</v>
      </c>
      <c r="K124" s="429">
        <f t="shared" si="12"/>
        <v>0</v>
      </c>
    </row>
    <row r="125" spans="1:11" x14ac:dyDescent="0.2">
      <c r="A125" s="72"/>
      <c r="B125" s="72">
        <v>92</v>
      </c>
      <c r="C125" s="31" t="s">
        <v>5499</v>
      </c>
      <c r="D125" s="10">
        <f t="shared" si="11"/>
        <v>0</v>
      </c>
      <c r="E125" s="10" t="s">
        <v>3366</v>
      </c>
      <c r="F125" s="218" t="s">
        <v>3994</v>
      </c>
      <c r="G125" s="237" t="s">
        <v>5500</v>
      </c>
      <c r="H125" s="237"/>
      <c r="I125" s="10" t="s">
        <v>3343</v>
      </c>
      <c r="J125" s="31" t="s">
        <v>11</v>
      </c>
      <c r="K125" s="429">
        <f t="shared" si="12"/>
        <v>0</v>
      </c>
    </row>
    <row r="126" spans="1:11" x14ac:dyDescent="0.2">
      <c r="A126" s="72"/>
      <c r="B126" s="72">
        <f t="shared" si="14"/>
        <v>93</v>
      </c>
      <c r="C126" s="31" t="s">
        <v>5501</v>
      </c>
      <c r="D126" s="10">
        <f t="shared" si="11"/>
        <v>0</v>
      </c>
      <c r="E126" s="10" t="s">
        <v>3366</v>
      </c>
      <c r="F126" s="218" t="s">
        <v>3960</v>
      </c>
      <c r="G126" s="237" t="s">
        <v>3456</v>
      </c>
      <c r="H126" s="237"/>
      <c r="I126" s="10" t="s">
        <v>3343</v>
      </c>
      <c r="J126" s="31" t="s">
        <v>11</v>
      </c>
      <c r="K126" s="429">
        <f t="shared" si="12"/>
        <v>0</v>
      </c>
    </row>
    <row r="127" spans="1:11" x14ac:dyDescent="0.2">
      <c r="A127" s="10"/>
      <c r="B127" s="72">
        <f t="shared" si="14"/>
        <v>94</v>
      </c>
      <c r="C127" s="31" t="s">
        <v>5502</v>
      </c>
      <c r="D127" s="10">
        <f t="shared" si="11"/>
        <v>0</v>
      </c>
      <c r="E127" s="10" t="s">
        <v>3366</v>
      </c>
      <c r="F127" s="218" t="s">
        <v>3999</v>
      </c>
      <c r="G127" s="237" t="s">
        <v>4000</v>
      </c>
      <c r="H127" s="237"/>
      <c r="I127" s="10" t="s">
        <v>3343</v>
      </c>
      <c r="J127" s="31" t="s">
        <v>11</v>
      </c>
      <c r="K127" s="429">
        <f t="shared" si="12"/>
        <v>0</v>
      </c>
    </row>
    <row r="128" spans="1:11" x14ac:dyDescent="0.2">
      <c r="A128" s="10"/>
      <c r="B128" s="72">
        <f t="shared" si="14"/>
        <v>95</v>
      </c>
      <c r="C128" s="31" t="s">
        <v>5391</v>
      </c>
      <c r="D128" s="10">
        <v>0</v>
      </c>
      <c r="E128" s="10" t="s">
        <v>3366</v>
      </c>
      <c r="F128" s="218" t="s">
        <v>3946</v>
      </c>
      <c r="G128" s="237" t="s">
        <v>3432</v>
      </c>
      <c r="H128" s="237"/>
      <c r="I128" s="10" t="s">
        <v>3343</v>
      </c>
      <c r="J128" s="31" t="s">
        <v>11</v>
      </c>
      <c r="K128" s="429">
        <f t="shared" si="12"/>
        <v>0</v>
      </c>
    </row>
    <row r="129" spans="1:12" x14ac:dyDescent="0.2">
      <c r="A129" s="72" t="s">
        <v>3998</v>
      </c>
      <c r="B129" s="72">
        <f t="shared" si="14"/>
        <v>96</v>
      </c>
      <c r="C129" s="31" t="s">
        <v>5503</v>
      </c>
      <c r="D129" s="10" t="str">
        <f t="shared" si="11"/>
        <v>12 Feb</v>
      </c>
      <c r="E129" s="10" t="s">
        <v>3366</v>
      </c>
      <c r="F129" s="218" t="s">
        <v>3921</v>
      </c>
      <c r="G129" s="237" t="s">
        <v>3402</v>
      </c>
      <c r="H129" s="237"/>
      <c r="I129" s="10" t="s">
        <v>3343</v>
      </c>
      <c r="J129" s="31" t="s">
        <v>11</v>
      </c>
      <c r="K129" s="429">
        <f t="shared" si="12"/>
        <v>0</v>
      </c>
    </row>
    <row r="130" spans="1:12" x14ac:dyDescent="0.2">
      <c r="A130" s="72"/>
      <c r="B130" s="72">
        <f t="shared" si="14"/>
        <v>97</v>
      </c>
      <c r="C130" s="31" t="s">
        <v>5504</v>
      </c>
      <c r="D130" s="10">
        <f t="shared" si="11"/>
        <v>0</v>
      </c>
      <c r="E130" s="10" t="s">
        <v>3366</v>
      </c>
      <c r="F130" s="218" t="s">
        <v>3989</v>
      </c>
      <c r="G130" s="237" t="s">
        <v>3990</v>
      </c>
      <c r="H130" s="237"/>
      <c r="I130" s="10" t="s">
        <v>3343</v>
      </c>
      <c r="J130" s="31" t="s">
        <v>11</v>
      </c>
      <c r="K130" s="429">
        <f t="shared" si="12"/>
        <v>0</v>
      </c>
    </row>
    <row r="131" spans="1:12" x14ac:dyDescent="0.2">
      <c r="A131" s="72" t="s">
        <v>4008</v>
      </c>
      <c r="B131" s="72">
        <f t="shared" si="14"/>
        <v>98</v>
      </c>
      <c r="C131" s="31" t="s">
        <v>5391</v>
      </c>
      <c r="D131" s="10" t="str">
        <f t="shared" si="11"/>
        <v>18 Feb</v>
      </c>
      <c r="E131" s="10" t="s">
        <v>3366</v>
      </c>
      <c r="F131" s="218" t="s">
        <v>3946</v>
      </c>
      <c r="G131" s="237" t="s">
        <v>3432</v>
      </c>
      <c r="H131" s="237"/>
      <c r="I131" s="10" t="s">
        <v>3343</v>
      </c>
      <c r="J131" s="31" t="s">
        <v>11</v>
      </c>
      <c r="K131" s="429">
        <f t="shared" si="12"/>
        <v>0</v>
      </c>
    </row>
    <row r="132" spans="1:12" x14ac:dyDescent="0.2">
      <c r="A132" s="72"/>
      <c r="B132" s="72">
        <f t="shared" si="14"/>
        <v>99</v>
      </c>
      <c r="C132" s="31" t="s">
        <v>5461</v>
      </c>
      <c r="D132" s="10">
        <f t="shared" si="11"/>
        <v>0</v>
      </c>
      <c r="E132" s="10" t="s">
        <v>3366</v>
      </c>
      <c r="F132" s="218" t="s">
        <v>3922</v>
      </c>
      <c r="G132" s="237" t="s">
        <v>3923</v>
      </c>
      <c r="H132" s="237"/>
      <c r="I132" s="10" t="s">
        <v>3343</v>
      </c>
      <c r="J132" s="31" t="s">
        <v>11</v>
      </c>
      <c r="K132" s="429">
        <f t="shared" si="12"/>
        <v>0</v>
      </c>
    </row>
    <row r="133" spans="1:12" x14ac:dyDescent="0.2">
      <c r="A133" s="72"/>
      <c r="B133" s="72">
        <f t="shared" si="14"/>
        <v>100</v>
      </c>
      <c r="C133" s="31" t="s">
        <v>5505</v>
      </c>
      <c r="D133" s="10">
        <f t="shared" si="11"/>
        <v>0</v>
      </c>
      <c r="E133" s="10" t="s">
        <v>3366</v>
      </c>
      <c r="F133" s="218" t="s">
        <v>3999</v>
      </c>
      <c r="G133" s="237" t="s">
        <v>4000</v>
      </c>
      <c r="H133" s="237"/>
      <c r="I133" s="10" t="s">
        <v>3343</v>
      </c>
      <c r="J133" s="31" t="s">
        <v>11</v>
      </c>
      <c r="K133" s="429">
        <f t="shared" si="12"/>
        <v>0</v>
      </c>
    </row>
    <row r="134" spans="1:12" x14ac:dyDescent="0.2">
      <c r="A134" s="10"/>
      <c r="B134" s="72">
        <f t="shared" si="14"/>
        <v>101</v>
      </c>
      <c r="C134" s="31" t="s">
        <v>5506</v>
      </c>
      <c r="D134" s="10">
        <f t="shared" si="11"/>
        <v>0</v>
      </c>
      <c r="E134" s="10" t="s">
        <v>3366</v>
      </c>
      <c r="F134" s="218" t="s">
        <v>3941</v>
      </c>
      <c r="G134" s="237" t="s">
        <v>5507</v>
      </c>
      <c r="H134" s="237"/>
      <c r="I134" s="10" t="s">
        <v>3343</v>
      </c>
      <c r="J134" s="31" t="s">
        <v>11</v>
      </c>
      <c r="K134" s="429">
        <f t="shared" si="12"/>
        <v>0</v>
      </c>
    </row>
    <row r="135" spans="1:12" x14ac:dyDescent="0.2">
      <c r="A135" s="72" t="s">
        <v>4010</v>
      </c>
      <c r="B135" s="72">
        <f t="shared" si="14"/>
        <v>102</v>
      </c>
      <c r="C135" s="31" t="s">
        <v>5508</v>
      </c>
      <c r="D135" s="10" t="str">
        <f t="shared" si="11"/>
        <v>19 Feb</v>
      </c>
      <c r="E135" s="10" t="s">
        <v>3366</v>
      </c>
      <c r="F135" s="218" t="s">
        <v>4013</v>
      </c>
      <c r="G135" s="237" t="s">
        <v>4052</v>
      </c>
      <c r="H135" s="237"/>
      <c r="I135" s="10" t="s">
        <v>3343</v>
      </c>
      <c r="J135" s="31" t="s">
        <v>11</v>
      </c>
      <c r="K135" s="429">
        <f t="shared" si="12"/>
        <v>0</v>
      </c>
    </row>
    <row r="136" spans="1:12" x14ac:dyDescent="0.2">
      <c r="A136" s="72"/>
      <c r="B136" s="72">
        <f t="shared" si="14"/>
        <v>103</v>
      </c>
      <c r="C136" s="31" t="s">
        <v>5509</v>
      </c>
      <c r="D136" s="10">
        <f t="shared" si="11"/>
        <v>0</v>
      </c>
      <c r="E136" s="10" t="s">
        <v>3366</v>
      </c>
      <c r="F136" s="218" t="s">
        <v>3390</v>
      </c>
      <c r="G136" s="237" t="s">
        <v>5510</v>
      </c>
      <c r="H136" s="237"/>
      <c r="I136" s="10" t="s">
        <v>3343</v>
      </c>
      <c r="J136" s="31" t="s">
        <v>11</v>
      </c>
      <c r="K136" s="429">
        <f t="shared" si="12"/>
        <v>0</v>
      </c>
    </row>
    <row r="137" spans="1:12" x14ac:dyDescent="0.2">
      <c r="A137" s="72" t="s">
        <v>4012</v>
      </c>
      <c r="B137" s="72">
        <f t="shared" si="14"/>
        <v>104</v>
      </c>
      <c r="C137" s="31" t="s">
        <v>5511</v>
      </c>
      <c r="D137" s="10" t="str">
        <f t="shared" si="11"/>
        <v>20 Feb</v>
      </c>
      <c r="E137" s="10" t="s">
        <v>3366</v>
      </c>
      <c r="F137" s="218" t="s">
        <v>4072</v>
      </c>
      <c r="G137" s="237" t="s">
        <v>5512</v>
      </c>
      <c r="H137" s="237"/>
      <c r="I137" s="10" t="s">
        <v>3343</v>
      </c>
      <c r="J137" s="31" t="s">
        <v>11</v>
      </c>
      <c r="K137" s="429">
        <f t="shared" si="12"/>
        <v>0</v>
      </c>
    </row>
    <row r="138" spans="1:12" x14ac:dyDescent="0.2">
      <c r="A138" s="72"/>
      <c r="B138" s="72">
        <f t="shared" si="14"/>
        <v>105</v>
      </c>
      <c r="C138" s="31" t="s">
        <v>5420</v>
      </c>
      <c r="D138" s="10">
        <v>0</v>
      </c>
      <c r="E138" s="10" t="s">
        <v>3366</v>
      </c>
      <c r="F138" s="218" t="s">
        <v>3939</v>
      </c>
      <c r="G138" s="237" t="s">
        <v>3940</v>
      </c>
      <c r="H138" s="237"/>
      <c r="I138" s="10" t="s">
        <v>3343</v>
      </c>
      <c r="J138" s="31" t="s">
        <v>11</v>
      </c>
      <c r="K138" s="429">
        <f t="shared" si="12"/>
        <v>0</v>
      </c>
    </row>
    <row r="139" spans="1:12" x14ac:dyDescent="0.2">
      <c r="A139" s="72" t="s">
        <v>5513</v>
      </c>
      <c r="B139" s="72">
        <v>106</v>
      </c>
      <c r="C139" s="31" t="s">
        <v>5514</v>
      </c>
      <c r="D139" s="10" t="str">
        <f>A139</f>
        <v>23 Feb</v>
      </c>
      <c r="E139" s="10" t="s">
        <v>3366</v>
      </c>
      <c r="F139" s="218" t="s">
        <v>3946</v>
      </c>
      <c r="G139" s="237" t="s">
        <v>3432</v>
      </c>
      <c r="H139" s="237"/>
      <c r="I139" s="10" t="s">
        <v>3343</v>
      </c>
      <c r="J139" s="31" t="s">
        <v>11</v>
      </c>
      <c r="K139" s="429">
        <f t="shared" si="12"/>
        <v>0</v>
      </c>
    </row>
    <row r="140" spans="1:12" x14ac:dyDescent="0.2">
      <c r="A140" s="72"/>
      <c r="B140" s="72">
        <v>107</v>
      </c>
      <c r="C140" s="31" t="s">
        <v>5461</v>
      </c>
      <c r="D140" s="10">
        <f t="shared" ref="D140:D183" si="15">A140</f>
        <v>0</v>
      </c>
      <c r="E140" s="10" t="s">
        <v>3366</v>
      </c>
      <c r="F140" s="218" t="s">
        <v>3922</v>
      </c>
      <c r="G140" s="237" t="s">
        <v>3923</v>
      </c>
      <c r="H140" s="237"/>
      <c r="I140" s="10" t="s">
        <v>3343</v>
      </c>
      <c r="J140" s="31" t="s">
        <v>11</v>
      </c>
      <c r="K140" s="429">
        <f t="shared" si="12"/>
        <v>0</v>
      </c>
    </row>
    <row r="141" spans="1:12" x14ac:dyDescent="0.2">
      <c r="A141" s="72" t="s">
        <v>4014</v>
      </c>
      <c r="B141" s="72">
        <v>108</v>
      </c>
      <c r="C141" s="31" t="s">
        <v>5515</v>
      </c>
      <c r="D141" s="10" t="str">
        <f t="shared" si="15"/>
        <v>24 Feb</v>
      </c>
      <c r="E141" s="10" t="s">
        <v>3366</v>
      </c>
      <c r="F141" s="218" t="s">
        <v>3977</v>
      </c>
      <c r="G141" s="237" t="s">
        <v>5516</v>
      </c>
      <c r="H141" s="237"/>
      <c r="I141" s="10" t="s">
        <v>3343</v>
      </c>
      <c r="J141" s="31" t="s">
        <v>11</v>
      </c>
      <c r="K141" s="429">
        <f t="shared" si="12"/>
        <v>0</v>
      </c>
    </row>
    <row r="142" spans="1:12" x14ac:dyDescent="0.2">
      <c r="A142" s="72" t="s">
        <v>4015</v>
      </c>
      <c r="B142" s="72">
        <f>B141+1</f>
        <v>109</v>
      </c>
      <c r="C142" s="31" t="s">
        <v>5517</v>
      </c>
      <c r="D142" s="10" t="str">
        <f t="shared" si="15"/>
        <v>25 Feb</v>
      </c>
      <c r="E142" s="10" t="s">
        <v>3366</v>
      </c>
      <c r="F142" s="218" t="s">
        <v>3545</v>
      </c>
      <c r="G142" s="237" t="s">
        <v>3544</v>
      </c>
      <c r="H142" s="237"/>
      <c r="I142" s="10" t="s">
        <v>3343</v>
      </c>
      <c r="J142" s="31" t="s">
        <v>11</v>
      </c>
      <c r="K142" s="429">
        <f t="shared" si="12"/>
        <v>0</v>
      </c>
    </row>
    <row r="143" spans="1:12" x14ac:dyDescent="0.2">
      <c r="A143" s="72"/>
      <c r="B143" s="72">
        <f t="shared" ref="B143:B161" si="16">B142+1</f>
        <v>110</v>
      </c>
      <c r="C143" s="31" t="s">
        <v>5518</v>
      </c>
      <c r="D143" s="10">
        <f t="shared" si="15"/>
        <v>0</v>
      </c>
      <c r="E143" s="10" t="s">
        <v>3366</v>
      </c>
      <c r="F143" s="218" t="s">
        <v>3934</v>
      </c>
      <c r="G143" s="237" t="s">
        <v>3951</v>
      </c>
      <c r="H143" s="237"/>
      <c r="I143" s="10" t="s">
        <v>3343</v>
      </c>
      <c r="J143" s="31" t="s">
        <v>11</v>
      </c>
      <c r="K143" s="429">
        <f t="shared" si="12"/>
        <v>0</v>
      </c>
    </row>
    <row r="144" spans="1:12" x14ac:dyDescent="0.2">
      <c r="A144" s="72"/>
      <c r="B144" s="72">
        <f t="shared" si="16"/>
        <v>111</v>
      </c>
      <c r="C144" s="31" t="s">
        <v>5519</v>
      </c>
      <c r="D144" s="10">
        <f t="shared" si="15"/>
        <v>0</v>
      </c>
      <c r="E144" s="10" t="s">
        <v>3366</v>
      </c>
      <c r="F144" s="218" t="s">
        <v>3935</v>
      </c>
      <c r="G144" s="237" t="s">
        <v>3406</v>
      </c>
      <c r="H144" s="237"/>
      <c r="I144" s="10" t="s">
        <v>3343</v>
      </c>
      <c r="J144" s="31" t="s">
        <v>11</v>
      </c>
      <c r="K144" s="429">
        <f t="shared" si="12"/>
        <v>0</v>
      </c>
      <c r="L144" s="73"/>
    </row>
    <row r="145" spans="1:12" x14ac:dyDescent="0.2">
      <c r="A145" s="72"/>
      <c r="B145" s="72">
        <v>112</v>
      </c>
      <c r="C145" s="31" t="s">
        <v>5391</v>
      </c>
      <c r="D145" s="10">
        <f t="shared" si="15"/>
        <v>0</v>
      </c>
      <c r="E145" s="10" t="s">
        <v>3366</v>
      </c>
      <c r="F145" s="218" t="s">
        <v>3946</v>
      </c>
      <c r="G145" s="237" t="s">
        <v>3432</v>
      </c>
      <c r="H145" s="237"/>
      <c r="I145" s="10" t="s">
        <v>3343</v>
      </c>
      <c r="J145" s="31" t="s">
        <v>11</v>
      </c>
      <c r="K145" s="429">
        <f t="shared" si="12"/>
        <v>0</v>
      </c>
    </row>
    <row r="146" spans="1:12" x14ac:dyDescent="0.2">
      <c r="A146" s="72"/>
      <c r="B146" s="72">
        <v>113</v>
      </c>
      <c r="C146" s="31" t="s">
        <v>4356</v>
      </c>
      <c r="D146" s="10">
        <f t="shared" si="15"/>
        <v>0</v>
      </c>
      <c r="E146" s="10" t="s">
        <v>3366</v>
      </c>
      <c r="F146" s="218" t="s">
        <v>3929</v>
      </c>
      <c r="G146" s="237" t="s">
        <v>3930</v>
      </c>
      <c r="H146" s="237"/>
      <c r="I146" s="10" t="s">
        <v>3343</v>
      </c>
      <c r="J146" s="31" t="s">
        <v>11</v>
      </c>
      <c r="K146" s="429">
        <f t="shared" si="12"/>
        <v>0</v>
      </c>
      <c r="L146" s="237"/>
    </row>
    <row r="147" spans="1:12" x14ac:dyDescent="0.2">
      <c r="A147" s="72" t="s">
        <v>4018</v>
      </c>
      <c r="B147" s="72">
        <v>114</v>
      </c>
      <c r="C147" s="31" t="s">
        <v>5520</v>
      </c>
      <c r="D147" s="10" t="str">
        <f t="shared" si="15"/>
        <v>27 Feb</v>
      </c>
      <c r="E147" s="10" t="s">
        <v>3366</v>
      </c>
      <c r="F147" s="218" t="s">
        <v>3971</v>
      </c>
      <c r="G147" s="237" t="s">
        <v>3972</v>
      </c>
      <c r="H147" s="237"/>
      <c r="I147" s="10" t="s">
        <v>3343</v>
      </c>
      <c r="J147" s="31" t="s">
        <v>11</v>
      </c>
      <c r="K147" s="429">
        <f t="shared" ref="K147" si="17">H147</f>
        <v>0</v>
      </c>
      <c r="L147" s="254"/>
    </row>
    <row r="148" spans="1:12" x14ac:dyDescent="0.2">
      <c r="A148" s="72"/>
      <c r="B148" s="72">
        <v>115</v>
      </c>
      <c r="C148" s="31" t="s">
        <v>5521</v>
      </c>
      <c r="D148" s="10">
        <f t="shared" si="15"/>
        <v>0</v>
      </c>
      <c r="E148" s="10" t="s">
        <v>3366</v>
      </c>
      <c r="F148" s="218" t="s">
        <v>3483</v>
      </c>
      <c r="G148" s="237" t="s">
        <v>3484</v>
      </c>
      <c r="H148" s="237"/>
      <c r="I148" s="10" t="s">
        <v>3343</v>
      </c>
      <c r="J148" s="31" t="s">
        <v>11</v>
      </c>
      <c r="K148" s="429">
        <f t="shared" si="12"/>
        <v>0</v>
      </c>
    </row>
    <row r="149" spans="1:12" x14ac:dyDescent="0.2">
      <c r="A149" s="72"/>
      <c r="B149" s="72">
        <f t="shared" si="16"/>
        <v>116</v>
      </c>
      <c r="C149" s="31" t="s">
        <v>5522</v>
      </c>
      <c r="D149" s="10">
        <f t="shared" si="15"/>
        <v>0</v>
      </c>
      <c r="E149" s="10" t="s">
        <v>3366</v>
      </c>
      <c r="F149" s="218" t="s">
        <v>3486</v>
      </c>
      <c r="G149" s="237" t="s">
        <v>3973</v>
      </c>
      <c r="H149" s="237"/>
      <c r="I149" s="10" t="s">
        <v>3343</v>
      </c>
      <c r="J149" s="31" t="s">
        <v>11</v>
      </c>
      <c r="K149" s="429">
        <f t="shared" si="12"/>
        <v>0</v>
      </c>
    </row>
    <row r="150" spans="1:12" x14ac:dyDescent="0.2">
      <c r="A150" s="72"/>
      <c r="B150" s="72">
        <f t="shared" si="16"/>
        <v>117</v>
      </c>
      <c r="C150" s="31" t="s">
        <v>5523</v>
      </c>
      <c r="D150" s="10">
        <f t="shared" si="15"/>
        <v>0</v>
      </c>
      <c r="E150" s="10" t="s">
        <v>3366</v>
      </c>
      <c r="F150" s="218" t="s">
        <v>3486</v>
      </c>
      <c r="G150" s="237" t="s">
        <v>3973</v>
      </c>
      <c r="H150" s="237"/>
      <c r="I150" s="10" t="s">
        <v>3343</v>
      </c>
      <c r="J150" s="31" t="s">
        <v>11</v>
      </c>
      <c r="K150" s="429">
        <f t="shared" si="12"/>
        <v>0</v>
      </c>
    </row>
    <row r="151" spans="1:12" x14ac:dyDescent="0.2">
      <c r="A151" s="10"/>
      <c r="B151" s="72">
        <f t="shared" si="16"/>
        <v>118</v>
      </c>
      <c r="C151" s="31" t="s">
        <v>5524</v>
      </c>
      <c r="D151" s="10">
        <f t="shared" si="15"/>
        <v>0</v>
      </c>
      <c r="E151" s="10" t="s">
        <v>3366</v>
      </c>
      <c r="F151" s="218" t="s">
        <v>3486</v>
      </c>
      <c r="G151" s="237" t="s">
        <v>3973</v>
      </c>
      <c r="H151" s="237"/>
      <c r="I151" s="10" t="s">
        <v>3343</v>
      </c>
      <c r="J151" s="31" t="s">
        <v>11</v>
      </c>
      <c r="K151" s="429">
        <f t="shared" si="12"/>
        <v>0</v>
      </c>
    </row>
    <row r="152" spans="1:12" x14ac:dyDescent="0.2">
      <c r="A152" s="72"/>
      <c r="B152" s="72">
        <f t="shared" si="16"/>
        <v>119</v>
      </c>
      <c r="C152" s="31" t="s">
        <v>5525</v>
      </c>
      <c r="D152" s="10">
        <f t="shared" si="15"/>
        <v>0</v>
      </c>
      <c r="E152" s="10" t="s">
        <v>3366</v>
      </c>
      <c r="F152" s="218" t="s">
        <v>3925</v>
      </c>
      <c r="G152" s="31" t="s">
        <v>5429</v>
      </c>
      <c r="H152" s="237"/>
      <c r="I152" s="10" t="s">
        <v>3343</v>
      </c>
      <c r="J152" s="31" t="s">
        <v>11</v>
      </c>
      <c r="K152" s="429">
        <f t="shared" si="12"/>
        <v>0</v>
      </c>
    </row>
    <row r="153" spans="1:12" x14ac:dyDescent="0.2">
      <c r="A153" s="72"/>
      <c r="B153" s="72"/>
      <c r="C153" s="31" t="s">
        <v>5525</v>
      </c>
      <c r="D153" s="10">
        <f t="shared" si="15"/>
        <v>0</v>
      </c>
      <c r="E153" s="10" t="s">
        <v>3366</v>
      </c>
      <c r="F153" s="218" t="s">
        <v>3520</v>
      </c>
      <c r="G153" s="31" t="s">
        <v>5430</v>
      </c>
      <c r="H153" s="237"/>
      <c r="I153" s="10" t="s">
        <v>3343</v>
      </c>
      <c r="J153" s="31" t="s">
        <v>11</v>
      </c>
      <c r="K153" s="429">
        <f t="shared" si="12"/>
        <v>0</v>
      </c>
    </row>
    <row r="154" spans="1:12" x14ac:dyDescent="0.2">
      <c r="A154" s="72"/>
      <c r="B154" s="72"/>
      <c r="C154" s="31" t="s">
        <v>5527</v>
      </c>
      <c r="D154" s="10">
        <f t="shared" si="15"/>
        <v>0</v>
      </c>
      <c r="E154" s="10" t="s">
        <v>3366</v>
      </c>
      <c r="F154" s="218" t="s">
        <v>3543</v>
      </c>
      <c r="G154" s="237" t="s">
        <v>5526</v>
      </c>
      <c r="H154" s="237"/>
      <c r="I154" s="10" t="s">
        <v>3343</v>
      </c>
      <c r="J154" s="31" t="s">
        <v>11</v>
      </c>
      <c r="K154" s="429">
        <f t="shared" si="12"/>
        <v>0</v>
      </c>
    </row>
    <row r="155" spans="1:12" x14ac:dyDescent="0.2">
      <c r="A155" s="72"/>
      <c r="B155" s="72">
        <v>120</v>
      </c>
      <c r="C155" s="31" t="s">
        <v>5528</v>
      </c>
      <c r="D155" s="10">
        <f t="shared" si="15"/>
        <v>0</v>
      </c>
      <c r="E155" s="10" t="s">
        <v>3366</v>
      </c>
      <c r="F155" s="218" t="s">
        <v>3965</v>
      </c>
      <c r="G155" s="237" t="s">
        <v>3478</v>
      </c>
      <c r="H155" s="237"/>
      <c r="I155" s="10" t="s">
        <v>3343</v>
      </c>
      <c r="J155" s="31" t="s">
        <v>11</v>
      </c>
      <c r="K155" s="429">
        <f t="shared" si="12"/>
        <v>0</v>
      </c>
    </row>
    <row r="156" spans="1:12" x14ac:dyDescent="0.2">
      <c r="A156" s="72"/>
      <c r="B156" s="72">
        <f t="shared" si="16"/>
        <v>121</v>
      </c>
      <c r="C156" s="31" t="s">
        <v>5529</v>
      </c>
      <c r="D156" s="10">
        <f t="shared" si="15"/>
        <v>0</v>
      </c>
      <c r="E156" s="10" t="s">
        <v>3366</v>
      </c>
      <c r="F156" s="218" t="s">
        <v>3969</v>
      </c>
      <c r="G156" s="237" t="s">
        <v>5530</v>
      </c>
      <c r="H156" s="237"/>
      <c r="I156" s="10" t="s">
        <v>3343</v>
      </c>
      <c r="J156" s="31" t="s">
        <v>11</v>
      </c>
      <c r="K156" s="429">
        <f t="shared" si="12"/>
        <v>0</v>
      </c>
    </row>
    <row r="157" spans="1:12" x14ac:dyDescent="0.2">
      <c r="A157" s="72"/>
      <c r="B157" s="72">
        <f t="shared" si="16"/>
        <v>122</v>
      </c>
      <c r="C157" s="31" t="s">
        <v>5000</v>
      </c>
      <c r="D157" s="10">
        <f t="shared" si="15"/>
        <v>0</v>
      </c>
      <c r="E157" s="10" t="s">
        <v>3366</v>
      </c>
      <c r="F157" s="218" t="s">
        <v>3925</v>
      </c>
      <c r="G157" s="237" t="s">
        <v>3962</v>
      </c>
      <c r="H157" s="237"/>
      <c r="I157" s="10" t="s">
        <v>3343</v>
      </c>
      <c r="J157" s="31" t="s">
        <v>11</v>
      </c>
      <c r="K157" s="429">
        <f t="shared" si="12"/>
        <v>0</v>
      </c>
    </row>
    <row r="158" spans="1:12" x14ac:dyDescent="0.2">
      <c r="A158" s="10"/>
      <c r="B158" s="72"/>
      <c r="C158" s="31" t="s">
        <v>5000</v>
      </c>
      <c r="D158" s="10">
        <f t="shared" si="15"/>
        <v>0</v>
      </c>
      <c r="E158" s="10" t="s">
        <v>3366</v>
      </c>
      <c r="F158" s="218" t="s">
        <v>3520</v>
      </c>
      <c r="G158" s="237" t="s">
        <v>3964</v>
      </c>
      <c r="H158" s="237"/>
      <c r="I158" s="10" t="s">
        <v>3343</v>
      </c>
      <c r="J158" s="31" t="s">
        <v>11</v>
      </c>
      <c r="K158" s="429">
        <f t="shared" si="12"/>
        <v>0</v>
      </c>
    </row>
    <row r="159" spans="1:12" x14ac:dyDescent="0.2">
      <c r="A159" s="10"/>
      <c r="B159" s="72"/>
      <c r="C159" s="31" t="s">
        <v>5531</v>
      </c>
      <c r="D159" s="10">
        <f t="shared" si="15"/>
        <v>0</v>
      </c>
      <c r="E159" s="10" t="s">
        <v>3366</v>
      </c>
      <c r="F159" s="218" t="s">
        <v>3543</v>
      </c>
      <c r="G159" s="237" t="s">
        <v>3963</v>
      </c>
      <c r="H159" s="237"/>
      <c r="I159" s="10" t="s">
        <v>3343</v>
      </c>
      <c r="J159" s="31" t="s">
        <v>11</v>
      </c>
      <c r="K159" s="429">
        <f t="shared" si="12"/>
        <v>0</v>
      </c>
    </row>
    <row r="160" spans="1:12" x14ac:dyDescent="0.2">
      <c r="A160" s="72"/>
      <c r="B160" s="72">
        <v>123</v>
      </c>
      <c r="C160" s="31" t="s">
        <v>5532</v>
      </c>
      <c r="D160" s="10">
        <f t="shared" si="15"/>
        <v>0</v>
      </c>
      <c r="E160" s="10" t="s">
        <v>3366</v>
      </c>
      <c r="F160" s="218" t="s">
        <v>3960</v>
      </c>
      <c r="G160" s="237" t="s">
        <v>3456</v>
      </c>
      <c r="H160" s="237"/>
      <c r="I160" s="10" t="s">
        <v>3343</v>
      </c>
      <c r="J160" s="31" t="s">
        <v>11</v>
      </c>
      <c r="K160" s="429">
        <f t="shared" si="12"/>
        <v>0</v>
      </c>
    </row>
    <row r="161" spans="1:11" x14ac:dyDescent="0.2">
      <c r="A161" s="72"/>
      <c r="B161" s="72">
        <f t="shared" si="16"/>
        <v>124</v>
      </c>
      <c r="C161" s="31" t="s">
        <v>5533</v>
      </c>
      <c r="D161" s="10">
        <f t="shared" si="15"/>
        <v>0</v>
      </c>
      <c r="E161" s="10" t="s">
        <v>3366</v>
      </c>
      <c r="F161" s="218" t="s">
        <v>3925</v>
      </c>
      <c r="G161" s="237" t="s">
        <v>3958</v>
      </c>
      <c r="H161" s="237"/>
      <c r="I161" s="10" t="s">
        <v>3343</v>
      </c>
      <c r="J161" s="31" t="s">
        <v>11</v>
      </c>
      <c r="K161" s="429">
        <f>H161</f>
        <v>0</v>
      </c>
    </row>
    <row r="162" spans="1:11" x14ac:dyDescent="0.2">
      <c r="A162" s="10"/>
      <c r="B162" s="72"/>
      <c r="C162" s="31" t="s">
        <v>5533</v>
      </c>
      <c r="D162" s="10">
        <f t="shared" si="15"/>
        <v>0</v>
      </c>
      <c r="E162" s="10" t="s">
        <v>3366</v>
      </c>
      <c r="F162" s="218" t="s">
        <v>3520</v>
      </c>
      <c r="G162" s="237" t="s">
        <v>4019</v>
      </c>
      <c r="H162" s="237"/>
      <c r="I162" s="10" t="s">
        <v>3343</v>
      </c>
      <c r="J162" s="31" t="s">
        <v>11</v>
      </c>
      <c r="K162" s="429">
        <f t="shared" si="12"/>
        <v>0</v>
      </c>
    </row>
    <row r="163" spans="1:11" x14ac:dyDescent="0.2">
      <c r="A163" s="72"/>
      <c r="B163" s="72"/>
      <c r="C163" s="31" t="s">
        <v>5534</v>
      </c>
      <c r="D163" s="10">
        <f t="shared" si="15"/>
        <v>0</v>
      </c>
      <c r="E163" s="10" t="s">
        <v>3366</v>
      </c>
      <c r="F163" s="218" t="s">
        <v>3543</v>
      </c>
      <c r="G163" s="237" t="s">
        <v>3959</v>
      </c>
      <c r="H163" s="237"/>
      <c r="I163" s="10" t="s">
        <v>3343</v>
      </c>
      <c r="J163" s="31" t="s">
        <v>11</v>
      </c>
      <c r="K163" s="429">
        <f>H163</f>
        <v>0</v>
      </c>
    </row>
    <row r="164" spans="1:11" x14ac:dyDescent="0.2">
      <c r="A164" s="72"/>
      <c r="B164" s="72">
        <v>125</v>
      </c>
      <c r="C164" s="31" t="s">
        <v>5535</v>
      </c>
      <c r="D164" s="10">
        <f t="shared" si="15"/>
        <v>0</v>
      </c>
      <c r="E164" s="10" t="s">
        <v>3366</v>
      </c>
      <c r="F164" s="218" t="s">
        <v>3956</v>
      </c>
      <c r="G164" s="237" t="s">
        <v>5536</v>
      </c>
      <c r="H164" s="237"/>
      <c r="I164" s="10" t="s">
        <v>3343</v>
      </c>
      <c r="J164" s="31" t="s">
        <v>11</v>
      </c>
      <c r="K164" s="429">
        <f t="shared" si="12"/>
        <v>0</v>
      </c>
    </row>
    <row r="165" spans="1:11" x14ac:dyDescent="0.2">
      <c r="A165" s="72"/>
      <c r="B165" s="72">
        <v>126</v>
      </c>
      <c r="C165" s="31" t="s">
        <v>5537</v>
      </c>
      <c r="D165" s="10">
        <f t="shared" si="15"/>
        <v>0</v>
      </c>
      <c r="E165" s="10" t="s">
        <v>3366</v>
      </c>
      <c r="F165" s="218" t="s">
        <v>3976</v>
      </c>
      <c r="G165" s="237" t="s">
        <v>3488</v>
      </c>
      <c r="H165" s="237"/>
      <c r="I165" s="10" t="s">
        <v>3343</v>
      </c>
      <c r="J165" s="31" t="s">
        <v>11</v>
      </c>
      <c r="K165" s="429">
        <f t="shared" si="12"/>
        <v>0</v>
      </c>
    </row>
    <row r="166" spans="1:11" x14ac:dyDescent="0.2">
      <c r="A166" s="72"/>
      <c r="B166" s="72">
        <v>127</v>
      </c>
      <c r="C166" s="31" t="s">
        <v>5538</v>
      </c>
      <c r="D166" s="10">
        <f t="shared" si="15"/>
        <v>0</v>
      </c>
      <c r="E166" s="10" t="s">
        <v>3366</v>
      </c>
      <c r="F166" s="218" t="s">
        <v>3932</v>
      </c>
      <c r="G166" s="237" t="s">
        <v>3933</v>
      </c>
      <c r="H166" s="237"/>
      <c r="I166" s="10" t="s">
        <v>3343</v>
      </c>
      <c r="J166" s="31" t="s">
        <v>11</v>
      </c>
      <c r="K166" s="429">
        <f t="shared" si="12"/>
        <v>0</v>
      </c>
    </row>
    <row r="167" spans="1:11" x14ac:dyDescent="0.2">
      <c r="A167" s="72"/>
      <c r="B167" s="72">
        <v>128</v>
      </c>
      <c r="C167" s="31" t="s">
        <v>5539</v>
      </c>
      <c r="D167" s="10">
        <f t="shared" si="15"/>
        <v>0</v>
      </c>
      <c r="E167" s="10" t="s">
        <v>3366</v>
      </c>
      <c r="F167" s="218" t="s">
        <v>3971</v>
      </c>
      <c r="G167" s="237" t="s">
        <v>3972</v>
      </c>
      <c r="H167" s="237"/>
      <c r="I167" s="10" t="s">
        <v>3343</v>
      </c>
      <c r="J167" s="31" t="s">
        <v>11</v>
      </c>
      <c r="K167" s="429">
        <f t="shared" si="12"/>
        <v>0</v>
      </c>
    </row>
    <row r="168" spans="1:11" x14ac:dyDescent="0.2">
      <c r="A168" s="72"/>
      <c r="B168" s="72"/>
      <c r="C168" s="31" t="s">
        <v>5539</v>
      </c>
      <c r="D168" s="10">
        <f t="shared" si="15"/>
        <v>0</v>
      </c>
      <c r="E168" s="10" t="s">
        <v>3366</v>
      </c>
      <c r="F168" s="218" t="s">
        <v>3483</v>
      </c>
      <c r="G168" s="237" t="s">
        <v>3484</v>
      </c>
      <c r="H168" s="237"/>
      <c r="I168" s="10" t="s">
        <v>3343</v>
      </c>
      <c r="J168" s="31" t="s">
        <v>11</v>
      </c>
      <c r="K168" s="429">
        <f t="shared" si="12"/>
        <v>0</v>
      </c>
    </row>
    <row r="169" spans="1:11" x14ac:dyDescent="0.2">
      <c r="A169" s="72"/>
      <c r="B169" s="72"/>
      <c r="C169" s="31" t="s">
        <v>5540</v>
      </c>
      <c r="D169" s="10">
        <f t="shared" si="15"/>
        <v>0</v>
      </c>
      <c r="E169" s="10" t="s">
        <v>3366</v>
      </c>
      <c r="F169" s="218" t="s">
        <v>3486</v>
      </c>
      <c r="G169" s="237" t="s">
        <v>3973</v>
      </c>
      <c r="H169" s="237"/>
      <c r="I169" s="10" t="s">
        <v>3343</v>
      </c>
      <c r="J169" s="31" t="s">
        <v>11</v>
      </c>
      <c r="K169" s="429">
        <f t="shared" si="12"/>
        <v>0</v>
      </c>
    </row>
    <row r="170" spans="1:11" x14ac:dyDescent="0.2">
      <c r="A170" s="72"/>
      <c r="B170" s="72">
        <v>129</v>
      </c>
      <c r="C170" s="31" t="s">
        <v>5541</v>
      </c>
      <c r="D170" s="10">
        <f t="shared" si="15"/>
        <v>0</v>
      </c>
      <c r="E170" s="10" t="s">
        <v>3366</v>
      </c>
      <c r="F170" s="218" t="s">
        <v>3952</v>
      </c>
      <c r="G170" s="237" t="s">
        <v>5542</v>
      </c>
      <c r="H170" s="237"/>
      <c r="I170" s="10" t="s">
        <v>3343</v>
      </c>
      <c r="J170" s="31" t="s">
        <v>11</v>
      </c>
      <c r="K170" s="429">
        <f t="shared" si="12"/>
        <v>0</v>
      </c>
    </row>
    <row r="171" spans="1:11" x14ac:dyDescent="0.2">
      <c r="A171" s="72"/>
      <c r="B171" s="72">
        <v>130</v>
      </c>
      <c r="C171" s="31" t="s">
        <v>5543</v>
      </c>
      <c r="D171" s="10">
        <f t="shared" si="15"/>
        <v>0</v>
      </c>
      <c r="E171" s="10" t="s">
        <v>3366</v>
      </c>
      <c r="F171" s="218" t="s">
        <v>3954</v>
      </c>
      <c r="G171" s="237" t="s">
        <v>3955</v>
      </c>
      <c r="H171" s="237"/>
      <c r="I171" s="10" t="s">
        <v>3343</v>
      </c>
      <c r="J171" s="31" t="s">
        <v>11</v>
      </c>
      <c r="K171" s="429">
        <f t="shared" ref="K171:K183" si="18">H171</f>
        <v>0</v>
      </c>
    </row>
    <row r="172" spans="1:11" x14ac:dyDescent="0.2">
      <c r="A172" s="72"/>
      <c r="B172" s="72">
        <v>131</v>
      </c>
      <c r="C172" s="31" t="s">
        <v>5544</v>
      </c>
      <c r="D172" s="10">
        <f t="shared" si="15"/>
        <v>0</v>
      </c>
      <c r="E172" s="10" t="s">
        <v>3366</v>
      </c>
      <c r="F172" s="218" t="s">
        <v>3956</v>
      </c>
      <c r="G172" s="237" t="s">
        <v>5536</v>
      </c>
      <c r="H172" s="237"/>
      <c r="I172" s="10" t="s">
        <v>3343</v>
      </c>
      <c r="J172" s="31" t="s">
        <v>11</v>
      </c>
      <c r="K172" s="429">
        <f t="shared" si="18"/>
        <v>0</v>
      </c>
    </row>
    <row r="173" spans="1:11" x14ac:dyDescent="0.2">
      <c r="A173" s="72"/>
      <c r="B173" s="72">
        <v>132</v>
      </c>
      <c r="C173" s="31" t="s">
        <v>5545</v>
      </c>
      <c r="D173" s="10">
        <f t="shared" si="15"/>
        <v>0</v>
      </c>
      <c r="E173" s="10" t="s">
        <v>3366</v>
      </c>
      <c r="F173" s="218" t="s">
        <v>3922</v>
      </c>
      <c r="G173" s="237" t="s">
        <v>3923</v>
      </c>
      <c r="H173" s="237"/>
      <c r="I173" s="10" t="s">
        <v>3343</v>
      </c>
      <c r="J173" s="31" t="s">
        <v>11</v>
      </c>
      <c r="K173" s="429">
        <f t="shared" si="18"/>
        <v>0</v>
      </c>
    </row>
    <row r="174" spans="1:11" x14ac:dyDescent="0.2">
      <c r="A174" s="72"/>
      <c r="B174" s="72">
        <v>133</v>
      </c>
      <c r="C174" s="31" t="s">
        <v>5546</v>
      </c>
      <c r="D174" s="10">
        <f t="shared" si="15"/>
        <v>0</v>
      </c>
      <c r="E174" s="10" t="s">
        <v>3366</v>
      </c>
      <c r="F174" s="218" t="s">
        <v>3969</v>
      </c>
      <c r="G174" s="237" t="s">
        <v>5530</v>
      </c>
      <c r="H174" s="237"/>
      <c r="I174" s="10" t="s">
        <v>3343</v>
      </c>
      <c r="J174" s="31" t="s">
        <v>11</v>
      </c>
      <c r="K174" s="429">
        <f t="shared" si="18"/>
        <v>0</v>
      </c>
    </row>
    <row r="175" spans="1:11" x14ac:dyDescent="0.2">
      <c r="A175" s="72"/>
      <c r="B175" s="72">
        <v>134</v>
      </c>
      <c r="C175" s="31" t="s">
        <v>5547</v>
      </c>
      <c r="D175" s="10">
        <f t="shared" si="15"/>
        <v>0</v>
      </c>
      <c r="E175" s="10" t="s">
        <v>3366</v>
      </c>
      <c r="F175" s="218" t="s">
        <v>3941</v>
      </c>
      <c r="G175" s="237" t="s">
        <v>3942</v>
      </c>
      <c r="H175" s="237"/>
      <c r="I175" s="10" t="s">
        <v>3343</v>
      </c>
      <c r="J175" s="31" t="s">
        <v>11</v>
      </c>
      <c r="K175" s="429">
        <f t="shared" si="18"/>
        <v>0</v>
      </c>
    </row>
    <row r="176" spans="1:11" x14ac:dyDescent="0.2">
      <c r="A176" s="72"/>
      <c r="B176" s="72">
        <f>1+B175</f>
        <v>135</v>
      </c>
      <c r="C176" s="31" t="s">
        <v>5548</v>
      </c>
      <c r="D176" s="10">
        <f t="shared" si="15"/>
        <v>0</v>
      </c>
      <c r="E176" s="10" t="s">
        <v>3366</v>
      </c>
      <c r="F176" s="218" t="s">
        <v>3936</v>
      </c>
      <c r="G176" s="237" t="s">
        <v>3937</v>
      </c>
      <c r="H176" s="237"/>
      <c r="I176" s="10" t="s">
        <v>3343</v>
      </c>
      <c r="J176" s="31" t="s">
        <v>11</v>
      </c>
      <c r="K176" s="429">
        <f t="shared" si="18"/>
        <v>0</v>
      </c>
    </row>
    <row r="177" spans="1:14" x14ac:dyDescent="0.2">
      <c r="A177" s="72"/>
      <c r="B177" s="72">
        <f t="shared" ref="B177:B183" si="19">1+B176</f>
        <v>136</v>
      </c>
      <c r="C177" s="31" t="s">
        <v>5549</v>
      </c>
      <c r="D177" s="10">
        <f t="shared" si="15"/>
        <v>0</v>
      </c>
      <c r="E177" s="10" t="s">
        <v>3366</v>
      </c>
      <c r="F177" s="218" t="s">
        <v>3921</v>
      </c>
      <c r="G177" s="237" t="s">
        <v>3402</v>
      </c>
      <c r="H177" s="237"/>
      <c r="I177" s="10" t="s">
        <v>3343</v>
      </c>
      <c r="J177" s="31" t="s">
        <v>11</v>
      </c>
      <c r="K177" s="429">
        <f t="shared" si="18"/>
        <v>0</v>
      </c>
    </row>
    <row r="178" spans="1:14" x14ac:dyDescent="0.2">
      <c r="A178" s="72"/>
      <c r="B178" s="72">
        <f t="shared" si="19"/>
        <v>137</v>
      </c>
      <c r="C178" s="31" t="s">
        <v>5550</v>
      </c>
      <c r="D178" s="10">
        <f t="shared" si="15"/>
        <v>0</v>
      </c>
      <c r="E178" s="10" t="s">
        <v>3366</v>
      </c>
      <c r="F178" s="218" t="s">
        <v>3936</v>
      </c>
      <c r="G178" s="237" t="s">
        <v>3937</v>
      </c>
      <c r="H178" s="237"/>
      <c r="I178" s="10" t="s">
        <v>3343</v>
      </c>
      <c r="J178" s="31" t="s">
        <v>11</v>
      </c>
      <c r="K178" s="429">
        <f t="shared" si="18"/>
        <v>0</v>
      </c>
    </row>
    <row r="179" spans="1:14" x14ac:dyDescent="0.2">
      <c r="A179" s="72"/>
      <c r="B179" s="72">
        <f t="shared" si="19"/>
        <v>138</v>
      </c>
      <c r="C179" s="31" t="s">
        <v>5551</v>
      </c>
      <c r="D179" s="10">
        <f t="shared" si="15"/>
        <v>0</v>
      </c>
      <c r="E179" s="10" t="s">
        <v>3366</v>
      </c>
      <c r="F179" s="218" t="s">
        <v>3936</v>
      </c>
      <c r="G179" s="237" t="s">
        <v>3937</v>
      </c>
      <c r="H179" s="237"/>
      <c r="I179" s="10" t="s">
        <v>3343</v>
      </c>
      <c r="J179" s="31" t="s">
        <v>11</v>
      </c>
      <c r="K179" s="429">
        <f t="shared" si="18"/>
        <v>0</v>
      </c>
    </row>
    <row r="180" spans="1:14" x14ac:dyDescent="0.2">
      <c r="A180" s="72"/>
      <c r="B180" s="72">
        <f t="shared" si="19"/>
        <v>139</v>
      </c>
      <c r="C180" s="31" t="s">
        <v>5552</v>
      </c>
      <c r="D180" s="10">
        <f t="shared" si="15"/>
        <v>0</v>
      </c>
      <c r="E180" s="10" t="s">
        <v>3366</v>
      </c>
      <c r="F180" s="218" t="s">
        <v>3922</v>
      </c>
      <c r="G180" s="237" t="s">
        <v>3923</v>
      </c>
      <c r="H180" s="237"/>
      <c r="I180" s="10" t="s">
        <v>3343</v>
      </c>
      <c r="J180" s="31" t="s">
        <v>11</v>
      </c>
      <c r="K180" s="429">
        <f t="shared" si="18"/>
        <v>0</v>
      </c>
    </row>
    <row r="181" spans="1:14" x14ac:dyDescent="0.2">
      <c r="A181" s="72"/>
      <c r="B181" s="72">
        <f t="shared" si="19"/>
        <v>140</v>
      </c>
      <c r="C181" s="31" t="s">
        <v>5553</v>
      </c>
      <c r="D181" s="10">
        <f t="shared" si="15"/>
        <v>0</v>
      </c>
      <c r="E181" s="10" t="s">
        <v>3366</v>
      </c>
      <c r="F181" s="218" t="s">
        <v>3922</v>
      </c>
      <c r="G181" s="237" t="s">
        <v>3923</v>
      </c>
      <c r="H181" s="237"/>
      <c r="I181" s="10" t="s">
        <v>3343</v>
      </c>
      <c r="J181" s="31" t="s">
        <v>11</v>
      </c>
      <c r="K181" s="429">
        <f t="shared" si="18"/>
        <v>0</v>
      </c>
    </row>
    <row r="182" spans="1:14" x14ac:dyDescent="0.2">
      <c r="A182" s="72"/>
      <c r="B182" s="72">
        <f t="shared" si="19"/>
        <v>141</v>
      </c>
      <c r="C182" s="31" t="s">
        <v>5554</v>
      </c>
      <c r="D182" s="10">
        <f t="shared" si="15"/>
        <v>0</v>
      </c>
      <c r="E182" s="10" t="s">
        <v>3366</v>
      </c>
      <c r="F182" s="218" t="s">
        <v>3961</v>
      </c>
      <c r="G182" s="237" t="s">
        <v>3931</v>
      </c>
      <c r="H182" s="237"/>
      <c r="I182" s="10" t="s">
        <v>3343</v>
      </c>
      <c r="J182" s="31" t="s">
        <v>11</v>
      </c>
      <c r="K182" s="429">
        <f t="shared" si="18"/>
        <v>0</v>
      </c>
    </row>
    <row r="183" spans="1:14" x14ac:dyDescent="0.2">
      <c r="A183" s="72"/>
      <c r="B183" s="72">
        <f t="shared" si="19"/>
        <v>142</v>
      </c>
      <c r="C183" s="31" t="s">
        <v>5555</v>
      </c>
      <c r="D183" s="10">
        <f t="shared" si="15"/>
        <v>0</v>
      </c>
      <c r="E183" s="10" t="s">
        <v>3366</v>
      </c>
      <c r="F183" s="218" t="s">
        <v>3932</v>
      </c>
      <c r="G183" s="237" t="s">
        <v>3933</v>
      </c>
      <c r="H183" s="237"/>
      <c r="I183" s="10" t="s">
        <v>3343</v>
      </c>
      <c r="J183" s="31" t="s">
        <v>11</v>
      </c>
      <c r="K183" s="429">
        <f t="shared" si="18"/>
        <v>0</v>
      </c>
    </row>
    <row r="184" spans="1:14" ht="12" x14ac:dyDescent="0.2">
      <c r="A184" s="654" t="s">
        <v>3556</v>
      </c>
      <c r="B184" s="654"/>
      <c r="C184" s="654"/>
      <c r="D184" s="654"/>
      <c r="E184" s="654"/>
      <c r="F184" s="654"/>
      <c r="G184" s="654"/>
      <c r="H184" s="435">
        <f>SUM(H103:H183)</f>
        <v>0</v>
      </c>
      <c r="I184" s="692" t="s">
        <v>3556</v>
      </c>
      <c r="J184" s="692"/>
      <c r="K184" s="435">
        <f>SUM(K103:K183)</f>
        <v>0</v>
      </c>
      <c r="M184" s="254"/>
      <c r="N184" s="254"/>
    </row>
    <row r="185" spans="1:14" ht="12" x14ac:dyDescent="0.2">
      <c r="A185" s="658" t="s">
        <v>3557</v>
      </c>
      <c r="B185" s="659"/>
      <c r="C185" s="659"/>
      <c r="D185" s="659"/>
      <c r="E185" s="659"/>
      <c r="F185" s="659"/>
      <c r="G185" s="660"/>
      <c r="H185" s="435">
        <f>H92</f>
        <v>0</v>
      </c>
      <c r="I185" s="692" t="s">
        <v>3557</v>
      </c>
      <c r="J185" s="692"/>
      <c r="K185" s="435">
        <f>K92</f>
        <v>0</v>
      </c>
      <c r="M185" s="545"/>
    </row>
    <row r="186" spans="1:14" ht="12.75" thickBot="1" x14ac:dyDescent="0.25">
      <c r="A186" s="640" t="s">
        <v>3558</v>
      </c>
      <c r="B186" s="641"/>
      <c r="C186" s="641"/>
      <c r="D186" s="641"/>
      <c r="E186" s="641"/>
      <c r="F186" s="641"/>
      <c r="G186" s="642"/>
      <c r="H186" s="436">
        <f>SUM(H184:H185)</f>
        <v>0</v>
      </c>
      <c r="I186" s="693" t="s">
        <v>3558</v>
      </c>
      <c r="J186" s="693"/>
      <c r="K186" s="436">
        <f>SUM(K184:K185)</f>
        <v>0</v>
      </c>
    </row>
    <row r="187" spans="1:14" x14ac:dyDescent="0.2">
      <c r="A187" s="240"/>
      <c r="B187" s="240"/>
      <c r="C187" s="240"/>
      <c r="D187" s="240"/>
      <c r="E187" s="240"/>
      <c r="F187" s="240"/>
      <c r="G187" s="240"/>
      <c r="H187" s="433"/>
      <c r="I187" s="433"/>
      <c r="J187" s="433"/>
      <c r="K187" s="433"/>
    </row>
    <row r="189" spans="1:14" ht="12" x14ac:dyDescent="0.2">
      <c r="A189" s="691"/>
      <c r="B189" s="691"/>
      <c r="C189" s="691"/>
      <c r="D189" s="691"/>
      <c r="E189" s="304"/>
      <c r="F189" s="304"/>
      <c r="G189" s="260"/>
      <c r="H189" s="260"/>
      <c r="I189" s="691" t="s">
        <v>3537</v>
      </c>
      <c r="J189" s="691"/>
      <c r="K189" s="691"/>
    </row>
    <row r="190" spans="1:14" ht="12" x14ac:dyDescent="0.2">
      <c r="A190" s="691"/>
      <c r="B190" s="691"/>
      <c r="C190" s="691"/>
      <c r="D190" s="691"/>
      <c r="E190" s="304"/>
      <c r="F190" s="304"/>
      <c r="G190" s="260"/>
      <c r="H190" s="333"/>
      <c r="I190" s="691" t="s">
        <v>3788</v>
      </c>
      <c r="J190" s="691"/>
      <c r="K190" s="691"/>
    </row>
    <row r="191" spans="1:14" ht="12" x14ac:dyDescent="0.2">
      <c r="A191" s="691"/>
      <c r="B191" s="691"/>
      <c r="C191" s="691"/>
      <c r="D191" s="691"/>
      <c r="E191" s="304"/>
      <c r="F191" s="304"/>
      <c r="G191" s="260"/>
      <c r="H191" s="260"/>
      <c r="I191" s="691"/>
      <c r="J191" s="691"/>
      <c r="K191" s="691"/>
    </row>
    <row r="192" spans="1:14" ht="12" x14ac:dyDescent="0.2">
      <c r="A192" s="691"/>
      <c r="B192" s="691"/>
      <c r="C192" s="691"/>
      <c r="D192" s="691"/>
      <c r="E192" s="304"/>
      <c r="F192" s="304" t="s">
        <v>5650</v>
      </c>
      <c r="G192" s="260" t="s">
        <v>3679</v>
      </c>
      <c r="H192" s="73"/>
      <c r="I192" s="691"/>
      <c r="J192" s="691"/>
      <c r="K192" s="691"/>
    </row>
    <row r="193" spans="1:11" ht="12" x14ac:dyDescent="0.2">
      <c r="A193" s="691"/>
      <c r="B193" s="691"/>
      <c r="C193" s="691"/>
      <c r="D193" s="691"/>
      <c r="E193" s="304"/>
      <c r="F193" s="304"/>
      <c r="G193" s="260"/>
      <c r="H193" s="434"/>
      <c r="I193" s="691" t="s">
        <v>3538</v>
      </c>
      <c r="J193" s="691"/>
      <c r="K193" s="691"/>
    </row>
    <row r="194" spans="1:11" x14ac:dyDescent="0.2">
      <c r="G194" s="437"/>
      <c r="I194" s="626"/>
      <c r="J194" s="626"/>
      <c r="K194" s="626"/>
    </row>
    <row r="195" spans="1:11" ht="12.75" x14ac:dyDescent="0.2">
      <c r="A195" s="428" t="s">
        <v>0</v>
      </c>
      <c r="B195" s="305"/>
      <c r="C195" s="143"/>
      <c r="D195" s="305"/>
      <c r="E195" s="305"/>
      <c r="F195" s="305"/>
      <c r="G195" s="143"/>
      <c r="H195" s="143"/>
      <c r="I195" s="305"/>
      <c r="J195" s="143"/>
      <c r="K195" s="143"/>
    </row>
    <row r="196" spans="1:11" ht="12.75" x14ac:dyDescent="0.2">
      <c r="A196" s="428" t="s">
        <v>1</v>
      </c>
      <c r="B196" s="305"/>
      <c r="C196" s="143"/>
      <c r="D196" s="305"/>
      <c r="E196" s="305"/>
      <c r="F196" s="305"/>
      <c r="G196" s="143"/>
      <c r="H196" s="143"/>
      <c r="I196" s="305"/>
      <c r="J196" s="143"/>
      <c r="K196" s="143"/>
    </row>
    <row r="197" spans="1:11" ht="12.75" x14ac:dyDescent="0.2">
      <c r="A197" s="687" t="s">
        <v>3345</v>
      </c>
      <c r="B197" s="687"/>
      <c r="C197" s="687"/>
      <c r="D197" s="687"/>
      <c r="E197" s="687"/>
      <c r="F197" s="687"/>
      <c r="G197" s="687"/>
      <c r="H197" s="687"/>
      <c r="I197" s="687"/>
      <c r="J197" s="687"/>
      <c r="K197" s="687"/>
    </row>
    <row r="198" spans="1:11" ht="12.75" x14ac:dyDescent="0.2">
      <c r="A198" s="687" t="s">
        <v>3564</v>
      </c>
      <c r="B198" s="687"/>
      <c r="C198" s="687"/>
      <c r="D198" s="687"/>
      <c r="E198" s="687"/>
      <c r="F198" s="687"/>
      <c r="G198" s="687"/>
      <c r="H198" s="687"/>
      <c r="I198" s="687"/>
      <c r="J198" s="687"/>
      <c r="K198" s="687"/>
    </row>
    <row r="199" spans="1:11" x14ac:dyDescent="0.2">
      <c r="A199" s="18"/>
      <c r="B199" s="18"/>
      <c r="C199" s="18"/>
      <c r="D199" s="18"/>
      <c r="E199" s="18"/>
      <c r="F199" s="18"/>
      <c r="G199" s="18"/>
      <c r="H199" s="18"/>
      <c r="I199" s="18"/>
      <c r="J199" s="18"/>
      <c r="K199" s="18"/>
    </row>
    <row r="200" spans="1:11" x14ac:dyDescent="0.2">
      <c r="A200" s="678" t="s">
        <v>3346</v>
      </c>
      <c r="B200" s="679"/>
      <c r="C200" s="680" t="s">
        <v>13</v>
      </c>
      <c r="D200" s="678" t="s">
        <v>3347</v>
      </c>
      <c r="E200" s="679"/>
      <c r="F200" s="688" t="s">
        <v>90</v>
      </c>
      <c r="G200" s="689"/>
      <c r="H200" s="690"/>
      <c r="I200" s="688" t="s">
        <v>10</v>
      </c>
      <c r="J200" s="689"/>
      <c r="K200" s="690"/>
    </row>
    <row r="201" spans="1:11" x14ac:dyDescent="0.2">
      <c r="A201" s="680" t="s">
        <v>12</v>
      </c>
      <c r="B201" s="680" t="s">
        <v>21</v>
      </c>
      <c r="C201" s="681"/>
      <c r="D201" s="665" t="s">
        <v>12</v>
      </c>
      <c r="E201" s="665" t="s">
        <v>3348</v>
      </c>
      <c r="F201" s="665" t="s">
        <v>3285</v>
      </c>
      <c r="G201" s="665" t="s">
        <v>3282</v>
      </c>
      <c r="H201" s="665" t="s">
        <v>3539</v>
      </c>
      <c r="I201" s="665" t="s">
        <v>3285</v>
      </c>
      <c r="J201" s="665" t="s">
        <v>3282</v>
      </c>
      <c r="K201" s="665" t="s">
        <v>3539</v>
      </c>
    </row>
    <row r="202" spans="1:11" x14ac:dyDescent="0.2">
      <c r="A202" s="682"/>
      <c r="B202" s="682"/>
      <c r="C202" s="682"/>
      <c r="D202" s="667"/>
      <c r="E202" s="667"/>
      <c r="F202" s="667"/>
      <c r="G202" s="667"/>
      <c r="H202" s="667"/>
      <c r="I202" s="667"/>
      <c r="J202" s="667"/>
      <c r="K202" s="667"/>
    </row>
    <row r="203" spans="1:11" x14ac:dyDescent="0.2">
      <c r="A203" s="210" t="s">
        <v>5566</v>
      </c>
      <c r="B203" s="210">
        <v>143</v>
      </c>
      <c r="C203" s="60" t="s">
        <v>5391</v>
      </c>
      <c r="D203" s="10" t="str">
        <f t="shared" ref="D203:D268" si="20">A203</f>
        <v>02 Mar</v>
      </c>
      <c r="E203" s="6" t="s">
        <v>3366</v>
      </c>
      <c r="F203" s="235" t="s">
        <v>3946</v>
      </c>
      <c r="G203" s="236" t="s">
        <v>3432</v>
      </c>
      <c r="H203" s="236"/>
      <c r="I203" s="10" t="s">
        <v>3343</v>
      </c>
      <c r="J203" s="31" t="s">
        <v>11</v>
      </c>
      <c r="K203" s="429">
        <f>H203</f>
        <v>0</v>
      </c>
    </row>
    <row r="204" spans="1:11" x14ac:dyDescent="0.2">
      <c r="A204" s="72" t="s">
        <v>4042</v>
      </c>
      <c r="B204" s="72">
        <v>144</v>
      </c>
      <c r="C204" s="31" t="s">
        <v>5567</v>
      </c>
      <c r="D204" s="10" t="str">
        <f t="shared" si="20"/>
        <v>03 Mar</v>
      </c>
      <c r="E204" s="10" t="s">
        <v>3366</v>
      </c>
      <c r="F204" s="218" t="s">
        <v>3935</v>
      </c>
      <c r="G204" s="237" t="s">
        <v>3406</v>
      </c>
      <c r="H204" s="237"/>
      <c r="I204" s="10" t="s">
        <v>3343</v>
      </c>
      <c r="J204" s="31" t="s">
        <v>11</v>
      </c>
      <c r="K204" s="429">
        <f t="shared" ref="K204:K269" si="21">H204</f>
        <v>0</v>
      </c>
    </row>
    <row r="205" spans="1:11" x14ac:dyDescent="0.2">
      <c r="A205" s="72" t="s">
        <v>4047</v>
      </c>
      <c r="B205" s="72">
        <v>145</v>
      </c>
      <c r="C205" s="31" t="s">
        <v>5388</v>
      </c>
      <c r="D205" s="10" t="str">
        <f t="shared" si="20"/>
        <v>05 Mar</v>
      </c>
      <c r="E205" s="10" t="s">
        <v>3366</v>
      </c>
      <c r="F205" s="218" t="s">
        <v>3946</v>
      </c>
      <c r="G205" s="237" t="s">
        <v>3432</v>
      </c>
      <c r="H205" s="237"/>
      <c r="I205" s="10" t="s">
        <v>3343</v>
      </c>
      <c r="J205" s="31" t="s">
        <v>11</v>
      </c>
      <c r="K205" s="429">
        <f t="shared" si="21"/>
        <v>0</v>
      </c>
    </row>
    <row r="206" spans="1:11" x14ac:dyDescent="0.2">
      <c r="A206" s="72"/>
      <c r="B206" s="72">
        <v>146</v>
      </c>
      <c r="C206" s="31" t="s">
        <v>5568</v>
      </c>
      <c r="D206" s="10">
        <f t="shared" si="20"/>
        <v>0</v>
      </c>
      <c r="E206" s="10" t="s">
        <v>3366</v>
      </c>
      <c r="F206" s="218" t="s">
        <v>3922</v>
      </c>
      <c r="G206" s="237" t="s">
        <v>3923</v>
      </c>
      <c r="H206" s="237"/>
      <c r="I206" s="10" t="s">
        <v>3343</v>
      </c>
      <c r="J206" s="31" t="s">
        <v>11</v>
      </c>
      <c r="K206" s="429">
        <f t="shared" si="21"/>
        <v>0</v>
      </c>
    </row>
    <row r="207" spans="1:11" x14ac:dyDescent="0.2">
      <c r="A207" s="72"/>
      <c r="B207" s="72">
        <v>147</v>
      </c>
      <c r="C207" s="31" t="s">
        <v>5489</v>
      </c>
      <c r="D207" s="10">
        <f t="shared" si="20"/>
        <v>0</v>
      </c>
      <c r="E207" s="10" t="s">
        <v>3366</v>
      </c>
      <c r="F207" s="218" t="s">
        <v>3947</v>
      </c>
      <c r="G207" s="237" t="s">
        <v>3436</v>
      </c>
      <c r="H207" s="237"/>
      <c r="I207" s="10" t="s">
        <v>3343</v>
      </c>
      <c r="J207" s="31" t="s">
        <v>11</v>
      </c>
      <c r="K207" s="429">
        <f t="shared" si="21"/>
        <v>0</v>
      </c>
    </row>
    <row r="208" spans="1:11" x14ac:dyDescent="0.2">
      <c r="A208" s="72"/>
      <c r="B208" s="72">
        <v>148</v>
      </c>
      <c r="C208" s="92" t="s">
        <v>5591</v>
      </c>
      <c r="D208" s="10">
        <f t="shared" si="20"/>
        <v>0</v>
      </c>
      <c r="E208" s="10" t="s">
        <v>3366</v>
      </c>
      <c r="F208" s="218" t="s">
        <v>3939</v>
      </c>
      <c r="G208" s="237" t="s">
        <v>5569</v>
      </c>
      <c r="H208" s="237"/>
      <c r="I208" s="10" t="s">
        <v>3343</v>
      </c>
      <c r="J208" s="31" t="s">
        <v>11</v>
      </c>
      <c r="K208" s="429">
        <f t="shared" si="21"/>
        <v>0</v>
      </c>
    </row>
    <row r="209" spans="1:11" x14ac:dyDescent="0.2">
      <c r="A209" s="72" t="s">
        <v>4048</v>
      </c>
      <c r="B209" s="72">
        <f>B208+1</f>
        <v>149</v>
      </c>
      <c r="C209" s="31" t="s">
        <v>5570</v>
      </c>
      <c r="D209" s="10" t="str">
        <f t="shared" si="20"/>
        <v>06 Mar</v>
      </c>
      <c r="E209" s="10" t="s">
        <v>3366</v>
      </c>
      <c r="F209" s="218" t="s">
        <v>4005</v>
      </c>
      <c r="G209" s="237" t="s">
        <v>4376</v>
      </c>
      <c r="H209" s="237"/>
      <c r="I209" s="10" t="s">
        <v>3343</v>
      </c>
      <c r="J209" s="31" t="s">
        <v>11</v>
      </c>
      <c r="K209" s="429">
        <f t="shared" si="21"/>
        <v>0</v>
      </c>
    </row>
    <row r="210" spans="1:11" x14ac:dyDescent="0.2">
      <c r="A210" s="72"/>
      <c r="B210" s="72">
        <f t="shared" ref="B210:B238" si="22">B209+1</f>
        <v>150</v>
      </c>
      <c r="C210" s="31" t="s">
        <v>5571</v>
      </c>
      <c r="D210" s="10">
        <f t="shared" si="20"/>
        <v>0</v>
      </c>
      <c r="E210" s="10" t="s">
        <v>3366</v>
      </c>
      <c r="F210" s="218" t="s">
        <v>3935</v>
      </c>
      <c r="G210" s="237" t="s">
        <v>3406</v>
      </c>
      <c r="H210" s="237"/>
      <c r="I210" s="10" t="s">
        <v>3343</v>
      </c>
      <c r="J210" s="31" t="s">
        <v>11</v>
      </c>
      <c r="K210" s="429">
        <f t="shared" si="21"/>
        <v>0</v>
      </c>
    </row>
    <row r="211" spans="1:11" x14ac:dyDescent="0.2">
      <c r="A211" s="72"/>
      <c r="B211" s="72">
        <f t="shared" si="22"/>
        <v>151</v>
      </c>
      <c r="C211" s="31" t="s">
        <v>5572</v>
      </c>
      <c r="D211" s="10">
        <f t="shared" si="20"/>
        <v>0</v>
      </c>
      <c r="E211" s="10" t="s">
        <v>3366</v>
      </c>
      <c r="F211" s="218" t="s">
        <v>3935</v>
      </c>
      <c r="G211" s="237" t="s">
        <v>3406</v>
      </c>
      <c r="H211" s="237"/>
      <c r="I211" s="10" t="s">
        <v>3343</v>
      </c>
      <c r="J211" s="31" t="s">
        <v>11</v>
      </c>
      <c r="K211" s="429">
        <f t="shared" si="21"/>
        <v>0</v>
      </c>
    </row>
    <row r="212" spans="1:11" x14ac:dyDescent="0.2">
      <c r="A212" s="10"/>
      <c r="B212" s="72">
        <f t="shared" si="22"/>
        <v>152</v>
      </c>
      <c r="C212" s="31" t="s">
        <v>5573</v>
      </c>
      <c r="D212" s="10">
        <f t="shared" si="20"/>
        <v>0</v>
      </c>
      <c r="E212" s="10" t="s">
        <v>3366</v>
      </c>
      <c r="F212" s="218" t="s">
        <v>4038</v>
      </c>
      <c r="G212" s="237" t="s">
        <v>5574</v>
      </c>
      <c r="H212" s="237"/>
      <c r="I212" s="10" t="s">
        <v>3343</v>
      </c>
      <c r="J212" s="31" t="s">
        <v>11</v>
      </c>
      <c r="K212" s="429">
        <f t="shared" si="21"/>
        <v>0</v>
      </c>
    </row>
    <row r="213" spans="1:11" x14ac:dyDescent="0.2">
      <c r="A213" s="10"/>
      <c r="B213" s="72">
        <f t="shared" si="22"/>
        <v>153</v>
      </c>
      <c r="C213" s="31" t="s">
        <v>5575</v>
      </c>
      <c r="D213" s="10">
        <f t="shared" si="20"/>
        <v>0</v>
      </c>
      <c r="E213" s="10" t="s">
        <v>3366</v>
      </c>
      <c r="F213" s="218" t="s">
        <v>3921</v>
      </c>
      <c r="G213" s="237" t="s">
        <v>3402</v>
      </c>
      <c r="H213" s="237"/>
      <c r="I213" s="10" t="s">
        <v>3343</v>
      </c>
      <c r="J213" s="31" t="s">
        <v>11</v>
      </c>
      <c r="K213" s="429">
        <f t="shared" si="21"/>
        <v>0</v>
      </c>
    </row>
    <row r="214" spans="1:11" x14ac:dyDescent="0.2">
      <c r="A214" s="72"/>
      <c r="B214" s="72">
        <f t="shared" si="22"/>
        <v>154</v>
      </c>
      <c r="C214" s="31" t="s">
        <v>5576</v>
      </c>
      <c r="D214" s="10">
        <f t="shared" si="20"/>
        <v>0</v>
      </c>
      <c r="E214" s="10" t="s">
        <v>3366</v>
      </c>
      <c r="F214" s="218" t="s">
        <v>3941</v>
      </c>
      <c r="G214" s="237" t="s">
        <v>5507</v>
      </c>
      <c r="H214" s="237"/>
      <c r="I214" s="10" t="s">
        <v>3343</v>
      </c>
      <c r="J214" s="31" t="s">
        <v>11</v>
      </c>
      <c r="K214" s="429">
        <f t="shared" si="21"/>
        <v>0</v>
      </c>
    </row>
    <row r="215" spans="1:11" x14ac:dyDescent="0.2">
      <c r="A215" s="72" t="s">
        <v>5577</v>
      </c>
      <c r="B215" s="72">
        <f t="shared" si="22"/>
        <v>155</v>
      </c>
      <c r="C215" s="31" t="s">
        <v>5391</v>
      </c>
      <c r="D215" s="10" t="str">
        <f t="shared" si="20"/>
        <v>09 Mar</v>
      </c>
      <c r="E215" s="10" t="s">
        <v>3366</v>
      </c>
      <c r="F215" s="218" t="s">
        <v>3946</v>
      </c>
      <c r="G215" s="237" t="s">
        <v>5578</v>
      </c>
      <c r="H215" s="237"/>
      <c r="I215" s="10" t="s">
        <v>3343</v>
      </c>
      <c r="J215" s="31" t="s">
        <v>11</v>
      </c>
      <c r="K215" s="429">
        <f t="shared" si="21"/>
        <v>0</v>
      </c>
    </row>
    <row r="216" spans="1:11" x14ac:dyDescent="0.2">
      <c r="A216" s="72" t="s">
        <v>5579</v>
      </c>
      <c r="B216" s="72">
        <f t="shared" si="22"/>
        <v>156</v>
      </c>
      <c r="C216" s="31" t="s">
        <v>5580</v>
      </c>
      <c r="D216" s="10" t="str">
        <f t="shared" si="20"/>
        <v>10 Mer</v>
      </c>
      <c r="E216" s="10" t="s">
        <v>3366</v>
      </c>
      <c r="F216" s="218" t="s">
        <v>4001</v>
      </c>
      <c r="G216" s="237" t="s">
        <v>5581</v>
      </c>
      <c r="H216" s="237"/>
      <c r="I216" s="10" t="s">
        <v>3343</v>
      </c>
      <c r="J216" s="31" t="s">
        <v>11</v>
      </c>
      <c r="K216" s="429">
        <f t="shared" si="21"/>
        <v>0</v>
      </c>
    </row>
    <row r="217" spans="1:11" x14ac:dyDescent="0.2">
      <c r="A217" s="72" t="s">
        <v>4049</v>
      </c>
      <c r="B217" s="72">
        <f t="shared" si="22"/>
        <v>157</v>
      </c>
      <c r="C217" s="31" t="s">
        <v>5582</v>
      </c>
      <c r="D217" s="10" t="str">
        <f t="shared" si="20"/>
        <v>11 Mar</v>
      </c>
      <c r="E217" s="10" t="s">
        <v>3366</v>
      </c>
      <c r="F217" s="218" t="s">
        <v>3989</v>
      </c>
      <c r="G217" s="237" t="s">
        <v>3990</v>
      </c>
      <c r="H217" s="237"/>
      <c r="I217" s="10" t="s">
        <v>3343</v>
      </c>
      <c r="J217" s="31" t="s">
        <v>11</v>
      </c>
      <c r="K217" s="429">
        <f t="shared" si="21"/>
        <v>0</v>
      </c>
    </row>
    <row r="218" spans="1:11" x14ac:dyDescent="0.2">
      <c r="A218" s="72" t="s">
        <v>4050</v>
      </c>
      <c r="B218" s="72">
        <f t="shared" si="22"/>
        <v>158</v>
      </c>
      <c r="C218" s="31" t="s">
        <v>5583</v>
      </c>
      <c r="D218" s="10" t="str">
        <f t="shared" si="20"/>
        <v>12 Mar</v>
      </c>
      <c r="E218" s="10" t="s">
        <v>3366</v>
      </c>
      <c r="F218" s="218" t="s">
        <v>3924</v>
      </c>
      <c r="G218" s="237" t="s">
        <v>3410</v>
      </c>
      <c r="H218" s="237"/>
      <c r="I218" s="10" t="s">
        <v>3343</v>
      </c>
      <c r="J218" s="31" t="s">
        <v>11</v>
      </c>
      <c r="K218" s="429">
        <f t="shared" si="21"/>
        <v>0</v>
      </c>
    </row>
    <row r="219" spans="1:11" x14ac:dyDescent="0.2">
      <c r="A219" s="263"/>
      <c r="B219" s="72">
        <f t="shared" si="22"/>
        <v>159</v>
      </c>
      <c r="C219" s="31" t="s">
        <v>5496</v>
      </c>
      <c r="D219" s="10">
        <f t="shared" si="20"/>
        <v>0</v>
      </c>
      <c r="E219" s="10" t="s">
        <v>3366</v>
      </c>
      <c r="F219" s="218" t="s">
        <v>3924</v>
      </c>
      <c r="G219" s="237" t="s">
        <v>3410</v>
      </c>
      <c r="H219" s="237"/>
      <c r="I219" s="10" t="s">
        <v>3343</v>
      </c>
      <c r="J219" s="31" t="s">
        <v>11</v>
      </c>
      <c r="K219" s="429">
        <f t="shared" si="21"/>
        <v>0</v>
      </c>
    </row>
    <row r="220" spans="1:11" x14ac:dyDescent="0.2">
      <c r="A220" s="10"/>
      <c r="B220" s="72">
        <f t="shared" si="22"/>
        <v>160</v>
      </c>
      <c r="C220" s="92" t="s">
        <v>5633</v>
      </c>
      <c r="D220" s="10">
        <f t="shared" si="20"/>
        <v>0</v>
      </c>
      <c r="E220" s="10" t="s">
        <v>3366</v>
      </c>
      <c r="F220" s="218" t="s">
        <v>3924</v>
      </c>
      <c r="G220" s="237" t="s">
        <v>3410</v>
      </c>
      <c r="H220" s="237"/>
      <c r="I220" s="10" t="s">
        <v>3343</v>
      </c>
      <c r="J220" s="31" t="s">
        <v>11</v>
      </c>
      <c r="K220" s="429">
        <f t="shared" si="21"/>
        <v>0</v>
      </c>
    </row>
    <row r="221" spans="1:11" x14ac:dyDescent="0.2">
      <c r="A221" s="72"/>
      <c r="B221" s="72">
        <f t="shared" si="22"/>
        <v>161</v>
      </c>
      <c r="C221" s="31" t="s">
        <v>4150</v>
      </c>
      <c r="D221" s="10">
        <f t="shared" si="20"/>
        <v>0</v>
      </c>
      <c r="E221" s="10" t="s">
        <v>3366</v>
      </c>
      <c r="F221" s="218" t="s">
        <v>3925</v>
      </c>
      <c r="G221" s="237" t="s">
        <v>3926</v>
      </c>
      <c r="H221" s="237"/>
      <c r="I221" s="10" t="s">
        <v>3343</v>
      </c>
      <c r="J221" s="31" t="s">
        <v>11</v>
      </c>
      <c r="K221" s="429">
        <f t="shared" si="21"/>
        <v>0</v>
      </c>
    </row>
    <row r="222" spans="1:11" x14ac:dyDescent="0.2">
      <c r="A222" s="10"/>
      <c r="B222" s="72"/>
      <c r="C222" s="31" t="s">
        <v>4150</v>
      </c>
      <c r="D222" s="10">
        <f t="shared" si="20"/>
        <v>0</v>
      </c>
      <c r="E222" s="10" t="s">
        <v>3366</v>
      </c>
      <c r="F222" s="218" t="s">
        <v>3520</v>
      </c>
      <c r="G222" s="237" t="s">
        <v>3928</v>
      </c>
      <c r="H222" s="237"/>
      <c r="I222" s="10" t="s">
        <v>3343</v>
      </c>
      <c r="J222" s="31" t="s">
        <v>11</v>
      </c>
      <c r="K222" s="429">
        <f t="shared" si="21"/>
        <v>0</v>
      </c>
    </row>
    <row r="223" spans="1:11" x14ac:dyDescent="0.2">
      <c r="A223" s="72"/>
      <c r="B223" s="72"/>
      <c r="C223" s="31" t="s">
        <v>4150</v>
      </c>
      <c r="D223" s="10">
        <f t="shared" si="20"/>
        <v>0</v>
      </c>
      <c r="E223" s="10" t="s">
        <v>3366</v>
      </c>
      <c r="F223" s="218" t="s">
        <v>3543</v>
      </c>
      <c r="G223" s="237" t="s">
        <v>3927</v>
      </c>
      <c r="H223" s="237"/>
      <c r="I223" s="10" t="s">
        <v>3343</v>
      </c>
      <c r="J223" s="31" t="s">
        <v>11</v>
      </c>
      <c r="K223" s="429">
        <f t="shared" si="21"/>
        <v>0</v>
      </c>
    </row>
    <row r="224" spans="1:11" x14ac:dyDescent="0.2">
      <c r="A224" s="72"/>
      <c r="B224" s="72">
        <v>162</v>
      </c>
      <c r="C224" s="31" t="s">
        <v>5585</v>
      </c>
      <c r="D224" s="10">
        <f t="shared" si="20"/>
        <v>0</v>
      </c>
      <c r="E224" s="10" t="s">
        <v>3366</v>
      </c>
      <c r="F224" s="218" t="s">
        <v>3960</v>
      </c>
      <c r="G224" s="237" t="s">
        <v>3456</v>
      </c>
      <c r="H224" s="237"/>
      <c r="I224" s="10" t="s">
        <v>3343</v>
      </c>
      <c r="J224" s="31" t="s">
        <v>11</v>
      </c>
      <c r="K224" s="429">
        <f t="shared" si="21"/>
        <v>0</v>
      </c>
    </row>
    <row r="225" spans="1:11" x14ac:dyDescent="0.2">
      <c r="A225" s="72"/>
      <c r="B225" s="72">
        <f t="shared" si="22"/>
        <v>163</v>
      </c>
      <c r="C225" s="31" t="s">
        <v>5586</v>
      </c>
      <c r="D225" s="10">
        <f t="shared" si="20"/>
        <v>0</v>
      </c>
      <c r="E225" s="10" t="s">
        <v>3366</v>
      </c>
      <c r="F225" s="218" t="s">
        <v>4066</v>
      </c>
      <c r="G225" s="237" t="s">
        <v>5587</v>
      </c>
      <c r="H225" s="237"/>
      <c r="I225" s="10" t="s">
        <v>3343</v>
      </c>
      <c r="J225" s="31" t="s">
        <v>11</v>
      </c>
      <c r="K225" s="429">
        <f t="shared" si="21"/>
        <v>0</v>
      </c>
    </row>
    <row r="226" spans="1:11" x14ac:dyDescent="0.2">
      <c r="A226" s="72" t="s">
        <v>3780</v>
      </c>
      <c r="B226" s="72">
        <f t="shared" si="22"/>
        <v>164</v>
      </c>
      <c r="C226" s="31" t="s">
        <v>5584</v>
      </c>
      <c r="D226" s="10" t="str">
        <f t="shared" si="20"/>
        <v>13 Mar</v>
      </c>
      <c r="E226" s="10" t="s">
        <v>3366</v>
      </c>
      <c r="F226" s="218" t="s">
        <v>3971</v>
      </c>
      <c r="G226" s="237" t="s">
        <v>4055</v>
      </c>
      <c r="H226" s="237"/>
      <c r="I226" s="10" t="s">
        <v>3343</v>
      </c>
      <c r="J226" s="31" t="s">
        <v>11</v>
      </c>
      <c r="K226" s="429">
        <f t="shared" si="21"/>
        <v>0</v>
      </c>
    </row>
    <row r="227" spans="1:11" x14ac:dyDescent="0.2">
      <c r="A227" s="72"/>
      <c r="B227" s="72"/>
      <c r="C227" s="31" t="s">
        <v>5584</v>
      </c>
      <c r="D227" s="10">
        <f t="shared" si="20"/>
        <v>0</v>
      </c>
      <c r="E227" s="10" t="s">
        <v>3366</v>
      </c>
      <c r="F227" s="218" t="s">
        <v>3483</v>
      </c>
      <c r="G227" s="237" t="s">
        <v>4057</v>
      </c>
      <c r="H227" s="237"/>
      <c r="I227" s="10" t="s">
        <v>3343</v>
      </c>
      <c r="J227" s="31" t="s">
        <v>11</v>
      </c>
      <c r="K227" s="429">
        <f t="shared" si="21"/>
        <v>0</v>
      </c>
    </row>
    <row r="228" spans="1:11" x14ac:dyDescent="0.2">
      <c r="A228" s="72"/>
      <c r="B228" s="72"/>
      <c r="C228" s="31" t="s">
        <v>5584</v>
      </c>
      <c r="D228" s="10">
        <f t="shared" si="20"/>
        <v>0</v>
      </c>
      <c r="E228" s="10" t="s">
        <v>3366</v>
      </c>
      <c r="F228" s="218" t="s">
        <v>3486</v>
      </c>
      <c r="G228" s="237" t="s">
        <v>4056</v>
      </c>
      <c r="H228" s="237"/>
      <c r="I228" s="10" t="s">
        <v>3343</v>
      </c>
      <c r="J228" s="31" t="s">
        <v>11</v>
      </c>
      <c r="K228" s="429">
        <f t="shared" si="21"/>
        <v>0</v>
      </c>
    </row>
    <row r="229" spans="1:11" x14ac:dyDescent="0.2">
      <c r="A229" s="10"/>
      <c r="B229" s="72">
        <v>165</v>
      </c>
      <c r="C229" s="31" t="s">
        <v>5588</v>
      </c>
      <c r="D229" s="10">
        <f t="shared" si="20"/>
        <v>0</v>
      </c>
      <c r="E229" s="10" t="s">
        <v>3366</v>
      </c>
      <c r="F229" s="218" t="s">
        <v>3941</v>
      </c>
      <c r="G229" s="237" t="s">
        <v>3942</v>
      </c>
      <c r="H229" s="237"/>
      <c r="I229" s="10" t="s">
        <v>3343</v>
      </c>
      <c r="J229" s="31" t="s">
        <v>11</v>
      </c>
      <c r="K229" s="429">
        <f t="shared" si="21"/>
        <v>0</v>
      </c>
    </row>
    <row r="230" spans="1:11" x14ac:dyDescent="0.2">
      <c r="A230" s="72"/>
      <c r="B230" s="72">
        <f t="shared" si="22"/>
        <v>166</v>
      </c>
      <c r="C230" s="31" t="s">
        <v>5589</v>
      </c>
      <c r="D230" s="10">
        <f t="shared" si="20"/>
        <v>0</v>
      </c>
      <c r="E230" s="10" t="s">
        <v>3366</v>
      </c>
      <c r="F230" s="218" t="s">
        <v>3999</v>
      </c>
      <c r="G230" s="237" t="s">
        <v>4000</v>
      </c>
      <c r="H230" s="237"/>
      <c r="I230" s="10" t="s">
        <v>3343</v>
      </c>
      <c r="J230" s="31" t="s">
        <v>11</v>
      </c>
      <c r="K230" s="429">
        <f t="shared" si="21"/>
        <v>0</v>
      </c>
    </row>
    <row r="231" spans="1:11" x14ac:dyDescent="0.2">
      <c r="A231" s="72"/>
      <c r="B231" s="72">
        <f t="shared" si="22"/>
        <v>167</v>
      </c>
      <c r="C231" s="31" t="s">
        <v>5590</v>
      </c>
      <c r="D231" s="10">
        <f t="shared" si="20"/>
        <v>0</v>
      </c>
      <c r="E231" s="10" t="s">
        <v>3366</v>
      </c>
      <c r="F231" s="218" t="s">
        <v>3353</v>
      </c>
      <c r="G231" s="237" t="s">
        <v>5635</v>
      </c>
      <c r="H231" s="237"/>
      <c r="I231" s="10" t="s">
        <v>3343</v>
      </c>
      <c r="J231" s="31" t="s">
        <v>11</v>
      </c>
      <c r="K231" s="429">
        <f t="shared" si="21"/>
        <v>0</v>
      </c>
    </row>
    <row r="232" spans="1:11" x14ac:dyDescent="0.2">
      <c r="A232" s="72"/>
      <c r="B232" s="72"/>
      <c r="C232" s="31"/>
      <c r="D232" s="10"/>
      <c r="E232" s="10"/>
      <c r="F232" s="218"/>
      <c r="G232" s="237" t="s">
        <v>5636</v>
      </c>
      <c r="H232" s="237"/>
      <c r="I232" s="10" t="s">
        <v>3739</v>
      </c>
      <c r="J232" s="31" t="s">
        <v>11</v>
      </c>
      <c r="K232" s="429">
        <f t="shared" si="21"/>
        <v>0</v>
      </c>
    </row>
    <row r="233" spans="1:11" x14ac:dyDescent="0.2">
      <c r="A233" s="72"/>
      <c r="B233" s="72"/>
      <c r="C233" s="31"/>
      <c r="D233" s="10"/>
      <c r="E233" s="10"/>
      <c r="F233" s="218"/>
      <c r="G233" s="237" t="s">
        <v>5637</v>
      </c>
      <c r="H233" s="237"/>
      <c r="I233" s="10" t="s">
        <v>4743</v>
      </c>
      <c r="J233" s="31" t="s">
        <v>11</v>
      </c>
      <c r="K233" s="429">
        <f t="shared" si="21"/>
        <v>0</v>
      </c>
    </row>
    <row r="234" spans="1:11" x14ac:dyDescent="0.2">
      <c r="A234" s="72"/>
      <c r="B234" s="72">
        <f>B231+1</f>
        <v>168</v>
      </c>
      <c r="C234" s="31" t="s">
        <v>5591</v>
      </c>
      <c r="D234" s="10">
        <f t="shared" si="20"/>
        <v>0</v>
      </c>
      <c r="E234" s="10" t="s">
        <v>3366</v>
      </c>
      <c r="F234" s="218" t="s">
        <v>3939</v>
      </c>
      <c r="G234" s="237" t="s">
        <v>5569</v>
      </c>
      <c r="H234" s="237"/>
      <c r="I234" s="10" t="s">
        <v>3343</v>
      </c>
      <c r="J234" s="31" t="s">
        <v>11</v>
      </c>
      <c r="K234" s="429">
        <f t="shared" si="21"/>
        <v>0</v>
      </c>
    </row>
    <row r="235" spans="1:11" x14ac:dyDescent="0.2">
      <c r="A235" s="72"/>
      <c r="B235" s="72">
        <f t="shared" si="22"/>
        <v>169</v>
      </c>
      <c r="C235" s="31" t="s">
        <v>5391</v>
      </c>
      <c r="D235" s="10">
        <f t="shared" si="20"/>
        <v>0</v>
      </c>
      <c r="E235" s="10" t="s">
        <v>3366</v>
      </c>
      <c r="F235" s="218" t="s">
        <v>3946</v>
      </c>
      <c r="G235" s="237" t="s">
        <v>3432</v>
      </c>
      <c r="H235" s="237"/>
      <c r="I235" s="10" t="s">
        <v>3343</v>
      </c>
      <c r="J235" s="31" t="s">
        <v>11</v>
      </c>
      <c r="K235" s="429">
        <f t="shared" si="21"/>
        <v>0</v>
      </c>
    </row>
    <row r="236" spans="1:11" x14ac:dyDescent="0.2">
      <c r="A236" s="72"/>
      <c r="B236" s="72">
        <f t="shared" si="22"/>
        <v>170</v>
      </c>
      <c r="C236" s="31" t="s">
        <v>5592</v>
      </c>
      <c r="D236" s="10">
        <f t="shared" si="20"/>
        <v>0</v>
      </c>
      <c r="E236" s="10" t="s">
        <v>3366</v>
      </c>
      <c r="F236" s="218" t="s">
        <v>3939</v>
      </c>
      <c r="G236" s="237" t="s">
        <v>3940</v>
      </c>
      <c r="H236" s="237"/>
      <c r="I236" s="10" t="s">
        <v>3343</v>
      </c>
      <c r="J236" s="31" t="s">
        <v>11</v>
      </c>
      <c r="K236" s="429">
        <f t="shared" si="21"/>
        <v>0</v>
      </c>
    </row>
    <row r="237" spans="1:11" x14ac:dyDescent="0.2">
      <c r="A237" s="72" t="s">
        <v>4059</v>
      </c>
      <c r="B237" s="72">
        <f t="shared" si="22"/>
        <v>171</v>
      </c>
      <c r="C237" s="31" t="s">
        <v>5391</v>
      </c>
      <c r="D237" s="10" t="str">
        <f t="shared" si="20"/>
        <v>25 Mar</v>
      </c>
      <c r="E237" s="10" t="s">
        <v>3366</v>
      </c>
      <c r="F237" s="218" t="s">
        <v>3946</v>
      </c>
      <c r="G237" s="237" t="s">
        <v>3432</v>
      </c>
      <c r="H237" s="237"/>
      <c r="I237" s="10" t="s">
        <v>3343</v>
      </c>
      <c r="J237" s="31" t="s">
        <v>11</v>
      </c>
      <c r="K237" s="429">
        <f t="shared" si="21"/>
        <v>0</v>
      </c>
    </row>
    <row r="238" spans="1:11" x14ac:dyDescent="0.2">
      <c r="A238" s="72"/>
      <c r="B238" s="72">
        <f t="shared" si="22"/>
        <v>172</v>
      </c>
      <c r="C238" s="31" t="s">
        <v>5593</v>
      </c>
      <c r="D238" s="10">
        <f t="shared" si="20"/>
        <v>0</v>
      </c>
      <c r="E238" s="10" t="s">
        <v>3366</v>
      </c>
      <c r="F238" s="218" t="s">
        <v>4013</v>
      </c>
      <c r="G238" s="237" t="s">
        <v>5594</v>
      </c>
      <c r="H238" s="237"/>
      <c r="I238" s="10" t="s">
        <v>3343</v>
      </c>
      <c r="J238" s="31" t="s">
        <v>11</v>
      </c>
      <c r="K238" s="429">
        <f t="shared" si="21"/>
        <v>0</v>
      </c>
    </row>
    <row r="239" spans="1:11" x14ac:dyDescent="0.2">
      <c r="A239" s="10"/>
      <c r="B239" s="72">
        <v>173</v>
      </c>
      <c r="C239" s="31" t="s">
        <v>5595</v>
      </c>
      <c r="D239" s="10">
        <f t="shared" si="20"/>
        <v>0</v>
      </c>
      <c r="E239" s="10" t="s">
        <v>3366</v>
      </c>
      <c r="F239" s="218" t="s">
        <v>3934</v>
      </c>
      <c r="G239" s="237" t="s">
        <v>5596</v>
      </c>
      <c r="H239" s="237"/>
      <c r="I239" s="10" t="s">
        <v>3343</v>
      </c>
      <c r="J239" s="31" t="s">
        <v>11</v>
      </c>
      <c r="K239" s="429">
        <f t="shared" si="21"/>
        <v>0</v>
      </c>
    </row>
    <row r="240" spans="1:11" x14ac:dyDescent="0.2">
      <c r="A240" s="72" t="s">
        <v>4062</v>
      </c>
      <c r="B240" s="72">
        <v>174</v>
      </c>
      <c r="C240" s="31" t="s">
        <v>5597</v>
      </c>
      <c r="D240" s="10" t="str">
        <f t="shared" si="20"/>
        <v>26 Mar</v>
      </c>
      <c r="E240" s="10" t="s">
        <v>3366</v>
      </c>
      <c r="F240" s="218" t="s">
        <v>4027</v>
      </c>
      <c r="G240" s="237" t="s">
        <v>4028</v>
      </c>
      <c r="H240" s="237"/>
      <c r="I240" s="10" t="s">
        <v>3343</v>
      </c>
      <c r="J240" s="31" t="s">
        <v>11</v>
      </c>
      <c r="K240" s="429">
        <f t="shared" si="21"/>
        <v>0</v>
      </c>
    </row>
    <row r="241" spans="1:11" x14ac:dyDescent="0.2">
      <c r="A241" s="72" t="s">
        <v>4063</v>
      </c>
      <c r="B241" s="72">
        <v>175</v>
      </c>
      <c r="C241" s="31" t="s">
        <v>5598</v>
      </c>
      <c r="D241" s="10" t="str">
        <f t="shared" si="20"/>
        <v>27 Mar</v>
      </c>
      <c r="E241" s="10" t="s">
        <v>3366</v>
      </c>
      <c r="F241" s="218" t="s">
        <v>3971</v>
      </c>
      <c r="G241" s="237" t="s">
        <v>3972</v>
      </c>
      <c r="H241" s="237"/>
      <c r="I241" s="10" t="s">
        <v>3343</v>
      </c>
      <c r="J241" s="31" t="s">
        <v>11</v>
      </c>
      <c r="K241" s="429">
        <f t="shared" si="21"/>
        <v>0</v>
      </c>
    </row>
    <row r="242" spans="1:11" x14ac:dyDescent="0.2">
      <c r="A242" s="72"/>
      <c r="B242" s="72">
        <f>B241+1</f>
        <v>176</v>
      </c>
      <c r="C242" s="31" t="s">
        <v>5599</v>
      </c>
      <c r="D242" s="10">
        <f t="shared" si="20"/>
        <v>0</v>
      </c>
      <c r="E242" s="10" t="s">
        <v>3366</v>
      </c>
      <c r="F242" s="218" t="s">
        <v>3483</v>
      </c>
      <c r="G242" s="237" t="s">
        <v>5425</v>
      </c>
      <c r="H242" s="237"/>
      <c r="I242" s="10" t="s">
        <v>3343</v>
      </c>
      <c r="J242" s="31" t="s">
        <v>11</v>
      </c>
      <c r="K242" s="429">
        <f t="shared" si="21"/>
        <v>0</v>
      </c>
    </row>
    <row r="243" spans="1:11" x14ac:dyDescent="0.2">
      <c r="A243" s="72"/>
      <c r="B243" s="72">
        <f t="shared" ref="B243:B254" si="23">B242+1</f>
        <v>177</v>
      </c>
      <c r="C243" s="31" t="s">
        <v>5522</v>
      </c>
      <c r="D243" s="10">
        <f t="shared" si="20"/>
        <v>0</v>
      </c>
      <c r="E243" s="10" t="s">
        <v>3366</v>
      </c>
      <c r="F243" s="218" t="s">
        <v>3486</v>
      </c>
      <c r="G243" s="237" t="s">
        <v>3973</v>
      </c>
      <c r="H243" s="237"/>
      <c r="I243" s="10" t="s">
        <v>3343</v>
      </c>
      <c r="J243" s="31" t="s">
        <v>11</v>
      </c>
      <c r="K243" s="429">
        <f t="shared" si="21"/>
        <v>0</v>
      </c>
    </row>
    <row r="244" spans="1:11" x14ac:dyDescent="0.2">
      <c r="A244" s="72"/>
      <c r="B244" s="72">
        <f t="shared" si="23"/>
        <v>178</v>
      </c>
      <c r="C244" s="31" t="s">
        <v>5523</v>
      </c>
      <c r="D244" s="10">
        <f t="shared" si="20"/>
        <v>0</v>
      </c>
      <c r="E244" s="10" t="s">
        <v>3366</v>
      </c>
      <c r="F244" s="218" t="s">
        <v>3486</v>
      </c>
      <c r="G244" s="237" t="s">
        <v>3973</v>
      </c>
      <c r="H244" s="237"/>
      <c r="I244" s="10" t="s">
        <v>3343</v>
      </c>
      <c r="J244" s="31" t="s">
        <v>11</v>
      </c>
      <c r="K244" s="429">
        <f t="shared" si="21"/>
        <v>0</v>
      </c>
    </row>
    <row r="245" spans="1:11" x14ac:dyDescent="0.2">
      <c r="A245" s="72"/>
      <c r="B245" s="72">
        <f t="shared" si="23"/>
        <v>179</v>
      </c>
      <c r="C245" s="31" t="s">
        <v>5524</v>
      </c>
      <c r="D245" s="10">
        <f t="shared" si="20"/>
        <v>0</v>
      </c>
      <c r="E245" s="10" t="s">
        <v>3366</v>
      </c>
      <c r="F245" s="218" t="s">
        <v>3486</v>
      </c>
      <c r="G245" s="237" t="s">
        <v>3973</v>
      </c>
      <c r="H245" s="237"/>
      <c r="I245" s="10" t="s">
        <v>3343</v>
      </c>
      <c r="J245" s="31" t="s">
        <v>11</v>
      </c>
      <c r="K245" s="429">
        <f t="shared" si="21"/>
        <v>0</v>
      </c>
    </row>
    <row r="246" spans="1:11" x14ac:dyDescent="0.2">
      <c r="A246" s="72"/>
      <c r="B246" s="72">
        <f t="shared" si="23"/>
        <v>180</v>
      </c>
      <c r="C246" s="31" t="s">
        <v>5525</v>
      </c>
      <c r="D246" s="10">
        <f t="shared" si="20"/>
        <v>0</v>
      </c>
      <c r="E246" s="10" t="s">
        <v>3366</v>
      </c>
      <c r="F246" s="218" t="s">
        <v>3925</v>
      </c>
      <c r="G246" s="237" t="s">
        <v>5429</v>
      </c>
      <c r="H246" s="237"/>
      <c r="I246" s="10" t="s">
        <v>3343</v>
      </c>
      <c r="J246" s="31" t="s">
        <v>11</v>
      </c>
      <c r="K246" s="429">
        <f t="shared" si="21"/>
        <v>0</v>
      </c>
    </row>
    <row r="247" spans="1:11" x14ac:dyDescent="0.2">
      <c r="A247" s="72"/>
      <c r="B247" s="72"/>
      <c r="C247" s="31" t="s">
        <v>5525</v>
      </c>
      <c r="D247" s="10">
        <f t="shared" si="20"/>
        <v>0</v>
      </c>
      <c r="E247" s="10" t="s">
        <v>3366</v>
      </c>
      <c r="F247" s="218" t="s">
        <v>3520</v>
      </c>
      <c r="G247" s="237" t="s">
        <v>5600</v>
      </c>
      <c r="H247" s="237"/>
      <c r="I247" s="10" t="s">
        <v>3343</v>
      </c>
      <c r="J247" s="31" t="s">
        <v>11</v>
      </c>
      <c r="K247" s="429">
        <f t="shared" si="21"/>
        <v>0</v>
      </c>
    </row>
    <row r="248" spans="1:11" x14ac:dyDescent="0.2">
      <c r="A248" s="72"/>
      <c r="B248" s="72"/>
      <c r="C248" s="31" t="s">
        <v>5525</v>
      </c>
      <c r="D248" s="10">
        <f t="shared" si="20"/>
        <v>0</v>
      </c>
      <c r="E248" s="10" t="s">
        <v>3366</v>
      </c>
      <c r="F248" s="218" t="s">
        <v>3543</v>
      </c>
      <c r="G248" s="237" t="s">
        <v>5601</v>
      </c>
      <c r="H248" s="237"/>
      <c r="I248" s="10" t="s">
        <v>3343</v>
      </c>
      <c r="J248" s="31" t="s">
        <v>11</v>
      </c>
      <c r="K248" s="429">
        <f t="shared" si="21"/>
        <v>0</v>
      </c>
    </row>
    <row r="249" spans="1:11" x14ac:dyDescent="0.2">
      <c r="A249" s="72"/>
      <c r="B249" s="72">
        <v>181</v>
      </c>
      <c r="C249" s="31" t="s">
        <v>5525</v>
      </c>
      <c r="D249" s="10">
        <f t="shared" si="20"/>
        <v>0</v>
      </c>
      <c r="E249" s="10" t="s">
        <v>3366</v>
      </c>
      <c r="F249" s="218" t="s">
        <v>3965</v>
      </c>
      <c r="G249" s="237" t="s">
        <v>3478</v>
      </c>
      <c r="H249" s="237"/>
      <c r="I249" s="10" t="s">
        <v>3343</v>
      </c>
      <c r="J249" s="31" t="s">
        <v>11</v>
      </c>
      <c r="K249" s="429">
        <f t="shared" si="21"/>
        <v>0</v>
      </c>
    </row>
    <row r="250" spans="1:11" x14ac:dyDescent="0.2">
      <c r="A250" s="72"/>
      <c r="B250" s="72">
        <f t="shared" si="23"/>
        <v>182</v>
      </c>
      <c r="C250" s="31" t="s">
        <v>5529</v>
      </c>
      <c r="D250" s="10">
        <f t="shared" si="20"/>
        <v>0</v>
      </c>
      <c r="E250" s="10" t="s">
        <v>3366</v>
      </c>
      <c r="F250" s="218" t="s">
        <v>3969</v>
      </c>
      <c r="G250" s="237" t="s">
        <v>5530</v>
      </c>
      <c r="H250" s="237"/>
      <c r="I250" s="10" t="s">
        <v>3343</v>
      </c>
      <c r="J250" s="31" t="s">
        <v>11</v>
      </c>
      <c r="K250" s="429">
        <f t="shared" si="21"/>
        <v>0</v>
      </c>
    </row>
    <row r="251" spans="1:11" x14ac:dyDescent="0.2">
      <c r="A251" s="72"/>
      <c r="B251" s="72">
        <f t="shared" si="23"/>
        <v>183</v>
      </c>
      <c r="C251" s="31" t="s">
        <v>5535</v>
      </c>
      <c r="D251" s="10">
        <f t="shared" si="20"/>
        <v>0</v>
      </c>
      <c r="E251" s="10" t="s">
        <v>3366</v>
      </c>
      <c r="F251" s="218" t="s">
        <v>3956</v>
      </c>
      <c r="G251" s="237" t="s">
        <v>5536</v>
      </c>
      <c r="H251" s="237"/>
      <c r="I251" s="10" t="s">
        <v>3343</v>
      </c>
      <c r="J251" s="31" t="s">
        <v>11</v>
      </c>
      <c r="K251" s="429">
        <f t="shared" si="21"/>
        <v>0</v>
      </c>
    </row>
    <row r="252" spans="1:11" x14ac:dyDescent="0.2">
      <c r="A252" s="72"/>
      <c r="B252" s="72">
        <f t="shared" si="23"/>
        <v>184</v>
      </c>
      <c r="C252" s="31" t="s">
        <v>5602</v>
      </c>
      <c r="D252" s="10">
        <f t="shared" si="20"/>
        <v>0</v>
      </c>
      <c r="E252" s="10" t="s">
        <v>3366</v>
      </c>
      <c r="F252" s="218" t="s">
        <v>3976</v>
      </c>
      <c r="G252" s="238" t="s">
        <v>3488</v>
      </c>
      <c r="H252" s="237"/>
      <c r="I252" s="10" t="s">
        <v>3343</v>
      </c>
      <c r="J252" s="31" t="s">
        <v>11</v>
      </c>
      <c r="K252" s="429">
        <f t="shared" si="21"/>
        <v>0</v>
      </c>
    </row>
    <row r="253" spans="1:11" x14ac:dyDescent="0.2">
      <c r="A253" s="72"/>
      <c r="B253" s="72">
        <f t="shared" si="23"/>
        <v>185</v>
      </c>
      <c r="C253" s="31" t="s">
        <v>5603</v>
      </c>
      <c r="D253" s="10">
        <f t="shared" si="20"/>
        <v>0</v>
      </c>
      <c r="E253" s="10" t="s">
        <v>3366</v>
      </c>
      <c r="F253" s="218" t="s">
        <v>3932</v>
      </c>
      <c r="G253" s="237" t="s">
        <v>3933</v>
      </c>
      <c r="H253" s="237"/>
      <c r="I253" s="10" t="s">
        <v>3739</v>
      </c>
      <c r="J253" s="31" t="s">
        <v>11</v>
      </c>
      <c r="K253" s="429">
        <f t="shared" si="21"/>
        <v>0</v>
      </c>
    </row>
    <row r="254" spans="1:11" x14ac:dyDescent="0.2">
      <c r="A254" s="72"/>
      <c r="B254" s="72">
        <f t="shared" si="23"/>
        <v>186</v>
      </c>
      <c r="C254" s="31" t="s">
        <v>5604</v>
      </c>
      <c r="D254" s="10">
        <f t="shared" si="20"/>
        <v>0</v>
      </c>
      <c r="E254" s="10" t="s">
        <v>3366</v>
      </c>
      <c r="F254" s="218" t="s">
        <v>3483</v>
      </c>
      <c r="G254" s="238" t="s">
        <v>5425</v>
      </c>
      <c r="H254" s="237"/>
      <c r="I254" s="10" t="s">
        <v>3343</v>
      </c>
      <c r="J254" s="31" t="s">
        <v>11</v>
      </c>
      <c r="K254" s="429">
        <f t="shared" si="21"/>
        <v>0</v>
      </c>
    </row>
    <row r="255" spans="1:11" x14ac:dyDescent="0.2">
      <c r="A255" s="72"/>
      <c r="B255" s="72"/>
      <c r="C255" s="31" t="s">
        <v>5604</v>
      </c>
      <c r="D255" s="10">
        <f t="shared" si="20"/>
        <v>0</v>
      </c>
      <c r="E255" s="10" t="s">
        <v>3366</v>
      </c>
      <c r="F255" s="218" t="s">
        <v>3486</v>
      </c>
      <c r="G255" s="237" t="s">
        <v>3973</v>
      </c>
      <c r="H255" s="237"/>
      <c r="I255" s="10" t="s">
        <v>3343</v>
      </c>
      <c r="J255" s="31" t="s">
        <v>11</v>
      </c>
      <c r="K255" s="429">
        <f t="shared" si="21"/>
        <v>0</v>
      </c>
    </row>
    <row r="256" spans="1:11" x14ac:dyDescent="0.2">
      <c r="A256" s="72"/>
      <c r="B256" s="72">
        <v>187</v>
      </c>
      <c r="C256" s="31" t="s">
        <v>5541</v>
      </c>
      <c r="D256" s="10">
        <f t="shared" si="20"/>
        <v>0</v>
      </c>
      <c r="E256" s="10" t="s">
        <v>3366</v>
      </c>
      <c r="F256" s="218" t="s">
        <v>3952</v>
      </c>
      <c r="G256" s="238" t="s">
        <v>3440</v>
      </c>
      <c r="H256" s="237"/>
      <c r="I256" s="10" t="s">
        <v>3343</v>
      </c>
      <c r="J256" s="31" t="s">
        <v>11</v>
      </c>
      <c r="K256" s="429">
        <f t="shared" si="21"/>
        <v>0</v>
      </c>
    </row>
    <row r="257" spans="1:11" x14ac:dyDescent="0.2">
      <c r="A257" s="72"/>
      <c r="B257" s="72">
        <v>188</v>
      </c>
      <c r="C257" s="31" t="s">
        <v>5605</v>
      </c>
      <c r="D257" s="10">
        <f t="shared" si="20"/>
        <v>0</v>
      </c>
      <c r="E257" s="10" t="s">
        <v>3366</v>
      </c>
      <c r="F257" s="218" t="s">
        <v>3954</v>
      </c>
      <c r="G257" s="237" t="s">
        <v>3955</v>
      </c>
      <c r="H257" s="237"/>
      <c r="I257" s="10" t="s">
        <v>3343</v>
      </c>
      <c r="J257" s="31" t="s">
        <v>11</v>
      </c>
      <c r="K257" s="429">
        <f>H257</f>
        <v>0</v>
      </c>
    </row>
    <row r="258" spans="1:11" x14ac:dyDescent="0.2">
      <c r="A258" s="72"/>
      <c r="B258" s="72">
        <v>189</v>
      </c>
      <c r="C258" s="31" t="s">
        <v>5606</v>
      </c>
      <c r="D258" s="10">
        <f t="shared" si="20"/>
        <v>0</v>
      </c>
      <c r="E258" s="10" t="s">
        <v>3366</v>
      </c>
      <c r="F258" s="218" t="s">
        <v>3956</v>
      </c>
      <c r="G258" s="238" t="s">
        <v>5536</v>
      </c>
      <c r="H258" s="237"/>
      <c r="I258" s="10" t="s">
        <v>3343</v>
      </c>
      <c r="J258" s="31" t="s">
        <v>11</v>
      </c>
      <c r="K258" s="429">
        <f t="shared" si="21"/>
        <v>0</v>
      </c>
    </row>
    <row r="259" spans="1:11" x14ac:dyDescent="0.2">
      <c r="A259" s="72"/>
      <c r="B259" s="72">
        <v>190</v>
      </c>
      <c r="C259" s="31" t="s">
        <v>5545</v>
      </c>
      <c r="D259" s="10">
        <f t="shared" si="20"/>
        <v>0</v>
      </c>
      <c r="E259" s="10" t="s">
        <v>3366</v>
      </c>
      <c r="F259" s="218" t="s">
        <v>3922</v>
      </c>
      <c r="G259" s="238" t="s">
        <v>3923</v>
      </c>
      <c r="H259" s="237"/>
      <c r="I259" s="10" t="s">
        <v>3343</v>
      </c>
      <c r="J259" s="31" t="s">
        <v>11</v>
      </c>
      <c r="K259" s="429">
        <f t="shared" si="21"/>
        <v>0</v>
      </c>
    </row>
    <row r="260" spans="1:11" x14ac:dyDescent="0.2">
      <c r="A260" s="72"/>
      <c r="B260" s="72">
        <v>191</v>
      </c>
      <c r="C260" s="31" t="s">
        <v>5607</v>
      </c>
      <c r="D260" s="10">
        <f t="shared" si="20"/>
        <v>0</v>
      </c>
      <c r="E260" s="10" t="s">
        <v>3366</v>
      </c>
      <c r="F260" s="218" t="s">
        <v>3934</v>
      </c>
      <c r="G260" s="238" t="s">
        <v>3951</v>
      </c>
      <c r="H260" s="237"/>
      <c r="I260" s="10" t="s">
        <v>3343</v>
      </c>
      <c r="J260" s="31" t="s">
        <v>11</v>
      </c>
      <c r="K260" s="429">
        <f t="shared" si="21"/>
        <v>0</v>
      </c>
    </row>
    <row r="261" spans="1:11" x14ac:dyDescent="0.2">
      <c r="A261" s="72"/>
      <c r="B261" s="72">
        <v>192</v>
      </c>
      <c r="C261" s="31" t="s">
        <v>5608</v>
      </c>
      <c r="D261" s="10">
        <f t="shared" si="20"/>
        <v>0</v>
      </c>
      <c r="E261" s="10" t="s">
        <v>3366</v>
      </c>
      <c r="F261" s="218" t="s">
        <v>3936</v>
      </c>
      <c r="G261" s="238" t="s">
        <v>3937</v>
      </c>
      <c r="H261" s="237"/>
      <c r="I261" s="10" t="s">
        <v>3343</v>
      </c>
      <c r="J261" s="31" t="s">
        <v>11</v>
      </c>
      <c r="K261" s="429">
        <f t="shared" si="21"/>
        <v>0</v>
      </c>
    </row>
    <row r="262" spans="1:11" x14ac:dyDescent="0.2">
      <c r="A262" s="72"/>
      <c r="B262" s="72">
        <v>193</v>
      </c>
      <c r="C262" s="31" t="s">
        <v>5609</v>
      </c>
      <c r="D262" s="10">
        <f t="shared" si="20"/>
        <v>0</v>
      </c>
      <c r="E262" s="10" t="s">
        <v>3366</v>
      </c>
      <c r="F262" s="218" t="s">
        <v>3921</v>
      </c>
      <c r="G262" s="238" t="s">
        <v>3402</v>
      </c>
      <c r="H262" s="237"/>
      <c r="I262" s="10" t="s">
        <v>3343</v>
      </c>
      <c r="J262" s="31" t="s">
        <v>11</v>
      </c>
      <c r="K262" s="429">
        <f t="shared" si="21"/>
        <v>0</v>
      </c>
    </row>
    <row r="263" spans="1:11" x14ac:dyDescent="0.2">
      <c r="A263" s="72"/>
      <c r="B263" s="72">
        <v>194</v>
      </c>
      <c r="C263" s="31" t="s">
        <v>5610</v>
      </c>
      <c r="D263" s="10">
        <f t="shared" si="20"/>
        <v>0</v>
      </c>
      <c r="E263" s="10" t="s">
        <v>3366</v>
      </c>
      <c r="F263" s="218" t="s">
        <v>3921</v>
      </c>
      <c r="G263" s="238" t="s">
        <v>3402</v>
      </c>
      <c r="H263" s="237"/>
      <c r="I263" s="10" t="s">
        <v>3343</v>
      </c>
      <c r="J263" s="31" t="s">
        <v>11</v>
      </c>
      <c r="K263" s="429">
        <f t="shared" si="21"/>
        <v>0</v>
      </c>
    </row>
    <row r="264" spans="1:11" x14ac:dyDescent="0.2">
      <c r="A264" s="72"/>
      <c r="B264" s="72">
        <v>195</v>
      </c>
      <c r="C264" s="31" t="s">
        <v>5611</v>
      </c>
      <c r="D264" s="10">
        <f t="shared" si="20"/>
        <v>0</v>
      </c>
      <c r="E264" s="10" t="s">
        <v>3366</v>
      </c>
      <c r="F264" s="218" t="s">
        <v>3936</v>
      </c>
      <c r="G264" s="238" t="s">
        <v>3937</v>
      </c>
      <c r="H264" s="237"/>
      <c r="I264" s="10" t="s">
        <v>3343</v>
      </c>
      <c r="J264" s="31" t="s">
        <v>11</v>
      </c>
      <c r="K264" s="429">
        <f t="shared" si="21"/>
        <v>0</v>
      </c>
    </row>
    <row r="265" spans="1:11" x14ac:dyDescent="0.2">
      <c r="A265" s="72"/>
      <c r="B265" s="72">
        <v>196</v>
      </c>
      <c r="C265" s="31" t="s">
        <v>5552</v>
      </c>
      <c r="D265" s="10">
        <f t="shared" si="20"/>
        <v>0</v>
      </c>
      <c r="E265" s="10" t="s">
        <v>3366</v>
      </c>
      <c r="F265" s="218" t="s">
        <v>3922</v>
      </c>
      <c r="G265" s="237" t="s">
        <v>3923</v>
      </c>
      <c r="H265" s="237"/>
      <c r="I265" s="10" t="s">
        <v>3343</v>
      </c>
      <c r="J265" s="31" t="s">
        <v>11</v>
      </c>
      <c r="K265" s="429">
        <f t="shared" si="21"/>
        <v>0</v>
      </c>
    </row>
    <row r="266" spans="1:11" x14ac:dyDescent="0.2">
      <c r="A266" s="72"/>
      <c r="B266" s="72">
        <f>B265+1</f>
        <v>197</v>
      </c>
      <c r="C266" s="31" t="s">
        <v>5553</v>
      </c>
      <c r="D266" s="10">
        <f t="shared" si="20"/>
        <v>0</v>
      </c>
      <c r="E266" s="10" t="s">
        <v>3366</v>
      </c>
      <c r="F266" s="218" t="s">
        <v>3922</v>
      </c>
      <c r="G266" s="237" t="s">
        <v>3923</v>
      </c>
      <c r="H266" s="237"/>
      <c r="I266" s="10" t="s">
        <v>3343</v>
      </c>
      <c r="J266" s="31" t="s">
        <v>11</v>
      </c>
      <c r="K266" s="429">
        <f t="shared" si="21"/>
        <v>0</v>
      </c>
    </row>
    <row r="267" spans="1:11" x14ac:dyDescent="0.2">
      <c r="A267" s="72"/>
      <c r="B267" s="72">
        <f t="shared" ref="B267:B272" si="24">B266+1</f>
        <v>198</v>
      </c>
      <c r="C267" s="31" t="s">
        <v>5612</v>
      </c>
      <c r="D267" s="10">
        <f t="shared" si="20"/>
        <v>0</v>
      </c>
      <c r="E267" s="10" t="s">
        <v>3366</v>
      </c>
      <c r="F267" s="218" t="s">
        <v>3961</v>
      </c>
      <c r="G267" s="237" t="s">
        <v>3931</v>
      </c>
      <c r="H267" s="237"/>
      <c r="I267" s="10" t="s">
        <v>3343</v>
      </c>
      <c r="J267" s="31" t="s">
        <v>11</v>
      </c>
      <c r="K267" s="429">
        <f t="shared" si="21"/>
        <v>0</v>
      </c>
    </row>
    <row r="268" spans="1:11" x14ac:dyDescent="0.2">
      <c r="A268" s="72"/>
      <c r="B268" s="72">
        <f t="shared" si="24"/>
        <v>199</v>
      </c>
      <c r="C268" s="31" t="s">
        <v>5613</v>
      </c>
      <c r="D268" s="10">
        <f t="shared" si="20"/>
        <v>0</v>
      </c>
      <c r="E268" s="10" t="s">
        <v>3366</v>
      </c>
      <c r="F268" s="218" t="s">
        <v>3932</v>
      </c>
      <c r="G268" s="237" t="s">
        <v>3933</v>
      </c>
      <c r="H268" s="237"/>
      <c r="I268" s="10" t="s">
        <v>3343</v>
      </c>
      <c r="J268" s="31" t="s">
        <v>11</v>
      </c>
      <c r="K268" s="429">
        <f t="shared" si="21"/>
        <v>0</v>
      </c>
    </row>
    <row r="269" spans="1:11" x14ac:dyDescent="0.2">
      <c r="A269" s="72"/>
      <c r="B269" s="72">
        <f t="shared" si="24"/>
        <v>200</v>
      </c>
      <c r="C269" s="31" t="s">
        <v>5614</v>
      </c>
      <c r="D269" s="10">
        <f t="shared" ref="D269:D289" si="25">A269</f>
        <v>0</v>
      </c>
      <c r="E269" s="10" t="s">
        <v>3366</v>
      </c>
      <c r="F269" s="218" t="s">
        <v>4016</v>
      </c>
      <c r="G269" s="237" t="s">
        <v>4017</v>
      </c>
      <c r="H269" s="237"/>
      <c r="I269" s="10" t="s">
        <v>3343</v>
      </c>
      <c r="J269" s="31" t="s">
        <v>11</v>
      </c>
      <c r="K269" s="429">
        <f t="shared" si="21"/>
        <v>0</v>
      </c>
    </row>
    <row r="270" spans="1:11" x14ac:dyDescent="0.2">
      <c r="A270" s="72"/>
      <c r="B270" s="72">
        <f t="shared" si="24"/>
        <v>201</v>
      </c>
      <c r="C270" s="31" t="s">
        <v>5615</v>
      </c>
      <c r="D270" s="10">
        <f t="shared" si="25"/>
        <v>0</v>
      </c>
      <c r="E270" s="10" t="s">
        <v>3366</v>
      </c>
      <c r="F270" s="218" t="s">
        <v>3934</v>
      </c>
      <c r="G270" s="237" t="s">
        <v>3951</v>
      </c>
      <c r="H270" s="237"/>
      <c r="I270" s="10" t="s">
        <v>3343</v>
      </c>
      <c r="J270" s="31" t="s">
        <v>11</v>
      </c>
      <c r="K270" s="429">
        <f t="shared" ref="K270:K289" si="26">H270</f>
        <v>0</v>
      </c>
    </row>
    <row r="271" spans="1:11" x14ac:dyDescent="0.2">
      <c r="A271" s="72"/>
      <c r="B271" s="72">
        <f t="shared" si="24"/>
        <v>202</v>
      </c>
      <c r="C271" s="31" t="s">
        <v>5616</v>
      </c>
      <c r="D271" s="10">
        <f t="shared" si="25"/>
        <v>0</v>
      </c>
      <c r="E271" s="10" t="s">
        <v>3366</v>
      </c>
      <c r="F271" s="218" t="s">
        <v>4044</v>
      </c>
      <c r="G271" s="237" t="s">
        <v>5617</v>
      </c>
      <c r="H271" s="237"/>
      <c r="I271" s="10" t="s">
        <v>3343</v>
      </c>
      <c r="J271" s="31" t="s">
        <v>11</v>
      </c>
      <c r="K271" s="429">
        <f t="shared" si="26"/>
        <v>0</v>
      </c>
    </row>
    <row r="272" spans="1:11" x14ac:dyDescent="0.2">
      <c r="A272" s="72" t="s">
        <v>5619</v>
      </c>
      <c r="B272" s="72">
        <f t="shared" si="24"/>
        <v>203</v>
      </c>
      <c r="C272" s="31" t="s">
        <v>5000</v>
      </c>
      <c r="D272" s="10" t="str">
        <f t="shared" si="25"/>
        <v>30 Mar</v>
      </c>
      <c r="E272" s="10" t="s">
        <v>3366</v>
      </c>
      <c r="F272" s="218" t="s">
        <v>3925</v>
      </c>
      <c r="G272" s="237" t="s">
        <v>3962</v>
      </c>
      <c r="H272" s="237"/>
      <c r="I272" s="10" t="s">
        <v>3343</v>
      </c>
      <c r="J272" s="31" t="s">
        <v>11</v>
      </c>
      <c r="K272" s="429">
        <f t="shared" si="26"/>
        <v>0</v>
      </c>
    </row>
    <row r="273" spans="1:11" x14ac:dyDescent="0.2">
      <c r="A273" s="72"/>
      <c r="B273" s="72"/>
      <c r="C273" s="31" t="s">
        <v>5000</v>
      </c>
      <c r="D273" s="10">
        <f t="shared" si="25"/>
        <v>0</v>
      </c>
      <c r="E273" s="10" t="s">
        <v>3366</v>
      </c>
      <c r="F273" s="218" t="s">
        <v>3520</v>
      </c>
      <c r="G273" s="237" t="s">
        <v>3964</v>
      </c>
      <c r="H273" s="237"/>
      <c r="I273" s="10" t="s">
        <v>3343</v>
      </c>
      <c r="J273" s="31" t="s">
        <v>11</v>
      </c>
      <c r="K273" s="429">
        <f t="shared" si="26"/>
        <v>0</v>
      </c>
    </row>
    <row r="274" spans="1:11" x14ac:dyDescent="0.2">
      <c r="A274" s="72"/>
      <c r="B274" s="72"/>
      <c r="C274" s="31" t="s">
        <v>5000</v>
      </c>
      <c r="D274" s="10">
        <f t="shared" si="25"/>
        <v>0</v>
      </c>
      <c r="E274" s="10" t="s">
        <v>3366</v>
      </c>
      <c r="F274" s="218" t="s">
        <v>3543</v>
      </c>
      <c r="G274" s="237" t="s">
        <v>3963</v>
      </c>
      <c r="H274" s="237"/>
      <c r="I274" s="10" t="s">
        <v>3343</v>
      </c>
      <c r="J274" s="31" t="s">
        <v>11</v>
      </c>
      <c r="K274" s="429">
        <f t="shared" si="26"/>
        <v>0</v>
      </c>
    </row>
    <row r="275" spans="1:11" x14ac:dyDescent="0.2">
      <c r="A275" s="72"/>
      <c r="B275" s="72">
        <v>204</v>
      </c>
      <c r="C275" s="31" t="s">
        <v>5618</v>
      </c>
      <c r="D275" s="10">
        <f t="shared" si="25"/>
        <v>0</v>
      </c>
      <c r="E275" s="10" t="s">
        <v>3366</v>
      </c>
      <c r="F275" s="218" t="s">
        <v>3960</v>
      </c>
      <c r="G275" s="237" t="s">
        <v>3456</v>
      </c>
      <c r="H275" s="237"/>
      <c r="I275" s="10" t="s">
        <v>3343</v>
      </c>
      <c r="J275" s="31" t="s">
        <v>11</v>
      </c>
      <c r="K275" s="429">
        <f t="shared" si="26"/>
        <v>0</v>
      </c>
    </row>
    <row r="276" spans="1:11" x14ac:dyDescent="0.2">
      <c r="A276" s="72"/>
      <c r="B276" s="72">
        <v>205</v>
      </c>
      <c r="C276" s="31" t="s">
        <v>5533</v>
      </c>
      <c r="D276" s="10">
        <f t="shared" si="25"/>
        <v>0</v>
      </c>
      <c r="E276" s="10" t="s">
        <v>3366</v>
      </c>
      <c r="F276" s="218" t="s">
        <v>3925</v>
      </c>
      <c r="G276" s="237" t="s">
        <v>3958</v>
      </c>
      <c r="H276" s="237"/>
      <c r="I276" s="10" t="s">
        <v>3343</v>
      </c>
      <c r="J276" s="31" t="s">
        <v>11</v>
      </c>
      <c r="K276" s="429">
        <f t="shared" si="26"/>
        <v>0</v>
      </c>
    </row>
    <row r="277" spans="1:11" x14ac:dyDescent="0.2">
      <c r="A277" s="72"/>
      <c r="B277" s="72"/>
      <c r="C277" s="31" t="s">
        <v>5533</v>
      </c>
      <c r="D277" s="10">
        <f t="shared" si="25"/>
        <v>0</v>
      </c>
      <c r="E277" s="10" t="s">
        <v>3366</v>
      </c>
      <c r="F277" s="218" t="s">
        <v>3520</v>
      </c>
      <c r="G277" s="237" t="s">
        <v>4019</v>
      </c>
      <c r="H277" s="237"/>
      <c r="I277" s="10" t="s">
        <v>3343</v>
      </c>
      <c r="J277" s="31" t="s">
        <v>11</v>
      </c>
      <c r="K277" s="429">
        <f t="shared" si="26"/>
        <v>0</v>
      </c>
    </row>
    <row r="278" spans="1:11" x14ac:dyDescent="0.2">
      <c r="A278" s="72"/>
      <c r="B278" s="72"/>
      <c r="C278" s="31" t="s">
        <v>5533</v>
      </c>
      <c r="D278" s="10">
        <f t="shared" si="25"/>
        <v>0</v>
      </c>
      <c r="E278" s="10" t="s">
        <v>3366</v>
      </c>
      <c r="F278" s="218" t="s">
        <v>3543</v>
      </c>
      <c r="G278" s="237" t="s">
        <v>3959</v>
      </c>
      <c r="H278" s="237"/>
      <c r="I278" s="10" t="s">
        <v>3343</v>
      </c>
      <c r="J278" s="31" t="s">
        <v>11</v>
      </c>
      <c r="K278" s="429">
        <f t="shared" si="26"/>
        <v>0</v>
      </c>
    </row>
    <row r="279" spans="1:11" x14ac:dyDescent="0.2">
      <c r="A279" s="72"/>
      <c r="B279" s="72">
        <v>206</v>
      </c>
      <c r="C279" s="31" t="s">
        <v>5620</v>
      </c>
      <c r="D279" s="10">
        <f t="shared" si="25"/>
        <v>0</v>
      </c>
      <c r="E279" s="10" t="s">
        <v>3366</v>
      </c>
      <c r="F279" s="218" t="s">
        <v>4027</v>
      </c>
      <c r="G279" s="237" t="s">
        <v>4028</v>
      </c>
      <c r="H279" s="237"/>
      <c r="I279" s="10" t="s">
        <v>3343</v>
      </c>
      <c r="J279" s="31" t="s">
        <v>11</v>
      </c>
      <c r="K279" s="429">
        <f t="shared" si="26"/>
        <v>0</v>
      </c>
    </row>
    <row r="280" spans="1:11" x14ac:dyDescent="0.2">
      <c r="A280" s="72"/>
      <c r="B280" s="72">
        <f>B279+1</f>
        <v>207</v>
      </c>
      <c r="C280" s="31" t="s">
        <v>5621</v>
      </c>
      <c r="D280" s="10">
        <f t="shared" si="25"/>
        <v>0</v>
      </c>
      <c r="E280" s="10" t="s">
        <v>3366</v>
      </c>
      <c r="F280" s="218" t="s">
        <v>3944</v>
      </c>
      <c r="G280" s="237" t="s">
        <v>3945</v>
      </c>
      <c r="H280" s="237"/>
      <c r="I280" s="10" t="s">
        <v>3343</v>
      </c>
      <c r="J280" s="31" t="s">
        <v>11</v>
      </c>
      <c r="K280" s="429">
        <f t="shared" si="26"/>
        <v>0</v>
      </c>
    </row>
    <row r="281" spans="1:11" x14ac:dyDescent="0.2">
      <c r="A281" s="72"/>
      <c r="B281" s="72">
        <f t="shared" ref="B281:B289" si="27">B280+1</f>
        <v>208</v>
      </c>
      <c r="C281" s="31" t="s">
        <v>5391</v>
      </c>
      <c r="D281" s="10">
        <f t="shared" si="25"/>
        <v>0</v>
      </c>
      <c r="E281" s="10" t="s">
        <v>3366</v>
      </c>
      <c r="F281" s="218" t="s">
        <v>3946</v>
      </c>
      <c r="G281" s="237" t="s">
        <v>3432</v>
      </c>
      <c r="H281" s="237"/>
      <c r="I281" s="10" t="s">
        <v>3343</v>
      </c>
      <c r="J281" s="31" t="s">
        <v>11</v>
      </c>
      <c r="K281" s="429">
        <f t="shared" si="26"/>
        <v>0</v>
      </c>
    </row>
    <row r="282" spans="1:11" x14ac:dyDescent="0.2">
      <c r="A282" s="72"/>
      <c r="B282" s="72">
        <f t="shared" si="27"/>
        <v>209</v>
      </c>
      <c r="C282" s="31" t="s">
        <v>5622</v>
      </c>
      <c r="D282" s="10">
        <f t="shared" si="25"/>
        <v>0</v>
      </c>
      <c r="E282" s="10" t="s">
        <v>3366</v>
      </c>
      <c r="F282" s="218" t="s">
        <v>4154</v>
      </c>
      <c r="G282" s="237" t="s">
        <v>5623</v>
      </c>
      <c r="H282" s="237"/>
      <c r="I282" s="10" t="s">
        <v>3343</v>
      </c>
      <c r="J282" s="31" t="s">
        <v>11</v>
      </c>
      <c r="K282" s="429">
        <f t="shared" si="26"/>
        <v>0</v>
      </c>
    </row>
    <row r="283" spans="1:11" x14ac:dyDescent="0.2">
      <c r="A283" s="72"/>
      <c r="B283" s="72">
        <f t="shared" si="27"/>
        <v>210</v>
      </c>
      <c r="C283" s="31" t="s">
        <v>5624</v>
      </c>
      <c r="D283" s="10">
        <f t="shared" si="25"/>
        <v>0</v>
      </c>
      <c r="E283" s="10" t="s">
        <v>3366</v>
      </c>
      <c r="F283" s="218" t="s">
        <v>4011</v>
      </c>
      <c r="G283" s="237" t="s">
        <v>5625</v>
      </c>
      <c r="H283" s="237"/>
      <c r="I283" s="10" t="s">
        <v>3343</v>
      </c>
      <c r="J283" s="31" t="s">
        <v>11</v>
      </c>
      <c r="K283" s="429">
        <f t="shared" si="26"/>
        <v>0</v>
      </c>
    </row>
    <row r="284" spans="1:11" x14ac:dyDescent="0.2">
      <c r="A284" s="72"/>
      <c r="B284" s="72">
        <f t="shared" si="27"/>
        <v>211</v>
      </c>
      <c r="C284" s="31" t="s">
        <v>5626</v>
      </c>
      <c r="D284" s="10">
        <f t="shared" si="25"/>
        <v>0</v>
      </c>
      <c r="E284" s="10" t="s">
        <v>3366</v>
      </c>
      <c r="F284" s="218" t="s">
        <v>3932</v>
      </c>
      <c r="G284" s="237" t="s">
        <v>5627</v>
      </c>
      <c r="H284" s="237"/>
      <c r="I284" s="10" t="s">
        <v>3343</v>
      </c>
      <c r="J284" s="31" t="s">
        <v>11</v>
      </c>
      <c r="K284" s="429">
        <f t="shared" si="26"/>
        <v>0</v>
      </c>
    </row>
    <row r="285" spans="1:11" x14ac:dyDescent="0.2">
      <c r="A285" s="72"/>
      <c r="B285" s="72">
        <f t="shared" si="27"/>
        <v>212</v>
      </c>
      <c r="C285" s="31" t="s">
        <v>5628</v>
      </c>
      <c r="D285" s="10">
        <f t="shared" si="25"/>
        <v>0</v>
      </c>
      <c r="E285" s="10" t="s">
        <v>3366</v>
      </c>
      <c r="F285" s="218" t="s">
        <v>4058</v>
      </c>
      <c r="G285" s="237" t="s">
        <v>4017</v>
      </c>
      <c r="H285" s="237"/>
      <c r="I285" s="10" t="s">
        <v>3343</v>
      </c>
      <c r="J285" s="31" t="s">
        <v>11</v>
      </c>
      <c r="K285" s="429">
        <f t="shared" si="26"/>
        <v>0</v>
      </c>
    </row>
    <row r="286" spans="1:11" x14ac:dyDescent="0.2">
      <c r="A286" s="72"/>
      <c r="B286" s="72">
        <f t="shared" si="27"/>
        <v>213</v>
      </c>
      <c r="C286" s="31" t="s">
        <v>5629</v>
      </c>
      <c r="D286" s="10">
        <f t="shared" si="25"/>
        <v>0</v>
      </c>
      <c r="E286" s="10" t="s">
        <v>3366</v>
      </c>
      <c r="F286" s="218" t="s">
        <v>3934</v>
      </c>
      <c r="G286" s="237" t="s">
        <v>3951</v>
      </c>
      <c r="H286" s="237"/>
      <c r="I286" s="10" t="s">
        <v>3343</v>
      </c>
      <c r="J286" s="31" t="s">
        <v>11</v>
      </c>
      <c r="K286" s="429">
        <f t="shared" si="26"/>
        <v>0</v>
      </c>
    </row>
    <row r="287" spans="1:11" x14ac:dyDescent="0.2">
      <c r="A287" s="72"/>
      <c r="B287" s="72">
        <f t="shared" si="27"/>
        <v>214</v>
      </c>
      <c r="C287" s="31" t="s">
        <v>5630</v>
      </c>
      <c r="D287" s="10">
        <f t="shared" si="25"/>
        <v>0</v>
      </c>
      <c r="E287" s="10" t="s">
        <v>3366</v>
      </c>
      <c r="F287" s="218" t="s">
        <v>3999</v>
      </c>
      <c r="G287" s="237" t="s">
        <v>4000</v>
      </c>
      <c r="H287" s="237"/>
      <c r="I287" s="10" t="s">
        <v>3343</v>
      </c>
      <c r="J287" s="31" t="s">
        <v>11</v>
      </c>
      <c r="K287" s="429">
        <f t="shared" si="26"/>
        <v>0</v>
      </c>
    </row>
    <row r="288" spans="1:11" x14ac:dyDescent="0.2">
      <c r="A288" s="72"/>
      <c r="B288" s="72">
        <f t="shared" si="27"/>
        <v>215</v>
      </c>
      <c r="C288" s="31" t="s">
        <v>5631</v>
      </c>
      <c r="D288" s="10">
        <f t="shared" si="25"/>
        <v>0</v>
      </c>
      <c r="E288" s="10" t="s">
        <v>3366</v>
      </c>
      <c r="F288" s="218" t="s">
        <v>4016</v>
      </c>
      <c r="G288" s="237" t="s">
        <v>4017</v>
      </c>
      <c r="H288" s="237"/>
      <c r="I288" s="10" t="s">
        <v>3343</v>
      </c>
      <c r="J288" s="31" t="s">
        <v>11</v>
      </c>
      <c r="K288" s="429">
        <f t="shared" si="26"/>
        <v>0</v>
      </c>
    </row>
    <row r="289" spans="1:13" x14ac:dyDescent="0.2">
      <c r="A289" s="72"/>
      <c r="B289" s="72">
        <f t="shared" si="27"/>
        <v>216</v>
      </c>
      <c r="C289" s="31" t="s">
        <v>5632</v>
      </c>
      <c r="D289" s="10">
        <f t="shared" si="25"/>
        <v>0</v>
      </c>
      <c r="E289" s="10" t="s">
        <v>3366</v>
      </c>
      <c r="F289" s="218" t="s">
        <v>3939</v>
      </c>
      <c r="G289" s="237" t="s">
        <v>3940</v>
      </c>
      <c r="H289" s="237"/>
      <c r="I289" s="10" t="s">
        <v>3343</v>
      </c>
      <c r="J289" s="31" t="s">
        <v>11</v>
      </c>
      <c r="K289" s="429">
        <f t="shared" si="26"/>
        <v>0</v>
      </c>
    </row>
    <row r="290" spans="1:13" ht="12" x14ac:dyDescent="0.2">
      <c r="A290" s="654" t="s">
        <v>3556</v>
      </c>
      <c r="B290" s="654"/>
      <c r="C290" s="654"/>
      <c r="D290" s="654"/>
      <c r="E290" s="654"/>
      <c r="F290" s="654"/>
      <c r="G290" s="654"/>
      <c r="H290" s="435">
        <f>SUM(H203:H289)</f>
        <v>0</v>
      </c>
      <c r="I290" s="692" t="s">
        <v>3556</v>
      </c>
      <c r="J290" s="692"/>
      <c r="K290" s="435">
        <f>SUM(K203:K289)</f>
        <v>0</v>
      </c>
    </row>
    <row r="291" spans="1:13" ht="12" x14ac:dyDescent="0.2">
      <c r="A291" s="658" t="s">
        <v>3557</v>
      </c>
      <c r="B291" s="659"/>
      <c r="C291" s="659"/>
      <c r="D291" s="659"/>
      <c r="E291" s="659"/>
      <c r="F291" s="659"/>
      <c r="G291" s="660"/>
      <c r="H291" s="435">
        <f>H186</f>
        <v>0</v>
      </c>
      <c r="I291" s="692" t="s">
        <v>3557</v>
      </c>
      <c r="J291" s="692"/>
      <c r="K291" s="435">
        <f>K186</f>
        <v>0</v>
      </c>
      <c r="M291" s="254"/>
    </row>
    <row r="292" spans="1:13" ht="12.75" thickBot="1" x14ac:dyDescent="0.25">
      <c r="A292" s="640" t="s">
        <v>3558</v>
      </c>
      <c r="B292" s="641"/>
      <c r="C292" s="641"/>
      <c r="D292" s="641"/>
      <c r="E292" s="641"/>
      <c r="F292" s="641"/>
      <c r="G292" s="642"/>
      <c r="H292" s="436">
        <f>SUM(H290:H291)</f>
        <v>0</v>
      </c>
      <c r="I292" s="693" t="s">
        <v>3558</v>
      </c>
      <c r="J292" s="693"/>
      <c r="K292" s="436">
        <f>SUM(K290:K291)</f>
        <v>0</v>
      </c>
    </row>
    <row r="293" spans="1:13" ht="12.75" x14ac:dyDescent="0.2">
      <c r="A293" s="428" t="s">
        <v>0</v>
      </c>
      <c r="B293" s="305"/>
      <c r="C293" s="143"/>
      <c r="D293" s="305"/>
      <c r="E293" s="305"/>
      <c r="F293" s="305"/>
      <c r="G293" s="143"/>
      <c r="H293" s="143"/>
      <c r="I293" s="305"/>
      <c r="J293" s="143"/>
      <c r="K293" s="143"/>
    </row>
    <row r="294" spans="1:13" ht="12.75" x14ac:dyDescent="0.2">
      <c r="A294" s="428" t="s">
        <v>1</v>
      </c>
      <c r="B294" s="305"/>
      <c r="C294" s="143"/>
      <c r="D294" s="305"/>
      <c r="E294" s="305"/>
      <c r="F294" s="305"/>
      <c r="G294" s="143"/>
      <c r="H294" s="143"/>
      <c r="I294" s="305"/>
      <c r="J294" s="143"/>
      <c r="K294" s="143"/>
    </row>
    <row r="295" spans="1:13" ht="12.75" x14ac:dyDescent="0.2">
      <c r="A295" s="687" t="s">
        <v>3345</v>
      </c>
      <c r="B295" s="687"/>
      <c r="C295" s="687"/>
      <c r="D295" s="687"/>
      <c r="E295" s="687"/>
      <c r="F295" s="687"/>
      <c r="G295" s="687"/>
      <c r="H295" s="687"/>
      <c r="I295" s="687"/>
      <c r="J295" s="687"/>
      <c r="K295" s="687"/>
    </row>
    <row r="296" spans="1:13" ht="12.75" x14ac:dyDescent="0.2">
      <c r="A296" s="687" t="s">
        <v>3568</v>
      </c>
      <c r="B296" s="687"/>
      <c r="C296" s="687"/>
      <c r="D296" s="687"/>
      <c r="E296" s="687"/>
      <c r="F296" s="687"/>
      <c r="G296" s="687"/>
      <c r="H296" s="687"/>
      <c r="I296" s="687"/>
      <c r="J296" s="687"/>
      <c r="K296" s="687"/>
    </row>
    <row r="297" spans="1:13" x14ac:dyDescent="0.2">
      <c r="A297" s="18"/>
      <c r="B297" s="18"/>
      <c r="C297" s="18"/>
      <c r="D297" s="18"/>
      <c r="E297" s="18"/>
      <c r="F297" s="18"/>
      <c r="G297" s="18"/>
      <c r="H297" s="18"/>
      <c r="I297" s="18"/>
      <c r="J297" s="18"/>
      <c r="K297" s="18"/>
    </row>
    <row r="298" spans="1:13" x14ac:dyDescent="0.2">
      <c r="A298" s="678" t="s">
        <v>3346</v>
      </c>
      <c r="B298" s="679"/>
      <c r="C298" s="680" t="s">
        <v>13</v>
      </c>
      <c r="D298" s="678" t="s">
        <v>3347</v>
      </c>
      <c r="E298" s="679"/>
      <c r="F298" s="688" t="s">
        <v>90</v>
      </c>
      <c r="G298" s="689"/>
      <c r="H298" s="690"/>
      <c r="I298" s="688" t="s">
        <v>10</v>
      </c>
      <c r="J298" s="689"/>
      <c r="K298" s="690"/>
    </row>
    <row r="299" spans="1:13" x14ac:dyDescent="0.2">
      <c r="A299" s="680" t="s">
        <v>12</v>
      </c>
      <c r="B299" s="680" t="s">
        <v>21</v>
      </c>
      <c r="C299" s="681"/>
      <c r="D299" s="665" t="s">
        <v>12</v>
      </c>
      <c r="E299" s="665" t="s">
        <v>3348</v>
      </c>
      <c r="F299" s="665" t="s">
        <v>3285</v>
      </c>
      <c r="G299" s="665" t="s">
        <v>3282</v>
      </c>
      <c r="H299" s="665" t="s">
        <v>3539</v>
      </c>
      <c r="I299" s="665" t="s">
        <v>3285</v>
      </c>
      <c r="J299" s="665" t="s">
        <v>3282</v>
      </c>
      <c r="K299" s="665" t="s">
        <v>3539</v>
      </c>
    </row>
    <row r="300" spans="1:13" x14ac:dyDescent="0.2">
      <c r="A300" s="682"/>
      <c r="B300" s="682"/>
      <c r="C300" s="682"/>
      <c r="D300" s="667"/>
      <c r="E300" s="667"/>
      <c r="F300" s="667"/>
      <c r="G300" s="667"/>
      <c r="H300" s="667"/>
      <c r="I300" s="667"/>
      <c r="J300" s="667"/>
      <c r="K300" s="667"/>
    </row>
    <row r="301" spans="1:13" x14ac:dyDescent="0.2">
      <c r="A301" s="210"/>
      <c r="B301" s="210"/>
      <c r="C301" s="60"/>
      <c r="D301" s="10">
        <f t="shared" ref="D301:D364" si="28">A301</f>
        <v>0</v>
      </c>
      <c r="E301" s="6" t="s">
        <v>3366</v>
      </c>
      <c r="F301" s="235"/>
      <c r="G301" s="236"/>
      <c r="H301" s="236"/>
      <c r="I301" s="10" t="s">
        <v>3343</v>
      </c>
      <c r="J301" s="31" t="s">
        <v>11</v>
      </c>
      <c r="K301" s="429">
        <f>H301</f>
        <v>0</v>
      </c>
    </row>
    <row r="302" spans="1:13" x14ac:dyDescent="0.2">
      <c r="A302" s="72"/>
      <c r="B302" s="72"/>
      <c r="C302" s="31"/>
      <c r="D302" s="10">
        <f t="shared" si="28"/>
        <v>0</v>
      </c>
      <c r="E302" s="10" t="s">
        <v>3366</v>
      </c>
      <c r="F302" s="218"/>
      <c r="G302" s="237"/>
      <c r="H302" s="237"/>
      <c r="I302" s="10" t="s">
        <v>3343</v>
      </c>
      <c r="J302" s="31" t="s">
        <v>11</v>
      </c>
      <c r="K302" s="429">
        <f t="shared" ref="K302:K365" si="29">H302</f>
        <v>0</v>
      </c>
    </row>
    <row r="303" spans="1:13" x14ac:dyDescent="0.2">
      <c r="A303" s="72"/>
      <c r="B303" s="72"/>
      <c r="C303" s="31"/>
      <c r="D303" s="10">
        <f t="shared" si="28"/>
        <v>0</v>
      </c>
      <c r="E303" s="10" t="s">
        <v>3366</v>
      </c>
      <c r="F303" s="218"/>
      <c r="G303" s="237"/>
      <c r="H303" s="237"/>
      <c r="I303" s="10" t="s">
        <v>3343</v>
      </c>
      <c r="J303" s="31" t="s">
        <v>11</v>
      </c>
      <c r="K303" s="429">
        <f t="shared" si="29"/>
        <v>0</v>
      </c>
    </row>
    <row r="304" spans="1:13" x14ac:dyDescent="0.2">
      <c r="A304" s="72"/>
      <c r="B304" s="72"/>
      <c r="C304" s="31"/>
      <c r="D304" s="10">
        <f t="shared" si="28"/>
        <v>0</v>
      </c>
      <c r="E304" s="10" t="s">
        <v>3366</v>
      </c>
      <c r="F304" s="218"/>
      <c r="G304" s="237"/>
      <c r="H304" s="237"/>
      <c r="I304" s="10" t="s">
        <v>3343</v>
      </c>
      <c r="J304" s="31" t="s">
        <v>11</v>
      </c>
      <c r="K304" s="429">
        <f t="shared" si="29"/>
        <v>0</v>
      </c>
    </row>
    <row r="305" spans="1:11" x14ac:dyDescent="0.2">
      <c r="A305" s="72"/>
      <c r="B305" s="72"/>
      <c r="C305" s="31"/>
      <c r="D305" s="10">
        <f t="shared" si="28"/>
        <v>0</v>
      </c>
      <c r="E305" s="10" t="s">
        <v>3366</v>
      </c>
      <c r="F305" s="218"/>
      <c r="G305" s="237"/>
      <c r="H305" s="237"/>
      <c r="I305" s="10" t="s">
        <v>3343</v>
      </c>
      <c r="J305" s="31" t="s">
        <v>11</v>
      </c>
      <c r="K305" s="429">
        <f t="shared" si="29"/>
        <v>0</v>
      </c>
    </row>
    <row r="306" spans="1:11" x14ac:dyDescent="0.2">
      <c r="A306" s="72"/>
      <c r="B306" s="72"/>
      <c r="C306" s="31"/>
      <c r="D306" s="10">
        <f t="shared" si="28"/>
        <v>0</v>
      </c>
      <c r="E306" s="10" t="s">
        <v>3366</v>
      </c>
      <c r="F306" s="218"/>
      <c r="G306" s="237"/>
      <c r="H306" s="237"/>
      <c r="I306" s="10" t="s">
        <v>3343</v>
      </c>
      <c r="J306" s="31" t="s">
        <v>11</v>
      </c>
      <c r="K306" s="429">
        <f t="shared" si="29"/>
        <v>0</v>
      </c>
    </row>
    <row r="307" spans="1:11" x14ac:dyDescent="0.2">
      <c r="A307" s="72"/>
      <c r="B307" s="72"/>
      <c r="C307" s="31"/>
      <c r="D307" s="10">
        <f t="shared" si="28"/>
        <v>0</v>
      </c>
      <c r="E307" s="10" t="s">
        <v>3366</v>
      </c>
      <c r="F307" s="218"/>
      <c r="G307" s="237"/>
      <c r="H307" s="237"/>
      <c r="I307" s="10" t="s">
        <v>3343</v>
      </c>
      <c r="J307" s="31" t="s">
        <v>11</v>
      </c>
      <c r="K307" s="429">
        <f t="shared" si="29"/>
        <v>0</v>
      </c>
    </row>
    <row r="308" spans="1:11" x14ac:dyDescent="0.2">
      <c r="A308" s="72"/>
      <c r="B308" s="72"/>
      <c r="C308" s="31"/>
      <c r="D308" s="10">
        <f t="shared" si="28"/>
        <v>0</v>
      </c>
      <c r="E308" s="10" t="s">
        <v>3366</v>
      </c>
      <c r="F308" s="218"/>
      <c r="G308" s="237"/>
      <c r="H308" s="237"/>
      <c r="I308" s="10" t="s">
        <v>3343</v>
      </c>
      <c r="J308" s="31" t="s">
        <v>11</v>
      </c>
      <c r="K308" s="429">
        <f t="shared" si="29"/>
        <v>0</v>
      </c>
    </row>
    <row r="309" spans="1:11" x14ac:dyDescent="0.2">
      <c r="A309" s="72"/>
      <c r="B309" s="72"/>
      <c r="C309" s="31"/>
      <c r="D309" s="10">
        <f t="shared" si="28"/>
        <v>0</v>
      </c>
      <c r="E309" s="10" t="s">
        <v>3366</v>
      </c>
      <c r="F309" s="218"/>
      <c r="G309" s="237"/>
      <c r="H309" s="237"/>
      <c r="I309" s="10" t="s">
        <v>3343</v>
      </c>
      <c r="J309" s="31" t="s">
        <v>11</v>
      </c>
      <c r="K309" s="429">
        <f t="shared" si="29"/>
        <v>0</v>
      </c>
    </row>
    <row r="310" spans="1:11" x14ac:dyDescent="0.2">
      <c r="A310" s="10"/>
      <c r="B310" s="72"/>
      <c r="C310" s="31"/>
      <c r="D310" s="10">
        <f t="shared" si="28"/>
        <v>0</v>
      </c>
      <c r="E310" s="10" t="s">
        <v>3366</v>
      </c>
      <c r="F310" s="218"/>
      <c r="G310" s="237"/>
      <c r="H310" s="237"/>
      <c r="I310" s="10" t="s">
        <v>3343</v>
      </c>
      <c r="J310" s="31" t="s">
        <v>11</v>
      </c>
      <c r="K310" s="429">
        <f t="shared" si="29"/>
        <v>0</v>
      </c>
    </row>
    <row r="311" spans="1:11" x14ac:dyDescent="0.2">
      <c r="A311" s="72"/>
      <c r="B311" s="72"/>
      <c r="C311" s="31"/>
      <c r="D311" s="10">
        <f t="shared" si="28"/>
        <v>0</v>
      </c>
      <c r="E311" s="10" t="s">
        <v>3366</v>
      </c>
      <c r="F311" s="218"/>
      <c r="G311" s="237"/>
      <c r="H311" s="237"/>
      <c r="I311" s="10" t="s">
        <v>3343</v>
      </c>
      <c r="J311" s="31" t="s">
        <v>11</v>
      </c>
      <c r="K311" s="429">
        <f t="shared" si="29"/>
        <v>0</v>
      </c>
    </row>
    <row r="312" spans="1:11" x14ac:dyDescent="0.2">
      <c r="A312" s="72"/>
      <c r="B312" s="72"/>
      <c r="C312" s="31"/>
      <c r="D312" s="10">
        <f t="shared" si="28"/>
        <v>0</v>
      </c>
      <c r="E312" s="10" t="s">
        <v>3366</v>
      </c>
      <c r="F312" s="218"/>
      <c r="G312" s="237"/>
      <c r="H312" s="237"/>
      <c r="I312" s="10" t="s">
        <v>3343</v>
      </c>
      <c r="J312" s="31" t="s">
        <v>11</v>
      </c>
      <c r="K312" s="429">
        <f t="shared" si="29"/>
        <v>0</v>
      </c>
    </row>
    <row r="313" spans="1:11" x14ac:dyDescent="0.2">
      <c r="A313" s="72"/>
      <c r="B313" s="72"/>
      <c r="C313" s="31"/>
      <c r="D313" s="10">
        <f t="shared" si="28"/>
        <v>0</v>
      </c>
      <c r="E313" s="10" t="s">
        <v>3366</v>
      </c>
      <c r="F313" s="218"/>
      <c r="G313" s="237"/>
      <c r="H313" s="237"/>
      <c r="I313" s="10" t="s">
        <v>3343</v>
      </c>
      <c r="J313" s="31" t="s">
        <v>11</v>
      </c>
      <c r="K313" s="429">
        <f t="shared" si="29"/>
        <v>0</v>
      </c>
    </row>
    <row r="314" spans="1:11" x14ac:dyDescent="0.2">
      <c r="A314" s="72"/>
      <c r="B314" s="72"/>
      <c r="C314" s="31"/>
      <c r="D314" s="10">
        <f t="shared" si="28"/>
        <v>0</v>
      </c>
      <c r="E314" s="10" t="s">
        <v>3366</v>
      </c>
      <c r="F314" s="218"/>
      <c r="G314" s="237"/>
      <c r="H314" s="237"/>
      <c r="I314" s="10" t="s">
        <v>3343</v>
      </c>
      <c r="J314" s="31" t="s">
        <v>11</v>
      </c>
      <c r="K314" s="429">
        <f t="shared" si="29"/>
        <v>0</v>
      </c>
    </row>
    <row r="315" spans="1:11" x14ac:dyDescent="0.2">
      <c r="A315" s="72"/>
      <c r="B315" s="72"/>
      <c r="C315" s="31"/>
      <c r="D315" s="10">
        <f t="shared" si="28"/>
        <v>0</v>
      </c>
      <c r="E315" s="10" t="s">
        <v>3366</v>
      </c>
      <c r="F315" s="218"/>
      <c r="G315" s="237"/>
      <c r="H315" s="237"/>
      <c r="I315" s="10" t="s">
        <v>3343</v>
      </c>
      <c r="J315" s="31" t="s">
        <v>11</v>
      </c>
      <c r="K315" s="429">
        <f t="shared" si="29"/>
        <v>0</v>
      </c>
    </row>
    <row r="316" spans="1:11" x14ac:dyDescent="0.2">
      <c r="A316" s="72"/>
      <c r="B316" s="72"/>
      <c r="C316" s="31"/>
      <c r="D316" s="10">
        <f t="shared" si="28"/>
        <v>0</v>
      </c>
      <c r="E316" s="10" t="s">
        <v>3366</v>
      </c>
      <c r="F316" s="218"/>
      <c r="G316" s="237"/>
      <c r="H316" s="237"/>
      <c r="I316" s="10" t="s">
        <v>3343</v>
      </c>
      <c r="J316" s="31" t="s">
        <v>11</v>
      </c>
      <c r="K316" s="429">
        <f t="shared" si="29"/>
        <v>0</v>
      </c>
    </row>
    <row r="317" spans="1:11" x14ac:dyDescent="0.2">
      <c r="A317" s="263"/>
      <c r="B317" s="72"/>
      <c r="C317" s="31"/>
      <c r="D317" s="10">
        <f t="shared" si="28"/>
        <v>0</v>
      </c>
      <c r="E317" s="10" t="s">
        <v>3366</v>
      </c>
      <c r="F317" s="218"/>
      <c r="G317" s="237"/>
      <c r="H317" s="237"/>
      <c r="I317" s="10" t="s">
        <v>3343</v>
      </c>
      <c r="J317" s="31" t="s">
        <v>11</v>
      </c>
      <c r="K317" s="429">
        <f t="shared" si="29"/>
        <v>0</v>
      </c>
    </row>
    <row r="318" spans="1:11" x14ac:dyDescent="0.2">
      <c r="A318" s="72"/>
      <c r="B318" s="72"/>
      <c r="C318" s="31"/>
      <c r="D318" s="10">
        <f t="shared" si="28"/>
        <v>0</v>
      </c>
      <c r="E318" s="10" t="s">
        <v>3366</v>
      </c>
      <c r="F318" s="218"/>
      <c r="G318" s="237"/>
      <c r="H318" s="237"/>
      <c r="I318" s="10" t="s">
        <v>3343</v>
      </c>
      <c r="J318" s="31" t="s">
        <v>11</v>
      </c>
      <c r="K318" s="429">
        <f t="shared" si="29"/>
        <v>0</v>
      </c>
    </row>
    <row r="319" spans="1:11" x14ac:dyDescent="0.2">
      <c r="A319" s="72"/>
      <c r="B319" s="72"/>
      <c r="C319" s="31"/>
      <c r="D319" s="10">
        <f t="shared" si="28"/>
        <v>0</v>
      </c>
      <c r="E319" s="10" t="s">
        <v>3366</v>
      </c>
      <c r="F319" s="218"/>
      <c r="G319" s="237"/>
      <c r="H319" s="237"/>
      <c r="I319" s="10" t="s">
        <v>3343</v>
      </c>
      <c r="J319" s="31" t="s">
        <v>11</v>
      </c>
      <c r="K319" s="429">
        <f t="shared" si="29"/>
        <v>0</v>
      </c>
    </row>
    <row r="320" spans="1:11" x14ac:dyDescent="0.2">
      <c r="A320" s="72"/>
      <c r="B320" s="72"/>
      <c r="C320" s="31"/>
      <c r="D320" s="10">
        <f t="shared" si="28"/>
        <v>0</v>
      </c>
      <c r="E320" s="10" t="s">
        <v>3366</v>
      </c>
      <c r="F320" s="218"/>
      <c r="G320" s="237"/>
      <c r="H320" s="237"/>
      <c r="I320" s="10" t="s">
        <v>3343</v>
      </c>
      <c r="J320" s="31" t="s">
        <v>11</v>
      </c>
      <c r="K320" s="429">
        <f t="shared" si="29"/>
        <v>0</v>
      </c>
    </row>
    <row r="321" spans="1:11" x14ac:dyDescent="0.2">
      <c r="A321" s="72"/>
      <c r="B321" s="72"/>
      <c r="C321" s="31"/>
      <c r="D321" s="10">
        <f t="shared" si="28"/>
        <v>0</v>
      </c>
      <c r="E321" s="10" t="s">
        <v>3366</v>
      </c>
      <c r="F321" s="218"/>
      <c r="G321" s="237"/>
      <c r="H321" s="237"/>
      <c r="I321" s="10" t="s">
        <v>3343</v>
      </c>
      <c r="J321" s="31" t="s">
        <v>11</v>
      </c>
      <c r="K321" s="429">
        <f t="shared" si="29"/>
        <v>0</v>
      </c>
    </row>
    <row r="322" spans="1:11" x14ac:dyDescent="0.2">
      <c r="A322" s="72"/>
      <c r="B322" s="72"/>
      <c r="C322" s="31"/>
      <c r="D322" s="10">
        <f t="shared" si="28"/>
        <v>0</v>
      </c>
      <c r="E322" s="10" t="s">
        <v>3366</v>
      </c>
      <c r="F322" s="218"/>
      <c r="G322" s="237"/>
      <c r="H322" s="237"/>
      <c r="I322" s="10" t="s">
        <v>3343</v>
      </c>
      <c r="J322" s="31" t="s">
        <v>11</v>
      </c>
      <c r="K322" s="429">
        <f t="shared" si="29"/>
        <v>0</v>
      </c>
    </row>
    <row r="323" spans="1:11" x14ac:dyDescent="0.2">
      <c r="A323" s="72"/>
      <c r="B323" s="72"/>
      <c r="C323" s="31"/>
      <c r="D323" s="10">
        <f t="shared" si="28"/>
        <v>0</v>
      </c>
      <c r="E323" s="10" t="s">
        <v>3366</v>
      </c>
      <c r="F323" s="218"/>
      <c r="G323" s="237"/>
      <c r="H323" s="237"/>
      <c r="I323" s="10" t="s">
        <v>3343</v>
      </c>
      <c r="J323" s="31" t="s">
        <v>11</v>
      </c>
      <c r="K323" s="429">
        <f t="shared" si="29"/>
        <v>0</v>
      </c>
    </row>
    <row r="324" spans="1:11" x14ac:dyDescent="0.2">
      <c r="A324" s="72"/>
      <c r="B324" s="72"/>
      <c r="C324" s="31"/>
      <c r="D324" s="10">
        <f t="shared" si="28"/>
        <v>0</v>
      </c>
      <c r="E324" s="10" t="s">
        <v>3366</v>
      </c>
      <c r="F324" s="218"/>
      <c r="G324" s="237"/>
      <c r="H324" s="237"/>
      <c r="I324" s="10" t="s">
        <v>3343</v>
      </c>
      <c r="J324" s="31" t="s">
        <v>11</v>
      </c>
      <c r="K324" s="429">
        <f t="shared" si="29"/>
        <v>0</v>
      </c>
    </row>
    <row r="325" spans="1:11" x14ac:dyDescent="0.2">
      <c r="A325" s="72"/>
      <c r="B325" s="72"/>
      <c r="C325" s="31"/>
      <c r="D325" s="10">
        <f t="shared" si="28"/>
        <v>0</v>
      </c>
      <c r="E325" s="10" t="s">
        <v>3366</v>
      </c>
      <c r="F325" s="218"/>
      <c r="G325" s="237"/>
      <c r="H325" s="237"/>
      <c r="I325" s="10" t="s">
        <v>3343</v>
      </c>
      <c r="J325" s="31" t="s">
        <v>11</v>
      </c>
      <c r="K325" s="429">
        <f t="shared" si="29"/>
        <v>0</v>
      </c>
    </row>
    <row r="326" spans="1:11" x14ac:dyDescent="0.2">
      <c r="A326" s="72"/>
      <c r="B326" s="72"/>
      <c r="C326" s="31"/>
      <c r="D326" s="10">
        <f t="shared" si="28"/>
        <v>0</v>
      </c>
      <c r="E326" s="10" t="s">
        <v>3366</v>
      </c>
      <c r="F326" s="218"/>
      <c r="G326" s="237"/>
      <c r="H326" s="237"/>
      <c r="I326" s="10" t="s">
        <v>3343</v>
      </c>
      <c r="J326" s="31" t="s">
        <v>11</v>
      </c>
      <c r="K326" s="429">
        <f t="shared" si="29"/>
        <v>0</v>
      </c>
    </row>
    <row r="327" spans="1:11" x14ac:dyDescent="0.2">
      <c r="A327" s="72"/>
      <c r="B327" s="72"/>
      <c r="C327" s="31"/>
      <c r="D327" s="10">
        <f t="shared" si="28"/>
        <v>0</v>
      </c>
      <c r="E327" s="10" t="s">
        <v>3366</v>
      </c>
      <c r="F327" s="218"/>
      <c r="G327" s="237"/>
      <c r="H327" s="237"/>
      <c r="I327" s="10" t="s">
        <v>3343</v>
      </c>
      <c r="J327" s="31" t="s">
        <v>11</v>
      </c>
      <c r="K327" s="429">
        <f t="shared" si="29"/>
        <v>0</v>
      </c>
    </row>
    <row r="328" spans="1:11" x14ac:dyDescent="0.2">
      <c r="A328" s="72"/>
      <c r="B328" s="72"/>
      <c r="C328" s="31"/>
      <c r="D328" s="10">
        <f t="shared" si="28"/>
        <v>0</v>
      </c>
      <c r="E328" s="10" t="s">
        <v>3366</v>
      </c>
      <c r="F328" s="218"/>
      <c r="G328" s="237"/>
      <c r="H328" s="237"/>
      <c r="I328" s="10" t="s">
        <v>3343</v>
      </c>
      <c r="J328" s="31" t="s">
        <v>11</v>
      </c>
      <c r="K328" s="429">
        <f t="shared" si="29"/>
        <v>0</v>
      </c>
    </row>
    <row r="329" spans="1:11" x14ac:dyDescent="0.2">
      <c r="A329" s="72"/>
      <c r="B329" s="72"/>
      <c r="C329" s="31"/>
      <c r="D329" s="10">
        <f t="shared" si="28"/>
        <v>0</v>
      </c>
      <c r="E329" s="10" t="s">
        <v>3366</v>
      </c>
      <c r="F329" s="218"/>
      <c r="G329" s="237"/>
      <c r="H329" s="237"/>
      <c r="I329" s="10" t="s">
        <v>3343</v>
      </c>
      <c r="J329" s="31" t="s">
        <v>11</v>
      </c>
      <c r="K329" s="429">
        <f t="shared" si="29"/>
        <v>0</v>
      </c>
    </row>
    <row r="330" spans="1:11" x14ac:dyDescent="0.2">
      <c r="A330" s="72"/>
      <c r="B330" s="72"/>
      <c r="C330" s="31"/>
      <c r="D330" s="10">
        <f t="shared" si="28"/>
        <v>0</v>
      </c>
      <c r="E330" s="10" t="s">
        <v>3366</v>
      </c>
      <c r="F330" s="218"/>
      <c r="G330" s="237"/>
      <c r="H330" s="237"/>
      <c r="I330" s="10" t="s">
        <v>3343</v>
      </c>
      <c r="J330" s="31" t="s">
        <v>11</v>
      </c>
      <c r="K330" s="429">
        <f t="shared" si="29"/>
        <v>0</v>
      </c>
    </row>
    <row r="331" spans="1:11" x14ac:dyDescent="0.2">
      <c r="A331" s="72"/>
      <c r="B331" s="72"/>
      <c r="C331" s="31"/>
      <c r="D331" s="10">
        <f t="shared" si="28"/>
        <v>0</v>
      </c>
      <c r="E331" s="10" t="s">
        <v>3366</v>
      </c>
      <c r="F331" s="218"/>
      <c r="G331" s="237"/>
      <c r="H331" s="237"/>
      <c r="I331" s="10" t="s">
        <v>3343</v>
      </c>
      <c r="J331" s="31" t="s">
        <v>11</v>
      </c>
      <c r="K331" s="429">
        <f t="shared" si="29"/>
        <v>0</v>
      </c>
    </row>
    <row r="332" spans="1:11" x14ac:dyDescent="0.2">
      <c r="A332" s="72"/>
      <c r="B332" s="72"/>
      <c r="C332" s="31"/>
      <c r="D332" s="10">
        <f t="shared" si="28"/>
        <v>0</v>
      </c>
      <c r="E332" s="10" t="s">
        <v>3366</v>
      </c>
      <c r="F332" s="218"/>
      <c r="G332" s="237"/>
      <c r="H332" s="237"/>
      <c r="I332" s="10" t="s">
        <v>3343</v>
      </c>
      <c r="J332" s="31" t="s">
        <v>11</v>
      </c>
      <c r="K332" s="429">
        <f t="shared" si="29"/>
        <v>0</v>
      </c>
    </row>
    <row r="333" spans="1:11" x14ac:dyDescent="0.2">
      <c r="A333" s="72"/>
      <c r="B333" s="72"/>
      <c r="C333" s="31"/>
      <c r="D333" s="10">
        <f t="shared" si="28"/>
        <v>0</v>
      </c>
      <c r="E333" s="10" t="s">
        <v>3366</v>
      </c>
      <c r="F333" s="218"/>
      <c r="G333" s="237"/>
      <c r="H333" s="237"/>
      <c r="I333" s="10" t="s">
        <v>3343</v>
      </c>
      <c r="J333" s="31" t="s">
        <v>11</v>
      </c>
      <c r="K333" s="429">
        <f t="shared" si="29"/>
        <v>0</v>
      </c>
    </row>
    <row r="334" spans="1:11" x14ac:dyDescent="0.2">
      <c r="A334" s="72"/>
      <c r="B334" s="72"/>
      <c r="C334" s="31"/>
      <c r="D334" s="10">
        <f t="shared" si="28"/>
        <v>0</v>
      </c>
      <c r="E334" s="10" t="s">
        <v>3366</v>
      </c>
      <c r="F334" s="218"/>
      <c r="G334" s="237"/>
      <c r="H334" s="237"/>
      <c r="I334" s="10" t="s">
        <v>3343</v>
      </c>
      <c r="J334" s="31" t="s">
        <v>11</v>
      </c>
      <c r="K334" s="429">
        <f t="shared" si="29"/>
        <v>0</v>
      </c>
    </row>
    <row r="335" spans="1:11" x14ac:dyDescent="0.2">
      <c r="A335" s="72"/>
      <c r="B335" s="72"/>
      <c r="C335" s="31"/>
      <c r="D335" s="10">
        <f t="shared" si="28"/>
        <v>0</v>
      </c>
      <c r="E335" s="10" t="s">
        <v>3366</v>
      </c>
      <c r="F335" s="218"/>
      <c r="G335" s="237"/>
      <c r="H335" s="237"/>
      <c r="I335" s="10" t="s">
        <v>3343</v>
      </c>
      <c r="J335" s="31" t="s">
        <v>11</v>
      </c>
      <c r="K335" s="429">
        <f t="shared" si="29"/>
        <v>0</v>
      </c>
    </row>
    <row r="336" spans="1:11" x14ac:dyDescent="0.2">
      <c r="A336" s="72"/>
      <c r="B336" s="72"/>
      <c r="C336" s="31"/>
      <c r="D336" s="10">
        <f t="shared" si="28"/>
        <v>0</v>
      </c>
      <c r="E336" s="10" t="s">
        <v>3366</v>
      </c>
      <c r="F336" s="218"/>
      <c r="G336" s="237"/>
      <c r="H336" s="237"/>
      <c r="I336" s="10" t="s">
        <v>3343</v>
      </c>
      <c r="J336" s="31" t="s">
        <v>11</v>
      </c>
      <c r="K336" s="429">
        <f t="shared" si="29"/>
        <v>0</v>
      </c>
    </row>
    <row r="337" spans="1:11" x14ac:dyDescent="0.2">
      <c r="A337" s="72"/>
      <c r="B337" s="72"/>
      <c r="C337" s="31"/>
      <c r="D337" s="10">
        <f t="shared" si="28"/>
        <v>0</v>
      </c>
      <c r="E337" s="10" t="s">
        <v>3366</v>
      </c>
      <c r="F337" s="218"/>
      <c r="G337" s="237"/>
      <c r="H337" s="237"/>
      <c r="I337" s="10" t="s">
        <v>3343</v>
      </c>
      <c r="J337" s="31" t="s">
        <v>11</v>
      </c>
      <c r="K337" s="429">
        <f t="shared" si="29"/>
        <v>0</v>
      </c>
    </row>
    <row r="338" spans="1:11" x14ac:dyDescent="0.2">
      <c r="A338" s="72"/>
      <c r="B338" s="72"/>
      <c r="C338" s="31"/>
      <c r="D338" s="10">
        <f t="shared" si="28"/>
        <v>0</v>
      </c>
      <c r="E338" s="10" t="s">
        <v>3366</v>
      </c>
      <c r="F338" s="218"/>
      <c r="G338" s="237"/>
      <c r="H338" s="237"/>
      <c r="I338" s="10" t="s">
        <v>3343</v>
      </c>
      <c r="J338" s="31" t="s">
        <v>11</v>
      </c>
      <c r="K338" s="429">
        <f t="shared" si="29"/>
        <v>0</v>
      </c>
    </row>
    <row r="339" spans="1:11" x14ac:dyDescent="0.2">
      <c r="A339" s="72"/>
      <c r="B339" s="72"/>
      <c r="C339" s="31"/>
      <c r="D339" s="10">
        <f t="shared" si="28"/>
        <v>0</v>
      </c>
      <c r="E339" s="10" t="s">
        <v>3366</v>
      </c>
      <c r="F339" s="218"/>
      <c r="G339" s="237"/>
      <c r="H339" s="237"/>
      <c r="I339" s="10" t="s">
        <v>3343</v>
      </c>
      <c r="J339" s="31" t="s">
        <v>11</v>
      </c>
      <c r="K339" s="429">
        <f t="shared" si="29"/>
        <v>0</v>
      </c>
    </row>
    <row r="340" spans="1:11" x14ac:dyDescent="0.2">
      <c r="A340" s="10"/>
      <c r="B340" s="72"/>
      <c r="C340" s="31"/>
      <c r="D340" s="10">
        <f t="shared" si="28"/>
        <v>0</v>
      </c>
      <c r="E340" s="10" t="s">
        <v>3366</v>
      </c>
      <c r="F340" s="218"/>
      <c r="G340" s="237"/>
      <c r="H340" s="237"/>
      <c r="I340" s="10" t="s">
        <v>3343</v>
      </c>
      <c r="J340" s="31" t="s">
        <v>11</v>
      </c>
      <c r="K340" s="429">
        <f t="shared" si="29"/>
        <v>0</v>
      </c>
    </row>
    <row r="341" spans="1:11" x14ac:dyDescent="0.2">
      <c r="A341" s="72"/>
      <c r="B341" s="72"/>
      <c r="C341" s="31"/>
      <c r="D341" s="10">
        <f t="shared" si="28"/>
        <v>0</v>
      </c>
      <c r="E341" s="10" t="s">
        <v>3366</v>
      </c>
      <c r="F341" s="218"/>
      <c r="G341" s="237"/>
      <c r="H341" s="237"/>
      <c r="I341" s="10" t="s">
        <v>3343</v>
      </c>
      <c r="J341" s="31" t="s">
        <v>11</v>
      </c>
      <c r="K341" s="429">
        <f t="shared" si="29"/>
        <v>0</v>
      </c>
    </row>
    <row r="342" spans="1:11" x14ac:dyDescent="0.2">
      <c r="A342" s="10"/>
      <c r="B342" s="72"/>
      <c r="C342" s="31"/>
      <c r="D342" s="10">
        <f t="shared" si="28"/>
        <v>0</v>
      </c>
      <c r="E342" s="10" t="s">
        <v>3366</v>
      </c>
      <c r="F342" s="218"/>
      <c r="G342" s="237"/>
      <c r="H342" s="237"/>
      <c r="I342" s="10" t="s">
        <v>3343</v>
      </c>
      <c r="J342" s="31" t="s">
        <v>11</v>
      </c>
      <c r="K342" s="429">
        <f t="shared" si="29"/>
        <v>0</v>
      </c>
    </row>
    <row r="343" spans="1:11" x14ac:dyDescent="0.2">
      <c r="A343" s="72"/>
      <c r="B343" s="72"/>
      <c r="C343" s="31"/>
      <c r="D343" s="10">
        <f t="shared" si="28"/>
        <v>0</v>
      </c>
      <c r="E343" s="10" t="s">
        <v>3366</v>
      </c>
      <c r="F343" s="218"/>
      <c r="G343" s="237"/>
      <c r="H343" s="237"/>
      <c r="I343" s="10" t="s">
        <v>3343</v>
      </c>
      <c r="J343" s="31" t="s">
        <v>11</v>
      </c>
      <c r="K343" s="429">
        <f t="shared" si="29"/>
        <v>0</v>
      </c>
    </row>
    <row r="344" spans="1:11" x14ac:dyDescent="0.2">
      <c r="A344" s="72"/>
      <c r="B344" s="72"/>
      <c r="C344" s="31"/>
      <c r="D344" s="10">
        <f t="shared" si="28"/>
        <v>0</v>
      </c>
      <c r="E344" s="10" t="s">
        <v>3366</v>
      </c>
      <c r="F344" s="218"/>
      <c r="G344" s="237"/>
      <c r="H344" s="237"/>
      <c r="I344" s="10" t="s">
        <v>3343</v>
      </c>
      <c r="J344" s="31" t="s">
        <v>11</v>
      </c>
      <c r="K344" s="429">
        <f t="shared" si="29"/>
        <v>0</v>
      </c>
    </row>
    <row r="345" spans="1:11" x14ac:dyDescent="0.2">
      <c r="A345" s="72"/>
      <c r="B345" s="72"/>
      <c r="C345" s="31"/>
      <c r="D345" s="10">
        <f t="shared" si="28"/>
        <v>0</v>
      </c>
      <c r="E345" s="10" t="s">
        <v>3366</v>
      </c>
      <c r="F345" s="218"/>
      <c r="G345" s="237"/>
      <c r="H345" s="237"/>
      <c r="I345" s="10" t="s">
        <v>3343</v>
      </c>
      <c r="J345" s="31" t="s">
        <v>11</v>
      </c>
      <c r="K345" s="429">
        <f t="shared" si="29"/>
        <v>0</v>
      </c>
    </row>
    <row r="346" spans="1:11" x14ac:dyDescent="0.2">
      <c r="A346" s="72"/>
      <c r="B346" s="72"/>
      <c r="C346" s="31"/>
      <c r="D346" s="10">
        <f t="shared" si="28"/>
        <v>0</v>
      </c>
      <c r="E346" s="10" t="s">
        <v>3366</v>
      </c>
      <c r="F346" s="218"/>
      <c r="G346" s="237"/>
      <c r="H346" s="237"/>
      <c r="I346" s="10" t="s">
        <v>3343</v>
      </c>
      <c r="J346" s="31" t="s">
        <v>11</v>
      </c>
      <c r="K346" s="429">
        <f t="shared" si="29"/>
        <v>0</v>
      </c>
    </row>
    <row r="347" spans="1:11" x14ac:dyDescent="0.2">
      <c r="A347" s="72"/>
      <c r="B347" s="72"/>
      <c r="C347" s="31"/>
      <c r="D347" s="10">
        <f t="shared" si="28"/>
        <v>0</v>
      </c>
      <c r="E347" s="10" t="s">
        <v>3366</v>
      </c>
      <c r="F347" s="218"/>
      <c r="G347" s="237"/>
      <c r="H347" s="237"/>
      <c r="I347" s="10" t="s">
        <v>3343</v>
      </c>
      <c r="J347" s="31" t="s">
        <v>11</v>
      </c>
      <c r="K347" s="429">
        <f t="shared" si="29"/>
        <v>0</v>
      </c>
    </row>
    <row r="348" spans="1:11" x14ac:dyDescent="0.2">
      <c r="A348" s="72"/>
      <c r="B348" s="72"/>
      <c r="C348" s="31"/>
      <c r="D348" s="10">
        <f t="shared" si="28"/>
        <v>0</v>
      </c>
      <c r="E348" s="10" t="s">
        <v>3366</v>
      </c>
      <c r="F348" s="218"/>
      <c r="G348" s="237"/>
      <c r="H348" s="237"/>
      <c r="I348" s="10" t="s">
        <v>3343</v>
      </c>
      <c r="J348" s="31" t="s">
        <v>11</v>
      </c>
      <c r="K348" s="429">
        <f t="shared" si="29"/>
        <v>0</v>
      </c>
    </row>
    <row r="349" spans="1:11" x14ac:dyDescent="0.2">
      <c r="A349" s="72"/>
      <c r="B349" s="72"/>
      <c r="C349" s="31"/>
      <c r="D349" s="10">
        <f t="shared" si="28"/>
        <v>0</v>
      </c>
      <c r="E349" s="10" t="s">
        <v>3366</v>
      </c>
      <c r="F349" s="218"/>
      <c r="G349" s="237"/>
      <c r="H349" s="237"/>
      <c r="I349" s="10" t="s">
        <v>3343</v>
      </c>
      <c r="J349" s="31" t="s">
        <v>11</v>
      </c>
      <c r="K349" s="429">
        <f t="shared" si="29"/>
        <v>0</v>
      </c>
    </row>
    <row r="350" spans="1:11" x14ac:dyDescent="0.2">
      <c r="A350" s="72"/>
      <c r="B350" s="72"/>
      <c r="C350" s="31"/>
      <c r="D350" s="10">
        <f t="shared" si="28"/>
        <v>0</v>
      </c>
      <c r="E350" s="10" t="s">
        <v>3366</v>
      </c>
      <c r="F350" s="218"/>
      <c r="G350" s="237"/>
      <c r="H350" s="237"/>
      <c r="I350" s="10" t="s">
        <v>3343</v>
      </c>
      <c r="J350" s="31" t="s">
        <v>11</v>
      </c>
      <c r="K350" s="429">
        <f t="shared" si="29"/>
        <v>0</v>
      </c>
    </row>
    <row r="351" spans="1:11" x14ac:dyDescent="0.2">
      <c r="A351" s="72"/>
      <c r="B351" s="72"/>
      <c r="C351" s="31"/>
      <c r="D351" s="10">
        <f t="shared" si="28"/>
        <v>0</v>
      </c>
      <c r="E351" s="10" t="s">
        <v>3366</v>
      </c>
      <c r="F351" s="218"/>
      <c r="G351" s="237"/>
      <c r="H351" s="237"/>
      <c r="I351" s="10" t="s">
        <v>3343</v>
      </c>
      <c r="J351" s="31" t="s">
        <v>11</v>
      </c>
      <c r="K351" s="429">
        <f t="shared" si="29"/>
        <v>0</v>
      </c>
    </row>
    <row r="352" spans="1:11" x14ac:dyDescent="0.2">
      <c r="A352" s="72"/>
      <c r="B352" s="72"/>
      <c r="C352" s="31"/>
      <c r="D352" s="10">
        <f t="shared" si="28"/>
        <v>0</v>
      </c>
      <c r="E352" s="10" t="s">
        <v>3366</v>
      </c>
      <c r="F352" s="218"/>
      <c r="G352" s="237"/>
      <c r="H352" s="237"/>
      <c r="I352" s="10" t="s">
        <v>3343</v>
      </c>
      <c r="J352" s="31" t="s">
        <v>11</v>
      </c>
      <c r="K352" s="429">
        <f t="shared" si="29"/>
        <v>0</v>
      </c>
    </row>
    <row r="353" spans="1:11" x14ac:dyDescent="0.2">
      <c r="A353" s="72"/>
      <c r="B353" s="72"/>
      <c r="C353" s="31"/>
      <c r="D353" s="10">
        <f t="shared" si="28"/>
        <v>0</v>
      </c>
      <c r="E353" s="10" t="s">
        <v>3366</v>
      </c>
      <c r="F353" s="218"/>
      <c r="G353" s="237"/>
      <c r="H353" s="237"/>
      <c r="I353" s="10" t="s">
        <v>3343</v>
      </c>
      <c r="J353" s="31" t="s">
        <v>11</v>
      </c>
      <c r="K353" s="429">
        <f>H353</f>
        <v>0</v>
      </c>
    </row>
    <row r="354" spans="1:11" x14ac:dyDescent="0.2">
      <c r="A354" s="72"/>
      <c r="B354" s="72"/>
      <c r="C354" s="31"/>
      <c r="D354" s="10">
        <f t="shared" si="28"/>
        <v>0</v>
      </c>
      <c r="E354" s="10" t="s">
        <v>3366</v>
      </c>
      <c r="F354" s="218"/>
      <c r="G354" s="237"/>
      <c r="H354" s="237"/>
      <c r="I354" s="10" t="s">
        <v>3343</v>
      </c>
      <c r="J354" s="31" t="s">
        <v>11</v>
      </c>
      <c r="K354" s="429">
        <f t="shared" si="29"/>
        <v>0</v>
      </c>
    </row>
    <row r="355" spans="1:11" x14ac:dyDescent="0.2">
      <c r="A355" s="72"/>
      <c r="B355" s="72"/>
      <c r="C355" s="31"/>
      <c r="D355" s="10">
        <f t="shared" si="28"/>
        <v>0</v>
      </c>
      <c r="E355" s="10" t="s">
        <v>3366</v>
      </c>
      <c r="F355" s="218"/>
      <c r="G355" s="237"/>
      <c r="H355" s="237"/>
      <c r="I355" s="10" t="s">
        <v>3343</v>
      </c>
      <c r="J355" s="31" t="s">
        <v>11</v>
      </c>
      <c r="K355" s="429">
        <f>H355</f>
        <v>0</v>
      </c>
    </row>
    <row r="356" spans="1:11" x14ac:dyDescent="0.2">
      <c r="A356" s="72"/>
      <c r="B356" s="72"/>
      <c r="C356" s="31"/>
      <c r="D356" s="10">
        <f t="shared" si="28"/>
        <v>0</v>
      </c>
      <c r="E356" s="10" t="s">
        <v>3366</v>
      </c>
      <c r="F356" s="218"/>
      <c r="G356" s="237"/>
      <c r="H356" s="237"/>
      <c r="I356" s="10" t="s">
        <v>3343</v>
      </c>
      <c r="J356" s="31" t="s">
        <v>11</v>
      </c>
      <c r="K356" s="429">
        <f t="shared" si="29"/>
        <v>0</v>
      </c>
    </row>
    <row r="357" spans="1:11" x14ac:dyDescent="0.2">
      <c r="A357" s="72"/>
      <c r="B357" s="72"/>
      <c r="C357" s="31"/>
      <c r="D357" s="10">
        <f t="shared" si="28"/>
        <v>0</v>
      </c>
      <c r="E357" s="10" t="s">
        <v>3366</v>
      </c>
      <c r="F357" s="218"/>
      <c r="G357" s="237"/>
      <c r="H357" s="237"/>
      <c r="I357" s="10" t="s">
        <v>3343</v>
      </c>
      <c r="J357" s="31" t="s">
        <v>11</v>
      </c>
      <c r="K357" s="429">
        <f t="shared" si="29"/>
        <v>0</v>
      </c>
    </row>
    <row r="358" spans="1:11" x14ac:dyDescent="0.2">
      <c r="A358" s="72"/>
      <c r="B358" s="72"/>
      <c r="C358" s="31"/>
      <c r="D358" s="10">
        <f t="shared" si="28"/>
        <v>0</v>
      </c>
      <c r="E358" s="10" t="s">
        <v>3366</v>
      </c>
      <c r="F358" s="218"/>
      <c r="G358" s="237"/>
      <c r="H358" s="237"/>
      <c r="I358" s="10" t="s">
        <v>3343</v>
      </c>
      <c r="J358" s="31" t="s">
        <v>11</v>
      </c>
      <c r="K358" s="429">
        <f t="shared" si="29"/>
        <v>0</v>
      </c>
    </row>
    <row r="359" spans="1:11" x14ac:dyDescent="0.2">
      <c r="A359" s="72"/>
      <c r="B359" s="72"/>
      <c r="C359" s="31"/>
      <c r="D359" s="10">
        <f t="shared" si="28"/>
        <v>0</v>
      </c>
      <c r="E359" s="10" t="s">
        <v>3366</v>
      </c>
      <c r="F359" s="218"/>
      <c r="G359" s="237"/>
      <c r="H359" s="237"/>
      <c r="I359" s="10" t="s">
        <v>3343</v>
      </c>
      <c r="J359" s="31" t="s">
        <v>11</v>
      </c>
      <c r="K359" s="429">
        <f t="shared" si="29"/>
        <v>0</v>
      </c>
    </row>
    <row r="360" spans="1:11" x14ac:dyDescent="0.2">
      <c r="A360" s="72"/>
      <c r="B360" s="72"/>
      <c r="C360" s="31"/>
      <c r="D360" s="10">
        <f t="shared" si="28"/>
        <v>0</v>
      </c>
      <c r="E360" s="10" t="s">
        <v>3366</v>
      </c>
      <c r="F360" s="218"/>
      <c r="G360" s="237"/>
      <c r="H360" s="237"/>
      <c r="I360" s="10" t="s">
        <v>3343</v>
      </c>
      <c r="J360" s="31" t="s">
        <v>11</v>
      </c>
      <c r="K360" s="429">
        <f t="shared" si="29"/>
        <v>0</v>
      </c>
    </row>
    <row r="361" spans="1:11" x14ac:dyDescent="0.2">
      <c r="A361" s="72"/>
      <c r="B361" s="72"/>
      <c r="C361" s="31"/>
      <c r="D361" s="10">
        <f t="shared" si="28"/>
        <v>0</v>
      </c>
      <c r="E361" s="10" t="s">
        <v>3366</v>
      </c>
      <c r="F361" s="218"/>
      <c r="G361" s="237"/>
      <c r="H361" s="237"/>
      <c r="I361" s="10" t="s">
        <v>3343</v>
      </c>
      <c r="J361" s="31" t="s">
        <v>11</v>
      </c>
      <c r="K361" s="429">
        <f t="shared" si="29"/>
        <v>0</v>
      </c>
    </row>
    <row r="362" spans="1:11" x14ac:dyDescent="0.2">
      <c r="A362" s="72"/>
      <c r="B362" s="72"/>
      <c r="C362" s="31"/>
      <c r="D362" s="10">
        <f t="shared" si="28"/>
        <v>0</v>
      </c>
      <c r="E362" s="10" t="s">
        <v>3366</v>
      </c>
      <c r="F362" s="218"/>
      <c r="G362" s="237"/>
      <c r="H362" s="237"/>
      <c r="I362" s="10" t="s">
        <v>3343</v>
      </c>
      <c r="J362" s="31" t="s">
        <v>11</v>
      </c>
      <c r="K362" s="429">
        <f t="shared" si="29"/>
        <v>0</v>
      </c>
    </row>
    <row r="363" spans="1:11" x14ac:dyDescent="0.2">
      <c r="A363" s="72"/>
      <c r="B363" s="72"/>
      <c r="C363" s="31"/>
      <c r="D363" s="10">
        <f t="shared" si="28"/>
        <v>0</v>
      </c>
      <c r="E363" s="10" t="s">
        <v>3366</v>
      </c>
      <c r="F363" s="218"/>
      <c r="G363" s="237"/>
      <c r="H363" s="237"/>
      <c r="I363" s="10" t="s">
        <v>3343</v>
      </c>
      <c r="J363" s="31" t="s">
        <v>11</v>
      </c>
      <c r="K363" s="429">
        <f t="shared" si="29"/>
        <v>0</v>
      </c>
    </row>
    <row r="364" spans="1:11" x14ac:dyDescent="0.2">
      <c r="A364" s="72"/>
      <c r="B364" s="72"/>
      <c r="C364" s="31"/>
      <c r="D364" s="10">
        <f t="shared" si="28"/>
        <v>0</v>
      </c>
      <c r="E364" s="10" t="s">
        <v>3366</v>
      </c>
      <c r="F364" s="218"/>
      <c r="G364" s="237"/>
      <c r="H364" s="237"/>
      <c r="I364" s="10" t="s">
        <v>3343</v>
      </c>
      <c r="J364" s="31" t="s">
        <v>11</v>
      </c>
      <c r="K364" s="429">
        <f t="shared" si="29"/>
        <v>0</v>
      </c>
    </row>
    <row r="365" spans="1:11" x14ac:dyDescent="0.2">
      <c r="A365" s="72"/>
      <c r="B365" s="72"/>
      <c r="C365" s="31"/>
      <c r="D365" s="10">
        <f t="shared" ref="D365:D388" si="30">A365</f>
        <v>0</v>
      </c>
      <c r="E365" s="10" t="s">
        <v>3366</v>
      </c>
      <c r="F365" s="218"/>
      <c r="G365" s="237"/>
      <c r="H365" s="237"/>
      <c r="I365" s="10" t="s">
        <v>3343</v>
      </c>
      <c r="J365" s="31" t="s">
        <v>11</v>
      </c>
      <c r="K365" s="429">
        <f t="shared" si="29"/>
        <v>0</v>
      </c>
    </row>
    <row r="366" spans="1:11" x14ac:dyDescent="0.2">
      <c r="A366" s="72"/>
      <c r="B366" s="72"/>
      <c r="C366" s="31"/>
      <c r="D366" s="10">
        <f t="shared" si="30"/>
        <v>0</v>
      </c>
      <c r="E366" s="10" t="s">
        <v>3366</v>
      </c>
      <c r="F366" s="218"/>
      <c r="G366" s="237"/>
      <c r="H366" s="237"/>
      <c r="I366" s="10" t="s">
        <v>3343</v>
      </c>
      <c r="J366" s="31" t="s">
        <v>11</v>
      </c>
      <c r="K366" s="429">
        <f t="shared" ref="K366:K380" si="31">H366</f>
        <v>0</v>
      </c>
    </row>
    <row r="367" spans="1:11" x14ac:dyDescent="0.2">
      <c r="A367" s="72"/>
      <c r="B367" s="72"/>
      <c r="C367" s="31"/>
      <c r="D367" s="10">
        <f t="shared" si="30"/>
        <v>0</v>
      </c>
      <c r="E367" s="10" t="s">
        <v>3366</v>
      </c>
      <c r="F367" s="218"/>
      <c r="G367" s="237"/>
      <c r="H367" s="237"/>
      <c r="I367" s="10" t="s">
        <v>3343</v>
      </c>
      <c r="J367" s="31" t="s">
        <v>11</v>
      </c>
      <c r="K367" s="429">
        <f t="shared" si="31"/>
        <v>0</v>
      </c>
    </row>
    <row r="368" spans="1:11" x14ac:dyDescent="0.2">
      <c r="A368" s="72"/>
      <c r="B368" s="72"/>
      <c r="C368" s="31"/>
      <c r="D368" s="10">
        <f t="shared" si="30"/>
        <v>0</v>
      </c>
      <c r="E368" s="10" t="s">
        <v>3366</v>
      </c>
      <c r="F368" s="218"/>
      <c r="G368" s="237"/>
      <c r="H368" s="237"/>
      <c r="I368" s="10" t="s">
        <v>3343</v>
      </c>
      <c r="J368" s="31" t="s">
        <v>11</v>
      </c>
      <c r="K368" s="429">
        <f t="shared" si="31"/>
        <v>0</v>
      </c>
    </row>
    <row r="369" spans="1:11" x14ac:dyDescent="0.2">
      <c r="A369" s="72"/>
      <c r="B369" s="72"/>
      <c r="C369" s="31"/>
      <c r="D369" s="10">
        <f t="shared" si="30"/>
        <v>0</v>
      </c>
      <c r="E369" s="10" t="s">
        <v>3366</v>
      </c>
      <c r="F369" s="218"/>
      <c r="G369" s="237"/>
      <c r="H369" s="237"/>
      <c r="I369" s="10" t="s">
        <v>3343</v>
      </c>
      <c r="J369" s="31" t="s">
        <v>11</v>
      </c>
      <c r="K369" s="429">
        <f t="shared" si="31"/>
        <v>0</v>
      </c>
    </row>
    <row r="370" spans="1:11" x14ac:dyDescent="0.2">
      <c r="A370" s="72"/>
      <c r="B370" s="72"/>
      <c r="C370" s="31"/>
      <c r="D370" s="10">
        <f t="shared" si="30"/>
        <v>0</v>
      </c>
      <c r="E370" s="10" t="s">
        <v>3366</v>
      </c>
      <c r="F370" s="218"/>
      <c r="G370" s="237"/>
      <c r="H370" s="237"/>
      <c r="I370" s="10" t="s">
        <v>3343</v>
      </c>
      <c r="J370" s="31" t="s">
        <v>11</v>
      </c>
      <c r="K370" s="429">
        <f t="shared" si="31"/>
        <v>0</v>
      </c>
    </row>
    <row r="371" spans="1:11" x14ac:dyDescent="0.2">
      <c r="A371" s="72"/>
      <c r="B371" s="72"/>
      <c r="C371" s="31"/>
      <c r="D371" s="10">
        <f t="shared" si="30"/>
        <v>0</v>
      </c>
      <c r="E371" s="10" t="s">
        <v>3366</v>
      </c>
      <c r="F371" s="218"/>
      <c r="G371" s="237"/>
      <c r="H371" s="237"/>
      <c r="I371" s="10" t="s">
        <v>3343</v>
      </c>
      <c r="J371" s="31" t="s">
        <v>11</v>
      </c>
      <c r="K371" s="429">
        <f t="shared" si="31"/>
        <v>0</v>
      </c>
    </row>
    <row r="372" spans="1:11" x14ac:dyDescent="0.2">
      <c r="A372" s="72"/>
      <c r="B372" s="72"/>
      <c r="C372" s="31"/>
      <c r="D372" s="10">
        <f t="shared" si="30"/>
        <v>0</v>
      </c>
      <c r="E372" s="10" t="s">
        <v>3366</v>
      </c>
      <c r="F372" s="218"/>
      <c r="G372" s="237"/>
      <c r="H372" s="237"/>
      <c r="I372" s="10" t="s">
        <v>3343</v>
      </c>
      <c r="J372" s="31" t="s">
        <v>11</v>
      </c>
      <c r="K372" s="429">
        <f t="shared" si="31"/>
        <v>0</v>
      </c>
    </row>
    <row r="373" spans="1:11" x14ac:dyDescent="0.2">
      <c r="A373" s="72"/>
      <c r="B373" s="72"/>
      <c r="C373" s="31"/>
      <c r="D373" s="10">
        <f t="shared" si="30"/>
        <v>0</v>
      </c>
      <c r="E373" s="10" t="s">
        <v>3366</v>
      </c>
      <c r="F373" s="218"/>
      <c r="G373" s="237"/>
      <c r="H373" s="237"/>
      <c r="I373" s="10" t="s">
        <v>3343</v>
      </c>
      <c r="J373" s="31" t="s">
        <v>11</v>
      </c>
      <c r="K373" s="429">
        <f t="shared" si="31"/>
        <v>0</v>
      </c>
    </row>
    <row r="374" spans="1:11" x14ac:dyDescent="0.2">
      <c r="A374" s="72"/>
      <c r="B374" s="72"/>
      <c r="C374" s="31"/>
      <c r="D374" s="10">
        <f t="shared" si="30"/>
        <v>0</v>
      </c>
      <c r="E374" s="10" t="s">
        <v>3366</v>
      </c>
      <c r="F374" s="218"/>
      <c r="G374" s="237"/>
      <c r="H374" s="237"/>
      <c r="I374" s="10" t="s">
        <v>3343</v>
      </c>
      <c r="J374" s="31" t="s">
        <v>11</v>
      </c>
      <c r="K374" s="429">
        <f t="shared" si="31"/>
        <v>0</v>
      </c>
    </row>
    <row r="375" spans="1:11" x14ac:dyDescent="0.2">
      <c r="A375" s="72"/>
      <c r="B375" s="72"/>
      <c r="C375" s="31"/>
      <c r="D375" s="10">
        <f t="shared" si="30"/>
        <v>0</v>
      </c>
      <c r="E375" s="10" t="s">
        <v>3366</v>
      </c>
      <c r="F375" s="218"/>
      <c r="G375" s="237"/>
      <c r="H375" s="237"/>
      <c r="I375" s="10" t="s">
        <v>3343</v>
      </c>
      <c r="J375" s="31" t="s">
        <v>11</v>
      </c>
      <c r="K375" s="429">
        <f t="shared" si="31"/>
        <v>0</v>
      </c>
    </row>
    <row r="376" spans="1:11" x14ac:dyDescent="0.2">
      <c r="A376" s="72"/>
      <c r="B376" s="72"/>
      <c r="C376" s="31"/>
      <c r="D376" s="10">
        <f t="shared" si="30"/>
        <v>0</v>
      </c>
      <c r="E376" s="10" t="s">
        <v>3366</v>
      </c>
      <c r="F376" s="218"/>
      <c r="G376" s="237"/>
      <c r="H376" s="237"/>
      <c r="I376" s="10" t="s">
        <v>3343</v>
      </c>
      <c r="J376" s="31" t="s">
        <v>11</v>
      </c>
      <c r="K376" s="429">
        <f t="shared" si="31"/>
        <v>0</v>
      </c>
    </row>
    <row r="377" spans="1:11" x14ac:dyDescent="0.2">
      <c r="A377" s="72"/>
      <c r="B377" s="72"/>
      <c r="C377" s="31"/>
      <c r="D377" s="10">
        <f t="shared" si="30"/>
        <v>0</v>
      </c>
      <c r="E377" s="10" t="s">
        <v>3366</v>
      </c>
      <c r="F377" s="218"/>
      <c r="G377" s="237"/>
      <c r="H377" s="237"/>
      <c r="I377" s="10" t="s">
        <v>3343</v>
      </c>
      <c r="J377" s="31" t="s">
        <v>11</v>
      </c>
      <c r="K377" s="429">
        <f t="shared" si="31"/>
        <v>0</v>
      </c>
    </row>
    <row r="378" spans="1:11" x14ac:dyDescent="0.2">
      <c r="A378" s="72"/>
      <c r="B378" s="72"/>
      <c r="C378" s="31"/>
      <c r="D378" s="10">
        <f t="shared" si="30"/>
        <v>0</v>
      </c>
      <c r="E378" s="10" t="s">
        <v>3366</v>
      </c>
      <c r="F378" s="218"/>
      <c r="G378" s="237"/>
      <c r="H378" s="237"/>
      <c r="I378" s="10" t="s">
        <v>3343</v>
      </c>
      <c r="J378" s="31" t="s">
        <v>11</v>
      </c>
      <c r="K378" s="429">
        <f t="shared" si="31"/>
        <v>0</v>
      </c>
    </row>
    <row r="379" spans="1:11" x14ac:dyDescent="0.2">
      <c r="A379" s="72"/>
      <c r="B379" s="72"/>
      <c r="C379" s="31"/>
      <c r="D379" s="10">
        <f t="shared" si="30"/>
        <v>0</v>
      </c>
      <c r="E379" s="10" t="s">
        <v>3366</v>
      </c>
      <c r="F379" s="218"/>
      <c r="G379" s="237"/>
      <c r="H379" s="237"/>
      <c r="I379" s="10" t="s">
        <v>3343</v>
      </c>
      <c r="J379" s="31" t="s">
        <v>11</v>
      </c>
      <c r="K379" s="429">
        <f t="shared" si="31"/>
        <v>0</v>
      </c>
    </row>
    <row r="380" spans="1:11" x14ac:dyDescent="0.2">
      <c r="A380" s="72"/>
      <c r="B380" s="72"/>
      <c r="C380" s="31"/>
      <c r="D380" s="10">
        <f t="shared" si="30"/>
        <v>0</v>
      </c>
      <c r="E380" s="10" t="s">
        <v>3366</v>
      </c>
      <c r="F380" s="218"/>
      <c r="G380" s="237"/>
      <c r="H380" s="237"/>
      <c r="I380" s="10" t="s">
        <v>3343</v>
      </c>
      <c r="J380" s="31" t="s">
        <v>11</v>
      </c>
      <c r="K380" s="429">
        <f t="shared" si="31"/>
        <v>0</v>
      </c>
    </row>
    <row r="381" spans="1:11" x14ac:dyDescent="0.2">
      <c r="A381" s="72"/>
      <c r="B381" s="72"/>
      <c r="C381" s="31"/>
      <c r="D381" s="10">
        <f t="shared" si="30"/>
        <v>0</v>
      </c>
      <c r="E381" s="10" t="s">
        <v>3366</v>
      </c>
      <c r="F381" s="218"/>
      <c r="G381" s="237"/>
      <c r="H381" s="237"/>
      <c r="I381" s="10" t="s">
        <v>3343</v>
      </c>
      <c r="J381" s="31" t="s">
        <v>11</v>
      </c>
      <c r="K381" s="429">
        <f>H381</f>
        <v>0</v>
      </c>
    </row>
    <row r="382" spans="1:11" x14ac:dyDescent="0.2">
      <c r="A382" s="72"/>
      <c r="B382" s="72"/>
      <c r="C382" s="31"/>
      <c r="D382" s="10">
        <f t="shared" si="30"/>
        <v>0</v>
      </c>
      <c r="E382" s="10" t="s">
        <v>3366</v>
      </c>
      <c r="F382" s="218"/>
      <c r="G382" s="237"/>
      <c r="H382" s="237"/>
      <c r="I382" s="10" t="s">
        <v>3343</v>
      </c>
      <c r="J382" s="31" t="s">
        <v>11</v>
      </c>
      <c r="K382" s="429">
        <f>H382</f>
        <v>0</v>
      </c>
    </row>
    <row r="383" spans="1:11" x14ac:dyDescent="0.2">
      <c r="A383" s="72"/>
      <c r="B383" s="72"/>
      <c r="C383" s="31"/>
      <c r="D383" s="10">
        <f t="shared" si="30"/>
        <v>0</v>
      </c>
      <c r="E383" s="10" t="s">
        <v>3366</v>
      </c>
      <c r="F383" s="218"/>
      <c r="G383" s="237"/>
      <c r="H383" s="237"/>
      <c r="I383" s="10" t="s">
        <v>3343</v>
      </c>
      <c r="J383" s="31" t="s">
        <v>11</v>
      </c>
      <c r="K383" s="429">
        <f t="shared" ref="K383:K385" si="32">H383</f>
        <v>0</v>
      </c>
    </row>
    <row r="384" spans="1:11" x14ac:dyDescent="0.2">
      <c r="A384" s="72"/>
      <c r="B384" s="72"/>
      <c r="C384" s="31"/>
      <c r="D384" s="10">
        <f t="shared" si="30"/>
        <v>0</v>
      </c>
      <c r="E384" s="10" t="s">
        <v>3366</v>
      </c>
      <c r="F384" s="218"/>
      <c r="G384" s="237"/>
      <c r="H384" s="237"/>
      <c r="I384" s="10" t="s">
        <v>3343</v>
      </c>
      <c r="J384" s="31" t="s">
        <v>11</v>
      </c>
      <c r="K384" s="429">
        <f t="shared" si="32"/>
        <v>0</v>
      </c>
    </row>
    <row r="385" spans="1:11" x14ac:dyDescent="0.2">
      <c r="A385" s="72"/>
      <c r="B385" s="72"/>
      <c r="C385" s="31"/>
      <c r="D385" s="10">
        <f t="shared" si="30"/>
        <v>0</v>
      </c>
      <c r="E385" s="10" t="s">
        <v>3366</v>
      </c>
      <c r="F385" s="218"/>
      <c r="G385" s="237"/>
      <c r="H385" s="237"/>
      <c r="I385" s="10" t="s">
        <v>3343</v>
      </c>
      <c r="J385" s="31" t="s">
        <v>11</v>
      </c>
      <c r="K385" s="429">
        <f t="shared" si="32"/>
        <v>0</v>
      </c>
    </row>
    <row r="386" spans="1:11" x14ac:dyDescent="0.2">
      <c r="A386" s="72"/>
      <c r="B386" s="72"/>
      <c r="C386" s="31"/>
      <c r="D386" s="10">
        <f t="shared" si="30"/>
        <v>0</v>
      </c>
      <c r="E386" s="10" t="s">
        <v>3366</v>
      </c>
      <c r="F386" s="218"/>
      <c r="G386" s="237"/>
      <c r="H386" s="237"/>
      <c r="I386" s="10" t="s">
        <v>3343</v>
      </c>
      <c r="J386" s="31" t="s">
        <v>11</v>
      </c>
      <c r="K386" s="429">
        <f>H386</f>
        <v>0</v>
      </c>
    </row>
    <row r="387" spans="1:11" x14ac:dyDescent="0.2">
      <c r="A387" s="72"/>
      <c r="B387" s="72"/>
      <c r="C387" s="31"/>
      <c r="D387" s="10">
        <f t="shared" si="30"/>
        <v>0</v>
      </c>
      <c r="E387" s="10" t="s">
        <v>3366</v>
      </c>
      <c r="F387" s="218"/>
      <c r="G387" s="237"/>
      <c r="H387" s="237"/>
      <c r="I387" s="10" t="s">
        <v>3343</v>
      </c>
      <c r="J387" s="31" t="s">
        <v>11</v>
      </c>
      <c r="K387" s="429">
        <f>H387</f>
        <v>0</v>
      </c>
    </row>
    <row r="388" spans="1:11" x14ac:dyDescent="0.2">
      <c r="A388" s="72"/>
      <c r="B388" s="72"/>
      <c r="C388" s="31"/>
      <c r="D388" s="10">
        <f t="shared" si="30"/>
        <v>0</v>
      </c>
      <c r="E388" s="10" t="s">
        <v>3366</v>
      </c>
      <c r="F388" s="218"/>
      <c r="G388" s="237"/>
      <c r="H388" s="237"/>
      <c r="I388" s="10" t="s">
        <v>3343</v>
      </c>
      <c r="J388" s="31" t="s">
        <v>11</v>
      </c>
      <c r="K388" s="429">
        <f>H388</f>
        <v>0</v>
      </c>
    </row>
    <row r="389" spans="1:11" ht="12" x14ac:dyDescent="0.2">
      <c r="A389" s="654" t="s">
        <v>3679</v>
      </c>
      <c r="B389" s="654"/>
      <c r="C389" s="654"/>
      <c r="D389" s="654"/>
      <c r="E389" s="654"/>
      <c r="F389" s="654"/>
      <c r="G389" s="654"/>
      <c r="H389" s="435">
        <f>SUM(H301:H388)</f>
        <v>0</v>
      </c>
      <c r="I389" s="697" t="s">
        <v>3556</v>
      </c>
      <c r="J389" s="698"/>
      <c r="K389" s="435">
        <f>SUM(K301:K388)</f>
        <v>0</v>
      </c>
    </row>
    <row r="390" spans="1:11" ht="12" x14ac:dyDescent="0.2">
      <c r="A390" s="658" t="s">
        <v>3557</v>
      </c>
      <c r="B390" s="659"/>
      <c r="C390" s="659"/>
      <c r="D390" s="659"/>
      <c r="E390" s="659"/>
      <c r="F390" s="659"/>
      <c r="G390" s="660"/>
      <c r="H390" s="435">
        <f>H292</f>
        <v>0</v>
      </c>
      <c r="I390" s="697" t="s">
        <v>3557</v>
      </c>
      <c r="J390" s="698"/>
      <c r="K390" s="435">
        <f>K292</f>
        <v>0</v>
      </c>
    </row>
    <row r="391" spans="1:11" ht="12.75" thickBot="1" x14ac:dyDescent="0.25">
      <c r="A391" s="640" t="s">
        <v>3558</v>
      </c>
      <c r="B391" s="641"/>
      <c r="C391" s="641"/>
      <c r="D391" s="641"/>
      <c r="E391" s="641"/>
      <c r="F391" s="641"/>
      <c r="G391" s="642"/>
      <c r="H391" s="436">
        <f>SUM(H389:H390)</f>
        <v>0</v>
      </c>
      <c r="I391" s="695" t="s">
        <v>3558</v>
      </c>
      <c r="J391" s="696"/>
      <c r="K391" s="436">
        <f>SUM(K389:K390)</f>
        <v>0</v>
      </c>
    </row>
    <row r="392" spans="1:11" ht="12" x14ac:dyDescent="0.2">
      <c r="A392" s="240"/>
      <c r="B392" s="240"/>
      <c r="C392" s="240"/>
      <c r="D392" s="240"/>
      <c r="E392" s="240"/>
      <c r="F392" s="240"/>
      <c r="G392" s="260" t="s">
        <v>3569</v>
      </c>
      <c r="H392" s="270">
        <f>87264323+57375771+6320500+11700000+13115000+10650000+350000+3009000+324115931+2364156+500000</f>
        <v>516764681</v>
      </c>
      <c r="I392" s="433"/>
      <c r="J392" s="433"/>
      <c r="K392" s="433"/>
    </row>
    <row r="393" spans="1:11" x14ac:dyDescent="0.2">
      <c r="H393" s="254">
        <f>H389-H392</f>
        <v>-516764681</v>
      </c>
    </row>
    <row r="394" spans="1:11" ht="12.75" x14ac:dyDescent="0.2">
      <c r="A394" s="428" t="s">
        <v>0</v>
      </c>
      <c r="B394" s="305"/>
      <c r="C394" s="143"/>
      <c r="D394" s="305"/>
      <c r="E394" s="305"/>
      <c r="F394" s="305"/>
      <c r="G394" s="143"/>
      <c r="H394" s="143"/>
      <c r="I394" s="305"/>
      <c r="J394" s="143"/>
      <c r="K394" s="143"/>
    </row>
    <row r="395" spans="1:11" ht="12.75" x14ac:dyDescent="0.2">
      <c r="A395" s="428" t="s">
        <v>1</v>
      </c>
      <c r="B395" s="305"/>
      <c r="C395" s="143"/>
      <c r="D395" s="305"/>
      <c r="E395" s="305"/>
      <c r="F395" s="305"/>
      <c r="G395" s="143"/>
      <c r="H395" s="143"/>
      <c r="I395" s="305"/>
      <c r="J395" s="143"/>
      <c r="K395" s="143"/>
    </row>
    <row r="396" spans="1:11" ht="12.75" x14ac:dyDescent="0.2">
      <c r="A396" s="687" t="s">
        <v>3345</v>
      </c>
      <c r="B396" s="687"/>
      <c r="C396" s="687"/>
      <c r="D396" s="687"/>
      <c r="E396" s="687"/>
      <c r="F396" s="687"/>
      <c r="G396" s="687"/>
      <c r="H396" s="687"/>
      <c r="I396" s="687"/>
      <c r="J396" s="687"/>
      <c r="K396" s="687"/>
    </row>
    <row r="397" spans="1:11" ht="12.75" x14ac:dyDescent="0.2">
      <c r="A397" s="687" t="s">
        <v>3574</v>
      </c>
      <c r="B397" s="687"/>
      <c r="C397" s="687"/>
      <c r="D397" s="687"/>
      <c r="E397" s="687"/>
      <c r="F397" s="687"/>
      <c r="G397" s="687"/>
      <c r="H397" s="687"/>
      <c r="I397" s="687"/>
      <c r="J397" s="687"/>
      <c r="K397" s="687"/>
    </row>
    <row r="398" spans="1:11" x14ac:dyDescent="0.2">
      <c r="A398" s="18"/>
      <c r="B398" s="18"/>
      <c r="C398" s="18"/>
      <c r="D398" s="18"/>
      <c r="E398" s="18"/>
      <c r="F398" s="18"/>
      <c r="G398" s="18"/>
      <c r="H398" s="18"/>
      <c r="I398" s="18"/>
      <c r="J398" s="18"/>
      <c r="K398" s="18"/>
    </row>
    <row r="399" spans="1:11" x14ac:dyDescent="0.2">
      <c r="A399" s="678" t="s">
        <v>3346</v>
      </c>
      <c r="B399" s="679"/>
      <c r="C399" s="680" t="s">
        <v>13</v>
      </c>
      <c r="D399" s="678" t="s">
        <v>3347</v>
      </c>
      <c r="E399" s="679"/>
      <c r="F399" s="688" t="s">
        <v>90</v>
      </c>
      <c r="G399" s="689"/>
      <c r="H399" s="690"/>
      <c r="I399" s="688" t="s">
        <v>10</v>
      </c>
      <c r="J399" s="689"/>
      <c r="K399" s="690"/>
    </row>
    <row r="400" spans="1:11" x14ac:dyDescent="0.2">
      <c r="A400" s="680" t="s">
        <v>12</v>
      </c>
      <c r="B400" s="680" t="s">
        <v>21</v>
      </c>
      <c r="C400" s="681"/>
      <c r="D400" s="665" t="s">
        <v>12</v>
      </c>
      <c r="E400" s="665" t="s">
        <v>3348</v>
      </c>
      <c r="F400" s="665" t="s">
        <v>3285</v>
      </c>
      <c r="G400" s="665" t="s">
        <v>3282</v>
      </c>
      <c r="H400" s="665" t="s">
        <v>3539</v>
      </c>
      <c r="I400" s="665" t="s">
        <v>3285</v>
      </c>
      <c r="J400" s="665" t="s">
        <v>3282</v>
      </c>
      <c r="K400" s="665" t="s">
        <v>3539</v>
      </c>
    </row>
    <row r="401" spans="1:11" x14ac:dyDescent="0.2">
      <c r="A401" s="682"/>
      <c r="B401" s="682"/>
      <c r="C401" s="682"/>
      <c r="D401" s="667"/>
      <c r="E401" s="667"/>
      <c r="F401" s="667"/>
      <c r="G401" s="667"/>
      <c r="H401" s="667"/>
      <c r="I401" s="667"/>
      <c r="J401" s="667"/>
      <c r="K401" s="667"/>
    </row>
    <row r="402" spans="1:11" x14ac:dyDescent="0.2">
      <c r="A402" s="210" t="s">
        <v>4139</v>
      </c>
      <c r="B402" s="210">
        <v>300</v>
      </c>
      <c r="C402" s="60" t="s">
        <v>4140</v>
      </c>
      <c r="D402" s="10" t="str">
        <f t="shared" ref="D402:D465" si="33">A402</f>
        <v>02 Mei</v>
      </c>
      <c r="E402" s="6" t="s">
        <v>3366</v>
      </c>
      <c r="F402" s="235" t="s">
        <v>3921</v>
      </c>
      <c r="G402" s="236" t="s">
        <v>3402</v>
      </c>
      <c r="H402" s="236"/>
      <c r="I402" s="10" t="s">
        <v>3343</v>
      </c>
      <c r="J402" s="31" t="s">
        <v>11</v>
      </c>
      <c r="K402" s="429">
        <f>H402</f>
        <v>0</v>
      </c>
    </row>
    <row r="403" spans="1:11" x14ac:dyDescent="0.2">
      <c r="A403" s="72"/>
      <c r="B403" s="72">
        <v>301</v>
      </c>
      <c r="C403" s="31" t="s">
        <v>4141</v>
      </c>
      <c r="D403" s="10">
        <f t="shared" si="33"/>
        <v>0</v>
      </c>
      <c r="E403" s="10" t="s">
        <v>3366</v>
      </c>
      <c r="F403" s="218" t="s">
        <v>4002</v>
      </c>
      <c r="G403" s="237" t="s">
        <v>3505</v>
      </c>
      <c r="H403" s="237"/>
      <c r="I403" s="10" t="s">
        <v>3343</v>
      </c>
      <c r="J403" s="31" t="s">
        <v>11</v>
      </c>
      <c r="K403" s="429">
        <f t="shared" ref="K403:K446" si="34">H403</f>
        <v>0</v>
      </c>
    </row>
    <row r="404" spans="1:11" x14ac:dyDescent="0.2">
      <c r="A404" s="72"/>
      <c r="B404" s="72">
        <v>302</v>
      </c>
      <c r="C404" s="31" t="s">
        <v>4142</v>
      </c>
      <c r="D404" s="10">
        <f t="shared" si="33"/>
        <v>0</v>
      </c>
      <c r="E404" s="10" t="s">
        <v>3366</v>
      </c>
      <c r="F404" s="218" t="s">
        <v>3922</v>
      </c>
      <c r="G404" s="237" t="s">
        <v>3984</v>
      </c>
      <c r="H404" s="237"/>
      <c r="I404" s="10" t="s">
        <v>3343</v>
      </c>
      <c r="J404" s="31" t="s">
        <v>11</v>
      </c>
      <c r="K404" s="429">
        <f t="shared" si="34"/>
        <v>0</v>
      </c>
    </row>
    <row r="405" spans="1:11" x14ac:dyDescent="0.2">
      <c r="A405" s="72"/>
      <c r="B405" s="72">
        <v>303</v>
      </c>
      <c r="C405" s="31" t="s">
        <v>4143</v>
      </c>
      <c r="D405" s="10">
        <f t="shared" si="33"/>
        <v>0</v>
      </c>
      <c r="E405" s="10" t="s">
        <v>3366</v>
      </c>
      <c r="F405" s="218" t="s">
        <v>3922</v>
      </c>
      <c r="G405" s="237" t="s">
        <v>3984</v>
      </c>
      <c r="H405" s="237"/>
      <c r="I405" s="10" t="s">
        <v>3343</v>
      </c>
      <c r="J405" s="31" t="s">
        <v>11</v>
      </c>
      <c r="K405" s="429">
        <f t="shared" si="34"/>
        <v>0</v>
      </c>
    </row>
    <row r="406" spans="1:11" x14ac:dyDescent="0.2">
      <c r="A406" s="72"/>
      <c r="B406" s="72">
        <v>304</v>
      </c>
      <c r="C406" s="31" t="s">
        <v>4144</v>
      </c>
      <c r="D406" s="10">
        <f t="shared" si="33"/>
        <v>0</v>
      </c>
      <c r="E406" s="10" t="s">
        <v>3366</v>
      </c>
      <c r="F406" s="218" t="s">
        <v>3921</v>
      </c>
      <c r="G406" s="237" t="s">
        <v>3402</v>
      </c>
      <c r="H406" s="237"/>
      <c r="I406" s="10" t="s">
        <v>3343</v>
      </c>
      <c r="J406" s="31" t="s">
        <v>11</v>
      </c>
      <c r="K406" s="429">
        <f t="shared" si="34"/>
        <v>0</v>
      </c>
    </row>
    <row r="407" spans="1:11" x14ac:dyDescent="0.2">
      <c r="A407" s="72"/>
      <c r="B407" s="72">
        <v>305</v>
      </c>
      <c r="C407" s="31" t="s">
        <v>4145</v>
      </c>
      <c r="D407" s="10">
        <f t="shared" si="33"/>
        <v>0</v>
      </c>
      <c r="E407" s="10" t="s">
        <v>3366</v>
      </c>
      <c r="F407" s="218" t="s">
        <v>3969</v>
      </c>
      <c r="G407" s="237" t="s">
        <v>3970</v>
      </c>
      <c r="H407" s="237"/>
      <c r="I407" s="10" t="s">
        <v>3343</v>
      </c>
      <c r="J407" s="31" t="s">
        <v>11</v>
      </c>
      <c r="K407" s="429">
        <f t="shared" si="34"/>
        <v>0</v>
      </c>
    </row>
    <row r="408" spans="1:11" x14ac:dyDescent="0.2">
      <c r="A408" s="72" t="s">
        <v>4146</v>
      </c>
      <c r="B408" s="72">
        <v>306</v>
      </c>
      <c r="C408" s="31" t="s">
        <v>4147</v>
      </c>
      <c r="D408" s="10" t="str">
        <f t="shared" si="33"/>
        <v>05 Mei</v>
      </c>
      <c r="E408" s="10" t="s">
        <v>3366</v>
      </c>
      <c r="F408" s="218" t="s">
        <v>3390</v>
      </c>
      <c r="G408" s="237" t="s">
        <v>3943</v>
      </c>
      <c r="H408" s="237"/>
      <c r="I408" s="10" t="s">
        <v>3343</v>
      </c>
      <c r="J408" s="31" t="s">
        <v>11</v>
      </c>
      <c r="K408" s="429">
        <f t="shared" si="34"/>
        <v>0</v>
      </c>
    </row>
    <row r="409" spans="1:11" x14ac:dyDescent="0.2">
      <c r="A409" s="72"/>
      <c r="B409" s="72">
        <v>307</v>
      </c>
      <c r="C409" s="31" t="s">
        <v>4148</v>
      </c>
      <c r="D409" s="10">
        <f t="shared" si="33"/>
        <v>0</v>
      </c>
      <c r="E409" s="10" t="s">
        <v>3366</v>
      </c>
      <c r="F409" s="218" t="s">
        <v>3935</v>
      </c>
      <c r="G409" s="237" t="s">
        <v>3406</v>
      </c>
      <c r="H409" s="237"/>
      <c r="I409" s="10" t="s">
        <v>3343</v>
      </c>
      <c r="J409" s="31" t="s">
        <v>11</v>
      </c>
      <c r="K409" s="429">
        <f t="shared" si="34"/>
        <v>0</v>
      </c>
    </row>
    <row r="410" spans="1:11" x14ac:dyDescent="0.2">
      <c r="A410" s="72"/>
      <c r="B410" s="72">
        <v>308</v>
      </c>
      <c r="C410" s="31" t="s">
        <v>4070</v>
      </c>
      <c r="D410" s="10">
        <f t="shared" si="33"/>
        <v>0</v>
      </c>
      <c r="E410" s="10" t="s">
        <v>3366</v>
      </c>
      <c r="F410" s="218" t="s">
        <v>3922</v>
      </c>
      <c r="G410" s="237" t="s">
        <v>3984</v>
      </c>
      <c r="H410" s="237"/>
      <c r="I410" s="10" t="s">
        <v>3343</v>
      </c>
      <c r="J410" s="31" t="s">
        <v>11</v>
      </c>
      <c r="K410" s="429">
        <f t="shared" si="34"/>
        <v>0</v>
      </c>
    </row>
    <row r="411" spans="1:11" x14ac:dyDescent="0.2">
      <c r="A411" s="72" t="s">
        <v>4149</v>
      </c>
      <c r="B411" s="72">
        <v>309</v>
      </c>
      <c r="C411" s="31" t="s">
        <v>4150</v>
      </c>
      <c r="D411" s="10" t="str">
        <f t="shared" si="33"/>
        <v>06 Mei</v>
      </c>
      <c r="E411" s="10" t="s">
        <v>3366</v>
      </c>
      <c r="F411" s="218" t="s">
        <v>3925</v>
      </c>
      <c r="G411" s="237" t="s">
        <v>3926</v>
      </c>
      <c r="H411" s="237"/>
      <c r="I411" s="10" t="s">
        <v>3343</v>
      </c>
      <c r="J411" s="31" t="s">
        <v>11</v>
      </c>
      <c r="K411" s="429">
        <f t="shared" si="34"/>
        <v>0</v>
      </c>
    </row>
    <row r="412" spans="1:11" x14ac:dyDescent="0.2">
      <c r="A412" s="263"/>
      <c r="B412" s="72"/>
      <c r="C412" s="31"/>
      <c r="D412" s="10">
        <f t="shared" si="33"/>
        <v>0</v>
      </c>
      <c r="E412" s="10" t="s">
        <v>3366</v>
      </c>
      <c r="F412" s="218" t="s">
        <v>3543</v>
      </c>
      <c r="G412" s="237" t="s">
        <v>3927</v>
      </c>
      <c r="H412" s="237"/>
      <c r="I412" s="10" t="s">
        <v>3343</v>
      </c>
      <c r="J412" s="31" t="s">
        <v>11</v>
      </c>
      <c r="K412" s="429">
        <f t="shared" si="34"/>
        <v>0</v>
      </c>
    </row>
    <row r="413" spans="1:11" x14ac:dyDescent="0.2">
      <c r="A413" s="72"/>
      <c r="B413" s="72"/>
      <c r="C413" s="31"/>
      <c r="D413" s="10">
        <f t="shared" si="33"/>
        <v>0</v>
      </c>
      <c r="E413" s="10" t="s">
        <v>3366</v>
      </c>
      <c r="F413" s="218" t="s">
        <v>3520</v>
      </c>
      <c r="G413" s="237" t="s">
        <v>3928</v>
      </c>
      <c r="H413" s="237"/>
      <c r="I413" s="10" t="s">
        <v>3343</v>
      </c>
      <c r="J413" s="31" t="s">
        <v>11</v>
      </c>
      <c r="K413" s="429">
        <f t="shared" si="34"/>
        <v>0</v>
      </c>
    </row>
    <row r="414" spans="1:11" x14ac:dyDescent="0.2">
      <c r="A414" s="72" t="s">
        <v>4151</v>
      </c>
      <c r="B414" s="72">
        <v>310</v>
      </c>
      <c r="C414" s="31" t="s">
        <v>3846</v>
      </c>
      <c r="D414" s="10" t="str">
        <f t="shared" si="33"/>
        <v>09 Mei</v>
      </c>
      <c r="E414" s="10" t="s">
        <v>3366</v>
      </c>
      <c r="F414" s="218" t="s">
        <v>3922</v>
      </c>
      <c r="G414" s="237" t="s">
        <v>3984</v>
      </c>
      <c r="H414" s="237"/>
      <c r="I414" s="10" t="s">
        <v>3343</v>
      </c>
      <c r="J414" s="31" t="s">
        <v>11</v>
      </c>
      <c r="K414" s="429">
        <f t="shared" si="34"/>
        <v>0</v>
      </c>
    </row>
    <row r="415" spans="1:11" x14ac:dyDescent="0.2">
      <c r="A415" s="72"/>
      <c r="B415" s="72">
        <v>311</v>
      </c>
      <c r="C415" s="31" t="s">
        <v>4152</v>
      </c>
      <c r="D415" s="10">
        <f t="shared" si="33"/>
        <v>0</v>
      </c>
      <c r="E415" s="10" t="s">
        <v>3366</v>
      </c>
      <c r="F415" s="218" t="s">
        <v>3989</v>
      </c>
      <c r="G415" s="237" t="s">
        <v>3990</v>
      </c>
      <c r="H415" s="237"/>
      <c r="I415" s="10" t="s">
        <v>3343</v>
      </c>
      <c r="J415" s="31" t="s">
        <v>11</v>
      </c>
      <c r="K415" s="429">
        <f t="shared" si="34"/>
        <v>0</v>
      </c>
    </row>
    <row r="416" spans="1:11" x14ac:dyDescent="0.2">
      <c r="A416" s="72"/>
      <c r="B416" s="72">
        <v>312</v>
      </c>
      <c r="C416" s="31" t="s">
        <v>3841</v>
      </c>
      <c r="D416" s="10">
        <f t="shared" si="33"/>
        <v>0</v>
      </c>
      <c r="E416" s="10" t="s">
        <v>3366</v>
      </c>
      <c r="F416" s="218" t="s">
        <v>3924</v>
      </c>
      <c r="G416" s="237" t="s">
        <v>3410</v>
      </c>
      <c r="H416" s="237"/>
      <c r="I416" s="10" t="s">
        <v>3343</v>
      </c>
      <c r="J416" s="31" t="s">
        <v>11</v>
      </c>
      <c r="K416" s="429">
        <f t="shared" si="34"/>
        <v>0</v>
      </c>
    </row>
    <row r="417" spans="1:11" x14ac:dyDescent="0.2">
      <c r="A417" s="72"/>
      <c r="B417" s="72">
        <v>313</v>
      </c>
      <c r="C417" s="31" t="s">
        <v>3842</v>
      </c>
      <c r="D417" s="10">
        <f t="shared" si="33"/>
        <v>0</v>
      </c>
      <c r="E417" s="10" t="s">
        <v>3366</v>
      </c>
      <c r="F417" s="218" t="s">
        <v>3924</v>
      </c>
      <c r="G417" s="237" t="s">
        <v>3410</v>
      </c>
      <c r="H417" s="237"/>
      <c r="I417" s="10" t="s">
        <v>3343</v>
      </c>
      <c r="J417" s="31" t="s">
        <v>11</v>
      </c>
      <c r="K417" s="429">
        <f t="shared" si="34"/>
        <v>0</v>
      </c>
    </row>
    <row r="418" spans="1:11" x14ac:dyDescent="0.2">
      <c r="A418" s="263"/>
      <c r="B418" s="72">
        <v>314</v>
      </c>
      <c r="C418" s="31" t="s">
        <v>3843</v>
      </c>
      <c r="D418" s="10">
        <f t="shared" si="33"/>
        <v>0</v>
      </c>
      <c r="E418" s="10" t="s">
        <v>3366</v>
      </c>
      <c r="F418" s="218" t="s">
        <v>3924</v>
      </c>
      <c r="G418" s="237" t="s">
        <v>3410</v>
      </c>
      <c r="H418" s="237"/>
      <c r="I418" s="10" t="s">
        <v>3343</v>
      </c>
      <c r="J418" s="31" t="s">
        <v>11</v>
      </c>
      <c r="K418" s="429">
        <f t="shared" si="34"/>
        <v>0</v>
      </c>
    </row>
    <row r="419" spans="1:11" x14ac:dyDescent="0.2">
      <c r="A419" s="72"/>
      <c r="B419" s="72">
        <v>315</v>
      </c>
      <c r="C419" s="31" t="s">
        <v>4153</v>
      </c>
      <c r="D419" s="10">
        <f t="shared" si="33"/>
        <v>0</v>
      </c>
      <c r="E419" s="10" t="s">
        <v>3366</v>
      </c>
      <c r="F419" s="218" t="s">
        <v>4154</v>
      </c>
      <c r="G419" s="237" t="s">
        <v>4155</v>
      </c>
      <c r="H419" s="237"/>
      <c r="I419" s="10" t="s">
        <v>3343</v>
      </c>
      <c r="J419" s="31" t="s">
        <v>11</v>
      </c>
      <c r="K419" s="429">
        <f t="shared" si="34"/>
        <v>0</v>
      </c>
    </row>
    <row r="420" spans="1:11" x14ac:dyDescent="0.2">
      <c r="A420" s="72"/>
      <c r="B420" s="72">
        <v>316</v>
      </c>
      <c r="C420" s="31" t="s">
        <v>4156</v>
      </c>
      <c r="D420" s="10">
        <f t="shared" si="33"/>
        <v>0</v>
      </c>
      <c r="E420" s="10" t="s">
        <v>3366</v>
      </c>
      <c r="F420" s="218" t="s">
        <v>3934</v>
      </c>
      <c r="G420" s="237" t="s">
        <v>4032</v>
      </c>
      <c r="H420" s="237"/>
      <c r="I420" s="10" t="s">
        <v>3343</v>
      </c>
      <c r="J420" s="31" t="s">
        <v>11</v>
      </c>
      <c r="K420" s="429">
        <f t="shared" si="34"/>
        <v>0</v>
      </c>
    </row>
    <row r="421" spans="1:11" x14ac:dyDescent="0.2">
      <c r="A421" s="72" t="s">
        <v>4157</v>
      </c>
      <c r="B421" s="72">
        <v>317</v>
      </c>
      <c r="C421" s="31" t="s">
        <v>4158</v>
      </c>
      <c r="D421" s="10" t="str">
        <f t="shared" si="33"/>
        <v>14 Mei</v>
      </c>
      <c r="E421" s="10" t="s">
        <v>3366</v>
      </c>
      <c r="F421" s="218" t="s">
        <v>4003</v>
      </c>
      <c r="G421" s="237" t="s">
        <v>4004</v>
      </c>
      <c r="H421" s="237"/>
      <c r="I421" s="10" t="s">
        <v>3343</v>
      </c>
      <c r="J421" s="31" t="s">
        <v>11</v>
      </c>
      <c r="K421" s="429">
        <f t="shared" si="34"/>
        <v>0</v>
      </c>
    </row>
    <row r="422" spans="1:11" x14ac:dyDescent="0.2">
      <c r="A422" s="72"/>
      <c r="B422" s="72">
        <v>318</v>
      </c>
      <c r="C422" s="31" t="s">
        <v>4159</v>
      </c>
      <c r="D422" s="10">
        <f t="shared" si="33"/>
        <v>0</v>
      </c>
      <c r="E422" s="10" t="s">
        <v>3366</v>
      </c>
      <c r="F422" s="218" t="s">
        <v>4003</v>
      </c>
      <c r="G422" s="237" t="s">
        <v>4004</v>
      </c>
      <c r="H422" s="237"/>
      <c r="I422" s="10" t="s">
        <v>3343</v>
      </c>
      <c r="J422" s="31" t="s">
        <v>11</v>
      </c>
      <c r="K422" s="429">
        <f t="shared" si="34"/>
        <v>0</v>
      </c>
    </row>
    <row r="423" spans="1:11" x14ac:dyDescent="0.2">
      <c r="A423" s="72"/>
      <c r="B423" s="72">
        <v>319</v>
      </c>
      <c r="C423" s="31" t="s">
        <v>4160</v>
      </c>
      <c r="D423" s="10">
        <f t="shared" si="33"/>
        <v>0</v>
      </c>
      <c r="E423" s="10" t="s">
        <v>3366</v>
      </c>
      <c r="F423" s="218" t="s">
        <v>3935</v>
      </c>
      <c r="G423" s="237" t="s">
        <v>3406</v>
      </c>
      <c r="H423" s="237"/>
      <c r="I423" s="10" t="s">
        <v>3343</v>
      </c>
      <c r="J423" s="31" t="s">
        <v>11</v>
      </c>
      <c r="K423" s="429">
        <f t="shared" si="34"/>
        <v>0</v>
      </c>
    </row>
    <row r="424" spans="1:11" x14ac:dyDescent="0.2">
      <c r="A424" s="72"/>
      <c r="B424" s="72">
        <v>320</v>
      </c>
      <c r="C424" s="31" t="s">
        <v>4161</v>
      </c>
      <c r="D424" s="10">
        <f t="shared" si="33"/>
        <v>0</v>
      </c>
      <c r="E424" s="10" t="s">
        <v>3366</v>
      </c>
      <c r="F424" s="218" t="s">
        <v>3935</v>
      </c>
      <c r="G424" s="237" t="s">
        <v>3406</v>
      </c>
      <c r="H424" s="237"/>
      <c r="I424" s="10" t="s">
        <v>3343</v>
      </c>
      <c r="J424" s="31" t="s">
        <v>11</v>
      </c>
      <c r="K424" s="429">
        <f t="shared" si="34"/>
        <v>0</v>
      </c>
    </row>
    <row r="425" spans="1:11" x14ac:dyDescent="0.2">
      <c r="A425" s="72" t="s">
        <v>4162</v>
      </c>
      <c r="B425" s="72">
        <v>321</v>
      </c>
      <c r="C425" s="31" t="s">
        <v>4163</v>
      </c>
      <c r="D425" s="10" t="str">
        <f t="shared" si="33"/>
        <v>15 Mei</v>
      </c>
      <c r="E425" s="10" t="s">
        <v>3366</v>
      </c>
      <c r="F425" s="218" t="s">
        <v>3353</v>
      </c>
      <c r="G425" s="237" t="s">
        <v>4009</v>
      </c>
      <c r="H425" s="237"/>
      <c r="I425" s="10" t="s">
        <v>3343</v>
      </c>
      <c r="J425" s="31" t="s">
        <v>11</v>
      </c>
      <c r="K425" s="429">
        <f t="shared" si="34"/>
        <v>0</v>
      </c>
    </row>
    <row r="426" spans="1:11" x14ac:dyDescent="0.2">
      <c r="A426" s="72"/>
      <c r="B426" s="72">
        <v>322</v>
      </c>
      <c r="C426" s="31" t="s">
        <v>4164</v>
      </c>
      <c r="D426" s="10">
        <f t="shared" si="33"/>
        <v>0</v>
      </c>
      <c r="E426" s="10" t="s">
        <v>3366</v>
      </c>
      <c r="F426" s="218" t="s">
        <v>3934</v>
      </c>
      <c r="G426" s="237" t="s">
        <v>4032</v>
      </c>
      <c r="H426" s="237"/>
      <c r="I426" s="10" t="s">
        <v>3343</v>
      </c>
      <c r="J426" s="31" t="s">
        <v>11</v>
      </c>
      <c r="K426" s="429">
        <f t="shared" si="34"/>
        <v>0</v>
      </c>
    </row>
    <row r="427" spans="1:11" x14ac:dyDescent="0.2">
      <c r="A427" s="10"/>
      <c r="B427" s="72">
        <v>323</v>
      </c>
      <c r="C427" s="31" t="s">
        <v>4165</v>
      </c>
      <c r="D427" s="10">
        <f t="shared" si="33"/>
        <v>0</v>
      </c>
      <c r="E427" s="10" t="s">
        <v>3366</v>
      </c>
      <c r="F427" s="218" t="s">
        <v>3932</v>
      </c>
      <c r="G427" s="237" t="s">
        <v>3933</v>
      </c>
      <c r="H427" s="237"/>
      <c r="I427" s="10" t="s">
        <v>3343</v>
      </c>
      <c r="J427" s="31" t="s">
        <v>11</v>
      </c>
      <c r="K427" s="429">
        <f t="shared" si="34"/>
        <v>0</v>
      </c>
    </row>
    <row r="428" spans="1:11" x14ac:dyDescent="0.2">
      <c r="A428" s="72" t="s">
        <v>4166</v>
      </c>
      <c r="B428" s="72">
        <v>324</v>
      </c>
      <c r="C428" s="31" t="s">
        <v>4167</v>
      </c>
      <c r="D428" s="10" t="str">
        <f t="shared" si="33"/>
        <v>19 Mei</v>
      </c>
      <c r="E428" s="10" t="s">
        <v>3366</v>
      </c>
      <c r="F428" s="218" t="s">
        <v>3935</v>
      </c>
      <c r="G428" s="237" t="s">
        <v>3406</v>
      </c>
      <c r="H428" s="237"/>
      <c r="I428" s="10" t="s">
        <v>3343</v>
      </c>
      <c r="J428" s="31" t="s">
        <v>11</v>
      </c>
      <c r="K428" s="429">
        <f t="shared" si="34"/>
        <v>0</v>
      </c>
    </row>
    <row r="429" spans="1:11" x14ac:dyDescent="0.2">
      <c r="A429" s="72" t="s">
        <v>4168</v>
      </c>
      <c r="B429" s="72">
        <v>325</v>
      </c>
      <c r="C429" s="31" t="s">
        <v>4169</v>
      </c>
      <c r="D429" s="10" t="str">
        <f t="shared" si="33"/>
        <v>20 Mei</v>
      </c>
      <c r="E429" s="10" t="s">
        <v>3366</v>
      </c>
      <c r="F429" s="218" t="s">
        <v>4058</v>
      </c>
      <c r="G429" s="237" t="s">
        <v>4170</v>
      </c>
      <c r="H429" s="237"/>
      <c r="I429" s="10" t="s">
        <v>3343</v>
      </c>
      <c r="J429" s="31" t="s">
        <v>11</v>
      </c>
      <c r="K429" s="429">
        <f t="shared" si="34"/>
        <v>0</v>
      </c>
    </row>
    <row r="430" spans="1:11" x14ac:dyDescent="0.2">
      <c r="A430" s="72"/>
      <c r="B430" s="72">
        <v>326</v>
      </c>
      <c r="C430" s="31" t="s">
        <v>3866</v>
      </c>
      <c r="D430" s="10">
        <f t="shared" si="33"/>
        <v>0</v>
      </c>
      <c r="E430" s="10" t="s">
        <v>3366</v>
      </c>
      <c r="F430" s="218" t="s">
        <v>3946</v>
      </c>
      <c r="G430" s="237" t="s">
        <v>3432</v>
      </c>
      <c r="H430" s="237"/>
      <c r="I430" s="10" t="s">
        <v>3343</v>
      </c>
      <c r="J430" s="31" t="s">
        <v>11</v>
      </c>
      <c r="K430" s="429">
        <f t="shared" si="34"/>
        <v>0</v>
      </c>
    </row>
    <row r="431" spans="1:11" x14ac:dyDescent="0.2">
      <c r="A431" s="72"/>
      <c r="B431" s="72">
        <v>327</v>
      </c>
      <c r="C431" s="31" t="s">
        <v>3257</v>
      </c>
      <c r="D431" s="10">
        <f t="shared" si="33"/>
        <v>0</v>
      </c>
      <c r="E431" s="10" t="s">
        <v>3366</v>
      </c>
      <c r="F431" s="218" t="s">
        <v>3922</v>
      </c>
      <c r="G431" s="237" t="s">
        <v>3984</v>
      </c>
      <c r="H431" s="237"/>
      <c r="I431" s="10" t="s">
        <v>3343</v>
      </c>
      <c r="J431" s="31" t="s">
        <v>11</v>
      </c>
      <c r="K431" s="429">
        <f t="shared" si="34"/>
        <v>0</v>
      </c>
    </row>
    <row r="432" spans="1:11" x14ac:dyDescent="0.2">
      <c r="A432" s="72"/>
      <c r="B432" s="72">
        <v>328</v>
      </c>
      <c r="C432" s="31" t="s">
        <v>4171</v>
      </c>
      <c r="D432" s="10">
        <f t="shared" si="33"/>
        <v>0</v>
      </c>
      <c r="E432" s="10" t="s">
        <v>3366</v>
      </c>
      <c r="F432" s="218" t="s">
        <v>3947</v>
      </c>
      <c r="G432" s="237" t="s">
        <v>3436</v>
      </c>
      <c r="H432" s="237"/>
      <c r="I432" s="10" t="s">
        <v>3343</v>
      </c>
      <c r="J432" s="31" t="s">
        <v>11</v>
      </c>
      <c r="K432" s="429">
        <f t="shared" si="34"/>
        <v>0</v>
      </c>
    </row>
    <row r="433" spans="1:11" x14ac:dyDescent="0.2">
      <c r="A433" s="72" t="s">
        <v>4172</v>
      </c>
      <c r="B433" s="72">
        <v>329</v>
      </c>
      <c r="C433" s="31" t="s">
        <v>3878</v>
      </c>
      <c r="D433" s="10" t="str">
        <f t="shared" si="33"/>
        <v>22 Mei</v>
      </c>
      <c r="E433" s="10" t="s">
        <v>3366</v>
      </c>
      <c r="F433" s="218" t="s">
        <v>3946</v>
      </c>
      <c r="G433" s="237" t="s">
        <v>3432</v>
      </c>
      <c r="H433" s="237"/>
      <c r="I433" s="10" t="s">
        <v>3343</v>
      </c>
      <c r="J433" s="31" t="s">
        <v>11</v>
      </c>
      <c r="K433" s="429">
        <f>H433</f>
        <v>0</v>
      </c>
    </row>
    <row r="434" spans="1:11" x14ac:dyDescent="0.2">
      <c r="A434" s="10"/>
      <c r="B434" s="72">
        <v>330</v>
      </c>
      <c r="C434" s="31" t="s">
        <v>3851</v>
      </c>
      <c r="D434" s="10">
        <f t="shared" si="33"/>
        <v>0</v>
      </c>
      <c r="E434" s="10" t="s">
        <v>3366</v>
      </c>
      <c r="F434" s="218" t="s">
        <v>3936</v>
      </c>
      <c r="G434" s="237" t="s">
        <v>3937</v>
      </c>
      <c r="H434" s="237"/>
      <c r="I434" s="10" t="s">
        <v>3343</v>
      </c>
      <c r="J434" s="31" t="s">
        <v>11</v>
      </c>
      <c r="K434" s="429">
        <f>H434</f>
        <v>0</v>
      </c>
    </row>
    <row r="435" spans="1:11" x14ac:dyDescent="0.2">
      <c r="A435" s="72"/>
      <c r="B435" s="72">
        <v>331</v>
      </c>
      <c r="C435" s="31" t="s">
        <v>4173</v>
      </c>
      <c r="D435" s="10">
        <f t="shared" si="33"/>
        <v>0</v>
      </c>
      <c r="E435" s="10" t="s">
        <v>3366</v>
      </c>
      <c r="F435" s="218" t="s">
        <v>3543</v>
      </c>
      <c r="G435" s="237" t="s">
        <v>4031</v>
      </c>
      <c r="H435" s="237"/>
      <c r="I435" s="10" t="s">
        <v>3343</v>
      </c>
      <c r="J435" s="31" t="s">
        <v>11</v>
      </c>
      <c r="K435" s="429">
        <f t="shared" si="34"/>
        <v>0</v>
      </c>
    </row>
    <row r="436" spans="1:11" x14ac:dyDescent="0.2">
      <c r="A436" s="72"/>
      <c r="B436" s="72">
        <v>332</v>
      </c>
      <c r="C436" s="31" t="s">
        <v>3876</v>
      </c>
      <c r="D436" s="10">
        <f t="shared" si="33"/>
        <v>0</v>
      </c>
      <c r="E436" s="10" t="s">
        <v>3366</v>
      </c>
      <c r="F436" s="218" t="s">
        <v>3921</v>
      </c>
      <c r="G436" s="237" t="s">
        <v>3402</v>
      </c>
      <c r="H436" s="237"/>
      <c r="I436" s="10" t="s">
        <v>3343</v>
      </c>
      <c r="J436" s="31" t="s">
        <v>11</v>
      </c>
      <c r="K436" s="429">
        <f t="shared" si="34"/>
        <v>0</v>
      </c>
    </row>
    <row r="437" spans="1:11" x14ac:dyDescent="0.2">
      <c r="A437" s="72"/>
      <c r="B437" s="72">
        <v>333</v>
      </c>
      <c r="C437" s="31" t="s">
        <v>4174</v>
      </c>
      <c r="D437" s="10">
        <f t="shared" si="33"/>
        <v>0</v>
      </c>
      <c r="E437" s="10" t="s">
        <v>3366</v>
      </c>
      <c r="F437" s="218" t="s">
        <v>3936</v>
      </c>
      <c r="G437" s="237" t="s">
        <v>3937</v>
      </c>
      <c r="H437" s="237"/>
      <c r="I437" s="10" t="s">
        <v>3343</v>
      </c>
      <c r="J437" s="31" t="s">
        <v>11</v>
      </c>
      <c r="K437" s="429">
        <f t="shared" si="34"/>
        <v>0</v>
      </c>
    </row>
    <row r="438" spans="1:11" x14ac:dyDescent="0.2">
      <c r="A438" s="10"/>
      <c r="B438" s="72">
        <v>334</v>
      </c>
      <c r="C438" s="31" t="s">
        <v>4068</v>
      </c>
      <c r="D438" s="10">
        <f t="shared" si="33"/>
        <v>0</v>
      </c>
      <c r="E438" s="10" t="s">
        <v>3366</v>
      </c>
      <c r="F438" s="218" t="s">
        <v>3952</v>
      </c>
      <c r="G438" s="237" t="s">
        <v>3953</v>
      </c>
      <c r="H438" s="237"/>
      <c r="I438" s="10" t="s">
        <v>3343</v>
      </c>
      <c r="J438" s="31" t="s">
        <v>11</v>
      </c>
      <c r="K438" s="429">
        <f t="shared" si="34"/>
        <v>0</v>
      </c>
    </row>
    <row r="439" spans="1:11" x14ac:dyDescent="0.2">
      <c r="A439" s="10"/>
      <c r="B439" s="72">
        <v>335</v>
      </c>
      <c r="C439" s="31" t="s">
        <v>4175</v>
      </c>
      <c r="D439" s="10">
        <f t="shared" si="33"/>
        <v>0</v>
      </c>
      <c r="E439" s="10" t="s">
        <v>3366</v>
      </c>
      <c r="F439" s="218" t="s">
        <v>3956</v>
      </c>
      <c r="G439" s="237" t="s">
        <v>3957</v>
      </c>
      <c r="H439" s="237"/>
      <c r="I439" s="10" t="s">
        <v>3343</v>
      </c>
      <c r="J439" s="31" t="s">
        <v>11</v>
      </c>
      <c r="K439" s="429">
        <f t="shared" si="34"/>
        <v>0</v>
      </c>
    </row>
    <row r="440" spans="1:11" x14ac:dyDescent="0.2">
      <c r="A440" s="72"/>
      <c r="B440" s="72">
        <v>336</v>
      </c>
      <c r="C440" s="31" t="s">
        <v>3264</v>
      </c>
      <c r="D440" s="10">
        <f t="shared" si="33"/>
        <v>0</v>
      </c>
      <c r="E440" s="10" t="s">
        <v>3366</v>
      </c>
      <c r="F440" s="218" t="s">
        <v>3925</v>
      </c>
      <c r="G440" s="237" t="s">
        <v>3938</v>
      </c>
      <c r="H440" s="237"/>
      <c r="I440" s="10" t="s">
        <v>3343</v>
      </c>
      <c r="J440" s="31" t="s">
        <v>11</v>
      </c>
      <c r="K440" s="429">
        <f t="shared" si="34"/>
        <v>0</v>
      </c>
    </row>
    <row r="441" spans="1:11" x14ac:dyDescent="0.2">
      <c r="A441" s="72"/>
      <c r="B441" s="72">
        <v>337</v>
      </c>
      <c r="C441" s="31" t="s">
        <v>3887</v>
      </c>
      <c r="D441" s="10">
        <f t="shared" si="33"/>
        <v>0</v>
      </c>
      <c r="E441" s="10" t="s">
        <v>3366</v>
      </c>
      <c r="F441" s="218" t="s">
        <v>3941</v>
      </c>
      <c r="G441" s="237" t="s">
        <v>3942</v>
      </c>
      <c r="H441" s="237"/>
      <c r="I441" s="10" t="s">
        <v>3343</v>
      </c>
      <c r="J441" s="31" t="s">
        <v>11</v>
      </c>
      <c r="K441" s="429">
        <f t="shared" si="34"/>
        <v>0</v>
      </c>
    </row>
    <row r="442" spans="1:11" x14ac:dyDescent="0.2">
      <c r="A442" s="72"/>
      <c r="B442" s="72">
        <v>338</v>
      </c>
      <c r="C442" s="31" t="s">
        <v>4176</v>
      </c>
      <c r="D442" s="10">
        <f t="shared" si="33"/>
        <v>0</v>
      </c>
      <c r="E442" s="10" t="s">
        <v>3366</v>
      </c>
      <c r="F442" s="218" t="s">
        <v>3954</v>
      </c>
      <c r="G442" s="237" t="s">
        <v>3955</v>
      </c>
      <c r="H442" s="237"/>
      <c r="I442" s="10" t="s">
        <v>3343</v>
      </c>
      <c r="J442" s="31" t="s">
        <v>11</v>
      </c>
      <c r="K442" s="429">
        <f t="shared" si="34"/>
        <v>0</v>
      </c>
    </row>
    <row r="443" spans="1:11" x14ac:dyDescent="0.2">
      <c r="A443" s="72"/>
      <c r="B443" s="72">
        <v>339</v>
      </c>
      <c r="C443" s="31" t="s">
        <v>4177</v>
      </c>
      <c r="D443" s="10">
        <f t="shared" si="33"/>
        <v>0</v>
      </c>
      <c r="E443" s="10" t="s">
        <v>3366</v>
      </c>
      <c r="F443" s="218" t="s">
        <v>3969</v>
      </c>
      <c r="G443" s="237" t="s">
        <v>3970</v>
      </c>
      <c r="H443" s="237"/>
      <c r="I443" s="10" t="s">
        <v>3343</v>
      </c>
      <c r="J443" s="31" t="s">
        <v>11</v>
      </c>
      <c r="K443" s="429">
        <f t="shared" si="34"/>
        <v>0</v>
      </c>
    </row>
    <row r="444" spans="1:11" x14ac:dyDescent="0.2">
      <c r="A444" s="72"/>
      <c r="B444" s="72">
        <v>340</v>
      </c>
      <c r="C444" s="31" t="s">
        <v>4178</v>
      </c>
      <c r="D444" s="10">
        <f t="shared" si="33"/>
        <v>0</v>
      </c>
      <c r="E444" s="10" t="s">
        <v>3366</v>
      </c>
      <c r="F444" s="218" t="s">
        <v>3969</v>
      </c>
      <c r="G444" s="237" t="s">
        <v>3970</v>
      </c>
      <c r="H444" s="237"/>
      <c r="I444" s="10" t="s">
        <v>3343</v>
      </c>
      <c r="J444" s="31" t="s">
        <v>11</v>
      </c>
      <c r="K444" s="429">
        <f t="shared" si="34"/>
        <v>0</v>
      </c>
    </row>
    <row r="445" spans="1:11" x14ac:dyDescent="0.2">
      <c r="A445" s="72"/>
      <c r="B445" s="72">
        <v>341</v>
      </c>
      <c r="C445" s="31" t="s">
        <v>4179</v>
      </c>
      <c r="D445" s="10">
        <f t="shared" si="33"/>
        <v>0</v>
      </c>
      <c r="E445" s="10" t="s">
        <v>3366</v>
      </c>
      <c r="F445" s="218" t="s">
        <v>4029</v>
      </c>
      <c r="G445" s="237" t="s">
        <v>4030</v>
      </c>
      <c r="H445" s="237"/>
      <c r="I445" s="10" t="s">
        <v>3343</v>
      </c>
      <c r="J445" s="31" t="s">
        <v>11</v>
      </c>
      <c r="K445" s="429">
        <f t="shared" si="34"/>
        <v>0</v>
      </c>
    </row>
    <row r="446" spans="1:11" x14ac:dyDescent="0.2">
      <c r="A446" s="72"/>
      <c r="B446" s="72">
        <v>342</v>
      </c>
      <c r="C446" s="31" t="s">
        <v>4180</v>
      </c>
      <c r="D446" s="10">
        <f t="shared" si="33"/>
        <v>0</v>
      </c>
      <c r="E446" s="10" t="s">
        <v>3366</v>
      </c>
      <c r="F446" s="218" t="s">
        <v>4016</v>
      </c>
      <c r="G446" s="237" t="s">
        <v>4017</v>
      </c>
      <c r="H446" s="237"/>
      <c r="I446" s="10" t="s">
        <v>3343</v>
      </c>
      <c r="J446" s="31" t="s">
        <v>11</v>
      </c>
      <c r="K446" s="429">
        <f t="shared" si="34"/>
        <v>0</v>
      </c>
    </row>
    <row r="447" spans="1:11" x14ac:dyDescent="0.2">
      <c r="A447" s="72" t="s">
        <v>4181</v>
      </c>
      <c r="B447" s="72">
        <v>343</v>
      </c>
      <c r="C447" s="31" t="s">
        <v>4182</v>
      </c>
      <c r="D447" s="10" t="str">
        <f t="shared" si="33"/>
        <v>23 Mei</v>
      </c>
      <c r="E447" s="10" t="s">
        <v>3366</v>
      </c>
      <c r="F447" s="218" t="s">
        <v>3932</v>
      </c>
      <c r="G447" s="238" t="s">
        <v>3933</v>
      </c>
      <c r="H447" s="237"/>
      <c r="I447" s="10" t="s">
        <v>3343</v>
      </c>
      <c r="J447" s="31" t="s">
        <v>11</v>
      </c>
      <c r="K447" s="429">
        <f>H447</f>
        <v>0</v>
      </c>
    </row>
    <row r="448" spans="1:11" x14ac:dyDescent="0.2">
      <c r="A448" s="72" t="s">
        <v>4183</v>
      </c>
      <c r="B448" s="72">
        <v>344</v>
      </c>
      <c r="C448" s="31" t="s">
        <v>4071</v>
      </c>
      <c r="D448" s="10" t="str">
        <f t="shared" si="33"/>
        <v>26 Mei</v>
      </c>
      <c r="E448" s="10" t="s">
        <v>3366</v>
      </c>
      <c r="F448" s="218" t="s">
        <v>3939</v>
      </c>
      <c r="G448" s="237" t="s">
        <v>3940</v>
      </c>
      <c r="H448" s="237"/>
      <c r="I448" s="10" t="s">
        <v>3343</v>
      </c>
      <c r="J448" s="31" t="s">
        <v>11</v>
      </c>
      <c r="K448" s="429">
        <f>H448</f>
        <v>0</v>
      </c>
    </row>
    <row r="449" spans="1:12" x14ac:dyDescent="0.2">
      <c r="A449" s="72"/>
      <c r="B449" s="72">
        <v>345</v>
      </c>
      <c r="C449" s="31" t="s">
        <v>4184</v>
      </c>
      <c r="D449" s="10">
        <f t="shared" si="33"/>
        <v>0</v>
      </c>
      <c r="E449" s="10" t="s">
        <v>3366</v>
      </c>
      <c r="F449" s="218" t="s">
        <v>4002</v>
      </c>
      <c r="G449" s="237" t="s">
        <v>3505</v>
      </c>
      <c r="H449" s="237"/>
      <c r="I449" s="10" t="s">
        <v>3343</v>
      </c>
      <c r="J449" s="31" t="s">
        <v>11</v>
      </c>
      <c r="K449" s="429">
        <f>H449</f>
        <v>0</v>
      </c>
    </row>
    <row r="450" spans="1:12" x14ac:dyDescent="0.2">
      <c r="A450" s="72"/>
      <c r="B450" s="72">
        <v>346</v>
      </c>
      <c r="C450" s="31" t="s">
        <v>4185</v>
      </c>
      <c r="D450" s="10">
        <f t="shared" si="33"/>
        <v>0</v>
      </c>
      <c r="E450" s="10" t="s">
        <v>3366</v>
      </c>
      <c r="F450" s="218" t="s">
        <v>3934</v>
      </c>
      <c r="G450" s="238" t="s">
        <v>4032</v>
      </c>
      <c r="H450" s="237"/>
      <c r="I450" s="10" t="s">
        <v>3343</v>
      </c>
      <c r="J450" s="31" t="s">
        <v>11</v>
      </c>
      <c r="K450" s="429">
        <f t="shared" ref="K450:K485" si="35">H450</f>
        <v>0</v>
      </c>
      <c r="L450" s="254"/>
    </row>
    <row r="451" spans="1:12" x14ac:dyDescent="0.2">
      <c r="A451" s="72" t="s">
        <v>4186</v>
      </c>
      <c r="B451" s="72">
        <v>347</v>
      </c>
      <c r="C451" s="31" t="s">
        <v>4187</v>
      </c>
      <c r="D451" s="10" t="str">
        <f t="shared" si="33"/>
        <v>27 Mei</v>
      </c>
      <c r="E451" s="10" t="s">
        <v>3366</v>
      </c>
      <c r="F451" s="218" t="s">
        <v>3925</v>
      </c>
      <c r="G451" s="237" t="s">
        <v>3958</v>
      </c>
      <c r="H451" s="237"/>
      <c r="I451" s="10" t="s">
        <v>3343</v>
      </c>
      <c r="J451" s="31" t="s">
        <v>11</v>
      </c>
      <c r="K451" s="429">
        <f t="shared" si="35"/>
        <v>0</v>
      </c>
    </row>
    <row r="452" spans="1:12" x14ac:dyDescent="0.2">
      <c r="A452" s="72"/>
      <c r="B452" s="72"/>
      <c r="C452" s="31"/>
      <c r="D452" s="10">
        <f t="shared" si="33"/>
        <v>0</v>
      </c>
      <c r="E452" s="10" t="s">
        <v>3366</v>
      </c>
      <c r="F452" s="218" t="s">
        <v>3520</v>
      </c>
      <c r="G452" s="237" t="s">
        <v>4019</v>
      </c>
      <c r="H452" s="237"/>
      <c r="I452" s="10" t="s">
        <v>3343</v>
      </c>
      <c r="J452" s="31" t="s">
        <v>11</v>
      </c>
      <c r="K452" s="429">
        <f t="shared" si="35"/>
        <v>0</v>
      </c>
      <c r="L452" s="254"/>
    </row>
    <row r="453" spans="1:12" x14ac:dyDescent="0.2">
      <c r="A453" s="72"/>
      <c r="B453" s="72"/>
      <c r="C453" s="31"/>
      <c r="D453" s="10">
        <f t="shared" si="33"/>
        <v>0</v>
      </c>
      <c r="E453" s="10" t="s">
        <v>3366</v>
      </c>
      <c r="F453" s="218" t="s">
        <v>3543</v>
      </c>
      <c r="G453" s="237" t="s">
        <v>4188</v>
      </c>
      <c r="H453" s="237"/>
      <c r="I453" s="10" t="s">
        <v>3343</v>
      </c>
      <c r="J453" s="31" t="s">
        <v>11</v>
      </c>
      <c r="K453" s="429">
        <f t="shared" si="35"/>
        <v>0</v>
      </c>
      <c r="L453" s="254"/>
    </row>
    <row r="454" spans="1:12" x14ac:dyDescent="0.2">
      <c r="A454" s="72"/>
      <c r="B454" s="72">
        <v>348</v>
      </c>
      <c r="C454" s="31" t="s">
        <v>4189</v>
      </c>
      <c r="D454" s="10">
        <f t="shared" si="33"/>
        <v>0</v>
      </c>
      <c r="E454" s="10" t="s">
        <v>3366</v>
      </c>
      <c r="F454" s="218" t="s">
        <v>3960</v>
      </c>
      <c r="G454" s="237" t="s">
        <v>3456</v>
      </c>
      <c r="H454" s="237"/>
      <c r="I454" s="10" t="s">
        <v>3343</v>
      </c>
      <c r="J454" s="31" t="s">
        <v>11</v>
      </c>
      <c r="K454" s="429">
        <f t="shared" si="35"/>
        <v>0</v>
      </c>
      <c r="L454" s="254"/>
    </row>
    <row r="455" spans="1:12" x14ac:dyDescent="0.2">
      <c r="A455" s="72"/>
      <c r="B455" s="72">
        <v>349</v>
      </c>
      <c r="C455" s="31" t="s">
        <v>3256</v>
      </c>
      <c r="D455" s="10">
        <f t="shared" si="33"/>
        <v>0</v>
      </c>
      <c r="E455" s="10" t="s">
        <v>3366</v>
      </c>
      <c r="F455" s="218" t="s">
        <v>3925</v>
      </c>
      <c r="G455" s="237" t="s">
        <v>4190</v>
      </c>
      <c r="H455" s="237"/>
      <c r="I455" s="10" t="s">
        <v>3343</v>
      </c>
      <c r="J455" s="31" t="s">
        <v>11</v>
      </c>
      <c r="K455" s="429">
        <f t="shared" si="35"/>
        <v>0</v>
      </c>
      <c r="L455" s="254"/>
    </row>
    <row r="456" spans="1:12" x14ac:dyDescent="0.2">
      <c r="A456" s="72"/>
      <c r="B456" s="72"/>
      <c r="C456" s="31"/>
      <c r="D456" s="10">
        <f t="shared" si="33"/>
        <v>0</v>
      </c>
      <c r="E456" s="10" t="s">
        <v>3366</v>
      </c>
      <c r="F456" s="218" t="s">
        <v>3543</v>
      </c>
      <c r="G456" s="237" t="s">
        <v>4191</v>
      </c>
      <c r="H456" s="237"/>
      <c r="I456" s="10" t="s">
        <v>3343</v>
      </c>
      <c r="J456" s="31" t="s">
        <v>11</v>
      </c>
      <c r="K456" s="429">
        <f t="shared" si="35"/>
        <v>0</v>
      </c>
      <c r="L456" s="237"/>
    </row>
    <row r="457" spans="1:12" x14ac:dyDescent="0.2">
      <c r="A457" s="72"/>
      <c r="B457" s="72"/>
      <c r="C457" s="31"/>
      <c r="D457" s="10">
        <f t="shared" si="33"/>
        <v>0</v>
      </c>
      <c r="E457" s="10" t="s">
        <v>3366</v>
      </c>
      <c r="F457" s="218" t="s">
        <v>3520</v>
      </c>
      <c r="G457" s="237" t="s">
        <v>4192</v>
      </c>
      <c r="H457" s="237"/>
      <c r="I457" s="10" t="s">
        <v>3343</v>
      </c>
      <c r="J457" s="31" t="s">
        <v>11</v>
      </c>
      <c r="K457" s="429">
        <f t="shared" si="35"/>
        <v>0</v>
      </c>
    </row>
    <row r="458" spans="1:12" x14ac:dyDescent="0.2">
      <c r="A458" s="72"/>
      <c r="B458" s="72">
        <v>350</v>
      </c>
      <c r="C458" s="31" t="s">
        <v>3895</v>
      </c>
      <c r="D458" s="10">
        <f t="shared" si="33"/>
        <v>0</v>
      </c>
      <c r="E458" s="10" t="s">
        <v>3366</v>
      </c>
      <c r="F458" s="218" t="s">
        <v>3960</v>
      </c>
      <c r="G458" s="237" t="s">
        <v>3456</v>
      </c>
      <c r="H458" s="237"/>
      <c r="I458" s="10" t="s">
        <v>3343</v>
      </c>
      <c r="J458" s="31" t="s">
        <v>11</v>
      </c>
      <c r="K458" s="429">
        <f t="shared" si="35"/>
        <v>0</v>
      </c>
    </row>
    <row r="459" spans="1:12" x14ac:dyDescent="0.2">
      <c r="A459" s="72"/>
      <c r="B459" s="72">
        <v>351</v>
      </c>
      <c r="C459" s="31" t="s">
        <v>4020</v>
      </c>
      <c r="D459" s="10">
        <f t="shared" si="33"/>
        <v>0</v>
      </c>
      <c r="E459" s="10" t="s">
        <v>3366</v>
      </c>
      <c r="F459" s="218" t="s">
        <v>3965</v>
      </c>
      <c r="G459" s="237" t="s">
        <v>3478</v>
      </c>
      <c r="H459" s="237"/>
      <c r="I459" s="10" t="s">
        <v>3343</v>
      </c>
      <c r="J459" s="31" t="s">
        <v>11</v>
      </c>
      <c r="K459" s="429">
        <f t="shared" si="35"/>
        <v>0</v>
      </c>
    </row>
    <row r="460" spans="1:12" x14ac:dyDescent="0.2">
      <c r="A460" s="72"/>
      <c r="B460" s="72">
        <v>352</v>
      </c>
      <c r="C460" s="31" t="s">
        <v>4064</v>
      </c>
      <c r="D460" s="10">
        <f t="shared" si="33"/>
        <v>0</v>
      </c>
      <c r="E460" s="10" t="s">
        <v>3366</v>
      </c>
      <c r="F460" s="218" t="s">
        <v>3925</v>
      </c>
      <c r="G460" s="237" t="s">
        <v>3966</v>
      </c>
      <c r="H460" s="237"/>
      <c r="I460" s="10" t="s">
        <v>3343</v>
      </c>
      <c r="J460" s="31" t="s">
        <v>11</v>
      </c>
      <c r="K460" s="429">
        <f t="shared" si="35"/>
        <v>0</v>
      </c>
    </row>
    <row r="461" spans="1:12" x14ac:dyDescent="0.2">
      <c r="A461" s="72"/>
      <c r="B461" s="72"/>
      <c r="C461" s="31"/>
      <c r="D461" s="10">
        <f t="shared" si="33"/>
        <v>0</v>
      </c>
      <c r="E461" s="10" t="s">
        <v>3366</v>
      </c>
      <c r="F461" s="218" t="s">
        <v>3543</v>
      </c>
      <c r="G461" s="237" t="s">
        <v>4193</v>
      </c>
      <c r="H461" s="237"/>
      <c r="I461" s="10" t="s">
        <v>3343</v>
      </c>
      <c r="J461" s="31" t="s">
        <v>11</v>
      </c>
      <c r="K461" s="429">
        <f t="shared" si="35"/>
        <v>0</v>
      </c>
    </row>
    <row r="462" spans="1:12" x14ac:dyDescent="0.2">
      <c r="A462" s="72"/>
      <c r="B462" s="72"/>
      <c r="C462" s="31"/>
      <c r="D462" s="10">
        <f t="shared" si="33"/>
        <v>0</v>
      </c>
      <c r="E462" s="10" t="s">
        <v>3366</v>
      </c>
      <c r="F462" s="218" t="s">
        <v>3520</v>
      </c>
      <c r="G462" s="237" t="s">
        <v>4194</v>
      </c>
      <c r="H462" s="237"/>
      <c r="I462" s="10" t="s">
        <v>3343</v>
      </c>
      <c r="J462" s="31" t="s">
        <v>11</v>
      </c>
      <c r="K462" s="429">
        <f t="shared" si="35"/>
        <v>0</v>
      </c>
    </row>
    <row r="463" spans="1:12" x14ac:dyDescent="0.2">
      <c r="A463" s="72"/>
      <c r="B463" s="72">
        <v>353</v>
      </c>
      <c r="C463" s="31" t="s">
        <v>4022</v>
      </c>
      <c r="D463" s="10">
        <f t="shared" si="33"/>
        <v>0</v>
      </c>
      <c r="E463" s="10" t="s">
        <v>3366</v>
      </c>
      <c r="F463" s="218" t="s">
        <v>3969</v>
      </c>
      <c r="G463" s="237" t="s">
        <v>3970</v>
      </c>
      <c r="H463" s="237"/>
      <c r="I463" s="10" t="s">
        <v>3343</v>
      </c>
      <c r="J463" s="31" t="s">
        <v>11</v>
      </c>
      <c r="K463" s="429">
        <f t="shared" si="35"/>
        <v>0</v>
      </c>
    </row>
    <row r="464" spans="1:12" x14ac:dyDescent="0.2">
      <c r="A464" s="72"/>
      <c r="B464" s="72">
        <v>354</v>
      </c>
      <c r="C464" s="31" t="s">
        <v>3900</v>
      </c>
      <c r="D464" s="10">
        <f t="shared" si="33"/>
        <v>0</v>
      </c>
      <c r="E464" s="10" t="s">
        <v>3366</v>
      </c>
      <c r="F464" s="218" t="s">
        <v>3971</v>
      </c>
      <c r="G464" s="237" t="s">
        <v>3972</v>
      </c>
      <c r="H464" s="237"/>
      <c r="I464" s="10" t="s">
        <v>3343</v>
      </c>
      <c r="J464" s="31" t="s">
        <v>11</v>
      </c>
      <c r="K464" s="429">
        <f t="shared" si="35"/>
        <v>0</v>
      </c>
    </row>
    <row r="465" spans="1:11" x14ac:dyDescent="0.2">
      <c r="A465" s="72"/>
      <c r="B465" s="72">
        <v>355</v>
      </c>
      <c r="C465" s="31" t="s">
        <v>4024</v>
      </c>
      <c r="D465" s="10">
        <f t="shared" si="33"/>
        <v>0</v>
      </c>
      <c r="E465" s="10" t="s">
        <v>3366</v>
      </c>
      <c r="F465" s="218" t="s">
        <v>3483</v>
      </c>
      <c r="G465" s="237" t="s">
        <v>3484</v>
      </c>
      <c r="H465" s="237"/>
      <c r="I465" s="10" t="s">
        <v>3343</v>
      </c>
      <c r="J465" s="31" t="s">
        <v>11</v>
      </c>
      <c r="K465" s="429">
        <f t="shared" si="35"/>
        <v>0</v>
      </c>
    </row>
    <row r="466" spans="1:11" x14ac:dyDescent="0.2">
      <c r="A466" s="72"/>
      <c r="B466" s="72">
        <v>356</v>
      </c>
      <c r="C466" s="31" t="s">
        <v>4065</v>
      </c>
      <c r="D466" s="10">
        <f t="shared" ref="D466:D485" si="36">A466</f>
        <v>0</v>
      </c>
      <c r="E466" s="10" t="s">
        <v>3366</v>
      </c>
      <c r="F466" s="218" t="s">
        <v>3486</v>
      </c>
      <c r="G466" s="237" t="s">
        <v>3973</v>
      </c>
      <c r="H466" s="237"/>
      <c r="I466" s="10" t="s">
        <v>3343</v>
      </c>
      <c r="J466" s="31" t="s">
        <v>11</v>
      </c>
      <c r="K466" s="429">
        <f t="shared" si="35"/>
        <v>0</v>
      </c>
    </row>
    <row r="467" spans="1:11" x14ac:dyDescent="0.2">
      <c r="A467" s="72"/>
      <c r="B467" s="72">
        <v>357</v>
      </c>
      <c r="C467" s="31" t="s">
        <v>3904</v>
      </c>
      <c r="D467" s="10">
        <f t="shared" si="36"/>
        <v>0</v>
      </c>
      <c r="E467" s="10" t="s">
        <v>3366</v>
      </c>
      <c r="F467" s="218" t="s">
        <v>3486</v>
      </c>
      <c r="G467" s="237" t="s">
        <v>4195</v>
      </c>
      <c r="H467" s="237"/>
      <c r="I467" s="10" t="s">
        <v>3343</v>
      </c>
      <c r="J467" s="31" t="s">
        <v>11</v>
      </c>
      <c r="K467" s="429">
        <f t="shared" si="35"/>
        <v>0</v>
      </c>
    </row>
    <row r="468" spans="1:11" x14ac:dyDescent="0.2">
      <c r="A468" s="72"/>
      <c r="B468" s="72">
        <v>358</v>
      </c>
      <c r="C468" s="31" t="s">
        <v>3906</v>
      </c>
      <c r="D468" s="10">
        <f t="shared" si="36"/>
        <v>0</v>
      </c>
      <c r="E468" s="10" t="s">
        <v>3366</v>
      </c>
      <c r="F468" s="218" t="s">
        <v>3486</v>
      </c>
      <c r="G468" s="237" t="s">
        <v>3973</v>
      </c>
      <c r="H468" s="237"/>
      <c r="I468" s="10" t="s">
        <v>3343</v>
      </c>
      <c r="J468" s="31" t="s">
        <v>11</v>
      </c>
      <c r="K468" s="429">
        <f t="shared" si="35"/>
        <v>0</v>
      </c>
    </row>
    <row r="469" spans="1:11" x14ac:dyDescent="0.2">
      <c r="A469" s="72"/>
      <c r="B469" s="72">
        <v>359</v>
      </c>
      <c r="C469" s="31" t="s">
        <v>3908</v>
      </c>
      <c r="D469" s="10">
        <f t="shared" si="36"/>
        <v>0</v>
      </c>
      <c r="E469" s="10" t="s">
        <v>3366</v>
      </c>
      <c r="F469" s="218" t="s">
        <v>3956</v>
      </c>
      <c r="G469" s="237" t="s">
        <v>3957</v>
      </c>
      <c r="H469" s="237"/>
      <c r="I469" s="10" t="s">
        <v>3343</v>
      </c>
      <c r="J469" s="31" t="s">
        <v>11</v>
      </c>
      <c r="K469" s="429">
        <f t="shared" si="35"/>
        <v>0</v>
      </c>
    </row>
    <row r="470" spans="1:11" x14ac:dyDescent="0.2">
      <c r="A470" s="72"/>
      <c r="B470" s="72">
        <v>360</v>
      </c>
      <c r="C470" s="31" t="s">
        <v>3910</v>
      </c>
      <c r="D470" s="10">
        <f t="shared" si="36"/>
        <v>0</v>
      </c>
      <c r="E470" s="10" t="s">
        <v>3366</v>
      </c>
      <c r="F470" s="218" t="s">
        <v>3974</v>
      </c>
      <c r="G470" s="237" t="s">
        <v>3975</v>
      </c>
      <c r="H470" s="237"/>
      <c r="I470" s="10" t="s">
        <v>3343</v>
      </c>
      <c r="J470" s="31" t="s">
        <v>11</v>
      </c>
      <c r="K470" s="429">
        <f t="shared" si="35"/>
        <v>0</v>
      </c>
    </row>
    <row r="471" spans="1:11" x14ac:dyDescent="0.2">
      <c r="A471" s="72"/>
      <c r="B471" s="72">
        <v>361</v>
      </c>
      <c r="C471" s="31" t="s">
        <v>4196</v>
      </c>
      <c r="D471" s="10">
        <f t="shared" si="36"/>
        <v>0</v>
      </c>
      <c r="E471" s="10" t="s">
        <v>3366</v>
      </c>
      <c r="F471" s="218" t="s">
        <v>3976</v>
      </c>
      <c r="G471" s="237" t="s">
        <v>3488</v>
      </c>
      <c r="H471" s="237"/>
      <c r="I471" s="10" t="s">
        <v>3343</v>
      </c>
      <c r="J471" s="31" t="s">
        <v>11</v>
      </c>
      <c r="K471" s="429">
        <f t="shared" si="35"/>
        <v>0</v>
      </c>
    </row>
    <row r="472" spans="1:11" x14ac:dyDescent="0.2">
      <c r="A472" s="72"/>
      <c r="B472" s="72">
        <v>362</v>
      </c>
      <c r="C472" s="31" t="s">
        <v>4197</v>
      </c>
      <c r="D472" s="10">
        <f t="shared" si="36"/>
        <v>0</v>
      </c>
      <c r="E472" s="10" t="s">
        <v>3366</v>
      </c>
      <c r="F472" s="218" t="s">
        <v>3971</v>
      </c>
      <c r="G472" s="237" t="s">
        <v>3972</v>
      </c>
      <c r="H472" s="237"/>
      <c r="I472" s="10" t="s">
        <v>3343</v>
      </c>
      <c r="J472" s="31" t="s">
        <v>11</v>
      </c>
      <c r="K472" s="429">
        <f t="shared" si="35"/>
        <v>0</v>
      </c>
    </row>
    <row r="473" spans="1:11" x14ac:dyDescent="0.2">
      <c r="A473" s="72"/>
      <c r="B473" s="72">
        <v>363</v>
      </c>
      <c r="C473" s="31" t="s">
        <v>4025</v>
      </c>
      <c r="D473" s="10">
        <f t="shared" si="36"/>
        <v>0</v>
      </c>
      <c r="E473" s="10" t="s">
        <v>3366</v>
      </c>
      <c r="F473" s="218" t="s">
        <v>3932</v>
      </c>
      <c r="G473" s="237" t="s">
        <v>3933</v>
      </c>
      <c r="H473" s="237"/>
      <c r="I473" s="10" t="s">
        <v>3343</v>
      </c>
      <c r="J473" s="31" t="s">
        <v>11</v>
      </c>
      <c r="K473" s="429">
        <f t="shared" si="35"/>
        <v>0</v>
      </c>
    </row>
    <row r="474" spans="1:11" x14ac:dyDescent="0.2">
      <c r="A474" s="72"/>
      <c r="B474" s="72">
        <v>364</v>
      </c>
      <c r="C474" s="31" t="s">
        <v>3892</v>
      </c>
      <c r="D474" s="10">
        <f t="shared" si="36"/>
        <v>0</v>
      </c>
      <c r="E474" s="10" t="s">
        <v>3366</v>
      </c>
      <c r="F474" s="218" t="s">
        <v>3961</v>
      </c>
      <c r="G474" s="237" t="s">
        <v>3931</v>
      </c>
      <c r="H474" s="237"/>
      <c r="I474" s="10" t="s">
        <v>3343</v>
      </c>
      <c r="J474" s="31" t="s">
        <v>11</v>
      </c>
      <c r="K474" s="429">
        <f t="shared" si="35"/>
        <v>0</v>
      </c>
    </row>
    <row r="475" spans="1:11" x14ac:dyDescent="0.2">
      <c r="A475" s="72"/>
      <c r="B475" s="72">
        <v>365</v>
      </c>
      <c r="C475" s="31" t="s">
        <v>4198</v>
      </c>
      <c r="D475" s="10">
        <f t="shared" si="36"/>
        <v>0</v>
      </c>
      <c r="E475" s="10" t="s">
        <v>3366</v>
      </c>
      <c r="F475" s="218" t="s">
        <v>3486</v>
      </c>
      <c r="G475" s="237" t="s">
        <v>3973</v>
      </c>
      <c r="H475" s="237"/>
      <c r="I475" s="10" t="s">
        <v>3343</v>
      </c>
      <c r="J475" s="31" t="s">
        <v>11</v>
      </c>
      <c r="K475" s="429">
        <f t="shared" si="35"/>
        <v>0</v>
      </c>
    </row>
    <row r="476" spans="1:11" x14ac:dyDescent="0.2">
      <c r="A476" s="72"/>
      <c r="B476" s="72"/>
      <c r="C476" s="31"/>
      <c r="D476" s="10">
        <f t="shared" si="36"/>
        <v>0</v>
      </c>
      <c r="E476" s="10" t="s">
        <v>3366</v>
      </c>
      <c r="F476" s="218" t="s">
        <v>3483</v>
      </c>
      <c r="G476" s="237" t="s">
        <v>3484</v>
      </c>
      <c r="H476" s="237"/>
      <c r="I476" s="10" t="s">
        <v>3343</v>
      </c>
      <c r="J476" s="31" t="s">
        <v>11</v>
      </c>
      <c r="K476" s="429">
        <f t="shared" si="35"/>
        <v>0</v>
      </c>
    </row>
    <row r="477" spans="1:11" x14ac:dyDescent="0.2">
      <c r="A477" s="72"/>
      <c r="B477" s="72">
        <v>366</v>
      </c>
      <c r="C477" s="31" t="s">
        <v>4199</v>
      </c>
      <c r="D477" s="10">
        <f t="shared" si="36"/>
        <v>0</v>
      </c>
      <c r="E477" s="10" t="s">
        <v>3366</v>
      </c>
      <c r="F477" s="218" t="s">
        <v>4027</v>
      </c>
      <c r="G477" s="237" t="s">
        <v>4028</v>
      </c>
      <c r="H477" s="237"/>
      <c r="I477" s="10" t="s">
        <v>3343</v>
      </c>
      <c r="J477" s="31" t="s">
        <v>11</v>
      </c>
      <c r="K477" s="429">
        <f t="shared" si="35"/>
        <v>0</v>
      </c>
    </row>
    <row r="478" spans="1:11" x14ac:dyDescent="0.2">
      <c r="A478" s="72"/>
      <c r="B478" s="72">
        <v>367</v>
      </c>
      <c r="C478" s="31" t="s">
        <v>4200</v>
      </c>
      <c r="D478" s="10">
        <f t="shared" si="36"/>
        <v>0</v>
      </c>
      <c r="E478" s="10" t="s">
        <v>3366</v>
      </c>
      <c r="F478" s="218" t="s">
        <v>4029</v>
      </c>
      <c r="G478" s="237" t="s">
        <v>4030</v>
      </c>
      <c r="H478" s="237"/>
      <c r="I478" s="10" t="s">
        <v>3343</v>
      </c>
      <c r="J478" s="31" t="s">
        <v>11</v>
      </c>
      <c r="K478" s="429">
        <f t="shared" si="35"/>
        <v>0</v>
      </c>
    </row>
    <row r="479" spans="1:11" x14ac:dyDescent="0.2">
      <c r="A479" s="72"/>
      <c r="B479" s="72">
        <v>368</v>
      </c>
      <c r="C479" s="31" t="s">
        <v>4201</v>
      </c>
      <c r="D479" s="10">
        <f t="shared" si="36"/>
        <v>0</v>
      </c>
      <c r="E479" s="10" t="s">
        <v>3366</v>
      </c>
      <c r="F479" s="218" t="s">
        <v>3977</v>
      </c>
      <c r="G479" s="237" t="s">
        <v>3978</v>
      </c>
      <c r="H479" s="237"/>
      <c r="I479" s="10" t="s">
        <v>3343</v>
      </c>
      <c r="J479" s="31" t="s">
        <v>11</v>
      </c>
      <c r="K479" s="429">
        <f t="shared" si="35"/>
        <v>0</v>
      </c>
    </row>
    <row r="480" spans="1:11" x14ac:dyDescent="0.2">
      <c r="A480" s="72"/>
      <c r="B480" s="72">
        <v>369</v>
      </c>
      <c r="C480" s="31" t="s">
        <v>4202</v>
      </c>
      <c r="D480" s="10">
        <f t="shared" si="36"/>
        <v>0</v>
      </c>
      <c r="E480" s="10" t="s">
        <v>3366</v>
      </c>
      <c r="F480" s="218" t="s">
        <v>3939</v>
      </c>
      <c r="G480" s="237" t="s">
        <v>3940</v>
      </c>
      <c r="H480" s="237"/>
      <c r="I480" s="10" t="s">
        <v>3343</v>
      </c>
      <c r="J480" s="31" t="s">
        <v>11</v>
      </c>
      <c r="K480" s="429">
        <f t="shared" si="35"/>
        <v>0</v>
      </c>
    </row>
    <row r="481" spans="1:11" x14ac:dyDescent="0.2">
      <c r="A481" s="72"/>
      <c r="B481" s="72">
        <v>370</v>
      </c>
      <c r="C481" s="31" t="s">
        <v>3920</v>
      </c>
      <c r="D481" s="10">
        <f t="shared" si="36"/>
        <v>0</v>
      </c>
      <c r="E481" s="10" t="s">
        <v>3366</v>
      </c>
      <c r="F481" s="218" t="s">
        <v>3543</v>
      </c>
      <c r="G481" s="237" t="s">
        <v>4031</v>
      </c>
      <c r="H481" s="237"/>
      <c r="I481" s="10" t="s">
        <v>3343</v>
      </c>
      <c r="J481" s="31" t="s">
        <v>11</v>
      </c>
      <c r="K481" s="429">
        <f t="shared" si="35"/>
        <v>0</v>
      </c>
    </row>
    <row r="482" spans="1:11" x14ac:dyDescent="0.2">
      <c r="A482" s="72" t="s">
        <v>3786</v>
      </c>
      <c r="B482" s="72">
        <v>371</v>
      </c>
      <c r="C482" s="31" t="s">
        <v>4203</v>
      </c>
      <c r="D482" s="10" t="str">
        <f t="shared" si="36"/>
        <v>28 Mei</v>
      </c>
      <c r="E482" s="10" t="s">
        <v>3366</v>
      </c>
      <c r="F482" s="218" t="s">
        <v>3932</v>
      </c>
      <c r="G482" s="237" t="s">
        <v>3933</v>
      </c>
      <c r="H482" s="237"/>
      <c r="I482" s="10" t="s">
        <v>3343</v>
      </c>
      <c r="J482" s="31" t="s">
        <v>11</v>
      </c>
      <c r="K482" s="429">
        <f t="shared" si="35"/>
        <v>0</v>
      </c>
    </row>
    <row r="483" spans="1:11" x14ac:dyDescent="0.2">
      <c r="A483" s="72"/>
      <c r="B483" s="72">
        <v>372</v>
      </c>
      <c r="C483" s="31" t="s">
        <v>4204</v>
      </c>
      <c r="D483" s="10">
        <f t="shared" si="36"/>
        <v>0</v>
      </c>
      <c r="E483" s="10" t="s">
        <v>3366</v>
      </c>
      <c r="F483" s="218" t="s">
        <v>3934</v>
      </c>
      <c r="G483" s="237" t="s">
        <v>4032</v>
      </c>
      <c r="H483" s="237"/>
      <c r="I483" s="10" t="s">
        <v>3343</v>
      </c>
      <c r="J483" s="31" t="s">
        <v>11</v>
      </c>
      <c r="K483" s="429">
        <f t="shared" si="35"/>
        <v>0</v>
      </c>
    </row>
    <row r="484" spans="1:11" x14ac:dyDescent="0.2">
      <c r="A484" s="72"/>
      <c r="B484" s="72">
        <v>373</v>
      </c>
      <c r="C484" s="31" t="s">
        <v>4205</v>
      </c>
      <c r="D484" s="10">
        <f t="shared" si="36"/>
        <v>0</v>
      </c>
      <c r="E484" s="10" t="s">
        <v>3366</v>
      </c>
      <c r="F484" s="218" t="s">
        <v>3934</v>
      </c>
      <c r="G484" s="237" t="s">
        <v>4032</v>
      </c>
      <c r="H484" s="237"/>
      <c r="I484" s="10" t="s">
        <v>3343</v>
      </c>
      <c r="J484" s="31" t="s">
        <v>11</v>
      </c>
      <c r="K484" s="429">
        <f t="shared" si="35"/>
        <v>0</v>
      </c>
    </row>
    <row r="485" spans="1:11" x14ac:dyDescent="0.2">
      <c r="A485" s="72"/>
      <c r="B485" s="72">
        <v>374</v>
      </c>
      <c r="C485" s="31" t="s">
        <v>4206</v>
      </c>
      <c r="D485" s="10">
        <f t="shared" si="36"/>
        <v>0</v>
      </c>
      <c r="E485" s="10" t="s">
        <v>3366</v>
      </c>
      <c r="F485" s="218" t="s">
        <v>3934</v>
      </c>
      <c r="G485" s="237" t="s">
        <v>4032</v>
      </c>
      <c r="H485" s="237"/>
      <c r="I485" s="10" t="s">
        <v>3343</v>
      </c>
      <c r="J485" s="31" t="s">
        <v>11</v>
      </c>
      <c r="K485" s="429">
        <f t="shared" si="35"/>
        <v>0</v>
      </c>
    </row>
    <row r="486" spans="1:11" ht="12" x14ac:dyDescent="0.2">
      <c r="A486" s="654" t="s">
        <v>3556</v>
      </c>
      <c r="B486" s="654"/>
      <c r="C486" s="654"/>
      <c r="D486" s="654"/>
      <c r="E486" s="654"/>
      <c r="F486" s="654"/>
      <c r="G486" s="654"/>
      <c r="H486" s="435">
        <f>SUM(H402:H485)</f>
        <v>0</v>
      </c>
      <c r="I486" s="692" t="s">
        <v>3556</v>
      </c>
      <c r="J486" s="692"/>
      <c r="K486" s="435">
        <f>SUM(K402:K485)</f>
        <v>0</v>
      </c>
    </row>
    <row r="487" spans="1:11" ht="12" x14ac:dyDescent="0.2">
      <c r="A487" s="658" t="s">
        <v>3557</v>
      </c>
      <c r="B487" s="659"/>
      <c r="C487" s="659"/>
      <c r="D487" s="659"/>
      <c r="E487" s="659"/>
      <c r="F487" s="659"/>
      <c r="G487" s="660"/>
      <c r="H487" s="435">
        <f>H391</f>
        <v>0</v>
      </c>
      <c r="I487" s="692" t="s">
        <v>3557</v>
      </c>
      <c r="J487" s="692"/>
      <c r="K487" s="435">
        <f>K391</f>
        <v>0</v>
      </c>
    </row>
    <row r="488" spans="1:11" ht="12.75" thickBot="1" x14ac:dyDescent="0.25">
      <c r="A488" s="640" t="s">
        <v>3558</v>
      </c>
      <c r="B488" s="641"/>
      <c r="C488" s="641"/>
      <c r="D488" s="641"/>
      <c r="E488" s="641"/>
      <c r="F488" s="641"/>
      <c r="G488" s="642"/>
      <c r="H488" s="436">
        <f>SUM(H486:H487)</f>
        <v>0</v>
      </c>
      <c r="I488" s="693" t="s">
        <v>3558</v>
      </c>
      <c r="J488" s="693"/>
      <c r="K488" s="436">
        <f>SUM(K486:K487)</f>
        <v>0</v>
      </c>
    </row>
    <row r="489" spans="1:11" x14ac:dyDescent="0.2">
      <c r="A489" s="240"/>
      <c r="B489" s="240"/>
      <c r="C489" s="240"/>
      <c r="D489" s="240"/>
      <c r="E489" s="240"/>
      <c r="F489" s="240"/>
      <c r="G489" s="240"/>
      <c r="H489" s="433"/>
      <c r="I489" s="433"/>
      <c r="J489" s="433"/>
      <c r="K489" s="433"/>
    </row>
    <row r="490" spans="1:11" ht="12" x14ac:dyDescent="0.2">
      <c r="A490" s="691"/>
      <c r="B490" s="691"/>
      <c r="C490" s="691"/>
      <c r="D490" s="691"/>
      <c r="E490" s="304"/>
      <c r="F490" s="304"/>
      <c r="G490" s="260"/>
      <c r="H490" s="260"/>
      <c r="I490" s="691" t="s">
        <v>3537</v>
      </c>
      <c r="J490" s="691"/>
      <c r="K490" s="691"/>
    </row>
    <row r="491" spans="1:11" ht="12" x14ac:dyDescent="0.2">
      <c r="A491" s="691"/>
      <c r="B491" s="691"/>
      <c r="C491" s="691"/>
      <c r="D491" s="691"/>
      <c r="E491" s="304"/>
      <c r="F491" s="304"/>
      <c r="G491" s="260"/>
      <c r="H491" s="260"/>
      <c r="I491" s="691" t="s">
        <v>3788</v>
      </c>
      <c r="J491" s="691"/>
      <c r="K491" s="691"/>
    </row>
    <row r="492" spans="1:11" ht="6" customHeight="1" x14ac:dyDescent="0.2">
      <c r="A492" s="691"/>
      <c r="B492" s="691"/>
      <c r="C492" s="691"/>
      <c r="D492" s="691"/>
      <c r="E492" s="304"/>
      <c r="F492" s="304"/>
      <c r="G492" s="260"/>
      <c r="H492" s="260"/>
      <c r="I492" s="691"/>
      <c r="J492" s="691"/>
      <c r="K492" s="691"/>
    </row>
    <row r="493" spans="1:11" ht="12" x14ac:dyDescent="0.2">
      <c r="A493" s="691"/>
      <c r="B493" s="691"/>
      <c r="C493" s="691"/>
      <c r="D493" s="691"/>
      <c r="E493" s="304"/>
      <c r="F493" s="304"/>
      <c r="G493" s="260" t="s">
        <v>3569</v>
      </c>
      <c r="H493" s="270"/>
      <c r="I493" s="691"/>
      <c r="J493" s="691"/>
      <c r="K493" s="691"/>
    </row>
    <row r="494" spans="1:11" ht="12" x14ac:dyDescent="0.2">
      <c r="A494" s="691"/>
      <c r="B494" s="691"/>
      <c r="C494" s="691"/>
      <c r="D494" s="691"/>
      <c r="E494" s="304"/>
      <c r="F494" s="304"/>
      <c r="G494" s="438"/>
      <c r="H494" s="361"/>
      <c r="I494" s="691" t="s">
        <v>3538</v>
      </c>
      <c r="J494" s="691"/>
      <c r="K494" s="691"/>
    </row>
    <row r="495" spans="1:11" ht="12.75" x14ac:dyDescent="0.2">
      <c r="A495" s="428" t="s">
        <v>3747</v>
      </c>
      <c r="B495" s="305"/>
      <c r="C495" s="143"/>
      <c r="D495" s="305"/>
      <c r="E495" s="305"/>
      <c r="F495" s="305"/>
      <c r="G495" s="143"/>
      <c r="H495" s="143"/>
      <c r="I495" s="305"/>
      <c r="J495" s="143"/>
      <c r="K495" s="143"/>
    </row>
    <row r="496" spans="1:11" ht="12.75" x14ac:dyDescent="0.2">
      <c r="A496" s="428" t="s">
        <v>3748</v>
      </c>
      <c r="B496" s="305"/>
      <c r="C496" s="143"/>
      <c r="D496" s="305"/>
      <c r="E496" s="305"/>
      <c r="F496" s="305"/>
      <c r="G496" s="143"/>
      <c r="H496" s="143"/>
      <c r="I496" s="305"/>
      <c r="J496" s="143"/>
      <c r="K496" s="143"/>
    </row>
    <row r="497" spans="1:11" ht="12.75" x14ac:dyDescent="0.2">
      <c r="A497" s="687" t="s">
        <v>3345</v>
      </c>
      <c r="B497" s="687"/>
      <c r="C497" s="687"/>
      <c r="D497" s="687"/>
      <c r="E497" s="687"/>
      <c r="F497" s="687"/>
      <c r="G497" s="687"/>
      <c r="H497" s="687"/>
      <c r="I497" s="687"/>
      <c r="J497" s="687"/>
      <c r="K497" s="687"/>
    </row>
    <row r="498" spans="1:11" ht="12.75" x14ac:dyDescent="0.2">
      <c r="A498" s="687" t="s">
        <v>3575</v>
      </c>
      <c r="B498" s="687"/>
      <c r="C498" s="687"/>
      <c r="D498" s="687"/>
      <c r="E498" s="687"/>
      <c r="F498" s="687"/>
      <c r="G498" s="687"/>
      <c r="H498" s="687"/>
      <c r="I498" s="687"/>
      <c r="J498" s="687"/>
      <c r="K498" s="687"/>
    </row>
    <row r="499" spans="1:11" x14ac:dyDescent="0.2">
      <c r="A499" s="18"/>
      <c r="B499" s="18"/>
      <c r="C499" s="18"/>
      <c r="D499" s="18"/>
      <c r="E499" s="18"/>
      <c r="F499" s="18"/>
      <c r="G499" s="18"/>
      <c r="H499" s="18"/>
      <c r="I499" s="18"/>
      <c r="J499" s="18"/>
      <c r="K499" s="18"/>
    </row>
    <row r="500" spans="1:11" x14ac:dyDescent="0.2">
      <c r="A500" s="678" t="s">
        <v>3346</v>
      </c>
      <c r="B500" s="679"/>
      <c r="C500" s="680" t="s">
        <v>13</v>
      </c>
      <c r="D500" s="678" t="s">
        <v>3347</v>
      </c>
      <c r="E500" s="679"/>
      <c r="F500" s="688" t="s">
        <v>90</v>
      </c>
      <c r="G500" s="689"/>
      <c r="H500" s="690"/>
      <c r="I500" s="688" t="s">
        <v>10</v>
      </c>
      <c r="J500" s="689"/>
      <c r="K500" s="690"/>
    </row>
    <row r="501" spans="1:11" x14ac:dyDescent="0.2">
      <c r="A501" s="680" t="s">
        <v>12</v>
      </c>
      <c r="B501" s="680" t="s">
        <v>21</v>
      </c>
      <c r="C501" s="681"/>
      <c r="D501" s="665" t="s">
        <v>12</v>
      </c>
      <c r="E501" s="665" t="s">
        <v>3348</v>
      </c>
      <c r="F501" s="665" t="s">
        <v>3285</v>
      </c>
      <c r="G501" s="665" t="s">
        <v>3282</v>
      </c>
      <c r="H501" s="665" t="s">
        <v>3539</v>
      </c>
      <c r="I501" s="665" t="s">
        <v>3285</v>
      </c>
      <c r="J501" s="665" t="s">
        <v>3282</v>
      </c>
      <c r="K501" s="665" t="s">
        <v>3539</v>
      </c>
    </row>
    <row r="502" spans="1:11" x14ac:dyDescent="0.2">
      <c r="A502" s="682"/>
      <c r="B502" s="682"/>
      <c r="C502" s="682"/>
      <c r="D502" s="667"/>
      <c r="E502" s="667"/>
      <c r="F502" s="667"/>
      <c r="G502" s="667"/>
      <c r="H502" s="667"/>
      <c r="I502" s="667"/>
      <c r="J502" s="667"/>
      <c r="K502" s="667"/>
    </row>
    <row r="503" spans="1:11" x14ac:dyDescent="0.2">
      <c r="A503" s="210" t="s">
        <v>4343</v>
      </c>
      <c r="B503" s="210">
        <v>375</v>
      </c>
      <c r="C503" s="60" t="s">
        <v>4344</v>
      </c>
      <c r="D503" s="10" t="str">
        <f t="shared" ref="D503:D566" si="37">A503</f>
        <v>03 Juni</v>
      </c>
      <c r="E503" s="6" t="s">
        <v>3366</v>
      </c>
      <c r="F503" s="235" t="s">
        <v>3935</v>
      </c>
      <c r="G503" s="236" t="s">
        <v>3406</v>
      </c>
      <c r="H503" s="236"/>
      <c r="I503" s="10" t="s">
        <v>3343</v>
      </c>
      <c r="J503" s="31" t="s">
        <v>11</v>
      </c>
      <c r="K503" s="429">
        <f>H503</f>
        <v>0</v>
      </c>
    </row>
    <row r="504" spans="1:11" x14ac:dyDescent="0.2">
      <c r="A504" s="72"/>
      <c r="B504" s="72">
        <f>B503+1</f>
        <v>376</v>
      </c>
      <c r="C504" s="31" t="s">
        <v>4345</v>
      </c>
      <c r="D504" s="10">
        <f t="shared" si="37"/>
        <v>0</v>
      </c>
      <c r="E504" s="10" t="s">
        <v>3366</v>
      </c>
      <c r="F504" s="218" t="s">
        <v>3935</v>
      </c>
      <c r="G504" s="237" t="s">
        <v>3406</v>
      </c>
      <c r="H504" s="237"/>
      <c r="I504" s="10" t="s">
        <v>3343</v>
      </c>
      <c r="J504" s="31" t="s">
        <v>11</v>
      </c>
      <c r="K504" s="429">
        <f t="shared" ref="K504:K567" si="38">H504</f>
        <v>0</v>
      </c>
    </row>
    <row r="505" spans="1:11" x14ac:dyDescent="0.2">
      <c r="A505" s="72"/>
      <c r="B505" s="72">
        <f t="shared" ref="B505:B507" si="39">B504+1</f>
        <v>377</v>
      </c>
      <c r="C505" s="31" t="s">
        <v>4346</v>
      </c>
      <c r="D505" s="10">
        <f t="shared" si="37"/>
        <v>0</v>
      </c>
      <c r="E505" s="10" t="s">
        <v>3366</v>
      </c>
      <c r="F505" s="218" t="s">
        <v>3921</v>
      </c>
      <c r="G505" s="237" t="s">
        <v>3402</v>
      </c>
      <c r="H505" s="237"/>
      <c r="I505" s="10" t="s">
        <v>3343</v>
      </c>
      <c r="J505" s="31" t="s">
        <v>11</v>
      </c>
      <c r="K505" s="429">
        <f t="shared" si="38"/>
        <v>0</v>
      </c>
    </row>
    <row r="506" spans="1:11" x14ac:dyDescent="0.2">
      <c r="A506" s="72"/>
      <c r="B506" s="72">
        <f t="shared" si="39"/>
        <v>378</v>
      </c>
      <c r="C506" s="31" t="s">
        <v>4347</v>
      </c>
      <c r="D506" s="10">
        <f t="shared" si="37"/>
        <v>0</v>
      </c>
      <c r="E506" s="10" t="s">
        <v>3366</v>
      </c>
      <c r="F506" s="218" t="s">
        <v>3921</v>
      </c>
      <c r="G506" s="237" t="s">
        <v>3402</v>
      </c>
      <c r="H506" s="237"/>
      <c r="I506" s="10" t="s">
        <v>3343</v>
      </c>
      <c r="J506" s="31" t="s">
        <v>11</v>
      </c>
      <c r="K506" s="429">
        <f t="shared" si="38"/>
        <v>0</v>
      </c>
    </row>
    <row r="507" spans="1:11" x14ac:dyDescent="0.2">
      <c r="A507" s="72" t="s">
        <v>4348</v>
      </c>
      <c r="B507" s="72">
        <f t="shared" si="39"/>
        <v>379</v>
      </c>
      <c r="C507" s="31" t="s">
        <v>3844</v>
      </c>
      <c r="D507" s="10" t="str">
        <f t="shared" si="37"/>
        <v>04 Juni</v>
      </c>
      <c r="E507" s="10" t="s">
        <v>3366</v>
      </c>
      <c r="F507" s="218" t="s">
        <v>3925</v>
      </c>
      <c r="G507" s="237" t="s">
        <v>4349</v>
      </c>
      <c r="H507" s="237"/>
      <c r="I507" s="10" t="s">
        <v>3343</v>
      </c>
      <c r="J507" s="31" t="s">
        <v>11</v>
      </c>
      <c r="K507" s="429">
        <f t="shared" si="38"/>
        <v>0</v>
      </c>
    </row>
    <row r="508" spans="1:11" x14ac:dyDescent="0.2">
      <c r="A508" s="72"/>
      <c r="B508" s="72"/>
      <c r="C508" s="31"/>
      <c r="D508" s="10">
        <f t="shared" si="37"/>
        <v>0</v>
      </c>
      <c r="E508" s="10" t="s">
        <v>3366</v>
      </c>
      <c r="F508" s="218" t="s">
        <v>3543</v>
      </c>
      <c r="G508" s="237" t="s">
        <v>3927</v>
      </c>
      <c r="H508" s="237"/>
      <c r="I508" s="10" t="s">
        <v>3343</v>
      </c>
      <c r="J508" s="31" t="s">
        <v>11</v>
      </c>
      <c r="K508" s="429">
        <f t="shared" si="38"/>
        <v>0</v>
      </c>
    </row>
    <row r="509" spans="1:11" x14ac:dyDescent="0.2">
      <c r="A509" s="72"/>
      <c r="B509" s="72"/>
      <c r="C509" s="31"/>
      <c r="D509" s="10">
        <f t="shared" si="37"/>
        <v>0</v>
      </c>
      <c r="E509" s="10" t="s">
        <v>3366</v>
      </c>
      <c r="F509" s="218" t="s">
        <v>3520</v>
      </c>
      <c r="G509" s="237" t="s">
        <v>3928</v>
      </c>
      <c r="H509" s="237"/>
      <c r="I509" s="10" t="s">
        <v>3343</v>
      </c>
      <c r="J509" s="31" t="s">
        <v>11</v>
      </c>
      <c r="K509" s="429">
        <f t="shared" si="38"/>
        <v>0</v>
      </c>
    </row>
    <row r="510" spans="1:11" x14ac:dyDescent="0.2">
      <c r="A510" s="72"/>
      <c r="B510" s="72">
        <v>380</v>
      </c>
      <c r="C510" s="31" t="s">
        <v>4350</v>
      </c>
      <c r="D510" s="10">
        <f t="shared" si="37"/>
        <v>0</v>
      </c>
      <c r="E510" s="10" t="s">
        <v>3366</v>
      </c>
      <c r="F510" s="218" t="s">
        <v>4001</v>
      </c>
      <c r="G510" s="237" t="s">
        <v>3741</v>
      </c>
      <c r="H510" s="237"/>
      <c r="I510" s="10" t="s">
        <v>3343</v>
      </c>
      <c r="J510" s="31" t="s">
        <v>11</v>
      </c>
      <c r="K510" s="429">
        <f t="shared" si="38"/>
        <v>0</v>
      </c>
    </row>
    <row r="511" spans="1:11" x14ac:dyDescent="0.2">
      <c r="A511" s="72"/>
      <c r="B511" s="72">
        <f>B510+1</f>
        <v>381</v>
      </c>
      <c r="C511" s="31" t="s">
        <v>4351</v>
      </c>
      <c r="D511" s="10">
        <f t="shared" si="37"/>
        <v>0</v>
      </c>
      <c r="E511" s="10" t="s">
        <v>3366</v>
      </c>
      <c r="F511" s="218" t="s">
        <v>3934</v>
      </c>
      <c r="G511" s="237" t="s">
        <v>4032</v>
      </c>
      <c r="H511" s="237"/>
      <c r="I511" s="10" t="s">
        <v>3343</v>
      </c>
      <c r="J511" s="31" t="s">
        <v>11</v>
      </c>
      <c r="K511" s="429">
        <f t="shared" si="38"/>
        <v>0</v>
      </c>
    </row>
    <row r="512" spans="1:11" x14ac:dyDescent="0.2">
      <c r="A512" s="72" t="s">
        <v>4352</v>
      </c>
      <c r="B512" s="72">
        <f t="shared" ref="B512:B545" si="40">B511+1</f>
        <v>382</v>
      </c>
      <c r="C512" s="31" t="s">
        <v>3841</v>
      </c>
      <c r="D512" s="10" t="str">
        <f t="shared" si="37"/>
        <v>05 Juni</v>
      </c>
      <c r="E512" s="10" t="s">
        <v>3366</v>
      </c>
      <c r="F512" s="218" t="s">
        <v>3924</v>
      </c>
      <c r="G512" s="237" t="s">
        <v>3410</v>
      </c>
      <c r="H512" s="237"/>
      <c r="I512" s="10" t="s">
        <v>3343</v>
      </c>
      <c r="J512" s="31" t="s">
        <v>11</v>
      </c>
      <c r="K512" s="429">
        <f t="shared" si="38"/>
        <v>0</v>
      </c>
    </row>
    <row r="513" spans="1:11" x14ac:dyDescent="0.2">
      <c r="A513" s="10"/>
      <c r="B513" s="72">
        <f t="shared" si="40"/>
        <v>383</v>
      </c>
      <c r="C513" s="31" t="s">
        <v>3842</v>
      </c>
      <c r="D513" s="10">
        <f t="shared" si="37"/>
        <v>0</v>
      </c>
      <c r="E513" s="10" t="s">
        <v>3366</v>
      </c>
      <c r="F513" s="218" t="s">
        <v>3924</v>
      </c>
      <c r="G513" s="237" t="s">
        <v>3410</v>
      </c>
      <c r="H513" s="237"/>
      <c r="I513" s="10" t="s">
        <v>3343</v>
      </c>
      <c r="J513" s="31" t="s">
        <v>11</v>
      </c>
      <c r="K513" s="429">
        <f t="shared" si="38"/>
        <v>0</v>
      </c>
    </row>
    <row r="514" spans="1:11" x14ac:dyDescent="0.2">
      <c r="A514" s="72"/>
      <c r="B514" s="72">
        <f t="shared" si="40"/>
        <v>384</v>
      </c>
      <c r="C514" s="31" t="s">
        <v>3843</v>
      </c>
      <c r="D514" s="10">
        <f t="shared" si="37"/>
        <v>0</v>
      </c>
      <c r="E514" s="10" t="s">
        <v>3366</v>
      </c>
      <c r="F514" s="218" t="s">
        <v>3924</v>
      </c>
      <c r="G514" s="237" t="s">
        <v>3410</v>
      </c>
      <c r="H514" s="237"/>
      <c r="I514" s="10" t="s">
        <v>3343</v>
      </c>
      <c r="J514" s="31" t="s">
        <v>11</v>
      </c>
      <c r="K514" s="429">
        <f t="shared" si="38"/>
        <v>0</v>
      </c>
    </row>
    <row r="515" spans="1:11" x14ac:dyDescent="0.2">
      <c r="A515" s="72"/>
      <c r="B515" s="72">
        <f t="shared" si="40"/>
        <v>385</v>
      </c>
      <c r="C515" s="31" t="s">
        <v>4353</v>
      </c>
      <c r="D515" s="10">
        <f t="shared" si="37"/>
        <v>0</v>
      </c>
      <c r="E515" s="10" t="s">
        <v>3366</v>
      </c>
      <c r="F515" s="218" t="s">
        <v>3935</v>
      </c>
      <c r="G515" s="237" t="s">
        <v>3406</v>
      </c>
      <c r="H515" s="237"/>
      <c r="I515" s="10" t="s">
        <v>3343</v>
      </c>
      <c r="J515" s="31" t="s">
        <v>11</v>
      </c>
      <c r="K515" s="429">
        <f t="shared" si="38"/>
        <v>0</v>
      </c>
    </row>
    <row r="516" spans="1:11" x14ac:dyDescent="0.2">
      <c r="A516" s="72"/>
      <c r="B516" s="72">
        <f t="shared" si="40"/>
        <v>386</v>
      </c>
      <c r="C516" s="31" t="s">
        <v>4354</v>
      </c>
      <c r="D516" s="10">
        <f t="shared" si="37"/>
        <v>0</v>
      </c>
      <c r="E516" s="10" t="s">
        <v>3366</v>
      </c>
      <c r="F516" s="218" t="s">
        <v>3939</v>
      </c>
      <c r="G516" s="237" t="s">
        <v>3940</v>
      </c>
      <c r="H516" s="237"/>
      <c r="I516" s="10" t="s">
        <v>3343</v>
      </c>
      <c r="J516" s="31" t="s">
        <v>11</v>
      </c>
      <c r="K516" s="429">
        <f t="shared" si="38"/>
        <v>0</v>
      </c>
    </row>
    <row r="517" spans="1:11" x14ac:dyDescent="0.2">
      <c r="A517" s="72"/>
      <c r="B517" s="72">
        <f t="shared" si="40"/>
        <v>387</v>
      </c>
      <c r="C517" s="31" t="s">
        <v>4355</v>
      </c>
      <c r="D517" s="10">
        <f t="shared" si="37"/>
        <v>0</v>
      </c>
      <c r="E517" s="10" t="s">
        <v>3366</v>
      </c>
      <c r="F517" s="218" t="s">
        <v>3922</v>
      </c>
      <c r="G517" s="237" t="s">
        <v>3984</v>
      </c>
      <c r="H517" s="237"/>
      <c r="I517" s="10" t="s">
        <v>3343</v>
      </c>
      <c r="J517" s="31" t="s">
        <v>11</v>
      </c>
      <c r="K517" s="429">
        <f t="shared" si="38"/>
        <v>0</v>
      </c>
    </row>
    <row r="518" spans="1:11" x14ac:dyDescent="0.2">
      <c r="A518" s="72"/>
      <c r="B518" s="72">
        <f t="shared" si="40"/>
        <v>388</v>
      </c>
      <c r="C518" s="31" t="s">
        <v>4060</v>
      </c>
      <c r="D518" s="10">
        <f t="shared" si="37"/>
        <v>0</v>
      </c>
      <c r="E518" s="10" t="s">
        <v>3366</v>
      </c>
      <c r="F518" s="218" t="s">
        <v>3921</v>
      </c>
      <c r="G518" s="237" t="s">
        <v>3402</v>
      </c>
      <c r="H518" s="237"/>
      <c r="I518" s="10" t="s">
        <v>3343</v>
      </c>
      <c r="J518" s="31" t="s">
        <v>11</v>
      </c>
      <c r="K518" s="429">
        <f t="shared" si="38"/>
        <v>0</v>
      </c>
    </row>
    <row r="519" spans="1:11" x14ac:dyDescent="0.2">
      <c r="A519" s="263"/>
      <c r="B519" s="72">
        <f t="shared" si="40"/>
        <v>389</v>
      </c>
      <c r="C519" s="31" t="s">
        <v>4356</v>
      </c>
      <c r="D519" s="10">
        <f t="shared" si="37"/>
        <v>0</v>
      </c>
      <c r="E519" s="10" t="s">
        <v>3366</v>
      </c>
      <c r="F519" s="218" t="s">
        <v>3929</v>
      </c>
      <c r="G519" s="237" t="s">
        <v>3930</v>
      </c>
      <c r="H519" s="237"/>
      <c r="I519" s="10" t="s">
        <v>3343</v>
      </c>
      <c r="J519" s="31" t="s">
        <v>11</v>
      </c>
      <c r="K519" s="429">
        <f t="shared" si="38"/>
        <v>0</v>
      </c>
    </row>
    <row r="520" spans="1:11" x14ac:dyDescent="0.2">
      <c r="A520" s="72"/>
      <c r="B520" s="72">
        <f t="shared" si="40"/>
        <v>390</v>
      </c>
      <c r="C520" s="31" t="s">
        <v>4357</v>
      </c>
      <c r="D520" s="10">
        <f t="shared" si="37"/>
        <v>0</v>
      </c>
      <c r="E520" s="10" t="s">
        <v>3366</v>
      </c>
      <c r="F520" s="218" t="s">
        <v>3935</v>
      </c>
      <c r="G520" s="237" t="s">
        <v>3406</v>
      </c>
      <c r="H520" s="237"/>
      <c r="I520" s="10" t="s">
        <v>3343</v>
      </c>
      <c r="J520" s="31" t="s">
        <v>11</v>
      </c>
      <c r="K520" s="429">
        <f t="shared" si="38"/>
        <v>0</v>
      </c>
    </row>
    <row r="521" spans="1:11" x14ac:dyDescent="0.2">
      <c r="A521" s="72" t="s">
        <v>3789</v>
      </c>
      <c r="B521" s="72">
        <f t="shared" si="40"/>
        <v>391</v>
      </c>
      <c r="C521" s="31" t="s">
        <v>4358</v>
      </c>
      <c r="D521" s="10" t="str">
        <f t="shared" si="37"/>
        <v>10 Juni</v>
      </c>
      <c r="E521" s="10" t="s">
        <v>3366</v>
      </c>
      <c r="F521" s="218" t="s">
        <v>4359</v>
      </c>
      <c r="G521" s="237" t="s">
        <v>4360</v>
      </c>
      <c r="H521" s="237"/>
      <c r="I521" s="10" t="s">
        <v>3343</v>
      </c>
      <c r="J521" s="31" t="s">
        <v>11</v>
      </c>
      <c r="K521" s="429">
        <f t="shared" si="38"/>
        <v>0</v>
      </c>
    </row>
    <row r="522" spans="1:11" x14ac:dyDescent="0.2">
      <c r="A522" s="72"/>
      <c r="B522" s="72">
        <f t="shared" si="40"/>
        <v>392</v>
      </c>
      <c r="C522" s="31" t="s">
        <v>4361</v>
      </c>
      <c r="D522" s="10">
        <f t="shared" si="37"/>
        <v>0</v>
      </c>
      <c r="E522" s="10" t="s">
        <v>3366</v>
      </c>
      <c r="F522" s="218" t="s">
        <v>3545</v>
      </c>
      <c r="G522" s="237" t="s">
        <v>3544</v>
      </c>
      <c r="H522" s="237"/>
      <c r="I522" s="10" t="s">
        <v>3343</v>
      </c>
      <c r="J522" s="31" t="s">
        <v>11</v>
      </c>
      <c r="K522" s="429">
        <f t="shared" si="38"/>
        <v>0</v>
      </c>
    </row>
    <row r="523" spans="1:11" x14ac:dyDescent="0.2">
      <c r="A523" s="72"/>
      <c r="B523" s="72">
        <f t="shared" si="40"/>
        <v>393</v>
      </c>
      <c r="C523" s="31" t="s">
        <v>4071</v>
      </c>
      <c r="D523" s="10">
        <f t="shared" si="37"/>
        <v>0</v>
      </c>
      <c r="E523" s="10" t="s">
        <v>3366</v>
      </c>
      <c r="F523" s="218" t="s">
        <v>3939</v>
      </c>
      <c r="G523" s="237" t="s">
        <v>3940</v>
      </c>
      <c r="H523" s="237"/>
      <c r="I523" s="10" t="s">
        <v>3343</v>
      </c>
      <c r="J523" s="31" t="s">
        <v>11</v>
      </c>
      <c r="K523" s="429">
        <f t="shared" si="38"/>
        <v>0</v>
      </c>
    </row>
    <row r="524" spans="1:11" x14ac:dyDescent="0.2">
      <c r="A524" s="72"/>
      <c r="B524" s="72">
        <f t="shared" si="40"/>
        <v>394</v>
      </c>
      <c r="C524" s="31" t="s">
        <v>4147</v>
      </c>
      <c r="D524" s="10">
        <f t="shared" si="37"/>
        <v>0</v>
      </c>
      <c r="E524" s="10" t="s">
        <v>3366</v>
      </c>
      <c r="F524" s="218" t="s">
        <v>3390</v>
      </c>
      <c r="G524" s="237" t="s">
        <v>3943</v>
      </c>
      <c r="H524" s="237"/>
      <c r="I524" s="10" t="s">
        <v>3343</v>
      </c>
      <c r="J524" s="31" t="s">
        <v>11</v>
      </c>
      <c r="K524" s="429">
        <f t="shared" si="38"/>
        <v>0</v>
      </c>
    </row>
    <row r="525" spans="1:11" x14ac:dyDescent="0.2">
      <c r="A525" s="72" t="s">
        <v>4362</v>
      </c>
      <c r="B525" s="72">
        <f t="shared" si="40"/>
        <v>395</v>
      </c>
      <c r="C525" s="31" t="s">
        <v>4363</v>
      </c>
      <c r="D525" s="10" t="str">
        <f t="shared" si="37"/>
        <v>11 Juni</v>
      </c>
      <c r="E525" s="10" t="s">
        <v>3366</v>
      </c>
      <c r="F525" s="218" t="s">
        <v>3934</v>
      </c>
      <c r="G525" s="237" t="s">
        <v>4032</v>
      </c>
      <c r="H525" s="237"/>
      <c r="I525" s="10" t="s">
        <v>3343</v>
      </c>
      <c r="J525" s="31" t="s">
        <v>11</v>
      </c>
      <c r="K525" s="429">
        <f t="shared" si="38"/>
        <v>0</v>
      </c>
    </row>
    <row r="526" spans="1:11" x14ac:dyDescent="0.2">
      <c r="A526" s="72"/>
      <c r="B526" s="72">
        <f t="shared" si="40"/>
        <v>396</v>
      </c>
      <c r="C526" s="31" t="s">
        <v>4364</v>
      </c>
      <c r="D526" s="10">
        <f t="shared" si="37"/>
        <v>0</v>
      </c>
      <c r="E526" s="10" t="s">
        <v>3366</v>
      </c>
      <c r="F526" s="218" t="s">
        <v>3934</v>
      </c>
      <c r="G526" s="237" t="s">
        <v>4032</v>
      </c>
      <c r="H526" s="237"/>
      <c r="I526" s="10" t="s">
        <v>3343</v>
      </c>
      <c r="J526" s="31" t="s">
        <v>11</v>
      </c>
      <c r="K526" s="429">
        <f t="shared" si="38"/>
        <v>0</v>
      </c>
    </row>
    <row r="527" spans="1:11" x14ac:dyDescent="0.2">
      <c r="A527" s="72"/>
      <c r="B527" s="72">
        <f t="shared" si="40"/>
        <v>397</v>
      </c>
      <c r="C527" s="31" t="s">
        <v>4365</v>
      </c>
      <c r="D527" s="10">
        <f t="shared" si="37"/>
        <v>0</v>
      </c>
      <c r="E527" s="10" t="s">
        <v>3366</v>
      </c>
      <c r="F527" s="218" t="s">
        <v>3935</v>
      </c>
      <c r="G527" s="237" t="s">
        <v>3406</v>
      </c>
      <c r="H527" s="237"/>
      <c r="I527" s="10" t="s">
        <v>3343</v>
      </c>
      <c r="J527" s="31" t="s">
        <v>11</v>
      </c>
      <c r="K527" s="429">
        <f t="shared" si="38"/>
        <v>0</v>
      </c>
    </row>
    <row r="528" spans="1:11" x14ac:dyDescent="0.2">
      <c r="A528" s="72" t="s">
        <v>4366</v>
      </c>
      <c r="B528" s="72">
        <f t="shared" si="40"/>
        <v>398</v>
      </c>
      <c r="C528" s="31" t="s">
        <v>4367</v>
      </c>
      <c r="D528" s="10" t="str">
        <f t="shared" si="37"/>
        <v>12 Juni</v>
      </c>
      <c r="E528" s="10" t="s">
        <v>3366</v>
      </c>
      <c r="F528" s="218" t="s">
        <v>3989</v>
      </c>
      <c r="G528" s="237" t="s">
        <v>3990</v>
      </c>
      <c r="H528" s="237"/>
      <c r="I528" s="10" t="s">
        <v>3343</v>
      </c>
      <c r="J528" s="31" t="s">
        <v>11</v>
      </c>
      <c r="K528" s="429">
        <f t="shared" si="38"/>
        <v>0</v>
      </c>
    </row>
    <row r="529" spans="1:11" x14ac:dyDescent="0.2">
      <c r="A529" s="72"/>
      <c r="B529" s="72">
        <f t="shared" si="40"/>
        <v>399</v>
      </c>
      <c r="C529" s="31" t="s">
        <v>4368</v>
      </c>
      <c r="D529" s="10">
        <f t="shared" si="37"/>
        <v>0</v>
      </c>
      <c r="E529" s="10" t="s">
        <v>3366</v>
      </c>
      <c r="F529" s="218" t="s">
        <v>3977</v>
      </c>
      <c r="G529" s="237" t="s">
        <v>3978</v>
      </c>
      <c r="H529" s="237"/>
      <c r="I529" s="10" t="s">
        <v>3343</v>
      </c>
      <c r="J529" s="31" t="s">
        <v>11</v>
      </c>
      <c r="K529" s="429">
        <f t="shared" si="38"/>
        <v>0</v>
      </c>
    </row>
    <row r="530" spans="1:11" x14ac:dyDescent="0.2">
      <c r="A530" s="72"/>
      <c r="B530" s="72">
        <f t="shared" si="40"/>
        <v>400</v>
      </c>
      <c r="C530" s="31" t="s">
        <v>4369</v>
      </c>
      <c r="D530" s="10">
        <f t="shared" si="37"/>
        <v>0</v>
      </c>
      <c r="E530" s="10" t="s">
        <v>3366</v>
      </c>
      <c r="F530" s="218" t="s">
        <v>4029</v>
      </c>
      <c r="G530" s="237" t="s">
        <v>4030</v>
      </c>
      <c r="H530" s="237"/>
      <c r="I530" s="10" t="s">
        <v>3343</v>
      </c>
      <c r="J530" s="31" t="s">
        <v>11</v>
      </c>
      <c r="K530" s="429">
        <f t="shared" si="38"/>
        <v>0</v>
      </c>
    </row>
    <row r="531" spans="1:11" x14ac:dyDescent="0.2">
      <c r="A531" s="72"/>
      <c r="B531" s="72">
        <f t="shared" si="40"/>
        <v>401</v>
      </c>
      <c r="C531" s="31" t="s">
        <v>4370</v>
      </c>
      <c r="D531" s="10">
        <f t="shared" si="37"/>
        <v>0</v>
      </c>
      <c r="E531" s="10" t="s">
        <v>3366</v>
      </c>
      <c r="F531" s="218" t="s">
        <v>3941</v>
      </c>
      <c r="G531" s="237" t="s">
        <v>3942</v>
      </c>
      <c r="H531" s="237"/>
      <c r="I531" s="10" t="s">
        <v>3343</v>
      </c>
      <c r="J531" s="31" t="s">
        <v>11</v>
      </c>
      <c r="K531" s="429">
        <f t="shared" si="38"/>
        <v>0</v>
      </c>
    </row>
    <row r="532" spans="1:11" x14ac:dyDescent="0.2">
      <c r="A532" s="72" t="s">
        <v>4371</v>
      </c>
      <c r="B532" s="72">
        <f t="shared" si="40"/>
        <v>402</v>
      </c>
      <c r="C532" s="31" t="s">
        <v>4372</v>
      </c>
      <c r="D532" s="10" t="str">
        <f t="shared" si="37"/>
        <v>13 Juni</v>
      </c>
      <c r="E532" s="10" t="s">
        <v>3366</v>
      </c>
      <c r="F532" s="218" t="s">
        <v>3935</v>
      </c>
      <c r="G532" s="237" t="s">
        <v>3406</v>
      </c>
      <c r="H532" s="237"/>
      <c r="I532" s="10" t="s">
        <v>3343</v>
      </c>
      <c r="J532" s="31" t="s">
        <v>11</v>
      </c>
      <c r="K532" s="429">
        <f t="shared" si="38"/>
        <v>0</v>
      </c>
    </row>
    <row r="533" spans="1:11" x14ac:dyDescent="0.2">
      <c r="A533" s="72"/>
      <c r="B533" s="72">
        <f t="shared" si="40"/>
        <v>403</v>
      </c>
      <c r="C533" s="31" t="s">
        <v>4373</v>
      </c>
      <c r="D533" s="10">
        <f t="shared" si="37"/>
        <v>0</v>
      </c>
      <c r="E533" s="10" t="s">
        <v>3366</v>
      </c>
      <c r="F533" s="279" t="s">
        <v>3954</v>
      </c>
      <c r="G533" s="237" t="s">
        <v>3955</v>
      </c>
      <c r="H533" s="237"/>
      <c r="I533" s="10" t="s">
        <v>3343</v>
      </c>
      <c r="J533" s="31" t="s">
        <v>11</v>
      </c>
      <c r="K533" s="429">
        <f t="shared" si="38"/>
        <v>0</v>
      </c>
    </row>
    <row r="534" spans="1:11" x14ac:dyDescent="0.2">
      <c r="A534" s="72" t="s">
        <v>4374</v>
      </c>
      <c r="B534" s="72">
        <f t="shared" si="40"/>
        <v>404</v>
      </c>
      <c r="C534" s="31" t="s">
        <v>4375</v>
      </c>
      <c r="D534" s="10" t="str">
        <f t="shared" si="37"/>
        <v>17 Juni</v>
      </c>
      <c r="E534" s="10" t="s">
        <v>3366</v>
      </c>
      <c r="F534" s="218" t="s">
        <v>4005</v>
      </c>
      <c r="G534" s="237" t="s">
        <v>4376</v>
      </c>
      <c r="H534" s="237"/>
      <c r="I534" s="10" t="s">
        <v>3343</v>
      </c>
      <c r="J534" s="31" t="s">
        <v>11</v>
      </c>
      <c r="K534" s="429">
        <f t="shared" si="38"/>
        <v>0</v>
      </c>
    </row>
    <row r="535" spans="1:11" x14ac:dyDescent="0.2">
      <c r="A535" s="72"/>
      <c r="B535" s="72">
        <f t="shared" si="40"/>
        <v>405</v>
      </c>
      <c r="C535" s="31" t="s">
        <v>3987</v>
      </c>
      <c r="D535" s="10">
        <f t="shared" si="37"/>
        <v>0</v>
      </c>
      <c r="E535" s="10" t="s">
        <v>3366</v>
      </c>
      <c r="F535" s="218" t="s">
        <v>3932</v>
      </c>
      <c r="G535" s="237" t="s">
        <v>3933</v>
      </c>
      <c r="H535" s="237"/>
      <c r="I535" s="10" t="s">
        <v>3343</v>
      </c>
      <c r="J535" s="31" t="s">
        <v>11</v>
      </c>
      <c r="K535" s="429">
        <f t="shared" si="38"/>
        <v>0</v>
      </c>
    </row>
    <row r="536" spans="1:11" x14ac:dyDescent="0.2">
      <c r="A536" s="72"/>
      <c r="B536" s="72">
        <f t="shared" si="40"/>
        <v>406</v>
      </c>
      <c r="C536" s="31" t="s">
        <v>4373</v>
      </c>
      <c r="D536" s="10">
        <f t="shared" si="37"/>
        <v>0</v>
      </c>
      <c r="E536" s="10" t="s">
        <v>3366</v>
      </c>
      <c r="F536" s="218" t="s">
        <v>3954</v>
      </c>
      <c r="G536" s="237" t="s">
        <v>3955</v>
      </c>
      <c r="H536" s="237"/>
      <c r="I536" s="10" t="s">
        <v>3343</v>
      </c>
      <c r="J536" s="31" t="s">
        <v>11</v>
      </c>
      <c r="K536" s="429">
        <f t="shared" si="38"/>
        <v>0</v>
      </c>
    </row>
    <row r="537" spans="1:11" x14ac:dyDescent="0.2">
      <c r="A537" s="72" t="s">
        <v>4377</v>
      </c>
      <c r="B537" s="72">
        <f t="shared" si="40"/>
        <v>407</v>
      </c>
      <c r="C537" s="31" t="s">
        <v>4378</v>
      </c>
      <c r="D537" s="10" t="str">
        <f t="shared" si="37"/>
        <v>18 Juni</v>
      </c>
      <c r="E537" s="10" t="s">
        <v>3366</v>
      </c>
      <c r="F537" s="218" t="s">
        <v>3390</v>
      </c>
      <c r="G537" s="237" t="s">
        <v>3943</v>
      </c>
      <c r="H537" s="237"/>
      <c r="I537" s="10" t="s">
        <v>3343</v>
      </c>
      <c r="J537" s="31" t="s">
        <v>11</v>
      </c>
      <c r="K537" s="429">
        <f t="shared" si="38"/>
        <v>0</v>
      </c>
    </row>
    <row r="538" spans="1:11" x14ac:dyDescent="0.2">
      <c r="A538" s="10" t="s">
        <v>4339</v>
      </c>
      <c r="B538" s="72">
        <f t="shared" si="40"/>
        <v>408</v>
      </c>
      <c r="C538" s="31" t="s">
        <v>4379</v>
      </c>
      <c r="D538" s="10" t="str">
        <f t="shared" si="37"/>
        <v>20 Juni</v>
      </c>
      <c r="E538" s="10" t="s">
        <v>3366</v>
      </c>
      <c r="F538" s="218" t="s">
        <v>4013</v>
      </c>
      <c r="G538" s="237" t="s">
        <v>4052</v>
      </c>
      <c r="H538" s="237"/>
      <c r="I538" s="10" t="s">
        <v>3343</v>
      </c>
      <c r="J538" s="31" t="s">
        <v>11</v>
      </c>
      <c r="K538" s="429">
        <f t="shared" si="38"/>
        <v>0</v>
      </c>
    </row>
    <row r="539" spans="1:11" x14ac:dyDescent="0.2">
      <c r="A539" s="72" t="s">
        <v>4380</v>
      </c>
      <c r="B539" s="72">
        <f t="shared" si="40"/>
        <v>409</v>
      </c>
      <c r="C539" s="31" t="s">
        <v>4381</v>
      </c>
      <c r="D539" s="10" t="str">
        <f t="shared" si="37"/>
        <v>23 Juni</v>
      </c>
      <c r="E539" s="10" t="s">
        <v>3366</v>
      </c>
      <c r="F539" s="218" t="s">
        <v>3932</v>
      </c>
      <c r="G539" s="237" t="s">
        <v>3933</v>
      </c>
      <c r="H539" s="237"/>
      <c r="I539" s="10" t="s">
        <v>3343</v>
      </c>
      <c r="J539" s="31" t="s">
        <v>11</v>
      </c>
      <c r="K539" s="429">
        <f t="shared" si="38"/>
        <v>0</v>
      </c>
    </row>
    <row r="540" spans="1:11" x14ac:dyDescent="0.2">
      <c r="A540" s="72"/>
      <c r="B540" s="72">
        <f t="shared" si="40"/>
        <v>410</v>
      </c>
      <c r="C540" s="31" t="s">
        <v>4382</v>
      </c>
      <c r="D540" s="10">
        <f t="shared" si="37"/>
        <v>0</v>
      </c>
      <c r="E540" s="10" t="s">
        <v>3366</v>
      </c>
      <c r="F540" s="218" t="s">
        <v>3946</v>
      </c>
      <c r="G540" s="237" t="s">
        <v>4383</v>
      </c>
      <c r="H540" s="237"/>
      <c r="I540" s="10" t="s">
        <v>3343</v>
      </c>
      <c r="J540" s="31" t="s">
        <v>11</v>
      </c>
      <c r="K540" s="429">
        <f t="shared" si="38"/>
        <v>0</v>
      </c>
    </row>
    <row r="541" spans="1:11" ht="11.25" customHeight="1" x14ac:dyDescent="0.2">
      <c r="A541" s="72" t="s">
        <v>4384</v>
      </c>
      <c r="B541" s="72">
        <f t="shared" si="40"/>
        <v>411</v>
      </c>
      <c r="C541" s="31" t="s">
        <v>3866</v>
      </c>
      <c r="D541" s="10" t="str">
        <f t="shared" si="37"/>
        <v>24 Juni</v>
      </c>
      <c r="E541" s="10" t="s">
        <v>3366</v>
      </c>
      <c r="F541" s="218" t="s">
        <v>3946</v>
      </c>
      <c r="G541" s="237" t="s">
        <v>4383</v>
      </c>
      <c r="H541" s="237"/>
      <c r="I541" s="10" t="s">
        <v>3343</v>
      </c>
      <c r="J541" s="31" t="s">
        <v>11</v>
      </c>
      <c r="K541" s="429">
        <f t="shared" si="38"/>
        <v>0</v>
      </c>
    </row>
    <row r="542" spans="1:11" x14ac:dyDescent="0.2">
      <c r="A542" s="10"/>
      <c r="B542" s="72">
        <f t="shared" si="40"/>
        <v>412</v>
      </c>
      <c r="C542" s="31" t="s">
        <v>3257</v>
      </c>
      <c r="D542" s="10">
        <f t="shared" si="37"/>
        <v>0</v>
      </c>
      <c r="E542" s="10" t="s">
        <v>3366</v>
      </c>
      <c r="F542" s="218" t="s">
        <v>3922</v>
      </c>
      <c r="G542" s="237" t="s">
        <v>3984</v>
      </c>
      <c r="H542" s="237"/>
      <c r="I542" s="10" t="s">
        <v>3343</v>
      </c>
      <c r="J542" s="31" t="s">
        <v>11</v>
      </c>
      <c r="K542" s="429">
        <f t="shared" si="38"/>
        <v>0</v>
      </c>
    </row>
    <row r="543" spans="1:11" x14ac:dyDescent="0.2">
      <c r="A543" s="72"/>
      <c r="B543" s="72">
        <f t="shared" si="40"/>
        <v>413</v>
      </c>
      <c r="C543" s="31" t="s">
        <v>4385</v>
      </c>
      <c r="D543" s="10">
        <f t="shared" si="37"/>
        <v>0</v>
      </c>
      <c r="E543" s="10" t="s">
        <v>3366</v>
      </c>
      <c r="F543" s="218" t="s">
        <v>3947</v>
      </c>
      <c r="G543" s="237" t="s">
        <v>3436</v>
      </c>
      <c r="H543" s="237"/>
      <c r="I543" s="10" t="s">
        <v>3343</v>
      </c>
      <c r="J543" s="31" t="s">
        <v>11</v>
      </c>
      <c r="K543" s="429">
        <f t="shared" si="38"/>
        <v>0</v>
      </c>
    </row>
    <row r="544" spans="1:11" x14ac:dyDescent="0.2">
      <c r="A544" s="72" t="s">
        <v>4386</v>
      </c>
      <c r="B544" s="72">
        <f t="shared" si="40"/>
        <v>414</v>
      </c>
      <c r="C544" s="31" t="s">
        <v>4387</v>
      </c>
      <c r="D544" s="10" t="str">
        <f t="shared" si="37"/>
        <v>25 Juni</v>
      </c>
      <c r="E544" s="10" t="s">
        <v>3366</v>
      </c>
      <c r="F544" s="218" t="s">
        <v>3969</v>
      </c>
      <c r="G544" s="237" t="s">
        <v>3970</v>
      </c>
      <c r="H544" s="237"/>
      <c r="I544" s="10" t="s">
        <v>3343</v>
      </c>
      <c r="J544" s="31" t="s">
        <v>11</v>
      </c>
      <c r="K544" s="429">
        <f t="shared" si="38"/>
        <v>0</v>
      </c>
    </row>
    <row r="545" spans="1:11" x14ac:dyDescent="0.2">
      <c r="A545" s="72" t="s">
        <v>4388</v>
      </c>
      <c r="B545" s="72">
        <f t="shared" si="40"/>
        <v>415</v>
      </c>
      <c r="C545" s="31" t="s">
        <v>3889</v>
      </c>
      <c r="D545" s="10" t="str">
        <f t="shared" si="37"/>
        <v>26 Juni</v>
      </c>
      <c r="E545" s="10" t="s">
        <v>3366</v>
      </c>
      <c r="F545" s="218" t="s">
        <v>3925</v>
      </c>
      <c r="G545" s="237" t="s">
        <v>3958</v>
      </c>
      <c r="H545" s="237"/>
      <c r="I545" s="10" t="s">
        <v>3343</v>
      </c>
      <c r="J545" s="31" t="s">
        <v>11</v>
      </c>
      <c r="K545" s="429">
        <f t="shared" si="38"/>
        <v>0</v>
      </c>
    </row>
    <row r="546" spans="1:11" x14ac:dyDescent="0.2">
      <c r="A546" s="72"/>
      <c r="B546" s="72"/>
      <c r="C546" s="31"/>
      <c r="D546" s="10">
        <f t="shared" si="37"/>
        <v>0</v>
      </c>
      <c r="E546" s="10" t="s">
        <v>3366</v>
      </c>
      <c r="F546" s="218" t="s">
        <v>3520</v>
      </c>
      <c r="G546" s="237" t="s">
        <v>4019</v>
      </c>
      <c r="H546" s="237"/>
      <c r="I546" s="10" t="s">
        <v>3343</v>
      </c>
      <c r="J546" s="31" t="s">
        <v>11</v>
      </c>
      <c r="K546" s="429">
        <f t="shared" si="38"/>
        <v>0</v>
      </c>
    </row>
    <row r="547" spans="1:11" x14ac:dyDescent="0.2">
      <c r="A547" s="72"/>
      <c r="B547" s="72"/>
      <c r="C547" s="31"/>
      <c r="D547" s="10">
        <f t="shared" si="37"/>
        <v>0</v>
      </c>
      <c r="E547" s="10" t="s">
        <v>3366</v>
      </c>
      <c r="F547" s="218" t="s">
        <v>3543</v>
      </c>
      <c r="G547" s="237" t="s">
        <v>3959</v>
      </c>
      <c r="H547" s="237"/>
      <c r="I547" s="10" t="s">
        <v>3343</v>
      </c>
      <c r="J547" s="31" t="s">
        <v>11</v>
      </c>
      <c r="K547" s="429">
        <f t="shared" si="38"/>
        <v>0</v>
      </c>
    </row>
    <row r="548" spans="1:11" x14ac:dyDescent="0.2">
      <c r="A548" s="72"/>
      <c r="B548" s="72">
        <v>416</v>
      </c>
      <c r="C548" s="31" t="s">
        <v>3256</v>
      </c>
      <c r="D548" s="10">
        <f t="shared" si="37"/>
        <v>0</v>
      </c>
      <c r="E548" s="10" t="s">
        <v>3366</v>
      </c>
      <c r="F548" s="218" t="s">
        <v>3925</v>
      </c>
      <c r="G548" s="237" t="s">
        <v>3962</v>
      </c>
      <c r="H548" s="237"/>
      <c r="I548" s="10" t="s">
        <v>3343</v>
      </c>
      <c r="J548" s="31" t="s">
        <v>11</v>
      </c>
      <c r="K548" s="429">
        <f t="shared" si="38"/>
        <v>0</v>
      </c>
    </row>
    <row r="549" spans="1:11" x14ac:dyDescent="0.2">
      <c r="A549" s="72"/>
      <c r="B549" s="72"/>
      <c r="C549" s="31"/>
      <c r="D549" s="10">
        <f t="shared" si="37"/>
        <v>0</v>
      </c>
      <c r="E549" s="10" t="s">
        <v>3366</v>
      </c>
      <c r="F549" s="218" t="s">
        <v>3543</v>
      </c>
      <c r="G549" s="237" t="s">
        <v>3963</v>
      </c>
      <c r="H549" s="237"/>
      <c r="I549" s="10" t="s">
        <v>3343</v>
      </c>
      <c r="J549" s="31" t="s">
        <v>11</v>
      </c>
      <c r="K549" s="429">
        <f t="shared" si="38"/>
        <v>0</v>
      </c>
    </row>
    <row r="550" spans="1:11" x14ac:dyDescent="0.2">
      <c r="A550" s="72"/>
      <c r="B550" s="72"/>
      <c r="C550" s="31"/>
      <c r="D550" s="10">
        <f t="shared" si="37"/>
        <v>0</v>
      </c>
      <c r="E550" s="10" t="s">
        <v>3366</v>
      </c>
      <c r="F550" s="218" t="s">
        <v>3520</v>
      </c>
      <c r="G550" s="237" t="s">
        <v>3964</v>
      </c>
      <c r="H550" s="237"/>
      <c r="I550" s="10" t="s">
        <v>3343</v>
      </c>
      <c r="J550" s="31" t="s">
        <v>11</v>
      </c>
      <c r="K550" s="429">
        <f t="shared" si="38"/>
        <v>0</v>
      </c>
    </row>
    <row r="551" spans="1:11" x14ac:dyDescent="0.2">
      <c r="A551" s="72"/>
      <c r="B551" s="72">
        <v>417</v>
      </c>
      <c r="C551" s="31" t="s">
        <v>3895</v>
      </c>
      <c r="D551" s="10">
        <f t="shared" si="37"/>
        <v>0</v>
      </c>
      <c r="E551" s="10" t="s">
        <v>3366</v>
      </c>
      <c r="F551" s="218" t="s">
        <v>3960</v>
      </c>
      <c r="G551" s="237" t="s">
        <v>3456</v>
      </c>
      <c r="H551" s="237"/>
      <c r="I551" s="10" t="s">
        <v>3343</v>
      </c>
      <c r="J551" s="31" t="s">
        <v>11</v>
      </c>
      <c r="K551" s="429">
        <f t="shared" si="38"/>
        <v>0</v>
      </c>
    </row>
    <row r="552" spans="1:11" x14ac:dyDescent="0.2">
      <c r="A552" s="72"/>
      <c r="B552" s="72">
        <v>418</v>
      </c>
      <c r="C552" s="31" t="s">
        <v>4389</v>
      </c>
      <c r="D552" s="10">
        <f t="shared" si="37"/>
        <v>0</v>
      </c>
      <c r="E552" s="10" t="s">
        <v>3366</v>
      </c>
      <c r="F552" s="218" t="s">
        <v>3965</v>
      </c>
      <c r="G552" s="237" t="s">
        <v>3478</v>
      </c>
      <c r="H552" s="237"/>
      <c r="I552" s="10" t="s">
        <v>3343</v>
      </c>
      <c r="J552" s="31" t="s">
        <v>11</v>
      </c>
      <c r="K552" s="429">
        <f t="shared" si="38"/>
        <v>0</v>
      </c>
    </row>
    <row r="553" spans="1:11" x14ac:dyDescent="0.2">
      <c r="A553" s="72"/>
      <c r="B553" s="72">
        <v>419</v>
      </c>
      <c r="C553" s="31" t="s">
        <v>4390</v>
      </c>
      <c r="D553" s="10">
        <f t="shared" si="37"/>
        <v>0</v>
      </c>
      <c r="E553" s="10" t="s">
        <v>3366</v>
      </c>
      <c r="F553" s="218" t="s">
        <v>3925</v>
      </c>
      <c r="G553" s="237" t="s">
        <v>3966</v>
      </c>
      <c r="H553" s="237"/>
      <c r="I553" s="10" t="s">
        <v>3343</v>
      </c>
      <c r="J553" s="31" t="s">
        <v>11</v>
      </c>
      <c r="K553" s="429">
        <f t="shared" si="38"/>
        <v>0</v>
      </c>
    </row>
    <row r="554" spans="1:11" x14ac:dyDescent="0.2">
      <c r="A554" s="72"/>
      <c r="B554" s="72"/>
      <c r="C554" s="31"/>
      <c r="D554" s="10">
        <f t="shared" si="37"/>
        <v>0</v>
      </c>
      <c r="E554" s="10" t="s">
        <v>3366</v>
      </c>
      <c r="F554" s="218" t="s">
        <v>3543</v>
      </c>
      <c r="G554" s="237" t="s">
        <v>4391</v>
      </c>
      <c r="H554" s="237"/>
      <c r="I554" s="10" t="s">
        <v>3343</v>
      </c>
      <c r="J554" s="31" t="s">
        <v>11</v>
      </c>
      <c r="K554" s="429">
        <f t="shared" si="38"/>
        <v>0</v>
      </c>
    </row>
    <row r="555" spans="1:11" x14ac:dyDescent="0.2">
      <c r="A555" s="72"/>
      <c r="B555" s="72"/>
      <c r="C555" s="31"/>
      <c r="D555" s="10">
        <f t="shared" si="37"/>
        <v>0</v>
      </c>
      <c r="E555" s="10" t="s">
        <v>3366</v>
      </c>
      <c r="F555" s="218" t="s">
        <v>3520</v>
      </c>
      <c r="G555" s="237" t="s">
        <v>4392</v>
      </c>
      <c r="H555" s="237"/>
      <c r="I555" s="10" t="s">
        <v>3343</v>
      </c>
      <c r="J555" s="31" t="s">
        <v>11</v>
      </c>
      <c r="K555" s="429">
        <f t="shared" si="38"/>
        <v>0</v>
      </c>
    </row>
    <row r="556" spans="1:11" x14ac:dyDescent="0.2">
      <c r="A556" s="72"/>
      <c r="B556" s="72">
        <v>420</v>
      </c>
      <c r="C556" s="31" t="s">
        <v>4393</v>
      </c>
      <c r="D556" s="10">
        <f t="shared" si="37"/>
        <v>0</v>
      </c>
      <c r="E556" s="10" t="s">
        <v>3366</v>
      </c>
      <c r="F556" s="218" t="s">
        <v>3969</v>
      </c>
      <c r="G556" s="237" t="s">
        <v>3970</v>
      </c>
      <c r="H556" s="237"/>
      <c r="I556" s="10" t="s">
        <v>3343</v>
      </c>
      <c r="J556" s="31" t="s">
        <v>11</v>
      </c>
      <c r="K556" s="429">
        <f t="shared" si="38"/>
        <v>0</v>
      </c>
    </row>
    <row r="557" spans="1:11" x14ac:dyDescent="0.2">
      <c r="A557" s="72"/>
      <c r="B557" s="72">
        <f>B556+1</f>
        <v>421</v>
      </c>
      <c r="C557" s="31" t="s">
        <v>3900</v>
      </c>
      <c r="D557" s="10">
        <f t="shared" si="37"/>
        <v>0</v>
      </c>
      <c r="E557" s="10" t="s">
        <v>3366</v>
      </c>
      <c r="F557" s="218" t="s">
        <v>3971</v>
      </c>
      <c r="G557" s="237" t="s">
        <v>3972</v>
      </c>
      <c r="H557" s="237"/>
      <c r="I557" s="10" t="s">
        <v>3343</v>
      </c>
      <c r="J557" s="31" t="s">
        <v>11</v>
      </c>
      <c r="K557" s="429">
        <f t="shared" si="38"/>
        <v>0</v>
      </c>
    </row>
    <row r="558" spans="1:11" x14ac:dyDescent="0.2">
      <c r="A558" s="72"/>
      <c r="B558" s="72">
        <f t="shared" ref="B558:B568" si="41">B557+1</f>
        <v>422</v>
      </c>
      <c r="C558" s="31" t="s">
        <v>4024</v>
      </c>
      <c r="D558" s="10">
        <f t="shared" si="37"/>
        <v>0</v>
      </c>
      <c r="E558" s="10" t="s">
        <v>3366</v>
      </c>
      <c r="F558" s="279" t="s">
        <v>3483</v>
      </c>
      <c r="G558" s="237" t="s">
        <v>3484</v>
      </c>
      <c r="H558" s="237"/>
      <c r="I558" s="10" t="s">
        <v>3343</v>
      </c>
      <c r="J558" s="31" t="s">
        <v>11</v>
      </c>
      <c r="K558" s="429">
        <f t="shared" si="38"/>
        <v>0</v>
      </c>
    </row>
    <row r="559" spans="1:11" x14ac:dyDescent="0.2">
      <c r="A559" s="72"/>
      <c r="B559" s="72">
        <f t="shared" si="41"/>
        <v>423</v>
      </c>
      <c r="C559" s="31" t="s">
        <v>4065</v>
      </c>
      <c r="D559" s="10">
        <f t="shared" si="37"/>
        <v>0</v>
      </c>
      <c r="E559" s="10" t="s">
        <v>3366</v>
      </c>
      <c r="F559" s="218" t="s">
        <v>3486</v>
      </c>
      <c r="G559" s="237" t="s">
        <v>3973</v>
      </c>
      <c r="H559" s="237"/>
      <c r="I559" s="10" t="s">
        <v>3343</v>
      </c>
      <c r="J559" s="31" t="s">
        <v>11</v>
      </c>
      <c r="K559" s="429">
        <f t="shared" si="38"/>
        <v>0</v>
      </c>
    </row>
    <row r="560" spans="1:11" x14ac:dyDescent="0.2">
      <c r="A560" s="72"/>
      <c r="B560" s="72">
        <f t="shared" si="41"/>
        <v>424</v>
      </c>
      <c r="C560" s="31" t="s">
        <v>3904</v>
      </c>
      <c r="D560" s="10">
        <f t="shared" si="37"/>
        <v>0</v>
      </c>
      <c r="E560" s="10" t="s">
        <v>3366</v>
      </c>
      <c r="F560" s="218" t="s">
        <v>3486</v>
      </c>
      <c r="G560" s="237" t="s">
        <v>3973</v>
      </c>
      <c r="H560" s="237"/>
      <c r="I560" s="10" t="s">
        <v>3343</v>
      </c>
      <c r="J560" s="31" t="s">
        <v>11</v>
      </c>
      <c r="K560" s="429">
        <f t="shared" si="38"/>
        <v>0</v>
      </c>
    </row>
    <row r="561" spans="1:15" x14ac:dyDescent="0.2">
      <c r="A561" s="72"/>
      <c r="B561" s="72">
        <f t="shared" si="41"/>
        <v>425</v>
      </c>
      <c r="C561" s="31" t="s">
        <v>3906</v>
      </c>
      <c r="D561" s="10">
        <f t="shared" si="37"/>
        <v>0</v>
      </c>
      <c r="E561" s="10" t="s">
        <v>3366</v>
      </c>
      <c r="F561" s="218" t="s">
        <v>3486</v>
      </c>
      <c r="G561" s="237" t="s">
        <v>3973</v>
      </c>
      <c r="H561" s="237"/>
      <c r="I561" s="10" t="s">
        <v>3343</v>
      </c>
      <c r="J561" s="31" t="s">
        <v>11</v>
      </c>
      <c r="K561" s="429">
        <f t="shared" si="38"/>
        <v>0</v>
      </c>
    </row>
    <row r="562" spans="1:15" x14ac:dyDescent="0.2">
      <c r="A562" s="72"/>
      <c r="B562" s="72">
        <f t="shared" si="41"/>
        <v>426</v>
      </c>
      <c r="C562" s="31" t="s">
        <v>3908</v>
      </c>
      <c r="D562" s="10">
        <f t="shared" si="37"/>
        <v>0</v>
      </c>
      <c r="E562" s="10" t="s">
        <v>3366</v>
      </c>
      <c r="F562" s="218" t="s">
        <v>3956</v>
      </c>
      <c r="G562" s="237" t="s">
        <v>3957</v>
      </c>
      <c r="H562" s="237"/>
      <c r="I562" s="10" t="s">
        <v>3343</v>
      </c>
      <c r="J562" s="31" t="s">
        <v>11</v>
      </c>
      <c r="K562" s="429">
        <f t="shared" si="38"/>
        <v>0</v>
      </c>
    </row>
    <row r="563" spans="1:15" x14ac:dyDescent="0.2">
      <c r="A563" s="72"/>
      <c r="B563" s="72">
        <f t="shared" si="41"/>
        <v>427</v>
      </c>
      <c r="C563" s="31" t="s">
        <v>3910</v>
      </c>
      <c r="D563" s="10">
        <f t="shared" si="37"/>
        <v>0</v>
      </c>
      <c r="E563" s="10" t="s">
        <v>3366</v>
      </c>
      <c r="F563" s="218" t="s">
        <v>3974</v>
      </c>
      <c r="G563" s="237" t="s">
        <v>3975</v>
      </c>
      <c r="H563" s="237"/>
      <c r="I563" s="10" t="s">
        <v>3343</v>
      </c>
      <c r="J563" s="31" t="s">
        <v>11</v>
      </c>
      <c r="K563" s="429">
        <f t="shared" si="38"/>
        <v>0</v>
      </c>
    </row>
    <row r="564" spans="1:15" x14ac:dyDescent="0.2">
      <c r="A564" s="72"/>
      <c r="B564" s="72">
        <f t="shared" si="41"/>
        <v>428</v>
      </c>
      <c r="C564" s="31" t="s">
        <v>3912</v>
      </c>
      <c r="D564" s="10">
        <f t="shared" si="37"/>
        <v>0</v>
      </c>
      <c r="E564" s="10" t="s">
        <v>3366</v>
      </c>
      <c r="F564" s="218" t="s">
        <v>3976</v>
      </c>
      <c r="G564" s="237" t="s">
        <v>4394</v>
      </c>
      <c r="H564" s="237"/>
      <c r="I564" s="10" t="s">
        <v>3343</v>
      </c>
      <c r="J564" s="31" t="s">
        <v>11</v>
      </c>
      <c r="K564" s="429">
        <f t="shared" si="38"/>
        <v>0</v>
      </c>
    </row>
    <row r="565" spans="1:15" x14ac:dyDescent="0.2">
      <c r="A565" s="72"/>
      <c r="B565" s="72">
        <f t="shared" si="41"/>
        <v>429</v>
      </c>
      <c r="C565" s="31" t="s">
        <v>4395</v>
      </c>
      <c r="D565" s="10">
        <f t="shared" si="37"/>
        <v>0</v>
      </c>
      <c r="E565" s="10" t="s">
        <v>3366</v>
      </c>
      <c r="F565" s="218" t="s">
        <v>3971</v>
      </c>
      <c r="G565" s="237" t="s">
        <v>3972</v>
      </c>
      <c r="H565" s="237"/>
      <c r="I565" s="10" t="s">
        <v>3343</v>
      </c>
      <c r="J565" s="31" t="s">
        <v>11</v>
      </c>
      <c r="K565" s="429">
        <f t="shared" si="38"/>
        <v>0</v>
      </c>
    </row>
    <row r="566" spans="1:15" x14ac:dyDescent="0.2">
      <c r="A566" s="72"/>
      <c r="B566" s="72">
        <f t="shared" si="41"/>
        <v>430</v>
      </c>
      <c r="C566" s="31" t="s">
        <v>4025</v>
      </c>
      <c r="D566" s="10">
        <f t="shared" si="37"/>
        <v>0</v>
      </c>
      <c r="E566" s="10" t="s">
        <v>3366</v>
      </c>
      <c r="F566" s="218" t="s">
        <v>3932</v>
      </c>
      <c r="G566" s="31" t="s">
        <v>3933</v>
      </c>
      <c r="H566" s="237"/>
      <c r="I566" s="10" t="s">
        <v>3343</v>
      </c>
      <c r="J566" s="31" t="s">
        <v>11</v>
      </c>
      <c r="K566" s="429">
        <f t="shared" si="38"/>
        <v>0</v>
      </c>
    </row>
    <row r="567" spans="1:15" x14ac:dyDescent="0.2">
      <c r="A567" s="72"/>
      <c r="B567" s="72">
        <f t="shared" si="41"/>
        <v>431</v>
      </c>
      <c r="C567" s="31" t="s">
        <v>3892</v>
      </c>
      <c r="D567" s="10">
        <f t="shared" ref="D567:D594" si="42">A567</f>
        <v>0</v>
      </c>
      <c r="E567" s="10" t="s">
        <v>3366</v>
      </c>
      <c r="F567" s="218" t="s">
        <v>3961</v>
      </c>
      <c r="G567" s="237" t="s">
        <v>3931</v>
      </c>
      <c r="H567" s="237"/>
      <c r="I567" s="10" t="s">
        <v>3343</v>
      </c>
      <c r="J567" s="31" t="s">
        <v>11</v>
      </c>
      <c r="K567" s="429">
        <f t="shared" si="38"/>
        <v>0</v>
      </c>
    </row>
    <row r="568" spans="1:15" x14ac:dyDescent="0.2">
      <c r="A568" s="72"/>
      <c r="B568" s="72">
        <f t="shared" si="41"/>
        <v>432</v>
      </c>
      <c r="C568" s="31" t="s">
        <v>4396</v>
      </c>
      <c r="D568" s="10">
        <f t="shared" si="42"/>
        <v>0</v>
      </c>
      <c r="E568" s="10" t="s">
        <v>3366</v>
      </c>
      <c r="F568" s="218" t="s">
        <v>3486</v>
      </c>
      <c r="G568" s="237" t="s">
        <v>3973</v>
      </c>
      <c r="H568" s="237"/>
      <c r="I568" s="10" t="s">
        <v>3343</v>
      </c>
      <c r="J568" s="31" t="s">
        <v>11</v>
      </c>
      <c r="K568" s="429">
        <f t="shared" ref="K568:K594" si="43">H568</f>
        <v>0</v>
      </c>
    </row>
    <row r="569" spans="1:15" x14ac:dyDescent="0.2">
      <c r="A569" s="72"/>
      <c r="B569" s="72"/>
      <c r="C569" s="31"/>
      <c r="D569" s="10">
        <f t="shared" si="42"/>
        <v>0</v>
      </c>
      <c r="E569" s="10" t="s">
        <v>3366</v>
      </c>
      <c r="F569" s="218" t="s">
        <v>3483</v>
      </c>
      <c r="G569" s="237" t="s">
        <v>3484</v>
      </c>
      <c r="H569" s="237"/>
      <c r="I569" s="10" t="s">
        <v>3343</v>
      </c>
      <c r="J569" s="31" t="s">
        <v>11</v>
      </c>
      <c r="K569" s="429">
        <f t="shared" si="43"/>
        <v>0</v>
      </c>
    </row>
    <row r="570" spans="1:15" x14ac:dyDescent="0.2">
      <c r="A570" s="72"/>
      <c r="B570" s="72"/>
      <c r="C570" s="31"/>
      <c r="D570" s="10">
        <f t="shared" si="42"/>
        <v>0</v>
      </c>
      <c r="E570" s="10" t="s">
        <v>3366</v>
      </c>
      <c r="F570" s="218" t="s">
        <v>3971</v>
      </c>
      <c r="G570" s="237" t="s">
        <v>3972</v>
      </c>
      <c r="H570" s="237"/>
      <c r="I570" s="10" t="s">
        <v>3343</v>
      </c>
      <c r="J570" s="31" t="s">
        <v>11</v>
      </c>
      <c r="K570" s="429">
        <f t="shared" si="43"/>
        <v>0</v>
      </c>
    </row>
    <row r="571" spans="1:15" x14ac:dyDescent="0.2">
      <c r="A571" s="72"/>
      <c r="B571" s="72">
        <v>433</v>
      </c>
      <c r="C571" s="31" t="s">
        <v>4068</v>
      </c>
      <c r="D571" s="10">
        <f t="shared" si="42"/>
        <v>0</v>
      </c>
      <c r="E571" s="10" t="s">
        <v>3366</v>
      </c>
      <c r="F571" s="218" t="s">
        <v>3952</v>
      </c>
      <c r="G571" s="237" t="s">
        <v>3953</v>
      </c>
      <c r="H571" s="237"/>
      <c r="I571" s="10" t="s">
        <v>3343</v>
      </c>
      <c r="J571" s="31" t="s">
        <v>11</v>
      </c>
      <c r="K571" s="429">
        <f t="shared" si="43"/>
        <v>0</v>
      </c>
    </row>
    <row r="572" spans="1:15" x14ac:dyDescent="0.2">
      <c r="A572" s="72"/>
      <c r="B572" s="72">
        <f>B571+1</f>
        <v>434</v>
      </c>
      <c r="C572" s="31" t="s">
        <v>4397</v>
      </c>
      <c r="D572" s="10">
        <f t="shared" si="42"/>
        <v>0</v>
      </c>
      <c r="E572" s="10" t="s">
        <v>3366</v>
      </c>
      <c r="F572" s="218" t="s">
        <v>3956</v>
      </c>
      <c r="G572" s="237" t="s">
        <v>3957</v>
      </c>
      <c r="H572" s="237"/>
      <c r="I572" s="10" t="s">
        <v>3343</v>
      </c>
      <c r="J572" s="31" t="s">
        <v>11</v>
      </c>
      <c r="K572" s="429">
        <f t="shared" si="43"/>
        <v>0</v>
      </c>
    </row>
    <row r="573" spans="1:15" x14ac:dyDescent="0.2">
      <c r="A573" s="72"/>
      <c r="B573" s="72">
        <f t="shared" ref="B573:B585" si="44">B572+1</f>
        <v>435</v>
      </c>
      <c r="C573" s="31" t="s">
        <v>3264</v>
      </c>
      <c r="D573" s="10">
        <f t="shared" si="42"/>
        <v>0</v>
      </c>
      <c r="E573" s="10" t="s">
        <v>3366</v>
      </c>
      <c r="F573" s="218" t="s">
        <v>3925</v>
      </c>
      <c r="G573" s="237" t="s">
        <v>3938</v>
      </c>
      <c r="H573" s="237"/>
      <c r="I573" s="10" t="s">
        <v>3343</v>
      </c>
      <c r="J573" s="31" t="s">
        <v>11</v>
      </c>
      <c r="K573" s="429">
        <f t="shared" si="43"/>
        <v>0</v>
      </c>
    </row>
    <row r="574" spans="1:15" x14ac:dyDescent="0.2">
      <c r="A574" s="72"/>
      <c r="B574" s="72">
        <f t="shared" si="44"/>
        <v>436</v>
      </c>
      <c r="C574" s="31" t="s">
        <v>4069</v>
      </c>
      <c r="D574" s="10">
        <f t="shared" si="42"/>
        <v>0</v>
      </c>
      <c r="E574" s="10" t="s">
        <v>3366</v>
      </c>
      <c r="F574" s="218" t="s">
        <v>3934</v>
      </c>
      <c r="G574" s="237" t="s">
        <v>4032</v>
      </c>
      <c r="H574" s="237"/>
      <c r="I574" s="10" t="s">
        <v>3343</v>
      </c>
      <c r="J574" s="31" t="s">
        <v>11</v>
      </c>
      <c r="K574" s="429">
        <f t="shared" si="43"/>
        <v>0</v>
      </c>
    </row>
    <row r="575" spans="1:15" x14ac:dyDescent="0.2">
      <c r="A575" s="72"/>
      <c r="B575" s="72">
        <f t="shared" si="44"/>
        <v>437</v>
      </c>
      <c r="C575" s="31" t="s">
        <v>3887</v>
      </c>
      <c r="D575" s="10">
        <f t="shared" si="42"/>
        <v>0</v>
      </c>
      <c r="E575" s="10" t="s">
        <v>3366</v>
      </c>
      <c r="F575" s="218" t="s">
        <v>3941</v>
      </c>
      <c r="G575" s="237" t="s">
        <v>3942</v>
      </c>
      <c r="H575" s="237"/>
      <c r="I575" s="10" t="s">
        <v>3343</v>
      </c>
      <c r="J575" s="31" t="s">
        <v>11</v>
      </c>
      <c r="K575" s="429">
        <f t="shared" si="43"/>
        <v>0</v>
      </c>
      <c r="L575" s="271"/>
      <c r="O575" s="85"/>
    </row>
    <row r="576" spans="1:15" x14ac:dyDescent="0.2">
      <c r="A576" s="72"/>
      <c r="B576" s="72">
        <f t="shared" si="44"/>
        <v>438</v>
      </c>
      <c r="C576" s="31" t="s">
        <v>4398</v>
      </c>
      <c r="D576" s="10">
        <f t="shared" si="42"/>
        <v>0</v>
      </c>
      <c r="E576" s="10" t="s">
        <v>3366</v>
      </c>
      <c r="F576" s="218" t="s">
        <v>3954</v>
      </c>
      <c r="G576" s="237" t="s">
        <v>3955</v>
      </c>
      <c r="H576" s="237"/>
      <c r="I576" s="10" t="s">
        <v>3343</v>
      </c>
      <c r="J576" s="31" t="s">
        <v>11</v>
      </c>
      <c r="K576" s="429">
        <f t="shared" si="43"/>
        <v>0</v>
      </c>
      <c r="O576" s="254"/>
    </row>
    <row r="577" spans="1:15" x14ac:dyDescent="0.2">
      <c r="A577" s="72"/>
      <c r="B577" s="72">
        <f t="shared" si="44"/>
        <v>439</v>
      </c>
      <c r="C577" s="31" t="s">
        <v>4399</v>
      </c>
      <c r="D577" s="10">
        <f t="shared" si="42"/>
        <v>0</v>
      </c>
      <c r="E577" s="10" t="s">
        <v>3366</v>
      </c>
      <c r="F577" s="218" t="s">
        <v>3390</v>
      </c>
      <c r="G577" s="237" t="s">
        <v>3943</v>
      </c>
      <c r="H577" s="237"/>
      <c r="I577" s="10" t="s">
        <v>3343</v>
      </c>
      <c r="J577" s="31" t="s">
        <v>11</v>
      </c>
      <c r="K577" s="429">
        <f t="shared" si="43"/>
        <v>0</v>
      </c>
      <c r="O577" s="85"/>
    </row>
    <row r="578" spans="1:15" x14ac:dyDescent="0.2">
      <c r="A578" s="72"/>
      <c r="B578" s="72">
        <f t="shared" si="44"/>
        <v>440</v>
      </c>
      <c r="C578" s="31" t="s">
        <v>4400</v>
      </c>
      <c r="D578" s="10">
        <f t="shared" si="42"/>
        <v>0</v>
      </c>
      <c r="E578" s="10" t="s">
        <v>3366</v>
      </c>
      <c r="F578" s="218" t="s">
        <v>3279</v>
      </c>
      <c r="G578" s="237" t="s">
        <v>3950</v>
      </c>
      <c r="H578" s="237"/>
      <c r="I578" s="10" t="s">
        <v>3343</v>
      </c>
      <c r="J578" s="31" t="s">
        <v>11</v>
      </c>
      <c r="K578" s="429">
        <f t="shared" si="43"/>
        <v>0</v>
      </c>
      <c r="O578" s="85"/>
    </row>
    <row r="579" spans="1:15" x14ac:dyDescent="0.2">
      <c r="A579" s="72"/>
      <c r="B579" s="72">
        <f t="shared" si="44"/>
        <v>441</v>
      </c>
      <c r="C579" s="31" t="s">
        <v>4401</v>
      </c>
      <c r="D579" s="10">
        <f t="shared" si="42"/>
        <v>0</v>
      </c>
      <c r="E579" s="10" t="s">
        <v>3366</v>
      </c>
      <c r="F579" s="218" t="s">
        <v>3934</v>
      </c>
      <c r="G579" s="237" t="s">
        <v>4032</v>
      </c>
      <c r="H579" s="237"/>
      <c r="I579" s="10" t="s">
        <v>3343</v>
      </c>
      <c r="J579" s="31" t="s">
        <v>11</v>
      </c>
      <c r="K579" s="429">
        <f t="shared" si="43"/>
        <v>0</v>
      </c>
      <c r="O579" s="254"/>
    </row>
    <row r="580" spans="1:15" x14ac:dyDescent="0.2">
      <c r="A580" s="72"/>
      <c r="B580" s="72">
        <f t="shared" si="44"/>
        <v>442</v>
      </c>
      <c r="C580" s="31" t="s">
        <v>4402</v>
      </c>
      <c r="D580" s="10">
        <f t="shared" si="42"/>
        <v>0</v>
      </c>
      <c r="E580" s="10" t="s">
        <v>3366</v>
      </c>
      <c r="F580" s="218" t="s">
        <v>3921</v>
      </c>
      <c r="G580" s="237" t="s">
        <v>3402</v>
      </c>
      <c r="H580" s="237"/>
      <c r="I580" s="10" t="s">
        <v>3343</v>
      </c>
      <c r="J580" s="31" t="s">
        <v>11</v>
      </c>
      <c r="K580" s="429">
        <f t="shared" si="43"/>
        <v>0</v>
      </c>
    </row>
    <row r="581" spans="1:15" x14ac:dyDescent="0.2">
      <c r="A581" s="72"/>
      <c r="B581" s="72">
        <f t="shared" si="44"/>
        <v>443</v>
      </c>
      <c r="C581" s="31" t="s">
        <v>4403</v>
      </c>
      <c r="D581" s="10">
        <f t="shared" si="42"/>
        <v>0</v>
      </c>
      <c r="E581" s="10" t="s">
        <v>3366</v>
      </c>
      <c r="F581" s="218" t="s">
        <v>3936</v>
      </c>
      <c r="G581" s="237" t="s">
        <v>3937</v>
      </c>
      <c r="H581" s="237"/>
      <c r="I581" s="10" t="s">
        <v>3343</v>
      </c>
      <c r="J581" s="31" t="s">
        <v>11</v>
      </c>
      <c r="K581" s="429">
        <f t="shared" si="43"/>
        <v>0</v>
      </c>
    </row>
    <row r="582" spans="1:15" x14ac:dyDescent="0.2">
      <c r="A582" s="72"/>
      <c r="B582" s="72">
        <f t="shared" si="44"/>
        <v>444</v>
      </c>
      <c r="C582" s="31" t="s">
        <v>4404</v>
      </c>
      <c r="D582" s="10">
        <f t="shared" si="42"/>
        <v>0</v>
      </c>
      <c r="E582" s="10" t="s">
        <v>3366</v>
      </c>
      <c r="F582" s="218" t="s">
        <v>3936</v>
      </c>
      <c r="G582" s="237" t="s">
        <v>3937</v>
      </c>
      <c r="H582" s="237"/>
      <c r="I582" s="10" t="s">
        <v>3343</v>
      </c>
      <c r="J582" s="31" t="s">
        <v>11</v>
      </c>
      <c r="K582" s="429">
        <f t="shared" si="43"/>
        <v>0</v>
      </c>
    </row>
    <row r="583" spans="1:15" x14ac:dyDescent="0.2">
      <c r="A583" s="72"/>
      <c r="B583" s="72">
        <f t="shared" si="44"/>
        <v>445</v>
      </c>
      <c r="C583" s="31" t="s">
        <v>3853</v>
      </c>
      <c r="D583" s="10">
        <f t="shared" si="42"/>
        <v>0</v>
      </c>
      <c r="E583" s="10" t="s">
        <v>3366</v>
      </c>
      <c r="F583" s="218" t="s">
        <v>3543</v>
      </c>
      <c r="G583" s="237" t="s">
        <v>4031</v>
      </c>
      <c r="H583" s="237"/>
      <c r="I583" s="10" t="s">
        <v>3343</v>
      </c>
      <c r="J583" s="31" t="s">
        <v>11</v>
      </c>
      <c r="K583" s="429">
        <f t="shared" si="43"/>
        <v>0</v>
      </c>
    </row>
    <row r="584" spans="1:15" x14ac:dyDescent="0.2">
      <c r="A584" s="72"/>
      <c r="B584" s="72">
        <f t="shared" si="44"/>
        <v>446</v>
      </c>
      <c r="C584" s="31" t="s">
        <v>3920</v>
      </c>
      <c r="D584" s="10">
        <f t="shared" si="42"/>
        <v>0</v>
      </c>
      <c r="E584" s="10" t="s">
        <v>3366</v>
      </c>
      <c r="F584" s="218" t="s">
        <v>3543</v>
      </c>
      <c r="G584" s="237" t="s">
        <v>4031</v>
      </c>
      <c r="H584" s="237"/>
      <c r="I584" s="10" t="s">
        <v>3343</v>
      </c>
      <c r="J584" s="31" t="s">
        <v>11</v>
      </c>
      <c r="K584" s="429">
        <f t="shared" si="43"/>
        <v>0</v>
      </c>
    </row>
    <row r="585" spans="1:15" x14ac:dyDescent="0.2">
      <c r="A585" s="72"/>
      <c r="B585" s="72">
        <f t="shared" si="44"/>
        <v>447</v>
      </c>
      <c r="C585" s="31" t="s">
        <v>4405</v>
      </c>
      <c r="D585" s="10">
        <f t="shared" si="42"/>
        <v>0</v>
      </c>
      <c r="E585" s="10" t="s">
        <v>3366</v>
      </c>
      <c r="F585" s="218" t="s">
        <v>3971</v>
      </c>
      <c r="G585" s="237" t="s">
        <v>3972</v>
      </c>
      <c r="H585" s="237"/>
      <c r="I585" s="10" t="s">
        <v>3343</v>
      </c>
      <c r="J585" s="31" t="s">
        <v>11</v>
      </c>
      <c r="K585" s="429">
        <f t="shared" si="43"/>
        <v>0</v>
      </c>
    </row>
    <row r="586" spans="1:15" x14ac:dyDescent="0.2">
      <c r="A586" s="72"/>
      <c r="B586" s="72"/>
      <c r="C586" s="31"/>
      <c r="D586" s="10">
        <f t="shared" si="42"/>
        <v>0</v>
      </c>
      <c r="E586" s="10" t="s">
        <v>3366</v>
      </c>
      <c r="F586" s="218" t="s">
        <v>3483</v>
      </c>
      <c r="G586" s="237" t="s">
        <v>3484</v>
      </c>
      <c r="H586" s="237"/>
      <c r="I586" s="10" t="s">
        <v>3343</v>
      </c>
      <c r="J586" s="31" t="s">
        <v>11</v>
      </c>
      <c r="K586" s="429">
        <f t="shared" si="43"/>
        <v>0</v>
      </c>
    </row>
    <row r="587" spans="1:15" x14ac:dyDescent="0.2">
      <c r="A587" s="72"/>
      <c r="B587" s="72"/>
      <c r="C587" s="31"/>
      <c r="D587" s="10">
        <f t="shared" si="42"/>
        <v>0</v>
      </c>
      <c r="E587" s="10" t="s">
        <v>3366</v>
      </c>
      <c r="F587" s="218" t="s">
        <v>3486</v>
      </c>
      <c r="G587" s="237" t="s">
        <v>3973</v>
      </c>
      <c r="H587" s="237"/>
      <c r="I587" s="10" t="s">
        <v>3343</v>
      </c>
      <c r="J587" s="31" t="s">
        <v>11</v>
      </c>
      <c r="K587" s="429">
        <f t="shared" si="43"/>
        <v>0</v>
      </c>
    </row>
    <row r="588" spans="1:15" x14ac:dyDescent="0.2">
      <c r="A588" s="72"/>
      <c r="B588" s="72">
        <v>448</v>
      </c>
      <c r="C588" s="31" t="s">
        <v>4406</v>
      </c>
      <c r="D588" s="10">
        <f t="shared" si="42"/>
        <v>0</v>
      </c>
      <c r="E588" s="10" t="s">
        <v>3366</v>
      </c>
      <c r="F588" s="218" t="s">
        <v>3936</v>
      </c>
      <c r="G588" s="237" t="s">
        <v>3937</v>
      </c>
      <c r="H588" s="237"/>
      <c r="I588" s="10" t="s">
        <v>3343</v>
      </c>
      <c r="J588" s="31" t="s">
        <v>11</v>
      </c>
      <c r="K588" s="429">
        <f t="shared" si="43"/>
        <v>0</v>
      </c>
    </row>
    <row r="589" spans="1:15" x14ac:dyDescent="0.2">
      <c r="A589" s="72"/>
      <c r="B589" s="72">
        <f>B588+1</f>
        <v>449</v>
      </c>
      <c r="C589" s="31" t="s">
        <v>4407</v>
      </c>
      <c r="D589" s="10">
        <f t="shared" si="42"/>
        <v>0</v>
      </c>
      <c r="E589" s="10" t="s">
        <v>3366</v>
      </c>
      <c r="F589" s="218" t="s">
        <v>4038</v>
      </c>
      <c r="G589" s="237" t="s">
        <v>4408</v>
      </c>
      <c r="H589" s="237"/>
      <c r="I589" s="10" t="s">
        <v>3343</v>
      </c>
      <c r="J589" s="31" t="s">
        <v>11</v>
      </c>
      <c r="K589" s="429">
        <f t="shared" si="43"/>
        <v>0</v>
      </c>
    </row>
    <row r="590" spans="1:15" x14ac:dyDescent="0.2">
      <c r="A590" s="72"/>
      <c r="B590" s="72">
        <f t="shared" ref="B590:B594" si="45">B589+1</f>
        <v>450</v>
      </c>
      <c r="C590" s="31" t="s">
        <v>4409</v>
      </c>
      <c r="D590" s="10">
        <f t="shared" si="42"/>
        <v>0</v>
      </c>
      <c r="E590" s="10" t="s">
        <v>3366</v>
      </c>
      <c r="F590" s="218" t="s">
        <v>4001</v>
      </c>
      <c r="G590" s="237" t="s">
        <v>3741</v>
      </c>
      <c r="H590" s="237"/>
      <c r="I590" s="10" t="s">
        <v>3343</v>
      </c>
      <c r="J590" s="31" t="s">
        <v>11</v>
      </c>
      <c r="K590" s="429">
        <f t="shared" si="43"/>
        <v>0</v>
      </c>
    </row>
    <row r="591" spans="1:15" x14ac:dyDescent="0.2">
      <c r="A591" s="72"/>
      <c r="B591" s="72">
        <f t="shared" si="45"/>
        <v>451</v>
      </c>
      <c r="C591" s="31" t="s">
        <v>4410</v>
      </c>
      <c r="D591" s="10">
        <f t="shared" si="42"/>
        <v>0</v>
      </c>
      <c r="E591" s="10" t="s">
        <v>3366</v>
      </c>
      <c r="F591" s="218" t="s">
        <v>3935</v>
      </c>
      <c r="G591" s="237" t="s">
        <v>3406</v>
      </c>
      <c r="H591" s="237"/>
      <c r="I591" s="10" t="s">
        <v>3343</v>
      </c>
      <c r="J591" s="31" t="s">
        <v>11</v>
      </c>
      <c r="K591" s="429">
        <f t="shared" si="43"/>
        <v>0</v>
      </c>
    </row>
    <row r="592" spans="1:15" x14ac:dyDescent="0.2">
      <c r="A592" s="72"/>
      <c r="B592" s="72">
        <f t="shared" si="45"/>
        <v>452</v>
      </c>
      <c r="C592" s="31" t="s">
        <v>4411</v>
      </c>
      <c r="D592" s="10">
        <f t="shared" si="42"/>
        <v>0</v>
      </c>
      <c r="E592" s="10" t="s">
        <v>3366</v>
      </c>
      <c r="F592" s="218" t="s">
        <v>3935</v>
      </c>
      <c r="G592" s="237" t="s">
        <v>3406</v>
      </c>
      <c r="H592" s="237"/>
      <c r="I592" s="10" t="s">
        <v>3343</v>
      </c>
      <c r="J592" s="31" t="s">
        <v>11</v>
      </c>
      <c r="K592" s="429">
        <f t="shared" si="43"/>
        <v>0</v>
      </c>
    </row>
    <row r="593" spans="1:11" x14ac:dyDescent="0.2">
      <c r="A593" s="72" t="s">
        <v>3573</v>
      </c>
      <c r="B593" s="72">
        <f t="shared" si="45"/>
        <v>453</v>
      </c>
      <c r="C593" s="31" t="s">
        <v>4412</v>
      </c>
      <c r="D593" s="10" t="str">
        <f t="shared" si="42"/>
        <v>30 Juni</v>
      </c>
      <c r="E593" s="10" t="s">
        <v>3366</v>
      </c>
      <c r="F593" s="218" t="s">
        <v>3932</v>
      </c>
      <c r="G593" s="237" t="s">
        <v>3933</v>
      </c>
      <c r="H593" s="237"/>
      <c r="I593" s="10" t="s">
        <v>3343</v>
      </c>
      <c r="J593" s="31" t="s">
        <v>11</v>
      </c>
      <c r="K593" s="429">
        <f t="shared" si="43"/>
        <v>0</v>
      </c>
    </row>
    <row r="594" spans="1:11" x14ac:dyDescent="0.2">
      <c r="A594" s="72"/>
      <c r="B594" s="72">
        <f t="shared" si="45"/>
        <v>454</v>
      </c>
      <c r="C594" s="31" t="s">
        <v>4413</v>
      </c>
      <c r="D594" s="10">
        <f t="shared" si="42"/>
        <v>0</v>
      </c>
      <c r="E594" s="10" t="s">
        <v>3366</v>
      </c>
      <c r="F594" s="218" t="s">
        <v>3960</v>
      </c>
      <c r="G594" s="237" t="s">
        <v>3456</v>
      </c>
      <c r="H594" s="237"/>
      <c r="I594" s="10" t="s">
        <v>3343</v>
      </c>
      <c r="J594" s="31" t="s">
        <v>11</v>
      </c>
      <c r="K594" s="429">
        <f t="shared" si="43"/>
        <v>0</v>
      </c>
    </row>
    <row r="595" spans="1:11" ht="12" x14ac:dyDescent="0.2">
      <c r="A595" s="658" t="s">
        <v>3556</v>
      </c>
      <c r="B595" s="659"/>
      <c r="C595" s="659"/>
      <c r="D595" s="659"/>
      <c r="E595" s="659"/>
      <c r="F595" s="659"/>
      <c r="G595" s="660"/>
      <c r="H595" s="435">
        <f>SUM(H503:H594)</f>
        <v>0</v>
      </c>
      <c r="I595" s="692" t="s">
        <v>3556</v>
      </c>
      <c r="J595" s="692"/>
      <c r="K595" s="435">
        <f>SUM(K503:K594)</f>
        <v>0</v>
      </c>
    </row>
    <row r="596" spans="1:11" ht="12" x14ac:dyDescent="0.2">
      <c r="A596" s="658" t="s">
        <v>3557</v>
      </c>
      <c r="B596" s="659"/>
      <c r="C596" s="659"/>
      <c r="D596" s="659"/>
      <c r="E596" s="659"/>
      <c r="F596" s="659"/>
      <c r="G596" s="660"/>
      <c r="H596" s="435">
        <f>H488</f>
        <v>0</v>
      </c>
      <c r="I596" s="692" t="s">
        <v>3557</v>
      </c>
      <c r="J596" s="692"/>
      <c r="K596" s="435">
        <f>K488</f>
        <v>0</v>
      </c>
    </row>
    <row r="597" spans="1:11" ht="12.75" thickBot="1" x14ac:dyDescent="0.25">
      <c r="A597" s="640" t="s">
        <v>3558</v>
      </c>
      <c r="B597" s="641"/>
      <c r="C597" s="641"/>
      <c r="D597" s="641"/>
      <c r="E597" s="641"/>
      <c r="F597" s="641"/>
      <c r="G597" s="642"/>
      <c r="H597" s="436">
        <f>SUM(H595:H596)</f>
        <v>0</v>
      </c>
      <c r="I597" s="693" t="s">
        <v>3558</v>
      </c>
      <c r="J597" s="693"/>
      <c r="K597" s="436">
        <f>SUM(K595:K596)</f>
        <v>0</v>
      </c>
    </row>
    <row r="598" spans="1:11" x14ac:dyDescent="0.2">
      <c r="A598" s="240"/>
      <c r="B598" s="240"/>
      <c r="C598" s="240"/>
      <c r="D598" s="240"/>
      <c r="E598" s="240"/>
      <c r="F598" s="240"/>
      <c r="G598" s="240"/>
      <c r="H598" s="433"/>
      <c r="I598" s="433"/>
      <c r="J598" s="433"/>
      <c r="K598" s="433"/>
    </row>
    <row r="599" spans="1:11" ht="12" x14ac:dyDescent="0.2">
      <c r="G599" s="260" t="s">
        <v>3569</v>
      </c>
      <c r="H599" s="271">
        <f>26115000+22753978+92126909+398936500+11735500+7399101+6160000+5740000+300000+500000+4438661+2696516+552000+443171015+550000</f>
        <v>1023175180</v>
      </c>
      <c r="I599" s="439"/>
    </row>
    <row r="600" spans="1:11" ht="12" x14ac:dyDescent="0.2">
      <c r="G600" s="260"/>
      <c r="H600" s="271">
        <f>H595-H599</f>
        <v>-1023175180</v>
      </c>
      <c r="I600" s="691" t="s">
        <v>3537</v>
      </c>
      <c r="J600" s="691"/>
      <c r="K600" s="691"/>
    </row>
    <row r="601" spans="1:11" ht="12" x14ac:dyDescent="0.2">
      <c r="G601" s="260"/>
      <c r="H601" s="271"/>
      <c r="I601" s="691" t="s">
        <v>3788</v>
      </c>
      <c r="J601" s="691"/>
      <c r="K601" s="691"/>
    </row>
    <row r="602" spans="1:11" ht="12" x14ac:dyDescent="0.2">
      <c r="G602" s="260"/>
      <c r="H602" s="271"/>
      <c r="I602" s="691"/>
      <c r="J602" s="691"/>
      <c r="K602" s="691"/>
    </row>
    <row r="603" spans="1:11" ht="12" x14ac:dyDescent="0.2">
      <c r="G603" s="260"/>
      <c r="H603" s="271"/>
      <c r="I603" s="691"/>
      <c r="J603" s="691"/>
      <c r="K603" s="691"/>
    </row>
    <row r="604" spans="1:11" ht="12" x14ac:dyDescent="0.2">
      <c r="G604" s="260"/>
      <c r="H604" s="271"/>
      <c r="I604" s="691" t="s">
        <v>3538</v>
      </c>
      <c r="J604" s="691"/>
      <c r="K604" s="691"/>
    </row>
    <row r="605" spans="1:11" x14ac:dyDescent="0.2">
      <c r="A605" s="472"/>
      <c r="B605" s="472"/>
      <c r="F605" s="278"/>
      <c r="G605" s="178"/>
      <c r="H605" s="178"/>
      <c r="K605" s="254"/>
    </row>
    <row r="606" spans="1:11" x14ac:dyDescent="0.2">
      <c r="A606" s="472"/>
      <c r="B606" s="472"/>
      <c r="F606" s="278"/>
      <c r="H606" s="178"/>
      <c r="K606" s="254"/>
    </row>
    <row r="607" spans="1:11" x14ac:dyDescent="0.2">
      <c r="A607" s="472"/>
      <c r="B607" s="472"/>
      <c r="F607" s="278"/>
      <c r="G607" s="178"/>
      <c r="H607" s="178"/>
      <c r="K607" s="254"/>
    </row>
    <row r="608" spans="1:11" x14ac:dyDescent="0.2">
      <c r="A608" s="472"/>
      <c r="B608" s="472"/>
      <c r="F608" s="278"/>
      <c r="G608" s="178"/>
      <c r="H608" s="178"/>
      <c r="K608" s="254"/>
    </row>
    <row r="609" spans="1:11" x14ac:dyDescent="0.2">
      <c r="A609" s="472"/>
      <c r="B609" s="472"/>
      <c r="F609" s="278"/>
      <c r="G609" s="178"/>
      <c r="H609" s="178"/>
      <c r="K609" s="254"/>
    </row>
    <row r="610" spans="1:11" x14ac:dyDescent="0.2">
      <c r="A610" s="472"/>
      <c r="B610" s="472"/>
      <c r="F610" s="278"/>
      <c r="G610" s="178"/>
      <c r="H610" s="178"/>
      <c r="K610" s="254"/>
    </row>
    <row r="611" spans="1:11" x14ac:dyDescent="0.2">
      <c r="A611" s="472"/>
      <c r="B611" s="472"/>
      <c r="F611" s="278"/>
      <c r="G611" s="178"/>
      <c r="H611" s="178"/>
      <c r="K611" s="254"/>
    </row>
    <row r="612" spans="1:11" x14ac:dyDescent="0.2">
      <c r="A612" s="472"/>
      <c r="B612" s="472"/>
      <c r="F612" s="278"/>
      <c r="G612" s="178"/>
      <c r="H612" s="178"/>
      <c r="K612" s="254"/>
    </row>
    <row r="613" spans="1:11" x14ac:dyDescent="0.2">
      <c r="A613" s="472"/>
      <c r="B613" s="472"/>
      <c r="F613" s="278"/>
      <c r="G613" s="178"/>
      <c r="H613" s="178"/>
      <c r="K613" s="254"/>
    </row>
    <row r="614" spans="1:11" x14ac:dyDescent="0.2">
      <c r="A614" s="472"/>
      <c r="B614" s="472"/>
      <c r="F614" s="278"/>
      <c r="G614" s="178"/>
      <c r="H614" s="178"/>
      <c r="K614" s="254"/>
    </row>
    <row r="615" spans="1:11" x14ac:dyDescent="0.2">
      <c r="A615" s="472"/>
      <c r="B615" s="472"/>
      <c r="F615" s="278"/>
      <c r="G615" s="178"/>
      <c r="H615" s="178"/>
      <c r="K615" s="254"/>
    </row>
    <row r="616" spans="1:11" x14ac:dyDescent="0.2">
      <c r="A616" s="472"/>
      <c r="B616" s="472"/>
      <c r="F616" s="278"/>
      <c r="G616" s="178"/>
      <c r="H616" s="178"/>
      <c r="K616" s="254"/>
    </row>
    <row r="617" spans="1:11" x14ac:dyDescent="0.2">
      <c r="A617" s="472"/>
      <c r="B617" s="472"/>
      <c r="F617" s="278"/>
      <c r="G617" s="178"/>
      <c r="H617" s="178"/>
      <c r="K617" s="254"/>
    </row>
    <row r="618" spans="1:11" x14ac:dyDescent="0.2">
      <c r="A618" s="472"/>
      <c r="B618" s="472"/>
      <c r="F618" s="278"/>
      <c r="G618" s="178"/>
      <c r="H618" s="178"/>
      <c r="K618" s="254"/>
    </row>
    <row r="619" spans="1:11" x14ac:dyDescent="0.2">
      <c r="A619" s="472"/>
      <c r="B619" s="472"/>
      <c r="F619" s="278"/>
      <c r="G619" s="178"/>
      <c r="H619" s="178"/>
      <c r="K619" s="254"/>
    </row>
    <row r="620" spans="1:11" x14ac:dyDescent="0.2">
      <c r="A620" s="472"/>
      <c r="B620" s="472"/>
      <c r="F620" s="278"/>
      <c r="G620" s="178"/>
      <c r="H620" s="178"/>
      <c r="K620" s="254"/>
    </row>
    <row r="621" spans="1:11" x14ac:dyDescent="0.2">
      <c r="A621" s="472"/>
      <c r="B621" s="472"/>
      <c r="F621" s="278"/>
      <c r="G621" s="473"/>
      <c r="H621" s="178"/>
      <c r="K621" s="254"/>
    </row>
    <row r="622" spans="1:11" ht="12" x14ac:dyDescent="0.2">
      <c r="A622" s="656"/>
      <c r="B622" s="656"/>
      <c r="C622" s="656"/>
      <c r="D622" s="656"/>
      <c r="E622" s="656"/>
      <c r="F622" s="656"/>
      <c r="G622" s="656"/>
      <c r="H622" s="441"/>
      <c r="I622" s="694"/>
      <c r="J622" s="694"/>
      <c r="K622" s="441"/>
    </row>
    <row r="623" spans="1:11" ht="12" x14ac:dyDescent="0.2">
      <c r="A623" s="656"/>
      <c r="B623" s="656"/>
      <c r="C623" s="656"/>
      <c r="D623" s="656"/>
      <c r="E623" s="656"/>
      <c r="F623" s="656"/>
      <c r="G623" s="656"/>
      <c r="H623" s="441"/>
      <c r="I623" s="694"/>
      <c r="J623" s="694"/>
      <c r="K623" s="441"/>
    </row>
    <row r="624" spans="1:11" ht="12" x14ac:dyDescent="0.2">
      <c r="A624" s="656"/>
      <c r="B624" s="656"/>
      <c r="C624" s="656"/>
      <c r="D624" s="656"/>
      <c r="E624" s="656"/>
      <c r="F624" s="656"/>
      <c r="G624" s="656"/>
      <c r="H624" s="441"/>
      <c r="I624" s="694"/>
      <c r="J624" s="694"/>
      <c r="K624" s="441"/>
    </row>
    <row r="625" spans="1:11" x14ac:dyDescent="0.2">
      <c r="A625" s="240"/>
      <c r="B625" s="240"/>
      <c r="C625" s="240"/>
      <c r="D625" s="240"/>
      <c r="E625" s="240"/>
      <c r="F625" s="240"/>
      <c r="G625" s="240"/>
      <c r="H625" s="433"/>
      <c r="I625" s="433"/>
      <c r="J625" s="433"/>
      <c r="K625" s="433"/>
    </row>
    <row r="626" spans="1:11" ht="12" x14ac:dyDescent="0.2">
      <c r="G626" s="260"/>
      <c r="H626" s="178"/>
      <c r="I626" s="439"/>
    </row>
    <row r="627" spans="1:11" ht="12" x14ac:dyDescent="0.2">
      <c r="G627" s="260"/>
      <c r="H627" s="178"/>
      <c r="I627" s="439"/>
      <c r="K627" s="178"/>
    </row>
    <row r="628" spans="1:11" ht="12" x14ac:dyDescent="0.2">
      <c r="G628" s="260"/>
      <c r="H628" s="178"/>
      <c r="I628" s="439"/>
    </row>
    <row r="629" spans="1:11" ht="12.75" x14ac:dyDescent="0.2">
      <c r="A629" s="1"/>
      <c r="B629" s="305"/>
      <c r="C629" s="143"/>
      <c r="D629" s="305"/>
      <c r="E629" s="305"/>
      <c r="F629" s="305"/>
      <c r="G629" s="143"/>
      <c r="H629" s="143"/>
      <c r="I629" s="305"/>
      <c r="J629" s="143"/>
      <c r="K629" s="143"/>
    </row>
    <row r="630" spans="1:11" ht="12.75" x14ac:dyDescent="0.2">
      <c r="A630" s="428"/>
      <c r="B630" s="305"/>
      <c r="C630" s="143"/>
      <c r="D630" s="305"/>
      <c r="E630" s="305"/>
      <c r="F630" s="305"/>
      <c r="G630" s="143"/>
      <c r="H630" s="143"/>
      <c r="I630" s="305"/>
      <c r="J630" s="143"/>
      <c r="K630" s="143"/>
    </row>
    <row r="631" spans="1:11" ht="12.75" x14ac:dyDescent="0.2">
      <c r="A631" s="428"/>
      <c r="B631" s="305"/>
      <c r="C631" s="143"/>
      <c r="D631" s="305"/>
      <c r="E631" s="305"/>
      <c r="F631" s="305"/>
      <c r="G631" s="143"/>
      <c r="H631" s="143"/>
      <c r="I631" s="305"/>
      <c r="J631" s="143"/>
      <c r="K631" s="143"/>
    </row>
    <row r="632" spans="1:11" ht="12.75" x14ac:dyDescent="0.2">
      <c r="A632" s="428"/>
      <c r="B632" s="305"/>
      <c r="C632" s="143"/>
      <c r="D632" s="305"/>
      <c r="E632" s="305"/>
      <c r="F632" s="305"/>
      <c r="G632" s="143"/>
      <c r="H632" s="143"/>
      <c r="I632" s="305"/>
      <c r="J632" s="143"/>
      <c r="K632" s="143"/>
    </row>
    <row r="633" spans="1:11" ht="12.75" x14ac:dyDescent="0.2">
      <c r="A633" s="428"/>
      <c r="B633" s="305"/>
      <c r="C633" s="143"/>
      <c r="D633" s="305"/>
      <c r="E633" s="305"/>
      <c r="F633" s="305"/>
      <c r="G633" s="143"/>
      <c r="H633" s="143"/>
      <c r="I633" s="305"/>
      <c r="J633" s="143"/>
      <c r="K633" s="143"/>
    </row>
    <row r="634" spans="1:11" ht="12.75" x14ac:dyDescent="0.2">
      <c r="A634" s="428"/>
      <c r="B634" s="305"/>
      <c r="C634" s="143"/>
      <c r="D634" s="305"/>
      <c r="E634" s="305"/>
      <c r="F634" s="305"/>
      <c r="G634" s="143"/>
      <c r="H634" s="143"/>
      <c r="I634" s="305"/>
      <c r="J634" s="143"/>
      <c r="K634" s="143"/>
    </row>
    <row r="635" spans="1:11" ht="12.75" x14ac:dyDescent="0.2">
      <c r="A635" s="428"/>
      <c r="B635" s="305"/>
      <c r="C635" s="143"/>
      <c r="D635" s="305"/>
      <c r="E635" s="305"/>
      <c r="F635" s="305"/>
      <c r="G635" s="143"/>
      <c r="H635" s="143"/>
      <c r="I635" s="305"/>
      <c r="J635" s="143"/>
      <c r="K635" s="143"/>
    </row>
    <row r="636" spans="1:11" ht="12.75" x14ac:dyDescent="0.2">
      <c r="A636" s="428"/>
      <c r="B636" s="305"/>
      <c r="C636" s="143"/>
      <c r="D636" s="305"/>
      <c r="E636" s="305"/>
      <c r="F636" s="305"/>
      <c r="G636" s="143"/>
      <c r="H636" s="143"/>
      <c r="I636" s="305"/>
      <c r="J636" s="143"/>
      <c r="K636" s="143"/>
    </row>
    <row r="637" spans="1:11" ht="12.75" x14ac:dyDescent="0.2">
      <c r="A637" s="428"/>
      <c r="B637" s="305"/>
      <c r="C637" s="143"/>
      <c r="D637" s="305"/>
      <c r="E637" s="305"/>
      <c r="F637" s="305"/>
      <c r="G637" s="143"/>
      <c r="H637" s="143"/>
      <c r="I637" s="305"/>
      <c r="J637" s="143"/>
      <c r="K637" s="143"/>
    </row>
    <row r="638" spans="1:11" ht="12.75" x14ac:dyDescent="0.2">
      <c r="A638" s="428"/>
      <c r="B638" s="305"/>
      <c r="C638" s="143"/>
      <c r="D638" s="305"/>
      <c r="E638" s="305"/>
      <c r="F638" s="305"/>
      <c r="G638" s="143"/>
      <c r="H638" s="143"/>
      <c r="I638" s="305"/>
      <c r="J638" s="143"/>
      <c r="K638" s="143"/>
    </row>
    <row r="639" spans="1:11" ht="12.75" x14ac:dyDescent="0.2">
      <c r="A639" s="687"/>
      <c r="B639" s="687"/>
      <c r="C639" s="687"/>
      <c r="D639" s="687"/>
      <c r="E639" s="687"/>
      <c r="F639" s="687"/>
      <c r="G639" s="687"/>
      <c r="H639" s="687"/>
      <c r="I639" s="687"/>
      <c r="J639" s="687"/>
      <c r="K639" s="687"/>
    </row>
    <row r="640" spans="1:11" ht="12.75" x14ac:dyDescent="0.2">
      <c r="A640" s="687"/>
      <c r="B640" s="687"/>
      <c r="C640" s="687"/>
      <c r="D640" s="687"/>
      <c r="E640" s="687"/>
      <c r="F640" s="687"/>
      <c r="G640" s="687"/>
      <c r="H640" s="687"/>
      <c r="I640" s="687"/>
      <c r="J640" s="687"/>
      <c r="K640" s="687"/>
    </row>
    <row r="641" spans="1:12" x14ac:dyDescent="0.2">
      <c r="A641" s="18"/>
      <c r="B641" s="18"/>
      <c r="C641" s="18"/>
      <c r="D641" s="18"/>
      <c r="E641" s="18"/>
      <c r="F641" s="18"/>
      <c r="G641" s="18"/>
      <c r="H641" s="18"/>
      <c r="I641" s="18"/>
      <c r="J641" s="18"/>
      <c r="K641" s="18"/>
    </row>
    <row r="642" spans="1:12" x14ac:dyDescent="0.2">
      <c r="A642" s="677"/>
      <c r="B642" s="677"/>
      <c r="C642" s="643"/>
      <c r="D642" s="677"/>
      <c r="E642" s="677"/>
      <c r="F642" s="699"/>
      <c r="G642" s="699"/>
      <c r="H642" s="699"/>
      <c r="I642" s="699"/>
      <c r="J642" s="699"/>
      <c r="K642" s="699"/>
    </row>
    <row r="643" spans="1:12" x14ac:dyDescent="0.2">
      <c r="A643" s="643"/>
      <c r="B643" s="643"/>
      <c r="C643" s="643"/>
      <c r="D643" s="699"/>
      <c r="E643" s="699"/>
      <c r="F643" s="699"/>
      <c r="G643" s="699"/>
      <c r="H643" s="699"/>
      <c r="I643" s="699"/>
      <c r="J643" s="699"/>
      <c r="K643" s="699"/>
    </row>
    <row r="644" spans="1:12" x14ac:dyDescent="0.2">
      <c r="A644" s="643"/>
      <c r="B644" s="643"/>
      <c r="C644" s="643"/>
      <c r="D644" s="699"/>
      <c r="E644" s="699"/>
      <c r="F644" s="699"/>
      <c r="G644" s="699"/>
      <c r="H644" s="699"/>
      <c r="I644" s="699"/>
      <c r="J644" s="699"/>
      <c r="K644" s="699"/>
    </row>
    <row r="645" spans="1:12" ht="12.75" x14ac:dyDescent="0.2">
      <c r="A645" s="428" t="s">
        <v>3747</v>
      </c>
      <c r="B645" s="305"/>
      <c r="C645" s="143"/>
      <c r="D645" s="305"/>
      <c r="E645" s="305"/>
      <c r="F645" s="305"/>
      <c r="G645" s="143"/>
      <c r="H645" s="143"/>
      <c r="I645" s="305"/>
      <c r="J645" s="143"/>
      <c r="K645" s="143"/>
      <c r="L645" s="440"/>
    </row>
    <row r="646" spans="1:12" ht="12.75" x14ac:dyDescent="0.2">
      <c r="A646" s="428" t="s">
        <v>3748</v>
      </c>
      <c r="B646" s="305"/>
      <c r="C646" s="143"/>
      <c r="D646" s="305"/>
      <c r="E646" s="305"/>
      <c r="F646" s="305"/>
      <c r="G646" s="143"/>
      <c r="H646" s="143"/>
      <c r="I646" s="305"/>
      <c r="J646" s="143"/>
      <c r="K646" s="143"/>
    </row>
    <row r="647" spans="1:12" ht="12.75" x14ac:dyDescent="0.2">
      <c r="A647" s="687" t="s">
        <v>3345</v>
      </c>
      <c r="B647" s="687"/>
      <c r="C647" s="687"/>
      <c r="D647" s="687"/>
      <c r="E647" s="687"/>
      <c r="F647" s="687"/>
      <c r="G647" s="687"/>
      <c r="H647" s="687"/>
      <c r="I647" s="687"/>
      <c r="J647" s="687"/>
      <c r="K647" s="687"/>
    </row>
    <row r="648" spans="1:12" ht="12.75" x14ac:dyDescent="0.2">
      <c r="A648" s="687" t="s">
        <v>3576</v>
      </c>
      <c r="B648" s="687"/>
      <c r="C648" s="687"/>
      <c r="D648" s="687"/>
      <c r="E648" s="687"/>
      <c r="F648" s="687"/>
      <c r="G648" s="687"/>
      <c r="H648" s="687"/>
      <c r="I648" s="687"/>
      <c r="J648" s="687"/>
      <c r="K648" s="687"/>
    </row>
    <row r="649" spans="1:12" x14ac:dyDescent="0.2">
      <c r="A649" s="18"/>
      <c r="B649" s="18"/>
      <c r="C649" s="18"/>
      <c r="D649" s="18"/>
      <c r="E649" s="18"/>
      <c r="F649" s="18"/>
      <c r="G649" s="18"/>
      <c r="H649" s="18"/>
      <c r="I649" s="18"/>
      <c r="J649" s="18"/>
      <c r="K649" s="18"/>
    </row>
    <row r="650" spans="1:12" x14ac:dyDescent="0.2">
      <c r="A650" s="678" t="s">
        <v>3346</v>
      </c>
      <c r="B650" s="679"/>
      <c r="C650" s="680" t="s">
        <v>13</v>
      </c>
      <c r="D650" s="678" t="s">
        <v>3347</v>
      </c>
      <c r="E650" s="679"/>
      <c r="F650" s="688" t="s">
        <v>90</v>
      </c>
      <c r="G650" s="689"/>
      <c r="H650" s="690"/>
      <c r="I650" s="688" t="s">
        <v>10</v>
      </c>
      <c r="J650" s="689"/>
      <c r="K650" s="690"/>
    </row>
    <row r="651" spans="1:12" x14ac:dyDescent="0.2">
      <c r="A651" s="680" t="s">
        <v>12</v>
      </c>
      <c r="B651" s="680" t="s">
        <v>21</v>
      </c>
      <c r="C651" s="681"/>
      <c r="D651" s="665" t="s">
        <v>12</v>
      </c>
      <c r="E651" s="665" t="s">
        <v>3348</v>
      </c>
      <c r="F651" s="665" t="s">
        <v>3285</v>
      </c>
      <c r="G651" s="665" t="s">
        <v>3282</v>
      </c>
      <c r="H651" s="665" t="s">
        <v>3539</v>
      </c>
      <c r="I651" s="665" t="s">
        <v>3285</v>
      </c>
      <c r="J651" s="665" t="s">
        <v>3282</v>
      </c>
      <c r="K651" s="665" t="s">
        <v>3539</v>
      </c>
    </row>
    <row r="652" spans="1:12" x14ac:dyDescent="0.2">
      <c r="A652" s="682"/>
      <c r="B652" s="682"/>
      <c r="C652" s="682"/>
      <c r="D652" s="667"/>
      <c r="E652" s="667"/>
      <c r="F652" s="667"/>
      <c r="G652" s="667"/>
      <c r="H652" s="667"/>
      <c r="I652" s="667"/>
      <c r="J652" s="667"/>
      <c r="K652" s="667"/>
    </row>
    <row r="653" spans="1:12" x14ac:dyDescent="0.2">
      <c r="A653" s="210" t="s">
        <v>3692</v>
      </c>
      <c r="B653" s="210">
        <v>455</v>
      </c>
      <c r="C653" s="280" t="s">
        <v>4425</v>
      </c>
      <c r="D653" s="10" t="str">
        <f t="shared" ref="D653:D719" si="46">A653</f>
        <v>01 Juli</v>
      </c>
      <c r="E653" s="6" t="s">
        <v>3366</v>
      </c>
      <c r="F653" s="235" t="s">
        <v>4013</v>
      </c>
      <c r="G653" s="266" t="s">
        <v>3526</v>
      </c>
      <c r="H653" s="236"/>
      <c r="I653" s="10" t="s">
        <v>3343</v>
      </c>
      <c r="J653" s="31" t="s">
        <v>11</v>
      </c>
      <c r="K653" s="429">
        <f>H653</f>
        <v>0</v>
      </c>
    </row>
    <row r="654" spans="1:12" x14ac:dyDescent="0.2">
      <c r="A654" s="72" t="s">
        <v>4426</v>
      </c>
      <c r="B654" s="72">
        <v>456</v>
      </c>
      <c r="C654" s="267" t="s">
        <v>4427</v>
      </c>
      <c r="D654" s="10" t="str">
        <f t="shared" si="46"/>
        <v>03 Juli</v>
      </c>
      <c r="E654" s="10" t="s">
        <v>3366</v>
      </c>
      <c r="F654" s="218" t="s">
        <v>3922</v>
      </c>
      <c r="G654" s="264" t="s">
        <v>3984</v>
      </c>
      <c r="H654" s="237"/>
      <c r="I654" s="10" t="s">
        <v>3343</v>
      </c>
      <c r="J654" s="31" t="s">
        <v>11</v>
      </c>
      <c r="K654" s="429">
        <f t="shared" ref="K654:K720" si="47">H654</f>
        <v>0</v>
      </c>
    </row>
    <row r="655" spans="1:12" x14ac:dyDescent="0.2">
      <c r="A655" s="72" t="s">
        <v>4428</v>
      </c>
      <c r="B655" s="72">
        <v>457</v>
      </c>
      <c r="C655" s="267" t="s">
        <v>4429</v>
      </c>
      <c r="D655" s="10" t="str">
        <f t="shared" si="46"/>
        <v>04 Juli</v>
      </c>
      <c r="E655" s="10" t="s">
        <v>3366</v>
      </c>
      <c r="F655" s="218" t="s">
        <v>3935</v>
      </c>
      <c r="G655" s="264" t="s">
        <v>3406</v>
      </c>
      <c r="H655" s="237"/>
      <c r="I655" s="10" t="s">
        <v>3343</v>
      </c>
      <c r="J655" s="31" t="s">
        <v>11</v>
      </c>
      <c r="K655" s="429">
        <f t="shared" si="47"/>
        <v>0</v>
      </c>
    </row>
    <row r="656" spans="1:12" x14ac:dyDescent="0.2">
      <c r="A656" s="72" t="s">
        <v>4430</v>
      </c>
      <c r="B656" s="72">
        <v>458</v>
      </c>
      <c r="C656" s="267" t="s">
        <v>4431</v>
      </c>
      <c r="D656" s="10" t="str">
        <f t="shared" si="46"/>
        <v>07 Juli</v>
      </c>
      <c r="E656" s="10" t="s">
        <v>3366</v>
      </c>
      <c r="F656" s="218" t="s">
        <v>3921</v>
      </c>
      <c r="G656" s="264" t="s">
        <v>3402</v>
      </c>
      <c r="H656" s="237"/>
      <c r="I656" s="10" t="s">
        <v>3343</v>
      </c>
      <c r="J656" s="31" t="s">
        <v>11</v>
      </c>
      <c r="K656" s="429">
        <f t="shared" si="47"/>
        <v>0</v>
      </c>
    </row>
    <row r="657" spans="1:11" x14ac:dyDescent="0.2">
      <c r="A657" s="72"/>
      <c r="B657" s="72">
        <v>459</v>
      </c>
      <c r="C657" s="267" t="s">
        <v>4432</v>
      </c>
      <c r="D657" s="10">
        <f t="shared" si="46"/>
        <v>0</v>
      </c>
      <c r="E657" s="10" t="s">
        <v>3366</v>
      </c>
      <c r="F657" s="218" t="s">
        <v>3954</v>
      </c>
      <c r="G657" s="264" t="s">
        <v>3955</v>
      </c>
      <c r="H657" s="237"/>
      <c r="I657" s="10" t="s">
        <v>3343</v>
      </c>
      <c r="J657" s="31" t="s">
        <v>11</v>
      </c>
      <c r="K657" s="429">
        <f t="shared" si="47"/>
        <v>0</v>
      </c>
    </row>
    <row r="658" spans="1:11" x14ac:dyDescent="0.2">
      <c r="A658" s="72" t="s">
        <v>4433</v>
      </c>
      <c r="B658" s="72">
        <v>460</v>
      </c>
      <c r="C658" s="267" t="s">
        <v>3845</v>
      </c>
      <c r="D658" s="10" t="str">
        <f t="shared" si="46"/>
        <v>08 Juli</v>
      </c>
      <c r="E658" s="10" t="s">
        <v>3366</v>
      </c>
      <c r="F658" s="218" t="s">
        <v>3929</v>
      </c>
      <c r="G658" s="264" t="s">
        <v>3930</v>
      </c>
      <c r="H658" s="237"/>
      <c r="I658" s="10" t="s">
        <v>3343</v>
      </c>
      <c r="J658" s="31" t="s">
        <v>11</v>
      </c>
      <c r="K658" s="429">
        <f t="shared" si="47"/>
        <v>0</v>
      </c>
    </row>
    <row r="659" spans="1:11" x14ac:dyDescent="0.2">
      <c r="A659" s="72"/>
      <c r="B659" s="72">
        <v>461</v>
      </c>
      <c r="C659" s="267" t="s">
        <v>4434</v>
      </c>
      <c r="D659" s="10">
        <f t="shared" si="46"/>
        <v>0</v>
      </c>
      <c r="E659" s="10" t="s">
        <v>3366</v>
      </c>
      <c r="F659" s="218" t="s">
        <v>3935</v>
      </c>
      <c r="G659" s="264" t="s">
        <v>3406</v>
      </c>
      <c r="H659" s="237"/>
      <c r="I659" s="10" t="s">
        <v>3343</v>
      </c>
      <c r="J659" s="31" t="s">
        <v>11</v>
      </c>
      <c r="K659" s="429">
        <f t="shared" si="47"/>
        <v>0</v>
      </c>
    </row>
    <row r="660" spans="1:11" x14ac:dyDescent="0.2">
      <c r="A660" s="72"/>
      <c r="B660" s="72">
        <v>462</v>
      </c>
      <c r="C660" s="267" t="s">
        <v>4435</v>
      </c>
      <c r="D660" s="10">
        <f t="shared" si="46"/>
        <v>0</v>
      </c>
      <c r="E660" s="10" t="s">
        <v>3366</v>
      </c>
      <c r="F660" s="218" t="s">
        <v>3939</v>
      </c>
      <c r="G660" s="264" t="s">
        <v>3940</v>
      </c>
      <c r="H660" s="237"/>
      <c r="I660" s="10" t="s">
        <v>3343</v>
      </c>
      <c r="J660" s="31" t="s">
        <v>11</v>
      </c>
      <c r="K660" s="429">
        <f t="shared" si="47"/>
        <v>0</v>
      </c>
    </row>
    <row r="661" spans="1:11" x14ac:dyDescent="0.2">
      <c r="A661" s="72" t="s">
        <v>4436</v>
      </c>
      <c r="B661" s="72">
        <v>463</v>
      </c>
      <c r="C661" s="267" t="s">
        <v>3844</v>
      </c>
      <c r="D661" s="10" t="str">
        <f t="shared" si="46"/>
        <v>09 Juli</v>
      </c>
      <c r="E661" s="10" t="s">
        <v>3366</v>
      </c>
      <c r="F661" s="218" t="s">
        <v>3925</v>
      </c>
      <c r="G661" s="264" t="s">
        <v>4437</v>
      </c>
      <c r="H661" s="237"/>
      <c r="I661" s="10" t="s">
        <v>3343</v>
      </c>
      <c r="J661" s="31" t="s">
        <v>11</v>
      </c>
      <c r="K661" s="429">
        <f t="shared" si="47"/>
        <v>0</v>
      </c>
    </row>
    <row r="662" spans="1:11" x14ac:dyDescent="0.2">
      <c r="A662" s="72"/>
      <c r="B662" s="72"/>
      <c r="C662" s="267"/>
      <c r="D662" s="10">
        <f t="shared" si="46"/>
        <v>0</v>
      </c>
      <c r="E662" s="10" t="s">
        <v>3366</v>
      </c>
      <c r="F662" s="218" t="s">
        <v>3543</v>
      </c>
      <c r="G662" s="264" t="s">
        <v>3927</v>
      </c>
      <c r="H662" s="237"/>
      <c r="I662" s="10" t="s">
        <v>3343</v>
      </c>
      <c r="J662" s="31" t="s">
        <v>11</v>
      </c>
      <c r="K662" s="429">
        <f t="shared" si="47"/>
        <v>0</v>
      </c>
    </row>
    <row r="663" spans="1:11" x14ac:dyDescent="0.2">
      <c r="A663" s="10"/>
      <c r="B663" s="72"/>
      <c r="C663" s="267"/>
      <c r="D663" s="10">
        <f t="shared" si="46"/>
        <v>0</v>
      </c>
      <c r="E663" s="10" t="s">
        <v>3366</v>
      </c>
      <c r="F663" s="218" t="s">
        <v>3520</v>
      </c>
      <c r="G663" s="264" t="s">
        <v>3928</v>
      </c>
      <c r="H663" s="237"/>
      <c r="I663" s="10" t="s">
        <v>3343</v>
      </c>
      <c r="J663" s="31" t="s">
        <v>11</v>
      </c>
      <c r="K663" s="429">
        <f t="shared" si="47"/>
        <v>0</v>
      </c>
    </row>
    <row r="664" spans="1:11" x14ac:dyDescent="0.2">
      <c r="A664" s="72"/>
      <c r="B664" s="72">
        <v>464</v>
      </c>
      <c r="C664" s="267" t="s">
        <v>4438</v>
      </c>
      <c r="D664" s="10">
        <f t="shared" si="46"/>
        <v>0</v>
      </c>
      <c r="E664" s="10" t="s">
        <v>3366</v>
      </c>
      <c r="F664" s="218" t="s">
        <v>3932</v>
      </c>
      <c r="G664" s="264" t="s">
        <v>3933</v>
      </c>
      <c r="H664" s="237"/>
      <c r="I664" s="10" t="s">
        <v>3343</v>
      </c>
      <c r="J664" s="31" t="s">
        <v>11</v>
      </c>
      <c r="K664" s="429">
        <f t="shared" si="47"/>
        <v>0</v>
      </c>
    </row>
    <row r="665" spans="1:11" x14ac:dyDescent="0.2">
      <c r="A665" s="72" t="s">
        <v>3752</v>
      </c>
      <c r="B665" s="72">
        <v>465</v>
      </c>
      <c r="C665" s="267" t="s">
        <v>4439</v>
      </c>
      <c r="D665" s="10" t="str">
        <f t="shared" si="46"/>
        <v>10 Juli</v>
      </c>
      <c r="E665" s="10" t="s">
        <v>3366</v>
      </c>
      <c r="F665" s="218" t="s">
        <v>3989</v>
      </c>
      <c r="G665" s="264" t="s">
        <v>3990</v>
      </c>
      <c r="H665" s="237"/>
      <c r="I665" s="10" t="s">
        <v>3343</v>
      </c>
      <c r="J665" s="31" t="s">
        <v>11</v>
      </c>
      <c r="K665" s="429">
        <f t="shared" si="47"/>
        <v>0</v>
      </c>
    </row>
    <row r="666" spans="1:11" x14ac:dyDescent="0.2">
      <c r="A666" s="72"/>
      <c r="B666" s="72">
        <v>466</v>
      </c>
      <c r="C666" s="267" t="s">
        <v>4440</v>
      </c>
      <c r="D666" s="10">
        <f t="shared" si="46"/>
        <v>0</v>
      </c>
      <c r="E666" s="10" t="s">
        <v>3366</v>
      </c>
      <c r="F666" s="218" t="s">
        <v>4013</v>
      </c>
      <c r="G666" s="264" t="s">
        <v>3526</v>
      </c>
      <c r="H666" s="237"/>
      <c r="I666" s="10" t="s">
        <v>3343</v>
      </c>
      <c r="J666" s="31" t="s">
        <v>11</v>
      </c>
      <c r="K666" s="429">
        <f t="shared" si="47"/>
        <v>0</v>
      </c>
    </row>
    <row r="667" spans="1:11" x14ac:dyDescent="0.2">
      <c r="A667" s="72" t="s">
        <v>4441</v>
      </c>
      <c r="B667" s="72">
        <v>467</v>
      </c>
      <c r="C667" s="267" t="s">
        <v>4442</v>
      </c>
      <c r="D667" s="10" t="str">
        <f t="shared" si="46"/>
        <v>14 Juli</v>
      </c>
      <c r="E667" s="10" t="s">
        <v>3366</v>
      </c>
      <c r="F667" s="218" t="s">
        <v>3935</v>
      </c>
      <c r="G667" s="264" t="s">
        <v>3406</v>
      </c>
      <c r="H667" s="237"/>
      <c r="I667" s="10" t="s">
        <v>3343</v>
      </c>
      <c r="J667" s="31" t="s">
        <v>11</v>
      </c>
      <c r="K667" s="429">
        <f t="shared" si="47"/>
        <v>0</v>
      </c>
    </row>
    <row r="668" spans="1:11" x14ac:dyDescent="0.2">
      <c r="A668" s="72"/>
      <c r="B668" s="72">
        <v>468</v>
      </c>
      <c r="C668" s="267" t="s">
        <v>4443</v>
      </c>
      <c r="D668" s="10">
        <f t="shared" si="46"/>
        <v>0</v>
      </c>
      <c r="E668" s="10" t="s">
        <v>3366</v>
      </c>
      <c r="F668" s="218" t="s">
        <v>3932</v>
      </c>
      <c r="G668" s="264" t="s">
        <v>3933</v>
      </c>
      <c r="H668" s="237"/>
      <c r="I668" s="10" t="s">
        <v>3343</v>
      </c>
      <c r="J668" s="31" t="s">
        <v>11</v>
      </c>
      <c r="K668" s="429">
        <f t="shared" si="47"/>
        <v>0</v>
      </c>
    </row>
    <row r="669" spans="1:11" x14ac:dyDescent="0.2">
      <c r="A669" s="263" t="s">
        <v>4444</v>
      </c>
      <c r="B669" s="72">
        <v>469</v>
      </c>
      <c r="C669" s="267" t="s">
        <v>3841</v>
      </c>
      <c r="D669" s="10" t="str">
        <f t="shared" si="46"/>
        <v>15 Juli</v>
      </c>
      <c r="E669" s="10" t="s">
        <v>3366</v>
      </c>
      <c r="F669" s="218" t="s">
        <v>3924</v>
      </c>
      <c r="G669" s="264" t="s">
        <v>3410</v>
      </c>
      <c r="H669" s="237"/>
      <c r="I669" s="10" t="s">
        <v>3343</v>
      </c>
      <c r="J669" s="31" t="s">
        <v>11</v>
      </c>
      <c r="K669" s="429">
        <f t="shared" si="47"/>
        <v>0</v>
      </c>
    </row>
    <row r="670" spans="1:11" x14ac:dyDescent="0.2">
      <c r="A670" s="72"/>
      <c r="B670" s="72">
        <v>470</v>
      </c>
      <c r="C670" s="267" t="s">
        <v>3991</v>
      </c>
      <c r="D670" s="10">
        <f t="shared" si="46"/>
        <v>0</v>
      </c>
      <c r="E670" s="10" t="s">
        <v>3366</v>
      </c>
      <c r="F670" s="218" t="s">
        <v>3924</v>
      </c>
      <c r="G670" s="264" t="s">
        <v>3410</v>
      </c>
      <c r="H670" s="237"/>
      <c r="I670" s="10" t="s">
        <v>3343</v>
      </c>
      <c r="J670" s="31" t="s">
        <v>11</v>
      </c>
      <c r="K670" s="429">
        <f t="shared" si="47"/>
        <v>0</v>
      </c>
    </row>
    <row r="671" spans="1:11" x14ac:dyDescent="0.2">
      <c r="A671" s="72"/>
      <c r="B671" s="72">
        <v>471</v>
      </c>
      <c r="C671" s="267" t="s">
        <v>3992</v>
      </c>
      <c r="D671" s="10">
        <f t="shared" si="46"/>
        <v>0</v>
      </c>
      <c r="E671" s="10" t="s">
        <v>3366</v>
      </c>
      <c r="F671" s="218" t="s">
        <v>3924</v>
      </c>
      <c r="G671" s="264" t="s">
        <v>3410</v>
      </c>
      <c r="H671" s="237"/>
      <c r="I671" s="10" t="s">
        <v>3343</v>
      </c>
      <c r="J671" s="31" t="s">
        <v>11</v>
      </c>
      <c r="K671" s="429">
        <f t="shared" si="47"/>
        <v>0</v>
      </c>
    </row>
    <row r="672" spans="1:11" x14ac:dyDescent="0.2">
      <c r="A672" s="72"/>
      <c r="B672" s="72">
        <v>472</v>
      </c>
      <c r="C672" s="267" t="s">
        <v>4144</v>
      </c>
      <c r="D672" s="10">
        <f t="shared" si="46"/>
        <v>0</v>
      </c>
      <c r="E672" s="10" t="s">
        <v>3366</v>
      </c>
      <c r="F672" s="218" t="s">
        <v>3921</v>
      </c>
      <c r="G672" s="264" t="s">
        <v>3402</v>
      </c>
      <c r="H672" s="237"/>
      <c r="I672" s="10" t="s">
        <v>3343</v>
      </c>
      <c r="J672" s="31" t="s">
        <v>11</v>
      </c>
      <c r="K672" s="429">
        <f t="shared" si="47"/>
        <v>0</v>
      </c>
    </row>
    <row r="673" spans="1:12" x14ac:dyDescent="0.2">
      <c r="A673" s="72" t="s">
        <v>4445</v>
      </c>
      <c r="B673" s="72">
        <v>473</v>
      </c>
      <c r="C673" s="264" t="s">
        <v>3996</v>
      </c>
      <c r="D673" s="10" t="str">
        <f t="shared" si="46"/>
        <v>17 Juli</v>
      </c>
      <c r="E673" s="10" t="s">
        <v>3366</v>
      </c>
      <c r="F673" s="218" t="s">
        <v>3390</v>
      </c>
      <c r="G673" s="267" t="s">
        <v>3943</v>
      </c>
      <c r="H673" s="237"/>
      <c r="I673" s="10" t="s">
        <v>3343</v>
      </c>
      <c r="J673" s="31" t="s">
        <v>11</v>
      </c>
      <c r="K673" s="429">
        <f t="shared" si="47"/>
        <v>0</v>
      </c>
    </row>
    <row r="674" spans="1:12" x14ac:dyDescent="0.2">
      <c r="A674" s="72"/>
      <c r="B674" s="72">
        <v>474</v>
      </c>
      <c r="C674" s="264" t="s">
        <v>3855</v>
      </c>
      <c r="D674" s="10">
        <f t="shared" si="46"/>
        <v>0</v>
      </c>
      <c r="E674" s="10" t="s">
        <v>3366</v>
      </c>
      <c r="F674" s="218" t="s">
        <v>3939</v>
      </c>
      <c r="G674" s="267" t="s">
        <v>3940</v>
      </c>
      <c r="H674" s="237"/>
      <c r="I674" s="10" t="s">
        <v>3343</v>
      </c>
      <c r="J674" s="31" t="s">
        <v>11</v>
      </c>
      <c r="K674" s="429">
        <f t="shared" si="47"/>
        <v>0</v>
      </c>
    </row>
    <row r="675" spans="1:12" x14ac:dyDescent="0.2">
      <c r="A675" s="72" t="s">
        <v>4446</v>
      </c>
      <c r="B675" s="72">
        <v>475</v>
      </c>
      <c r="C675" s="264" t="s">
        <v>4447</v>
      </c>
      <c r="D675" s="10" t="str">
        <f t="shared" si="46"/>
        <v>18 Juli</v>
      </c>
      <c r="E675" s="10" t="s">
        <v>3366</v>
      </c>
      <c r="F675" s="218" t="s">
        <v>4448</v>
      </c>
      <c r="G675" s="264" t="s">
        <v>4449</v>
      </c>
      <c r="H675" s="237"/>
      <c r="I675" s="10" t="s">
        <v>3343</v>
      </c>
      <c r="J675" s="31" t="s">
        <v>11</v>
      </c>
      <c r="K675" s="429">
        <f t="shared" si="47"/>
        <v>0</v>
      </c>
    </row>
    <row r="676" spans="1:12" x14ac:dyDescent="0.2">
      <c r="A676" s="72"/>
      <c r="B676" s="72">
        <v>476</v>
      </c>
      <c r="C676" s="264" t="s">
        <v>4450</v>
      </c>
      <c r="D676" s="10">
        <f t="shared" si="46"/>
        <v>0</v>
      </c>
      <c r="E676" s="10" t="s">
        <v>3366</v>
      </c>
      <c r="F676" s="218" t="s">
        <v>4451</v>
      </c>
      <c r="G676" s="264" t="s">
        <v>4452</v>
      </c>
      <c r="H676" s="237"/>
      <c r="I676" s="10" t="s">
        <v>3343</v>
      </c>
      <c r="J676" s="31" t="s">
        <v>11</v>
      </c>
      <c r="K676" s="429">
        <f t="shared" si="47"/>
        <v>0</v>
      </c>
    </row>
    <row r="677" spans="1:12" x14ac:dyDescent="0.2">
      <c r="A677" s="72"/>
      <c r="B677" s="72">
        <v>477</v>
      </c>
      <c r="C677" s="267" t="s">
        <v>4453</v>
      </c>
      <c r="D677" s="10">
        <f t="shared" si="46"/>
        <v>0</v>
      </c>
      <c r="E677" s="10" t="s">
        <v>3366</v>
      </c>
      <c r="F677" s="218" t="s">
        <v>3935</v>
      </c>
      <c r="G677" s="267" t="s">
        <v>3406</v>
      </c>
      <c r="H677" s="237"/>
      <c r="I677" s="10" t="s">
        <v>3343</v>
      </c>
      <c r="J677" s="31" t="s">
        <v>11</v>
      </c>
      <c r="K677" s="429">
        <f t="shared" si="47"/>
        <v>0</v>
      </c>
    </row>
    <row r="678" spans="1:12" x14ac:dyDescent="0.2">
      <c r="A678" s="72"/>
      <c r="B678" s="72">
        <v>478</v>
      </c>
      <c r="C678" s="267" t="s">
        <v>4454</v>
      </c>
      <c r="D678" s="10">
        <f t="shared" si="46"/>
        <v>0</v>
      </c>
      <c r="E678" s="10" t="s">
        <v>3366</v>
      </c>
      <c r="F678" s="218" t="s">
        <v>3559</v>
      </c>
      <c r="G678" s="267" t="s">
        <v>4455</v>
      </c>
      <c r="H678" s="237"/>
      <c r="I678" s="10" t="s">
        <v>3343</v>
      </c>
      <c r="J678" s="31" t="s">
        <v>11</v>
      </c>
      <c r="K678" s="429">
        <f t="shared" si="47"/>
        <v>0</v>
      </c>
    </row>
    <row r="679" spans="1:12" x14ac:dyDescent="0.2">
      <c r="A679" s="72" t="s">
        <v>4456</v>
      </c>
      <c r="B679" s="72">
        <v>479</v>
      </c>
      <c r="C679" s="267" t="s">
        <v>4457</v>
      </c>
      <c r="D679" s="10" t="str">
        <f t="shared" si="46"/>
        <v>21 Juli</v>
      </c>
      <c r="E679" s="10" t="s">
        <v>3366</v>
      </c>
      <c r="F679" s="218" t="s">
        <v>3353</v>
      </c>
      <c r="G679" s="267" t="s">
        <v>4490</v>
      </c>
      <c r="H679" s="237"/>
      <c r="I679" s="10" t="s">
        <v>3343</v>
      </c>
      <c r="J679" s="31" t="s">
        <v>11</v>
      </c>
      <c r="K679" s="429">
        <f t="shared" si="47"/>
        <v>0</v>
      </c>
      <c r="L679" s="254">
        <f>SUM(K679:K682)</f>
        <v>0</v>
      </c>
    </row>
    <row r="680" spans="1:12" x14ac:dyDescent="0.2">
      <c r="A680" s="72"/>
      <c r="B680" s="72"/>
      <c r="C680" s="267"/>
      <c r="D680" s="10"/>
      <c r="E680" s="10"/>
      <c r="F680" s="218"/>
      <c r="G680" s="267" t="s">
        <v>4491</v>
      </c>
      <c r="H680" s="237"/>
      <c r="I680" s="10" t="s">
        <v>3343</v>
      </c>
      <c r="J680" s="31" t="s">
        <v>11</v>
      </c>
      <c r="K680" s="429">
        <f t="shared" si="47"/>
        <v>0</v>
      </c>
    </row>
    <row r="681" spans="1:12" x14ac:dyDescent="0.2">
      <c r="A681" s="72"/>
      <c r="B681" s="72"/>
      <c r="C681" s="267"/>
      <c r="D681" s="10"/>
      <c r="E681" s="10"/>
      <c r="F681" s="218"/>
      <c r="G681" s="267" t="s">
        <v>4492</v>
      </c>
      <c r="H681" s="237"/>
      <c r="I681" s="10" t="s">
        <v>3343</v>
      </c>
      <c r="J681" s="31" t="s">
        <v>11</v>
      </c>
      <c r="K681" s="429">
        <f t="shared" si="47"/>
        <v>0</v>
      </c>
    </row>
    <row r="682" spans="1:12" x14ac:dyDescent="0.2">
      <c r="A682" s="72"/>
      <c r="B682" s="72"/>
      <c r="C682" s="267"/>
      <c r="D682" s="10"/>
      <c r="E682" s="10"/>
      <c r="F682" s="218"/>
      <c r="G682" s="267" t="s">
        <v>4493</v>
      </c>
      <c r="H682" s="237"/>
      <c r="I682" s="10" t="s">
        <v>3343</v>
      </c>
      <c r="J682" s="31" t="s">
        <v>11</v>
      </c>
      <c r="K682" s="429">
        <f t="shared" si="47"/>
        <v>0</v>
      </c>
    </row>
    <row r="683" spans="1:12" x14ac:dyDescent="0.2">
      <c r="A683" s="72"/>
      <c r="B683" s="72">
        <v>480</v>
      </c>
      <c r="C683" s="267" t="s">
        <v>4458</v>
      </c>
      <c r="D683" s="10">
        <f t="shared" si="46"/>
        <v>0</v>
      </c>
      <c r="E683" s="10" t="s">
        <v>3366</v>
      </c>
      <c r="F683" s="218" t="s">
        <v>3999</v>
      </c>
      <c r="G683" s="267" t="s">
        <v>4000</v>
      </c>
      <c r="H683" s="237"/>
      <c r="I683" s="10" t="s">
        <v>3343</v>
      </c>
      <c r="J683" s="31" t="s">
        <v>11</v>
      </c>
      <c r="K683" s="429">
        <f t="shared" si="47"/>
        <v>0</v>
      </c>
    </row>
    <row r="684" spans="1:12" x14ac:dyDescent="0.2">
      <c r="A684" s="72"/>
      <c r="B684" s="72">
        <v>481</v>
      </c>
      <c r="C684" s="267" t="s">
        <v>4459</v>
      </c>
      <c r="D684" s="10">
        <f t="shared" si="46"/>
        <v>0</v>
      </c>
      <c r="E684" s="10" t="s">
        <v>3366</v>
      </c>
      <c r="F684" s="218" t="s">
        <v>4005</v>
      </c>
      <c r="G684" s="267" t="s">
        <v>4460</v>
      </c>
      <c r="H684" s="237"/>
      <c r="I684" s="10" t="s">
        <v>3343</v>
      </c>
      <c r="J684" s="31" t="s">
        <v>11</v>
      </c>
      <c r="K684" s="429">
        <f t="shared" si="47"/>
        <v>0</v>
      </c>
    </row>
    <row r="685" spans="1:12" x14ac:dyDescent="0.2">
      <c r="A685" s="72"/>
      <c r="B685" s="72">
        <v>482</v>
      </c>
      <c r="C685" s="267" t="s">
        <v>4427</v>
      </c>
      <c r="D685" s="10">
        <f t="shared" si="46"/>
        <v>0</v>
      </c>
      <c r="E685" s="10" t="s">
        <v>3366</v>
      </c>
      <c r="F685" s="218" t="s">
        <v>3922</v>
      </c>
      <c r="G685" s="264" t="s">
        <v>3984</v>
      </c>
      <c r="H685" s="237"/>
      <c r="I685" s="10" t="s">
        <v>3343</v>
      </c>
      <c r="J685" s="31" t="s">
        <v>11</v>
      </c>
      <c r="K685" s="429">
        <f t="shared" si="47"/>
        <v>0</v>
      </c>
    </row>
    <row r="686" spans="1:12" x14ac:dyDescent="0.2">
      <c r="A686" s="72" t="s">
        <v>4420</v>
      </c>
      <c r="B686" s="72">
        <v>483</v>
      </c>
      <c r="C686" s="267" t="s">
        <v>4461</v>
      </c>
      <c r="D686" s="10" t="str">
        <f t="shared" si="46"/>
        <v>22 Juli</v>
      </c>
      <c r="E686" s="10" t="s">
        <v>3366</v>
      </c>
      <c r="F686" s="218" t="s">
        <v>3279</v>
      </c>
      <c r="G686" s="264" t="s">
        <v>4043</v>
      </c>
      <c r="H686" s="237"/>
      <c r="I686" s="10" t="s">
        <v>3343</v>
      </c>
      <c r="J686" s="31" t="s">
        <v>11</v>
      </c>
      <c r="K686" s="429">
        <f t="shared" si="47"/>
        <v>0</v>
      </c>
    </row>
    <row r="687" spans="1:12" x14ac:dyDescent="0.2">
      <c r="A687" s="72"/>
      <c r="B687" s="72">
        <v>484</v>
      </c>
      <c r="C687" s="267" t="s">
        <v>4462</v>
      </c>
      <c r="D687" s="10">
        <f t="shared" si="46"/>
        <v>0</v>
      </c>
      <c r="E687" s="10" t="s">
        <v>3366</v>
      </c>
      <c r="F687" s="218" t="s">
        <v>3279</v>
      </c>
      <c r="G687" s="264" t="s">
        <v>4043</v>
      </c>
      <c r="H687" s="237"/>
      <c r="I687" s="10" t="s">
        <v>3343</v>
      </c>
      <c r="J687" s="31" t="s">
        <v>11</v>
      </c>
      <c r="K687" s="429">
        <f t="shared" si="47"/>
        <v>0</v>
      </c>
    </row>
    <row r="688" spans="1:12" x14ac:dyDescent="0.2">
      <c r="A688" s="72"/>
      <c r="B688" s="72">
        <v>485</v>
      </c>
      <c r="C688" s="267" t="s">
        <v>4463</v>
      </c>
      <c r="D688" s="10">
        <f t="shared" si="46"/>
        <v>0</v>
      </c>
      <c r="E688" s="10" t="s">
        <v>3366</v>
      </c>
      <c r="F688" s="218" t="s">
        <v>3279</v>
      </c>
      <c r="G688" s="264" t="s">
        <v>4043</v>
      </c>
      <c r="H688" s="237"/>
      <c r="I688" s="10" t="s">
        <v>3343</v>
      </c>
      <c r="J688" s="31" t="s">
        <v>11</v>
      </c>
      <c r="K688" s="429">
        <f t="shared" si="47"/>
        <v>0</v>
      </c>
    </row>
    <row r="689" spans="1:11" x14ac:dyDescent="0.2">
      <c r="A689" s="10" t="s">
        <v>4464</v>
      </c>
      <c r="B689" s="72">
        <v>486</v>
      </c>
      <c r="C689" s="264" t="s">
        <v>3855</v>
      </c>
      <c r="D689" s="10" t="str">
        <f t="shared" si="46"/>
        <v>23 Juli</v>
      </c>
      <c r="E689" s="10" t="s">
        <v>3366</v>
      </c>
      <c r="F689" s="218" t="s">
        <v>3939</v>
      </c>
      <c r="G689" s="264" t="s">
        <v>3940</v>
      </c>
      <c r="H689" s="237"/>
      <c r="I689" s="10" t="s">
        <v>3343</v>
      </c>
      <c r="J689" s="31" t="s">
        <v>11</v>
      </c>
      <c r="K689" s="429">
        <f t="shared" si="47"/>
        <v>0</v>
      </c>
    </row>
    <row r="690" spans="1:11" x14ac:dyDescent="0.2">
      <c r="A690" s="72" t="s">
        <v>4465</v>
      </c>
      <c r="B690" s="72">
        <v>487</v>
      </c>
      <c r="C690" s="264" t="s">
        <v>3845</v>
      </c>
      <c r="D690" s="10" t="str">
        <f t="shared" si="46"/>
        <v>24 Juli</v>
      </c>
      <c r="E690" s="10" t="s">
        <v>3366</v>
      </c>
      <c r="F690" s="218" t="s">
        <v>3929</v>
      </c>
      <c r="G690" s="264" t="s">
        <v>3930</v>
      </c>
      <c r="H690" s="237"/>
      <c r="I690" s="10" t="s">
        <v>3343</v>
      </c>
      <c r="J690" s="31" t="s">
        <v>11</v>
      </c>
      <c r="K690" s="429">
        <f t="shared" si="47"/>
        <v>0</v>
      </c>
    </row>
    <row r="691" spans="1:11" x14ac:dyDescent="0.2">
      <c r="A691" s="72"/>
      <c r="B691" s="72">
        <v>488</v>
      </c>
      <c r="C691" s="264" t="s">
        <v>4466</v>
      </c>
      <c r="D691" s="10">
        <f t="shared" si="46"/>
        <v>0</v>
      </c>
      <c r="E691" s="10" t="s">
        <v>3366</v>
      </c>
      <c r="F691" s="218" t="s">
        <v>3999</v>
      </c>
      <c r="G691" s="264" t="s">
        <v>4000</v>
      </c>
      <c r="H691" s="237"/>
      <c r="I691" s="10" t="s">
        <v>3343</v>
      </c>
      <c r="J691" s="31" t="s">
        <v>11</v>
      </c>
      <c r="K691" s="429">
        <f t="shared" si="47"/>
        <v>0</v>
      </c>
    </row>
    <row r="692" spans="1:11" x14ac:dyDescent="0.2">
      <c r="A692" s="72" t="s">
        <v>4467</v>
      </c>
      <c r="B692" s="72">
        <v>489</v>
      </c>
      <c r="C692" s="264" t="s">
        <v>3256</v>
      </c>
      <c r="D692" s="10" t="str">
        <f t="shared" si="46"/>
        <v>28 Juli</v>
      </c>
      <c r="E692" s="10" t="s">
        <v>3366</v>
      </c>
      <c r="F692" s="218" t="s">
        <v>3925</v>
      </c>
      <c r="G692" s="264" t="s">
        <v>3962</v>
      </c>
      <c r="H692" s="237"/>
      <c r="I692" s="10" t="s">
        <v>3343</v>
      </c>
      <c r="J692" s="31" t="s">
        <v>11</v>
      </c>
      <c r="K692" s="429">
        <f t="shared" si="47"/>
        <v>0</v>
      </c>
    </row>
    <row r="693" spans="1:11" x14ac:dyDescent="0.2">
      <c r="A693" s="72"/>
      <c r="B693" s="72"/>
      <c r="C693" s="267"/>
      <c r="D693" s="10">
        <f t="shared" si="46"/>
        <v>0</v>
      </c>
      <c r="E693" s="10" t="s">
        <v>3366</v>
      </c>
      <c r="F693" s="218" t="s">
        <v>3520</v>
      </c>
      <c r="G693" s="264" t="s">
        <v>3964</v>
      </c>
      <c r="H693" s="237"/>
      <c r="I693" s="10" t="s">
        <v>3343</v>
      </c>
      <c r="J693" s="31" t="s">
        <v>11</v>
      </c>
      <c r="K693" s="429">
        <f t="shared" si="47"/>
        <v>0</v>
      </c>
    </row>
    <row r="694" spans="1:11" x14ac:dyDescent="0.2">
      <c r="A694" s="72"/>
      <c r="B694" s="72"/>
      <c r="C694" s="267"/>
      <c r="D694" s="10">
        <f t="shared" si="46"/>
        <v>0</v>
      </c>
      <c r="E694" s="10" t="s">
        <v>3366</v>
      </c>
      <c r="F694" s="218" t="s">
        <v>3543</v>
      </c>
      <c r="G694" s="264" t="s">
        <v>3963</v>
      </c>
      <c r="H694" s="237"/>
      <c r="I694" s="10" t="s">
        <v>3343</v>
      </c>
      <c r="J694" s="31" t="s">
        <v>11</v>
      </c>
      <c r="K694" s="429">
        <f t="shared" si="47"/>
        <v>0</v>
      </c>
    </row>
    <row r="695" spans="1:11" x14ac:dyDescent="0.2">
      <c r="A695" s="72"/>
      <c r="B695" s="72">
        <v>490</v>
      </c>
      <c r="C695" s="267" t="s">
        <v>3895</v>
      </c>
      <c r="D695" s="10">
        <f t="shared" si="46"/>
        <v>0</v>
      </c>
      <c r="E695" s="10" t="s">
        <v>3366</v>
      </c>
      <c r="F695" s="218" t="s">
        <v>3960</v>
      </c>
      <c r="G695" s="264" t="s">
        <v>3456</v>
      </c>
      <c r="H695" s="237"/>
      <c r="I695" s="10" t="s">
        <v>3343</v>
      </c>
      <c r="J695" s="31" t="s">
        <v>11</v>
      </c>
      <c r="K695" s="429">
        <f t="shared" si="47"/>
        <v>0</v>
      </c>
    </row>
    <row r="696" spans="1:11" x14ac:dyDescent="0.2">
      <c r="A696" s="72"/>
      <c r="B696" s="72">
        <v>491</v>
      </c>
      <c r="C696" s="267" t="s">
        <v>4064</v>
      </c>
      <c r="D696" s="10">
        <f t="shared" si="46"/>
        <v>0</v>
      </c>
      <c r="E696" s="10" t="s">
        <v>3366</v>
      </c>
      <c r="F696" s="218" t="s">
        <v>3925</v>
      </c>
      <c r="G696" s="264" t="s">
        <v>3966</v>
      </c>
      <c r="H696" s="237"/>
      <c r="I696" s="10" t="s">
        <v>3343</v>
      </c>
      <c r="J696" s="31" t="s">
        <v>11</v>
      </c>
      <c r="K696" s="429">
        <f t="shared" si="47"/>
        <v>0</v>
      </c>
    </row>
    <row r="697" spans="1:11" x14ac:dyDescent="0.2">
      <c r="A697" s="72"/>
      <c r="B697" s="72"/>
      <c r="C697" s="267"/>
      <c r="D697" s="10">
        <f t="shared" si="46"/>
        <v>0</v>
      </c>
      <c r="E697" s="10" t="s">
        <v>3366</v>
      </c>
      <c r="F697" s="218" t="s">
        <v>3543</v>
      </c>
      <c r="G697" s="264" t="s">
        <v>3967</v>
      </c>
      <c r="H697" s="237"/>
      <c r="I697" s="10" t="s">
        <v>3343</v>
      </c>
      <c r="J697" s="31" t="s">
        <v>11</v>
      </c>
      <c r="K697" s="429">
        <f t="shared" si="47"/>
        <v>0</v>
      </c>
    </row>
    <row r="698" spans="1:11" x14ac:dyDescent="0.2">
      <c r="A698" s="72"/>
      <c r="B698" s="72"/>
      <c r="C698" s="267"/>
      <c r="D698" s="10">
        <f t="shared" si="46"/>
        <v>0</v>
      </c>
      <c r="E698" s="10" t="s">
        <v>3366</v>
      </c>
      <c r="F698" s="218" t="s">
        <v>3520</v>
      </c>
      <c r="G698" s="267" t="s">
        <v>3968</v>
      </c>
      <c r="H698" s="237"/>
      <c r="I698" s="10" t="s">
        <v>3343</v>
      </c>
      <c r="J698" s="31" t="s">
        <v>11</v>
      </c>
      <c r="K698" s="429">
        <f t="shared" si="47"/>
        <v>0</v>
      </c>
    </row>
    <row r="699" spans="1:11" x14ac:dyDescent="0.2">
      <c r="A699" s="72"/>
      <c r="B699" s="72">
        <v>492</v>
      </c>
      <c r="C699" s="267" t="s">
        <v>4023</v>
      </c>
      <c r="D699" s="10">
        <f t="shared" si="46"/>
        <v>0</v>
      </c>
      <c r="E699" s="10" t="s">
        <v>3366</v>
      </c>
      <c r="F699" s="218" t="s">
        <v>3971</v>
      </c>
      <c r="G699" s="264" t="s">
        <v>3972</v>
      </c>
      <c r="H699" s="237"/>
      <c r="I699" s="10" t="s">
        <v>3343</v>
      </c>
      <c r="J699" s="31" t="s">
        <v>11</v>
      </c>
      <c r="K699" s="429">
        <f t="shared" si="47"/>
        <v>0</v>
      </c>
    </row>
    <row r="700" spans="1:11" x14ac:dyDescent="0.2">
      <c r="A700" s="72"/>
      <c r="B700" s="72">
        <v>493</v>
      </c>
      <c r="C700" s="267" t="s">
        <v>4024</v>
      </c>
      <c r="D700" s="10">
        <f t="shared" si="46"/>
        <v>0</v>
      </c>
      <c r="E700" s="10" t="s">
        <v>3366</v>
      </c>
      <c r="F700" s="218" t="s">
        <v>3483</v>
      </c>
      <c r="G700" s="264" t="s">
        <v>3484</v>
      </c>
      <c r="H700" s="237"/>
      <c r="I700" s="10" t="s">
        <v>3343</v>
      </c>
      <c r="J700" s="31" t="s">
        <v>11</v>
      </c>
      <c r="K700" s="429">
        <f t="shared" si="47"/>
        <v>0</v>
      </c>
    </row>
    <row r="701" spans="1:11" x14ac:dyDescent="0.2">
      <c r="A701" s="72"/>
      <c r="B701" s="72">
        <v>494</v>
      </c>
      <c r="C701" s="267" t="s">
        <v>4065</v>
      </c>
      <c r="D701" s="10">
        <f t="shared" si="46"/>
        <v>0</v>
      </c>
      <c r="E701" s="10" t="s">
        <v>3366</v>
      </c>
      <c r="F701" s="218" t="s">
        <v>3486</v>
      </c>
      <c r="G701" s="267" t="s">
        <v>3973</v>
      </c>
      <c r="H701" s="237"/>
      <c r="I701" s="10" t="s">
        <v>3343</v>
      </c>
      <c r="J701" s="31" t="s">
        <v>11</v>
      </c>
      <c r="K701" s="429">
        <f t="shared" si="47"/>
        <v>0</v>
      </c>
    </row>
    <row r="702" spans="1:11" x14ac:dyDescent="0.2">
      <c r="A702" s="72"/>
      <c r="B702" s="72">
        <v>495</v>
      </c>
      <c r="C702" s="267" t="s">
        <v>3904</v>
      </c>
      <c r="D702" s="10">
        <f t="shared" si="46"/>
        <v>0</v>
      </c>
      <c r="E702" s="10" t="s">
        <v>3366</v>
      </c>
      <c r="F702" s="218" t="s">
        <v>3486</v>
      </c>
      <c r="G702" s="267" t="s">
        <v>3973</v>
      </c>
      <c r="H702" s="237"/>
      <c r="I702" s="10" t="s">
        <v>3343</v>
      </c>
      <c r="J702" s="31" t="s">
        <v>11</v>
      </c>
      <c r="K702" s="429">
        <f t="shared" si="47"/>
        <v>0</v>
      </c>
    </row>
    <row r="703" spans="1:11" x14ac:dyDescent="0.2">
      <c r="A703" s="72"/>
      <c r="B703" s="72">
        <v>496</v>
      </c>
      <c r="C703" s="267" t="s">
        <v>3906</v>
      </c>
      <c r="D703" s="10">
        <f t="shared" si="46"/>
        <v>0</v>
      </c>
      <c r="E703" s="10" t="s">
        <v>3366</v>
      </c>
      <c r="F703" s="218" t="s">
        <v>3486</v>
      </c>
      <c r="G703" s="264" t="s">
        <v>3973</v>
      </c>
      <c r="H703" s="237"/>
      <c r="I703" s="10" t="s">
        <v>3343</v>
      </c>
      <c r="J703" s="31" t="s">
        <v>11</v>
      </c>
      <c r="K703" s="429">
        <f t="shared" si="47"/>
        <v>0</v>
      </c>
    </row>
    <row r="704" spans="1:11" x14ac:dyDescent="0.2">
      <c r="A704" s="72"/>
      <c r="B704" s="72">
        <v>497</v>
      </c>
      <c r="C704" s="267" t="s">
        <v>4468</v>
      </c>
      <c r="D704" s="10">
        <f t="shared" si="46"/>
        <v>0</v>
      </c>
      <c r="E704" s="10" t="s">
        <v>3366</v>
      </c>
      <c r="F704" s="218" t="s">
        <v>3965</v>
      </c>
      <c r="G704" s="268" t="s">
        <v>3478</v>
      </c>
      <c r="H704" s="237"/>
      <c r="I704" s="10" t="s">
        <v>3343</v>
      </c>
      <c r="J704" s="31" t="s">
        <v>11</v>
      </c>
      <c r="K704" s="429">
        <f t="shared" si="47"/>
        <v>0</v>
      </c>
    </row>
    <row r="705" spans="1:11" x14ac:dyDescent="0.2">
      <c r="A705" s="72"/>
      <c r="B705" s="72">
        <v>498</v>
      </c>
      <c r="C705" s="267" t="s">
        <v>4022</v>
      </c>
      <c r="D705" s="10">
        <f t="shared" si="46"/>
        <v>0</v>
      </c>
      <c r="E705" s="10" t="s">
        <v>3366</v>
      </c>
      <c r="F705" s="218" t="s">
        <v>3969</v>
      </c>
      <c r="G705" s="268" t="s">
        <v>3970</v>
      </c>
      <c r="H705" s="237"/>
      <c r="I705" s="10" t="s">
        <v>3343</v>
      </c>
      <c r="J705" s="31" t="s">
        <v>11</v>
      </c>
      <c r="K705" s="429">
        <f t="shared" si="47"/>
        <v>0</v>
      </c>
    </row>
    <row r="706" spans="1:11" x14ac:dyDescent="0.2">
      <c r="A706" s="72"/>
      <c r="B706" s="72">
        <v>499</v>
      </c>
      <c r="C706" s="267" t="s">
        <v>3908</v>
      </c>
      <c r="D706" s="10">
        <f t="shared" si="46"/>
        <v>0</v>
      </c>
      <c r="E706" s="10" t="s">
        <v>3366</v>
      </c>
      <c r="F706" s="218" t="s">
        <v>3956</v>
      </c>
      <c r="G706" s="264" t="s">
        <v>3957</v>
      </c>
      <c r="H706" s="237"/>
      <c r="I706" s="10" t="s">
        <v>3343</v>
      </c>
      <c r="J706" s="31" t="s">
        <v>11</v>
      </c>
      <c r="K706" s="429">
        <f t="shared" si="47"/>
        <v>0</v>
      </c>
    </row>
    <row r="707" spans="1:11" x14ac:dyDescent="0.2">
      <c r="A707" s="72"/>
      <c r="B707" s="72">
        <v>500</v>
      </c>
      <c r="C707" s="267" t="s">
        <v>3910</v>
      </c>
      <c r="D707" s="10">
        <f t="shared" si="46"/>
        <v>0</v>
      </c>
      <c r="E707" s="10" t="s">
        <v>3366</v>
      </c>
      <c r="F707" s="218" t="s">
        <v>3974</v>
      </c>
      <c r="G707" s="264" t="s">
        <v>4469</v>
      </c>
      <c r="H707" s="237"/>
      <c r="I707" s="10" t="s">
        <v>3343</v>
      </c>
      <c r="J707" s="31" t="s">
        <v>11</v>
      </c>
      <c r="K707" s="429">
        <f t="shared" si="47"/>
        <v>0</v>
      </c>
    </row>
    <row r="708" spans="1:11" x14ac:dyDescent="0.2">
      <c r="A708" s="72"/>
      <c r="B708" s="72">
        <v>501</v>
      </c>
      <c r="C708" s="267" t="s">
        <v>4470</v>
      </c>
      <c r="D708" s="10">
        <f t="shared" si="46"/>
        <v>0</v>
      </c>
      <c r="E708" s="10" t="s">
        <v>3366</v>
      </c>
      <c r="F708" s="218" t="s">
        <v>3976</v>
      </c>
      <c r="G708" s="268" t="s">
        <v>3488</v>
      </c>
      <c r="H708" s="237"/>
      <c r="I708" s="10" t="s">
        <v>3343</v>
      </c>
      <c r="J708" s="31" t="s">
        <v>11</v>
      </c>
      <c r="K708" s="429">
        <f t="shared" si="47"/>
        <v>0</v>
      </c>
    </row>
    <row r="709" spans="1:11" x14ac:dyDescent="0.2">
      <c r="A709" s="72"/>
      <c r="B709" s="72">
        <v>502</v>
      </c>
      <c r="C709" s="267" t="s">
        <v>3914</v>
      </c>
      <c r="D709" s="10">
        <f t="shared" si="46"/>
        <v>0</v>
      </c>
      <c r="E709" s="10" t="s">
        <v>3366</v>
      </c>
      <c r="F709" s="218" t="s">
        <v>3971</v>
      </c>
      <c r="G709" s="268" t="s">
        <v>3972</v>
      </c>
      <c r="H709" s="237"/>
      <c r="I709" s="10" t="s">
        <v>3343</v>
      </c>
      <c r="J709" s="31" t="s">
        <v>11</v>
      </c>
      <c r="K709" s="429">
        <f t="shared" si="47"/>
        <v>0</v>
      </c>
    </row>
    <row r="710" spans="1:11" x14ac:dyDescent="0.2">
      <c r="A710" s="72"/>
      <c r="B710" s="72">
        <v>503</v>
      </c>
      <c r="C710" s="267" t="s">
        <v>4025</v>
      </c>
      <c r="D710" s="10">
        <f t="shared" si="46"/>
        <v>0</v>
      </c>
      <c r="E710" s="10" t="s">
        <v>3366</v>
      </c>
      <c r="F710" s="218" t="s">
        <v>3932</v>
      </c>
      <c r="G710" s="268" t="s">
        <v>3933</v>
      </c>
      <c r="H710" s="237"/>
      <c r="I710" s="10" t="s">
        <v>3343</v>
      </c>
      <c r="J710" s="31" t="s">
        <v>11</v>
      </c>
      <c r="K710" s="429">
        <f t="shared" si="47"/>
        <v>0</v>
      </c>
    </row>
    <row r="711" spans="1:11" x14ac:dyDescent="0.2">
      <c r="A711" s="72"/>
      <c r="B711" s="72">
        <v>504</v>
      </c>
      <c r="C711" s="267" t="s">
        <v>3892</v>
      </c>
      <c r="D711" s="10">
        <f t="shared" si="46"/>
        <v>0</v>
      </c>
      <c r="E711" s="10" t="s">
        <v>3366</v>
      </c>
      <c r="F711" s="218" t="s">
        <v>3961</v>
      </c>
      <c r="G711" s="268" t="s">
        <v>3931</v>
      </c>
      <c r="H711" s="237"/>
      <c r="I711" s="10" t="s">
        <v>3343</v>
      </c>
      <c r="J711" s="31" t="s">
        <v>11</v>
      </c>
      <c r="K711" s="429">
        <f>H711</f>
        <v>0</v>
      </c>
    </row>
    <row r="712" spans="1:11" x14ac:dyDescent="0.2">
      <c r="A712" s="72"/>
      <c r="B712" s="72">
        <v>505</v>
      </c>
      <c r="C712" s="267" t="s">
        <v>4471</v>
      </c>
      <c r="D712" s="10">
        <f t="shared" si="46"/>
        <v>0</v>
      </c>
      <c r="E712" s="10" t="s">
        <v>3366</v>
      </c>
      <c r="F712" s="218" t="s">
        <v>3483</v>
      </c>
      <c r="G712" s="267" t="s">
        <v>3484</v>
      </c>
      <c r="H712" s="237"/>
      <c r="I712" s="10" t="s">
        <v>3343</v>
      </c>
      <c r="J712" s="31" t="s">
        <v>11</v>
      </c>
      <c r="K712" s="429">
        <f t="shared" si="47"/>
        <v>0</v>
      </c>
    </row>
    <row r="713" spans="1:11" x14ac:dyDescent="0.2">
      <c r="A713" s="72"/>
      <c r="B713" s="72"/>
      <c r="C713" s="267"/>
      <c r="D713" s="10">
        <f t="shared" si="46"/>
        <v>0</v>
      </c>
      <c r="E713" s="10" t="s">
        <v>3366</v>
      </c>
      <c r="F713" s="218" t="s">
        <v>3486</v>
      </c>
      <c r="G713" s="267" t="s">
        <v>3973</v>
      </c>
      <c r="H713" s="237"/>
      <c r="I713" s="10" t="s">
        <v>3343</v>
      </c>
      <c r="J713" s="31" t="s">
        <v>11</v>
      </c>
      <c r="K713" s="429">
        <f>H713</f>
        <v>0</v>
      </c>
    </row>
    <row r="714" spans="1:11" x14ac:dyDescent="0.2">
      <c r="A714" s="72" t="s">
        <v>4472</v>
      </c>
      <c r="B714" s="72">
        <v>506</v>
      </c>
      <c r="C714" s="267" t="s">
        <v>3889</v>
      </c>
      <c r="D714" s="10" t="str">
        <f t="shared" si="46"/>
        <v>29 Juli</v>
      </c>
      <c r="E714" s="10" t="s">
        <v>3366</v>
      </c>
      <c r="F714" s="218" t="s">
        <v>3925</v>
      </c>
      <c r="G714" s="267" t="s">
        <v>3958</v>
      </c>
      <c r="H714" s="237"/>
      <c r="I714" s="10" t="s">
        <v>3343</v>
      </c>
      <c r="J714" s="31" t="s">
        <v>11</v>
      </c>
      <c r="K714" s="429">
        <f t="shared" si="47"/>
        <v>0</v>
      </c>
    </row>
    <row r="715" spans="1:11" x14ac:dyDescent="0.2">
      <c r="A715" s="72"/>
      <c r="B715" s="72"/>
      <c r="C715" s="267"/>
      <c r="D715" s="10">
        <f t="shared" si="46"/>
        <v>0</v>
      </c>
      <c r="E715" s="10" t="s">
        <v>3366</v>
      </c>
      <c r="F715" s="218" t="s">
        <v>3520</v>
      </c>
      <c r="G715" s="267" t="s">
        <v>4019</v>
      </c>
      <c r="H715" s="237"/>
      <c r="I715" s="10" t="s">
        <v>3343</v>
      </c>
      <c r="J715" s="31" t="s">
        <v>11</v>
      </c>
      <c r="K715" s="429">
        <f>H715</f>
        <v>0</v>
      </c>
    </row>
    <row r="716" spans="1:11" x14ac:dyDescent="0.2">
      <c r="A716" s="72"/>
      <c r="B716" s="72"/>
      <c r="C716" s="267"/>
      <c r="D716" s="10">
        <f t="shared" si="46"/>
        <v>0</v>
      </c>
      <c r="E716" s="10" t="s">
        <v>3366</v>
      </c>
      <c r="F716" s="218" t="s">
        <v>3543</v>
      </c>
      <c r="G716" s="268" t="s">
        <v>3959</v>
      </c>
      <c r="H716" s="237"/>
      <c r="I716" s="10" t="s">
        <v>3343</v>
      </c>
      <c r="J716" s="31" t="s">
        <v>11</v>
      </c>
      <c r="K716" s="429">
        <f t="shared" si="47"/>
        <v>0</v>
      </c>
    </row>
    <row r="717" spans="1:11" x14ac:dyDescent="0.2">
      <c r="A717" s="72"/>
      <c r="B717" s="72">
        <v>507</v>
      </c>
      <c r="C717" s="267" t="s">
        <v>3866</v>
      </c>
      <c r="D717" s="10">
        <f t="shared" si="46"/>
        <v>0</v>
      </c>
      <c r="E717" s="10" t="s">
        <v>3366</v>
      </c>
      <c r="F717" s="218" t="s">
        <v>3946</v>
      </c>
      <c r="G717" s="268" t="s">
        <v>3432</v>
      </c>
      <c r="H717" s="237"/>
      <c r="I717" s="10" t="s">
        <v>3343</v>
      </c>
      <c r="J717" s="31" t="s">
        <v>11</v>
      </c>
      <c r="K717" s="429">
        <f t="shared" si="47"/>
        <v>0</v>
      </c>
    </row>
    <row r="718" spans="1:11" x14ac:dyDescent="0.2">
      <c r="A718" s="72"/>
      <c r="B718" s="72">
        <v>508</v>
      </c>
      <c r="C718" s="267" t="s">
        <v>3257</v>
      </c>
      <c r="D718" s="10">
        <f t="shared" si="46"/>
        <v>0</v>
      </c>
      <c r="E718" s="10" t="s">
        <v>3366</v>
      </c>
      <c r="F718" s="218" t="s">
        <v>3922</v>
      </c>
      <c r="G718" s="268" t="s">
        <v>3984</v>
      </c>
      <c r="H718" s="237"/>
      <c r="I718" s="10" t="s">
        <v>3343</v>
      </c>
      <c r="J718" s="31" t="s">
        <v>11</v>
      </c>
      <c r="K718" s="429">
        <f t="shared" si="47"/>
        <v>0</v>
      </c>
    </row>
    <row r="719" spans="1:11" x14ac:dyDescent="0.2">
      <c r="A719" s="72"/>
      <c r="B719" s="72">
        <v>509</v>
      </c>
      <c r="C719" s="267" t="s">
        <v>3869</v>
      </c>
      <c r="D719" s="10">
        <f t="shared" si="46"/>
        <v>0</v>
      </c>
      <c r="E719" s="10" t="s">
        <v>3366</v>
      </c>
      <c r="F719" s="218" t="s">
        <v>3947</v>
      </c>
      <c r="G719" s="268" t="s">
        <v>3436</v>
      </c>
      <c r="H719" s="237"/>
      <c r="I719" s="10" t="s">
        <v>3343</v>
      </c>
      <c r="J719" s="31" t="s">
        <v>11</v>
      </c>
      <c r="K719" s="429">
        <f t="shared" si="47"/>
        <v>0</v>
      </c>
    </row>
    <row r="720" spans="1:11" x14ac:dyDescent="0.2">
      <c r="A720" s="72"/>
      <c r="B720" s="72">
        <v>510</v>
      </c>
      <c r="C720" s="267" t="s">
        <v>4473</v>
      </c>
      <c r="D720" s="10">
        <f t="shared" ref="D720:D742" si="48">A720</f>
        <v>0</v>
      </c>
      <c r="E720" s="10" t="s">
        <v>3366</v>
      </c>
      <c r="F720" s="218" t="s">
        <v>4474</v>
      </c>
      <c r="G720" s="268" t="s">
        <v>4475</v>
      </c>
      <c r="H720" s="237"/>
      <c r="I720" s="10" t="s">
        <v>3343</v>
      </c>
      <c r="J720" s="31" t="s">
        <v>11</v>
      </c>
      <c r="K720" s="429">
        <f t="shared" si="47"/>
        <v>0</v>
      </c>
    </row>
    <row r="721" spans="1:11" x14ac:dyDescent="0.2">
      <c r="A721" s="72"/>
      <c r="B721" s="72">
        <v>511</v>
      </c>
      <c r="C721" s="267" t="s">
        <v>4476</v>
      </c>
      <c r="D721" s="10">
        <f t="shared" si="48"/>
        <v>0</v>
      </c>
      <c r="E721" s="10" t="s">
        <v>3366</v>
      </c>
      <c r="F721" s="218" t="s">
        <v>3960</v>
      </c>
      <c r="G721" s="268" t="s">
        <v>3456</v>
      </c>
      <c r="H721" s="237"/>
      <c r="I721" s="10" t="s">
        <v>3343</v>
      </c>
      <c r="J721" s="31" t="s">
        <v>11</v>
      </c>
      <c r="K721" s="429">
        <f>H721</f>
        <v>0</v>
      </c>
    </row>
    <row r="722" spans="1:11" x14ac:dyDescent="0.2">
      <c r="A722" s="72"/>
      <c r="B722" s="72">
        <v>512</v>
      </c>
      <c r="C722" s="267" t="s">
        <v>4477</v>
      </c>
      <c r="D722" s="10">
        <f t="shared" si="48"/>
        <v>0</v>
      </c>
      <c r="E722" s="10" t="s">
        <v>3366</v>
      </c>
      <c r="F722" s="218" t="s">
        <v>4001</v>
      </c>
      <c r="G722" s="268" t="s">
        <v>3741</v>
      </c>
      <c r="H722" s="237"/>
      <c r="I722" s="10" t="s">
        <v>3343</v>
      </c>
      <c r="J722" s="31" t="s">
        <v>11</v>
      </c>
      <c r="K722" s="429">
        <f>H722</f>
        <v>0</v>
      </c>
    </row>
    <row r="723" spans="1:11" x14ac:dyDescent="0.2">
      <c r="A723" s="72"/>
      <c r="B723" s="72">
        <v>513</v>
      </c>
      <c r="C723" s="267" t="s">
        <v>3878</v>
      </c>
      <c r="D723" s="10">
        <f t="shared" si="48"/>
        <v>0</v>
      </c>
      <c r="E723" s="10" t="s">
        <v>3366</v>
      </c>
      <c r="F723" s="218" t="s">
        <v>3946</v>
      </c>
      <c r="G723" s="268" t="s">
        <v>3432</v>
      </c>
      <c r="H723" s="237"/>
      <c r="I723" s="10" t="s">
        <v>3343</v>
      </c>
      <c r="J723" s="31" t="s">
        <v>11</v>
      </c>
      <c r="K723" s="429">
        <f>H723</f>
        <v>0</v>
      </c>
    </row>
    <row r="724" spans="1:11" x14ac:dyDescent="0.2">
      <c r="A724" s="72"/>
      <c r="B724" s="72">
        <v>514</v>
      </c>
      <c r="C724" s="267" t="s">
        <v>4026</v>
      </c>
      <c r="D724" s="10">
        <f t="shared" si="48"/>
        <v>0</v>
      </c>
      <c r="E724" s="10" t="s">
        <v>3366</v>
      </c>
      <c r="F724" s="218" t="s">
        <v>3952</v>
      </c>
      <c r="G724" s="268" t="s">
        <v>3953</v>
      </c>
      <c r="H724" s="237"/>
      <c r="I724" s="10" t="s">
        <v>3343</v>
      </c>
      <c r="J724" s="31" t="s">
        <v>11</v>
      </c>
      <c r="K724" s="429">
        <f t="shared" ref="K724:K742" si="49">H724</f>
        <v>0</v>
      </c>
    </row>
    <row r="725" spans="1:11" x14ac:dyDescent="0.2">
      <c r="A725" s="72"/>
      <c r="B725" s="72">
        <v>515</v>
      </c>
      <c r="C725" s="267" t="s">
        <v>4478</v>
      </c>
      <c r="D725" s="10">
        <f t="shared" si="48"/>
        <v>0</v>
      </c>
      <c r="E725" s="10" t="s">
        <v>3366</v>
      </c>
      <c r="F725" s="218" t="s">
        <v>3956</v>
      </c>
      <c r="G725" s="268" t="s">
        <v>3957</v>
      </c>
      <c r="H725" s="237"/>
      <c r="I725" s="10" t="s">
        <v>3343</v>
      </c>
      <c r="J725" s="31" t="s">
        <v>11</v>
      </c>
      <c r="K725" s="429">
        <f t="shared" si="49"/>
        <v>0</v>
      </c>
    </row>
    <row r="726" spans="1:11" x14ac:dyDescent="0.2">
      <c r="A726" s="72"/>
      <c r="B726" s="72">
        <v>516</v>
      </c>
      <c r="C726" s="267" t="s">
        <v>3264</v>
      </c>
      <c r="D726" s="10">
        <f t="shared" si="48"/>
        <v>0</v>
      </c>
      <c r="E726" s="10" t="s">
        <v>3366</v>
      </c>
      <c r="F726" s="218" t="s">
        <v>3925</v>
      </c>
      <c r="G726" s="268" t="s">
        <v>3938</v>
      </c>
      <c r="H726" s="237"/>
      <c r="I726" s="10" t="s">
        <v>3343</v>
      </c>
      <c r="J726" s="31" t="s">
        <v>11</v>
      </c>
      <c r="K726" s="429">
        <f t="shared" si="49"/>
        <v>0</v>
      </c>
    </row>
    <row r="727" spans="1:11" x14ac:dyDescent="0.2">
      <c r="A727" s="72"/>
      <c r="B727" s="72">
        <v>517</v>
      </c>
      <c r="C727" s="267" t="s">
        <v>4479</v>
      </c>
      <c r="D727" s="10">
        <f t="shared" si="48"/>
        <v>0</v>
      </c>
      <c r="E727" s="10" t="s">
        <v>3366</v>
      </c>
      <c r="F727" s="218" t="s">
        <v>3934</v>
      </c>
      <c r="G727" s="268" t="s">
        <v>4032</v>
      </c>
      <c r="H727" s="237"/>
      <c r="I727" s="10" t="s">
        <v>3343</v>
      </c>
      <c r="J727" s="31" t="s">
        <v>11</v>
      </c>
      <c r="K727" s="429">
        <f t="shared" si="49"/>
        <v>0</v>
      </c>
    </row>
    <row r="728" spans="1:11" x14ac:dyDescent="0.2">
      <c r="A728" s="72"/>
      <c r="B728" s="72">
        <v>518</v>
      </c>
      <c r="C728" s="267" t="s">
        <v>3887</v>
      </c>
      <c r="D728" s="10">
        <f t="shared" si="48"/>
        <v>0</v>
      </c>
      <c r="E728" s="10" t="s">
        <v>3366</v>
      </c>
      <c r="F728" s="218" t="s">
        <v>3941</v>
      </c>
      <c r="G728" s="268" t="s">
        <v>3942</v>
      </c>
      <c r="H728" s="237"/>
      <c r="I728" s="10" t="s">
        <v>3343</v>
      </c>
      <c r="J728" s="31" t="s">
        <v>11</v>
      </c>
      <c r="K728" s="429">
        <f t="shared" si="49"/>
        <v>0</v>
      </c>
    </row>
    <row r="729" spans="1:11" x14ac:dyDescent="0.2">
      <c r="A729" s="72"/>
      <c r="B729" s="72">
        <v>519</v>
      </c>
      <c r="C729" s="267" t="s">
        <v>4398</v>
      </c>
      <c r="D729" s="10">
        <f t="shared" si="48"/>
        <v>0</v>
      </c>
      <c r="E729" s="10" t="s">
        <v>3366</v>
      </c>
      <c r="F729" s="218" t="s">
        <v>3954</v>
      </c>
      <c r="G729" s="268" t="s">
        <v>3955</v>
      </c>
      <c r="H729" s="237"/>
      <c r="I729" s="10" t="s">
        <v>3343</v>
      </c>
      <c r="J729" s="31" t="s">
        <v>11</v>
      </c>
      <c r="K729" s="429">
        <f t="shared" si="49"/>
        <v>0</v>
      </c>
    </row>
    <row r="730" spans="1:11" x14ac:dyDescent="0.2">
      <c r="A730" s="72"/>
      <c r="B730" s="72">
        <v>520</v>
      </c>
      <c r="C730" s="267" t="s">
        <v>4406</v>
      </c>
      <c r="D730" s="10">
        <f t="shared" si="48"/>
        <v>0</v>
      </c>
      <c r="E730" s="10" t="s">
        <v>3366</v>
      </c>
      <c r="F730" s="218" t="s">
        <v>3936</v>
      </c>
      <c r="G730" s="268" t="s">
        <v>3937</v>
      </c>
      <c r="H730" s="237"/>
      <c r="I730" s="10" t="s">
        <v>3343</v>
      </c>
      <c r="J730" s="31" t="s">
        <v>11</v>
      </c>
      <c r="K730" s="429">
        <f t="shared" si="49"/>
        <v>0</v>
      </c>
    </row>
    <row r="731" spans="1:11" x14ac:dyDescent="0.2">
      <c r="A731" s="72"/>
      <c r="B731" s="72">
        <v>521</v>
      </c>
      <c r="C731" s="267" t="s">
        <v>4402</v>
      </c>
      <c r="D731" s="10">
        <f t="shared" si="48"/>
        <v>0</v>
      </c>
      <c r="E731" s="10" t="s">
        <v>3366</v>
      </c>
      <c r="F731" s="218" t="s">
        <v>3921</v>
      </c>
      <c r="G731" s="268" t="s">
        <v>3402</v>
      </c>
      <c r="H731" s="237"/>
      <c r="I731" s="10" t="s">
        <v>3343</v>
      </c>
      <c r="J731" s="31" t="s">
        <v>11</v>
      </c>
      <c r="K731" s="429">
        <f t="shared" si="49"/>
        <v>0</v>
      </c>
    </row>
    <row r="732" spans="1:11" x14ac:dyDescent="0.2">
      <c r="A732" s="72"/>
      <c r="B732" s="72">
        <v>522</v>
      </c>
      <c r="C732" s="267" t="s">
        <v>4480</v>
      </c>
      <c r="D732" s="10">
        <f t="shared" si="48"/>
        <v>0</v>
      </c>
      <c r="E732" s="10" t="s">
        <v>3366</v>
      </c>
      <c r="F732" s="218" t="s">
        <v>3936</v>
      </c>
      <c r="G732" s="268" t="s">
        <v>3937</v>
      </c>
      <c r="H732" s="237"/>
      <c r="I732" s="10" t="s">
        <v>3343</v>
      </c>
      <c r="J732" s="31" t="s">
        <v>11</v>
      </c>
      <c r="K732" s="429">
        <f t="shared" si="49"/>
        <v>0</v>
      </c>
    </row>
    <row r="733" spans="1:11" x14ac:dyDescent="0.2">
      <c r="A733" s="72"/>
      <c r="B733" s="72">
        <v>523</v>
      </c>
      <c r="C733" s="267" t="s">
        <v>4481</v>
      </c>
      <c r="D733" s="10">
        <f t="shared" si="48"/>
        <v>0</v>
      </c>
      <c r="E733" s="10" t="s">
        <v>3366</v>
      </c>
      <c r="F733" s="218" t="s">
        <v>3936</v>
      </c>
      <c r="G733" s="268" t="s">
        <v>3937</v>
      </c>
      <c r="H733" s="237"/>
      <c r="I733" s="10" t="s">
        <v>3343</v>
      </c>
      <c r="J733" s="31" t="s">
        <v>11</v>
      </c>
      <c r="K733" s="429">
        <f t="shared" si="49"/>
        <v>0</v>
      </c>
    </row>
    <row r="734" spans="1:11" x14ac:dyDescent="0.2">
      <c r="A734" s="72"/>
      <c r="B734" s="72">
        <v>524</v>
      </c>
      <c r="C734" s="267" t="s">
        <v>3853</v>
      </c>
      <c r="D734" s="10">
        <f t="shared" si="48"/>
        <v>0</v>
      </c>
      <c r="E734" s="10" t="s">
        <v>3366</v>
      </c>
      <c r="F734" s="218" t="s">
        <v>3543</v>
      </c>
      <c r="G734" s="268" t="s">
        <v>4031</v>
      </c>
      <c r="H734" s="237"/>
      <c r="I734" s="10" t="s">
        <v>3343</v>
      </c>
      <c r="J734" s="31" t="s">
        <v>11</v>
      </c>
      <c r="K734" s="429">
        <f t="shared" si="49"/>
        <v>0</v>
      </c>
    </row>
    <row r="735" spans="1:11" x14ac:dyDescent="0.2">
      <c r="A735" s="72"/>
      <c r="B735" s="72">
        <v>525</v>
      </c>
      <c r="C735" s="267" t="s">
        <v>3920</v>
      </c>
      <c r="D735" s="10">
        <f t="shared" si="48"/>
        <v>0</v>
      </c>
      <c r="E735" s="10" t="s">
        <v>3366</v>
      </c>
      <c r="F735" s="218" t="s">
        <v>3543</v>
      </c>
      <c r="G735" s="268" t="s">
        <v>4031</v>
      </c>
      <c r="H735" s="237"/>
      <c r="I735" s="10" t="s">
        <v>3343</v>
      </c>
      <c r="J735" s="31" t="s">
        <v>11</v>
      </c>
      <c r="K735" s="429">
        <f t="shared" si="49"/>
        <v>0</v>
      </c>
    </row>
    <row r="736" spans="1:11" x14ac:dyDescent="0.2">
      <c r="A736" s="72"/>
      <c r="B736" s="72">
        <v>526</v>
      </c>
      <c r="C736" s="237" t="s">
        <v>4482</v>
      </c>
      <c r="D736" s="10">
        <f t="shared" si="48"/>
        <v>0</v>
      </c>
      <c r="E736" s="10" t="s">
        <v>3366</v>
      </c>
      <c r="F736" s="218" t="s">
        <v>4027</v>
      </c>
      <c r="G736" s="268" t="s">
        <v>4028</v>
      </c>
      <c r="H736" s="237"/>
      <c r="I736" s="10" t="s">
        <v>3343</v>
      </c>
      <c r="J736" s="31" t="s">
        <v>11</v>
      </c>
      <c r="K736" s="429">
        <f t="shared" si="49"/>
        <v>0</v>
      </c>
    </row>
    <row r="737" spans="1:11" x14ac:dyDescent="0.2">
      <c r="A737" s="72"/>
      <c r="B737" s="72">
        <v>527</v>
      </c>
      <c r="C737" s="267" t="s">
        <v>4483</v>
      </c>
      <c r="D737" s="10">
        <f t="shared" si="48"/>
        <v>0</v>
      </c>
      <c r="E737" s="10" t="s">
        <v>3366</v>
      </c>
      <c r="F737" s="218" t="s">
        <v>4002</v>
      </c>
      <c r="G737" s="268" t="s">
        <v>3505</v>
      </c>
      <c r="H737" s="237"/>
      <c r="I737" s="10" t="s">
        <v>3343</v>
      </c>
      <c r="J737" s="31" t="s">
        <v>11</v>
      </c>
      <c r="K737" s="429">
        <f t="shared" si="49"/>
        <v>0</v>
      </c>
    </row>
    <row r="738" spans="1:11" x14ac:dyDescent="0.2">
      <c r="A738" s="72"/>
      <c r="B738" s="72">
        <v>528</v>
      </c>
      <c r="C738" s="237" t="s">
        <v>4484</v>
      </c>
      <c r="D738" s="10">
        <f t="shared" si="48"/>
        <v>0</v>
      </c>
      <c r="E738" s="10" t="s">
        <v>3366</v>
      </c>
      <c r="F738" s="218" t="s">
        <v>3279</v>
      </c>
      <c r="G738" s="268" t="s">
        <v>4043</v>
      </c>
      <c r="H738" s="237"/>
      <c r="I738" s="10" t="s">
        <v>3343</v>
      </c>
      <c r="J738" s="31" t="s">
        <v>11</v>
      </c>
      <c r="K738" s="429">
        <f t="shared" si="49"/>
        <v>0</v>
      </c>
    </row>
    <row r="739" spans="1:11" x14ac:dyDescent="0.2">
      <c r="A739" s="72"/>
      <c r="B739" s="72">
        <v>529</v>
      </c>
      <c r="C739" s="267" t="s">
        <v>4485</v>
      </c>
      <c r="D739" s="10">
        <f t="shared" si="48"/>
        <v>0</v>
      </c>
      <c r="E739" s="10" t="s">
        <v>3366</v>
      </c>
      <c r="F739" s="218" t="s">
        <v>4448</v>
      </c>
      <c r="G739" s="268" t="s">
        <v>4449</v>
      </c>
      <c r="H739" s="237"/>
      <c r="I739" s="10" t="s">
        <v>3343</v>
      </c>
      <c r="J739" s="31" t="s">
        <v>11</v>
      </c>
      <c r="K739" s="429">
        <f t="shared" si="49"/>
        <v>0</v>
      </c>
    </row>
    <row r="740" spans="1:11" x14ac:dyDescent="0.2">
      <c r="A740" s="72" t="s">
        <v>4486</v>
      </c>
      <c r="B740" s="72">
        <v>530</v>
      </c>
      <c r="C740" s="267" t="s">
        <v>4487</v>
      </c>
      <c r="D740" s="10" t="str">
        <f t="shared" si="48"/>
        <v>30 Juli</v>
      </c>
      <c r="E740" s="10" t="s">
        <v>3366</v>
      </c>
      <c r="F740" s="218" t="s">
        <v>3948</v>
      </c>
      <c r="G740" s="268" t="s">
        <v>3949</v>
      </c>
      <c r="H740" s="237"/>
      <c r="I740" s="10" t="s">
        <v>3343</v>
      </c>
      <c r="J740" s="31" t="s">
        <v>11</v>
      </c>
      <c r="K740" s="429">
        <f t="shared" si="49"/>
        <v>0</v>
      </c>
    </row>
    <row r="741" spans="1:11" x14ac:dyDescent="0.2">
      <c r="A741" s="72"/>
      <c r="B741" s="72">
        <v>531</v>
      </c>
      <c r="C741" s="267" t="s">
        <v>4165</v>
      </c>
      <c r="D741" s="10">
        <f t="shared" si="48"/>
        <v>0</v>
      </c>
      <c r="E741" s="10" t="s">
        <v>3366</v>
      </c>
      <c r="F741" s="218" t="s">
        <v>3932</v>
      </c>
      <c r="G741" s="268" t="s">
        <v>3933</v>
      </c>
      <c r="H741" s="237"/>
      <c r="I741" s="10" t="s">
        <v>3343</v>
      </c>
      <c r="J741" s="31" t="s">
        <v>11</v>
      </c>
      <c r="K741" s="429">
        <f t="shared" si="49"/>
        <v>0</v>
      </c>
    </row>
    <row r="742" spans="1:11" x14ac:dyDescent="0.2">
      <c r="A742" s="72" t="s">
        <v>3693</v>
      </c>
      <c r="B742" s="72">
        <v>532</v>
      </c>
      <c r="C742" s="267" t="s">
        <v>4488</v>
      </c>
      <c r="D742" s="10" t="str">
        <f t="shared" si="48"/>
        <v>31 Juli</v>
      </c>
      <c r="E742" s="10" t="s">
        <v>3366</v>
      </c>
      <c r="F742" s="218" t="s">
        <v>3934</v>
      </c>
      <c r="G742" s="268" t="s">
        <v>4032</v>
      </c>
      <c r="H742" s="237"/>
      <c r="I742" s="10" t="s">
        <v>3343</v>
      </c>
      <c r="J742" s="31" t="s">
        <v>11</v>
      </c>
      <c r="K742" s="429">
        <f t="shared" si="49"/>
        <v>0</v>
      </c>
    </row>
    <row r="743" spans="1:11" ht="12" x14ac:dyDescent="0.2">
      <c r="A743" s="658" t="s">
        <v>3556</v>
      </c>
      <c r="B743" s="659"/>
      <c r="C743" s="659"/>
      <c r="D743" s="659"/>
      <c r="E743" s="659"/>
      <c r="F743" s="659"/>
      <c r="G743" s="660"/>
      <c r="H743" s="435">
        <f>SUM(H653:H742)</f>
        <v>0</v>
      </c>
      <c r="I743" s="692" t="s">
        <v>3556</v>
      </c>
      <c r="J743" s="692"/>
      <c r="K743" s="435">
        <f>SUM(K653:K742)</f>
        <v>0</v>
      </c>
    </row>
    <row r="744" spans="1:11" ht="12" x14ac:dyDescent="0.2">
      <c r="A744" s="658" t="s">
        <v>3557</v>
      </c>
      <c r="B744" s="659"/>
      <c r="C744" s="659"/>
      <c r="D744" s="659"/>
      <c r="E744" s="659"/>
      <c r="F744" s="659"/>
      <c r="G744" s="660"/>
      <c r="H744" s="435">
        <f>H597</f>
        <v>0</v>
      </c>
      <c r="I744" s="692" t="s">
        <v>3557</v>
      </c>
      <c r="J744" s="692"/>
      <c r="K744" s="435">
        <f>K597</f>
        <v>0</v>
      </c>
    </row>
    <row r="745" spans="1:11" ht="12.75" thickBot="1" x14ac:dyDescent="0.25">
      <c r="A745" s="640" t="s">
        <v>3558</v>
      </c>
      <c r="B745" s="641"/>
      <c r="C745" s="641"/>
      <c r="D745" s="641"/>
      <c r="E745" s="641"/>
      <c r="F745" s="641"/>
      <c r="G745" s="642"/>
      <c r="H745" s="436">
        <f>SUM(H743:H744)</f>
        <v>0</v>
      </c>
      <c r="I745" s="693" t="s">
        <v>3558</v>
      </c>
      <c r="J745" s="693"/>
      <c r="K745" s="436">
        <f>SUM(K743:K744)</f>
        <v>0</v>
      </c>
    </row>
    <row r="746" spans="1:11" ht="12" x14ac:dyDescent="0.2">
      <c r="A746" s="96"/>
      <c r="B746" s="96"/>
      <c r="C746" s="96"/>
      <c r="D746" s="96"/>
      <c r="E746" s="96"/>
      <c r="F746" s="96"/>
      <c r="G746" s="96"/>
      <c r="H746" s="441"/>
      <c r="I746" s="441"/>
      <c r="J746" s="441"/>
      <c r="K746" s="441"/>
    </row>
    <row r="747" spans="1:11" ht="12" x14ac:dyDescent="0.2">
      <c r="A747" s="96"/>
      <c r="B747" s="96"/>
      <c r="C747" s="96"/>
      <c r="D747" s="96"/>
      <c r="E747" s="96"/>
      <c r="F747" s="96"/>
      <c r="G747" s="96"/>
      <c r="H747" s="441"/>
      <c r="I747" s="441"/>
      <c r="J747" s="441"/>
      <c r="K747" s="441"/>
    </row>
    <row r="748" spans="1:11" ht="12" x14ac:dyDescent="0.2">
      <c r="A748" s="240"/>
      <c r="B748" s="240"/>
      <c r="C748" s="240"/>
      <c r="D748" s="240"/>
      <c r="E748" s="240"/>
      <c r="F748" s="240"/>
      <c r="G748" s="260"/>
      <c r="H748" s="434"/>
      <c r="I748" s="691" t="s">
        <v>3537</v>
      </c>
      <c r="J748" s="691"/>
      <c r="K748" s="691"/>
    </row>
    <row r="749" spans="1:11" ht="12" x14ac:dyDescent="0.2">
      <c r="G749" s="260" t="s">
        <v>3569</v>
      </c>
      <c r="H749" s="270">
        <f>750000+200000+740000+567400+16025000+7511048+2006095+3675000+72091304+493500+43288500+201971500+2506000+287000+800000+296922107+53641605+1350000+240000</f>
        <v>705066059</v>
      </c>
      <c r="I749" s="691" t="s">
        <v>4489</v>
      </c>
      <c r="J749" s="691"/>
      <c r="K749" s="691"/>
    </row>
    <row r="750" spans="1:11" ht="12" x14ac:dyDescent="0.2">
      <c r="A750" s="691"/>
      <c r="B750" s="691"/>
      <c r="C750" s="691"/>
      <c r="D750" s="691"/>
      <c r="E750" s="304"/>
      <c r="F750" s="304"/>
      <c r="H750" s="254">
        <f>H743-H749</f>
        <v>-705066059</v>
      </c>
      <c r="I750" s="1"/>
    </row>
    <row r="751" spans="1:11" ht="12" x14ac:dyDescent="0.2">
      <c r="A751" s="304"/>
      <c r="B751" s="304"/>
      <c r="C751" s="304"/>
      <c r="D751" s="304"/>
      <c r="E751" s="304"/>
      <c r="F751" s="304"/>
      <c r="H751" s="254"/>
      <c r="I751" s="1"/>
    </row>
    <row r="752" spans="1:11" ht="12" x14ac:dyDescent="0.2">
      <c r="A752" s="304"/>
      <c r="B752" s="304"/>
      <c r="C752" s="304"/>
      <c r="D752" s="304"/>
      <c r="E752" s="304"/>
      <c r="F752" s="304"/>
      <c r="H752" s="254"/>
      <c r="I752" s="1"/>
    </row>
    <row r="753" spans="1:10" ht="12.75" x14ac:dyDescent="0.2">
      <c r="A753" s="304"/>
      <c r="B753" s="304"/>
      <c r="C753" s="304"/>
      <c r="D753" s="304"/>
      <c r="E753" s="304"/>
      <c r="F753" s="304"/>
      <c r="H753" s="254"/>
      <c r="I753" s="1"/>
      <c r="J753" s="311" t="s">
        <v>3538</v>
      </c>
    </row>
    <row r="754" spans="1:10" ht="12" x14ac:dyDescent="0.2">
      <c r="A754" s="304"/>
      <c r="B754" s="304"/>
      <c r="C754" s="304"/>
      <c r="D754" s="304"/>
      <c r="E754" s="304"/>
      <c r="F754" s="304"/>
      <c r="H754" s="254"/>
      <c r="I754" s="1"/>
    </row>
    <row r="755" spans="1:10" ht="12" x14ac:dyDescent="0.2">
      <c r="A755" s="304"/>
      <c r="B755" s="304"/>
      <c r="C755" s="304"/>
      <c r="D755" s="304"/>
      <c r="E755" s="304"/>
      <c r="F755" s="304"/>
      <c r="H755" s="254"/>
      <c r="I755" s="1"/>
    </row>
    <row r="756" spans="1:10" ht="12" x14ac:dyDescent="0.2">
      <c r="A756" s="304"/>
      <c r="B756" s="304"/>
      <c r="C756" s="304"/>
      <c r="D756" s="304"/>
      <c r="E756" s="304"/>
      <c r="F756" s="304"/>
      <c r="H756" s="254"/>
      <c r="I756" s="1"/>
    </row>
    <row r="757" spans="1:10" ht="12" x14ac:dyDescent="0.2">
      <c r="A757" s="304"/>
      <c r="B757" s="304"/>
      <c r="C757" s="304"/>
      <c r="D757" s="304"/>
      <c r="E757" s="304"/>
      <c r="F757" s="304"/>
      <c r="H757" s="254"/>
      <c r="I757" s="1"/>
    </row>
    <row r="758" spans="1:10" ht="12" x14ac:dyDescent="0.2">
      <c r="A758" s="304"/>
      <c r="B758" s="304"/>
      <c r="C758" s="304"/>
      <c r="D758" s="304"/>
      <c r="E758" s="304"/>
      <c r="F758" s="304"/>
      <c r="H758" s="254"/>
      <c r="I758" s="1"/>
    </row>
    <row r="759" spans="1:10" ht="12" x14ac:dyDescent="0.2">
      <c r="A759" s="304"/>
      <c r="B759" s="304"/>
      <c r="C759" s="304"/>
      <c r="D759" s="304"/>
      <c r="E759" s="304"/>
      <c r="F759" s="304"/>
      <c r="H759" s="254"/>
      <c r="I759" s="1"/>
    </row>
    <row r="760" spans="1:10" ht="12" x14ac:dyDescent="0.2">
      <c r="A760" s="304"/>
      <c r="B760" s="304"/>
      <c r="C760" s="304"/>
      <c r="D760" s="304"/>
      <c r="E760" s="304"/>
      <c r="F760" s="304"/>
      <c r="H760" s="254"/>
      <c r="I760" s="1"/>
    </row>
    <row r="761" spans="1:10" ht="12" x14ac:dyDescent="0.2">
      <c r="A761" s="304"/>
      <c r="B761" s="304"/>
      <c r="C761" s="304"/>
      <c r="D761" s="304"/>
      <c r="E761" s="304"/>
      <c r="F761" s="304"/>
      <c r="H761" s="254"/>
      <c r="I761" s="1"/>
    </row>
    <row r="762" spans="1:10" ht="12" x14ac:dyDescent="0.2">
      <c r="A762" s="304"/>
      <c r="B762" s="304"/>
      <c r="C762" s="304"/>
      <c r="D762" s="304"/>
      <c r="E762" s="304"/>
      <c r="F762" s="304"/>
      <c r="H762" s="254"/>
      <c r="I762" s="1"/>
    </row>
    <row r="763" spans="1:10" ht="12" x14ac:dyDescent="0.2">
      <c r="A763" s="304"/>
      <c r="B763" s="304"/>
      <c r="C763" s="304"/>
      <c r="D763" s="304"/>
      <c r="E763" s="304"/>
      <c r="F763" s="304"/>
      <c r="H763" s="254"/>
      <c r="I763" s="1"/>
    </row>
    <row r="764" spans="1:10" ht="12" x14ac:dyDescent="0.2">
      <c r="A764" s="304"/>
      <c r="B764" s="304"/>
      <c r="C764" s="304"/>
      <c r="D764" s="304"/>
      <c r="E764" s="304"/>
      <c r="F764" s="304"/>
      <c r="H764" s="254"/>
      <c r="I764" s="1"/>
    </row>
    <row r="765" spans="1:10" ht="12" x14ac:dyDescent="0.2">
      <c r="A765" s="304"/>
      <c r="B765" s="304"/>
      <c r="C765" s="304"/>
      <c r="D765" s="304"/>
      <c r="E765" s="304"/>
      <c r="F765" s="304"/>
      <c r="H765" s="254"/>
      <c r="I765" s="1"/>
    </row>
    <row r="766" spans="1:10" ht="12" x14ac:dyDescent="0.2">
      <c r="A766" s="304"/>
      <c r="B766" s="304"/>
      <c r="C766" s="304"/>
      <c r="D766" s="304"/>
      <c r="E766" s="304"/>
      <c r="F766" s="304"/>
      <c r="H766" s="254"/>
      <c r="I766" s="1"/>
    </row>
    <row r="767" spans="1:10" ht="12" x14ac:dyDescent="0.2">
      <c r="A767" s="304"/>
      <c r="B767" s="304"/>
      <c r="C767" s="304"/>
      <c r="D767" s="304"/>
      <c r="E767" s="304"/>
      <c r="F767" s="304"/>
      <c r="H767" s="254"/>
      <c r="I767" s="1"/>
    </row>
    <row r="768" spans="1:10" ht="12" x14ac:dyDescent="0.2">
      <c r="A768" s="304"/>
      <c r="B768" s="304"/>
      <c r="C768" s="304"/>
      <c r="D768" s="304"/>
      <c r="E768" s="304"/>
      <c r="F768" s="304"/>
      <c r="H768" s="254"/>
      <c r="I768" s="1"/>
    </row>
    <row r="769" spans="1:9" ht="12" x14ac:dyDescent="0.2">
      <c r="A769" s="304"/>
      <c r="B769" s="304"/>
      <c r="C769" s="304"/>
      <c r="D769" s="304"/>
      <c r="E769" s="304"/>
      <c r="F769" s="304"/>
      <c r="H769" s="254"/>
      <c r="I769" s="1"/>
    </row>
    <row r="770" spans="1:9" ht="12" x14ac:dyDescent="0.2">
      <c r="A770" s="304"/>
      <c r="B770" s="304"/>
      <c r="C770" s="304"/>
      <c r="D770" s="304"/>
      <c r="E770" s="304"/>
      <c r="F770" s="304"/>
      <c r="H770" s="254"/>
      <c r="I770" s="1"/>
    </row>
    <row r="771" spans="1:9" ht="12" x14ac:dyDescent="0.2">
      <c r="A771" s="304"/>
      <c r="B771" s="304"/>
      <c r="C771" s="304"/>
      <c r="D771" s="304"/>
      <c r="E771" s="304"/>
      <c r="F771" s="304"/>
      <c r="H771" s="254"/>
      <c r="I771" s="1"/>
    </row>
    <row r="772" spans="1:9" ht="12" x14ac:dyDescent="0.2">
      <c r="A772" s="304"/>
      <c r="B772" s="304"/>
      <c r="C772" s="304"/>
      <c r="D772" s="304"/>
      <c r="E772" s="304"/>
      <c r="F772" s="304"/>
      <c r="H772" s="254"/>
      <c r="I772" s="1"/>
    </row>
    <row r="773" spans="1:9" ht="12" x14ac:dyDescent="0.2">
      <c r="A773" s="304"/>
      <c r="B773" s="304"/>
      <c r="C773" s="304"/>
      <c r="D773" s="304"/>
      <c r="E773" s="304"/>
      <c r="F773" s="304"/>
      <c r="H773" s="254"/>
      <c r="I773" s="1"/>
    </row>
    <row r="774" spans="1:9" ht="12" x14ac:dyDescent="0.2">
      <c r="A774" s="304"/>
      <c r="B774" s="304"/>
      <c r="C774" s="304"/>
      <c r="D774" s="304"/>
      <c r="E774" s="304"/>
      <c r="F774" s="304"/>
      <c r="H774" s="254"/>
      <c r="I774" s="1"/>
    </row>
    <row r="775" spans="1:9" ht="12" x14ac:dyDescent="0.2">
      <c r="A775" s="304"/>
      <c r="B775" s="304"/>
      <c r="C775" s="304"/>
      <c r="D775" s="304"/>
      <c r="E775" s="304"/>
      <c r="F775" s="304"/>
      <c r="H775" s="254"/>
      <c r="I775" s="1"/>
    </row>
    <row r="776" spans="1:9" ht="12" x14ac:dyDescent="0.2">
      <c r="A776" s="304"/>
      <c r="B776" s="304"/>
      <c r="C776" s="304"/>
      <c r="D776" s="304"/>
      <c r="E776" s="304"/>
      <c r="F776" s="304"/>
      <c r="H776" s="254"/>
      <c r="I776" s="1"/>
    </row>
    <row r="777" spans="1:9" ht="12" x14ac:dyDescent="0.2">
      <c r="A777" s="304"/>
      <c r="B777" s="304"/>
      <c r="C777" s="304"/>
      <c r="D777" s="304"/>
      <c r="E777" s="304"/>
      <c r="F777" s="304"/>
      <c r="H777" s="254"/>
      <c r="I777" s="1"/>
    </row>
    <row r="778" spans="1:9" ht="12" x14ac:dyDescent="0.2">
      <c r="A778" s="304"/>
      <c r="B778" s="304"/>
      <c r="C778" s="304"/>
      <c r="D778" s="304"/>
      <c r="E778" s="304"/>
      <c r="F778" s="304"/>
      <c r="H778" s="254"/>
      <c r="I778" s="1"/>
    </row>
    <row r="779" spans="1:9" ht="12" x14ac:dyDescent="0.2">
      <c r="A779" s="304"/>
      <c r="B779" s="304"/>
      <c r="C779" s="304"/>
      <c r="D779" s="304"/>
      <c r="E779" s="304"/>
      <c r="F779" s="304"/>
      <c r="H779" s="254"/>
      <c r="I779" s="1"/>
    </row>
    <row r="780" spans="1:9" ht="12" x14ac:dyDescent="0.2">
      <c r="A780" s="304"/>
      <c r="B780" s="304"/>
      <c r="C780" s="304"/>
      <c r="D780" s="304"/>
      <c r="E780" s="304"/>
      <c r="F780" s="304"/>
      <c r="H780" s="254"/>
      <c r="I780" s="1"/>
    </row>
    <row r="781" spans="1:9" ht="12" x14ac:dyDescent="0.2">
      <c r="A781" s="304"/>
      <c r="B781" s="304"/>
      <c r="C781" s="304"/>
      <c r="D781" s="304"/>
      <c r="E781" s="304"/>
      <c r="F781" s="304"/>
      <c r="H781" s="254"/>
      <c r="I781" s="1"/>
    </row>
    <row r="782" spans="1:9" ht="12" x14ac:dyDescent="0.2">
      <c r="A782" s="304"/>
      <c r="B782" s="304"/>
      <c r="C782" s="304"/>
      <c r="D782" s="304"/>
      <c r="E782" s="304"/>
      <c r="F782" s="304"/>
      <c r="H782" s="254"/>
      <c r="I782" s="1"/>
    </row>
    <row r="783" spans="1:9" ht="12" x14ac:dyDescent="0.2">
      <c r="A783" s="304"/>
      <c r="B783" s="304"/>
      <c r="C783" s="304"/>
      <c r="D783" s="304"/>
      <c r="E783" s="304"/>
      <c r="F783" s="304"/>
      <c r="H783" s="254"/>
      <c r="I783" s="1"/>
    </row>
    <row r="784" spans="1:9" ht="12" x14ac:dyDescent="0.2">
      <c r="A784" s="304"/>
      <c r="B784" s="304"/>
      <c r="C784" s="304"/>
      <c r="D784" s="304"/>
      <c r="E784" s="304"/>
      <c r="F784" s="304"/>
      <c r="H784" s="254"/>
      <c r="I784" s="1"/>
    </row>
    <row r="785" spans="1:11" ht="12" x14ac:dyDescent="0.2">
      <c r="A785" s="304"/>
      <c r="B785" s="304"/>
      <c r="C785" s="304"/>
      <c r="D785" s="304"/>
      <c r="E785" s="304"/>
      <c r="F785" s="304"/>
      <c r="H785" s="254"/>
      <c r="I785" s="1"/>
    </row>
    <row r="786" spans="1:11" ht="12" x14ac:dyDescent="0.2">
      <c r="A786" s="304"/>
      <c r="B786" s="304"/>
      <c r="C786" s="304"/>
      <c r="D786" s="304"/>
      <c r="E786" s="304"/>
      <c r="F786" s="304"/>
      <c r="H786" s="254"/>
      <c r="I786" s="1"/>
    </row>
    <row r="787" spans="1:11" ht="12" x14ac:dyDescent="0.2">
      <c r="A787" s="304"/>
      <c r="B787" s="304"/>
      <c r="C787" s="304"/>
      <c r="D787" s="304"/>
      <c r="E787" s="304"/>
      <c r="F787" s="304"/>
      <c r="H787" s="254"/>
      <c r="I787" s="1"/>
    </row>
    <row r="788" spans="1:11" ht="12" x14ac:dyDescent="0.2">
      <c r="A788" s="304"/>
      <c r="B788" s="304"/>
      <c r="C788" s="304"/>
      <c r="D788" s="304"/>
      <c r="E788" s="304"/>
      <c r="F788" s="304"/>
      <c r="H788" s="254"/>
      <c r="I788" s="1"/>
    </row>
    <row r="789" spans="1:11" ht="12" x14ac:dyDescent="0.2">
      <c r="A789" s="304"/>
      <c r="B789" s="304"/>
      <c r="C789" s="304"/>
      <c r="D789" s="304"/>
      <c r="E789" s="304"/>
      <c r="F789" s="304"/>
      <c r="H789" s="254"/>
      <c r="I789" s="1"/>
    </row>
    <row r="790" spans="1:11" ht="12" x14ac:dyDescent="0.2">
      <c r="A790" s="304"/>
      <c r="B790" s="304"/>
      <c r="C790" s="304"/>
      <c r="D790" s="304"/>
      <c r="E790" s="304"/>
      <c r="F790" s="304"/>
      <c r="H790" s="254"/>
      <c r="I790" s="1"/>
    </row>
    <row r="791" spans="1:11" ht="12" x14ac:dyDescent="0.2">
      <c r="A791" s="304"/>
      <c r="B791" s="304"/>
      <c r="C791" s="304"/>
      <c r="D791" s="304"/>
      <c r="E791" s="304"/>
      <c r="F791" s="304"/>
      <c r="H791" s="254"/>
      <c r="I791" s="1"/>
    </row>
    <row r="792" spans="1:11" ht="12" x14ac:dyDescent="0.2">
      <c r="A792" s="304"/>
      <c r="B792" s="304"/>
      <c r="C792" s="304"/>
      <c r="D792" s="304"/>
      <c r="E792" s="304"/>
      <c r="F792" s="304"/>
      <c r="H792" s="254"/>
      <c r="I792" s="1"/>
    </row>
    <row r="793" spans="1:11" ht="12" x14ac:dyDescent="0.2">
      <c r="A793" s="304"/>
      <c r="B793" s="304"/>
      <c r="C793" s="304"/>
      <c r="D793" s="304"/>
      <c r="E793" s="304"/>
      <c r="F793" s="304"/>
      <c r="H793" s="254"/>
      <c r="I793" s="1"/>
    </row>
    <row r="794" spans="1:11" ht="12" x14ac:dyDescent="0.2">
      <c r="A794" s="304"/>
      <c r="B794" s="304"/>
      <c r="C794" s="304"/>
      <c r="D794" s="304"/>
      <c r="E794" s="304"/>
      <c r="F794" s="304"/>
      <c r="H794" s="254"/>
      <c r="I794" s="1"/>
    </row>
    <row r="795" spans="1:11" ht="12.75" x14ac:dyDescent="0.2">
      <c r="A795" s="428" t="s">
        <v>3747</v>
      </c>
      <c r="B795" s="305"/>
      <c r="C795" s="143"/>
      <c r="D795" s="305"/>
      <c r="E795" s="305"/>
      <c r="F795" s="305"/>
      <c r="G795" s="143"/>
      <c r="H795" s="143"/>
      <c r="I795" s="305"/>
      <c r="J795" s="143"/>
      <c r="K795" s="143"/>
    </row>
    <row r="796" spans="1:11" ht="12.75" x14ac:dyDescent="0.2">
      <c r="A796" s="428" t="s">
        <v>3748</v>
      </c>
      <c r="B796" s="305"/>
      <c r="C796" s="143"/>
      <c r="D796" s="305"/>
      <c r="E796" s="305"/>
      <c r="F796" s="305"/>
      <c r="G796" s="143"/>
      <c r="H796" s="143"/>
      <c r="I796" s="305"/>
      <c r="J796" s="143"/>
      <c r="K796" s="143"/>
    </row>
    <row r="797" spans="1:11" ht="12.75" x14ac:dyDescent="0.2">
      <c r="A797" s="687" t="s">
        <v>3345</v>
      </c>
      <c r="B797" s="687"/>
      <c r="C797" s="687"/>
      <c r="D797" s="687"/>
      <c r="E797" s="687"/>
      <c r="F797" s="687"/>
      <c r="G797" s="687"/>
      <c r="H797" s="687"/>
      <c r="I797" s="687"/>
      <c r="J797" s="687"/>
      <c r="K797" s="687"/>
    </row>
    <row r="798" spans="1:11" ht="12.75" x14ac:dyDescent="0.2">
      <c r="A798" s="687" t="s">
        <v>3577</v>
      </c>
      <c r="B798" s="687"/>
      <c r="C798" s="687"/>
      <c r="D798" s="687"/>
      <c r="E798" s="687"/>
      <c r="F798" s="687"/>
      <c r="G798" s="687"/>
      <c r="H798" s="687"/>
      <c r="I798" s="687"/>
      <c r="J798" s="687"/>
      <c r="K798" s="687"/>
    </row>
    <row r="799" spans="1:11" x14ac:dyDescent="0.2">
      <c r="A799" s="18"/>
      <c r="B799" s="18"/>
      <c r="C799" s="18"/>
      <c r="D799" s="18"/>
      <c r="E799" s="18"/>
      <c r="F799" s="18"/>
      <c r="G799" s="18"/>
      <c r="H799" s="18"/>
      <c r="I799" s="18"/>
      <c r="J799" s="18"/>
      <c r="K799" s="18"/>
    </row>
    <row r="800" spans="1:11" x14ac:dyDescent="0.2">
      <c r="A800" s="678" t="s">
        <v>3346</v>
      </c>
      <c r="B800" s="679"/>
      <c r="C800" s="680" t="s">
        <v>13</v>
      </c>
      <c r="D800" s="678" t="s">
        <v>3347</v>
      </c>
      <c r="E800" s="679"/>
      <c r="F800" s="688" t="s">
        <v>90</v>
      </c>
      <c r="G800" s="689"/>
      <c r="H800" s="690"/>
      <c r="I800" s="688" t="s">
        <v>10</v>
      </c>
      <c r="J800" s="689"/>
      <c r="K800" s="690"/>
    </row>
    <row r="801" spans="1:11" ht="11.25" customHeight="1" x14ac:dyDescent="0.2">
      <c r="A801" s="680" t="s">
        <v>12</v>
      </c>
      <c r="B801" s="680" t="s">
        <v>21</v>
      </c>
      <c r="C801" s="681"/>
      <c r="D801" s="665" t="s">
        <v>12</v>
      </c>
      <c r="E801" s="665" t="s">
        <v>3348</v>
      </c>
      <c r="F801" s="665" t="s">
        <v>3285</v>
      </c>
      <c r="G801" s="665" t="s">
        <v>3282</v>
      </c>
      <c r="H801" s="665" t="s">
        <v>3539</v>
      </c>
      <c r="I801" s="665" t="s">
        <v>3285</v>
      </c>
      <c r="J801" s="665" t="s">
        <v>3282</v>
      </c>
      <c r="K801" s="665" t="s">
        <v>3539</v>
      </c>
    </row>
    <row r="802" spans="1:11" x14ac:dyDescent="0.2">
      <c r="A802" s="682"/>
      <c r="B802" s="682"/>
      <c r="C802" s="682"/>
      <c r="D802" s="667"/>
      <c r="E802" s="667"/>
      <c r="F802" s="667"/>
      <c r="G802" s="667"/>
      <c r="H802" s="667"/>
      <c r="I802" s="667"/>
      <c r="J802" s="667"/>
      <c r="K802" s="667"/>
    </row>
    <row r="803" spans="1:11" x14ac:dyDescent="0.2">
      <c r="A803" s="366" t="s">
        <v>4562</v>
      </c>
      <c r="B803" s="210">
        <v>533</v>
      </c>
      <c r="C803" s="60" t="s">
        <v>4563</v>
      </c>
      <c r="D803" s="10" t="str">
        <f t="shared" ref="D803:D866" si="50">A803</f>
        <v>01 Agt</v>
      </c>
      <c r="E803" s="6" t="s">
        <v>3366</v>
      </c>
      <c r="F803" s="235" t="s">
        <v>4003</v>
      </c>
      <c r="G803" s="266" t="s">
        <v>4004</v>
      </c>
      <c r="H803" s="236"/>
      <c r="I803" s="10" t="s">
        <v>3343</v>
      </c>
      <c r="J803" s="31" t="s">
        <v>11</v>
      </c>
      <c r="K803" s="429">
        <f>H803</f>
        <v>0</v>
      </c>
    </row>
    <row r="804" spans="1:11" x14ac:dyDescent="0.2">
      <c r="A804" s="72"/>
      <c r="B804" s="72">
        <v>534</v>
      </c>
      <c r="C804" s="31" t="s">
        <v>4564</v>
      </c>
      <c r="D804" s="10">
        <f t="shared" si="50"/>
        <v>0</v>
      </c>
      <c r="E804" s="10" t="s">
        <v>3366</v>
      </c>
      <c r="F804" s="218" t="s">
        <v>4448</v>
      </c>
      <c r="G804" s="264" t="s">
        <v>4449</v>
      </c>
      <c r="H804" s="237"/>
      <c r="I804" s="10" t="s">
        <v>3343</v>
      </c>
      <c r="J804" s="31" t="s">
        <v>11</v>
      </c>
      <c r="K804" s="429">
        <f t="shared" ref="K804:K893" si="51">H804</f>
        <v>0</v>
      </c>
    </row>
    <row r="805" spans="1:11" x14ac:dyDescent="0.2">
      <c r="A805" s="72"/>
      <c r="B805" s="72">
        <v>535</v>
      </c>
      <c r="C805" s="31" t="s">
        <v>4565</v>
      </c>
      <c r="D805" s="10">
        <f t="shared" si="50"/>
        <v>0</v>
      </c>
      <c r="E805" s="10" t="s">
        <v>3366</v>
      </c>
      <c r="F805" s="218" t="s">
        <v>3941</v>
      </c>
      <c r="G805" s="264" t="s">
        <v>3942</v>
      </c>
      <c r="H805" s="237"/>
      <c r="I805" s="10" t="s">
        <v>3343</v>
      </c>
      <c r="J805" s="31" t="s">
        <v>11</v>
      </c>
      <c r="K805" s="429">
        <f t="shared" si="51"/>
        <v>0</v>
      </c>
    </row>
    <row r="806" spans="1:11" x14ac:dyDescent="0.2">
      <c r="A806" s="72"/>
      <c r="B806" s="72">
        <v>536</v>
      </c>
      <c r="C806" s="31" t="s">
        <v>4566</v>
      </c>
      <c r="D806" s="10">
        <f t="shared" si="50"/>
        <v>0</v>
      </c>
      <c r="E806" s="10" t="s">
        <v>3366</v>
      </c>
      <c r="F806" s="218" t="s">
        <v>4013</v>
      </c>
      <c r="G806" s="264" t="s">
        <v>4052</v>
      </c>
      <c r="H806" s="237"/>
      <c r="I806" s="10" t="s">
        <v>3343</v>
      </c>
      <c r="J806" s="31" t="s">
        <v>11</v>
      </c>
      <c r="K806" s="429">
        <f t="shared" si="51"/>
        <v>0</v>
      </c>
    </row>
    <row r="807" spans="1:11" x14ac:dyDescent="0.2">
      <c r="A807" s="72" t="s">
        <v>4567</v>
      </c>
      <c r="B807" s="72">
        <v>537</v>
      </c>
      <c r="C807" s="31" t="s">
        <v>4568</v>
      </c>
      <c r="D807" s="10" t="str">
        <f t="shared" si="50"/>
        <v>04 Agt</v>
      </c>
      <c r="E807" s="10" t="s">
        <v>3366</v>
      </c>
      <c r="F807" s="218" t="s">
        <v>4003</v>
      </c>
      <c r="G807" s="264" t="s">
        <v>4004</v>
      </c>
      <c r="H807" s="237"/>
      <c r="I807" s="10" t="s">
        <v>3343</v>
      </c>
      <c r="J807" s="31" t="s">
        <v>11</v>
      </c>
      <c r="K807" s="429">
        <f t="shared" si="51"/>
        <v>0</v>
      </c>
    </row>
    <row r="808" spans="1:11" x14ac:dyDescent="0.2">
      <c r="A808" s="72"/>
      <c r="B808" s="72">
        <v>538</v>
      </c>
      <c r="C808" s="31" t="s">
        <v>4569</v>
      </c>
      <c r="D808" s="10">
        <f t="shared" si="50"/>
        <v>0</v>
      </c>
      <c r="E808" s="10" t="s">
        <v>3366</v>
      </c>
      <c r="F808" s="218" t="s">
        <v>3934</v>
      </c>
      <c r="G808" s="264" t="s">
        <v>4032</v>
      </c>
      <c r="H808" s="237"/>
      <c r="I808" s="10" t="s">
        <v>3343</v>
      </c>
      <c r="J808" s="31" t="s">
        <v>11</v>
      </c>
      <c r="K808" s="429">
        <f t="shared" si="51"/>
        <v>0</v>
      </c>
    </row>
    <row r="809" spans="1:11" x14ac:dyDescent="0.2">
      <c r="A809" s="72"/>
      <c r="B809" s="72">
        <v>539</v>
      </c>
      <c r="C809" s="31" t="s">
        <v>4570</v>
      </c>
      <c r="D809" s="10">
        <f t="shared" si="50"/>
        <v>0</v>
      </c>
      <c r="E809" s="10" t="s">
        <v>3366</v>
      </c>
      <c r="F809" s="218" t="s">
        <v>3935</v>
      </c>
      <c r="G809" s="264" t="s">
        <v>3406</v>
      </c>
      <c r="H809" s="237"/>
      <c r="I809" s="10" t="s">
        <v>3343</v>
      </c>
      <c r="J809" s="31" t="s">
        <v>11</v>
      </c>
      <c r="K809" s="429">
        <f t="shared" si="51"/>
        <v>0</v>
      </c>
    </row>
    <row r="810" spans="1:11" x14ac:dyDescent="0.2">
      <c r="A810" s="72" t="s">
        <v>4571</v>
      </c>
      <c r="B810" s="72">
        <v>540</v>
      </c>
      <c r="C810" s="31" t="s">
        <v>4572</v>
      </c>
      <c r="D810" s="10" t="str">
        <f t="shared" si="50"/>
        <v>05 Agt</v>
      </c>
      <c r="E810" s="10" t="s">
        <v>3366</v>
      </c>
      <c r="F810" s="218" t="s">
        <v>4013</v>
      </c>
      <c r="G810" s="264" t="s">
        <v>3526</v>
      </c>
      <c r="H810" s="237"/>
      <c r="I810" s="10" t="s">
        <v>3343</v>
      </c>
      <c r="J810" s="31" t="s">
        <v>11</v>
      </c>
      <c r="K810" s="429">
        <f t="shared" si="51"/>
        <v>0</v>
      </c>
    </row>
    <row r="811" spans="1:11" x14ac:dyDescent="0.2">
      <c r="A811" s="72"/>
      <c r="B811" s="72">
        <v>541</v>
      </c>
      <c r="C811" s="31" t="s">
        <v>4573</v>
      </c>
      <c r="D811" s="10">
        <f t="shared" si="50"/>
        <v>0</v>
      </c>
      <c r="E811" s="10" t="s">
        <v>3366</v>
      </c>
      <c r="F811" s="218" t="s">
        <v>3922</v>
      </c>
      <c r="G811" s="264" t="s">
        <v>3984</v>
      </c>
      <c r="H811" s="237"/>
      <c r="I811" s="10" t="s">
        <v>3343</v>
      </c>
      <c r="J811" s="31" t="s">
        <v>11</v>
      </c>
      <c r="K811" s="429">
        <f>H811</f>
        <v>0</v>
      </c>
    </row>
    <row r="812" spans="1:11" x14ac:dyDescent="0.2">
      <c r="A812" s="72"/>
      <c r="B812" s="72">
        <v>542</v>
      </c>
      <c r="C812" s="31" t="s">
        <v>3997</v>
      </c>
      <c r="D812" s="10">
        <f t="shared" si="50"/>
        <v>0</v>
      </c>
      <c r="E812" s="10" t="s">
        <v>3366</v>
      </c>
      <c r="F812" s="218" t="s">
        <v>3939</v>
      </c>
      <c r="G812" s="264" t="s">
        <v>3940</v>
      </c>
      <c r="H812" s="237"/>
      <c r="I812" s="10" t="s">
        <v>3343</v>
      </c>
      <c r="J812" s="31" t="s">
        <v>11</v>
      </c>
      <c r="K812" s="429">
        <f t="shared" si="51"/>
        <v>0</v>
      </c>
    </row>
    <row r="813" spans="1:11" x14ac:dyDescent="0.2">
      <c r="A813" s="72"/>
      <c r="B813" s="72">
        <v>543</v>
      </c>
      <c r="C813" s="31" t="s">
        <v>4574</v>
      </c>
      <c r="D813" s="10">
        <f t="shared" si="50"/>
        <v>0</v>
      </c>
      <c r="E813" s="10" t="s">
        <v>3366</v>
      </c>
      <c r="F813" s="218" t="s">
        <v>4038</v>
      </c>
      <c r="G813" s="264" t="s">
        <v>4039</v>
      </c>
      <c r="H813" s="237"/>
      <c r="I813" s="10" t="s">
        <v>3343</v>
      </c>
      <c r="J813" s="31" t="s">
        <v>11</v>
      </c>
      <c r="K813" s="429">
        <f t="shared" si="51"/>
        <v>0</v>
      </c>
    </row>
    <row r="814" spans="1:11" x14ac:dyDescent="0.2">
      <c r="A814" s="72" t="s">
        <v>4575</v>
      </c>
      <c r="B814" s="72">
        <v>544</v>
      </c>
      <c r="C814" s="31" t="s">
        <v>4576</v>
      </c>
      <c r="D814" s="10" t="str">
        <f t="shared" si="50"/>
        <v>07 Agt</v>
      </c>
      <c r="E814" s="10" t="s">
        <v>3366</v>
      </c>
      <c r="F814" s="218" t="s">
        <v>3934</v>
      </c>
      <c r="G814" s="264" t="s">
        <v>4032</v>
      </c>
      <c r="H814" s="237"/>
      <c r="I814" s="10" t="s">
        <v>3343</v>
      </c>
      <c r="J814" s="31" t="s">
        <v>11</v>
      </c>
      <c r="K814" s="429">
        <f t="shared" si="51"/>
        <v>0</v>
      </c>
    </row>
    <row r="815" spans="1:11" x14ac:dyDescent="0.2">
      <c r="A815" s="72"/>
      <c r="B815" s="72">
        <v>545</v>
      </c>
      <c r="C815" s="31" t="s">
        <v>4577</v>
      </c>
      <c r="D815" s="10">
        <f t="shared" si="50"/>
        <v>0</v>
      </c>
      <c r="E815" s="10" t="s">
        <v>3366</v>
      </c>
      <c r="F815" s="218" t="s">
        <v>4578</v>
      </c>
      <c r="G815" s="264" t="s">
        <v>4579</v>
      </c>
      <c r="H815" s="237"/>
      <c r="I815" s="10" t="s">
        <v>3343</v>
      </c>
      <c r="J815" s="31" t="s">
        <v>11</v>
      </c>
      <c r="K815" s="429">
        <f t="shared" si="51"/>
        <v>0</v>
      </c>
    </row>
    <row r="816" spans="1:11" x14ac:dyDescent="0.2">
      <c r="A816" s="72"/>
      <c r="B816" s="72">
        <v>546</v>
      </c>
      <c r="C816" s="31" t="s">
        <v>4580</v>
      </c>
      <c r="D816" s="10">
        <f t="shared" si="50"/>
        <v>0</v>
      </c>
      <c r="E816" s="10" t="s">
        <v>3366</v>
      </c>
      <c r="F816" s="218" t="s">
        <v>4013</v>
      </c>
      <c r="G816" s="264" t="s">
        <v>3526</v>
      </c>
      <c r="H816" s="237"/>
      <c r="I816" s="10" t="s">
        <v>3343</v>
      </c>
      <c r="J816" s="31" t="s">
        <v>11</v>
      </c>
      <c r="K816" s="429">
        <f t="shared" si="51"/>
        <v>0</v>
      </c>
    </row>
    <row r="817" spans="1:11" x14ac:dyDescent="0.2">
      <c r="A817" s="72" t="s">
        <v>4581</v>
      </c>
      <c r="B817" s="72">
        <v>547</v>
      </c>
      <c r="C817" s="31" t="s">
        <v>3844</v>
      </c>
      <c r="D817" s="10" t="str">
        <f t="shared" si="50"/>
        <v>08 Agt</v>
      </c>
      <c r="E817" s="10" t="s">
        <v>3366</v>
      </c>
      <c r="F817" s="218" t="s">
        <v>3925</v>
      </c>
      <c r="G817" s="264" t="s">
        <v>3926</v>
      </c>
      <c r="H817" s="237"/>
      <c r="I817" s="10" t="s">
        <v>3343</v>
      </c>
      <c r="J817" s="31" t="s">
        <v>11</v>
      </c>
      <c r="K817" s="429">
        <f t="shared" si="51"/>
        <v>0</v>
      </c>
    </row>
    <row r="818" spans="1:11" x14ac:dyDescent="0.2">
      <c r="A818" s="72"/>
      <c r="B818" s="72"/>
      <c r="C818" s="31"/>
      <c r="D818" s="10">
        <f t="shared" si="50"/>
        <v>0</v>
      </c>
      <c r="E818" s="10" t="s">
        <v>3366</v>
      </c>
      <c r="F818" s="218" t="s">
        <v>3543</v>
      </c>
      <c r="G818" s="264" t="s">
        <v>3927</v>
      </c>
      <c r="H818" s="237"/>
      <c r="I818" s="10" t="s">
        <v>3343</v>
      </c>
      <c r="J818" s="31" t="s">
        <v>11</v>
      </c>
      <c r="K818" s="429">
        <f t="shared" si="51"/>
        <v>0</v>
      </c>
    </row>
    <row r="819" spans="1:11" x14ac:dyDescent="0.2">
      <c r="A819" s="263"/>
      <c r="B819" s="72"/>
      <c r="C819" s="31"/>
      <c r="D819" s="10">
        <f t="shared" si="50"/>
        <v>0</v>
      </c>
      <c r="E819" s="10" t="s">
        <v>3366</v>
      </c>
      <c r="F819" s="218" t="s">
        <v>3520</v>
      </c>
      <c r="G819" s="264" t="s">
        <v>3928</v>
      </c>
      <c r="H819" s="237"/>
      <c r="I819" s="10" t="s">
        <v>3343</v>
      </c>
      <c r="J819" s="31" t="s">
        <v>11</v>
      </c>
      <c r="K819" s="429">
        <f t="shared" si="51"/>
        <v>0</v>
      </c>
    </row>
    <row r="820" spans="1:11" x14ac:dyDescent="0.2">
      <c r="A820" s="72"/>
      <c r="B820" s="72">
        <v>548</v>
      </c>
      <c r="C820" s="31" t="s">
        <v>4582</v>
      </c>
      <c r="D820" s="10">
        <f t="shared" si="50"/>
        <v>0</v>
      </c>
      <c r="E820" s="10" t="s">
        <v>3366</v>
      </c>
      <c r="F820" s="218" t="s">
        <v>3935</v>
      </c>
      <c r="G820" s="264" t="s">
        <v>3406</v>
      </c>
      <c r="H820" s="237"/>
      <c r="I820" s="10" t="s">
        <v>3343</v>
      </c>
      <c r="J820" s="31" t="s">
        <v>11</v>
      </c>
      <c r="K820" s="429">
        <f t="shared" si="51"/>
        <v>0</v>
      </c>
    </row>
    <row r="821" spans="1:11" x14ac:dyDescent="0.2">
      <c r="A821" s="72"/>
      <c r="B821" s="72">
        <v>549</v>
      </c>
      <c r="C821" s="31" t="s">
        <v>4583</v>
      </c>
      <c r="D821" s="10">
        <f t="shared" si="50"/>
        <v>0</v>
      </c>
      <c r="E821" s="10" t="s">
        <v>3366</v>
      </c>
      <c r="F821" s="218" t="s">
        <v>3941</v>
      </c>
      <c r="G821" s="264" t="s">
        <v>3942</v>
      </c>
      <c r="H821" s="237"/>
      <c r="I821" s="10" t="s">
        <v>3343</v>
      </c>
      <c r="J821" s="31" t="s">
        <v>11</v>
      </c>
      <c r="K821" s="429">
        <f t="shared" si="51"/>
        <v>0</v>
      </c>
    </row>
    <row r="822" spans="1:11" x14ac:dyDescent="0.2">
      <c r="A822" s="72" t="s">
        <v>4584</v>
      </c>
      <c r="B822" s="72">
        <v>550</v>
      </c>
      <c r="C822" s="31" t="s">
        <v>3841</v>
      </c>
      <c r="D822" s="10" t="str">
        <f t="shared" si="50"/>
        <v>11 Agt</v>
      </c>
      <c r="E822" s="10" t="s">
        <v>3366</v>
      </c>
      <c r="F822" s="218" t="s">
        <v>3924</v>
      </c>
      <c r="G822" s="264" t="s">
        <v>3410</v>
      </c>
      <c r="H822" s="237"/>
      <c r="I822" s="10" t="s">
        <v>3343</v>
      </c>
      <c r="J822" s="31" t="s">
        <v>11</v>
      </c>
      <c r="K822" s="429">
        <f t="shared" si="51"/>
        <v>0</v>
      </c>
    </row>
    <row r="823" spans="1:11" x14ac:dyDescent="0.2">
      <c r="A823" s="72"/>
      <c r="B823" s="72">
        <v>551</v>
      </c>
      <c r="C823" s="265" t="s">
        <v>3842</v>
      </c>
      <c r="D823" s="10">
        <f t="shared" si="50"/>
        <v>0</v>
      </c>
      <c r="E823" s="10" t="s">
        <v>3366</v>
      </c>
      <c r="F823" s="218" t="s">
        <v>3924</v>
      </c>
      <c r="G823" s="267" t="s">
        <v>3410</v>
      </c>
      <c r="H823" s="237"/>
      <c r="I823" s="10" t="s">
        <v>3343</v>
      </c>
      <c r="J823" s="31" t="s">
        <v>11</v>
      </c>
      <c r="K823" s="429">
        <f t="shared" si="51"/>
        <v>0</v>
      </c>
    </row>
    <row r="824" spans="1:11" x14ac:dyDescent="0.2">
      <c r="A824" s="72"/>
      <c r="B824" s="72">
        <v>552</v>
      </c>
      <c r="C824" s="265" t="s">
        <v>3843</v>
      </c>
      <c r="D824" s="10">
        <f t="shared" si="50"/>
        <v>0</v>
      </c>
      <c r="E824" s="10" t="s">
        <v>3366</v>
      </c>
      <c r="F824" s="218" t="s">
        <v>3924</v>
      </c>
      <c r="G824" s="267" t="s">
        <v>3410</v>
      </c>
      <c r="H824" s="237"/>
      <c r="I824" s="10" t="s">
        <v>3343</v>
      </c>
      <c r="J824" s="31" t="s">
        <v>11</v>
      </c>
      <c r="K824" s="429">
        <f t="shared" si="51"/>
        <v>0</v>
      </c>
    </row>
    <row r="825" spans="1:11" x14ac:dyDescent="0.2">
      <c r="A825" s="72"/>
      <c r="B825" s="72">
        <v>553</v>
      </c>
      <c r="C825" s="265" t="s">
        <v>4585</v>
      </c>
      <c r="D825" s="10">
        <f t="shared" si="50"/>
        <v>0</v>
      </c>
      <c r="E825" s="10" t="s">
        <v>3366</v>
      </c>
      <c r="F825" s="218" t="s">
        <v>3934</v>
      </c>
      <c r="G825" s="264" t="s">
        <v>4032</v>
      </c>
      <c r="H825" s="237"/>
      <c r="I825" s="10" t="s">
        <v>3343</v>
      </c>
      <c r="J825" s="31" t="s">
        <v>11</v>
      </c>
      <c r="K825" s="429">
        <f t="shared" si="51"/>
        <v>0</v>
      </c>
    </row>
    <row r="826" spans="1:11" x14ac:dyDescent="0.2">
      <c r="A826" s="72"/>
      <c r="B826" s="72">
        <v>554</v>
      </c>
      <c r="C826" s="265" t="s">
        <v>3996</v>
      </c>
      <c r="D826" s="10">
        <f t="shared" si="50"/>
        <v>0</v>
      </c>
      <c r="E826" s="10" t="s">
        <v>3366</v>
      </c>
      <c r="F826" s="218" t="s">
        <v>3390</v>
      </c>
      <c r="G826" s="267" t="s">
        <v>3943</v>
      </c>
      <c r="H826" s="237"/>
      <c r="I826" s="10" t="s">
        <v>3343</v>
      </c>
      <c r="J826" s="31" t="s">
        <v>11</v>
      </c>
      <c r="K826" s="429">
        <f t="shared" si="51"/>
        <v>0</v>
      </c>
    </row>
    <row r="827" spans="1:11" x14ac:dyDescent="0.2">
      <c r="A827" s="72"/>
      <c r="B827" s="72">
        <v>555</v>
      </c>
      <c r="C827" s="265" t="s">
        <v>4586</v>
      </c>
      <c r="D827" s="10">
        <f t="shared" si="50"/>
        <v>0</v>
      </c>
      <c r="E827" s="10" t="s">
        <v>3366</v>
      </c>
      <c r="F827" s="218" t="s">
        <v>3954</v>
      </c>
      <c r="G827" s="267" t="s">
        <v>3955</v>
      </c>
      <c r="H827" s="237"/>
      <c r="I827" s="10" t="s">
        <v>3343</v>
      </c>
      <c r="J827" s="31" t="s">
        <v>11</v>
      </c>
      <c r="K827" s="429">
        <f t="shared" si="51"/>
        <v>0</v>
      </c>
    </row>
    <row r="828" spans="1:11" x14ac:dyDescent="0.2">
      <c r="A828" s="72" t="s">
        <v>4587</v>
      </c>
      <c r="B828" s="72">
        <v>556</v>
      </c>
      <c r="C828" s="265" t="s">
        <v>4588</v>
      </c>
      <c r="D828" s="10" t="str">
        <f t="shared" si="50"/>
        <v>13 Agt</v>
      </c>
      <c r="E828" s="10" t="s">
        <v>3366</v>
      </c>
      <c r="F828" s="218" t="s">
        <v>3989</v>
      </c>
      <c r="G828" s="267" t="s">
        <v>3990</v>
      </c>
      <c r="H828" s="237"/>
      <c r="I828" s="10" t="s">
        <v>3343</v>
      </c>
      <c r="J828" s="31" t="s">
        <v>11</v>
      </c>
      <c r="K828" s="429">
        <f t="shared" si="51"/>
        <v>0</v>
      </c>
    </row>
    <row r="829" spans="1:11" x14ac:dyDescent="0.2">
      <c r="A829" s="72" t="s">
        <v>4589</v>
      </c>
      <c r="B829" s="72">
        <v>557</v>
      </c>
      <c r="C829" s="31" t="s">
        <v>4590</v>
      </c>
      <c r="D829" s="10" t="str">
        <f t="shared" si="50"/>
        <v>15 Agt</v>
      </c>
      <c r="E829" s="10" t="s">
        <v>3366</v>
      </c>
      <c r="F829" s="218" t="s">
        <v>3935</v>
      </c>
      <c r="G829" s="264" t="s">
        <v>3406</v>
      </c>
      <c r="H829" s="237"/>
      <c r="I829" s="10" t="s">
        <v>3343</v>
      </c>
      <c r="J829" s="31" t="s">
        <v>11</v>
      </c>
      <c r="K829" s="429">
        <f t="shared" si="51"/>
        <v>0</v>
      </c>
    </row>
    <row r="830" spans="1:11" x14ac:dyDescent="0.2">
      <c r="A830" s="72" t="s">
        <v>4591</v>
      </c>
      <c r="B830" s="72">
        <v>558</v>
      </c>
      <c r="C830" s="31" t="s">
        <v>4592</v>
      </c>
      <c r="D830" s="10" t="str">
        <f t="shared" si="50"/>
        <v>19 Agt</v>
      </c>
      <c r="E830" s="10" t="s">
        <v>3366</v>
      </c>
      <c r="F830" s="218" t="s">
        <v>3935</v>
      </c>
      <c r="G830" s="264" t="s">
        <v>3406</v>
      </c>
      <c r="H830" s="237"/>
      <c r="I830" s="10" t="s">
        <v>3343</v>
      </c>
      <c r="J830" s="31" t="s">
        <v>11</v>
      </c>
      <c r="K830" s="429">
        <f t="shared" si="51"/>
        <v>0</v>
      </c>
    </row>
    <row r="831" spans="1:11" x14ac:dyDescent="0.2">
      <c r="A831" s="72"/>
      <c r="B831" s="72">
        <v>559</v>
      </c>
      <c r="C831" s="31" t="s">
        <v>4593</v>
      </c>
      <c r="D831" s="10">
        <f t="shared" si="50"/>
        <v>0</v>
      </c>
      <c r="E831" s="10" t="s">
        <v>3366</v>
      </c>
      <c r="F831" s="218" t="s">
        <v>4578</v>
      </c>
      <c r="G831" s="267" t="s">
        <v>4594</v>
      </c>
      <c r="H831" s="237"/>
      <c r="I831" s="10" t="s">
        <v>3343</v>
      </c>
      <c r="J831" s="31" t="s">
        <v>11</v>
      </c>
      <c r="K831" s="429">
        <f t="shared" si="51"/>
        <v>0</v>
      </c>
    </row>
    <row r="832" spans="1:11" x14ac:dyDescent="0.2">
      <c r="A832" s="72"/>
      <c r="B832" s="72"/>
      <c r="C832" s="31"/>
      <c r="D832" s="10">
        <f t="shared" si="50"/>
        <v>0</v>
      </c>
      <c r="E832" s="10" t="s">
        <v>3366</v>
      </c>
      <c r="F832" s="218" t="s">
        <v>4595</v>
      </c>
      <c r="G832" s="267" t="s">
        <v>4596</v>
      </c>
      <c r="H832" s="237"/>
      <c r="I832" s="10" t="s">
        <v>3343</v>
      </c>
      <c r="J832" s="31" t="s">
        <v>11</v>
      </c>
      <c r="K832" s="429">
        <f t="shared" si="51"/>
        <v>0</v>
      </c>
    </row>
    <row r="833" spans="1:11" x14ac:dyDescent="0.2">
      <c r="A833" s="72"/>
      <c r="B833" s="72"/>
      <c r="C833" s="31"/>
      <c r="D833" s="10">
        <f t="shared" si="50"/>
        <v>0</v>
      </c>
      <c r="E833" s="10" t="s">
        <v>3366</v>
      </c>
      <c r="F833" s="218" t="s">
        <v>4597</v>
      </c>
      <c r="G833" s="267" t="s">
        <v>4598</v>
      </c>
      <c r="H833" s="237"/>
      <c r="I833" s="10" t="s">
        <v>3343</v>
      </c>
      <c r="J833" s="31" t="s">
        <v>11</v>
      </c>
      <c r="K833" s="429">
        <f t="shared" si="51"/>
        <v>0</v>
      </c>
    </row>
    <row r="834" spans="1:11" x14ac:dyDescent="0.2">
      <c r="A834" s="72"/>
      <c r="B834" s="72">
        <v>560</v>
      </c>
      <c r="C834" s="31" t="s">
        <v>3866</v>
      </c>
      <c r="D834" s="10">
        <f t="shared" si="50"/>
        <v>0</v>
      </c>
      <c r="E834" s="10" t="s">
        <v>3366</v>
      </c>
      <c r="F834" s="218" t="s">
        <v>3946</v>
      </c>
      <c r="G834" s="264" t="s">
        <v>3432</v>
      </c>
      <c r="H834" s="237"/>
      <c r="I834" s="10" t="s">
        <v>3343</v>
      </c>
      <c r="J834" s="31" t="s">
        <v>11</v>
      </c>
      <c r="K834" s="429">
        <f t="shared" si="51"/>
        <v>0</v>
      </c>
    </row>
    <row r="835" spans="1:11" x14ac:dyDescent="0.2">
      <c r="A835" s="72"/>
      <c r="B835" s="72">
        <v>561</v>
      </c>
      <c r="C835" s="31" t="s">
        <v>3257</v>
      </c>
      <c r="D835" s="10">
        <f t="shared" si="50"/>
        <v>0</v>
      </c>
      <c r="E835" s="10" t="s">
        <v>3366</v>
      </c>
      <c r="F835" s="218" t="s">
        <v>3922</v>
      </c>
      <c r="G835" s="267" t="s">
        <v>3984</v>
      </c>
      <c r="H835" s="237"/>
      <c r="I835" s="10" t="s">
        <v>3343</v>
      </c>
      <c r="J835" s="31" t="s">
        <v>11</v>
      </c>
      <c r="K835" s="429">
        <f t="shared" si="51"/>
        <v>0</v>
      </c>
    </row>
    <row r="836" spans="1:11" x14ac:dyDescent="0.2">
      <c r="A836" s="72"/>
      <c r="B836" s="72">
        <v>562</v>
      </c>
      <c r="C836" s="265" t="s">
        <v>4599</v>
      </c>
      <c r="D836" s="10">
        <f t="shared" si="50"/>
        <v>0</v>
      </c>
      <c r="E836" s="10" t="s">
        <v>3366</v>
      </c>
      <c r="F836" s="218" t="s">
        <v>3947</v>
      </c>
      <c r="G836" s="264" t="s">
        <v>3436</v>
      </c>
      <c r="H836" s="237"/>
      <c r="I836" s="10" t="s">
        <v>3343</v>
      </c>
      <c r="J836" s="31" t="s">
        <v>11</v>
      </c>
      <c r="K836" s="429">
        <f t="shared" si="51"/>
        <v>0</v>
      </c>
    </row>
    <row r="837" spans="1:11" x14ac:dyDescent="0.2">
      <c r="A837" s="72" t="s">
        <v>4600</v>
      </c>
      <c r="B837" s="72">
        <v>563</v>
      </c>
      <c r="C837" s="265" t="s">
        <v>3987</v>
      </c>
      <c r="D837" s="10" t="str">
        <f t="shared" si="50"/>
        <v>20 Agt</v>
      </c>
      <c r="E837" s="10" t="s">
        <v>3366</v>
      </c>
      <c r="F837" s="218" t="s">
        <v>3932</v>
      </c>
      <c r="G837" s="264" t="s">
        <v>3933</v>
      </c>
      <c r="H837" s="237"/>
      <c r="I837" s="10" t="s">
        <v>3343</v>
      </c>
      <c r="J837" s="31" t="s">
        <v>11</v>
      </c>
      <c r="K837" s="429">
        <f t="shared" si="51"/>
        <v>0</v>
      </c>
    </row>
    <row r="838" spans="1:11" x14ac:dyDescent="0.2">
      <c r="A838" s="72"/>
      <c r="B838" s="72">
        <v>564</v>
      </c>
      <c r="C838" s="265" t="s">
        <v>4601</v>
      </c>
      <c r="D838" s="10">
        <f t="shared" si="50"/>
        <v>0</v>
      </c>
      <c r="E838" s="10" t="s">
        <v>3366</v>
      </c>
      <c r="F838" s="218" t="s">
        <v>3934</v>
      </c>
      <c r="G838" s="264" t="s">
        <v>4032</v>
      </c>
      <c r="H838" s="237"/>
      <c r="I838" s="10" t="s">
        <v>3343</v>
      </c>
      <c r="J838" s="31" t="s">
        <v>11</v>
      </c>
      <c r="K838" s="429">
        <f t="shared" si="51"/>
        <v>0</v>
      </c>
    </row>
    <row r="839" spans="1:11" x14ac:dyDescent="0.2">
      <c r="A839" s="72"/>
      <c r="B839" s="72">
        <v>565</v>
      </c>
      <c r="C839" s="265" t="s">
        <v>4602</v>
      </c>
      <c r="D839" s="10">
        <f t="shared" si="50"/>
        <v>0</v>
      </c>
      <c r="E839" s="10" t="s">
        <v>3366</v>
      </c>
      <c r="F839" s="218" t="s">
        <v>3934</v>
      </c>
      <c r="G839" s="264" t="s">
        <v>4032</v>
      </c>
      <c r="H839" s="237"/>
      <c r="I839" s="10" t="s">
        <v>3343</v>
      </c>
      <c r="J839" s="31" t="s">
        <v>11</v>
      </c>
      <c r="K839" s="429">
        <f t="shared" si="51"/>
        <v>0</v>
      </c>
    </row>
    <row r="840" spans="1:11" x14ac:dyDescent="0.2">
      <c r="A840" s="72"/>
      <c r="B840" s="72">
        <v>566</v>
      </c>
      <c r="C840" s="31" t="s">
        <v>4603</v>
      </c>
      <c r="D840" s="10">
        <f t="shared" si="50"/>
        <v>0</v>
      </c>
      <c r="E840" s="10" t="s">
        <v>3366</v>
      </c>
      <c r="F840" s="218" t="s">
        <v>3934</v>
      </c>
      <c r="G840" s="264" t="s">
        <v>4032</v>
      </c>
      <c r="H840" s="237"/>
      <c r="I840" s="10" t="s">
        <v>3343</v>
      </c>
      <c r="J840" s="31" t="s">
        <v>11</v>
      </c>
      <c r="K840" s="429">
        <f t="shared" si="51"/>
        <v>0</v>
      </c>
    </row>
    <row r="841" spans="1:11" x14ac:dyDescent="0.2">
      <c r="A841" s="72" t="s">
        <v>4604</v>
      </c>
      <c r="B841" s="72">
        <v>567</v>
      </c>
      <c r="C841" s="31" t="s">
        <v>4605</v>
      </c>
      <c r="D841" s="10" t="str">
        <f t="shared" si="50"/>
        <v>25 Agt</v>
      </c>
      <c r="E841" s="10" t="s">
        <v>3366</v>
      </c>
      <c r="F841" s="218" t="s">
        <v>3935</v>
      </c>
      <c r="G841" s="264" t="s">
        <v>3406</v>
      </c>
      <c r="H841" s="237"/>
      <c r="I841" s="10" t="s">
        <v>3343</v>
      </c>
      <c r="J841" s="31" t="s">
        <v>11</v>
      </c>
      <c r="K841" s="429">
        <f t="shared" si="51"/>
        <v>0</v>
      </c>
    </row>
    <row r="842" spans="1:11" x14ac:dyDescent="0.2">
      <c r="A842" s="72"/>
      <c r="B842" s="72">
        <v>568</v>
      </c>
      <c r="C842" s="31" t="s">
        <v>4606</v>
      </c>
      <c r="D842" s="10">
        <f t="shared" si="50"/>
        <v>0</v>
      </c>
      <c r="E842" s="10" t="s">
        <v>3366</v>
      </c>
      <c r="F842" s="218" t="s">
        <v>3935</v>
      </c>
      <c r="G842" s="264" t="s">
        <v>3406</v>
      </c>
      <c r="H842" s="237"/>
      <c r="I842" s="10" t="s">
        <v>3343</v>
      </c>
      <c r="J842" s="31" t="s">
        <v>11</v>
      </c>
      <c r="K842" s="429">
        <f t="shared" si="51"/>
        <v>0</v>
      </c>
    </row>
    <row r="843" spans="1:11" x14ac:dyDescent="0.2">
      <c r="A843" s="72" t="s">
        <v>4607</v>
      </c>
      <c r="B843" s="72">
        <v>569</v>
      </c>
      <c r="C843" s="31" t="s">
        <v>4608</v>
      </c>
      <c r="D843" s="10" t="str">
        <f t="shared" si="50"/>
        <v>26 Agt</v>
      </c>
      <c r="E843" s="10" t="s">
        <v>3366</v>
      </c>
      <c r="F843" s="218" t="s">
        <v>3999</v>
      </c>
      <c r="G843" s="267" t="s">
        <v>4000</v>
      </c>
      <c r="H843" s="237"/>
      <c r="I843" s="10" t="s">
        <v>3343</v>
      </c>
      <c r="J843" s="31" t="s">
        <v>11</v>
      </c>
      <c r="K843" s="429">
        <f t="shared" si="51"/>
        <v>0</v>
      </c>
    </row>
    <row r="844" spans="1:11" x14ac:dyDescent="0.2">
      <c r="A844" s="72"/>
      <c r="B844" s="72">
        <v>570</v>
      </c>
      <c r="C844" s="31" t="s">
        <v>4609</v>
      </c>
      <c r="D844" s="10">
        <f t="shared" si="50"/>
        <v>0</v>
      </c>
      <c r="E844" s="10" t="s">
        <v>3366</v>
      </c>
      <c r="F844" s="218" t="s">
        <v>3954</v>
      </c>
      <c r="G844" s="267" t="s">
        <v>3955</v>
      </c>
      <c r="H844" s="237"/>
      <c r="I844" s="10" t="s">
        <v>3343</v>
      </c>
      <c r="J844" s="31" t="s">
        <v>11</v>
      </c>
      <c r="K844" s="429">
        <f t="shared" si="51"/>
        <v>0</v>
      </c>
    </row>
    <row r="845" spans="1:11" x14ac:dyDescent="0.2">
      <c r="A845" s="72"/>
      <c r="B845" s="72">
        <v>571</v>
      </c>
      <c r="C845" s="31" t="s">
        <v>3256</v>
      </c>
      <c r="D845" s="10">
        <f t="shared" si="50"/>
        <v>0</v>
      </c>
      <c r="E845" s="10" t="s">
        <v>3366</v>
      </c>
      <c r="F845" s="218" t="s">
        <v>3925</v>
      </c>
      <c r="G845" s="264" t="s">
        <v>3962</v>
      </c>
      <c r="H845" s="237"/>
      <c r="I845" s="10" t="s">
        <v>3343</v>
      </c>
      <c r="J845" s="31" t="s">
        <v>11</v>
      </c>
      <c r="K845" s="429">
        <f t="shared" si="51"/>
        <v>0</v>
      </c>
    </row>
    <row r="846" spans="1:11" x14ac:dyDescent="0.2">
      <c r="A846" s="72"/>
      <c r="B846" s="72"/>
      <c r="C846" s="31"/>
      <c r="D846" s="10">
        <f t="shared" si="50"/>
        <v>0</v>
      </c>
      <c r="E846" s="10" t="s">
        <v>3366</v>
      </c>
      <c r="F846" s="218" t="s">
        <v>3520</v>
      </c>
      <c r="G846" s="264" t="s">
        <v>3964</v>
      </c>
      <c r="H846" s="237"/>
      <c r="I846" s="10" t="s">
        <v>3343</v>
      </c>
      <c r="J846" s="31" t="s">
        <v>11</v>
      </c>
      <c r="K846" s="429">
        <f t="shared" si="51"/>
        <v>0</v>
      </c>
    </row>
    <row r="847" spans="1:11" x14ac:dyDescent="0.2">
      <c r="A847" s="72"/>
      <c r="B847" s="72"/>
      <c r="C847" s="31"/>
      <c r="D847" s="10">
        <f t="shared" si="50"/>
        <v>0</v>
      </c>
      <c r="E847" s="10" t="s">
        <v>3366</v>
      </c>
      <c r="F847" s="218" t="s">
        <v>3543</v>
      </c>
      <c r="G847" s="264" t="s">
        <v>3963</v>
      </c>
      <c r="H847" s="237"/>
      <c r="I847" s="10" t="s">
        <v>3343</v>
      </c>
      <c r="J847" s="31" t="s">
        <v>11</v>
      </c>
      <c r="K847" s="429">
        <f t="shared" si="51"/>
        <v>0</v>
      </c>
    </row>
    <row r="848" spans="1:11" x14ac:dyDescent="0.2">
      <c r="A848" s="72"/>
      <c r="B848" s="72">
        <v>572</v>
      </c>
      <c r="C848" s="31" t="s">
        <v>3895</v>
      </c>
      <c r="D848" s="10">
        <f t="shared" si="50"/>
        <v>0</v>
      </c>
      <c r="E848" s="10" t="s">
        <v>3366</v>
      </c>
      <c r="F848" s="218" t="s">
        <v>3960</v>
      </c>
      <c r="G848" s="264" t="s">
        <v>3456</v>
      </c>
      <c r="H848" s="237"/>
      <c r="I848" s="10" t="s">
        <v>3343</v>
      </c>
      <c r="J848" s="31" t="s">
        <v>11</v>
      </c>
      <c r="K848" s="429">
        <f t="shared" si="51"/>
        <v>0</v>
      </c>
    </row>
    <row r="849" spans="1:13" x14ac:dyDescent="0.2">
      <c r="A849" s="72"/>
      <c r="B849" s="72">
        <v>573</v>
      </c>
      <c r="C849" s="31" t="s">
        <v>4021</v>
      </c>
      <c r="D849" s="10">
        <f t="shared" si="50"/>
        <v>0</v>
      </c>
      <c r="E849" s="10" t="s">
        <v>3366</v>
      </c>
      <c r="F849" s="218" t="s">
        <v>3925</v>
      </c>
      <c r="G849" s="264" t="s">
        <v>3966</v>
      </c>
      <c r="H849" s="237"/>
      <c r="I849" s="10" t="s">
        <v>3343</v>
      </c>
      <c r="J849" s="31" t="s">
        <v>11</v>
      </c>
      <c r="K849" s="429">
        <f t="shared" si="51"/>
        <v>0</v>
      </c>
    </row>
    <row r="850" spans="1:13" x14ac:dyDescent="0.2">
      <c r="A850" s="72"/>
      <c r="B850" s="72"/>
      <c r="C850" s="31"/>
      <c r="D850" s="10">
        <f t="shared" si="50"/>
        <v>0</v>
      </c>
      <c r="E850" s="10" t="s">
        <v>3366</v>
      </c>
      <c r="F850" s="218" t="s">
        <v>3543</v>
      </c>
      <c r="G850" s="267" t="s">
        <v>3967</v>
      </c>
      <c r="H850" s="237"/>
      <c r="I850" s="10" t="s">
        <v>3343</v>
      </c>
      <c r="J850" s="31" t="s">
        <v>11</v>
      </c>
      <c r="K850" s="429">
        <f t="shared" si="51"/>
        <v>0</v>
      </c>
    </row>
    <row r="851" spans="1:13" x14ac:dyDescent="0.2">
      <c r="A851" s="72"/>
      <c r="B851" s="72"/>
      <c r="C851" s="31"/>
      <c r="D851" s="10">
        <f t="shared" si="50"/>
        <v>0</v>
      </c>
      <c r="E851" s="10" t="s">
        <v>3366</v>
      </c>
      <c r="F851" s="218" t="s">
        <v>3520</v>
      </c>
      <c r="G851" s="267" t="s">
        <v>3968</v>
      </c>
      <c r="H851" s="237"/>
      <c r="I851" s="10" t="s">
        <v>3343</v>
      </c>
      <c r="J851" s="31" t="s">
        <v>11</v>
      </c>
      <c r="K851" s="429">
        <f t="shared" si="51"/>
        <v>0</v>
      </c>
    </row>
    <row r="852" spans="1:13" x14ac:dyDescent="0.2">
      <c r="A852" s="72"/>
      <c r="B852" s="72">
        <v>574</v>
      </c>
      <c r="C852" s="31" t="s">
        <v>4610</v>
      </c>
      <c r="D852" s="10">
        <f t="shared" si="50"/>
        <v>0</v>
      </c>
      <c r="E852" s="10" t="s">
        <v>3366</v>
      </c>
      <c r="F852" s="218" t="s">
        <v>3971</v>
      </c>
      <c r="G852" s="267" t="s">
        <v>3972</v>
      </c>
      <c r="H852" s="237"/>
      <c r="I852" s="10" t="s">
        <v>3343</v>
      </c>
      <c r="J852" s="31" t="s">
        <v>11</v>
      </c>
      <c r="K852" s="429">
        <f t="shared" si="51"/>
        <v>0</v>
      </c>
    </row>
    <row r="853" spans="1:13" x14ac:dyDescent="0.2">
      <c r="A853" s="72"/>
      <c r="B853" s="72">
        <v>575</v>
      </c>
      <c r="C853" s="31" t="s">
        <v>4024</v>
      </c>
      <c r="D853" s="10">
        <f t="shared" si="50"/>
        <v>0</v>
      </c>
      <c r="E853" s="10" t="s">
        <v>3366</v>
      </c>
      <c r="F853" s="218" t="s">
        <v>3483</v>
      </c>
      <c r="G853" s="267" t="s">
        <v>3484</v>
      </c>
      <c r="H853" s="237"/>
      <c r="I853" s="10" t="s">
        <v>3343</v>
      </c>
      <c r="J853" s="31" t="s">
        <v>11</v>
      </c>
      <c r="K853" s="429">
        <f t="shared" si="51"/>
        <v>0</v>
      </c>
    </row>
    <row r="854" spans="1:13" x14ac:dyDescent="0.2">
      <c r="A854" s="72"/>
      <c r="B854" s="72">
        <v>576</v>
      </c>
      <c r="C854" s="31" t="s">
        <v>4065</v>
      </c>
      <c r="D854" s="10">
        <f t="shared" si="50"/>
        <v>0</v>
      </c>
      <c r="E854" s="10" t="s">
        <v>3366</v>
      </c>
      <c r="F854" s="218" t="s">
        <v>3486</v>
      </c>
      <c r="G854" s="267" t="s">
        <v>3973</v>
      </c>
      <c r="H854" s="237"/>
      <c r="I854" s="10" t="s">
        <v>3343</v>
      </c>
      <c r="J854" s="31" t="s">
        <v>11</v>
      </c>
      <c r="K854" s="429">
        <f t="shared" si="51"/>
        <v>0</v>
      </c>
    </row>
    <row r="855" spans="1:13" x14ac:dyDescent="0.2">
      <c r="A855" s="72"/>
      <c r="B855" s="72">
        <v>577</v>
      </c>
      <c r="C855" s="31" t="s">
        <v>3904</v>
      </c>
      <c r="D855" s="10">
        <f t="shared" si="50"/>
        <v>0</v>
      </c>
      <c r="E855" s="10" t="s">
        <v>3366</v>
      </c>
      <c r="F855" s="218" t="s">
        <v>3486</v>
      </c>
      <c r="G855" s="267" t="s">
        <v>3973</v>
      </c>
      <c r="H855" s="237"/>
      <c r="I855" s="10" t="s">
        <v>3343</v>
      </c>
      <c r="J855" s="31" t="s">
        <v>11</v>
      </c>
      <c r="K855" s="429">
        <f t="shared" si="51"/>
        <v>0</v>
      </c>
    </row>
    <row r="856" spans="1:13" x14ac:dyDescent="0.2">
      <c r="A856" s="72"/>
      <c r="B856" s="72">
        <v>578</v>
      </c>
      <c r="C856" s="31" t="s">
        <v>3906</v>
      </c>
      <c r="D856" s="10">
        <f t="shared" si="50"/>
        <v>0</v>
      </c>
      <c r="E856" s="10" t="s">
        <v>3366</v>
      </c>
      <c r="F856" s="218" t="s">
        <v>3486</v>
      </c>
      <c r="G856" s="267" t="s">
        <v>3973</v>
      </c>
      <c r="H856" s="237"/>
      <c r="I856" s="10" t="s">
        <v>3343</v>
      </c>
      <c r="J856" s="31" t="s">
        <v>11</v>
      </c>
      <c r="K856" s="429">
        <f t="shared" si="51"/>
        <v>0</v>
      </c>
    </row>
    <row r="857" spans="1:13" x14ac:dyDescent="0.2">
      <c r="A857" s="72"/>
      <c r="B857" s="72">
        <v>579</v>
      </c>
      <c r="C857" s="31" t="s">
        <v>4611</v>
      </c>
      <c r="D857" s="10">
        <f t="shared" si="50"/>
        <v>0</v>
      </c>
      <c r="E857" s="10" t="s">
        <v>3366</v>
      </c>
      <c r="F857" s="218" t="s">
        <v>3965</v>
      </c>
      <c r="G857" s="267" t="s">
        <v>3478</v>
      </c>
      <c r="H857" s="237"/>
      <c r="I857" s="10" t="s">
        <v>3343</v>
      </c>
      <c r="J857" s="31" t="s">
        <v>11</v>
      </c>
      <c r="K857" s="429">
        <f t="shared" si="51"/>
        <v>0</v>
      </c>
    </row>
    <row r="858" spans="1:13" x14ac:dyDescent="0.2">
      <c r="A858" s="72"/>
      <c r="B858" s="72">
        <v>580</v>
      </c>
      <c r="C858" s="31" t="s">
        <v>4022</v>
      </c>
      <c r="D858" s="10">
        <f t="shared" si="50"/>
        <v>0</v>
      </c>
      <c r="E858" s="10" t="s">
        <v>3366</v>
      </c>
      <c r="F858" s="218" t="s">
        <v>3969</v>
      </c>
      <c r="G858" s="264" t="s">
        <v>3970</v>
      </c>
      <c r="H858" s="237"/>
      <c r="I858" s="10" t="s">
        <v>3343</v>
      </c>
      <c r="J858" s="31" t="s">
        <v>11</v>
      </c>
      <c r="K858" s="429">
        <f t="shared" si="51"/>
        <v>0</v>
      </c>
    </row>
    <row r="859" spans="1:13" x14ac:dyDescent="0.2">
      <c r="A859" s="72"/>
      <c r="B859" s="72">
        <v>581</v>
      </c>
      <c r="C859" s="31" t="s">
        <v>3908</v>
      </c>
      <c r="D859" s="10">
        <f t="shared" si="50"/>
        <v>0</v>
      </c>
      <c r="E859" s="10" t="s">
        <v>3366</v>
      </c>
      <c r="F859" s="218" t="s">
        <v>3956</v>
      </c>
      <c r="G859" s="264" t="s">
        <v>3957</v>
      </c>
      <c r="H859" s="237"/>
      <c r="I859" s="10" t="s">
        <v>3343</v>
      </c>
      <c r="J859" s="31" t="s">
        <v>11</v>
      </c>
      <c r="K859" s="429">
        <f t="shared" si="51"/>
        <v>0</v>
      </c>
      <c r="L859" s="625"/>
      <c r="M859" s="626"/>
    </row>
    <row r="860" spans="1:13" x14ac:dyDescent="0.2">
      <c r="A860" s="72"/>
      <c r="B860" s="72">
        <v>582</v>
      </c>
      <c r="C860" s="31" t="s">
        <v>3910</v>
      </c>
      <c r="D860" s="10">
        <f t="shared" si="50"/>
        <v>0</v>
      </c>
      <c r="E860" s="10" t="s">
        <v>3366</v>
      </c>
      <c r="F860" s="218" t="s">
        <v>3974</v>
      </c>
      <c r="G860" s="264" t="s">
        <v>3975</v>
      </c>
      <c r="H860" s="237"/>
      <c r="I860" s="10" t="s">
        <v>3343</v>
      </c>
      <c r="J860" s="31" t="s">
        <v>11</v>
      </c>
      <c r="K860" s="429">
        <f t="shared" si="51"/>
        <v>0</v>
      </c>
      <c r="M860" s="271"/>
    </row>
    <row r="861" spans="1:13" x14ac:dyDescent="0.2">
      <c r="A861" s="72"/>
      <c r="B861" s="72">
        <v>583</v>
      </c>
      <c r="C861" s="31" t="s">
        <v>3912</v>
      </c>
      <c r="D861" s="10">
        <f t="shared" si="50"/>
        <v>0</v>
      </c>
      <c r="E861" s="10" t="s">
        <v>3366</v>
      </c>
      <c r="F861" s="218" t="s">
        <v>3976</v>
      </c>
      <c r="G861" s="267" t="s">
        <v>3488</v>
      </c>
      <c r="H861" s="237"/>
      <c r="I861" s="10" t="s">
        <v>3343</v>
      </c>
      <c r="J861" s="31" t="s">
        <v>11</v>
      </c>
      <c r="K861" s="429">
        <f t="shared" si="51"/>
        <v>0</v>
      </c>
      <c r="M861" s="271"/>
    </row>
    <row r="862" spans="1:13" x14ac:dyDescent="0.2">
      <c r="A862" s="72"/>
      <c r="B862" s="72">
        <v>584</v>
      </c>
      <c r="C862" s="31" t="s">
        <v>3914</v>
      </c>
      <c r="D862" s="10">
        <f t="shared" si="50"/>
        <v>0</v>
      </c>
      <c r="E862" s="10" t="s">
        <v>3366</v>
      </c>
      <c r="F862" s="218" t="s">
        <v>3971</v>
      </c>
      <c r="G862" s="267" t="s">
        <v>3972</v>
      </c>
      <c r="H862" s="237"/>
      <c r="I862" s="10" t="s">
        <v>3343</v>
      </c>
      <c r="J862" s="31" t="s">
        <v>11</v>
      </c>
      <c r="K862" s="429">
        <f t="shared" si="51"/>
        <v>0</v>
      </c>
      <c r="M862" s="178"/>
    </row>
    <row r="863" spans="1:13" x14ac:dyDescent="0.2">
      <c r="A863" s="72"/>
      <c r="B863" s="72">
        <v>585</v>
      </c>
      <c r="C863" s="31" t="s">
        <v>4025</v>
      </c>
      <c r="D863" s="10">
        <f t="shared" si="50"/>
        <v>0</v>
      </c>
      <c r="E863" s="10" t="s">
        <v>3366</v>
      </c>
      <c r="F863" s="218" t="s">
        <v>3932</v>
      </c>
      <c r="G863" s="264" t="s">
        <v>3933</v>
      </c>
      <c r="H863" s="237"/>
      <c r="I863" s="10" t="s">
        <v>3343</v>
      </c>
      <c r="J863" s="31" t="s">
        <v>11</v>
      </c>
      <c r="K863" s="429">
        <f t="shared" si="51"/>
        <v>0</v>
      </c>
      <c r="M863" s="254"/>
    </row>
    <row r="864" spans="1:13" x14ac:dyDescent="0.2">
      <c r="A864" s="72"/>
      <c r="B864" s="72">
        <v>586</v>
      </c>
      <c r="C864" s="31" t="s">
        <v>3892</v>
      </c>
      <c r="D864" s="10">
        <f t="shared" si="50"/>
        <v>0</v>
      </c>
      <c r="E864" s="10" t="s">
        <v>3366</v>
      </c>
      <c r="F864" s="218" t="s">
        <v>3961</v>
      </c>
      <c r="G864" s="264" t="s">
        <v>4612</v>
      </c>
      <c r="H864" s="237"/>
      <c r="I864" s="10" t="s">
        <v>3343</v>
      </c>
      <c r="J864" s="31" t="s">
        <v>11</v>
      </c>
      <c r="K864" s="429">
        <f t="shared" si="51"/>
        <v>0</v>
      </c>
    </row>
    <row r="865" spans="1:11" x14ac:dyDescent="0.2">
      <c r="A865" s="72"/>
      <c r="B865" s="72">
        <v>587</v>
      </c>
      <c r="C865" s="31" t="s">
        <v>4613</v>
      </c>
      <c r="D865" s="10">
        <f t="shared" si="50"/>
        <v>0</v>
      </c>
      <c r="E865" s="10" t="s">
        <v>3366</v>
      </c>
      <c r="F865" s="218" t="s">
        <v>3971</v>
      </c>
      <c r="G865" s="268" t="s">
        <v>4614</v>
      </c>
      <c r="H865" s="237"/>
      <c r="I865" s="10" t="s">
        <v>3343</v>
      </c>
      <c r="J865" s="31" t="s">
        <v>11</v>
      </c>
      <c r="K865" s="429">
        <f t="shared" si="51"/>
        <v>0</v>
      </c>
    </row>
    <row r="866" spans="1:11" x14ac:dyDescent="0.2">
      <c r="A866" s="72"/>
      <c r="B866" s="72"/>
      <c r="C866" s="31"/>
      <c r="D866" s="10">
        <f t="shared" si="50"/>
        <v>0</v>
      </c>
      <c r="E866" s="10" t="s">
        <v>3366</v>
      </c>
      <c r="F866" s="218" t="s">
        <v>3483</v>
      </c>
      <c r="G866" s="264" t="s">
        <v>3484</v>
      </c>
      <c r="H866" s="237"/>
      <c r="I866" s="10" t="s">
        <v>3343</v>
      </c>
      <c r="J866" s="31" t="s">
        <v>11</v>
      </c>
      <c r="K866" s="429">
        <f t="shared" si="51"/>
        <v>0</v>
      </c>
    </row>
    <row r="867" spans="1:11" x14ac:dyDescent="0.2">
      <c r="A867" s="72"/>
      <c r="B867" s="72"/>
      <c r="C867" s="31"/>
      <c r="D867" s="10">
        <f t="shared" ref="D867:D893" si="52">A867</f>
        <v>0</v>
      </c>
      <c r="E867" s="10" t="s">
        <v>3366</v>
      </c>
      <c r="F867" s="218" t="s">
        <v>3486</v>
      </c>
      <c r="G867" s="264" t="s">
        <v>3973</v>
      </c>
      <c r="H867" s="237"/>
      <c r="I867" s="10" t="s">
        <v>3343</v>
      </c>
      <c r="J867" s="31" t="s">
        <v>11</v>
      </c>
      <c r="K867" s="429">
        <f t="shared" si="51"/>
        <v>0</v>
      </c>
    </row>
    <row r="868" spans="1:11" x14ac:dyDescent="0.2">
      <c r="A868" s="72"/>
      <c r="B868" s="72">
        <v>588</v>
      </c>
      <c r="C868" s="31" t="s">
        <v>4068</v>
      </c>
      <c r="D868" s="10">
        <f t="shared" si="52"/>
        <v>0</v>
      </c>
      <c r="E868" s="10" t="s">
        <v>3366</v>
      </c>
      <c r="F868" s="218" t="s">
        <v>3952</v>
      </c>
      <c r="G868" s="264" t="s">
        <v>3440</v>
      </c>
      <c r="H868" s="237"/>
      <c r="I868" s="10" t="s">
        <v>3343</v>
      </c>
      <c r="J868" s="31" t="s">
        <v>11</v>
      </c>
      <c r="K868" s="429">
        <f t="shared" si="51"/>
        <v>0</v>
      </c>
    </row>
    <row r="869" spans="1:11" x14ac:dyDescent="0.2">
      <c r="A869" s="72"/>
      <c r="B869" s="72">
        <v>589</v>
      </c>
      <c r="C869" s="31" t="s">
        <v>4615</v>
      </c>
      <c r="D869" s="10">
        <f t="shared" si="52"/>
        <v>0</v>
      </c>
      <c r="E869" s="10" t="s">
        <v>3366</v>
      </c>
      <c r="F869" s="218" t="s">
        <v>3956</v>
      </c>
      <c r="G869" s="264" t="s">
        <v>3957</v>
      </c>
      <c r="H869" s="237"/>
      <c r="I869" s="10" t="s">
        <v>3343</v>
      </c>
      <c r="J869" s="31" t="s">
        <v>11</v>
      </c>
      <c r="K869" s="429">
        <f t="shared" si="51"/>
        <v>0</v>
      </c>
    </row>
    <row r="870" spans="1:11" x14ac:dyDescent="0.2">
      <c r="A870" s="72"/>
      <c r="B870" s="72">
        <v>590</v>
      </c>
      <c r="C870" s="31" t="s">
        <v>3264</v>
      </c>
      <c r="D870" s="10">
        <f t="shared" si="52"/>
        <v>0</v>
      </c>
      <c r="E870" s="10" t="s">
        <v>3366</v>
      </c>
      <c r="F870" s="218" t="s">
        <v>3925</v>
      </c>
      <c r="G870" s="264" t="s">
        <v>3938</v>
      </c>
      <c r="H870" s="237"/>
      <c r="I870" s="10" t="s">
        <v>3343</v>
      </c>
      <c r="J870" s="31" t="s">
        <v>11</v>
      </c>
      <c r="K870" s="429">
        <f t="shared" si="51"/>
        <v>0</v>
      </c>
    </row>
    <row r="871" spans="1:11" x14ac:dyDescent="0.2">
      <c r="A871" s="72"/>
      <c r="B871" s="72">
        <v>591</v>
      </c>
      <c r="C871" s="31" t="s">
        <v>4616</v>
      </c>
      <c r="D871" s="10">
        <f t="shared" si="52"/>
        <v>0</v>
      </c>
      <c r="E871" s="10" t="s">
        <v>3366</v>
      </c>
      <c r="F871" s="218" t="s">
        <v>3941</v>
      </c>
      <c r="G871" s="264" t="s">
        <v>3942</v>
      </c>
      <c r="H871" s="237"/>
      <c r="I871" s="10" t="s">
        <v>3343</v>
      </c>
      <c r="J871" s="31" t="s">
        <v>11</v>
      </c>
      <c r="K871" s="429">
        <f t="shared" si="51"/>
        <v>0</v>
      </c>
    </row>
    <row r="872" spans="1:11" x14ac:dyDescent="0.2">
      <c r="A872" s="72"/>
      <c r="B872" s="72">
        <v>592</v>
      </c>
      <c r="C872" s="31" t="s">
        <v>4617</v>
      </c>
      <c r="D872" s="10">
        <f t="shared" si="52"/>
        <v>0</v>
      </c>
      <c r="E872" s="10" t="s">
        <v>3366</v>
      </c>
      <c r="F872" s="218" t="s">
        <v>3954</v>
      </c>
      <c r="G872" s="264" t="s">
        <v>3955</v>
      </c>
      <c r="H872" s="237"/>
      <c r="I872" s="10" t="s">
        <v>3343</v>
      </c>
      <c r="J872" s="31" t="s">
        <v>11</v>
      </c>
      <c r="K872" s="429">
        <f t="shared" si="51"/>
        <v>0</v>
      </c>
    </row>
    <row r="873" spans="1:11" x14ac:dyDescent="0.2">
      <c r="A873" s="72"/>
      <c r="B873" s="72">
        <v>593</v>
      </c>
      <c r="C873" s="31" t="s">
        <v>4618</v>
      </c>
      <c r="D873" s="10">
        <f t="shared" si="52"/>
        <v>0</v>
      </c>
      <c r="E873" s="10" t="s">
        <v>3366</v>
      </c>
      <c r="F873" s="218" t="s">
        <v>4029</v>
      </c>
      <c r="G873" s="264" t="s">
        <v>4030</v>
      </c>
      <c r="H873" s="237"/>
      <c r="I873" s="10" t="s">
        <v>3343</v>
      </c>
      <c r="J873" s="31" t="s">
        <v>11</v>
      </c>
      <c r="K873" s="429">
        <f t="shared" si="51"/>
        <v>0</v>
      </c>
    </row>
    <row r="874" spans="1:11" x14ac:dyDescent="0.2">
      <c r="A874" s="72"/>
      <c r="B874" s="72">
        <v>594</v>
      </c>
      <c r="C874" s="31" t="s">
        <v>4619</v>
      </c>
      <c r="D874" s="10">
        <f t="shared" si="52"/>
        <v>0</v>
      </c>
      <c r="E874" s="10" t="s">
        <v>3366</v>
      </c>
      <c r="F874" s="218" t="s">
        <v>3279</v>
      </c>
      <c r="G874" s="264" t="s">
        <v>4043</v>
      </c>
      <c r="H874" s="237"/>
      <c r="I874" s="10" t="s">
        <v>3343</v>
      </c>
      <c r="J874" s="31" t="s">
        <v>11</v>
      </c>
      <c r="K874" s="429">
        <f t="shared" si="51"/>
        <v>0</v>
      </c>
    </row>
    <row r="875" spans="1:11" x14ac:dyDescent="0.2">
      <c r="A875" s="72"/>
      <c r="B875" s="72">
        <v>595</v>
      </c>
      <c r="C875" s="31" t="s">
        <v>4406</v>
      </c>
      <c r="D875" s="10">
        <f t="shared" si="52"/>
        <v>0</v>
      </c>
      <c r="E875" s="10" t="s">
        <v>3366</v>
      </c>
      <c r="F875" s="218" t="s">
        <v>3936</v>
      </c>
      <c r="G875" s="264" t="s">
        <v>3937</v>
      </c>
      <c r="H875" s="237"/>
      <c r="I875" s="10" t="s">
        <v>3343</v>
      </c>
      <c r="J875" s="31" t="s">
        <v>11</v>
      </c>
      <c r="K875" s="429">
        <f t="shared" si="51"/>
        <v>0</v>
      </c>
    </row>
    <row r="876" spans="1:11" x14ac:dyDescent="0.2">
      <c r="A876" s="72"/>
      <c r="B876" s="72">
        <v>596</v>
      </c>
      <c r="C876" s="31" t="s">
        <v>3876</v>
      </c>
      <c r="D876" s="10">
        <f t="shared" si="52"/>
        <v>0</v>
      </c>
      <c r="E876" s="10" t="s">
        <v>3366</v>
      </c>
      <c r="F876" s="218" t="s">
        <v>3921</v>
      </c>
      <c r="G876" s="264" t="s">
        <v>3402</v>
      </c>
      <c r="H876" s="237"/>
      <c r="I876" s="10" t="s">
        <v>3343</v>
      </c>
      <c r="J876" s="31" t="s">
        <v>11</v>
      </c>
      <c r="K876" s="429">
        <f t="shared" si="51"/>
        <v>0</v>
      </c>
    </row>
    <row r="877" spans="1:11" x14ac:dyDescent="0.2">
      <c r="A877" s="72"/>
      <c r="B877" s="72">
        <v>597</v>
      </c>
      <c r="C877" s="31" t="s">
        <v>4061</v>
      </c>
      <c r="D877" s="10">
        <f t="shared" si="52"/>
        <v>0</v>
      </c>
      <c r="E877" s="10" t="s">
        <v>3366</v>
      </c>
      <c r="F877" s="218" t="s">
        <v>3936</v>
      </c>
      <c r="G877" s="264" t="s">
        <v>3937</v>
      </c>
      <c r="H877" s="237"/>
      <c r="I877" s="10" t="s">
        <v>3343</v>
      </c>
      <c r="J877" s="31" t="s">
        <v>11</v>
      </c>
      <c r="K877" s="429">
        <f t="shared" si="51"/>
        <v>0</v>
      </c>
    </row>
    <row r="878" spans="1:11" x14ac:dyDescent="0.2">
      <c r="A878" s="72"/>
      <c r="B878" s="72">
        <v>598</v>
      </c>
      <c r="C878" s="31" t="s">
        <v>4620</v>
      </c>
      <c r="D878" s="10">
        <f t="shared" si="52"/>
        <v>0</v>
      </c>
      <c r="E878" s="10" t="s">
        <v>3366</v>
      </c>
      <c r="F878" s="218" t="s">
        <v>3936</v>
      </c>
      <c r="G878" s="264" t="s">
        <v>3937</v>
      </c>
      <c r="H878" s="237"/>
      <c r="I878" s="10" t="s">
        <v>3343</v>
      </c>
      <c r="J878" s="31" t="s">
        <v>11</v>
      </c>
      <c r="K878" s="429">
        <f t="shared" si="51"/>
        <v>0</v>
      </c>
    </row>
    <row r="879" spans="1:11" x14ac:dyDescent="0.2">
      <c r="A879" s="72"/>
      <c r="B879" s="72">
        <v>599</v>
      </c>
      <c r="C879" s="31" t="s">
        <v>3853</v>
      </c>
      <c r="D879" s="10">
        <f t="shared" si="52"/>
        <v>0</v>
      </c>
      <c r="E879" s="10" t="s">
        <v>3366</v>
      </c>
      <c r="F879" s="218" t="s">
        <v>3543</v>
      </c>
      <c r="G879" s="264" t="s">
        <v>4031</v>
      </c>
      <c r="H879" s="237"/>
      <c r="I879" s="10" t="s">
        <v>3343</v>
      </c>
      <c r="J879" s="31" t="s">
        <v>11</v>
      </c>
      <c r="K879" s="429">
        <f t="shared" si="51"/>
        <v>0</v>
      </c>
    </row>
    <row r="880" spans="1:11" x14ac:dyDescent="0.2">
      <c r="A880" s="72"/>
      <c r="B880" s="72">
        <v>600</v>
      </c>
      <c r="C880" s="31" t="s">
        <v>3920</v>
      </c>
      <c r="D880" s="10">
        <f t="shared" si="52"/>
        <v>0</v>
      </c>
      <c r="E880" s="10" t="s">
        <v>3366</v>
      </c>
      <c r="F880" s="218" t="s">
        <v>3543</v>
      </c>
      <c r="G880" s="264" t="s">
        <v>4031</v>
      </c>
      <c r="H880" s="237"/>
      <c r="I880" s="10" t="s">
        <v>3343</v>
      </c>
      <c r="J880" s="31" t="s">
        <v>11</v>
      </c>
      <c r="K880" s="429">
        <f t="shared" si="51"/>
        <v>0</v>
      </c>
    </row>
    <row r="881" spans="1:11" x14ac:dyDescent="0.2">
      <c r="A881" s="72"/>
      <c r="B881" s="72">
        <v>601</v>
      </c>
      <c r="C881" s="31" t="s">
        <v>4621</v>
      </c>
      <c r="D881" s="10">
        <f t="shared" si="52"/>
        <v>0</v>
      </c>
      <c r="E881" s="10" t="s">
        <v>3366</v>
      </c>
      <c r="F881" s="218" t="s">
        <v>3921</v>
      </c>
      <c r="G881" s="264" t="s">
        <v>3402</v>
      </c>
      <c r="H881" s="237"/>
      <c r="I881" s="10" t="s">
        <v>3343</v>
      </c>
      <c r="J881" s="31" t="s">
        <v>11</v>
      </c>
      <c r="K881" s="429">
        <f t="shared" si="51"/>
        <v>0</v>
      </c>
    </row>
    <row r="882" spans="1:11" x14ac:dyDescent="0.2">
      <c r="A882" s="72"/>
      <c r="B882" s="72">
        <v>602</v>
      </c>
      <c r="C882" s="31" t="s">
        <v>4622</v>
      </c>
      <c r="D882" s="10">
        <f t="shared" si="52"/>
        <v>0</v>
      </c>
      <c r="E882" s="10" t="s">
        <v>3366</v>
      </c>
      <c r="F882" s="218" t="s">
        <v>3925</v>
      </c>
      <c r="G882" s="264" t="s">
        <v>3979</v>
      </c>
      <c r="H882" s="237"/>
      <c r="I882" s="10" t="s">
        <v>3343</v>
      </c>
      <c r="J882" s="31" t="s">
        <v>11</v>
      </c>
      <c r="K882" s="429">
        <f t="shared" si="51"/>
        <v>0</v>
      </c>
    </row>
    <row r="883" spans="1:11" x14ac:dyDescent="0.2">
      <c r="A883" s="72"/>
      <c r="B883" s="72">
        <v>603</v>
      </c>
      <c r="C883" s="31" t="s">
        <v>4623</v>
      </c>
      <c r="D883" s="10">
        <f t="shared" si="52"/>
        <v>0</v>
      </c>
      <c r="E883" s="10" t="s">
        <v>3366</v>
      </c>
      <c r="F883" s="218" t="s">
        <v>3932</v>
      </c>
      <c r="G883" s="264" t="s">
        <v>3933</v>
      </c>
      <c r="H883" s="237"/>
      <c r="I883" s="10" t="s">
        <v>3343</v>
      </c>
      <c r="J883" s="31" t="s">
        <v>11</v>
      </c>
      <c r="K883" s="429">
        <f t="shared" si="51"/>
        <v>0</v>
      </c>
    </row>
    <row r="884" spans="1:11" x14ac:dyDescent="0.2">
      <c r="A884" s="72" t="s">
        <v>4624</v>
      </c>
      <c r="B884" s="72">
        <v>604</v>
      </c>
      <c r="C884" s="31" t="s">
        <v>3889</v>
      </c>
      <c r="D884" s="10" t="str">
        <f t="shared" si="52"/>
        <v>27 Agt</v>
      </c>
      <c r="E884" s="10" t="s">
        <v>3366</v>
      </c>
      <c r="F884" s="218" t="s">
        <v>3925</v>
      </c>
      <c r="G884" s="264" t="s">
        <v>3958</v>
      </c>
      <c r="H884" s="237"/>
      <c r="I884" s="10" t="s">
        <v>3343</v>
      </c>
      <c r="J884" s="31" t="s">
        <v>11</v>
      </c>
      <c r="K884" s="429">
        <f t="shared" si="51"/>
        <v>0</v>
      </c>
    </row>
    <row r="885" spans="1:11" x14ac:dyDescent="0.2">
      <c r="A885" s="72"/>
      <c r="B885" s="72"/>
      <c r="C885" s="31"/>
      <c r="D885" s="10">
        <f t="shared" si="52"/>
        <v>0</v>
      </c>
      <c r="E885" s="10" t="s">
        <v>3366</v>
      </c>
      <c r="F885" s="218" t="s">
        <v>3520</v>
      </c>
      <c r="G885" s="264" t="s">
        <v>4019</v>
      </c>
      <c r="H885" s="237"/>
      <c r="I885" s="10" t="s">
        <v>3343</v>
      </c>
      <c r="J885" s="31" t="s">
        <v>11</v>
      </c>
      <c r="K885" s="429">
        <f t="shared" si="51"/>
        <v>0</v>
      </c>
    </row>
    <row r="886" spans="1:11" x14ac:dyDescent="0.2">
      <c r="A886" s="72"/>
      <c r="B886" s="72"/>
      <c r="C886" s="31"/>
      <c r="D886" s="10">
        <f t="shared" si="52"/>
        <v>0</v>
      </c>
      <c r="E886" s="10" t="s">
        <v>3366</v>
      </c>
      <c r="F886" s="218" t="s">
        <v>3543</v>
      </c>
      <c r="G886" s="264" t="s">
        <v>3959</v>
      </c>
      <c r="H886" s="237"/>
      <c r="I886" s="10" t="s">
        <v>3343</v>
      </c>
      <c r="J886" s="31" t="s">
        <v>11</v>
      </c>
      <c r="K886" s="429">
        <f t="shared" si="51"/>
        <v>0</v>
      </c>
    </row>
    <row r="887" spans="1:11" x14ac:dyDescent="0.2">
      <c r="A887" s="72"/>
      <c r="B887" s="72">
        <v>605</v>
      </c>
      <c r="C887" s="31" t="s">
        <v>4625</v>
      </c>
      <c r="D887" s="10">
        <f t="shared" si="52"/>
        <v>0</v>
      </c>
      <c r="E887" s="10" t="s">
        <v>3366</v>
      </c>
      <c r="F887" s="218" t="s">
        <v>3960</v>
      </c>
      <c r="G887" s="264" t="s">
        <v>3456</v>
      </c>
      <c r="H887" s="237"/>
      <c r="I887" s="10" t="s">
        <v>3343</v>
      </c>
      <c r="J887" s="31" t="s">
        <v>11</v>
      </c>
      <c r="K887" s="429">
        <f t="shared" si="51"/>
        <v>0</v>
      </c>
    </row>
    <row r="888" spans="1:11" x14ac:dyDescent="0.2">
      <c r="A888" s="72"/>
      <c r="B888" s="72">
        <v>606</v>
      </c>
      <c r="C888" s="31" t="s">
        <v>3878</v>
      </c>
      <c r="D888" s="10">
        <f t="shared" si="52"/>
        <v>0</v>
      </c>
      <c r="E888" s="10" t="s">
        <v>3366</v>
      </c>
      <c r="F888" s="218" t="s">
        <v>3946</v>
      </c>
      <c r="G888" s="264" t="s">
        <v>3432</v>
      </c>
      <c r="H888" s="237"/>
      <c r="I888" s="10" t="s">
        <v>3343</v>
      </c>
      <c r="J888" s="31" t="s">
        <v>11</v>
      </c>
      <c r="K888" s="429">
        <f t="shared" si="51"/>
        <v>0</v>
      </c>
    </row>
    <row r="889" spans="1:11" x14ac:dyDescent="0.2">
      <c r="A889" s="72"/>
      <c r="B889" s="72">
        <v>607</v>
      </c>
      <c r="C889" s="31" t="s">
        <v>4347</v>
      </c>
      <c r="D889" s="10">
        <f t="shared" si="52"/>
        <v>0</v>
      </c>
      <c r="E889" s="10" t="s">
        <v>3366</v>
      </c>
      <c r="F889" s="218" t="s">
        <v>3921</v>
      </c>
      <c r="G889" s="264" t="s">
        <v>3402</v>
      </c>
      <c r="H889" s="237"/>
      <c r="I889" s="10" t="s">
        <v>3343</v>
      </c>
      <c r="J889" s="31" t="s">
        <v>11</v>
      </c>
      <c r="K889" s="429">
        <f t="shared" si="51"/>
        <v>0</v>
      </c>
    </row>
    <row r="890" spans="1:11" x14ac:dyDescent="0.2">
      <c r="A890" s="72"/>
      <c r="B890" s="72">
        <v>608</v>
      </c>
      <c r="C890" s="31" t="s">
        <v>4626</v>
      </c>
      <c r="D890" s="10">
        <f t="shared" si="52"/>
        <v>0</v>
      </c>
      <c r="E890" s="10" t="s">
        <v>3366</v>
      </c>
      <c r="F890" s="218" t="s">
        <v>3941</v>
      </c>
      <c r="G890" s="264" t="s">
        <v>3942</v>
      </c>
      <c r="H890" s="237"/>
      <c r="I890" s="10" t="s">
        <v>3343</v>
      </c>
      <c r="J890" s="31" t="s">
        <v>11</v>
      </c>
      <c r="K890" s="429">
        <f t="shared" si="51"/>
        <v>0</v>
      </c>
    </row>
    <row r="891" spans="1:11" x14ac:dyDescent="0.2">
      <c r="A891" s="72" t="s">
        <v>4627</v>
      </c>
      <c r="B891" s="72">
        <v>609</v>
      </c>
      <c r="C891" s="31" t="s">
        <v>4628</v>
      </c>
      <c r="D891" s="10" t="str">
        <f t="shared" si="52"/>
        <v>28 Agt</v>
      </c>
      <c r="E891" s="10" t="s">
        <v>3366</v>
      </c>
      <c r="F891" s="218" t="s">
        <v>4001</v>
      </c>
      <c r="G891" s="264" t="s">
        <v>3741</v>
      </c>
      <c r="H891" s="237"/>
      <c r="I891" s="10" t="s">
        <v>3343</v>
      </c>
      <c r="J891" s="31" t="s">
        <v>11</v>
      </c>
      <c r="K891" s="429">
        <f t="shared" si="51"/>
        <v>0</v>
      </c>
    </row>
    <row r="892" spans="1:11" x14ac:dyDescent="0.2">
      <c r="A892" s="72"/>
      <c r="B892" s="72">
        <v>610</v>
      </c>
      <c r="C892" s="31" t="s">
        <v>3845</v>
      </c>
      <c r="D892" s="10">
        <f t="shared" si="52"/>
        <v>0</v>
      </c>
      <c r="E892" s="10" t="s">
        <v>3366</v>
      </c>
      <c r="F892" s="218" t="s">
        <v>3929</v>
      </c>
      <c r="G892" s="264" t="s">
        <v>3930</v>
      </c>
      <c r="H892" s="237"/>
      <c r="I892" s="10" t="s">
        <v>3343</v>
      </c>
      <c r="J892" s="31" t="s">
        <v>11</v>
      </c>
      <c r="K892" s="429">
        <f t="shared" si="51"/>
        <v>0</v>
      </c>
    </row>
    <row r="893" spans="1:11" x14ac:dyDescent="0.2">
      <c r="A893" s="72" t="s">
        <v>4629</v>
      </c>
      <c r="B893" s="72">
        <v>611</v>
      </c>
      <c r="C893" s="31" t="s">
        <v>4630</v>
      </c>
      <c r="D893" s="10" t="str">
        <f t="shared" si="52"/>
        <v>29 Agt</v>
      </c>
      <c r="E893" s="10" t="s">
        <v>3366</v>
      </c>
      <c r="F893" s="218" t="s">
        <v>4474</v>
      </c>
      <c r="G893" s="264" t="s">
        <v>4631</v>
      </c>
      <c r="H893" s="237"/>
      <c r="I893" s="10" t="s">
        <v>3343</v>
      </c>
      <c r="J893" s="31" t="s">
        <v>11</v>
      </c>
      <c r="K893" s="429">
        <f t="shared" si="51"/>
        <v>0</v>
      </c>
    </row>
    <row r="894" spans="1:11" ht="12" x14ac:dyDescent="0.2">
      <c r="A894" s="658" t="s">
        <v>3556</v>
      </c>
      <c r="B894" s="659"/>
      <c r="C894" s="659"/>
      <c r="D894" s="659"/>
      <c r="E894" s="659"/>
      <c r="F894" s="659"/>
      <c r="G894" s="660"/>
      <c r="H894" s="435">
        <f>SUM(H803:H893)</f>
        <v>0</v>
      </c>
      <c r="I894" s="692" t="s">
        <v>3556</v>
      </c>
      <c r="J894" s="692"/>
      <c r="K894" s="435">
        <f>SUM(K803:K893)</f>
        <v>0</v>
      </c>
    </row>
    <row r="895" spans="1:11" ht="12" x14ac:dyDescent="0.2">
      <c r="A895" s="658" t="s">
        <v>3557</v>
      </c>
      <c r="B895" s="659"/>
      <c r="C895" s="659"/>
      <c r="D895" s="659"/>
      <c r="E895" s="659"/>
      <c r="F895" s="659"/>
      <c r="G895" s="660"/>
      <c r="H895" s="435">
        <f>H745</f>
        <v>0</v>
      </c>
      <c r="I895" s="692" t="s">
        <v>3557</v>
      </c>
      <c r="J895" s="692"/>
      <c r="K895" s="435">
        <f>K745</f>
        <v>0</v>
      </c>
    </row>
    <row r="896" spans="1:11" ht="12.75" thickBot="1" x14ac:dyDescent="0.25">
      <c r="A896" s="640" t="s">
        <v>3558</v>
      </c>
      <c r="B896" s="641"/>
      <c r="C896" s="641"/>
      <c r="D896" s="641"/>
      <c r="E896" s="641"/>
      <c r="F896" s="641"/>
      <c r="G896" s="642"/>
      <c r="H896" s="436">
        <f>SUM(H894:H895)</f>
        <v>0</v>
      </c>
      <c r="I896" s="693" t="s">
        <v>3558</v>
      </c>
      <c r="J896" s="693"/>
      <c r="K896" s="436">
        <f>SUM(K894:K895)</f>
        <v>0</v>
      </c>
    </row>
    <row r="897" spans="1:11" ht="12" x14ac:dyDescent="0.2">
      <c r="A897" s="96"/>
      <c r="B897" s="96"/>
      <c r="C897" s="96"/>
      <c r="D897" s="96"/>
      <c r="E897" s="96"/>
      <c r="F897" s="96"/>
      <c r="G897" s="96"/>
      <c r="H897" s="441"/>
      <c r="I897" s="441"/>
      <c r="J897" s="441"/>
      <c r="K897" s="441"/>
    </row>
    <row r="898" spans="1:11" ht="12" x14ac:dyDescent="0.2">
      <c r="A898" s="96"/>
      <c r="B898" s="96"/>
      <c r="C898" s="96"/>
      <c r="D898" s="96"/>
      <c r="E898" s="96"/>
      <c r="F898" s="96"/>
      <c r="G898" s="442"/>
      <c r="H898" s="443"/>
      <c r="I898" s="691" t="s">
        <v>3537</v>
      </c>
      <c r="J898" s="691"/>
      <c r="K898" s="691"/>
    </row>
    <row r="899" spans="1:11" ht="12" x14ac:dyDescent="0.2">
      <c r="A899" s="96"/>
      <c r="B899" s="96"/>
      <c r="C899" s="96"/>
      <c r="D899" s="96"/>
      <c r="E899" s="96"/>
      <c r="F899" s="96"/>
      <c r="G899" s="442" t="s">
        <v>3569</v>
      </c>
      <c r="H899" s="441"/>
      <c r="I899" s="691" t="s">
        <v>4489</v>
      </c>
      <c r="J899" s="691"/>
      <c r="K899" s="691"/>
    </row>
    <row r="900" spans="1:11" ht="12" x14ac:dyDescent="0.2">
      <c r="A900" s="96"/>
      <c r="B900" s="96"/>
      <c r="C900" s="96"/>
      <c r="D900" s="96"/>
      <c r="E900" s="96"/>
      <c r="F900" s="96"/>
      <c r="G900" s="497"/>
      <c r="H900" s="496"/>
      <c r="I900" s="1"/>
    </row>
    <row r="901" spans="1:11" ht="12" x14ac:dyDescent="0.2">
      <c r="A901" s="96"/>
      <c r="B901" s="96"/>
      <c r="C901" s="96"/>
      <c r="D901" s="96"/>
      <c r="E901" s="96"/>
      <c r="F901" s="96"/>
      <c r="G901" s="96"/>
      <c r="H901" s="441"/>
      <c r="I901" s="1"/>
    </row>
    <row r="902" spans="1:11" ht="12" x14ac:dyDescent="0.2">
      <c r="A902" s="96"/>
      <c r="B902" s="96"/>
      <c r="C902" s="96"/>
      <c r="D902" s="96"/>
      <c r="E902" s="96"/>
      <c r="F902" s="96"/>
      <c r="G902" s="96"/>
      <c r="H902" s="441"/>
      <c r="I902" s="1"/>
    </row>
    <row r="903" spans="1:11" ht="12.75" x14ac:dyDescent="0.2">
      <c r="A903" s="96"/>
      <c r="B903" s="96"/>
      <c r="C903" s="96"/>
      <c r="D903" s="96"/>
      <c r="E903" s="96"/>
      <c r="F903" s="96"/>
      <c r="G903" s="96"/>
      <c r="H903" s="441"/>
      <c r="I903" s="1"/>
      <c r="J903" s="311" t="s">
        <v>3538</v>
      </c>
    </row>
    <row r="904" spans="1:11" ht="12" x14ac:dyDescent="0.2">
      <c r="A904" s="96"/>
      <c r="B904" s="96"/>
      <c r="C904" s="96"/>
      <c r="D904" s="96"/>
      <c r="E904" s="96"/>
      <c r="F904" s="96"/>
      <c r="G904" s="96"/>
      <c r="H904" s="441"/>
      <c r="I904" s="441"/>
      <c r="J904" s="441"/>
      <c r="K904" s="441"/>
    </row>
    <row r="905" spans="1:11" ht="12" x14ac:dyDescent="0.2">
      <c r="A905" s="96"/>
      <c r="B905" s="96"/>
      <c r="C905" s="96"/>
      <c r="D905" s="96"/>
      <c r="E905" s="96"/>
      <c r="F905" s="96"/>
      <c r="G905" s="96"/>
      <c r="H905" s="441"/>
      <c r="I905" s="441"/>
      <c r="J905" s="441"/>
      <c r="K905" s="441"/>
    </row>
    <row r="906" spans="1:11" ht="12" x14ac:dyDescent="0.2">
      <c r="A906" s="96"/>
      <c r="B906" s="96"/>
      <c r="C906" s="96"/>
      <c r="D906" s="96"/>
      <c r="E906" s="96"/>
      <c r="F906" s="96"/>
      <c r="G906" s="96"/>
      <c r="H906" s="441"/>
      <c r="I906" s="441"/>
      <c r="J906" s="441"/>
      <c r="K906" s="441"/>
    </row>
    <row r="907" spans="1:11" ht="12" x14ac:dyDescent="0.2">
      <c r="A907" s="96"/>
      <c r="B907" s="96"/>
      <c r="C907" s="96"/>
      <c r="D907" s="96"/>
      <c r="E907" s="96"/>
      <c r="F907" s="96"/>
      <c r="G907" s="96"/>
      <c r="H907" s="441"/>
      <c r="I907" s="441"/>
      <c r="J907" s="441"/>
      <c r="K907" s="441"/>
    </row>
    <row r="908" spans="1:11" ht="12" x14ac:dyDescent="0.2">
      <c r="A908" s="96"/>
      <c r="B908" s="96"/>
      <c r="C908" s="96"/>
      <c r="D908" s="96"/>
      <c r="E908" s="96"/>
      <c r="F908" s="96"/>
      <c r="G908" s="96"/>
      <c r="H908" s="441"/>
      <c r="I908" s="441"/>
      <c r="J908" s="441"/>
      <c r="K908" s="441"/>
    </row>
    <row r="909" spans="1:11" ht="12" x14ac:dyDescent="0.2">
      <c r="A909" s="96"/>
      <c r="B909" s="96"/>
      <c r="C909" s="96"/>
      <c r="D909" s="96"/>
      <c r="E909" s="96"/>
      <c r="F909" s="96"/>
      <c r="G909" s="96"/>
      <c r="H909" s="441"/>
      <c r="I909" s="441"/>
      <c r="J909" s="441"/>
      <c r="K909" s="441"/>
    </row>
    <row r="910" spans="1:11" ht="12" x14ac:dyDescent="0.2">
      <c r="A910" s="96"/>
      <c r="B910" s="96"/>
      <c r="C910" s="96"/>
      <c r="D910" s="96"/>
      <c r="E910" s="96"/>
      <c r="F910" s="96"/>
      <c r="G910" s="96"/>
      <c r="H910" s="441"/>
      <c r="I910" s="441"/>
      <c r="J910" s="441"/>
      <c r="K910" s="441"/>
    </row>
    <row r="911" spans="1:11" ht="12" x14ac:dyDescent="0.2">
      <c r="A911" s="96"/>
      <c r="B911" s="96"/>
      <c r="C911" s="96"/>
      <c r="D911" s="96"/>
      <c r="E911" s="96"/>
      <c r="F911" s="96"/>
      <c r="G911" s="96"/>
      <c r="H911" s="441"/>
      <c r="I911" s="441"/>
      <c r="J911" s="441"/>
      <c r="K911" s="441"/>
    </row>
    <row r="912" spans="1:11" ht="12" x14ac:dyDescent="0.2">
      <c r="A912" s="96"/>
      <c r="B912" s="96"/>
      <c r="C912" s="96"/>
      <c r="D912" s="96"/>
      <c r="E912" s="96"/>
      <c r="F912" s="96"/>
      <c r="G912" s="96"/>
      <c r="H912" s="441"/>
      <c r="I912" s="441"/>
      <c r="J912" s="441"/>
      <c r="K912" s="441"/>
    </row>
    <row r="913" spans="1:11" ht="12" x14ac:dyDescent="0.2">
      <c r="A913" s="96"/>
      <c r="B913" s="96"/>
      <c r="C913" s="96"/>
      <c r="D913" s="96"/>
      <c r="E913" s="96"/>
      <c r="F913" s="96"/>
      <c r="G913" s="96"/>
      <c r="H913" s="441"/>
      <c r="I913" s="441"/>
      <c r="J913" s="441"/>
      <c r="K913" s="441"/>
    </row>
    <row r="914" spans="1:11" ht="12" x14ac:dyDescent="0.2">
      <c r="A914" s="96"/>
      <c r="B914" s="96"/>
      <c r="C914" s="96"/>
      <c r="D914" s="96"/>
      <c r="E914" s="96"/>
      <c r="F914" s="96"/>
      <c r="G914" s="96"/>
      <c r="H914" s="441"/>
      <c r="I914" s="441"/>
      <c r="J914" s="441"/>
      <c r="K914" s="441"/>
    </row>
    <row r="915" spans="1:11" ht="12" x14ac:dyDescent="0.2">
      <c r="A915" s="96"/>
      <c r="B915" s="96"/>
      <c r="C915" s="96"/>
      <c r="D915" s="96"/>
      <c r="E915" s="96"/>
      <c r="F915" s="96"/>
      <c r="G915" s="96"/>
      <c r="H915" s="441"/>
      <c r="I915" s="441"/>
      <c r="J915" s="441"/>
      <c r="K915" s="441"/>
    </row>
    <row r="916" spans="1:11" ht="12" x14ac:dyDescent="0.2">
      <c r="A916" s="96"/>
      <c r="B916" s="96"/>
      <c r="C916" s="96"/>
      <c r="D916" s="96"/>
      <c r="E916" s="96"/>
      <c r="F916" s="96"/>
      <c r="G916" s="96"/>
      <c r="H916" s="441"/>
      <c r="I916" s="441"/>
      <c r="J916" s="441"/>
      <c r="K916" s="441"/>
    </row>
    <row r="917" spans="1:11" ht="12" x14ac:dyDescent="0.2">
      <c r="A917" s="96"/>
      <c r="B917" s="96"/>
      <c r="C917" s="96"/>
      <c r="D917" s="96"/>
      <c r="E917" s="96"/>
      <c r="F917" s="96"/>
      <c r="G917" s="96"/>
      <c r="H917" s="441"/>
      <c r="I917" s="441"/>
      <c r="J917" s="441"/>
      <c r="K917" s="441"/>
    </row>
    <row r="918" spans="1:11" ht="12" x14ac:dyDescent="0.2">
      <c r="A918" s="96"/>
      <c r="B918" s="96"/>
      <c r="C918" s="96"/>
      <c r="D918" s="96"/>
      <c r="E918" s="96"/>
      <c r="F918" s="96"/>
      <c r="G918" s="96"/>
      <c r="H918" s="441"/>
      <c r="I918" s="441"/>
      <c r="J918" s="441"/>
      <c r="K918" s="441"/>
    </row>
    <row r="919" spans="1:11" ht="12" x14ac:dyDescent="0.2">
      <c r="A919" s="96"/>
      <c r="B919" s="96"/>
      <c r="C919" s="96"/>
      <c r="D919" s="96"/>
      <c r="E919" s="96"/>
      <c r="F919" s="96"/>
      <c r="G919" s="96"/>
      <c r="H919" s="441"/>
      <c r="I919" s="441"/>
      <c r="J919" s="441"/>
      <c r="K919" s="441"/>
    </row>
    <row r="920" spans="1:11" ht="12" x14ac:dyDescent="0.2">
      <c r="A920" s="96"/>
      <c r="B920" s="96"/>
      <c r="C920" s="96"/>
      <c r="D920" s="96"/>
      <c r="E920" s="96"/>
      <c r="F920" s="96"/>
      <c r="G920" s="96"/>
      <c r="H920" s="441"/>
      <c r="I920" s="441"/>
      <c r="J920" s="441"/>
      <c r="K920" s="441"/>
    </row>
    <row r="921" spans="1:11" ht="12" x14ac:dyDescent="0.2">
      <c r="A921" s="96"/>
      <c r="B921" s="96"/>
      <c r="C921" s="96"/>
      <c r="D921" s="96"/>
      <c r="E921" s="96"/>
      <c r="F921" s="96"/>
      <c r="G921" s="96"/>
      <c r="H921" s="441"/>
      <c r="I921" s="441"/>
      <c r="J921" s="441"/>
      <c r="K921" s="441"/>
    </row>
    <row r="922" spans="1:11" ht="12" x14ac:dyDescent="0.2">
      <c r="A922" s="96"/>
      <c r="B922" s="96"/>
      <c r="C922" s="96"/>
      <c r="D922" s="96"/>
      <c r="E922" s="96"/>
      <c r="F922" s="96"/>
      <c r="G922" s="96"/>
      <c r="H922" s="441"/>
      <c r="I922" s="441"/>
      <c r="J922" s="441"/>
      <c r="K922" s="441"/>
    </row>
    <row r="923" spans="1:11" ht="12" x14ac:dyDescent="0.2">
      <c r="A923" s="96"/>
      <c r="B923" s="96"/>
      <c r="C923" s="96"/>
      <c r="D923" s="96"/>
      <c r="E923" s="96"/>
      <c r="F923" s="96"/>
      <c r="G923" s="96"/>
      <c r="H923" s="441"/>
      <c r="I923" s="441"/>
      <c r="J923" s="441"/>
      <c r="K923" s="441"/>
    </row>
    <row r="924" spans="1:11" ht="12" x14ac:dyDescent="0.2">
      <c r="A924" s="96"/>
      <c r="B924" s="96"/>
      <c r="C924" s="96"/>
      <c r="D924" s="96"/>
      <c r="E924" s="96"/>
      <c r="F924" s="96"/>
      <c r="G924" s="96"/>
      <c r="H924" s="441"/>
      <c r="I924" s="441"/>
      <c r="J924" s="441"/>
      <c r="K924" s="441"/>
    </row>
    <row r="925" spans="1:11" ht="12" x14ac:dyDescent="0.2">
      <c r="A925" s="96"/>
      <c r="B925" s="96"/>
      <c r="C925" s="96"/>
      <c r="D925" s="96"/>
      <c r="E925" s="96"/>
      <c r="F925" s="96"/>
      <c r="G925" s="96"/>
      <c r="H925" s="441"/>
      <c r="I925" s="441"/>
      <c r="J925" s="441"/>
      <c r="K925" s="441"/>
    </row>
    <row r="926" spans="1:11" ht="12" x14ac:dyDescent="0.2">
      <c r="A926" s="96"/>
      <c r="B926" s="96"/>
      <c r="C926" s="96"/>
      <c r="D926" s="96"/>
      <c r="E926" s="96"/>
      <c r="F926" s="96"/>
      <c r="G926" s="96"/>
      <c r="H926" s="441"/>
      <c r="I926" s="441"/>
      <c r="J926" s="441"/>
      <c r="K926" s="441"/>
    </row>
    <row r="927" spans="1:11" ht="12" x14ac:dyDescent="0.2">
      <c r="A927" s="96"/>
      <c r="B927" s="96"/>
      <c r="C927" s="96"/>
      <c r="D927" s="96"/>
      <c r="E927" s="96"/>
      <c r="F927" s="96"/>
      <c r="G927" s="96"/>
      <c r="H927" s="441"/>
      <c r="I927" s="441"/>
      <c r="J927" s="441"/>
      <c r="K927" s="441"/>
    </row>
    <row r="928" spans="1:11" ht="12" x14ac:dyDescent="0.2">
      <c r="A928" s="96"/>
      <c r="B928" s="96"/>
      <c r="C928" s="96"/>
      <c r="D928" s="96"/>
      <c r="E928" s="96"/>
      <c r="F928" s="96"/>
      <c r="G928" s="96"/>
      <c r="H928" s="441"/>
      <c r="I928" s="441"/>
      <c r="J928" s="441"/>
      <c r="K928" s="441"/>
    </row>
    <row r="929" spans="1:11" ht="12" x14ac:dyDescent="0.2">
      <c r="A929" s="96"/>
      <c r="B929" s="96"/>
      <c r="C929" s="96"/>
      <c r="D929" s="96"/>
      <c r="E929" s="96"/>
      <c r="F929" s="96"/>
      <c r="G929" s="96"/>
      <c r="H929" s="441"/>
      <c r="I929" s="441"/>
      <c r="J929" s="441"/>
      <c r="K929" s="441"/>
    </row>
    <row r="930" spans="1:11" ht="12" x14ac:dyDescent="0.2">
      <c r="A930" s="96"/>
      <c r="B930" s="96"/>
      <c r="C930" s="96"/>
      <c r="D930" s="96"/>
      <c r="E930" s="96"/>
      <c r="F930" s="96"/>
      <c r="G930" s="96"/>
      <c r="H930" s="441"/>
      <c r="I930" s="441"/>
      <c r="J930" s="441"/>
      <c r="K930" s="441"/>
    </row>
    <row r="931" spans="1:11" ht="12" x14ac:dyDescent="0.2">
      <c r="A931" s="96"/>
      <c r="B931" s="96"/>
      <c r="C931" s="96"/>
      <c r="D931" s="96"/>
      <c r="E931" s="96"/>
      <c r="F931" s="96"/>
      <c r="G931" s="96"/>
      <c r="H931" s="441"/>
      <c r="I931" s="441"/>
      <c r="J931" s="441"/>
      <c r="K931" s="441"/>
    </row>
    <row r="932" spans="1:11" ht="12" x14ac:dyDescent="0.2">
      <c r="A932" s="96"/>
      <c r="B932" s="96"/>
      <c r="C932" s="96"/>
      <c r="D932" s="96"/>
      <c r="E932" s="96"/>
      <c r="F932" s="96"/>
      <c r="G932" s="96"/>
      <c r="H932" s="441"/>
      <c r="I932" s="441"/>
      <c r="J932" s="441"/>
      <c r="K932" s="441"/>
    </row>
    <row r="933" spans="1:11" ht="12" x14ac:dyDescent="0.2">
      <c r="A933" s="96"/>
      <c r="B933" s="96"/>
      <c r="C933" s="96"/>
      <c r="D933" s="96"/>
      <c r="E933" s="96"/>
      <c r="F933" s="96"/>
      <c r="G933" s="96"/>
      <c r="H933" s="441"/>
      <c r="I933" s="441"/>
      <c r="J933" s="441"/>
      <c r="K933" s="441"/>
    </row>
    <row r="934" spans="1:11" ht="12" x14ac:dyDescent="0.2">
      <c r="A934" s="96"/>
      <c r="B934" s="96"/>
      <c r="C934" s="96"/>
      <c r="D934" s="96"/>
      <c r="E934" s="96"/>
      <c r="F934" s="96"/>
      <c r="G934" s="96"/>
      <c r="H934" s="441"/>
      <c r="I934" s="441"/>
      <c r="J934" s="441"/>
      <c r="K934" s="441"/>
    </row>
    <row r="935" spans="1:11" ht="12" x14ac:dyDescent="0.2">
      <c r="A935" s="96"/>
      <c r="B935" s="96"/>
      <c r="C935" s="96"/>
      <c r="D935" s="96"/>
      <c r="E935" s="96"/>
      <c r="F935" s="96"/>
      <c r="G935" s="96"/>
      <c r="H935" s="441"/>
      <c r="I935" s="441"/>
      <c r="J935" s="441"/>
      <c r="K935" s="441"/>
    </row>
    <row r="936" spans="1:11" ht="12" x14ac:dyDescent="0.2">
      <c r="A936" s="96"/>
      <c r="B936" s="96"/>
      <c r="C936" s="96"/>
      <c r="D936" s="96"/>
      <c r="E936" s="96"/>
      <c r="F936" s="96"/>
      <c r="G936" s="96"/>
      <c r="H936" s="441"/>
      <c r="I936" s="441"/>
      <c r="J936" s="441"/>
      <c r="K936" s="441"/>
    </row>
    <row r="937" spans="1:11" ht="12" x14ac:dyDescent="0.2">
      <c r="A937" s="96"/>
      <c r="B937" s="96"/>
      <c r="C937" s="96"/>
      <c r="D937" s="96"/>
      <c r="E937" s="96"/>
      <c r="F937" s="96"/>
      <c r="G937" s="96"/>
      <c r="H937" s="441"/>
      <c r="I937" s="441"/>
      <c r="J937" s="441"/>
      <c r="K937" s="441"/>
    </row>
    <row r="938" spans="1:11" ht="12" x14ac:dyDescent="0.2">
      <c r="A938" s="96"/>
      <c r="B938" s="96"/>
      <c r="C938" s="96"/>
      <c r="D938" s="96"/>
      <c r="E938" s="96"/>
      <c r="F938" s="96"/>
      <c r="G938" s="96"/>
      <c r="H938" s="441"/>
      <c r="I938" s="441"/>
      <c r="J938" s="441"/>
      <c r="K938" s="441"/>
    </row>
    <row r="939" spans="1:11" ht="12" x14ac:dyDescent="0.2">
      <c r="A939" s="96"/>
      <c r="B939" s="96"/>
      <c r="C939" s="96"/>
      <c r="D939" s="96"/>
      <c r="E939" s="96"/>
      <c r="F939" s="96"/>
      <c r="G939" s="96"/>
      <c r="H939" s="441"/>
      <c r="I939" s="441"/>
      <c r="J939" s="441"/>
      <c r="K939" s="441"/>
    </row>
    <row r="940" spans="1:11" ht="12" x14ac:dyDescent="0.2">
      <c r="A940" s="96"/>
      <c r="B940" s="96"/>
      <c r="C940" s="96"/>
      <c r="D940" s="96"/>
      <c r="E940" s="96"/>
      <c r="F940" s="96"/>
      <c r="G940" s="96"/>
      <c r="H940" s="441"/>
      <c r="I940" s="441"/>
      <c r="J940" s="441"/>
      <c r="K940" s="441"/>
    </row>
    <row r="941" spans="1:11" ht="12" x14ac:dyDescent="0.2">
      <c r="A941" s="96"/>
      <c r="B941" s="96"/>
      <c r="C941" s="96"/>
      <c r="D941" s="96"/>
      <c r="E941" s="96"/>
      <c r="F941" s="96"/>
      <c r="G941" s="96"/>
      <c r="H941" s="441"/>
      <c r="I941" s="441"/>
      <c r="J941" s="441"/>
      <c r="K941" s="441"/>
    </row>
    <row r="942" spans="1:11" ht="12" x14ac:dyDescent="0.2">
      <c r="A942" s="96"/>
      <c r="B942" s="96"/>
      <c r="C942" s="96"/>
      <c r="D942" s="96"/>
      <c r="E942" s="96"/>
      <c r="F942" s="96"/>
      <c r="G942" s="96"/>
      <c r="H942" s="441"/>
      <c r="I942" s="441"/>
      <c r="J942" s="441"/>
      <c r="K942" s="441"/>
    </row>
    <row r="943" spans="1:11" ht="12" x14ac:dyDescent="0.2">
      <c r="A943" s="96"/>
      <c r="B943" s="96"/>
      <c r="C943" s="96"/>
      <c r="D943" s="96"/>
      <c r="E943" s="96"/>
      <c r="F943" s="96"/>
      <c r="G943" s="96"/>
      <c r="H943" s="441"/>
      <c r="I943" s="441"/>
      <c r="J943" s="441"/>
      <c r="K943" s="441"/>
    </row>
    <row r="944" spans="1:11" ht="12" x14ac:dyDescent="0.2">
      <c r="A944" s="96"/>
      <c r="B944" s="96"/>
      <c r="C944" s="96"/>
      <c r="D944" s="96"/>
      <c r="E944" s="96"/>
      <c r="F944" s="96"/>
      <c r="G944" s="96"/>
      <c r="H944" s="441"/>
      <c r="I944" s="441"/>
      <c r="J944" s="441"/>
      <c r="K944" s="441"/>
    </row>
    <row r="945" spans="1:11" ht="12.75" x14ac:dyDescent="0.2">
      <c r="A945" s="428" t="s">
        <v>3747</v>
      </c>
      <c r="B945" s="305"/>
      <c r="C945" s="143"/>
      <c r="D945" s="305"/>
      <c r="E945" s="305"/>
      <c r="F945" s="305"/>
      <c r="G945" s="143"/>
      <c r="H945" s="143"/>
      <c r="I945" s="305"/>
      <c r="J945" s="143"/>
      <c r="K945" s="143"/>
    </row>
    <row r="946" spans="1:11" ht="12.75" x14ac:dyDescent="0.2">
      <c r="A946" s="428" t="s">
        <v>3748</v>
      </c>
      <c r="B946" s="305"/>
      <c r="C946" s="143"/>
      <c r="D946" s="305"/>
      <c r="E946" s="305"/>
      <c r="F946" s="305"/>
      <c r="G946" s="143"/>
      <c r="H946" s="143"/>
      <c r="I946" s="305"/>
      <c r="J946" s="143"/>
      <c r="K946" s="143"/>
    </row>
    <row r="947" spans="1:11" ht="12.75" x14ac:dyDescent="0.2">
      <c r="A947" s="687" t="s">
        <v>3345</v>
      </c>
      <c r="B947" s="687"/>
      <c r="C947" s="687"/>
      <c r="D947" s="687"/>
      <c r="E947" s="687"/>
      <c r="F947" s="687"/>
      <c r="G947" s="687"/>
      <c r="H947" s="687"/>
      <c r="I947" s="687"/>
      <c r="J947" s="687"/>
      <c r="K947" s="687"/>
    </row>
    <row r="948" spans="1:11" ht="12.75" x14ac:dyDescent="0.2">
      <c r="A948" s="687" t="s">
        <v>3582</v>
      </c>
      <c r="B948" s="687"/>
      <c r="C948" s="687"/>
      <c r="D948" s="687"/>
      <c r="E948" s="687"/>
      <c r="F948" s="687"/>
      <c r="G948" s="687"/>
      <c r="H948" s="687"/>
      <c r="I948" s="687"/>
      <c r="J948" s="687"/>
      <c r="K948" s="687"/>
    </row>
    <row r="949" spans="1:11" x14ac:dyDescent="0.2">
      <c r="A949" s="18"/>
      <c r="B949" s="18"/>
      <c r="C949" s="18"/>
      <c r="D949" s="18"/>
      <c r="E949" s="18"/>
      <c r="F949" s="18"/>
      <c r="G949" s="18"/>
      <c r="H949" s="18"/>
      <c r="I949" s="18"/>
      <c r="J949" s="18"/>
      <c r="K949" s="18"/>
    </row>
    <row r="950" spans="1:11" x14ac:dyDescent="0.2">
      <c r="A950" s="678" t="s">
        <v>3346</v>
      </c>
      <c r="B950" s="679"/>
      <c r="C950" s="680" t="s">
        <v>13</v>
      </c>
      <c r="D950" s="678" t="s">
        <v>3347</v>
      </c>
      <c r="E950" s="679"/>
      <c r="F950" s="688" t="s">
        <v>90</v>
      </c>
      <c r="G950" s="689"/>
      <c r="H950" s="690"/>
      <c r="I950" s="688" t="s">
        <v>10</v>
      </c>
      <c r="J950" s="689"/>
      <c r="K950" s="690"/>
    </row>
    <row r="951" spans="1:11" x14ac:dyDescent="0.2">
      <c r="A951" s="680" t="s">
        <v>12</v>
      </c>
      <c r="B951" s="680" t="s">
        <v>21</v>
      </c>
      <c r="C951" s="681"/>
      <c r="D951" s="665" t="s">
        <v>12</v>
      </c>
      <c r="E951" s="665" t="s">
        <v>3348</v>
      </c>
      <c r="F951" s="665" t="s">
        <v>3285</v>
      </c>
      <c r="G951" s="665" t="s">
        <v>3282</v>
      </c>
      <c r="H951" s="665" t="s">
        <v>3539</v>
      </c>
      <c r="I951" s="665" t="s">
        <v>3285</v>
      </c>
      <c r="J951" s="665" t="s">
        <v>3282</v>
      </c>
      <c r="K951" s="665" t="s">
        <v>3539</v>
      </c>
    </row>
    <row r="952" spans="1:11" x14ac:dyDescent="0.2">
      <c r="A952" s="682"/>
      <c r="B952" s="682"/>
      <c r="C952" s="682"/>
      <c r="D952" s="667"/>
      <c r="E952" s="667"/>
      <c r="F952" s="667"/>
      <c r="G952" s="667"/>
      <c r="H952" s="667"/>
      <c r="I952" s="667"/>
      <c r="J952" s="667"/>
      <c r="K952" s="667"/>
    </row>
    <row r="953" spans="1:11" x14ac:dyDescent="0.2">
      <c r="A953" s="366" t="s">
        <v>3697</v>
      </c>
      <c r="B953" s="210">
        <v>612</v>
      </c>
      <c r="C953" s="202" t="s">
        <v>4703</v>
      </c>
      <c r="D953" s="10" t="str">
        <f t="shared" ref="D953:D1016" si="53">A953</f>
        <v>01 Sept</v>
      </c>
      <c r="E953" s="6" t="s">
        <v>3366</v>
      </c>
      <c r="F953" s="235" t="s">
        <v>3969</v>
      </c>
      <c r="G953" s="266" t="s">
        <v>3970</v>
      </c>
      <c r="H953" s="236"/>
      <c r="I953" s="10" t="s">
        <v>3343</v>
      </c>
      <c r="J953" s="31" t="s">
        <v>11</v>
      </c>
      <c r="K953" s="429">
        <f>H953</f>
        <v>0</v>
      </c>
    </row>
    <row r="954" spans="1:11" x14ac:dyDescent="0.2">
      <c r="A954" s="72" t="s">
        <v>4704</v>
      </c>
      <c r="B954" s="72">
        <v>613</v>
      </c>
      <c r="C954" s="31" t="s">
        <v>4705</v>
      </c>
      <c r="D954" s="10" t="str">
        <f t="shared" si="53"/>
        <v>02 Sept</v>
      </c>
      <c r="E954" s="10" t="s">
        <v>3366</v>
      </c>
      <c r="F954" s="218" t="s">
        <v>4013</v>
      </c>
      <c r="G954" s="264" t="s">
        <v>3526</v>
      </c>
      <c r="H954" s="237"/>
      <c r="I954" s="10" t="s">
        <v>3343</v>
      </c>
      <c r="J954" s="31" t="s">
        <v>11</v>
      </c>
      <c r="K954" s="429">
        <f t="shared" ref="K954:K1019" si="54">H954</f>
        <v>0</v>
      </c>
    </row>
    <row r="955" spans="1:11" x14ac:dyDescent="0.2">
      <c r="A955" s="72" t="s">
        <v>4706</v>
      </c>
      <c r="B955" s="72">
        <v>614</v>
      </c>
      <c r="C955" s="31" t="s">
        <v>4707</v>
      </c>
      <c r="D955" s="10" t="str">
        <f t="shared" si="53"/>
        <v>03 Sept</v>
      </c>
      <c r="E955" s="10" t="s">
        <v>3366</v>
      </c>
      <c r="F955" s="218" t="s">
        <v>4451</v>
      </c>
      <c r="G955" s="264" t="s">
        <v>4452</v>
      </c>
      <c r="H955" s="237"/>
      <c r="I955" s="10" t="s">
        <v>3343</v>
      </c>
      <c r="J955" s="31" t="s">
        <v>11</v>
      </c>
      <c r="K955" s="429">
        <f t="shared" si="54"/>
        <v>0</v>
      </c>
    </row>
    <row r="956" spans="1:11" x14ac:dyDescent="0.2">
      <c r="A956" s="72"/>
      <c r="B956" s="72">
        <v>615</v>
      </c>
      <c r="C956" s="31" t="s">
        <v>4708</v>
      </c>
      <c r="D956" s="10">
        <f t="shared" si="53"/>
        <v>0</v>
      </c>
      <c r="E956" s="10" t="s">
        <v>3366</v>
      </c>
      <c r="F956" s="218" t="s">
        <v>3935</v>
      </c>
      <c r="G956" s="264" t="s">
        <v>3406</v>
      </c>
      <c r="H956" s="237"/>
      <c r="I956" s="10" t="s">
        <v>3343</v>
      </c>
      <c r="J956" s="31" t="s">
        <v>11</v>
      </c>
      <c r="K956" s="429">
        <f t="shared" si="54"/>
        <v>0</v>
      </c>
    </row>
    <row r="957" spans="1:11" x14ac:dyDescent="0.2">
      <c r="A957" s="72"/>
      <c r="B957" s="72">
        <v>616</v>
      </c>
      <c r="C957" s="31" t="s">
        <v>4709</v>
      </c>
      <c r="D957" s="10">
        <f t="shared" si="53"/>
        <v>0</v>
      </c>
      <c r="E957" s="10" t="s">
        <v>3366</v>
      </c>
      <c r="F957" s="218" t="s">
        <v>4448</v>
      </c>
      <c r="G957" s="264" t="s">
        <v>4449</v>
      </c>
      <c r="H957" s="237"/>
      <c r="I957" s="10" t="s">
        <v>3343</v>
      </c>
      <c r="J957" s="31" t="s">
        <v>11</v>
      </c>
      <c r="K957" s="429">
        <f t="shared" si="54"/>
        <v>0</v>
      </c>
    </row>
    <row r="958" spans="1:11" x14ac:dyDescent="0.2">
      <c r="A958" s="72"/>
      <c r="B958" s="72">
        <v>617</v>
      </c>
      <c r="C958" s="92" t="s">
        <v>4710</v>
      </c>
      <c r="D958" s="10">
        <f t="shared" si="53"/>
        <v>0</v>
      </c>
      <c r="E958" s="10" t="s">
        <v>3366</v>
      </c>
      <c r="F958" s="218" t="s">
        <v>3934</v>
      </c>
      <c r="G958" s="264" t="s">
        <v>4032</v>
      </c>
      <c r="H958" s="237"/>
      <c r="I958" s="10" t="s">
        <v>3343</v>
      </c>
      <c r="J958" s="31" t="s">
        <v>11</v>
      </c>
      <c r="K958" s="429">
        <f t="shared" si="54"/>
        <v>0</v>
      </c>
    </row>
    <row r="959" spans="1:11" x14ac:dyDescent="0.2">
      <c r="A959" s="72"/>
      <c r="B959" s="72">
        <v>618</v>
      </c>
      <c r="C959" s="31" t="s">
        <v>4711</v>
      </c>
      <c r="D959" s="10">
        <f t="shared" si="53"/>
        <v>0</v>
      </c>
      <c r="E959" s="10" t="s">
        <v>3366</v>
      </c>
      <c r="F959" s="218" t="s">
        <v>3925</v>
      </c>
      <c r="G959" s="264" t="s">
        <v>4712</v>
      </c>
      <c r="H959" s="237"/>
      <c r="I959" s="10" t="s">
        <v>3343</v>
      </c>
      <c r="J959" s="31" t="s">
        <v>11</v>
      </c>
      <c r="K959" s="429">
        <f t="shared" si="54"/>
        <v>0</v>
      </c>
    </row>
    <row r="960" spans="1:11" x14ac:dyDescent="0.2">
      <c r="A960" s="72"/>
      <c r="B960" s="72">
        <v>619</v>
      </c>
      <c r="C960" s="31" t="s">
        <v>4713</v>
      </c>
      <c r="D960" s="10">
        <f t="shared" si="53"/>
        <v>0</v>
      </c>
      <c r="E960" s="10" t="s">
        <v>3366</v>
      </c>
      <c r="F960" s="218" t="s">
        <v>4154</v>
      </c>
      <c r="G960" s="264" t="s">
        <v>4155</v>
      </c>
      <c r="H960" s="237"/>
      <c r="I960" s="10" t="s">
        <v>3343</v>
      </c>
      <c r="J960" s="31" t="s">
        <v>11</v>
      </c>
      <c r="K960" s="429">
        <f t="shared" si="54"/>
        <v>0</v>
      </c>
    </row>
    <row r="961" spans="1:11" x14ac:dyDescent="0.2">
      <c r="A961" s="72"/>
      <c r="B961" s="72">
        <v>620</v>
      </c>
      <c r="C961" s="31" t="s">
        <v>4714</v>
      </c>
      <c r="D961" s="10">
        <f t="shared" si="53"/>
        <v>0</v>
      </c>
      <c r="E961" s="10" t="s">
        <v>3366</v>
      </c>
      <c r="F961" s="218" t="s">
        <v>3935</v>
      </c>
      <c r="G961" s="264" t="s">
        <v>3406</v>
      </c>
      <c r="H961" s="237"/>
      <c r="I961" s="10" t="s">
        <v>3343</v>
      </c>
      <c r="J961" s="31" t="s">
        <v>11</v>
      </c>
      <c r="K961" s="429">
        <f t="shared" si="54"/>
        <v>0</v>
      </c>
    </row>
    <row r="962" spans="1:11" x14ac:dyDescent="0.2">
      <c r="A962" s="72" t="s">
        <v>3790</v>
      </c>
      <c r="B962" s="72">
        <v>621</v>
      </c>
      <c r="C962" s="31" t="s">
        <v>3997</v>
      </c>
      <c r="D962" s="10" t="str">
        <f t="shared" si="53"/>
        <v>04 Sept</v>
      </c>
      <c r="E962" s="10" t="s">
        <v>3366</v>
      </c>
      <c r="F962" s="218" t="s">
        <v>3939</v>
      </c>
      <c r="G962" s="264" t="s">
        <v>3940</v>
      </c>
      <c r="H962" s="237"/>
      <c r="I962" s="10" t="s">
        <v>3343</v>
      </c>
      <c r="J962" s="31" t="s">
        <v>11</v>
      </c>
      <c r="K962" s="429">
        <f t="shared" si="54"/>
        <v>0</v>
      </c>
    </row>
    <row r="963" spans="1:11" x14ac:dyDescent="0.2">
      <c r="A963" s="72"/>
      <c r="B963" s="72">
        <v>622</v>
      </c>
      <c r="C963" s="31" t="s">
        <v>3987</v>
      </c>
      <c r="D963" s="10">
        <f t="shared" si="53"/>
        <v>0</v>
      </c>
      <c r="E963" s="10" t="s">
        <v>3366</v>
      </c>
      <c r="F963" s="218" t="s">
        <v>3932</v>
      </c>
      <c r="G963" s="264" t="s">
        <v>3933</v>
      </c>
      <c r="H963" s="237"/>
      <c r="I963" s="10" t="s">
        <v>3343</v>
      </c>
      <c r="J963" s="31" t="s">
        <v>11</v>
      </c>
      <c r="K963" s="429">
        <f t="shared" si="54"/>
        <v>0</v>
      </c>
    </row>
    <row r="964" spans="1:11" x14ac:dyDescent="0.2">
      <c r="A964" s="72"/>
      <c r="B964" s="72">
        <v>623</v>
      </c>
      <c r="C964" s="31" t="s">
        <v>4715</v>
      </c>
      <c r="D964" s="10">
        <f t="shared" si="53"/>
        <v>0</v>
      </c>
      <c r="E964" s="10" t="s">
        <v>3366</v>
      </c>
      <c r="F964" s="218" t="s">
        <v>4016</v>
      </c>
      <c r="G964" s="264" t="s">
        <v>4017</v>
      </c>
      <c r="H964" s="237"/>
      <c r="I964" s="10" t="s">
        <v>3343</v>
      </c>
      <c r="J964" s="31" t="s">
        <v>11</v>
      </c>
      <c r="K964" s="429">
        <f t="shared" si="54"/>
        <v>0</v>
      </c>
    </row>
    <row r="965" spans="1:11" x14ac:dyDescent="0.2">
      <c r="A965" s="72"/>
      <c r="B965" s="72">
        <v>624</v>
      </c>
      <c r="C965" s="31" t="s">
        <v>3855</v>
      </c>
      <c r="D965" s="10">
        <f t="shared" si="53"/>
        <v>0</v>
      </c>
      <c r="E965" s="10" t="s">
        <v>3366</v>
      </c>
      <c r="F965" s="218" t="s">
        <v>3939</v>
      </c>
      <c r="G965" s="264" t="s">
        <v>3940</v>
      </c>
      <c r="H965" s="237"/>
      <c r="I965" s="10" t="s">
        <v>3343</v>
      </c>
      <c r="J965" s="31" t="s">
        <v>11</v>
      </c>
      <c r="K965" s="429">
        <f t="shared" si="54"/>
        <v>0</v>
      </c>
    </row>
    <row r="966" spans="1:11" x14ac:dyDescent="0.2">
      <c r="A966" s="72" t="s">
        <v>4716</v>
      </c>
      <c r="B966" s="72">
        <v>625</v>
      </c>
      <c r="C966" s="31" t="s">
        <v>3844</v>
      </c>
      <c r="D966" s="10" t="str">
        <f t="shared" si="53"/>
        <v>09 Sept</v>
      </c>
      <c r="E966" s="10" t="s">
        <v>3366</v>
      </c>
      <c r="F966" s="218" t="s">
        <v>3925</v>
      </c>
      <c r="G966" s="264" t="s">
        <v>3926</v>
      </c>
      <c r="H966" s="237"/>
      <c r="I966" s="10" t="s">
        <v>3343</v>
      </c>
      <c r="J966" s="31" t="s">
        <v>11</v>
      </c>
      <c r="K966" s="429">
        <f t="shared" si="54"/>
        <v>0</v>
      </c>
    </row>
    <row r="967" spans="1:11" x14ac:dyDescent="0.2">
      <c r="A967" s="72"/>
      <c r="B967" s="72"/>
      <c r="C967" s="31"/>
      <c r="D967" s="10">
        <f t="shared" si="53"/>
        <v>0</v>
      </c>
      <c r="E967" s="10" t="s">
        <v>3366</v>
      </c>
      <c r="F967" s="218" t="s">
        <v>3520</v>
      </c>
      <c r="G967" s="264" t="s">
        <v>4717</v>
      </c>
      <c r="H967" s="237"/>
      <c r="I967" s="10" t="s">
        <v>3343</v>
      </c>
      <c r="J967" s="31" t="s">
        <v>11</v>
      </c>
      <c r="K967" s="429">
        <f t="shared" si="54"/>
        <v>0</v>
      </c>
    </row>
    <row r="968" spans="1:11" x14ac:dyDescent="0.2">
      <c r="A968" s="72"/>
      <c r="B968" s="72"/>
      <c r="C968" s="31"/>
      <c r="D968" s="10">
        <f t="shared" si="53"/>
        <v>0</v>
      </c>
      <c r="E968" s="10" t="s">
        <v>3366</v>
      </c>
      <c r="F968" s="218" t="s">
        <v>3543</v>
      </c>
      <c r="G968" s="264" t="s">
        <v>3927</v>
      </c>
      <c r="H968" s="237"/>
      <c r="I968" s="10" t="s">
        <v>3343</v>
      </c>
      <c r="J968" s="31" t="s">
        <v>11</v>
      </c>
      <c r="K968" s="429">
        <f t="shared" si="54"/>
        <v>0</v>
      </c>
    </row>
    <row r="969" spans="1:11" x14ac:dyDescent="0.2">
      <c r="A969" s="263"/>
      <c r="B969" s="72">
        <v>626</v>
      </c>
      <c r="C969" s="31" t="s">
        <v>4718</v>
      </c>
      <c r="D969" s="10">
        <f t="shared" si="53"/>
        <v>0</v>
      </c>
      <c r="E969" s="10" t="s">
        <v>3366</v>
      </c>
      <c r="F969" s="218" t="s">
        <v>3935</v>
      </c>
      <c r="G969" s="264" t="s">
        <v>3406</v>
      </c>
      <c r="H969" s="237"/>
      <c r="I969" s="10" t="s">
        <v>3343</v>
      </c>
      <c r="J969" s="31" t="s">
        <v>11</v>
      </c>
      <c r="K969" s="429">
        <f t="shared" si="54"/>
        <v>0</v>
      </c>
    </row>
    <row r="970" spans="1:11" x14ac:dyDescent="0.2">
      <c r="A970" s="72"/>
      <c r="B970" s="72">
        <v>627</v>
      </c>
      <c r="C970" s="31" t="s">
        <v>4719</v>
      </c>
      <c r="D970" s="10">
        <f t="shared" si="53"/>
        <v>0</v>
      </c>
      <c r="E970" s="10" t="s">
        <v>3366</v>
      </c>
      <c r="F970" s="218" t="s">
        <v>3935</v>
      </c>
      <c r="G970" s="264" t="s">
        <v>3406</v>
      </c>
      <c r="H970" s="237"/>
      <c r="I970" s="10" t="s">
        <v>3343</v>
      </c>
      <c r="J970" s="31" t="s">
        <v>11</v>
      </c>
      <c r="K970" s="429">
        <f t="shared" si="54"/>
        <v>0</v>
      </c>
    </row>
    <row r="971" spans="1:11" x14ac:dyDescent="0.2">
      <c r="A971" s="72"/>
      <c r="B971" s="72">
        <v>628</v>
      </c>
      <c r="C971" s="31" t="s">
        <v>4720</v>
      </c>
      <c r="D971" s="10">
        <f t="shared" si="53"/>
        <v>0</v>
      </c>
      <c r="E971" s="10" t="s">
        <v>3366</v>
      </c>
      <c r="F971" s="218" t="s">
        <v>4029</v>
      </c>
      <c r="G971" s="264" t="s">
        <v>4030</v>
      </c>
      <c r="H971" s="237"/>
      <c r="I971" s="10" t="s">
        <v>3343</v>
      </c>
      <c r="J971" s="31" t="s">
        <v>11</v>
      </c>
      <c r="K971" s="429">
        <f t="shared" si="54"/>
        <v>0</v>
      </c>
    </row>
    <row r="972" spans="1:11" x14ac:dyDescent="0.2">
      <c r="A972" s="72"/>
      <c r="B972" s="72">
        <v>629</v>
      </c>
      <c r="C972" s="31" t="s">
        <v>3997</v>
      </c>
      <c r="D972" s="10">
        <f t="shared" si="53"/>
        <v>0</v>
      </c>
      <c r="E972" s="10" t="s">
        <v>3366</v>
      </c>
      <c r="F972" s="218" t="s">
        <v>3939</v>
      </c>
      <c r="G972" s="264" t="s">
        <v>3940</v>
      </c>
      <c r="H972" s="237"/>
      <c r="I972" s="10" t="s">
        <v>3343</v>
      </c>
      <c r="J972" s="31" t="s">
        <v>11</v>
      </c>
      <c r="K972" s="429">
        <f t="shared" si="54"/>
        <v>0</v>
      </c>
    </row>
    <row r="973" spans="1:11" x14ac:dyDescent="0.2">
      <c r="A973" s="72"/>
      <c r="B973" s="72">
        <v>630</v>
      </c>
      <c r="C973" s="31" t="s">
        <v>4069</v>
      </c>
      <c r="D973" s="10">
        <f t="shared" si="53"/>
        <v>0</v>
      </c>
      <c r="E973" s="10" t="s">
        <v>3366</v>
      </c>
      <c r="F973" s="218" t="s">
        <v>3934</v>
      </c>
      <c r="G973" s="264" t="s">
        <v>4032</v>
      </c>
      <c r="H973" s="237"/>
      <c r="I973" s="10" t="s">
        <v>3343</v>
      </c>
      <c r="J973" s="31" t="s">
        <v>11</v>
      </c>
      <c r="K973" s="429">
        <f t="shared" si="54"/>
        <v>0</v>
      </c>
    </row>
    <row r="974" spans="1:11" x14ac:dyDescent="0.2">
      <c r="A974" s="72" t="s">
        <v>3754</v>
      </c>
      <c r="B974" s="72">
        <v>631</v>
      </c>
      <c r="C974" s="265" t="s">
        <v>3841</v>
      </c>
      <c r="D974" s="10" t="str">
        <f t="shared" si="53"/>
        <v>10 Sept</v>
      </c>
      <c r="E974" s="10" t="s">
        <v>3366</v>
      </c>
      <c r="F974" s="218" t="s">
        <v>3924</v>
      </c>
      <c r="G974" s="264" t="s">
        <v>3410</v>
      </c>
      <c r="H974" s="237"/>
      <c r="I974" s="10" t="s">
        <v>3343</v>
      </c>
      <c r="J974" s="31" t="s">
        <v>11</v>
      </c>
      <c r="K974" s="429">
        <f t="shared" si="54"/>
        <v>0</v>
      </c>
    </row>
    <row r="975" spans="1:11" x14ac:dyDescent="0.2">
      <c r="A975" s="72"/>
      <c r="B975" s="72">
        <v>632</v>
      </c>
      <c r="C975" s="265" t="s">
        <v>3842</v>
      </c>
      <c r="D975" s="10">
        <f t="shared" si="53"/>
        <v>0</v>
      </c>
      <c r="E975" s="10" t="s">
        <v>3366</v>
      </c>
      <c r="F975" s="218" t="s">
        <v>3924</v>
      </c>
      <c r="G975" s="264" t="s">
        <v>3410</v>
      </c>
      <c r="H975" s="237"/>
      <c r="I975" s="10" t="s">
        <v>3343</v>
      </c>
      <c r="J975" s="31" t="s">
        <v>11</v>
      </c>
      <c r="K975" s="429">
        <f t="shared" si="54"/>
        <v>0</v>
      </c>
    </row>
    <row r="976" spans="1:11" x14ac:dyDescent="0.2">
      <c r="A976" s="72"/>
      <c r="B976" s="72">
        <v>633</v>
      </c>
      <c r="C976" s="265" t="s">
        <v>3843</v>
      </c>
      <c r="D976" s="10">
        <f t="shared" si="53"/>
        <v>0</v>
      </c>
      <c r="E976" s="10" t="s">
        <v>3366</v>
      </c>
      <c r="F976" s="218" t="s">
        <v>3924</v>
      </c>
      <c r="G976" s="264" t="s">
        <v>3410</v>
      </c>
      <c r="H976" s="237"/>
      <c r="I976" s="10" t="s">
        <v>3343</v>
      </c>
      <c r="J976" s="31" t="s">
        <v>11</v>
      </c>
      <c r="K976" s="429">
        <f t="shared" si="54"/>
        <v>0</v>
      </c>
    </row>
    <row r="977" spans="1:11" x14ac:dyDescent="0.2">
      <c r="A977" s="72"/>
      <c r="B977" s="72">
        <v>634</v>
      </c>
      <c r="C977" s="31" t="s">
        <v>4721</v>
      </c>
      <c r="D977" s="10">
        <f t="shared" si="53"/>
        <v>0</v>
      </c>
      <c r="E977" s="10" t="s">
        <v>3366</v>
      </c>
      <c r="F977" s="218" t="s">
        <v>3941</v>
      </c>
      <c r="G977" s="264" t="s">
        <v>3942</v>
      </c>
      <c r="H977" s="237"/>
      <c r="I977" s="10" t="s">
        <v>3343</v>
      </c>
      <c r="J977" s="31" t="s">
        <v>11</v>
      </c>
      <c r="K977" s="429">
        <f t="shared" si="54"/>
        <v>0</v>
      </c>
    </row>
    <row r="978" spans="1:11" x14ac:dyDescent="0.2">
      <c r="A978" s="72"/>
      <c r="B978" s="72">
        <v>635</v>
      </c>
      <c r="C978" s="31" t="s">
        <v>3846</v>
      </c>
      <c r="D978" s="10">
        <f t="shared" si="53"/>
        <v>0</v>
      </c>
      <c r="E978" s="10" t="s">
        <v>3366</v>
      </c>
      <c r="F978" s="218" t="s">
        <v>3922</v>
      </c>
      <c r="G978" s="267" t="s">
        <v>3984</v>
      </c>
      <c r="H978" s="237"/>
      <c r="I978" s="10" t="s">
        <v>3343</v>
      </c>
      <c r="J978" s="31" t="s">
        <v>11</v>
      </c>
      <c r="K978" s="429">
        <f t="shared" si="54"/>
        <v>0</v>
      </c>
    </row>
    <row r="979" spans="1:11" x14ac:dyDescent="0.2">
      <c r="A979" s="72" t="s">
        <v>4722</v>
      </c>
      <c r="B979" s="72">
        <v>636</v>
      </c>
      <c r="C979" s="31" t="s">
        <v>4723</v>
      </c>
      <c r="D979" s="10" t="str">
        <f t="shared" si="53"/>
        <v>11 Sept</v>
      </c>
      <c r="E979" s="10" t="s">
        <v>3366</v>
      </c>
      <c r="F979" s="218" t="s">
        <v>3969</v>
      </c>
      <c r="G979" s="267" t="s">
        <v>3970</v>
      </c>
      <c r="H979" s="237"/>
      <c r="I979" s="10" t="s">
        <v>3343</v>
      </c>
      <c r="J979" s="31" t="s">
        <v>11</v>
      </c>
      <c r="K979" s="429">
        <f t="shared" si="54"/>
        <v>0</v>
      </c>
    </row>
    <row r="980" spans="1:11" x14ac:dyDescent="0.2">
      <c r="A980" s="72" t="s">
        <v>4724</v>
      </c>
      <c r="B980" s="72">
        <v>637</v>
      </c>
      <c r="C980" s="31" t="s">
        <v>4725</v>
      </c>
      <c r="D980" s="10" t="str">
        <f t="shared" si="53"/>
        <v>15 Sept</v>
      </c>
      <c r="E980" s="10" t="s">
        <v>3366</v>
      </c>
      <c r="F980" s="218" t="s">
        <v>3935</v>
      </c>
      <c r="G980" s="267" t="s">
        <v>3406</v>
      </c>
      <c r="H980" s="237"/>
      <c r="I980" s="10" t="s">
        <v>3343</v>
      </c>
      <c r="J980" s="31" t="s">
        <v>11</v>
      </c>
      <c r="K980" s="429">
        <f t="shared" si="54"/>
        <v>0</v>
      </c>
    </row>
    <row r="981" spans="1:11" x14ac:dyDescent="0.2">
      <c r="A981" s="72" t="s">
        <v>4726</v>
      </c>
      <c r="B981" s="72">
        <v>638</v>
      </c>
      <c r="C981" s="31" t="s">
        <v>4727</v>
      </c>
      <c r="D981" s="10" t="str">
        <f t="shared" si="53"/>
        <v>16 Sept</v>
      </c>
      <c r="E981" s="10" t="s">
        <v>3366</v>
      </c>
      <c r="F981" s="218" t="s">
        <v>4011</v>
      </c>
      <c r="G981" s="264" t="s">
        <v>4728</v>
      </c>
      <c r="H981" s="237"/>
      <c r="I981" s="10" t="s">
        <v>3343</v>
      </c>
      <c r="J981" s="31" t="s">
        <v>11</v>
      </c>
      <c r="K981" s="429">
        <f t="shared" si="54"/>
        <v>0</v>
      </c>
    </row>
    <row r="982" spans="1:11" x14ac:dyDescent="0.2">
      <c r="A982" s="72"/>
      <c r="B982" s="72">
        <v>639</v>
      </c>
      <c r="C982" s="31" t="s">
        <v>4729</v>
      </c>
      <c r="D982" s="10">
        <f t="shared" si="53"/>
        <v>0</v>
      </c>
      <c r="E982" s="10" t="s">
        <v>3366</v>
      </c>
      <c r="F982" s="218" t="s">
        <v>4027</v>
      </c>
      <c r="G982" s="264" t="s">
        <v>4028</v>
      </c>
      <c r="H982" s="237"/>
      <c r="I982" s="10" t="s">
        <v>3343</v>
      </c>
      <c r="J982" s="31" t="s">
        <v>11</v>
      </c>
      <c r="K982" s="429">
        <f t="shared" si="54"/>
        <v>0</v>
      </c>
    </row>
    <row r="983" spans="1:11" x14ac:dyDescent="0.2">
      <c r="A983" s="72"/>
      <c r="B983" s="72">
        <v>640</v>
      </c>
      <c r="C983" s="31" t="s">
        <v>4730</v>
      </c>
      <c r="D983" s="10">
        <f t="shared" si="53"/>
        <v>0</v>
      </c>
      <c r="E983" s="10" t="s">
        <v>3366</v>
      </c>
      <c r="F983" s="218" t="s">
        <v>4058</v>
      </c>
      <c r="G983" s="264" t="s">
        <v>4017</v>
      </c>
      <c r="H983" s="237"/>
      <c r="I983" s="10" t="s">
        <v>3343</v>
      </c>
      <c r="J983" s="31" t="s">
        <v>11</v>
      </c>
      <c r="K983" s="429">
        <f t="shared" si="54"/>
        <v>0</v>
      </c>
    </row>
    <row r="984" spans="1:11" x14ac:dyDescent="0.2">
      <c r="A984" s="72"/>
      <c r="B984" s="72">
        <v>641</v>
      </c>
      <c r="C984" s="31" t="s">
        <v>4731</v>
      </c>
      <c r="D984" s="10">
        <f t="shared" si="53"/>
        <v>0</v>
      </c>
      <c r="E984" s="10" t="s">
        <v>3366</v>
      </c>
      <c r="F984" s="218" t="s">
        <v>4058</v>
      </c>
      <c r="G984" s="264" t="s">
        <v>4017</v>
      </c>
      <c r="H984" s="237"/>
      <c r="I984" s="10" t="s">
        <v>3343</v>
      </c>
      <c r="J984" s="31" t="s">
        <v>11</v>
      </c>
      <c r="K984" s="429">
        <f t="shared" si="54"/>
        <v>0</v>
      </c>
    </row>
    <row r="985" spans="1:11" x14ac:dyDescent="0.2">
      <c r="A985" s="72" t="s">
        <v>4732</v>
      </c>
      <c r="B985" s="72">
        <v>642</v>
      </c>
      <c r="C985" s="31" t="s">
        <v>4733</v>
      </c>
      <c r="D985" s="10" t="str">
        <f t="shared" si="53"/>
        <v>17 Sept</v>
      </c>
      <c r="E985" s="10" t="s">
        <v>3366</v>
      </c>
      <c r="F985" s="218" t="s">
        <v>3921</v>
      </c>
      <c r="G985" s="264" t="s">
        <v>3402</v>
      </c>
      <c r="H985" s="237"/>
      <c r="I985" s="10" t="s">
        <v>3343</v>
      </c>
      <c r="J985" s="31" t="s">
        <v>11</v>
      </c>
      <c r="K985" s="429">
        <f t="shared" si="54"/>
        <v>0</v>
      </c>
    </row>
    <row r="986" spans="1:11" x14ac:dyDescent="0.2">
      <c r="A986" s="72"/>
      <c r="B986" s="72">
        <v>643</v>
      </c>
      <c r="C986" s="265" t="s">
        <v>3997</v>
      </c>
      <c r="D986" s="10">
        <f t="shared" si="53"/>
        <v>0</v>
      </c>
      <c r="E986" s="10" t="s">
        <v>3366</v>
      </c>
      <c r="F986" s="218" t="s">
        <v>3939</v>
      </c>
      <c r="G986" s="264" t="s">
        <v>3940</v>
      </c>
      <c r="H986" s="237"/>
      <c r="I986" s="10" t="s">
        <v>3343</v>
      </c>
      <c r="J986" s="31" t="s">
        <v>11</v>
      </c>
      <c r="K986" s="429">
        <f t="shared" si="54"/>
        <v>0</v>
      </c>
    </row>
    <row r="987" spans="1:11" x14ac:dyDescent="0.2">
      <c r="A987" s="72" t="s">
        <v>4734</v>
      </c>
      <c r="B987" s="72">
        <v>644</v>
      </c>
      <c r="C987" s="265" t="s">
        <v>4735</v>
      </c>
      <c r="D987" s="10" t="str">
        <f t="shared" si="53"/>
        <v>18 Sept</v>
      </c>
      <c r="E987" s="10" t="s">
        <v>3366</v>
      </c>
      <c r="F987" s="218" t="s">
        <v>4027</v>
      </c>
      <c r="G987" s="264" t="s">
        <v>4028</v>
      </c>
      <c r="H987" s="237"/>
      <c r="I987" s="10" t="s">
        <v>3343</v>
      </c>
      <c r="J987" s="31" t="s">
        <v>11</v>
      </c>
      <c r="K987" s="429">
        <f t="shared" si="54"/>
        <v>0</v>
      </c>
    </row>
    <row r="988" spans="1:11" x14ac:dyDescent="0.2">
      <c r="A988" s="72"/>
      <c r="B988" s="72">
        <v>645</v>
      </c>
      <c r="C988" s="265" t="s">
        <v>4736</v>
      </c>
      <c r="D988" s="10">
        <f t="shared" si="53"/>
        <v>0</v>
      </c>
      <c r="E988" s="10" t="s">
        <v>3366</v>
      </c>
      <c r="F988" s="218" t="s">
        <v>3935</v>
      </c>
      <c r="G988" s="264" t="s">
        <v>3406</v>
      </c>
      <c r="H988" s="237"/>
      <c r="I988" s="10" t="s">
        <v>3343</v>
      </c>
      <c r="J988" s="31" t="s">
        <v>11</v>
      </c>
      <c r="K988" s="429">
        <f t="shared" si="54"/>
        <v>0</v>
      </c>
    </row>
    <row r="989" spans="1:11" x14ac:dyDescent="0.2">
      <c r="A989" s="72"/>
      <c r="B989" s="72">
        <v>646</v>
      </c>
      <c r="C989" s="265" t="s">
        <v>3855</v>
      </c>
      <c r="D989" s="10">
        <f t="shared" si="53"/>
        <v>0</v>
      </c>
      <c r="E989" s="10" t="s">
        <v>3366</v>
      </c>
      <c r="F989" s="218" t="s">
        <v>3939</v>
      </c>
      <c r="G989" s="264" t="s">
        <v>3940</v>
      </c>
      <c r="H989" s="237"/>
      <c r="I989" s="10" t="s">
        <v>3343</v>
      </c>
      <c r="J989" s="31" t="s">
        <v>11</v>
      </c>
      <c r="K989" s="429">
        <f t="shared" si="54"/>
        <v>0</v>
      </c>
    </row>
    <row r="990" spans="1:11" x14ac:dyDescent="0.2">
      <c r="A990" s="72" t="s">
        <v>4737</v>
      </c>
      <c r="B990" s="72">
        <v>647</v>
      </c>
      <c r="C990" s="31" t="s">
        <v>4738</v>
      </c>
      <c r="D990" s="10" t="str">
        <f t="shared" si="53"/>
        <v>22 Sept</v>
      </c>
      <c r="E990" s="10" t="s">
        <v>3366</v>
      </c>
      <c r="F990" s="218" t="s">
        <v>3999</v>
      </c>
      <c r="G990" s="264" t="s">
        <v>4000</v>
      </c>
      <c r="H990" s="237"/>
      <c r="I990" s="10" t="s">
        <v>3343</v>
      </c>
      <c r="J990" s="31" t="s">
        <v>11</v>
      </c>
      <c r="K990" s="429">
        <f t="shared" si="54"/>
        <v>0</v>
      </c>
    </row>
    <row r="991" spans="1:11" x14ac:dyDescent="0.2">
      <c r="A991" s="72"/>
      <c r="B991" s="72">
        <v>648</v>
      </c>
      <c r="C991" s="31" t="s">
        <v>4739</v>
      </c>
      <c r="D991" s="10">
        <f t="shared" si="53"/>
        <v>0</v>
      </c>
      <c r="E991" s="10" t="s">
        <v>3366</v>
      </c>
      <c r="F991" s="218" t="s">
        <v>3935</v>
      </c>
      <c r="G991" s="264" t="s">
        <v>3406</v>
      </c>
      <c r="H991" s="237"/>
      <c r="I991" s="10" t="s">
        <v>3343</v>
      </c>
      <c r="J991" s="31" t="s">
        <v>11</v>
      </c>
      <c r="K991" s="429">
        <f t="shared" si="54"/>
        <v>0</v>
      </c>
    </row>
    <row r="992" spans="1:11" x14ac:dyDescent="0.2">
      <c r="A992" s="72"/>
      <c r="B992" s="72">
        <v>649</v>
      </c>
      <c r="C992" s="31" t="s">
        <v>4740</v>
      </c>
      <c r="D992" s="10">
        <f t="shared" si="53"/>
        <v>0</v>
      </c>
      <c r="E992" s="10" t="s">
        <v>3366</v>
      </c>
      <c r="F992" s="218" t="s">
        <v>3935</v>
      </c>
      <c r="G992" s="267" t="s">
        <v>3406</v>
      </c>
      <c r="H992" s="237"/>
      <c r="I992" s="10" t="s">
        <v>3343</v>
      </c>
      <c r="J992" s="31" t="s">
        <v>11</v>
      </c>
      <c r="K992" s="429">
        <f t="shared" si="54"/>
        <v>0</v>
      </c>
    </row>
    <row r="993" spans="1:11" x14ac:dyDescent="0.2">
      <c r="A993" s="72"/>
      <c r="B993" s="72">
        <v>650</v>
      </c>
      <c r="C993" s="31" t="s">
        <v>3846</v>
      </c>
      <c r="D993" s="10">
        <f t="shared" si="53"/>
        <v>0</v>
      </c>
      <c r="E993" s="10" t="s">
        <v>3366</v>
      </c>
      <c r="F993" s="218" t="s">
        <v>3922</v>
      </c>
      <c r="G993" s="267" t="s">
        <v>3984</v>
      </c>
      <c r="H993" s="237"/>
      <c r="I993" s="10" t="s">
        <v>3343</v>
      </c>
      <c r="J993" s="31" t="s">
        <v>11</v>
      </c>
      <c r="K993" s="429">
        <f t="shared" si="54"/>
        <v>0</v>
      </c>
    </row>
    <row r="994" spans="1:11" x14ac:dyDescent="0.2">
      <c r="A994" s="72"/>
      <c r="B994" s="72">
        <v>651</v>
      </c>
      <c r="C994" s="31" t="s">
        <v>4741</v>
      </c>
      <c r="D994" s="10">
        <f t="shared" si="53"/>
        <v>0</v>
      </c>
      <c r="E994" s="10" t="s">
        <v>3366</v>
      </c>
      <c r="F994" s="218" t="s">
        <v>3921</v>
      </c>
      <c r="G994" s="267" t="s">
        <v>3402</v>
      </c>
      <c r="H994" s="237"/>
      <c r="I994" s="10" t="s">
        <v>3343</v>
      </c>
      <c r="J994" s="31" t="s">
        <v>11</v>
      </c>
      <c r="K994" s="429">
        <f t="shared" si="54"/>
        <v>0</v>
      </c>
    </row>
    <row r="995" spans="1:11" x14ac:dyDescent="0.2">
      <c r="A995" s="72"/>
      <c r="B995" s="72">
        <v>652</v>
      </c>
      <c r="C995" s="31" t="s">
        <v>4742</v>
      </c>
      <c r="D995" s="10">
        <f t="shared" si="53"/>
        <v>0</v>
      </c>
      <c r="E995" s="10" t="s">
        <v>3366</v>
      </c>
      <c r="F995" s="218" t="s">
        <v>3946</v>
      </c>
      <c r="G995" s="264" t="s">
        <v>3432</v>
      </c>
      <c r="H995" s="237"/>
      <c r="I995" s="10" t="s">
        <v>3343</v>
      </c>
      <c r="J995" s="31" t="s">
        <v>11</v>
      </c>
      <c r="K995" s="429">
        <f t="shared" si="54"/>
        <v>0</v>
      </c>
    </row>
    <row r="996" spans="1:11" x14ac:dyDescent="0.2">
      <c r="A996" s="72"/>
      <c r="B996" s="72">
        <v>653</v>
      </c>
      <c r="C996" s="31" t="s">
        <v>3257</v>
      </c>
      <c r="D996" s="10">
        <f t="shared" si="53"/>
        <v>0</v>
      </c>
      <c r="E996" s="10" t="s">
        <v>3366</v>
      </c>
      <c r="F996" s="218" t="s">
        <v>3922</v>
      </c>
      <c r="G996" s="264" t="s">
        <v>3984</v>
      </c>
      <c r="H996" s="237"/>
      <c r="I996" s="10" t="s">
        <v>3343</v>
      </c>
      <c r="J996" s="31" t="s">
        <v>11</v>
      </c>
      <c r="K996" s="429">
        <f t="shared" si="54"/>
        <v>0</v>
      </c>
    </row>
    <row r="997" spans="1:11" x14ac:dyDescent="0.2">
      <c r="A997" s="72"/>
      <c r="B997" s="72">
        <v>654</v>
      </c>
      <c r="C997" s="31" t="s">
        <v>3869</v>
      </c>
      <c r="D997" s="10">
        <f t="shared" si="53"/>
        <v>0</v>
      </c>
      <c r="E997" s="10" t="s">
        <v>3366</v>
      </c>
      <c r="F997" s="218" t="s">
        <v>3947</v>
      </c>
      <c r="G997" s="264" t="s">
        <v>3436</v>
      </c>
      <c r="H997" s="237"/>
      <c r="I997" s="10" t="s">
        <v>3343</v>
      </c>
      <c r="J997" s="31" t="s">
        <v>11</v>
      </c>
      <c r="K997" s="429">
        <f t="shared" si="54"/>
        <v>0</v>
      </c>
    </row>
    <row r="998" spans="1:11" x14ac:dyDescent="0.2">
      <c r="A998" s="72" t="s">
        <v>4701</v>
      </c>
      <c r="B998" s="72">
        <v>655</v>
      </c>
      <c r="C998" s="31" t="s">
        <v>3256</v>
      </c>
      <c r="D998" s="10" t="str">
        <f t="shared" si="53"/>
        <v>26 Sept</v>
      </c>
      <c r="E998" s="10" t="s">
        <v>3366</v>
      </c>
      <c r="F998" s="218" t="s">
        <v>3925</v>
      </c>
      <c r="G998" s="264" t="s">
        <v>3962</v>
      </c>
      <c r="H998" s="237"/>
      <c r="I998" s="10" t="s">
        <v>3343</v>
      </c>
      <c r="J998" s="31" t="s">
        <v>11</v>
      </c>
      <c r="K998" s="429">
        <f t="shared" si="54"/>
        <v>0</v>
      </c>
    </row>
    <row r="999" spans="1:11" x14ac:dyDescent="0.2">
      <c r="A999" s="72"/>
      <c r="B999" s="72"/>
      <c r="C999" s="31"/>
      <c r="D999" s="10">
        <f t="shared" si="53"/>
        <v>0</v>
      </c>
      <c r="E999" s="10" t="s">
        <v>3366</v>
      </c>
      <c r="F999" s="218" t="s">
        <v>3520</v>
      </c>
      <c r="G999" s="267" t="s">
        <v>3964</v>
      </c>
      <c r="H999" s="237"/>
      <c r="I999" s="10" t="s">
        <v>3343</v>
      </c>
      <c r="J999" s="31" t="s">
        <v>11</v>
      </c>
      <c r="K999" s="429">
        <f t="shared" si="54"/>
        <v>0</v>
      </c>
    </row>
    <row r="1000" spans="1:11" x14ac:dyDescent="0.2">
      <c r="A1000" s="72"/>
      <c r="B1000" s="72"/>
      <c r="C1000" s="31"/>
      <c r="D1000" s="10">
        <f t="shared" si="53"/>
        <v>0</v>
      </c>
      <c r="E1000" s="10" t="s">
        <v>3366</v>
      </c>
      <c r="F1000" s="218" t="s">
        <v>3543</v>
      </c>
      <c r="G1000" s="268" t="s">
        <v>3963</v>
      </c>
      <c r="H1000" s="237"/>
      <c r="I1000" s="10" t="s">
        <v>3343</v>
      </c>
      <c r="J1000" s="31" t="s">
        <v>11</v>
      </c>
      <c r="K1000" s="429">
        <f t="shared" si="54"/>
        <v>0</v>
      </c>
    </row>
    <row r="1001" spans="1:11" x14ac:dyDescent="0.2">
      <c r="A1001" s="72"/>
      <c r="B1001" s="72">
        <v>656</v>
      </c>
      <c r="C1001" s="31" t="s">
        <v>3895</v>
      </c>
      <c r="D1001" s="10">
        <f t="shared" si="53"/>
        <v>0</v>
      </c>
      <c r="E1001" s="10" t="s">
        <v>3366</v>
      </c>
      <c r="F1001" s="218" t="s">
        <v>3960</v>
      </c>
      <c r="G1001" s="268" t="s">
        <v>3456</v>
      </c>
      <c r="H1001" s="237"/>
      <c r="I1001" s="10" t="s">
        <v>3343</v>
      </c>
      <c r="J1001" s="31" t="s">
        <v>11</v>
      </c>
      <c r="K1001" s="429">
        <f t="shared" si="54"/>
        <v>0</v>
      </c>
    </row>
    <row r="1002" spans="1:11" x14ac:dyDescent="0.2">
      <c r="A1002" s="72"/>
      <c r="B1002" s="72">
        <v>657</v>
      </c>
      <c r="C1002" s="31" t="s">
        <v>4064</v>
      </c>
      <c r="D1002" s="10">
        <f t="shared" si="53"/>
        <v>0</v>
      </c>
      <c r="E1002" s="10" t="s">
        <v>3366</v>
      </c>
      <c r="F1002" s="218" t="s">
        <v>3925</v>
      </c>
      <c r="G1002" s="268" t="s">
        <v>3966</v>
      </c>
      <c r="H1002" s="237"/>
      <c r="I1002" s="10" t="s">
        <v>3343</v>
      </c>
      <c r="J1002" s="31" t="s">
        <v>11</v>
      </c>
      <c r="K1002" s="429">
        <f t="shared" si="54"/>
        <v>0</v>
      </c>
    </row>
    <row r="1003" spans="1:11" x14ac:dyDescent="0.2">
      <c r="A1003" s="72"/>
      <c r="B1003" s="72"/>
      <c r="C1003" s="31"/>
      <c r="D1003" s="10">
        <f t="shared" si="53"/>
        <v>0</v>
      </c>
      <c r="E1003" s="10" t="s">
        <v>3366</v>
      </c>
      <c r="F1003" s="218" t="s">
        <v>3543</v>
      </c>
      <c r="G1003" s="268" t="s">
        <v>3967</v>
      </c>
      <c r="H1003" s="237"/>
      <c r="I1003" s="10" t="s">
        <v>3343</v>
      </c>
      <c r="J1003" s="31" t="s">
        <v>11</v>
      </c>
      <c r="K1003" s="429">
        <f t="shared" si="54"/>
        <v>0</v>
      </c>
    </row>
    <row r="1004" spans="1:11" x14ac:dyDescent="0.2">
      <c r="A1004" s="72"/>
      <c r="B1004" s="72"/>
      <c r="C1004" s="31"/>
      <c r="D1004" s="10">
        <f t="shared" si="53"/>
        <v>0</v>
      </c>
      <c r="E1004" s="10" t="s">
        <v>3366</v>
      </c>
      <c r="F1004" s="218" t="s">
        <v>3520</v>
      </c>
      <c r="G1004" s="264" t="s">
        <v>3968</v>
      </c>
      <c r="H1004" s="237"/>
      <c r="I1004" s="10" t="s">
        <v>3343</v>
      </c>
      <c r="J1004" s="31" t="s">
        <v>11</v>
      </c>
      <c r="K1004" s="429">
        <f t="shared" si="54"/>
        <v>0</v>
      </c>
    </row>
    <row r="1005" spans="1:11" x14ac:dyDescent="0.2">
      <c r="A1005" s="72"/>
      <c r="B1005" s="72">
        <v>658</v>
      </c>
      <c r="C1005" s="31" t="s">
        <v>3900</v>
      </c>
      <c r="D1005" s="10">
        <v>0</v>
      </c>
      <c r="E1005" s="10" t="s">
        <v>3366</v>
      </c>
      <c r="F1005" s="218" t="s">
        <v>3971</v>
      </c>
      <c r="G1005" s="264" t="s">
        <v>3972</v>
      </c>
      <c r="H1005" s="237"/>
      <c r="I1005" s="10" t="s">
        <v>3739</v>
      </c>
      <c r="J1005" s="31" t="s">
        <v>11</v>
      </c>
      <c r="K1005" s="429">
        <f t="shared" si="54"/>
        <v>0</v>
      </c>
    </row>
    <row r="1006" spans="1:11" x14ac:dyDescent="0.2">
      <c r="A1006" s="72"/>
      <c r="B1006" s="72">
        <v>659</v>
      </c>
      <c r="C1006" s="31" t="s">
        <v>4024</v>
      </c>
      <c r="D1006" s="10">
        <v>0</v>
      </c>
      <c r="E1006" s="10" t="s">
        <v>3366</v>
      </c>
      <c r="F1006" s="218" t="s">
        <v>3483</v>
      </c>
      <c r="G1006" s="264" t="s">
        <v>3484</v>
      </c>
      <c r="H1006" s="237"/>
      <c r="I1006" s="10" t="s">
        <v>4743</v>
      </c>
      <c r="J1006" s="31" t="s">
        <v>11</v>
      </c>
      <c r="K1006" s="429">
        <f t="shared" si="54"/>
        <v>0</v>
      </c>
    </row>
    <row r="1007" spans="1:11" x14ac:dyDescent="0.2">
      <c r="A1007" s="72"/>
      <c r="B1007" s="72">
        <v>660</v>
      </c>
      <c r="C1007" s="31" t="s">
        <v>4065</v>
      </c>
      <c r="D1007" s="10">
        <f t="shared" si="53"/>
        <v>0</v>
      </c>
      <c r="E1007" s="10" t="s">
        <v>3366</v>
      </c>
      <c r="F1007" s="218" t="s">
        <v>3486</v>
      </c>
      <c r="G1007" s="268" t="s">
        <v>3973</v>
      </c>
      <c r="H1007" s="237"/>
      <c r="I1007" s="10" t="s">
        <v>3343</v>
      </c>
      <c r="J1007" s="31" t="s">
        <v>11</v>
      </c>
      <c r="K1007" s="429">
        <f t="shared" si="54"/>
        <v>0</v>
      </c>
    </row>
    <row r="1008" spans="1:11" x14ac:dyDescent="0.2">
      <c r="A1008" s="72"/>
      <c r="B1008" s="72">
        <v>661</v>
      </c>
      <c r="C1008" s="31" t="s">
        <v>3904</v>
      </c>
      <c r="D1008" s="10">
        <f t="shared" si="53"/>
        <v>0</v>
      </c>
      <c r="E1008" s="10" t="s">
        <v>3366</v>
      </c>
      <c r="F1008" s="218" t="s">
        <v>3486</v>
      </c>
      <c r="G1008" s="268" t="s">
        <v>3973</v>
      </c>
      <c r="H1008" s="237"/>
      <c r="I1008" s="10" t="s">
        <v>3343</v>
      </c>
      <c r="J1008" s="31" t="s">
        <v>11</v>
      </c>
      <c r="K1008" s="429">
        <f t="shared" si="54"/>
        <v>0</v>
      </c>
    </row>
    <row r="1009" spans="1:11" x14ac:dyDescent="0.2">
      <c r="A1009" s="72"/>
      <c r="B1009" s="72">
        <v>662</v>
      </c>
      <c r="C1009" s="31" t="s">
        <v>3906</v>
      </c>
      <c r="D1009" s="10">
        <f t="shared" si="53"/>
        <v>0</v>
      </c>
      <c r="E1009" s="10" t="s">
        <v>3366</v>
      </c>
      <c r="F1009" s="218" t="s">
        <v>3486</v>
      </c>
      <c r="G1009" s="268" t="s">
        <v>3973</v>
      </c>
      <c r="H1009" s="237"/>
      <c r="I1009" s="10" t="s">
        <v>3343</v>
      </c>
      <c r="J1009" s="31" t="s">
        <v>11</v>
      </c>
      <c r="K1009" s="429">
        <f t="shared" si="54"/>
        <v>0</v>
      </c>
    </row>
    <row r="1010" spans="1:11" x14ac:dyDescent="0.2">
      <c r="A1010" s="72"/>
      <c r="B1010" s="72">
        <v>663</v>
      </c>
      <c r="C1010" s="31" t="s">
        <v>4744</v>
      </c>
      <c r="D1010" s="10">
        <f t="shared" si="53"/>
        <v>0</v>
      </c>
      <c r="E1010" s="10" t="s">
        <v>3366</v>
      </c>
      <c r="F1010" s="218" t="s">
        <v>3965</v>
      </c>
      <c r="G1010" s="264" t="s">
        <v>3478</v>
      </c>
      <c r="H1010" s="237"/>
      <c r="I1010" s="10" t="s">
        <v>3343</v>
      </c>
      <c r="J1010" s="31" t="s">
        <v>11</v>
      </c>
      <c r="K1010" s="429">
        <f t="shared" si="54"/>
        <v>0</v>
      </c>
    </row>
    <row r="1011" spans="1:11" x14ac:dyDescent="0.2">
      <c r="A1011" s="72"/>
      <c r="B1011" s="72">
        <v>664</v>
      </c>
      <c r="C1011" s="31" t="s">
        <v>4393</v>
      </c>
      <c r="D1011" s="10">
        <f t="shared" si="53"/>
        <v>0</v>
      </c>
      <c r="E1011" s="10" t="s">
        <v>3366</v>
      </c>
      <c r="F1011" s="218" t="s">
        <v>3969</v>
      </c>
      <c r="G1011" s="264" t="s">
        <v>3970</v>
      </c>
      <c r="H1011" s="237"/>
      <c r="I1011" s="10" t="s">
        <v>3343</v>
      </c>
      <c r="J1011" s="31" t="s">
        <v>11</v>
      </c>
      <c r="K1011" s="429">
        <f t="shared" si="54"/>
        <v>0</v>
      </c>
    </row>
    <row r="1012" spans="1:11" x14ac:dyDescent="0.2">
      <c r="A1012" s="72"/>
      <c r="B1012" s="72">
        <v>665</v>
      </c>
      <c r="C1012" s="31" t="s">
        <v>3908</v>
      </c>
      <c r="D1012" s="10">
        <f t="shared" si="53"/>
        <v>0</v>
      </c>
      <c r="E1012" s="10" t="s">
        <v>3366</v>
      </c>
      <c r="F1012" s="218" t="s">
        <v>3956</v>
      </c>
      <c r="G1012" s="264" t="s">
        <v>3957</v>
      </c>
      <c r="H1012" s="237"/>
      <c r="I1012" s="10" t="s">
        <v>3343</v>
      </c>
      <c r="J1012" s="31" t="s">
        <v>11</v>
      </c>
      <c r="K1012" s="429">
        <f t="shared" si="54"/>
        <v>0</v>
      </c>
    </row>
    <row r="1013" spans="1:11" x14ac:dyDescent="0.2">
      <c r="A1013" s="72"/>
      <c r="B1013" s="72">
        <v>666</v>
      </c>
      <c r="C1013" s="31" t="s">
        <v>3910</v>
      </c>
      <c r="D1013" s="10">
        <f t="shared" si="53"/>
        <v>0</v>
      </c>
      <c r="E1013" s="10" t="s">
        <v>3366</v>
      </c>
      <c r="F1013" s="218" t="s">
        <v>3974</v>
      </c>
      <c r="G1013" s="268" t="s">
        <v>4745</v>
      </c>
      <c r="H1013" s="237"/>
      <c r="I1013" s="10" t="s">
        <v>3343</v>
      </c>
      <c r="J1013" s="31" t="s">
        <v>11</v>
      </c>
      <c r="K1013" s="429">
        <f t="shared" si="54"/>
        <v>0</v>
      </c>
    </row>
    <row r="1014" spans="1:11" x14ac:dyDescent="0.2">
      <c r="A1014" s="72"/>
      <c r="B1014" s="72">
        <v>667</v>
      </c>
      <c r="C1014" s="31" t="s">
        <v>4746</v>
      </c>
      <c r="D1014" s="10">
        <f t="shared" si="53"/>
        <v>0</v>
      </c>
      <c r="E1014" s="10" t="s">
        <v>3366</v>
      </c>
      <c r="F1014" s="218" t="s">
        <v>3976</v>
      </c>
      <c r="G1014" s="268" t="s">
        <v>3488</v>
      </c>
      <c r="H1014" s="237"/>
      <c r="I1014" s="10" t="s">
        <v>3343</v>
      </c>
      <c r="J1014" s="31" t="s">
        <v>11</v>
      </c>
      <c r="K1014" s="429">
        <f t="shared" si="54"/>
        <v>0</v>
      </c>
    </row>
    <row r="1015" spans="1:11" x14ac:dyDescent="0.2">
      <c r="A1015" s="72"/>
      <c r="B1015" s="72">
        <v>668</v>
      </c>
      <c r="C1015" s="31" t="s">
        <v>3914</v>
      </c>
      <c r="D1015" s="10">
        <f t="shared" si="53"/>
        <v>0</v>
      </c>
      <c r="E1015" s="10" t="s">
        <v>3366</v>
      </c>
      <c r="F1015" s="218" t="s">
        <v>3971</v>
      </c>
      <c r="G1015" s="268" t="s">
        <v>3972</v>
      </c>
      <c r="H1015" s="237"/>
      <c r="I1015" s="10" t="s">
        <v>3343</v>
      </c>
      <c r="J1015" s="31" t="s">
        <v>11</v>
      </c>
      <c r="K1015" s="429">
        <f t="shared" si="54"/>
        <v>0</v>
      </c>
    </row>
    <row r="1016" spans="1:11" x14ac:dyDescent="0.2">
      <c r="A1016" s="72"/>
      <c r="B1016" s="72">
        <v>669</v>
      </c>
      <c r="C1016" s="31" t="s">
        <v>4025</v>
      </c>
      <c r="D1016" s="10">
        <f t="shared" si="53"/>
        <v>0</v>
      </c>
      <c r="E1016" s="10" t="s">
        <v>3366</v>
      </c>
      <c r="F1016" s="218" t="s">
        <v>3932</v>
      </c>
      <c r="G1016" s="264" t="s">
        <v>3933</v>
      </c>
      <c r="H1016" s="237"/>
      <c r="I1016" s="10" t="s">
        <v>3343</v>
      </c>
      <c r="J1016" s="31" t="s">
        <v>11</v>
      </c>
      <c r="K1016" s="429">
        <f t="shared" si="54"/>
        <v>0</v>
      </c>
    </row>
    <row r="1017" spans="1:11" x14ac:dyDescent="0.2">
      <c r="A1017" s="72"/>
      <c r="B1017" s="72">
        <v>670</v>
      </c>
      <c r="C1017" s="31" t="s">
        <v>4747</v>
      </c>
      <c r="D1017" s="10">
        <f t="shared" ref="D1017:D1054" si="55">A1017</f>
        <v>0</v>
      </c>
      <c r="E1017" s="10" t="s">
        <v>3366</v>
      </c>
      <c r="F1017" s="218" t="s">
        <v>3961</v>
      </c>
      <c r="G1017" s="268" t="s">
        <v>3931</v>
      </c>
      <c r="H1017" s="237"/>
      <c r="I1017" s="10" t="s">
        <v>3343</v>
      </c>
      <c r="J1017" s="31" t="s">
        <v>11</v>
      </c>
      <c r="K1017" s="429">
        <f t="shared" si="54"/>
        <v>0</v>
      </c>
    </row>
    <row r="1018" spans="1:11" x14ac:dyDescent="0.2">
      <c r="A1018" s="72"/>
      <c r="B1018" s="72">
        <v>671</v>
      </c>
      <c r="C1018" s="31" t="s">
        <v>4748</v>
      </c>
      <c r="D1018" s="10">
        <f t="shared" si="55"/>
        <v>0</v>
      </c>
      <c r="E1018" s="10" t="s">
        <v>3366</v>
      </c>
      <c r="F1018" s="218" t="s">
        <v>3971</v>
      </c>
      <c r="G1018" s="268" t="s">
        <v>3972</v>
      </c>
      <c r="H1018" s="237"/>
      <c r="I1018" s="10" t="s">
        <v>3343</v>
      </c>
      <c r="J1018" s="31" t="s">
        <v>11</v>
      </c>
      <c r="K1018" s="429">
        <f t="shared" si="54"/>
        <v>0</v>
      </c>
    </row>
    <row r="1019" spans="1:11" x14ac:dyDescent="0.2">
      <c r="A1019" s="72"/>
      <c r="B1019" s="72"/>
      <c r="C1019" s="31"/>
      <c r="D1019" s="10">
        <f t="shared" si="55"/>
        <v>0</v>
      </c>
      <c r="E1019" s="10" t="s">
        <v>3366</v>
      </c>
      <c r="F1019" s="218" t="s">
        <v>3483</v>
      </c>
      <c r="G1019" s="267" t="s">
        <v>3484</v>
      </c>
      <c r="H1019" s="237"/>
      <c r="I1019" s="10" t="s">
        <v>3343</v>
      </c>
      <c r="J1019" s="31" t="s">
        <v>11</v>
      </c>
      <c r="K1019" s="429">
        <f t="shared" si="54"/>
        <v>0</v>
      </c>
    </row>
    <row r="1020" spans="1:11" x14ac:dyDescent="0.2">
      <c r="A1020" s="72"/>
      <c r="B1020" s="72"/>
      <c r="C1020" s="31"/>
      <c r="D1020" s="10">
        <f t="shared" si="55"/>
        <v>0</v>
      </c>
      <c r="E1020" s="10" t="s">
        <v>3366</v>
      </c>
      <c r="F1020" s="218" t="s">
        <v>3486</v>
      </c>
      <c r="G1020" s="264" t="s">
        <v>3973</v>
      </c>
      <c r="H1020" s="237"/>
      <c r="I1020" s="10" t="s">
        <v>3343</v>
      </c>
      <c r="J1020" s="31" t="s">
        <v>11</v>
      </c>
      <c r="K1020" s="429">
        <f t="shared" ref="K1020:K1054" si="56">H1020</f>
        <v>0</v>
      </c>
    </row>
    <row r="1021" spans="1:11" x14ac:dyDescent="0.2">
      <c r="A1021" s="72"/>
      <c r="B1021" s="72">
        <v>672</v>
      </c>
      <c r="C1021" s="31" t="s">
        <v>4749</v>
      </c>
      <c r="D1021" s="10">
        <f t="shared" si="55"/>
        <v>0</v>
      </c>
      <c r="E1021" s="10" t="s">
        <v>3366</v>
      </c>
      <c r="F1021" s="218" t="s">
        <v>3952</v>
      </c>
      <c r="G1021" s="264" t="s">
        <v>3953</v>
      </c>
      <c r="H1021" s="237"/>
      <c r="I1021" s="10" t="s">
        <v>3343</v>
      </c>
      <c r="J1021" s="31" t="s">
        <v>11</v>
      </c>
      <c r="K1021" s="429">
        <f t="shared" si="56"/>
        <v>0</v>
      </c>
    </row>
    <row r="1022" spans="1:11" x14ac:dyDescent="0.2">
      <c r="A1022" s="72"/>
      <c r="B1022" s="72">
        <v>673</v>
      </c>
      <c r="C1022" s="31" t="s">
        <v>4750</v>
      </c>
      <c r="D1022" s="10">
        <f t="shared" si="55"/>
        <v>0</v>
      </c>
      <c r="E1022" s="10" t="s">
        <v>3366</v>
      </c>
      <c r="F1022" s="218" t="s">
        <v>3956</v>
      </c>
      <c r="G1022" s="264" t="s">
        <v>3957</v>
      </c>
      <c r="H1022" s="237"/>
      <c r="I1022" s="10" t="s">
        <v>3343</v>
      </c>
      <c r="J1022" s="31" t="s">
        <v>11</v>
      </c>
      <c r="K1022" s="429">
        <f t="shared" si="56"/>
        <v>0</v>
      </c>
    </row>
    <row r="1023" spans="1:11" x14ac:dyDescent="0.2">
      <c r="A1023" s="72"/>
      <c r="B1023" s="72">
        <v>674</v>
      </c>
      <c r="C1023" s="31" t="s">
        <v>3264</v>
      </c>
      <c r="D1023" s="10">
        <f t="shared" si="55"/>
        <v>0</v>
      </c>
      <c r="E1023" s="10" t="s">
        <v>3366</v>
      </c>
      <c r="F1023" s="218" t="s">
        <v>3925</v>
      </c>
      <c r="G1023" s="264" t="s">
        <v>3938</v>
      </c>
      <c r="H1023" s="237"/>
      <c r="I1023" s="10" t="s">
        <v>3343</v>
      </c>
      <c r="J1023" s="31" t="s">
        <v>11</v>
      </c>
      <c r="K1023" s="429">
        <f t="shared" si="56"/>
        <v>0</v>
      </c>
    </row>
    <row r="1024" spans="1:11" x14ac:dyDescent="0.2">
      <c r="A1024" s="72"/>
      <c r="B1024" s="72">
        <v>675</v>
      </c>
      <c r="C1024" s="31" t="s">
        <v>4069</v>
      </c>
      <c r="D1024" s="10">
        <f t="shared" si="55"/>
        <v>0</v>
      </c>
      <c r="E1024" s="10" t="s">
        <v>3366</v>
      </c>
      <c r="F1024" s="218" t="s">
        <v>3934</v>
      </c>
      <c r="G1024" s="264" t="s">
        <v>4032</v>
      </c>
      <c r="H1024" s="237"/>
      <c r="I1024" s="10" t="s">
        <v>3343</v>
      </c>
      <c r="J1024" s="31" t="s">
        <v>11</v>
      </c>
      <c r="K1024" s="429">
        <f t="shared" si="56"/>
        <v>0</v>
      </c>
    </row>
    <row r="1025" spans="1:11" x14ac:dyDescent="0.2">
      <c r="A1025" s="72"/>
      <c r="B1025" s="72">
        <v>676</v>
      </c>
      <c r="C1025" s="31" t="s">
        <v>3887</v>
      </c>
      <c r="D1025" s="10">
        <f t="shared" si="55"/>
        <v>0</v>
      </c>
      <c r="E1025" s="10" t="s">
        <v>3366</v>
      </c>
      <c r="F1025" s="218" t="s">
        <v>3941</v>
      </c>
      <c r="G1025" s="264" t="s">
        <v>3942</v>
      </c>
      <c r="H1025" s="237"/>
      <c r="I1025" s="10" t="s">
        <v>3343</v>
      </c>
      <c r="J1025" s="31" t="s">
        <v>11</v>
      </c>
      <c r="K1025" s="429">
        <f t="shared" si="56"/>
        <v>0</v>
      </c>
    </row>
    <row r="1026" spans="1:11" x14ac:dyDescent="0.2">
      <c r="A1026" s="72"/>
      <c r="B1026" s="72">
        <v>677</v>
      </c>
      <c r="C1026" s="31" t="s">
        <v>4751</v>
      </c>
      <c r="D1026" s="10">
        <f t="shared" si="55"/>
        <v>0</v>
      </c>
      <c r="E1026" s="10" t="s">
        <v>3366</v>
      </c>
      <c r="F1026" s="218" t="s">
        <v>3954</v>
      </c>
      <c r="G1026" s="264" t="s">
        <v>3955</v>
      </c>
      <c r="H1026" s="237"/>
      <c r="I1026" s="10" t="s">
        <v>3343</v>
      </c>
      <c r="J1026" s="31" t="s">
        <v>11</v>
      </c>
      <c r="K1026" s="429">
        <f t="shared" si="56"/>
        <v>0</v>
      </c>
    </row>
    <row r="1027" spans="1:11" x14ac:dyDescent="0.2">
      <c r="A1027" s="72"/>
      <c r="B1027" s="72">
        <v>678</v>
      </c>
      <c r="C1027" s="31" t="s">
        <v>3881</v>
      </c>
      <c r="D1027" s="10">
        <f t="shared" si="55"/>
        <v>0</v>
      </c>
      <c r="E1027" s="10" t="s">
        <v>3366</v>
      </c>
      <c r="F1027" s="218" t="s">
        <v>3936</v>
      </c>
      <c r="G1027" s="264" t="s">
        <v>3937</v>
      </c>
      <c r="H1027" s="237"/>
      <c r="I1027" s="10" t="s">
        <v>3343</v>
      </c>
      <c r="J1027" s="31" t="s">
        <v>11</v>
      </c>
      <c r="K1027" s="429">
        <f t="shared" si="56"/>
        <v>0</v>
      </c>
    </row>
    <row r="1028" spans="1:11" x14ac:dyDescent="0.2">
      <c r="A1028" s="72"/>
      <c r="B1028" s="72">
        <v>679</v>
      </c>
      <c r="C1028" s="31" t="s">
        <v>3876</v>
      </c>
      <c r="D1028" s="10">
        <f t="shared" si="55"/>
        <v>0</v>
      </c>
      <c r="E1028" s="10" t="s">
        <v>3366</v>
      </c>
      <c r="F1028" s="218" t="s">
        <v>3921</v>
      </c>
      <c r="G1028" s="264" t="s">
        <v>3402</v>
      </c>
      <c r="H1028" s="237"/>
      <c r="I1028" s="10" t="s">
        <v>3343</v>
      </c>
      <c r="J1028" s="31" t="s">
        <v>11</v>
      </c>
      <c r="K1028" s="429">
        <f t="shared" si="56"/>
        <v>0</v>
      </c>
    </row>
    <row r="1029" spans="1:11" x14ac:dyDescent="0.2">
      <c r="A1029" s="72"/>
      <c r="B1029" s="72">
        <v>680</v>
      </c>
      <c r="C1029" s="31" t="s">
        <v>4752</v>
      </c>
      <c r="D1029" s="10">
        <f t="shared" si="55"/>
        <v>0</v>
      </c>
      <c r="E1029" s="10" t="s">
        <v>3366</v>
      </c>
      <c r="F1029" s="218" t="s">
        <v>3936</v>
      </c>
      <c r="G1029" s="264" t="s">
        <v>3937</v>
      </c>
      <c r="H1029" s="237"/>
      <c r="I1029" s="10" t="s">
        <v>3343</v>
      </c>
      <c r="J1029" s="31" t="s">
        <v>11</v>
      </c>
      <c r="K1029" s="429">
        <f t="shared" si="56"/>
        <v>0</v>
      </c>
    </row>
    <row r="1030" spans="1:11" x14ac:dyDescent="0.2">
      <c r="A1030" s="72"/>
      <c r="B1030" s="72">
        <v>681</v>
      </c>
      <c r="C1030" s="31" t="s">
        <v>3851</v>
      </c>
      <c r="D1030" s="10">
        <f t="shared" si="55"/>
        <v>0</v>
      </c>
      <c r="E1030" s="10" t="s">
        <v>3366</v>
      </c>
      <c r="F1030" s="218" t="s">
        <v>3936</v>
      </c>
      <c r="G1030" s="264" t="s">
        <v>3937</v>
      </c>
      <c r="H1030" s="237"/>
      <c r="I1030" s="10" t="s">
        <v>3343</v>
      </c>
      <c r="J1030" s="31" t="s">
        <v>11</v>
      </c>
      <c r="K1030" s="429">
        <f t="shared" si="56"/>
        <v>0</v>
      </c>
    </row>
    <row r="1031" spans="1:11" x14ac:dyDescent="0.2">
      <c r="A1031" s="72"/>
      <c r="B1031" s="72">
        <v>682</v>
      </c>
      <c r="C1031" s="31" t="s">
        <v>3853</v>
      </c>
      <c r="D1031" s="10">
        <f t="shared" si="55"/>
        <v>0</v>
      </c>
      <c r="E1031" s="10" t="s">
        <v>3366</v>
      </c>
      <c r="F1031" s="218" t="s">
        <v>3543</v>
      </c>
      <c r="G1031" s="264" t="s">
        <v>4031</v>
      </c>
      <c r="H1031" s="237"/>
      <c r="I1031" s="10" t="s">
        <v>3343</v>
      </c>
      <c r="J1031" s="31" t="s">
        <v>11</v>
      </c>
      <c r="K1031" s="429">
        <f t="shared" si="56"/>
        <v>0</v>
      </c>
    </row>
    <row r="1032" spans="1:11" x14ac:dyDescent="0.2">
      <c r="A1032" s="72"/>
      <c r="B1032" s="72">
        <v>683</v>
      </c>
      <c r="C1032" s="31" t="s">
        <v>3920</v>
      </c>
      <c r="D1032" s="10">
        <f t="shared" si="55"/>
        <v>0</v>
      </c>
      <c r="E1032" s="10" t="s">
        <v>3366</v>
      </c>
      <c r="F1032" s="218" t="s">
        <v>3543</v>
      </c>
      <c r="G1032" s="264" t="s">
        <v>4031</v>
      </c>
      <c r="H1032" s="237"/>
      <c r="I1032" s="10" t="s">
        <v>3343</v>
      </c>
      <c r="J1032" s="31" t="s">
        <v>11</v>
      </c>
      <c r="K1032" s="429">
        <f t="shared" si="56"/>
        <v>0</v>
      </c>
    </row>
    <row r="1033" spans="1:11" x14ac:dyDescent="0.2">
      <c r="A1033" s="72"/>
      <c r="B1033" s="72">
        <v>684</v>
      </c>
      <c r="C1033" s="31" t="s">
        <v>4753</v>
      </c>
      <c r="D1033" s="10">
        <f t="shared" si="55"/>
        <v>0</v>
      </c>
      <c r="E1033" s="10" t="s">
        <v>3366</v>
      </c>
      <c r="F1033" s="218" t="s">
        <v>3935</v>
      </c>
      <c r="G1033" s="264" t="s">
        <v>3406</v>
      </c>
      <c r="H1033" s="237"/>
      <c r="I1033" s="10" t="s">
        <v>3343</v>
      </c>
      <c r="J1033" s="31" t="s">
        <v>11</v>
      </c>
      <c r="K1033" s="429">
        <f t="shared" si="56"/>
        <v>0</v>
      </c>
    </row>
    <row r="1034" spans="1:11" x14ac:dyDescent="0.2">
      <c r="A1034" s="72"/>
      <c r="B1034" s="72">
        <v>685</v>
      </c>
      <c r="C1034" s="31" t="s">
        <v>4754</v>
      </c>
      <c r="D1034" s="10">
        <f t="shared" si="55"/>
        <v>0</v>
      </c>
      <c r="E1034" s="10" t="s">
        <v>3366</v>
      </c>
      <c r="F1034" s="218" t="s">
        <v>4005</v>
      </c>
      <c r="G1034" s="264" t="s">
        <v>4755</v>
      </c>
      <c r="H1034" s="237"/>
      <c r="I1034" s="10" t="s">
        <v>3343</v>
      </c>
      <c r="J1034" s="31" t="s">
        <v>11</v>
      </c>
      <c r="K1034" s="429">
        <f t="shared" si="56"/>
        <v>0</v>
      </c>
    </row>
    <row r="1035" spans="1:11" x14ac:dyDescent="0.2">
      <c r="A1035" s="72"/>
      <c r="B1035" s="72"/>
      <c r="C1035" s="31"/>
      <c r="D1035" s="10">
        <f t="shared" si="55"/>
        <v>0</v>
      </c>
      <c r="E1035" s="10" t="s">
        <v>3366</v>
      </c>
      <c r="F1035" s="218" t="s">
        <v>4003</v>
      </c>
      <c r="G1035" s="264" t="s">
        <v>4756</v>
      </c>
      <c r="H1035" s="237"/>
      <c r="I1035" s="10" t="s">
        <v>3343</v>
      </c>
      <c r="J1035" s="31" t="s">
        <v>11</v>
      </c>
      <c r="K1035" s="429">
        <f t="shared" si="56"/>
        <v>0</v>
      </c>
    </row>
    <row r="1036" spans="1:11" x14ac:dyDescent="0.2">
      <c r="A1036" s="72"/>
      <c r="B1036" s="72">
        <v>686</v>
      </c>
      <c r="C1036" s="31" t="s">
        <v>4757</v>
      </c>
      <c r="D1036" s="10">
        <f t="shared" si="55"/>
        <v>0</v>
      </c>
      <c r="E1036" s="10" t="s">
        <v>3366</v>
      </c>
      <c r="F1036" s="218" t="s">
        <v>4005</v>
      </c>
      <c r="G1036" s="264" t="s">
        <v>4755</v>
      </c>
      <c r="H1036" s="237"/>
      <c r="I1036" s="10" t="s">
        <v>3343</v>
      </c>
      <c r="J1036" s="31" t="s">
        <v>11</v>
      </c>
      <c r="K1036" s="429">
        <f t="shared" si="56"/>
        <v>0</v>
      </c>
    </row>
    <row r="1037" spans="1:11" x14ac:dyDescent="0.2">
      <c r="A1037" s="72"/>
      <c r="B1037" s="72"/>
      <c r="C1037" s="31"/>
      <c r="D1037" s="10">
        <f t="shared" si="55"/>
        <v>0</v>
      </c>
      <c r="E1037" s="10" t="s">
        <v>3366</v>
      </c>
      <c r="F1037" s="218" t="s">
        <v>4003</v>
      </c>
      <c r="G1037" s="264" t="s">
        <v>4756</v>
      </c>
      <c r="H1037" s="237"/>
      <c r="I1037" s="10" t="s">
        <v>3343</v>
      </c>
      <c r="J1037" s="31" t="s">
        <v>11</v>
      </c>
      <c r="K1037" s="429">
        <f t="shared" si="56"/>
        <v>0</v>
      </c>
    </row>
    <row r="1038" spans="1:11" x14ac:dyDescent="0.2">
      <c r="A1038" s="72" t="s">
        <v>4758</v>
      </c>
      <c r="B1038" s="72">
        <v>687</v>
      </c>
      <c r="C1038" s="31" t="s">
        <v>3889</v>
      </c>
      <c r="D1038" s="10" t="str">
        <f t="shared" si="55"/>
        <v>29 Sept</v>
      </c>
      <c r="E1038" s="10" t="s">
        <v>3366</v>
      </c>
      <c r="F1038" s="218" t="s">
        <v>3925</v>
      </c>
      <c r="G1038" s="264" t="s">
        <v>3958</v>
      </c>
      <c r="H1038" s="237"/>
      <c r="I1038" s="10" t="s">
        <v>3343</v>
      </c>
      <c r="J1038" s="31" t="s">
        <v>11</v>
      </c>
      <c r="K1038" s="429">
        <f t="shared" si="56"/>
        <v>0</v>
      </c>
    </row>
    <row r="1039" spans="1:11" x14ac:dyDescent="0.2">
      <c r="A1039" s="72"/>
      <c r="B1039" s="72"/>
      <c r="C1039" s="31"/>
      <c r="D1039" s="10">
        <f t="shared" si="55"/>
        <v>0</v>
      </c>
      <c r="E1039" s="10" t="s">
        <v>3366</v>
      </c>
      <c r="F1039" s="218" t="s">
        <v>3520</v>
      </c>
      <c r="G1039" s="264" t="s">
        <v>4019</v>
      </c>
      <c r="H1039" s="237"/>
      <c r="I1039" s="10" t="s">
        <v>3343</v>
      </c>
      <c r="J1039" s="31" t="s">
        <v>11</v>
      </c>
      <c r="K1039" s="429">
        <f t="shared" si="56"/>
        <v>0</v>
      </c>
    </row>
    <row r="1040" spans="1:11" x14ac:dyDescent="0.2">
      <c r="A1040" s="72"/>
      <c r="B1040" s="72"/>
      <c r="C1040" s="31"/>
      <c r="D1040" s="10">
        <f t="shared" si="55"/>
        <v>0</v>
      </c>
      <c r="E1040" s="10" t="s">
        <v>3366</v>
      </c>
      <c r="F1040" s="218" t="s">
        <v>3543</v>
      </c>
      <c r="G1040" s="264" t="s">
        <v>3959</v>
      </c>
      <c r="H1040" s="237"/>
      <c r="I1040" s="10" t="s">
        <v>3343</v>
      </c>
      <c r="J1040" s="31" t="s">
        <v>11</v>
      </c>
      <c r="K1040" s="429">
        <f t="shared" si="56"/>
        <v>0</v>
      </c>
    </row>
    <row r="1041" spans="1:11" x14ac:dyDescent="0.2">
      <c r="A1041" s="72"/>
      <c r="B1041" s="72">
        <v>688</v>
      </c>
      <c r="C1041" s="31" t="s">
        <v>4759</v>
      </c>
      <c r="D1041" s="10">
        <f t="shared" si="55"/>
        <v>0</v>
      </c>
      <c r="E1041" s="10" t="s">
        <v>3366</v>
      </c>
      <c r="F1041" s="218" t="s">
        <v>3960</v>
      </c>
      <c r="G1041" s="264" t="s">
        <v>3456</v>
      </c>
      <c r="H1041" s="237"/>
      <c r="I1041" s="10" t="s">
        <v>3343</v>
      </c>
      <c r="J1041" s="31" t="s">
        <v>11</v>
      </c>
      <c r="K1041" s="429">
        <f t="shared" si="56"/>
        <v>0</v>
      </c>
    </row>
    <row r="1042" spans="1:11" x14ac:dyDescent="0.2">
      <c r="A1042" s="72"/>
      <c r="B1042" s="72">
        <v>689</v>
      </c>
      <c r="C1042" s="31" t="s">
        <v>3878</v>
      </c>
      <c r="D1042" s="10">
        <f t="shared" si="55"/>
        <v>0</v>
      </c>
      <c r="E1042" s="10" t="s">
        <v>3366</v>
      </c>
      <c r="F1042" s="218" t="s">
        <v>3946</v>
      </c>
      <c r="G1042" s="264" t="s">
        <v>3432</v>
      </c>
      <c r="H1042" s="237"/>
      <c r="I1042" s="10" t="s">
        <v>3343</v>
      </c>
      <c r="J1042" s="31" t="s">
        <v>11</v>
      </c>
      <c r="K1042" s="429">
        <f t="shared" si="56"/>
        <v>0</v>
      </c>
    </row>
    <row r="1043" spans="1:11" x14ac:dyDescent="0.2">
      <c r="A1043" s="72"/>
      <c r="B1043" s="72">
        <v>690</v>
      </c>
      <c r="C1043" s="31" t="s">
        <v>4760</v>
      </c>
      <c r="D1043" s="10">
        <f t="shared" si="55"/>
        <v>0</v>
      </c>
      <c r="E1043" s="10" t="s">
        <v>3366</v>
      </c>
      <c r="F1043" s="218" t="s">
        <v>4001</v>
      </c>
      <c r="G1043" s="264" t="s">
        <v>3741</v>
      </c>
      <c r="H1043" s="237"/>
      <c r="I1043" s="10" t="s">
        <v>3343</v>
      </c>
      <c r="J1043" s="31" t="s">
        <v>11</v>
      </c>
      <c r="K1043" s="429">
        <f t="shared" si="56"/>
        <v>0</v>
      </c>
    </row>
    <row r="1044" spans="1:11" x14ac:dyDescent="0.2">
      <c r="A1044" s="72"/>
      <c r="B1044" s="72">
        <v>691</v>
      </c>
      <c r="C1044" s="31" t="s">
        <v>4165</v>
      </c>
      <c r="D1044" s="10">
        <f t="shared" si="55"/>
        <v>0</v>
      </c>
      <c r="E1044" s="10" t="s">
        <v>3366</v>
      </c>
      <c r="F1044" s="218" t="s">
        <v>3932</v>
      </c>
      <c r="G1044" s="264" t="s">
        <v>3933</v>
      </c>
      <c r="H1044" s="237"/>
      <c r="I1044" s="10" t="s">
        <v>3343</v>
      </c>
      <c r="J1044" s="31" t="s">
        <v>11</v>
      </c>
      <c r="K1044" s="429">
        <f t="shared" si="56"/>
        <v>0</v>
      </c>
    </row>
    <row r="1045" spans="1:11" x14ac:dyDescent="0.2">
      <c r="A1045" s="72"/>
      <c r="B1045" s="72">
        <v>692</v>
      </c>
      <c r="C1045" s="31" t="s">
        <v>4761</v>
      </c>
      <c r="D1045" s="10">
        <f t="shared" si="55"/>
        <v>0</v>
      </c>
      <c r="E1045" s="10" t="s">
        <v>3366</v>
      </c>
      <c r="F1045" s="218" t="s">
        <v>3941</v>
      </c>
      <c r="G1045" s="267" t="s">
        <v>3942</v>
      </c>
      <c r="H1045" s="237"/>
      <c r="I1045" s="10" t="s">
        <v>3343</v>
      </c>
      <c r="J1045" s="31" t="s">
        <v>11</v>
      </c>
      <c r="K1045" s="429">
        <f t="shared" si="56"/>
        <v>0</v>
      </c>
    </row>
    <row r="1046" spans="1:11" x14ac:dyDescent="0.2">
      <c r="A1046" s="72"/>
      <c r="B1046" s="72">
        <v>693</v>
      </c>
      <c r="C1046" s="31" t="s">
        <v>4762</v>
      </c>
      <c r="D1046" s="10">
        <f t="shared" si="55"/>
        <v>0</v>
      </c>
      <c r="E1046" s="10" t="s">
        <v>3366</v>
      </c>
      <c r="F1046" s="218" t="s">
        <v>4016</v>
      </c>
      <c r="G1046" s="264" t="s">
        <v>4017</v>
      </c>
      <c r="H1046" s="237"/>
      <c r="I1046" s="10" t="s">
        <v>3343</v>
      </c>
      <c r="J1046" s="31" t="s">
        <v>11</v>
      </c>
      <c r="K1046" s="429">
        <f>H1046</f>
        <v>0</v>
      </c>
    </row>
    <row r="1047" spans="1:11" x14ac:dyDescent="0.2">
      <c r="A1047" s="72"/>
      <c r="B1047" s="72">
        <v>694</v>
      </c>
      <c r="C1047" s="31" t="s">
        <v>4763</v>
      </c>
      <c r="D1047" s="10">
        <f t="shared" si="55"/>
        <v>0</v>
      </c>
      <c r="E1047" s="10" t="s">
        <v>3366</v>
      </c>
      <c r="F1047" s="218" t="s">
        <v>3279</v>
      </c>
      <c r="G1047" s="264" t="s">
        <v>4043</v>
      </c>
      <c r="H1047" s="237"/>
      <c r="I1047" s="10" t="s">
        <v>3343</v>
      </c>
      <c r="J1047" s="31" t="s">
        <v>11</v>
      </c>
      <c r="K1047" s="429">
        <f>H1047</f>
        <v>0</v>
      </c>
    </row>
    <row r="1048" spans="1:11" x14ac:dyDescent="0.2">
      <c r="A1048" s="72"/>
      <c r="B1048" s="72">
        <v>695</v>
      </c>
      <c r="C1048" s="31" t="s">
        <v>3997</v>
      </c>
      <c r="D1048" s="10">
        <f t="shared" si="55"/>
        <v>0</v>
      </c>
      <c r="E1048" s="10" t="s">
        <v>3366</v>
      </c>
      <c r="F1048" s="218" t="s">
        <v>3939</v>
      </c>
      <c r="G1048" s="267" t="s">
        <v>3940</v>
      </c>
      <c r="H1048" s="237"/>
      <c r="I1048" s="10" t="s">
        <v>3343</v>
      </c>
      <c r="J1048" s="31" t="s">
        <v>11</v>
      </c>
      <c r="K1048" s="429">
        <f>H1048</f>
        <v>0</v>
      </c>
    </row>
    <row r="1049" spans="1:11" x14ac:dyDescent="0.2">
      <c r="A1049" s="72" t="s">
        <v>3261</v>
      </c>
      <c r="B1049" s="72">
        <v>696</v>
      </c>
      <c r="C1049" s="31" t="s">
        <v>4764</v>
      </c>
      <c r="D1049" s="10" t="str">
        <f t="shared" si="55"/>
        <v>30 Sept</v>
      </c>
      <c r="E1049" s="10" t="s">
        <v>3366</v>
      </c>
      <c r="F1049" s="218" t="s">
        <v>3989</v>
      </c>
      <c r="G1049" s="267" t="s">
        <v>3990</v>
      </c>
      <c r="H1049" s="237"/>
      <c r="I1049" s="10" t="s">
        <v>3343</v>
      </c>
      <c r="J1049" s="31" t="s">
        <v>11</v>
      </c>
      <c r="K1049" s="429">
        <f t="shared" ref="K1049:K1052" si="57">H1049</f>
        <v>0</v>
      </c>
    </row>
    <row r="1050" spans="1:11" x14ac:dyDescent="0.2">
      <c r="A1050" s="72"/>
      <c r="B1050" s="72">
        <v>697</v>
      </c>
      <c r="C1050" s="31" t="s">
        <v>4765</v>
      </c>
      <c r="D1050" s="10">
        <f t="shared" si="55"/>
        <v>0</v>
      </c>
      <c r="E1050" s="10" t="s">
        <v>3366</v>
      </c>
      <c r="F1050" s="218" t="s">
        <v>4766</v>
      </c>
      <c r="G1050" s="267" t="s">
        <v>4767</v>
      </c>
      <c r="H1050" s="237"/>
      <c r="I1050" s="10" t="s">
        <v>3343</v>
      </c>
      <c r="J1050" s="31" t="s">
        <v>11</v>
      </c>
      <c r="K1050" s="429">
        <f t="shared" si="57"/>
        <v>0</v>
      </c>
    </row>
    <row r="1051" spans="1:11" x14ac:dyDescent="0.2">
      <c r="A1051" s="72"/>
      <c r="B1051" s="72">
        <v>698</v>
      </c>
      <c r="C1051" s="31" t="s">
        <v>4768</v>
      </c>
      <c r="D1051" s="10">
        <f t="shared" si="55"/>
        <v>0</v>
      </c>
      <c r="E1051" s="10" t="s">
        <v>3366</v>
      </c>
      <c r="F1051" s="218" t="s">
        <v>4766</v>
      </c>
      <c r="G1051" s="267" t="s">
        <v>4767</v>
      </c>
      <c r="H1051" s="237"/>
      <c r="I1051" s="10" t="s">
        <v>3343</v>
      </c>
      <c r="J1051" s="31" t="s">
        <v>11</v>
      </c>
      <c r="K1051" s="429">
        <f t="shared" si="57"/>
        <v>0</v>
      </c>
    </row>
    <row r="1052" spans="1:11" x14ac:dyDescent="0.2">
      <c r="A1052" s="72"/>
      <c r="B1052" s="72">
        <v>699</v>
      </c>
      <c r="C1052" s="31" t="s">
        <v>4769</v>
      </c>
      <c r="D1052" s="10">
        <f t="shared" si="55"/>
        <v>0</v>
      </c>
      <c r="E1052" s="10" t="s">
        <v>3366</v>
      </c>
      <c r="F1052" s="218" t="s">
        <v>4766</v>
      </c>
      <c r="G1052" s="267" t="s">
        <v>4767</v>
      </c>
      <c r="H1052" s="237"/>
      <c r="I1052" s="10" t="s">
        <v>3343</v>
      </c>
      <c r="J1052" s="31" t="s">
        <v>11</v>
      </c>
      <c r="K1052" s="429">
        <f t="shared" si="57"/>
        <v>0</v>
      </c>
    </row>
    <row r="1053" spans="1:11" x14ac:dyDescent="0.2">
      <c r="A1053" s="72"/>
      <c r="B1053" s="72">
        <v>700</v>
      </c>
      <c r="C1053" s="31" t="s">
        <v>4770</v>
      </c>
      <c r="D1053" s="10">
        <f t="shared" si="55"/>
        <v>0</v>
      </c>
      <c r="E1053" s="10" t="s">
        <v>3366</v>
      </c>
      <c r="F1053" s="218" t="s">
        <v>4002</v>
      </c>
      <c r="G1053" s="264" t="s">
        <v>3505</v>
      </c>
      <c r="H1053" s="237"/>
      <c r="I1053" s="10" t="s">
        <v>3343</v>
      </c>
      <c r="J1053" s="31" t="s">
        <v>11</v>
      </c>
      <c r="K1053" s="429">
        <f t="shared" si="56"/>
        <v>0</v>
      </c>
    </row>
    <row r="1054" spans="1:11" x14ac:dyDescent="0.2">
      <c r="A1054" s="72"/>
      <c r="B1054" s="72">
        <v>701</v>
      </c>
      <c r="C1054" s="31" t="s">
        <v>4771</v>
      </c>
      <c r="D1054" s="10">
        <f t="shared" si="55"/>
        <v>0</v>
      </c>
      <c r="E1054" s="10" t="s">
        <v>3366</v>
      </c>
      <c r="F1054" s="218" t="s">
        <v>4002</v>
      </c>
      <c r="G1054" s="264" t="s">
        <v>3505</v>
      </c>
      <c r="H1054" s="237"/>
      <c r="I1054" s="10" t="s">
        <v>3343</v>
      </c>
      <c r="J1054" s="31" t="s">
        <v>11</v>
      </c>
      <c r="K1054" s="429">
        <f t="shared" si="56"/>
        <v>0</v>
      </c>
    </row>
    <row r="1055" spans="1:11" ht="12" x14ac:dyDescent="0.2">
      <c r="A1055" s="658" t="s">
        <v>3556</v>
      </c>
      <c r="B1055" s="659"/>
      <c r="C1055" s="659"/>
      <c r="D1055" s="659"/>
      <c r="E1055" s="659"/>
      <c r="F1055" s="659"/>
      <c r="G1055" s="660"/>
      <c r="H1055" s="435">
        <f>SUM(H953:H1054)</f>
        <v>0</v>
      </c>
      <c r="I1055" s="692" t="s">
        <v>3556</v>
      </c>
      <c r="J1055" s="692"/>
      <c r="K1055" s="435">
        <f>SUM(K953:K1054)</f>
        <v>0</v>
      </c>
    </row>
    <row r="1056" spans="1:11" ht="12" x14ac:dyDescent="0.2">
      <c r="A1056" s="658" t="s">
        <v>3557</v>
      </c>
      <c r="B1056" s="659"/>
      <c r="C1056" s="659"/>
      <c r="D1056" s="659"/>
      <c r="E1056" s="659"/>
      <c r="F1056" s="659"/>
      <c r="G1056" s="660"/>
      <c r="H1056" s="435">
        <f>H896</f>
        <v>0</v>
      </c>
      <c r="I1056" s="692" t="s">
        <v>3557</v>
      </c>
      <c r="J1056" s="692"/>
      <c r="K1056" s="435">
        <f>K896</f>
        <v>0</v>
      </c>
    </row>
    <row r="1057" spans="1:11" ht="12.75" thickBot="1" x14ac:dyDescent="0.25">
      <c r="A1057" s="640" t="s">
        <v>3558</v>
      </c>
      <c r="B1057" s="641"/>
      <c r="C1057" s="641"/>
      <c r="D1057" s="641"/>
      <c r="E1057" s="641"/>
      <c r="F1057" s="641"/>
      <c r="G1057" s="642"/>
      <c r="H1057" s="436">
        <f>SUM(H1055:H1056)</f>
        <v>0</v>
      </c>
      <c r="I1057" s="693" t="s">
        <v>3558</v>
      </c>
      <c r="J1057" s="693"/>
      <c r="K1057" s="436">
        <f>SUM(K1055:K1056)</f>
        <v>0</v>
      </c>
    </row>
    <row r="1058" spans="1:11" x14ac:dyDescent="0.2">
      <c r="A1058" s="240"/>
      <c r="B1058" s="240"/>
      <c r="C1058" s="240"/>
      <c r="D1058" s="240"/>
      <c r="E1058" s="240"/>
      <c r="F1058" s="240"/>
      <c r="G1058" s="240"/>
      <c r="H1058" s="433"/>
      <c r="I1058" s="433"/>
      <c r="J1058" s="433"/>
      <c r="K1058" s="433"/>
    </row>
    <row r="1060" spans="1:11" ht="12" x14ac:dyDescent="0.2">
      <c r="A1060" s="260"/>
      <c r="B1060" s="260"/>
      <c r="C1060" s="260"/>
      <c r="D1060" s="260"/>
      <c r="E1060" s="304"/>
      <c r="F1060" s="304"/>
      <c r="G1060" s="260"/>
      <c r="H1060" s="434"/>
      <c r="I1060" s="691" t="s">
        <v>3537</v>
      </c>
      <c r="J1060" s="691"/>
      <c r="K1060" s="691"/>
    </row>
    <row r="1061" spans="1:11" ht="12" x14ac:dyDescent="0.2">
      <c r="A1061" s="260"/>
      <c r="B1061" s="260"/>
      <c r="C1061" s="260"/>
      <c r="D1061" s="260"/>
      <c r="E1061" s="304"/>
      <c r="F1061" s="304"/>
      <c r="G1061" s="260"/>
      <c r="H1061" s="444"/>
      <c r="I1061" s="691" t="s">
        <v>3788</v>
      </c>
      <c r="J1061" s="691"/>
      <c r="K1061" s="691"/>
    </row>
    <row r="1062" spans="1:11" ht="11.25" customHeight="1" x14ac:dyDescent="0.2">
      <c r="A1062" s="260"/>
      <c r="B1062" s="260"/>
      <c r="C1062" s="260"/>
      <c r="D1062" s="260"/>
      <c r="E1062" s="304"/>
      <c r="F1062" s="304"/>
      <c r="G1062" s="260"/>
      <c r="H1062" s="444"/>
      <c r="I1062" s="691"/>
      <c r="J1062" s="691"/>
      <c r="K1062" s="691"/>
    </row>
    <row r="1063" spans="1:11" ht="12" x14ac:dyDescent="0.2">
      <c r="A1063" s="260"/>
      <c r="B1063" s="260"/>
      <c r="C1063" s="260"/>
      <c r="D1063" s="260"/>
      <c r="E1063" s="304"/>
      <c r="F1063" s="304"/>
      <c r="G1063" s="260"/>
      <c r="H1063" s="270"/>
      <c r="I1063" s="691"/>
      <c r="J1063" s="691"/>
      <c r="K1063" s="691"/>
    </row>
    <row r="1064" spans="1:11" ht="12" x14ac:dyDescent="0.2">
      <c r="A1064" s="260"/>
      <c r="B1064" s="260"/>
      <c r="C1064" s="260"/>
      <c r="D1064" s="260"/>
      <c r="E1064" s="304"/>
      <c r="F1064" s="304"/>
      <c r="G1064" s="260" t="s">
        <v>3569</v>
      </c>
      <c r="H1064" s="270">
        <f>375000+750000+44955000+1798000+15632741+77843608+375000+2700000+35839400+584000+18030000+22966716+332600116+20835697+62906767+190000</f>
        <v>638382045</v>
      </c>
      <c r="I1064" s="691" t="s">
        <v>3538</v>
      </c>
      <c r="J1064" s="691"/>
      <c r="K1064" s="691"/>
    </row>
    <row r="1065" spans="1:11" x14ac:dyDescent="0.2">
      <c r="G1065" s="437"/>
      <c r="H1065" s="498">
        <f>H1064-H1055</f>
        <v>638382045</v>
      </c>
      <c r="I1065" s="626"/>
      <c r="J1065" s="626"/>
      <c r="K1065" s="626"/>
    </row>
    <row r="1097" spans="1:11" ht="12.75" x14ac:dyDescent="0.2">
      <c r="A1097" s="428" t="s">
        <v>3747</v>
      </c>
      <c r="B1097" s="305"/>
      <c r="C1097" s="143"/>
      <c r="D1097" s="305"/>
      <c r="E1097" s="305"/>
      <c r="F1097" s="305"/>
      <c r="G1097" s="143"/>
      <c r="H1097" s="143"/>
      <c r="I1097" s="305"/>
      <c r="J1097" s="143"/>
      <c r="K1097" s="143"/>
    </row>
    <row r="1098" spans="1:11" ht="12.75" x14ac:dyDescent="0.2">
      <c r="A1098" s="428" t="s">
        <v>3748</v>
      </c>
      <c r="B1098" s="305"/>
      <c r="C1098" s="143"/>
      <c r="D1098" s="305"/>
      <c r="E1098" s="305"/>
      <c r="F1098" s="305"/>
      <c r="G1098" s="143"/>
      <c r="H1098" s="143"/>
      <c r="I1098" s="305"/>
      <c r="J1098" s="143"/>
      <c r="K1098" s="143"/>
    </row>
    <row r="1099" spans="1:11" ht="12.75" x14ac:dyDescent="0.2">
      <c r="A1099" s="687" t="s">
        <v>3345</v>
      </c>
      <c r="B1099" s="687"/>
      <c r="C1099" s="687"/>
      <c r="D1099" s="687"/>
      <c r="E1099" s="687"/>
      <c r="F1099" s="687"/>
      <c r="G1099" s="687"/>
      <c r="H1099" s="687"/>
      <c r="I1099" s="687"/>
      <c r="J1099" s="687"/>
      <c r="K1099" s="687"/>
    </row>
    <row r="1100" spans="1:11" ht="12.75" x14ac:dyDescent="0.2">
      <c r="A1100" s="687" t="s">
        <v>3583</v>
      </c>
      <c r="B1100" s="687"/>
      <c r="C1100" s="687"/>
      <c r="D1100" s="687"/>
      <c r="E1100" s="687"/>
      <c r="F1100" s="687"/>
      <c r="G1100" s="687"/>
      <c r="H1100" s="687"/>
      <c r="I1100" s="687"/>
      <c r="J1100" s="687"/>
      <c r="K1100" s="687"/>
    </row>
    <row r="1101" spans="1:11" x14ac:dyDescent="0.2">
      <c r="A1101" s="18"/>
      <c r="B1101" s="18"/>
      <c r="C1101" s="18"/>
      <c r="D1101" s="18"/>
      <c r="E1101" s="18"/>
      <c r="F1101" s="18"/>
      <c r="G1101" s="18"/>
      <c r="H1101" s="18"/>
      <c r="I1101" s="18"/>
      <c r="J1101" s="18"/>
      <c r="K1101" s="18"/>
    </row>
    <row r="1102" spans="1:11" x14ac:dyDescent="0.2">
      <c r="A1102" s="678" t="s">
        <v>3346</v>
      </c>
      <c r="B1102" s="679"/>
      <c r="C1102" s="680" t="s">
        <v>13</v>
      </c>
      <c r="D1102" s="678" t="s">
        <v>3347</v>
      </c>
      <c r="E1102" s="679"/>
      <c r="F1102" s="688" t="s">
        <v>90</v>
      </c>
      <c r="G1102" s="689"/>
      <c r="H1102" s="690"/>
      <c r="I1102" s="688" t="s">
        <v>10</v>
      </c>
      <c r="J1102" s="689"/>
      <c r="K1102" s="690"/>
    </row>
    <row r="1103" spans="1:11" x14ac:dyDescent="0.2">
      <c r="A1103" s="680" t="s">
        <v>12</v>
      </c>
      <c r="B1103" s="680" t="s">
        <v>21</v>
      </c>
      <c r="C1103" s="681"/>
      <c r="D1103" s="665" t="s">
        <v>12</v>
      </c>
      <c r="E1103" s="665" t="s">
        <v>3348</v>
      </c>
      <c r="F1103" s="665" t="s">
        <v>3285</v>
      </c>
      <c r="G1103" s="665" t="s">
        <v>3282</v>
      </c>
      <c r="H1103" s="665" t="s">
        <v>3539</v>
      </c>
      <c r="I1103" s="665" t="s">
        <v>3285</v>
      </c>
      <c r="J1103" s="665" t="s">
        <v>3282</v>
      </c>
      <c r="K1103" s="665" t="s">
        <v>3539</v>
      </c>
    </row>
    <row r="1104" spans="1:11" x14ac:dyDescent="0.2">
      <c r="A1104" s="682"/>
      <c r="B1104" s="682"/>
      <c r="C1104" s="682"/>
      <c r="D1104" s="667"/>
      <c r="E1104" s="667"/>
      <c r="F1104" s="667"/>
      <c r="G1104" s="667"/>
      <c r="H1104" s="667"/>
      <c r="I1104" s="667"/>
      <c r="J1104" s="667"/>
      <c r="K1104" s="667"/>
    </row>
    <row r="1105" spans="1:11" x14ac:dyDescent="0.2">
      <c r="A1105" s="72" t="s">
        <v>4900</v>
      </c>
      <c r="B1105" s="72">
        <v>702</v>
      </c>
      <c r="C1105" s="31" t="s">
        <v>4901</v>
      </c>
      <c r="D1105" s="10" t="str">
        <f t="shared" ref="D1105:D1168" si="58">A1105</f>
        <v>10 Okt</v>
      </c>
      <c r="E1105" s="10" t="s">
        <v>3366</v>
      </c>
      <c r="F1105" s="218" t="s">
        <v>4013</v>
      </c>
      <c r="G1105" s="264" t="s">
        <v>4052</v>
      </c>
      <c r="H1105" s="237"/>
      <c r="I1105" s="10" t="s">
        <v>3343</v>
      </c>
      <c r="J1105" s="31" t="s">
        <v>11</v>
      </c>
      <c r="K1105" s="429">
        <f t="shared" ref="K1105:K1168" si="59">H1105</f>
        <v>0</v>
      </c>
    </row>
    <row r="1106" spans="1:11" x14ac:dyDescent="0.2">
      <c r="A1106" s="72"/>
      <c r="B1106" s="72">
        <v>703</v>
      </c>
      <c r="C1106" s="31" t="s">
        <v>4902</v>
      </c>
      <c r="D1106" s="10">
        <f t="shared" si="58"/>
        <v>0</v>
      </c>
      <c r="E1106" s="10" t="s">
        <v>3366</v>
      </c>
      <c r="F1106" s="218" t="s">
        <v>3969</v>
      </c>
      <c r="G1106" s="264" t="s">
        <v>3970</v>
      </c>
      <c r="H1106" s="237"/>
      <c r="I1106" s="10" t="s">
        <v>3343</v>
      </c>
      <c r="J1106" s="31" t="s">
        <v>11</v>
      </c>
      <c r="K1106" s="429">
        <f t="shared" si="59"/>
        <v>0</v>
      </c>
    </row>
    <row r="1107" spans="1:11" x14ac:dyDescent="0.2">
      <c r="A1107" s="72" t="s">
        <v>4903</v>
      </c>
      <c r="B1107" s="72">
        <v>704</v>
      </c>
      <c r="C1107" s="31" t="s">
        <v>4904</v>
      </c>
      <c r="D1107" s="10" t="str">
        <f t="shared" si="58"/>
        <v>13 Okt</v>
      </c>
      <c r="E1107" s="10" t="s">
        <v>3366</v>
      </c>
      <c r="F1107" s="218" t="s">
        <v>3935</v>
      </c>
      <c r="G1107" s="264" t="s">
        <v>3406</v>
      </c>
      <c r="H1107" s="237"/>
      <c r="I1107" s="10" t="s">
        <v>3343</v>
      </c>
      <c r="J1107" s="31" t="s">
        <v>11</v>
      </c>
      <c r="K1107" s="429">
        <f t="shared" si="59"/>
        <v>0</v>
      </c>
    </row>
    <row r="1108" spans="1:11" x14ac:dyDescent="0.2">
      <c r="A1108" s="72"/>
      <c r="B1108" s="72">
        <v>705</v>
      </c>
      <c r="C1108" s="31" t="s">
        <v>4435</v>
      </c>
      <c r="D1108" s="10">
        <f t="shared" si="58"/>
        <v>0</v>
      </c>
      <c r="E1108" s="10" t="s">
        <v>3366</v>
      </c>
      <c r="F1108" s="218" t="s">
        <v>3939</v>
      </c>
      <c r="G1108" s="264" t="s">
        <v>3940</v>
      </c>
      <c r="H1108" s="237"/>
      <c r="I1108" s="10" t="s">
        <v>3343</v>
      </c>
      <c r="J1108" s="31" t="s">
        <v>11</v>
      </c>
      <c r="K1108" s="429">
        <f t="shared" si="59"/>
        <v>0</v>
      </c>
    </row>
    <row r="1109" spans="1:11" x14ac:dyDescent="0.2">
      <c r="A1109" s="72"/>
      <c r="B1109" s="72">
        <v>706</v>
      </c>
      <c r="C1109" s="31" t="s">
        <v>4905</v>
      </c>
      <c r="D1109" s="10">
        <f t="shared" si="58"/>
        <v>0</v>
      </c>
      <c r="E1109" s="10" t="s">
        <v>3366</v>
      </c>
      <c r="F1109" s="218" t="s">
        <v>3390</v>
      </c>
      <c r="G1109" s="264" t="s">
        <v>3943</v>
      </c>
      <c r="H1109" s="237"/>
      <c r="I1109" s="10" t="s">
        <v>3343</v>
      </c>
      <c r="J1109" s="31" t="s">
        <v>11</v>
      </c>
      <c r="K1109" s="429">
        <f t="shared" si="59"/>
        <v>0</v>
      </c>
    </row>
    <row r="1110" spans="1:11" x14ac:dyDescent="0.2">
      <c r="A1110" s="72"/>
      <c r="B1110" s="72">
        <v>707</v>
      </c>
      <c r="C1110" s="31" t="s">
        <v>4906</v>
      </c>
      <c r="D1110" s="10">
        <f t="shared" si="58"/>
        <v>0</v>
      </c>
      <c r="E1110" s="10" t="s">
        <v>3366</v>
      </c>
      <c r="F1110" s="218" t="s">
        <v>4002</v>
      </c>
      <c r="G1110" s="264" t="s">
        <v>3505</v>
      </c>
      <c r="H1110" s="237"/>
      <c r="I1110" s="10" t="s">
        <v>3343</v>
      </c>
      <c r="J1110" s="31" t="s">
        <v>11</v>
      </c>
      <c r="K1110" s="429">
        <f t="shared" si="59"/>
        <v>0</v>
      </c>
    </row>
    <row r="1111" spans="1:11" x14ac:dyDescent="0.2">
      <c r="A1111" s="72" t="s">
        <v>4907</v>
      </c>
      <c r="B1111" s="72">
        <v>708</v>
      </c>
      <c r="C1111" s="31" t="s">
        <v>3841</v>
      </c>
      <c r="D1111" s="10" t="str">
        <f t="shared" si="58"/>
        <v>14 Okt</v>
      </c>
      <c r="E1111" s="10" t="s">
        <v>3366</v>
      </c>
      <c r="F1111" s="218" t="s">
        <v>3924</v>
      </c>
      <c r="G1111" s="264" t="s">
        <v>3410</v>
      </c>
      <c r="H1111" s="237"/>
      <c r="I1111" s="10" t="s">
        <v>3343</v>
      </c>
      <c r="J1111" s="31" t="s">
        <v>11</v>
      </c>
      <c r="K1111" s="429">
        <f t="shared" si="59"/>
        <v>0</v>
      </c>
    </row>
    <row r="1112" spans="1:11" x14ac:dyDescent="0.2">
      <c r="A1112" s="72"/>
      <c r="B1112" s="72">
        <v>709</v>
      </c>
      <c r="C1112" s="31" t="s">
        <v>3842</v>
      </c>
      <c r="D1112" s="10">
        <f t="shared" si="58"/>
        <v>0</v>
      </c>
      <c r="E1112" s="10" t="s">
        <v>3366</v>
      </c>
      <c r="F1112" s="218" t="s">
        <v>3924</v>
      </c>
      <c r="G1112" s="264" t="s">
        <v>3410</v>
      </c>
      <c r="H1112" s="237"/>
      <c r="I1112" s="10" t="s">
        <v>3343</v>
      </c>
      <c r="J1112" s="31" t="s">
        <v>11</v>
      </c>
      <c r="K1112" s="429">
        <f t="shared" si="59"/>
        <v>0</v>
      </c>
    </row>
    <row r="1113" spans="1:11" x14ac:dyDescent="0.2">
      <c r="A1113" s="72"/>
      <c r="B1113" s="72">
        <v>710</v>
      </c>
      <c r="C1113" s="31" t="s">
        <v>3843</v>
      </c>
      <c r="D1113" s="10">
        <f t="shared" si="58"/>
        <v>0</v>
      </c>
      <c r="E1113" s="10" t="s">
        <v>3366</v>
      </c>
      <c r="F1113" s="218" t="s">
        <v>3924</v>
      </c>
      <c r="G1113" s="264" t="s">
        <v>3410</v>
      </c>
      <c r="H1113" s="237"/>
      <c r="I1113" s="10" t="s">
        <v>3343</v>
      </c>
      <c r="J1113" s="31" t="s">
        <v>11</v>
      </c>
      <c r="K1113" s="429">
        <f t="shared" si="59"/>
        <v>0</v>
      </c>
    </row>
    <row r="1114" spans="1:11" x14ac:dyDescent="0.2">
      <c r="A1114" s="72"/>
      <c r="B1114" s="72">
        <v>711</v>
      </c>
      <c r="C1114" s="31" t="s">
        <v>3996</v>
      </c>
      <c r="D1114" s="10">
        <f t="shared" si="58"/>
        <v>0</v>
      </c>
      <c r="E1114" s="10" t="s">
        <v>3366</v>
      </c>
      <c r="F1114" s="218" t="s">
        <v>3390</v>
      </c>
      <c r="G1114" s="264" t="s">
        <v>3943</v>
      </c>
      <c r="H1114" s="237"/>
      <c r="I1114" s="10" t="s">
        <v>3343</v>
      </c>
      <c r="J1114" s="31" t="s">
        <v>11</v>
      </c>
      <c r="K1114" s="429">
        <f t="shared" si="59"/>
        <v>0</v>
      </c>
    </row>
    <row r="1115" spans="1:11" x14ac:dyDescent="0.2">
      <c r="A1115" s="72"/>
      <c r="B1115" s="72">
        <v>712</v>
      </c>
      <c r="C1115" s="31" t="s">
        <v>4908</v>
      </c>
      <c r="D1115" s="10">
        <f t="shared" si="58"/>
        <v>0</v>
      </c>
      <c r="E1115" s="10" t="s">
        <v>3366</v>
      </c>
      <c r="F1115" s="218" t="s">
        <v>3922</v>
      </c>
      <c r="G1115" s="264" t="s">
        <v>3984</v>
      </c>
      <c r="H1115" s="237"/>
      <c r="I1115" s="10" t="s">
        <v>3343</v>
      </c>
      <c r="J1115" s="31" t="s">
        <v>11</v>
      </c>
      <c r="K1115" s="429">
        <f t="shared" si="59"/>
        <v>0</v>
      </c>
    </row>
    <row r="1116" spans="1:11" x14ac:dyDescent="0.2">
      <c r="A1116" s="72"/>
      <c r="B1116" s="72">
        <v>713</v>
      </c>
      <c r="C1116" s="31" t="s">
        <v>4033</v>
      </c>
      <c r="D1116" s="10">
        <f t="shared" si="58"/>
        <v>0</v>
      </c>
      <c r="E1116" s="10" t="s">
        <v>3366</v>
      </c>
      <c r="F1116" s="218" t="s">
        <v>3384</v>
      </c>
      <c r="G1116" s="264" t="s">
        <v>3940</v>
      </c>
      <c r="H1116" s="237"/>
      <c r="I1116" s="10" t="s">
        <v>3343</v>
      </c>
      <c r="J1116" s="31" t="s">
        <v>11</v>
      </c>
      <c r="K1116" s="429">
        <f t="shared" si="59"/>
        <v>0</v>
      </c>
    </row>
    <row r="1117" spans="1:11" x14ac:dyDescent="0.2">
      <c r="A1117" s="72"/>
      <c r="B1117" s="72">
        <v>714</v>
      </c>
      <c r="C1117" s="31" t="s">
        <v>4909</v>
      </c>
      <c r="D1117" s="10">
        <f t="shared" si="58"/>
        <v>0</v>
      </c>
      <c r="E1117" s="10" t="s">
        <v>3366</v>
      </c>
      <c r="F1117" s="218" t="s">
        <v>4044</v>
      </c>
      <c r="G1117" s="264" t="s">
        <v>4045</v>
      </c>
      <c r="H1117" s="237"/>
      <c r="I1117" s="10" t="s">
        <v>3343</v>
      </c>
      <c r="J1117" s="31" t="s">
        <v>11</v>
      </c>
      <c r="K1117" s="429">
        <f t="shared" si="59"/>
        <v>0</v>
      </c>
    </row>
    <row r="1118" spans="1:11" x14ac:dyDescent="0.2">
      <c r="A1118" s="72"/>
      <c r="B1118" s="72">
        <v>715</v>
      </c>
      <c r="C1118" s="31" t="s">
        <v>4910</v>
      </c>
      <c r="D1118" s="10">
        <f t="shared" si="58"/>
        <v>0</v>
      </c>
      <c r="E1118" s="10" t="s">
        <v>3366</v>
      </c>
      <c r="F1118" s="218" t="s">
        <v>3944</v>
      </c>
      <c r="G1118" s="264" t="s">
        <v>3945</v>
      </c>
      <c r="H1118" s="237"/>
      <c r="I1118" s="10" t="s">
        <v>3343</v>
      </c>
      <c r="J1118" s="31" t="s">
        <v>11</v>
      </c>
      <c r="K1118" s="429">
        <f t="shared" si="59"/>
        <v>0</v>
      </c>
    </row>
    <row r="1119" spans="1:11" x14ac:dyDescent="0.2">
      <c r="A1119" s="72"/>
      <c r="B1119" s="72">
        <v>716</v>
      </c>
      <c r="C1119" s="31" t="s">
        <v>4144</v>
      </c>
      <c r="D1119" s="10">
        <f t="shared" si="58"/>
        <v>0</v>
      </c>
      <c r="E1119" s="10" t="s">
        <v>3366</v>
      </c>
      <c r="F1119" s="218" t="s">
        <v>3921</v>
      </c>
      <c r="G1119" s="264" t="s">
        <v>3402</v>
      </c>
      <c r="H1119" s="237"/>
      <c r="I1119" s="10" t="s">
        <v>3343</v>
      </c>
      <c r="J1119" s="31" t="s">
        <v>11</v>
      </c>
      <c r="K1119" s="429">
        <f t="shared" si="59"/>
        <v>0</v>
      </c>
    </row>
    <row r="1120" spans="1:11" x14ac:dyDescent="0.2">
      <c r="A1120" s="72" t="s">
        <v>4911</v>
      </c>
      <c r="B1120" s="72">
        <v>717</v>
      </c>
      <c r="C1120" s="31" t="s">
        <v>4912</v>
      </c>
      <c r="D1120" s="10" t="str">
        <f t="shared" si="58"/>
        <v>15 Okt</v>
      </c>
      <c r="E1120" s="10" t="s">
        <v>3366</v>
      </c>
      <c r="F1120" s="218" t="s">
        <v>3925</v>
      </c>
      <c r="G1120" s="264" t="s">
        <v>3926</v>
      </c>
      <c r="H1120" s="237"/>
      <c r="I1120" s="10" t="s">
        <v>3343</v>
      </c>
      <c r="J1120" s="31" t="s">
        <v>11</v>
      </c>
      <c r="K1120" s="429">
        <f t="shared" si="59"/>
        <v>0</v>
      </c>
    </row>
    <row r="1121" spans="1:11" x14ac:dyDescent="0.2">
      <c r="A1121" s="72"/>
      <c r="B1121" s="72"/>
      <c r="C1121" s="31"/>
      <c r="D1121" s="10">
        <f t="shared" si="58"/>
        <v>0</v>
      </c>
      <c r="E1121" s="10" t="s">
        <v>3366</v>
      </c>
      <c r="F1121" s="218" t="s">
        <v>3520</v>
      </c>
      <c r="G1121" s="264" t="s">
        <v>3928</v>
      </c>
      <c r="H1121" s="237"/>
      <c r="I1121" s="10" t="s">
        <v>3343</v>
      </c>
      <c r="J1121" s="31" t="s">
        <v>11</v>
      </c>
      <c r="K1121" s="429">
        <f t="shared" si="59"/>
        <v>0</v>
      </c>
    </row>
    <row r="1122" spans="1:11" x14ac:dyDescent="0.2">
      <c r="A1122" s="72"/>
      <c r="B1122" s="72"/>
      <c r="C1122" s="265"/>
      <c r="D1122" s="10">
        <f t="shared" si="58"/>
        <v>0</v>
      </c>
      <c r="E1122" s="10" t="s">
        <v>3366</v>
      </c>
      <c r="F1122" s="218" t="s">
        <v>3543</v>
      </c>
      <c r="G1122" s="267" t="s">
        <v>3927</v>
      </c>
      <c r="H1122" s="237"/>
      <c r="I1122" s="10" t="s">
        <v>3343</v>
      </c>
      <c r="J1122" s="31" t="s">
        <v>11</v>
      </c>
      <c r="K1122" s="429">
        <f t="shared" si="59"/>
        <v>0</v>
      </c>
    </row>
    <row r="1123" spans="1:11" x14ac:dyDescent="0.2">
      <c r="A1123" s="72"/>
      <c r="B1123" s="72">
        <v>718</v>
      </c>
      <c r="C1123" s="265" t="s">
        <v>4144</v>
      </c>
      <c r="D1123" s="10">
        <f t="shared" si="58"/>
        <v>0</v>
      </c>
      <c r="E1123" s="10" t="s">
        <v>3366</v>
      </c>
      <c r="F1123" s="218" t="s">
        <v>3921</v>
      </c>
      <c r="G1123" s="267" t="s">
        <v>3402</v>
      </c>
      <c r="H1123" s="237"/>
      <c r="I1123" s="10" t="s">
        <v>3343</v>
      </c>
      <c r="J1123" s="31" t="s">
        <v>11</v>
      </c>
      <c r="K1123" s="429">
        <f t="shared" si="59"/>
        <v>0</v>
      </c>
    </row>
    <row r="1124" spans="1:11" x14ac:dyDescent="0.2">
      <c r="A1124" s="72"/>
      <c r="B1124" s="72">
        <v>719</v>
      </c>
      <c r="C1124" s="265" t="s">
        <v>3845</v>
      </c>
      <c r="D1124" s="10">
        <f t="shared" si="58"/>
        <v>0</v>
      </c>
      <c r="E1124" s="10" t="s">
        <v>3366</v>
      </c>
      <c r="F1124" s="218" t="s">
        <v>3929</v>
      </c>
      <c r="G1124" s="267" t="s">
        <v>3930</v>
      </c>
      <c r="H1124" s="237"/>
      <c r="I1124" s="10" t="s">
        <v>3343</v>
      </c>
      <c r="J1124" s="31" t="s">
        <v>11</v>
      </c>
      <c r="K1124" s="429">
        <f t="shared" si="59"/>
        <v>0</v>
      </c>
    </row>
    <row r="1125" spans="1:11" x14ac:dyDescent="0.2">
      <c r="A1125" s="72"/>
      <c r="B1125" s="72">
        <v>720</v>
      </c>
      <c r="C1125" s="265" t="s">
        <v>4913</v>
      </c>
      <c r="D1125" s="10">
        <f t="shared" si="58"/>
        <v>0</v>
      </c>
      <c r="E1125" s="10" t="s">
        <v>3366</v>
      </c>
      <c r="F1125" s="218" t="s">
        <v>3922</v>
      </c>
      <c r="G1125" s="267" t="s">
        <v>3984</v>
      </c>
      <c r="H1125" s="237"/>
      <c r="I1125" s="10" t="s">
        <v>3343</v>
      </c>
      <c r="J1125" s="31" t="s">
        <v>11</v>
      </c>
      <c r="K1125" s="429">
        <f t="shared" si="59"/>
        <v>0</v>
      </c>
    </row>
    <row r="1126" spans="1:11" x14ac:dyDescent="0.2">
      <c r="A1126" s="72" t="s">
        <v>4914</v>
      </c>
      <c r="B1126" s="72">
        <v>721</v>
      </c>
      <c r="C1126" s="31" t="s">
        <v>4915</v>
      </c>
      <c r="D1126" s="10" t="str">
        <f t="shared" si="58"/>
        <v>16 Okt</v>
      </c>
      <c r="E1126" s="10" t="s">
        <v>3366</v>
      </c>
      <c r="F1126" s="218" t="s">
        <v>3944</v>
      </c>
      <c r="G1126" s="267" t="s">
        <v>3945</v>
      </c>
      <c r="H1126" s="237"/>
      <c r="I1126" s="10" t="s">
        <v>3343</v>
      </c>
      <c r="J1126" s="31" t="s">
        <v>11</v>
      </c>
      <c r="K1126" s="429">
        <f t="shared" si="59"/>
        <v>0</v>
      </c>
    </row>
    <row r="1127" spans="1:11" x14ac:dyDescent="0.2">
      <c r="A1127" s="72" t="s">
        <v>3791</v>
      </c>
      <c r="B1127" s="72">
        <v>722</v>
      </c>
      <c r="C1127" s="31" t="s">
        <v>4916</v>
      </c>
      <c r="D1127" s="10" t="str">
        <f t="shared" si="58"/>
        <v>17 Okt</v>
      </c>
      <c r="E1127" s="10" t="s">
        <v>3366</v>
      </c>
      <c r="F1127" s="218" t="s">
        <v>3921</v>
      </c>
      <c r="G1127" s="267" t="s">
        <v>3402</v>
      </c>
      <c r="H1127" s="237"/>
      <c r="I1127" s="10" t="s">
        <v>3343</v>
      </c>
      <c r="J1127" s="31" t="s">
        <v>11</v>
      </c>
      <c r="K1127" s="429">
        <f t="shared" si="59"/>
        <v>0</v>
      </c>
    </row>
    <row r="1128" spans="1:11" x14ac:dyDescent="0.2">
      <c r="A1128" s="72"/>
      <c r="B1128" s="72">
        <v>723</v>
      </c>
      <c r="C1128" s="31" t="s">
        <v>4917</v>
      </c>
      <c r="D1128" s="10">
        <f t="shared" si="58"/>
        <v>0</v>
      </c>
      <c r="E1128" s="10" t="s">
        <v>3366</v>
      </c>
      <c r="F1128" s="218" t="s">
        <v>3935</v>
      </c>
      <c r="G1128" s="267" t="s">
        <v>3406</v>
      </c>
      <c r="H1128" s="237"/>
      <c r="I1128" s="10" t="s">
        <v>3343</v>
      </c>
      <c r="J1128" s="31" t="s">
        <v>11</v>
      </c>
      <c r="K1128" s="429">
        <f t="shared" si="59"/>
        <v>0</v>
      </c>
    </row>
    <row r="1129" spans="1:11" x14ac:dyDescent="0.2">
      <c r="A1129" s="72"/>
      <c r="B1129" s="72">
        <v>724</v>
      </c>
      <c r="C1129" s="31" t="s">
        <v>4918</v>
      </c>
      <c r="D1129" s="10">
        <f t="shared" si="58"/>
        <v>0</v>
      </c>
      <c r="E1129" s="10" t="s">
        <v>3366</v>
      </c>
      <c r="F1129" s="218" t="s">
        <v>3921</v>
      </c>
      <c r="G1129" s="267" t="s">
        <v>3402</v>
      </c>
      <c r="H1129" s="237"/>
      <c r="I1129" s="10" t="s">
        <v>3343</v>
      </c>
      <c r="J1129" s="31" t="s">
        <v>11</v>
      </c>
      <c r="K1129" s="429">
        <f t="shared" si="59"/>
        <v>0</v>
      </c>
    </row>
    <row r="1130" spans="1:11" x14ac:dyDescent="0.2">
      <c r="A1130" s="72"/>
      <c r="B1130" s="72">
        <v>725</v>
      </c>
      <c r="C1130" s="31" t="s">
        <v>3985</v>
      </c>
      <c r="D1130" s="10">
        <f t="shared" si="58"/>
        <v>0</v>
      </c>
      <c r="E1130" s="10" t="s">
        <v>3366</v>
      </c>
      <c r="F1130" s="218" t="s">
        <v>4038</v>
      </c>
      <c r="G1130" s="264" t="s">
        <v>4039</v>
      </c>
      <c r="H1130" s="237"/>
      <c r="I1130" s="10" t="s">
        <v>3343</v>
      </c>
      <c r="J1130" s="31" t="s">
        <v>11</v>
      </c>
      <c r="K1130" s="429">
        <f t="shared" si="59"/>
        <v>0</v>
      </c>
    </row>
    <row r="1131" spans="1:11" x14ac:dyDescent="0.2">
      <c r="A1131" s="72" t="s">
        <v>4919</v>
      </c>
      <c r="B1131" s="72">
        <v>726</v>
      </c>
      <c r="C1131" s="31" t="s">
        <v>4742</v>
      </c>
      <c r="D1131" s="10" t="str">
        <f t="shared" si="58"/>
        <v>20 Okt</v>
      </c>
      <c r="E1131" s="10" t="s">
        <v>3366</v>
      </c>
      <c r="F1131" s="218" t="s">
        <v>3946</v>
      </c>
      <c r="G1131" s="264" t="s">
        <v>3432</v>
      </c>
      <c r="H1131" s="237"/>
      <c r="I1131" s="10" t="s">
        <v>3343</v>
      </c>
      <c r="J1131" s="31" t="s">
        <v>11</v>
      </c>
      <c r="K1131" s="429">
        <f t="shared" si="59"/>
        <v>0</v>
      </c>
    </row>
    <row r="1132" spans="1:11" x14ac:dyDescent="0.2">
      <c r="A1132" s="72"/>
      <c r="B1132" s="72">
        <v>727</v>
      </c>
      <c r="C1132" s="31" t="s">
        <v>3257</v>
      </c>
      <c r="D1132" s="10">
        <f t="shared" si="58"/>
        <v>0</v>
      </c>
      <c r="E1132" s="10" t="s">
        <v>3366</v>
      </c>
      <c r="F1132" s="218" t="s">
        <v>3922</v>
      </c>
      <c r="G1132" s="264" t="s">
        <v>3984</v>
      </c>
      <c r="H1132" s="237"/>
      <c r="I1132" s="10" t="s">
        <v>3343</v>
      </c>
      <c r="J1132" s="31" t="s">
        <v>11</v>
      </c>
      <c r="K1132" s="429">
        <f t="shared" si="59"/>
        <v>0</v>
      </c>
    </row>
    <row r="1133" spans="1:11" x14ac:dyDescent="0.2">
      <c r="A1133" s="72"/>
      <c r="B1133" s="72">
        <v>728</v>
      </c>
      <c r="C1133" s="31" t="s">
        <v>3869</v>
      </c>
      <c r="D1133" s="10">
        <f t="shared" si="58"/>
        <v>0</v>
      </c>
      <c r="E1133" s="10" t="s">
        <v>3366</v>
      </c>
      <c r="F1133" s="218" t="s">
        <v>3947</v>
      </c>
      <c r="G1133" s="264" t="s">
        <v>3436</v>
      </c>
      <c r="H1133" s="237"/>
      <c r="I1133" s="10" t="s">
        <v>3343</v>
      </c>
      <c r="J1133" s="31" t="s">
        <v>11</v>
      </c>
      <c r="K1133" s="429">
        <f t="shared" si="59"/>
        <v>0</v>
      </c>
    </row>
    <row r="1134" spans="1:11" x14ac:dyDescent="0.2">
      <c r="A1134" s="72" t="s">
        <v>4920</v>
      </c>
      <c r="B1134" s="72">
        <v>729</v>
      </c>
      <c r="C1134" s="265" t="s">
        <v>4921</v>
      </c>
      <c r="D1134" s="10" t="str">
        <f t="shared" si="58"/>
        <v>21 Okt</v>
      </c>
      <c r="E1134" s="10" t="s">
        <v>3366</v>
      </c>
      <c r="F1134" s="218" t="s">
        <v>3989</v>
      </c>
      <c r="G1134" s="264" t="s">
        <v>3990</v>
      </c>
      <c r="H1134" s="237"/>
      <c r="I1134" s="10" t="s">
        <v>3343</v>
      </c>
      <c r="J1134" s="31" t="s">
        <v>11</v>
      </c>
      <c r="K1134" s="429">
        <f t="shared" si="59"/>
        <v>0</v>
      </c>
    </row>
    <row r="1135" spans="1:11" x14ac:dyDescent="0.2">
      <c r="A1135" s="72"/>
      <c r="B1135" s="72">
        <v>730</v>
      </c>
      <c r="C1135" s="265" t="s">
        <v>4922</v>
      </c>
      <c r="D1135" s="10">
        <f t="shared" si="58"/>
        <v>0</v>
      </c>
      <c r="E1135" s="10" t="s">
        <v>3366</v>
      </c>
      <c r="F1135" s="218" t="s">
        <v>3935</v>
      </c>
      <c r="G1135" s="264" t="s">
        <v>3406</v>
      </c>
      <c r="H1135" s="237"/>
      <c r="I1135" s="10" t="s">
        <v>3343</v>
      </c>
      <c r="J1135" s="31" t="s">
        <v>11</v>
      </c>
      <c r="K1135" s="429">
        <f t="shared" si="59"/>
        <v>0</v>
      </c>
    </row>
    <row r="1136" spans="1:11" x14ac:dyDescent="0.2">
      <c r="A1136" s="263"/>
      <c r="B1136" s="72">
        <v>731</v>
      </c>
      <c r="C1136" s="265" t="s">
        <v>4923</v>
      </c>
      <c r="D1136" s="10">
        <f t="shared" si="58"/>
        <v>0</v>
      </c>
      <c r="E1136" s="10" t="s">
        <v>3366</v>
      </c>
      <c r="F1136" s="218" t="s">
        <v>4029</v>
      </c>
      <c r="G1136" s="264" t="s">
        <v>4030</v>
      </c>
      <c r="H1136" s="237"/>
      <c r="I1136" s="10" t="s">
        <v>3343</v>
      </c>
      <c r="J1136" s="31" t="s">
        <v>11</v>
      </c>
      <c r="K1136" s="429">
        <f t="shared" si="59"/>
        <v>0</v>
      </c>
    </row>
    <row r="1137" spans="1:11" x14ac:dyDescent="0.2">
      <c r="A1137" s="72" t="s">
        <v>4924</v>
      </c>
      <c r="B1137" s="72">
        <v>732</v>
      </c>
      <c r="C1137" s="265" t="s">
        <v>4917</v>
      </c>
      <c r="D1137" s="10" t="str">
        <f t="shared" si="58"/>
        <v>27 Okt</v>
      </c>
      <c r="E1137" s="10" t="s">
        <v>3366</v>
      </c>
      <c r="F1137" s="218" t="s">
        <v>3935</v>
      </c>
      <c r="G1137" s="267" t="s">
        <v>3406</v>
      </c>
      <c r="H1137" s="237"/>
      <c r="I1137" s="10" t="s">
        <v>3343</v>
      </c>
      <c r="J1137" s="31" t="s">
        <v>11</v>
      </c>
      <c r="K1137" s="429">
        <f t="shared" si="59"/>
        <v>0</v>
      </c>
    </row>
    <row r="1138" spans="1:11" x14ac:dyDescent="0.2">
      <c r="A1138" s="72"/>
      <c r="B1138" s="72">
        <v>733</v>
      </c>
      <c r="C1138" s="31" t="s">
        <v>4925</v>
      </c>
      <c r="D1138" s="10">
        <f t="shared" si="58"/>
        <v>0</v>
      </c>
      <c r="E1138" s="10" t="s">
        <v>3366</v>
      </c>
      <c r="F1138" s="218" t="s">
        <v>3935</v>
      </c>
      <c r="G1138" s="264" t="s">
        <v>3406</v>
      </c>
      <c r="H1138" s="237"/>
      <c r="I1138" s="10" t="s">
        <v>3343</v>
      </c>
      <c r="J1138" s="31" t="s">
        <v>11</v>
      </c>
      <c r="K1138" s="429">
        <f t="shared" si="59"/>
        <v>0</v>
      </c>
    </row>
    <row r="1139" spans="1:11" x14ac:dyDescent="0.2">
      <c r="A1139" s="72"/>
      <c r="B1139" s="72">
        <v>734</v>
      </c>
      <c r="C1139" s="31" t="s">
        <v>3256</v>
      </c>
      <c r="D1139" s="10">
        <f t="shared" si="58"/>
        <v>0</v>
      </c>
      <c r="E1139" s="10" t="s">
        <v>3366</v>
      </c>
      <c r="F1139" s="218" t="s">
        <v>3925</v>
      </c>
      <c r="G1139" s="267" t="s">
        <v>3962</v>
      </c>
      <c r="H1139" s="237"/>
      <c r="I1139" s="10" t="s">
        <v>3343</v>
      </c>
      <c r="J1139" s="31" t="s">
        <v>11</v>
      </c>
      <c r="K1139" s="429">
        <f t="shared" si="59"/>
        <v>0</v>
      </c>
    </row>
    <row r="1140" spans="1:11" x14ac:dyDescent="0.2">
      <c r="A1140" s="72"/>
      <c r="B1140" s="72"/>
      <c r="C1140" s="31"/>
      <c r="D1140" s="10">
        <f t="shared" si="58"/>
        <v>0</v>
      </c>
      <c r="E1140" s="10" t="s">
        <v>3366</v>
      </c>
      <c r="F1140" s="218" t="s">
        <v>3520</v>
      </c>
      <c r="G1140" s="267" t="s">
        <v>3964</v>
      </c>
      <c r="H1140" s="237"/>
      <c r="I1140" s="10" t="s">
        <v>3343</v>
      </c>
      <c r="J1140" s="31" t="s">
        <v>11</v>
      </c>
      <c r="K1140" s="429">
        <f t="shared" si="59"/>
        <v>0</v>
      </c>
    </row>
    <row r="1141" spans="1:11" x14ac:dyDescent="0.2">
      <c r="A1141" s="72"/>
      <c r="B1141" s="72"/>
      <c r="C1141" s="31"/>
      <c r="D1141" s="10">
        <f t="shared" si="58"/>
        <v>0</v>
      </c>
      <c r="E1141" s="10" t="s">
        <v>3366</v>
      </c>
      <c r="F1141" s="218" t="s">
        <v>3543</v>
      </c>
      <c r="G1141" s="267" t="s">
        <v>3963</v>
      </c>
      <c r="H1141" s="237"/>
      <c r="I1141" s="10" t="s">
        <v>3343</v>
      </c>
      <c r="J1141" s="31" t="s">
        <v>11</v>
      </c>
      <c r="K1141" s="429">
        <f t="shared" si="59"/>
        <v>0</v>
      </c>
    </row>
    <row r="1142" spans="1:11" x14ac:dyDescent="0.2">
      <c r="A1142" s="72"/>
      <c r="B1142" s="72">
        <v>735</v>
      </c>
      <c r="C1142" s="31" t="s">
        <v>3895</v>
      </c>
      <c r="D1142" s="10">
        <f t="shared" si="58"/>
        <v>0</v>
      </c>
      <c r="E1142" s="10" t="s">
        <v>3366</v>
      </c>
      <c r="F1142" s="218" t="s">
        <v>3960</v>
      </c>
      <c r="G1142" s="267" t="s">
        <v>4926</v>
      </c>
      <c r="H1142" s="237"/>
      <c r="I1142" s="10" t="s">
        <v>3343</v>
      </c>
      <c r="J1142" s="31" t="s">
        <v>11</v>
      </c>
      <c r="K1142" s="429">
        <f t="shared" si="59"/>
        <v>0</v>
      </c>
    </row>
    <row r="1143" spans="1:11" x14ac:dyDescent="0.2">
      <c r="A1143" s="72"/>
      <c r="B1143" s="72">
        <v>736</v>
      </c>
      <c r="C1143" s="31" t="s">
        <v>4927</v>
      </c>
      <c r="D1143" s="10">
        <f t="shared" si="58"/>
        <v>0</v>
      </c>
      <c r="E1143" s="10" t="s">
        <v>3366</v>
      </c>
      <c r="F1143" s="218" t="s">
        <v>3925</v>
      </c>
      <c r="G1143" s="264" t="s">
        <v>3966</v>
      </c>
      <c r="H1143" s="237"/>
      <c r="I1143" s="10" t="s">
        <v>3343</v>
      </c>
      <c r="J1143" s="31" t="s">
        <v>11</v>
      </c>
      <c r="K1143" s="429">
        <f t="shared" si="59"/>
        <v>0</v>
      </c>
    </row>
    <row r="1144" spans="1:11" x14ac:dyDescent="0.2">
      <c r="A1144" s="72"/>
      <c r="B1144" s="72"/>
      <c r="C1144" s="31"/>
      <c r="D1144" s="10">
        <f t="shared" si="58"/>
        <v>0</v>
      </c>
      <c r="E1144" s="10" t="s">
        <v>3366</v>
      </c>
      <c r="F1144" s="218" t="s">
        <v>3543</v>
      </c>
      <c r="G1144" s="264" t="s">
        <v>3967</v>
      </c>
      <c r="H1144" s="237"/>
      <c r="I1144" s="10" t="s">
        <v>3343</v>
      </c>
      <c r="J1144" s="31" t="s">
        <v>11</v>
      </c>
      <c r="K1144" s="429">
        <f t="shared" si="59"/>
        <v>0</v>
      </c>
    </row>
    <row r="1145" spans="1:11" x14ac:dyDescent="0.2">
      <c r="A1145" s="72"/>
      <c r="B1145" s="72"/>
      <c r="C1145" s="31"/>
      <c r="D1145" s="10">
        <f t="shared" si="58"/>
        <v>0</v>
      </c>
      <c r="E1145" s="10" t="s">
        <v>3366</v>
      </c>
      <c r="F1145" s="218" t="s">
        <v>3520</v>
      </c>
      <c r="G1145" s="264" t="s">
        <v>3968</v>
      </c>
      <c r="H1145" s="237"/>
      <c r="I1145" s="10" t="s">
        <v>3343</v>
      </c>
      <c r="J1145" s="31" t="s">
        <v>11</v>
      </c>
      <c r="K1145" s="429">
        <f t="shared" si="59"/>
        <v>0</v>
      </c>
    </row>
    <row r="1146" spans="1:11" x14ac:dyDescent="0.2">
      <c r="A1146" s="72"/>
      <c r="B1146" s="72">
        <v>737</v>
      </c>
      <c r="C1146" s="31" t="s">
        <v>4610</v>
      </c>
      <c r="D1146" s="10">
        <f t="shared" si="58"/>
        <v>0</v>
      </c>
      <c r="E1146" s="10" t="s">
        <v>3366</v>
      </c>
      <c r="F1146" s="218" t="s">
        <v>3971</v>
      </c>
      <c r="G1146" s="264" t="s">
        <v>3972</v>
      </c>
      <c r="H1146" s="237"/>
      <c r="I1146" s="10" t="s">
        <v>3343</v>
      </c>
      <c r="J1146" s="31" t="s">
        <v>11</v>
      </c>
      <c r="K1146" s="429">
        <f t="shared" si="59"/>
        <v>0</v>
      </c>
    </row>
    <row r="1147" spans="1:11" x14ac:dyDescent="0.2">
      <c r="A1147" s="72"/>
      <c r="B1147" s="72">
        <v>738</v>
      </c>
      <c r="C1147" s="31" t="s">
        <v>4024</v>
      </c>
      <c r="D1147" s="10">
        <f t="shared" si="58"/>
        <v>0</v>
      </c>
      <c r="E1147" s="10" t="s">
        <v>3366</v>
      </c>
      <c r="F1147" s="218" t="s">
        <v>3483</v>
      </c>
      <c r="G1147" s="264" t="s">
        <v>3484</v>
      </c>
      <c r="H1147" s="237"/>
      <c r="I1147" s="10" t="s">
        <v>3343</v>
      </c>
      <c r="J1147" s="31" t="s">
        <v>11</v>
      </c>
      <c r="K1147" s="429">
        <f t="shared" si="59"/>
        <v>0</v>
      </c>
    </row>
    <row r="1148" spans="1:11" x14ac:dyDescent="0.2">
      <c r="A1148" s="72"/>
      <c r="B1148" s="72">
        <v>739</v>
      </c>
      <c r="C1148" s="31" t="s">
        <v>4928</v>
      </c>
      <c r="D1148" s="10">
        <f t="shared" si="58"/>
        <v>0</v>
      </c>
      <c r="E1148" s="10" t="s">
        <v>3366</v>
      </c>
      <c r="F1148" s="218" t="s">
        <v>3486</v>
      </c>
      <c r="G1148" s="264" t="s">
        <v>3973</v>
      </c>
      <c r="H1148" s="237"/>
      <c r="I1148" s="10" t="s">
        <v>3343</v>
      </c>
      <c r="J1148" s="31" t="s">
        <v>11</v>
      </c>
      <c r="K1148" s="429">
        <f t="shared" si="59"/>
        <v>0</v>
      </c>
    </row>
    <row r="1149" spans="1:11" x14ac:dyDescent="0.2">
      <c r="A1149" s="72"/>
      <c r="B1149" s="72">
        <v>740</v>
      </c>
      <c r="C1149" s="31" t="s">
        <v>3904</v>
      </c>
      <c r="D1149" s="10">
        <f t="shared" si="58"/>
        <v>0</v>
      </c>
      <c r="E1149" s="10" t="s">
        <v>3366</v>
      </c>
      <c r="F1149" s="218" t="s">
        <v>3486</v>
      </c>
      <c r="G1149" s="264" t="s">
        <v>3973</v>
      </c>
      <c r="H1149" s="237"/>
      <c r="I1149" s="10" t="s">
        <v>3343</v>
      </c>
      <c r="J1149" s="31" t="s">
        <v>11</v>
      </c>
      <c r="K1149" s="429">
        <f t="shared" si="59"/>
        <v>0</v>
      </c>
    </row>
    <row r="1150" spans="1:11" x14ac:dyDescent="0.2">
      <c r="A1150" s="72"/>
      <c r="B1150" s="72">
        <v>741</v>
      </c>
      <c r="C1150" s="31" t="s">
        <v>3906</v>
      </c>
      <c r="D1150" s="10">
        <f t="shared" si="58"/>
        <v>0</v>
      </c>
      <c r="E1150" s="10" t="s">
        <v>3366</v>
      </c>
      <c r="F1150" s="218" t="s">
        <v>3486</v>
      </c>
      <c r="G1150" s="264" t="s">
        <v>3973</v>
      </c>
      <c r="H1150" s="237"/>
      <c r="I1150" s="10" t="s">
        <v>3343</v>
      </c>
      <c r="J1150" s="31" t="s">
        <v>11</v>
      </c>
      <c r="K1150" s="429">
        <f t="shared" si="59"/>
        <v>0</v>
      </c>
    </row>
    <row r="1151" spans="1:11" x14ac:dyDescent="0.2">
      <c r="A1151" s="72"/>
      <c r="B1151" s="72">
        <v>742</v>
      </c>
      <c r="C1151" s="31" t="s">
        <v>4389</v>
      </c>
      <c r="D1151" s="10">
        <f t="shared" si="58"/>
        <v>0</v>
      </c>
      <c r="E1151" s="10" t="s">
        <v>3366</v>
      </c>
      <c r="F1151" s="218" t="s">
        <v>3965</v>
      </c>
      <c r="G1151" s="268" t="s">
        <v>3478</v>
      </c>
      <c r="H1151" s="237"/>
      <c r="I1151" s="10" t="s">
        <v>3343</v>
      </c>
      <c r="J1151" s="31" t="s">
        <v>11</v>
      </c>
      <c r="K1151" s="429">
        <f t="shared" si="59"/>
        <v>0</v>
      </c>
    </row>
    <row r="1152" spans="1:11" x14ac:dyDescent="0.2">
      <c r="A1152" s="72"/>
      <c r="B1152" s="72">
        <v>743</v>
      </c>
      <c r="C1152" s="31" t="s">
        <v>4929</v>
      </c>
      <c r="D1152" s="10">
        <f t="shared" si="58"/>
        <v>0</v>
      </c>
      <c r="E1152" s="10" t="s">
        <v>3366</v>
      </c>
      <c r="F1152" s="218" t="s">
        <v>3969</v>
      </c>
      <c r="G1152" s="268" t="s">
        <v>3970</v>
      </c>
      <c r="H1152" s="237"/>
      <c r="I1152" s="10" t="s">
        <v>3343</v>
      </c>
      <c r="J1152" s="31" t="s">
        <v>11</v>
      </c>
      <c r="K1152" s="429">
        <f t="shared" si="59"/>
        <v>0</v>
      </c>
    </row>
    <row r="1153" spans="1:11" x14ac:dyDescent="0.2">
      <c r="A1153" s="72"/>
      <c r="B1153" s="72">
        <v>744</v>
      </c>
      <c r="C1153" s="31" t="s">
        <v>3908</v>
      </c>
      <c r="D1153" s="10">
        <f t="shared" si="58"/>
        <v>0</v>
      </c>
      <c r="E1153" s="10" t="s">
        <v>3366</v>
      </c>
      <c r="F1153" s="218" t="s">
        <v>3956</v>
      </c>
      <c r="G1153" s="268" t="s">
        <v>3957</v>
      </c>
      <c r="H1153" s="237"/>
      <c r="I1153" s="10" t="s">
        <v>3343</v>
      </c>
      <c r="J1153" s="31" t="s">
        <v>11</v>
      </c>
      <c r="K1153" s="429">
        <f t="shared" si="59"/>
        <v>0</v>
      </c>
    </row>
    <row r="1154" spans="1:11" x14ac:dyDescent="0.2">
      <c r="A1154" s="72"/>
      <c r="B1154" s="72">
        <v>745</v>
      </c>
      <c r="C1154" s="31" t="s">
        <v>3910</v>
      </c>
      <c r="D1154" s="10">
        <f t="shared" si="58"/>
        <v>0</v>
      </c>
      <c r="E1154" s="10" t="s">
        <v>3366</v>
      </c>
      <c r="F1154" s="218" t="s">
        <v>3974</v>
      </c>
      <c r="G1154" s="268" t="s">
        <v>3975</v>
      </c>
      <c r="H1154" s="237"/>
      <c r="I1154" s="10" t="s">
        <v>3343</v>
      </c>
      <c r="J1154" s="31" t="s">
        <v>11</v>
      </c>
      <c r="K1154" s="429">
        <f t="shared" si="59"/>
        <v>0</v>
      </c>
    </row>
    <row r="1155" spans="1:11" x14ac:dyDescent="0.2">
      <c r="A1155" s="72"/>
      <c r="B1155" s="72">
        <v>746</v>
      </c>
      <c r="C1155" s="31" t="s">
        <v>4930</v>
      </c>
      <c r="D1155" s="10">
        <f t="shared" si="58"/>
        <v>0</v>
      </c>
      <c r="E1155" s="10" t="s">
        <v>3366</v>
      </c>
      <c r="F1155" s="218" t="s">
        <v>3976</v>
      </c>
      <c r="G1155" s="268" t="s">
        <v>3488</v>
      </c>
      <c r="H1155" s="237"/>
      <c r="I1155" s="10" t="s">
        <v>3343</v>
      </c>
      <c r="J1155" s="31" t="s">
        <v>11</v>
      </c>
      <c r="K1155" s="429">
        <f t="shared" si="59"/>
        <v>0</v>
      </c>
    </row>
    <row r="1156" spans="1:11" x14ac:dyDescent="0.2">
      <c r="A1156" s="72"/>
      <c r="B1156" s="72">
        <v>747</v>
      </c>
      <c r="C1156" s="31" t="s">
        <v>3914</v>
      </c>
      <c r="D1156" s="10">
        <f t="shared" si="58"/>
        <v>0</v>
      </c>
      <c r="E1156" s="10" t="s">
        <v>3366</v>
      </c>
      <c r="F1156" s="218" t="s">
        <v>3971</v>
      </c>
      <c r="G1156" s="267" t="s">
        <v>3972</v>
      </c>
      <c r="H1156" s="237"/>
      <c r="I1156" s="10" t="s">
        <v>3343</v>
      </c>
      <c r="J1156" s="31" t="s">
        <v>11</v>
      </c>
      <c r="K1156" s="429">
        <f t="shared" si="59"/>
        <v>0</v>
      </c>
    </row>
    <row r="1157" spans="1:11" x14ac:dyDescent="0.2">
      <c r="A1157" s="72"/>
      <c r="B1157" s="72">
        <v>748</v>
      </c>
      <c r="C1157" s="31" t="s">
        <v>4025</v>
      </c>
      <c r="D1157" s="10">
        <f t="shared" si="58"/>
        <v>0</v>
      </c>
      <c r="E1157" s="10" t="s">
        <v>3366</v>
      </c>
      <c r="F1157" s="218" t="s">
        <v>3932</v>
      </c>
      <c r="G1157" s="267" t="s">
        <v>3933</v>
      </c>
      <c r="H1157" s="237"/>
      <c r="I1157" s="10" t="s">
        <v>3343</v>
      </c>
      <c r="J1157" s="31" t="s">
        <v>11</v>
      </c>
      <c r="K1157" s="429">
        <f t="shared" si="59"/>
        <v>0</v>
      </c>
    </row>
    <row r="1158" spans="1:11" x14ac:dyDescent="0.2">
      <c r="A1158" s="72"/>
      <c r="B1158" s="72">
        <v>749</v>
      </c>
      <c r="C1158" s="31" t="s">
        <v>3892</v>
      </c>
      <c r="D1158" s="10">
        <f t="shared" si="58"/>
        <v>0</v>
      </c>
      <c r="E1158" s="10" t="s">
        <v>3366</v>
      </c>
      <c r="F1158" s="218" t="s">
        <v>3961</v>
      </c>
      <c r="G1158" s="264" t="s">
        <v>3931</v>
      </c>
      <c r="H1158" s="237"/>
      <c r="I1158" s="10" t="s">
        <v>3343</v>
      </c>
      <c r="J1158" s="31" t="s">
        <v>11</v>
      </c>
      <c r="K1158" s="429">
        <f t="shared" si="59"/>
        <v>0</v>
      </c>
    </row>
    <row r="1159" spans="1:11" x14ac:dyDescent="0.2">
      <c r="A1159" s="72"/>
      <c r="B1159" s="72">
        <v>750</v>
      </c>
      <c r="C1159" s="31" t="s">
        <v>4749</v>
      </c>
      <c r="D1159" s="10">
        <f t="shared" si="58"/>
        <v>0</v>
      </c>
      <c r="E1159" s="10" t="s">
        <v>3366</v>
      </c>
      <c r="F1159" s="218" t="s">
        <v>3952</v>
      </c>
      <c r="G1159" s="264" t="s">
        <v>3953</v>
      </c>
      <c r="H1159" s="237"/>
      <c r="I1159" s="10" t="s">
        <v>3343</v>
      </c>
      <c r="J1159" s="31" t="s">
        <v>11</v>
      </c>
      <c r="K1159" s="429">
        <f t="shared" si="59"/>
        <v>0</v>
      </c>
    </row>
    <row r="1160" spans="1:11" x14ac:dyDescent="0.2">
      <c r="A1160" s="72"/>
      <c r="B1160" s="72">
        <v>751</v>
      </c>
      <c r="C1160" s="31" t="s">
        <v>4931</v>
      </c>
      <c r="D1160" s="10">
        <f t="shared" si="58"/>
        <v>0</v>
      </c>
      <c r="E1160" s="10" t="s">
        <v>3366</v>
      </c>
      <c r="F1160" s="218" t="s">
        <v>3956</v>
      </c>
      <c r="G1160" s="264" t="s">
        <v>3957</v>
      </c>
      <c r="H1160" s="237"/>
      <c r="I1160" s="10" t="s">
        <v>3343</v>
      </c>
      <c r="J1160" s="31" t="s">
        <v>11</v>
      </c>
      <c r="K1160" s="429">
        <f t="shared" si="59"/>
        <v>0</v>
      </c>
    </row>
    <row r="1161" spans="1:11" x14ac:dyDescent="0.2">
      <c r="A1161" s="72"/>
      <c r="B1161" s="72">
        <v>752</v>
      </c>
      <c r="C1161" s="31" t="s">
        <v>3264</v>
      </c>
      <c r="D1161" s="10">
        <f t="shared" si="58"/>
        <v>0</v>
      </c>
      <c r="E1161" s="10" t="s">
        <v>3366</v>
      </c>
      <c r="F1161" s="218" t="s">
        <v>3925</v>
      </c>
      <c r="G1161" s="268" t="s">
        <v>3938</v>
      </c>
      <c r="H1161" s="237"/>
      <c r="I1161" s="10" t="s">
        <v>3343</v>
      </c>
      <c r="J1161" s="31" t="s">
        <v>11</v>
      </c>
      <c r="K1161" s="429">
        <f t="shared" si="59"/>
        <v>0</v>
      </c>
    </row>
    <row r="1162" spans="1:11" x14ac:dyDescent="0.2">
      <c r="A1162" s="72"/>
      <c r="B1162" s="72">
        <v>753</v>
      </c>
      <c r="C1162" s="31" t="s">
        <v>4069</v>
      </c>
      <c r="D1162" s="10">
        <f t="shared" si="58"/>
        <v>0</v>
      </c>
      <c r="E1162" s="10" t="s">
        <v>3366</v>
      </c>
      <c r="F1162" s="218" t="s">
        <v>3934</v>
      </c>
      <c r="G1162" s="264" t="s">
        <v>4032</v>
      </c>
      <c r="H1162" s="237"/>
      <c r="I1162" s="10" t="s">
        <v>3343</v>
      </c>
      <c r="J1162" s="31" t="s">
        <v>11</v>
      </c>
      <c r="K1162" s="429">
        <f t="shared" si="59"/>
        <v>0</v>
      </c>
    </row>
    <row r="1163" spans="1:11" x14ac:dyDescent="0.2">
      <c r="A1163" s="72"/>
      <c r="B1163" s="72">
        <v>754</v>
      </c>
      <c r="C1163" s="31" t="s">
        <v>3887</v>
      </c>
      <c r="D1163" s="10">
        <f t="shared" si="58"/>
        <v>0</v>
      </c>
      <c r="E1163" s="10" t="s">
        <v>3366</v>
      </c>
      <c r="F1163" s="218" t="s">
        <v>3941</v>
      </c>
      <c r="G1163" s="268" t="s">
        <v>3942</v>
      </c>
      <c r="H1163" s="237"/>
      <c r="I1163" s="10" t="s">
        <v>3343</v>
      </c>
      <c r="J1163" s="31" t="s">
        <v>11</v>
      </c>
      <c r="K1163" s="429">
        <f t="shared" si="59"/>
        <v>0</v>
      </c>
    </row>
    <row r="1164" spans="1:11" x14ac:dyDescent="0.2">
      <c r="A1164" s="72"/>
      <c r="B1164" s="72">
        <v>755</v>
      </c>
      <c r="C1164" s="31" t="s">
        <v>4932</v>
      </c>
      <c r="D1164" s="10">
        <v>0</v>
      </c>
      <c r="E1164" s="10" t="s">
        <v>3366</v>
      </c>
      <c r="F1164" s="218" t="s">
        <v>3954</v>
      </c>
      <c r="G1164" s="268" t="s">
        <v>3955</v>
      </c>
      <c r="H1164" s="237"/>
      <c r="I1164" s="10" t="s">
        <v>3739</v>
      </c>
      <c r="J1164" s="31" t="s">
        <v>11</v>
      </c>
      <c r="K1164" s="429">
        <f t="shared" si="59"/>
        <v>0</v>
      </c>
    </row>
    <row r="1165" spans="1:11" x14ac:dyDescent="0.2">
      <c r="A1165" s="72"/>
      <c r="B1165" s="72">
        <v>756</v>
      </c>
      <c r="C1165" s="31" t="s">
        <v>4933</v>
      </c>
      <c r="D1165" s="10">
        <f t="shared" si="58"/>
        <v>0</v>
      </c>
      <c r="E1165" s="10" t="s">
        <v>3366</v>
      </c>
      <c r="F1165" s="218" t="s">
        <v>3944</v>
      </c>
      <c r="G1165" s="268" t="s">
        <v>3945</v>
      </c>
      <c r="H1165" s="237"/>
      <c r="I1165" s="10" t="s">
        <v>3343</v>
      </c>
      <c r="J1165" s="31" t="s">
        <v>11</v>
      </c>
      <c r="K1165" s="429">
        <f t="shared" si="59"/>
        <v>0</v>
      </c>
    </row>
    <row r="1166" spans="1:11" x14ac:dyDescent="0.2">
      <c r="A1166" s="72"/>
      <c r="B1166" s="72">
        <v>757</v>
      </c>
      <c r="C1166" s="31" t="s">
        <v>3881</v>
      </c>
      <c r="D1166" s="10">
        <f t="shared" si="58"/>
        <v>0</v>
      </c>
      <c r="E1166" s="10" t="s">
        <v>3366</v>
      </c>
      <c r="F1166" s="218" t="s">
        <v>3936</v>
      </c>
      <c r="G1166" s="268" t="s">
        <v>3937</v>
      </c>
      <c r="H1166" s="237"/>
      <c r="I1166" s="10" t="s">
        <v>3343</v>
      </c>
      <c r="J1166" s="31" t="s">
        <v>11</v>
      </c>
      <c r="K1166" s="429">
        <f t="shared" si="59"/>
        <v>0</v>
      </c>
    </row>
    <row r="1167" spans="1:11" x14ac:dyDescent="0.2">
      <c r="A1167" s="72"/>
      <c r="B1167" s="72">
        <v>758</v>
      </c>
      <c r="C1167" s="31" t="s">
        <v>4934</v>
      </c>
      <c r="D1167" s="10">
        <f t="shared" si="58"/>
        <v>0</v>
      </c>
      <c r="E1167" s="10" t="s">
        <v>3366</v>
      </c>
      <c r="F1167" s="218" t="s">
        <v>3921</v>
      </c>
      <c r="G1167" s="268" t="s">
        <v>3402</v>
      </c>
      <c r="H1167" s="237"/>
      <c r="I1167" s="10" t="s">
        <v>3343</v>
      </c>
      <c r="J1167" s="31" t="s">
        <v>11</v>
      </c>
      <c r="K1167" s="429">
        <f t="shared" si="59"/>
        <v>0</v>
      </c>
    </row>
    <row r="1168" spans="1:11" x14ac:dyDescent="0.2">
      <c r="A1168" s="72"/>
      <c r="B1168" s="72">
        <v>759</v>
      </c>
      <c r="C1168" s="31" t="s">
        <v>4935</v>
      </c>
      <c r="D1168" s="10">
        <f t="shared" si="58"/>
        <v>0</v>
      </c>
      <c r="E1168" s="10" t="s">
        <v>3366</v>
      </c>
      <c r="F1168" s="218" t="s">
        <v>3936</v>
      </c>
      <c r="G1168" s="268" t="s">
        <v>3937</v>
      </c>
      <c r="H1168" s="237"/>
      <c r="I1168" s="10" t="s">
        <v>3343</v>
      </c>
      <c r="J1168" s="31" t="s">
        <v>11</v>
      </c>
      <c r="K1168" s="429">
        <f t="shared" si="59"/>
        <v>0</v>
      </c>
    </row>
    <row r="1169" spans="1:11" x14ac:dyDescent="0.2">
      <c r="A1169" s="72"/>
      <c r="B1169" s="72">
        <v>760</v>
      </c>
      <c r="C1169" s="31" t="s">
        <v>4936</v>
      </c>
      <c r="D1169" s="10">
        <f t="shared" ref="D1169:D1181" si="60">A1169</f>
        <v>0</v>
      </c>
      <c r="E1169" s="10" t="s">
        <v>3366</v>
      </c>
      <c r="F1169" s="218" t="s">
        <v>3936</v>
      </c>
      <c r="G1169" s="268" t="s">
        <v>3937</v>
      </c>
      <c r="H1169" s="237"/>
      <c r="I1169" s="10" t="s">
        <v>3343</v>
      </c>
      <c r="J1169" s="31" t="s">
        <v>11</v>
      </c>
      <c r="K1169" s="429">
        <f t="shared" ref="K1169:K1181" si="61">H1169</f>
        <v>0</v>
      </c>
    </row>
    <row r="1170" spans="1:11" x14ac:dyDescent="0.2">
      <c r="A1170" s="72"/>
      <c r="B1170" s="72">
        <v>761</v>
      </c>
      <c r="C1170" s="31" t="s">
        <v>3853</v>
      </c>
      <c r="D1170" s="10">
        <f t="shared" si="60"/>
        <v>0</v>
      </c>
      <c r="E1170" s="10" t="s">
        <v>3366</v>
      </c>
      <c r="F1170" s="218" t="s">
        <v>3543</v>
      </c>
      <c r="G1170" s="268" t="s">
        <v>4937</v>
      </c>
      <c r="H1170" s="237"/>
      <c r="I1170" s="10" t="s">
        <v>3343</v>
      </c>
      <c r="J1170" s="31" t="s">
        <v>11</v>
      </c>
      <c r="K1170" s="429">
        <f t="shared" si="61"/>
        <v>0</v>
      </c>
    </row>
    <row r="1171" spans="1:11" x14ac:dyDescent="0.2">
      <c r="A1171" s="72"/>
      <c r="B1171" s="72">
        <v>762</v>
      </c>
      <c r="C1171" s="31" t="s">
        <v>3920</v>
      </c>
      <c r="D1171" s="10">
        <f t="shared" si="60"/>
        <v>0</v>
      </c>
      <c r="E1171" s="10" t="s">
        <v>3366</v>
      </c>
      <c r="F1171" s="218" t="s">
        <v>3543</v>
      </c>
      <c r="G1171" s="268" t="s">
        <v>4937</v>
      </c>
      <c r="H1171" s="237"/>
      <c r="I1171" s="10" t="s">
        <v>3343</v>
      </c>
      <c r="J1171" s="31" t="s">
        <v>11</v>
      </c>
      <c r="K1171" s="429">
        <f t="shared" si="61"/>
        <v>0</v>
      </c>
    </row>
    <row r="1172" spans="1:11" x14ac:dyDescent="0.2">
      <c r="A1172" s="72"/>
      <c r="B1172" s="72">
        <v>763</v>
      </c>
      <c r="C1172" s="31" t="s">
        <v>4938</v>
      </c>
      <c r="D1172" s="10">
        <f t="shared" si="60"/>
        <v>0</v>
      </c>
      <c r="E1172" s="10" t="s">
        <v>3366</v>
      </c>
      <c r="F1172" s="218" t="s">
        <v>3935</v>
      </c>
      <c r="G1172" s="268" t="s">
        <v>3406</v>
      </c>
      <c r="H1172" s="237"/>
      <c r="I1172" s="10" t="s">
        <v>3343</v>
      </c>
      <c r="J1172" s="31" t="s">
        <v>11</v>
      </c>
      <c r="K1172" s="429">
        <f t="shared" si="61"/>
        <v>0</v>
      </c>
    </row>
    <row r="1173" spans="1:11" x14ac:dyDescent="0.2">
      <c r="A1173" s="72"/>
      <c r="B1173" s="72">
        <v>764</v>
      </c>
      <c r="C1173" s="31" t="s">
        <v>3846</v>
      </c>
      <c r="D1173" s="10">
        <f t="shared" si="60"/>
        <v>0</v>
      </c>
      <c r="E1173" s="10" t="s">
        <v>3366</v>
      </c>
      <c r="F1173" s="218" t="s">
        <v>3922</v>
      </c>
      <c r="G1173" s="268" t="s">
        <v>3984</v>
      </c>
      <c r="H1173" s="237"/>
      <c r="I1173" s="10" t="s">
        <v>3343</v>
      </c>
      <c r="J1173" s="31" t="s">
        <v>11</v>
      </c>
      <c r="K1173" s="429">
        <f t="shared" si="61"/>
        <v>0</v>
      </c>
    </row>
    <row r="1174" spans="1:11" x14ac:dyDescent="0.2">
      <c r="A1174" s="72" t="s">
        <v>4939</v>
      </c>
      <c r="B1174" s="72">
        <v>765</v>
      </c>
      <c r="C1174" s="31" t="s">
        <v>3878</v>
      </c>
      <c r="D1174" s="10" t="str">
        <f t="shared" si="60"/>
        <v>28 Okt</v>
      </c>
      <c r="E1174" s="10" t="s">
        <v>3366</v>
      </c>
      <c r="F1174" s="218" t="s">
        <v>3946</v>
      </c>
      <c r="G1174" s="268" t="s">
        <v>3432</v>
      </c>
      <c r="H1174" s="237"/>
      <c r="I1174" s="10" t="s">
        <v>3343</v>
      </c>
      <c r="J1174" s="31" t="s">
        <v>11</v>
      </c>
      <c r="K1174" s="429">
        <f t="shared" si="61"/>
        <v>0</v>
      </c>
    </row>
    <row r="1175" spans="1:11" x14ac:dyDescent="0.2">
      <c r="A1175" s="72"/>
      <c r="B1175" s="72">
        <v>766</v>
      </c>
      <c r="C1175" s="31" t="s">
        <v>4940</v>
      </c>
      <c r="D1175" s="10">
        <f t="shared" si="60"/>
        <v>0</v>
      </c>
      <c r="E1175" s="10" t="s">
        <v>3366</v>
      </c>
      <c r="F1175" s="218" t="s">
        <v>3932</v>
      </c>
      <c r="G1175" s="268" t="s">
        <v>3933</v>
      </c>
      <c r="H1175" s="237"/>
      <c r="I1175" s="10" t="s">
        <v>3343</v>
      </c>
      <c r="J1175" s="31" t="s">
        <v>11</v>
      </c>
      <c r="K1175" s="429">
        <f t="shared" si="61"/>
        <v>0</v>
      </c>
    </row>
    <row r="1176" spans="1:11" x14ac:dyDescent="0.2">
      <c r="A1176" s="72"/>
      <c r="B1176" s="72">
        <v>767</v>
      </c>
      <c r="C1176" s="31" t="s">
        <v>4941</v>
      </c>
      <c r="D1176" s="10">
        <f t="shared" si="60"/>
        <v>0</v>
      </c>
      <c r="E1176" s="10" t="s">
        <v>3366</v>
      </c>
      <c r="F1176" s="218" t="s">
        <v>4942</v>
      </c>
      <c r="G1176" s="268" t="s">
        <v>4943</v>
      </c>
      <c r="H1176" s="237"/>
      <c r="I1176" s="10" t="s">
        <v>3343</v>
      </c>
      <c r="J1176" s="31" t="s">
        <v>11</v>
      </c>
      <c r="K1176" s="429">
        <f t="shared" si="61"/>
        <v>0</v>
      </c>
    </row>
    <row r="1177" spans="1:11" x14ac:dyDescent="0.2">
      <c r="A1177" s="72"/>
      <c r="B1177" s="72">
        <v>768</v>
      </c>
      <c r="C1177" s="31" t="s">
        <v>3846</v>
      </c>
      <c r="D1177" s="10">
        <f t="shared" si="60"/>
        <v>0</v>
      </c>
      <c r="E1177" s="10" t="s">
        <v>3366</v>
      </c>
      <c r="F1177" s="218" t="s">
        <v>3922</v>
      </c>
      <c r="G1177" s="268" t="s">
        <v>3984</v>
      </c>
      <c r="H1177" s="237"/>
      <c r="I1177" s="10" t="s">
        <v>3343</v>
      </c>
      <c r="J1177" s="31" t="s">
        <v>11</v>
      </c>
      <c r="K1177" s="429">
        <f t="shared" si="61"/>
        <v>0</v>
      </c>
    </row>
    <row r="1178" spans="1:11" x14ac:dyDescent="0.2">
      <c r="A1178" s="72" t="s">
        <v>4944</v>
      </c>
      <c r="B1178" s="72">
        <v>769</v>
      </c>
      <c r="C1178" s="31" t="s">
        <v>3889</v>
      </c>
      <c r="D1178" s="10" t="str">
        <f t="shared" si="60"/>
        <v>29 Okt</v>
      </c>
      <c r="E1178" s="10" t="s">
        <v>3366</v>
      </c>
      <c r="F1178" s="218" t="s">
        <v>3925</v>
      </c>
      <c r="G1178" s="268" t="s">
        <v>3958</v>
      </c>
      <c r="H1178" s="237"/>
      <c r="I1178" s="10" t="s">
        <v>3343</v>
      </c>
      <c r="J1178" s="31" t="s">
        <v>11</v>
      </c>
      <c r="K1178" s="429">
        <f t="shared" si="61"/>
        <v>0</v>
      </c>
    </row>
    <row r="1179" spans="1:11" x14ac:dyDescent="0.2">
      <c r="A1179" s="72"/>
      <c r="B1179" s="72"/>
      <c r="C1179" s="31"/>
      <c r="D1179" s="10">
        <f t="shared" si="60"/>
        <v>0</v>
      </c>
      <c r="E1179" s="10" t="s">
        <v>3366</v>
      </c>
      <c r="F1179" s="218" t="s">
        <v>3520</v>
      </c>
      <c r="G1179" s="268" t="s">
        <v>4019</v>
      </c>
      <c r="H1179" s="237"/>
      <c r="I1179" s="10" t="s">
        <v>3343</v>
      </c>
      <c r="J1179" s="31" t="s">
        <v>11</v>
      </c>
      <c r="K1179" s="429">
        <f t="shared" si="61"/>
        <v>0</v>
      </c>
    </row>
    <row r="1180" spans="1:11" x14ac:dyDescent="0.2">
      <c r="A1180" s="72"/>
      <c r="B1180" s="72"/>
      <c r="C1180" s="31"/>
      <c r="D1180" s="10">
        <f t="shared" si="60"/>
        <v>0</v>
      </c>
      <c r="E1180" s="10" t="s">
        <v>3366</v>
      </c>
      <c r="F1180" s="218" t="s">
        <v>3543</v>
      </c>
      <c r="G1180" s="268" t="s">
        <v>3959</v>
      </c>
      <c r="H1180" s="237"/>
      <c r="I1180" s="10" t="s">
        <v>3343</v>
      </c>
      <c r="J1180" s="31" t="s">
        <v>11</v>
      </c>
      <c r="K1180" s="429">
        <f t="shared" si="61"/>
        <v>0</v>
      </c>
    </row>
    <row r="1181" spans="1:11" x14ac:dyDescent="0.2">
      <c r="A1181" s="72"/>
      <c r="B1181" s="72">
        <v>770</v>
      </c>
      <c r="C1181" s="31" t="s">
        <v>4945</v>
      </c>
      <c r="D1181" s="10">
        <f t="shared" si="60"/>
        <v>0</v>
      </c>
      <c r="E1181" s="10" t="s">
        <v>3366</v>
      </c>
      <c r="F1181" s="218" t="s">
        <v>3960</v>
      </c>
      <c r="G1181" s="268" t="s">
        <v>3456</v>
      </c>
      <c r="H1181" s="237"/>
      <c r="I1181" s="10" t="s">
        <v>3343</v>
      </c>
      <c r="J1181" s="31" t="s">
        <v>11</v>
      </c>
      <c r="K1181" s="429">
        <f t="shared" si="61"/>
        <v>0</v>
      </c>
    </row>
    <row r="1182" spans="1:11" ht="12" x14ac:dyDescent="0.2">
      <c r="A1182" s="658" t="s">
        <v>3556</v>
      </c>
      <c r="B1182" s="659"/>
      <c r="C1182" s="659"/>
      <c r="D1182" s="659"/>
      <c r="E1182" s="659"/>
      <c r="F1182" s="659"/>
      <c r="G1182" s="660"/>
      <c r="H1182" s="435">
        <f>SUM(H1105:H1181)</f>
        <v>0</v>
      </c>
      <c r="I1182" s="692" t="s">
        <v>3556</v>
      </c>
      <c r="J1182" s="692"/>
      <c r="K1182" s="435">
        <f>SUM(K1105:K1181)</f>
        <v>0</v>
      </c>
    </row>
    <row r="1183" spans="1:11" ht="12" x14ac:dyDescent="0.2">
      <c r="A1183" s="658" t="s">
        <v>3557</v>
      </c>
      <c r="B1183" s="659"/>
      <c r="C1183" s="659"/>
      <c r="D1183" s="659"/>
      <c r="E1183" s="659"/>
      <c r="F1183" s="659"/>
      <c r="G1183" s="660"/>
      <c r="H1183" s="435">
        <f>H1057</f>
        <v>0</v>
      </c>
      <c r="I1183" s="692" t="s">
        <v>3557</v>
      </c>
      <c r="J1183" s="692"/>
      <c r="K1183" s="435">
        <f>K1057</f>
        <v>0</v>
      </c>
    </row>
    <row r="1184" spans="1:11" ht="12.75" thickBot="1" x14ac:dyDescent="0.25">
      <c r="A1184" s="640" t="s">
        <v>3558</v>
      </c>
      <c r="B1184" s="641"/>
      <c r="C1184" s="641"/>
      <c r="D1184" s="641"/>
      <c r="E1184" s="641"/>
      <c r="F1184" s="641"/>
      <c r="G1184" s="642"/>
      <c r="H1184" s="436">
        <f>SUM(H1182:H1183)</f>
        <v>0</v>
      </c>
      <c r="I1184" s="693" t="s">
        <v>3558</v>
      </c>
      <c r="J1184" s="693"/>
      <c r="K1184" s="436">
        <f>SUM(K1182:K1183)</f>
        <v>0</v>
      </c>
    </row>
    <row r="1185" spans="1:11" x14ac:dyDescent="0.2">
      <c r="A1185" s="240"/>
      <c r="B1185" s="240"/>
      <c r="C1185" s="240"/>
      <c r="D1185" s="240"/>
      <c r="E1185" s="240"/>
      <c r="F1185" s="240"/>
      <c r="I1185" s="433"/>
      <c r="J1185" s="433"/>
      <c r="K1185" s="433"/>
    </row>
    <row r="1187" spans="1:11" ht="12" x14ac:dyDescent="0.2">
      <c r="A1187" s="691"/>
      <c r="B1187" s="691"/>
      <c r="C1187" s="691"/>
      <c r="D1187" s="691"/>
      <c r="E1187" s="304"/>
      <c r="F1187" s="304"/>
      <c r="G1187" s="260" t="s">
        <v>3569</v>
      </c>
      <c r="H1187" s="270"/>
      <c r="I1187" s="691" t="s">
        <v>3537</v>
      </c>
      <c r="J1187" s="691"/>
      <c r="K1187" s="691"/>
    </row>
    <row r="1188" spans="1:11" ht="12" x14ac:dyDescent="0.2">
      <c r="A1188" s="691"/>
      <c r="B1188" s="691"/>
      <c r="C1188" s="691"/>
      <c r="D1188" s="691"/>
      <c r="E1188" s="304"/>
      <c r="F1188" s="304"/>
      <c r="G1188" s="437"/>
      <c r="H1188" s="361"/>
      <c r="I1188" s="691" t="s">
        <v>3788</v>
      </c>
      <c r="J1188" s="691"/>
      <c r="K1188" s="691"/>
    </row>
    <row r="1189" spans="1:11" ht="12" x14ac:dyDescent="0.2">
      <c r="A1189" s="304"/>
      <c r="B1189" s="304"/>
      <c r="C1189" s="304"/>
      <c r="D1189" s="304"/>
      <c r="E1189" s="304"/>
      <c r="F1189" s="304"/>
      <c r="H1189" s="254"/>
      <c r="I1189" s="691"/>
      <c r="J1189" s="691"/>
      <c r="K1189" s="691"/>
    </row>
    <row r="1190" spans="1:11" ht="12" x14ac:dyDescent="0.2">
      <c r="A1190" s="304"/>
      <c r="B1190" s="304"/>
      <c r="C1190" s="304"/>
      <c r="D1190" s="304"/>
      <c r="E1190" s="304"/>
      <c r="F1190" s="304"/>
      <c r="H1190" s="254"/>
      <c r="I1190" s="691"/>
      <c r="J1190" s="691"/>
      <c r="K1190" s="691"/>
    </row>
    <row r="1191" spans="1:11" ht="12" x14ac:dyDescent="0.2">
      <c r="A1191" s="304"/>
      <c r="B1191" s="304"/>
      <c r="C1191" s="304"/>
      <c r="D1191" s="304"/>
      <c r="E1191" s="304"/>
      <c r="F1191" s="304"/>
      <c r="H1191" s="254"/>
      <c r="I1191" s="691" t="s">
        <v>3538</v>
      </c>
      <c r="J1191" s="691"/>
      <c r="K1191" s="691"/>
    </row>
    <row r="1192" spans="1:11" ht="12" x14ac:dyDescent="0.2">
      <c r="A1192" s="304"/>
      <c r="B1192" s="304"/>
      <c r="C1192" s="304"/>
      <c r="D1192" s="304"/>
      <c r="E1192" s="304"/>
      <c r="F1192" s="304"/>
      <c r="H1192" s="254"/>
      <c r="I1192" s="304"/>
      <c r="J1192" s="304"/>
      <c r="K1192" s="304"/>
    </row>
    <row r="1193" spans="1:11" ht="12" x14ac:dyDescent="0.2">
      <c r="A1193" s="304"/>
      <c r="B1193" s="304"/>
      <c r="C1193" s="304"/>
      <c r="D1193" s="304"/>
      <c r="E1193" s="304"/>
      <c r="F1193" s="304"/>
      <c r="H1193" s="254"/>
      <c r="I1193" s="304"/>
      <c r="J1193" s="304"/>
      <c r="K1193" s="304"/>
    </row>
    <row r="1194" spans="1:11" ht="12" x14ac:dyDescent="0.2">
      <c r="A1194" s="304"/>
      <c r="B1194" s="304"/>
      <c r="C1194" s="304"/>
      <c r="D1194" s="304"/>
      <c r="E1194" s="304"/>
      <c r="F1194" s="304"/>
      <c r="H1194" s="254"/>
      <c r="I1194" s="304"/>
      <c r="J1194" s="304"/>
      <c r="K1194" s="304"/>
    </row>
    <row r="1195" spans="1:11" ht="12" x14ac:dyDescent="0.2">
      <c r="A1195" s="304"/>
      <c r="B1195" s="304"/>
      <c r="C1195" s="304"/>
      <c r="D1195" s="304"/>
      <c r="E1195" s="304"/>
      <c r="F1195" s="304"/>
      <c r="H1195" s="254"/>
      <c r="I1195" s="304"/>
      <c r="J1195" s="304"/>
      <c r="K1195" s="304"/>
    </row>
    <row r="1196" spans="1:11" ht="12" x14ac:dyDescent="0.2">
      <c r="A1196" s="304"/>
      <c r="B1196" s="304"/>
      <c r="C1196" s="304"/>
      <c r="D1196" s="304"/>
      <c r="E1196" s="304"/>
      <c r="F1196" s="304"/>
      <c r="H1196" s="254"/>
      <c r="I1196" s="304"/>
      <c r="J1196" s="304"/>
      <c r="K1196" s="304"/>
    </row>
    <row r="1197" spans="1:11" ht="12.75" x14ac:dyDescent="0.2">
      <c r="A1197" s="428" t="s">
        <v>3747</v>
      </c>
      <c r="B1197" s="305"/>
      <c r="C1197" s="143"/>
      <c r="D1197" s="305"/>
      <c r="E1197" s="305"/>
      <c r="F1197" s="305"/>
      <c r="G1197" s="143"/>
      <c r="H1197" s="143"/>
      <c r="I1197" s="305"/>
      <c r="J1197" s="143"/>
      <c r="K1197" s="143"/>
    </row>
    <row r="1198" spans="1:11" ht="12.75" x14ac:dyDescent="0.2">
      <c r="A1198" s="428" t="s">
        <v>3748</v>
      </c>
      <c r="B1198" s="305"/>
      <c r="C1198" s="143"/>
      <c r="D1198" s="305"/>
      <c r="E1198" s="305"/>
      <c r="F1198" s="305"/>
      <c r="G1198" s="143"/>
      <c r="H1198" s="143"/>
      <c r="I1198" s="305"/>
      <c r="J1198" s="143"/>
      <c r="K1198" s="143"/>
    </row>
    <row r="1199" spans="1:11" ht="12.75" x14ac:dyDescent="0.2">
      <c r="A1199" s="687" t="s">
        <v>3345</v>
      </c>
      <c r="B1199" s="687"/>
      <c r="C1199" s="687"/>
      <c r="D1199" s="687"/>
      <c r="E1199" s="687"/>
      <c r="F1199" s="687"/>
      <c r="G1199" s="687"/>
      <c r="H1199" s="687"/>
      <c r="I1199" s="687"/>
      <c r="J1199" s="687"/>
      <c r="K1199" s="687"/>
    </row>
    <row r="1200" spans="1:11" ht="12.75" x14ac:dyDescent="0.2">
      <c r="A1200" s="687" t="s">
        <v>3756</v>
      </c>
      <c r="B1200" s="687"/>
      <c r="C1200" s="687"/>
      <c r="D1200" s="687"/>
      <c r="E1200" s="687"/>
      <c r="F1200" s="687"/>
      <c r="G1200" s="687"/>
      <c r="H1200" s="687"/>
      <c r="I1200" s="687"/>
      <c r="J1200" s="687"/>
      <c r="K1200" s="687"/>
    </row>
    <row r="1201" spans="1:11" x14ac:dyDescent="0.2">
      <c r="A1201" s="18"/>
      <c r="B1201" s="18"/>
      <c r="C1201" s="18"/>
      <c r="D1201" s="18"/>
      <c r="E1201" s="18"/>
      <c r="F1201" s="18"/>
      <c r="G1201" s="18"/>
      <c r="H1201" s="18"/>
      <c r="I1201" s="18"/>
      <c r="J1201" s="18"/>
      <c r="K1201" s="18"/>
    </row>
    <row r="1202" spans="1:11" x14ac:dyDescent="0.2">
      <c r="A1202" s="678" t="s">
        <v>3346</v>
      </c>
      <c r="B1202" s="679"/>
      <c r="C1202" s="680" t="s">
        <v>13</v>
      </c>
      <c r="D1202" s="678" t="s">
        <v>3347</v>
      </c>
      <c r="E1202" s="679"/>
      <c r="F1202" s="688" t="s">
        <v>90</v>
      </c>
      <c r="G1202" s="689"/>
      <c r="H1202" s="690"/>
      <c r="I1202" s="688" t="s">
        <v>10</v>
      </c>
      <c r="J1202" s="689"/>
      <c r="K1202" s="690"/>
    </row>
    <row r="1203" spans="1:11" x14ac:dyDescent="0.2">
      <c r="A1203" s="680" t="s">
        <v>12</v>
      </c>
      <c r="B1203" s="680" t="s">
        <v>21</v>
      </c>
      <c r="C1203" s="681"/>
      <c r="D1203" s="665" t="s">
        <v>12</v>
      </c>
      <c r="E1203" s="665" t="s">
        <v>3348</v>
      </c>
      <c r="F1203" s="665" t="s">
        <v>3285</v>
      </c>
      <c r="G1203" s="665" t="s">
        <v>3282</v>
      </c>
      <c r="H1203" s="665" t="s">
        <v>3539</v>
      </c>
      <c r="I1203" s="665" t="s">
        <v>3285</v>
      </c>
      <c r="J1203" s="665" t="s">
        <v>3282</v>
      </c>
      <c r="K1203" s="665" t="s">
        <v>3539</v>
      </c>
    </row>
    <row r="1204" spans="1:11" x14ac:dyDescent="0.2">
      <c r="A1204" s="682"/>
      <c r="B1204" s="682"/>
      <c r="C1204" s="682"/>
      <c r="D1204" s="667"/>
      <c r="E1204" s="667"/>
      <c r="F1204" s="667"/>
      <c r="G1204" s="667"/>
      <c r="H1204" s="667"/>
      <c r="I1204" s="667"/>
      <c r="J1204" s="667"/>
      <c r="K1204" s="667"/>
    </row>
    <row r="1205" spans="1:11" x14ac:dyDescent="0.2">
      <c r="A1205" s="366" t="s">
        <v>4960</v>
      </c>
      <c r="B1205" s="210">
        <v>771</v>
      </c>
      <c r="C1205" s="60" t="s">
        <v>4457</v>
      </c>
      <c r="D1205" s="10" t="str">
        <f t="shared" ref="D1205:D1222" si="62">A1205</f>
        <v>03 Nov</v>
      </c>
      <c r="E1205" s="6" t="s">
        <v>3366</v>
      </c>
      <c r="F1205" s="235" t="s">
        <v>3353</v>
      </c>
      <c r="G1205" s="266" t="s">
        <v>4009</v>
      </c>
      <c r="H1205" s="236"/>
      <c r="I1205" s="10" t="s">
        <v>3343</v>
      </c>
      <c r="J1205" s="31" t="s">
        <v>11</v>
      </c>
      <c r="K1205" s="429">
        <f>H1205</f>
        <v>0</v>
      </c>
    </row>
    <row r="1206" spans="1:11" x14ac:dyDescent="0.2">
      <c r="A1206" s="72"/>
      <c r="B1206" s="72">
        <v>772</v>
      </c>
      <c r="C1206" s="31" t="s">
        <v>4961</v>
      </c>
      <c r="D1206" s="10">
        <f t="shared" si="62"/>
        <v>0</v>
      </c>
      <c r="E1206" s="10" t="s">
        <v>3366</v>
      </c>
      <c r="F1206" s="507" t="s">
        <v>3934</v>
      </c>
      <c r="G1206" s="264" t="s">
        <v>4032</v>
      </c>
      <c r="H1206" s="237"/>
      <c r="I1206" s="10" t="s">
        <v>3343</v>
      </c>
      <c r="J1206" s="31" t="s">
        <v>11</v>
      </c>
      <c r="K1206" s="429">
        <f t="shared" ref="K1206:K1269" si="63">H1206</f>
        <v>0</v>
      </c>
    </row>
    <row r="1207" spans="1:11" x14ac:dyDescent="0.2">
      <c r="A1207" s="72"/>
      <c r="B1207" s="72">
        <v>773</v>
      </c>
      <c r="C1207" s="31" t="s">
        <v>4962</v>
      </c>
      <c r="D1207" s="10">
        <f t="shared" si="62"/>
        <v>0</v>
      </c>
      <c r="E1207" s="10" t="s">
        <v>3366</v>
      </c>
      <c r="F1207" s="218" t="s">
        <v>3935</v>
      </c>
      <c r="G1207" s="264" t="s">
        <v>3406</v>
      </c>
      <c r="H1207" s="237"/>
      <c r="I1207" s="10" t="s">
        <v>3343</v>
      </c>
      <c r="J1207" s="31" t="s">
        <v>11</v>
      </c>
      <c r="K1207" s="429">
        <f t="shared" si="63"/>
        <v>0</v>
      </c>
    </row>
    <row r="1208" spans="1:11" x14ac:dyDescent="0.2">
      <c r="A1208" s="72"/>
      <c r="B1208" s="72">
        <v>774</v>
      </c>
      <c r="C1208" s="31" t="s">
        <v>3846</v>
      </c>
      <c r="D1208" s="10">
        <f t="shared" si="62"/>
        <v>0</v>
      </c>
      <c r="E1208" s="10" t="s">
        <v>3366</v>
      </c>
      <c r="F1208" s="218" t="s">
        <v>3922</v>
      </c>
      <c r="G1208" s="264" t="s">
        <v>3984</v>
      </c>
      <c r="H1208" s="237"/>
      <c r="I1208" s="10" t="s">
        <v>3343</v>
      </c>
      <c r="J1208" s="31" t="s">
        <v>11</v>
      </c>
      <c r="K1208" s="429">
        <f t="shared" si="63"/>
        <v>0</v>
      </c>
    </row>
    <row r="1209" spans="1:11" x14ac:dyDescent="0.2">
      <c r="A1209" s="72" t="s">
        <v>4963</v>
      </c>
      <c r="B1209" s="72">
        <v>775</v>
      </c>
      <c r="C1209" s="31" t="s">
        <v>3997</v>
      </c>
      <c r="D1209" s="10" t="str">
        <f t="shared" si="62"/>
        <v>05 Nov</v>
      </c>
      <c r="E1209" s="10" t="s">
        <v>3366</v>
      </c>
      <c r="F1209" s="218" t="s">
        <v>3939</v>
      </c>
      <c r="G1209" s="264" t="s">
        <v>3940</v>
      </c>
      <c r="H1209" s="237"/>
      <c r="I1209" s="10" t="s">
        <v>3343</v>
      </c>
      <c r="J1209" s="31" t="s">
        <v>11</v>
      </c>
      <c r="K1209" s="429">
        <f t="shared" si="63"/>
        <v>0</v>
      </c>
    </row>
    <row r="1210" spans="1:11" x14ac:dyDescent="0.2">
      <c r="A1210" s="72" t="s">
        <v>4964</v>
      </c>
      <c r="B1210" s="72">
        <v>776</v>
      </c>
      <c r="C1210" s="31" t="s">
        <v>4965</v>
      </c>
      <c r="D1210" s="10" t="str">
        <f t="shared" si="62"/>
        <v>07 Nov</v>
      </c>
      <c r="E1210" s="10" t="s">
        <v>3366</v>
      </c>
      <c r="F1210" s="218" t="s">
        <v>3934</v>
      </c>
      <c r="G1210" s="264" t="s">
        <v>4032</v>
      </c>
      <c r="H1210" s="237"/>
      <c r="I1210" s="10" t="s">
        <v>3343</v>
      </c>
      <c r="J1210" s="31" t="s">
        <v>11</v>
      </c>
      <c r="K1210" s="429">
        <f t="shared" si="63"/>
        <v>0</v>
      </c>
    </row>
    <row r="1211" spans="1:11" x14ac:dyDescent="0.2">
      <c r="A1211" s="72" t="s">
        <v>4966</v>
      </c>
      <c r="B1211" s="72">
        <v>777</v>
      </c>
      <c r="C1211" s="31" t="s">
        <v>4144</v>
      </c>
      <c r="D1211" s="10" t="str">
        <f t="shared" si="62"/>
        <v>10 Nov</v>
      </c>
      <c r="E1211" s="10" t="s">
        <v>3366</v>
      </c>
      <c r="F1211" s="218" t="s">
        <v>3921</v>
      </c>
      <c r="G1211" s="264" t="s">
        <v>3402</v>
      </c>
      <c r="H1211" s="237"/>
      <c r="I1211" s="10" t="s">
        <v>3343</v>
      </c>
      <c r="J1211" s="31" t="s">
        <v>11</v>
      </c>
      <c r="K1211" s="429">
        <f t="shared" si="63"/>
        <v>0</v>
      </c>
    </row>
    <row r="1212" spans="1:11" x14ac:dyDescent="0.2">
      <c r="A1212" s="72"/>
      <c r="B1212" s="72">
        <v>778</v>
      </c>
      <c r="C1212" s="31" t="s">
        <v>4967</v>
      </c>
      <c r="D1212" s="10">
        <f t="shared" si="62"/>
        <v>0</v>
      </c>
      <c r="E1212" s="10" t="s">
        <v>3366</v>
      </c>
      <c r="F1212" s="218" t="s">
        <v>3934</v>
      </c>
      <c r="G1212" s="264" t="s">
        <v>4968</v>
      </c>
      <c r="H1212" s="237"/>
      <c r="I1212" s="10" t="s">
        <v>3343</v>
      </c>
      <c r="J1212" s="31" t="s">
        <v>11</v>
      </c>
      <c r="K1212" s="429">
        <f t="shared" si="63"/>
        <v>0</v>
      </c>
    </row>
    <row r="1213" spans="1:11" x14ac:dyDescent="0.2">
      <c r="A1213" s="263" t="s">
        <v>4969</v>
      </c>
      <c r="B1213" s="72">
        <v>779</v>
      </c>
      <c r="C1213" s="31" t="s">
        <v>3841</v>
      </c>
      <c r="D1213" s="10" t="str">
        <f t="shared" si="62"/>
        <v>11 Nov</v>
      </c>
      <c r="E1213" s="10" t="s">
        <v>3366</v>
      </c>
      <c r="F1213" s="218" t="s">
        <v>3924</v>
      </c>
      <c r="G1213" s="264" t="s">
        <v>3410</v>
      </c>
      <c r="H1213" s="237"/>
      <c r="I1213" s="10" t="s">
        <v>3343</v>
      </c>
      <c r="J1213" s="31" t="s">
        <v>11</v>
      </c>
      <c r="K1213" s="429">
        <f t="shared" si="63"/>
        <v>0</v>
      </c>
    </row>
    <row r="1214" spans="1:11" x14ac:dyDescent="0.2">
      <c r="A1214" s="72"/>
      <c r="B1214" s="72">
        <v>780</v>
      </c>
      <c r="C1214" s="31" t="s">
        <v>3842</v>
      </c>
      <c r="D1214" s="10">
        <f t="shared" si="62"/>
        <v>0</v>
      </c>
      <c r="E1214" s="10" t="s">
        <v>3366</v>
      </c>
      <c r="F1214" s="218" t="s">
        <v>3924</v>
      </c>
      <c r="G1214" s="264" t="s">
        <v>3410</v>
      </c>
      <c r="H1214" s="237"/>
      <c r="I1214" s="10" t="s">
        <v>3343</v>
      </c>
      <c r="J1214" s="31" t="s">
        <v>11</v>
      </c>
      <c r="K1214" s="429">
        <f t="shared" si="63"/>
        <v>0</v>
      </c>
    </row>
    <row r="1215" spans="1:11" x14ac:dyDescent="0.2">
      <c r="A1215" s="72"/>
      <c r="B1215" s="72">
        <v>781</v>
      </c>
      <c r="C1215" s="31" t="s">
        <v>3843</v>
      </c>
      <c r="D1215" s="10">
        <f t="shared" si="62"/>
        <v>0</v>
      </c>
      <c r="E1215" s="10" t="s">
        <v>3366</v>
      </c>
      <c r="F1215" s="218" t="s">
        <v>3924</v>
      </c>
      <c r="G1215" s="264" t="s">
        <v>3410</v>
      </c>
      <c r="H1215" s="237"/>
      <c r="I1215" s="10" t="s">
        <v>3343</v>
      </c>
      <c r="J1215" s="31" t="s">
        <v>11</v>
      </c>
      <c r="K1215" s="429">
        <f t="shared" si="63"/>
        <v>0</v>
      </c>
    </row>
    <row r="1216" spans="1:11" x14ac:dyDescent="0.2">
      <c r="A1216" s="72"/>
      <c r="B1216" s="72">
        <v>782</v>
      </c>
      <c r="C1216" s="31" t="s">
        <v>3844</v>
      </c>
      <c r="D1216" s="10">
        <f t="shared" si="62"/>
        <v>0</v>
      </c>
      <c r="E1216" s="10" t="s">
        <v>3366</v>
      </c>
      <c r="F1216" s="218" t="s">
        <v>3925</v>
      </c>
      <c r="G1216" s="264" t="s">
        <v>3926</v>
      </c>
      <c r="H1216" s="237"/>
      <c r="I1216" s="10" t="s">
        <v>3343</v>
      </c>
      <c r="J1216" s="31" t="s">
        <v>11</v>
      </c>
      <c r="K1216" s="429">
        <f t="shared" si="63"/>
        <v>0</v>
      </c>
    </row>
    <row r="1217" spans="1:11" x14ac:dyDescent="0.2">
      <c r="A1217" s="72"/>
      <c r="B1217" s="72"/>
      <c r="C1217" s="31"/>
      <c r="D1217" s="10">
        <f t="shared" si="62"/>
        <v>0</v>
      </c>
      <c r="E1217" s="10" t="s">
        <v>3366</v>
      </c>
      <c r="F1217" s="218" t="s">
        <v>3520</v>
      </c>
      <c r="G1217" s="264" t="s">
        <v>3928</v>
      </c>
      <c r="H1217" s="237"/>
      <c r="I1217" s="10" t="s">
        <v>3343</v>
      </c>
      <c r="J1217" s="31" t="s">
        <v>11</v>
      </c>
      <c r="K1217" s="429">
        <f t="shared" si="63"/>
        <v>0</v>
      </c>
    </row>
    <row r="1218" spans="1:11" x14ac:dyDescent="0.2">
      <c r="A1218" s="72"/>
      <c r="B1218" s="72"/>
      <c r="C1218" s="31"/>
      <c r="D1218" s="10">
        <f t="shared" si="62"/>
        <v>0</v>
      </c>
      <c r="E1218" s="10" t="s">
        <v>3366</v>
      </c>
      <c r="F1218" s="218" t="s">
        <v>3543</v>
      </c>
      <c r="G1218" s="264" t="s">
        <v>3927</v>
      </c>
      <c r="H1218" s="237"/>
      <c r="I1218" s="10" t="s">
        <v>3343</v>
      </c>
      <c r="J1218" s="31" t="s">
        <v>11</v>
      </c>
      <c r="K1218" s="429">
        <f t="shared" si="63"/>
        <v>0</v>
      </c>
    </row>
    <row r="1219" spans="1:11" x14ac:dyDescent="0.2">
      <c r="A1219" s="72"/>
      <c r="B1219" s="72">
        <v>783</v>
      </c>
      <c r="C1219" s="31" t="s">
        <v>4970</v>
      </c>
      <c r="D1219" s="10">
        <f t="shared" si="62"/>
        <v>0</v>
      </c>
      <c r="E1219" s="10" t="s">
        <v>3366</v>
      </c>
      <c r="F1219" s="218" t="s">
        <v>3960</v>
      </c>
      <c r="G1219" s="264" t="s">
        <v>3456</v>
      </c>
      <c r="H1219" s="237"/>
      <c r="I1219" s="10" t="s">
        <v>3343</v>
      </c>
      <c r="J1219" s="31" t="s">
        <v>11</v>
      </c>
      <c r="K1219" s="429">
        <f t="shared" si="63"/>
        <v>0</v>
      </c>
    </row>
    <row r="1220" spans="1:11" x14ac:dyDescent="0.2">
      <c r="A1220" s="72"/>
      <c r="B1220" s="72">
        <v>784</v>
      </c>
      <c r="C1220" s="31" t="s">
        <v>4971</v>
      </c>
      <c r="D1220" s="10">
        <f t="shared" si="62"/>
        <v>0</v>
      </c>
      <c r="E1220" s="10" t="s">
        <v>3366</v>
      </c>
      <c r="F1220" s="218" t="s">
        <v>3935</v>
      </c>
      <c r="G1220" s="264" t="s">
        <v>3406</v>
      </c>
      <c r="H1220" s="237"/>
      <c r="I1220" s="10" t="s">
        <v>3343</v>
      </c>
      <c r="J1220" s="31" t="s">
        <v>11</v>
      </c>
      <c r="K1220" s="429">
        <f t="shared" si="63"/>
        <v>0</v>
      </c>
    </row>
    <row r="1221" spans="1:11" x14ac:dyDescent="0.2">
      <c r="A1221" s="263"/>
      <c r="B1221" s="72">
        <v>785</v>
      </c>
      <c r="C1221" s="31" t="s">
        <v>4972</v>
      </c>
      <c r="D1221" s="10">
        <f t="shared" si="62"/>
        <v>0</v>
      </c>
      <c r="E1221" s="10" t="s">
        <v>3366</v>
      </c>
      <c r="F1221" s="218" t="s">
        <v>3935</v>
      </c>
      <c r="G1221" s="264" t="s">
        <v>3406</v>
      </c>
      <c r="H1221" s="237"/>
      <c r="I1221" s="10" t="s">
        <v>3343</v>
      </c>
      <c r="J1221" s="31" t="s">
        <v>11</v>
      </c>
      <c r="K1221" s="429">
        <f t="shared" si="63"/>
        <v>0</v>
      </c>
    </row>
    <row r="1222" spans="1:11" x14ac:dyDescent="0.2">
      <c r="A1222" s="72"/>
      <c r="B1222" s="72">
        <v>786</v>
      </c>
      <c r="C1222" s="31" t="s">
        <v>4973</v>
      </c>
      <c r="D1222" s="10">
        <f t="shared" si="62"/>
        <v>0</v>
      </c>
      <c r="E1222" s="10" t="s">
        <v>3366</v>
      </c>
      <c r="F1222" s="218" t="s">
        <v>4766</v>
      </c>
      <c r="G1222" s="264" t="s">
        <v>4767</v>
      </c>
      <c r="H1222" s="237"/>
      <c r="I1222" s="10" t="s">
        <v>3343</v>
      </c>
      <c r="J1222" s="31" t="s">
        <v>11</v>
      </c>
      <c r="K1222" s="429">
        <f t="shared" si="63"/>
        <v>0</v>
      </c>
    </row>
    <row r="1223" spans="1:11" x14ac:dyDescent="0.2">
      <c r="A1223" s="72"/>
      <c r="B1223" s="72">
        <v>787</v>
      </c>
      <c r="C1223" s="31" t="s">
        <v>4974</v>
      </c>
      <c r="D1223" s="10">
        <v>0</v>
      </c>
      <c r="E1223" s="10" t="s">
        <v>3366</v>
      </c>
      <c r="F1223" s="218" t="s">
        <v>4766</v>
      </c>
      <c r="G1223" s="264" t="s">
        <v>4767</v>
      </c>
      <c r="H1223" s="237"/>
      <c r="I1223" s="10" t="s">
        <v>3343</v>
      </c>
      <c r="J1223" s="31" t="s">
        <v>11</v>
      </c>
      <c r="K1223" s="429">
        <f t="shared" si="63"/>
        <v>0</v>
      </c>
    </row>
    <row r="1224" spans="1:11" x14ac:dyDescent="0.2">
      <c r="A1224" s="72" t="s">
        <v>4975</v>
      </c>
      <c r="B1224" s="72">
        <v>788</v>
      </c>
      <c r="C1224" s="31" t="s">
        <v>4976</v>
      </c>
      <c r="D1224" s="10" t="str">
        <f t="shared" ref="D1224:D1287" si="64">A1224</f>
        <v>12 Nov</v>
      </c>
      <c r="E1224" s="10" t="s">
        <v>3366</v>
      </c>
      <c r="F1224" s="218" t="s">
        <v>3944</v>
      </c>
      <c r="G1224" s="264" t="s">
        <v>4017</v>
      </c>
      <c r="H1224" s="237"/>
      <c r="I1224" s="10" t="s">
        <v>3343</v>
      </c>
      <c r="J1224" s="31" t="s">
        <v>11</v>
      </c>
      <c r="K1224" s="429">
        <f t="shared" si="63"/>
        <v>0</v>
      </c>
    </row>
    <row r="1225" spans="1:11" x14ac:dyDescent="0.2">
      <c r="A1225" s="72" t="s">
        <v>4977</v>
      </c>
      <c r="B1225" s="72">
        <v>789</v>
      </c>
      <c r="C1225" s="31" t="s">
        <v>4978</v>
      </c>
      <c r="D1225" s="10" t="str">
        <f t="shared" si="64"/>
        <v>13 Nov</v>
      </c>
      <c r="E1225" s="10" t="s">
        <v>3366</v>
      </c>
      <c r="F1225" s="218" t="s">
        <v>3545</v>
      </c>
      <c r="G1225" s="264" t="s">
        <v>3544</v>
      </c>
      <c r="H1225" s="237"/>
      <c r="I1225" s="10" t="s">
        <v>3343</v>
      </c>
      <c r="J1225" s="31" t="s">
        <v>11</v>
      </c>
      <c r="K1225" s="429">
        <f t="shared" si="63"/>
        <v>0</v>
      </c>
    </row>
    <row r="1226" spans="1:11" x14ac:dyDescent="0.2">
      <c r="A1226" s="72"/>
      <c r="B1226" s="72">
        <v>790</v>
      </c>
      <c r="C1226" s="265" t="s">
        <v>4979</v>
      </c>
      <c r="D1226" s="10">
        <f t="shared" si="64"/>
        <v>0</v>
      </c>
      <c r="E1226" s="10" t="s">
        <v>3366</v>
      </c>
      <c r="F1226" s="218" t="s">
        <v>3922</v>
      </c>
      <c r="G1226" s="267" t="s">
        <v>4054</v>
      </c>
      <c r="H1226" s="237"/>
      <c r="I1226" s="10" t="s">
        <v>3343</v>
      </c>
      <c r="J1226" s="31" t="s">
        <v>11</v>
      </c>
      <c r="K1226" s="429">
        <f t="shared" si="63"/>
        <v>0</v>
      </c>
    </row>
    <row r="1227" spans="1:11" x14ac:dyDescent="0.2">
      <c r="A1227" s="72"/>
      <c r="B1227" s="72">
        <v>791</v>
      </c>
      <c r="C1227" s="265" t="s">
        <v>4980</v>
      </c>
      <c r="D1227" s="10">
        <f t="shared" si="64"/>
        <v>0</v>
      </c>
      <c r="E1227" s="10" t="s">
        <v>3366</v>
      </c>
      <c r="F1227" s="218" t="s">
        <v>4072</v>
      </c>
      <c r="G1227" s="264" t="s">
        <v>4073</v>
      </c>
      <c r="H1227" s="237"/>
      <c r="I1227" s="10" t="s">
        <v>3343</v>
      </c>
      <c r="J1227" s="31" t="s">
        <v>11</v>
      </c>
      <c r="K1227" s="429">
        <f t="shared" si="63"/>
        <v>0</v>
      </c>
    </row>
    <row r="1228" spans="1:11" x14ac:dyDescent="0.2">
      <c r="A1228" s="72" t="s">
        <v>4981</v>
      </c>
      <c r="B1228" s="72">
        <v>792</v>
      </c>
      <c r="C1228" s="265" t="s">
        <v>3845</v>
      </c>
      <c r="D1228" s="10" t="str">
        <f t="shared" si="64"/>
        <v>17 Nov</v>
      </c>
      <c r="E1228" s="10" t="s">
        <v>3366</v>
      </c>
      <c r="F1228" s="218" t="s">
        <v>3929</v>
      </c>
      <c r="G1228" s="264" t="s">
        <v>3930</v>
      </c>
      <c r="H1228" s="237"/>
      <c r="I1228" s="10" t="s">
        <v>3343</v>
      </c>
      <c r="J1228" s="31" t="s">
        <v>11</v>
      </c>
      <c r="K1228" s="429">
        <f t="shared" si="63"/>
        <v>0</v>
      </c>
    </row>
    <row r="1229" spans="1:11" x14ac:dyDescent="0.2">
      <c r="A1229" s="72"/>
      <c r="B1229" s="72">
        <v>793</v>
      </c>
      <c r="C1229" s="265" t="s">
        <v>3997</v>
      </c>
      <c r="D1229" s="10">
        <f t="shared" si="64"/>
        <v>0</v>
      </c>
      <c r="E1229" s="10" t="s">
        <v>3366</v>
      </c>
      <c r="F1229" s="218" t="s">
        <v>3939</v>
      </c>
      <c r="G1229" s="264" t="s">
        <v>3940</v>
      </c>
      <c r="H1229" s="237"/>
      <c r="I1229" s="10" t="s">
        <v>3343</v>
      </c>
      <c r="J1229" s="31" t="s">
        <v>11</v>
      </c>
      <c r="K1229" s="429">
        <f t="shared" si="63"/>
        <v>0</v>
      </c>
    </row>
    <row r="1230" spans="1:11" x14ac:dyDescent="0.2">
      <c r="A1230" s="72" t="s">
        <v>4982</v>
      </c>
      <c r="B1230" s="72">
        <v>794</v>
      </c>
      <c r="C1230" s="31" t="s">
        <v>4983</v>
      </c>
      <c r="D1230" s="10" t="str">
        <f t="shared" si="64"/>
        <v>18 Nov</v>
      </c>
      <c r="E1230" s="10" t="s">
        <v>3366</v>
      </c>
      <c r="F1230" s="218" t="s">
        <v>3969</v>
      </c>
      <c r="G1230" s="267" t="s">
        <v>3970</v>
      </c>
      <c r="H1230" s="237"/>
      <c r="I1230" s="10" t="s">
        <v>3343</v>
      </c>
      <c r="J1230" s="31" t="s">
        <v>11</v>
      </c>
      <c r="K1230" s="429">
        <f>H1230</f>
        <v>0</v>
      </c>
    </row>
    <row r="1231" spans="1:11" x14ac:dyDescent="0.2">
      <c r="A1231" s="72"/>
      <c r="B1231" s="72">
        <v>795</v>
      </c>
      <c r="C1231" s="31" t="s">
        <v>3866</v>
      </c>
      <c r="D1231" s="10">
        <f t="shared" si="64"/>
        <v>0</v>
      </c>
      <c r="E1231" s="10" t="s">
        <v>3366</v>
      </c>
      <c r="F1231" s="218" t="s">
        <v>3946</v>
      </c>
      <c r="G1231" s="267" t="s">
        <v>3432</v>
      </c>
      <c r="H1231" s="237"/>
      <c r="I1231" s="10" t="s">
        <v>3343</v>
      </c>
      <c r="J1231" s="31" t="s">
        <v>11</v>
      </c>
      <c r="K1231" s="429">
        <f>H1231</f>
        <v>0</v>
      </c>
    </row>
    <row r="1232" spans="1:11" x14ac:dyDescent="0.2">
      <c r="A1232" s="72"/>
      <c r="B1232" s="72">
        <v>796</v>
      </c>
      <c r="C1232" s="31" t="s">
        <v>3257</v>
      </c>
      <c r="D1232" s="10">
        <f t="shared" si="64"/>
        <v>0</v>
      </c>
      <c r="E1232" s="10" t="s">
        <v>3366</v>
      </c>
      <c r="F1232" s="218" t="s">
        <v>3922</v>
      </c>
      <c r="G1232" s="267" t="s">
        <v>3984</v>
      </c>
      <c r="H1232" s="237"/>
      <c r="I1232" s="10" t="s">
        <v>3343</v>
      </c>
      <c r="J1232" s="31" t="s">
        <v>11</v>
      </c>
      <c r="K1232" s="429">
        <f>H1232</f>
        <v>0</v>
      </c>
    </row>
    <row r="1233" spans="1:11" x14ac:dyDescent="0.2">
      <c r="A1233" s="72"/>
      <c r="B1233" s="72">
        <v>797</v>
      </c>
      <c r="C1233" s="31" t="s">
        <v>3869</v>
      </c>
      <c r="D1233" s="10">
        <f t="shared" si="64"/>
        <v>0</v>
      </c>
      <c r="E1233" s="10" t="s">
        <v>3366</v>
      </c>
      <c r="F1233" s="218" t="s">
        <v>3947</v>
      </c>
      <c r="G1233" s="267" t="s">
        <v>3436</v>
      </c>
      <c r="H1233" s="237"/>
      <c r="I1233" s="10" t="s">
        <v>3343</v>
      </c>
      <c r="J1233" s="31" t="s">
        <v>11</v>
      </c>
      <c r="K1233" s="429">
        <f>H1233</f>
        <v>0</v>
      </c>
    </row>
    <row r="1234" spans="1:11" x14ac:dyDescent="0.2">
      <c r="A1234" s="72"/>
      <c r="B1234" s="72">
        <v>798</v>
      </c>
      <c r="C1234" s="31" t="s">
        <v>4984</v>
      </c>
      <c r="D1234" s="10">
        <f t="shared" si="64"/>
        <v>0</v>
      </c>
      <c r="E1234" s="10" t="s">
        <v>3366</v>
      </c>
      <c r="F1234" s="218" t="s">
        <v>3989</v>
      </c>
      <c r="G1234" s="267" t="s">
        <v>3990</v>
      </c>
      <c r="H1234" s="237"/>
      <c r="I1234" s="10" t="s">
        <v>3343</v>
      </c>
      <c r="J1234" s="31" t="s">
        <v>11</v>
      </c>
      <c r="K1234" s="429">
        <f>H1234</f>
        <v>0</v>
      </c>
    </row>
    <row r="1235" spans="1:11" x14ac:dyDescent="0.2">
      <c r="A1235" s="72" t="s">
        <v>4985</v>
      </c>
      <c r="B1235" s="72">
        <v>799</v>
      </c>
      <c r="C1235" s="31" t="s">
        <v>4986</v>
      </c>
      <c r="D1235" s="10" t="str">
        <f t="shared" si="64"/>
        <v>19 Nov</v>
      </c>
      <c r="E1235" s="10" t="s">
        <v>3366</v>
      </c>
      <c r="F1235" s="218" t="s">
        <v>3925</v>
      </c>
      <c r="G1235" s="267" t="s">
        <v>3979</v>
      </c>
      <c r="H1235" s="237"/>
      <c r="I1235" s="10" t="s">
        <v>3343</v>
      </c>
      <c r="J1235" s="31" t="s">
        <v>11</v>
      </c>
      <c r="K1235" s="429">
        <f t="shared" si="63"/>
        <v>0</v>
      </c>
    </row>
    <row r="1236" spans="1:11" x14ac:dyDescent="0.2">
      <c r="A1236" s="72" t="s">
        <v>4987</v>
      </c>
      <c r="B1236" s="72">
        <v>800</v>
      </c>
      <c r="C1236" s="31" t="s">
        <v>4988</v>
      </c>
      <c r="D1236" s="10" t="str">
        <f t="shared" si="64"/>
        <v>20 Nov</v>
      </c>
      <c r="E1236" s="10" t="s">
        <v>3366</v>
      </c>
      <c r="F1236" s="218" t="s">
        <v>3974</v>
      </c>
      <c r="G1236" s="267" t="s">
        <v>3975</v>
      </c>
      <c r="H1236" s="237"/>
      <c r="I1236" s="10" t="s">
        <v>3343</v>
      </c>
      <c r="J1236" s="31" t="s">
        <v>11</v>
      </c>
      <c r="K1236" s="429">
        <f t="shared" si="63"/>
        <v>0</v>
      </c>
    </row>
    <row r="1237" spans="1:11" x14ac:dyDescent="0.2">
      <c r="A1237" s="72"/>
      <c r="B1237" s="72">
        <v>801</v>
      </c>
      <c r="C1237" s="31" t="s">
        <v>4989</v>
      </c>
      <c r="D1237" s="10">
        <f t="shared" si="64"/>
        <v>0</v>
      </c>
      <c r="E1237" s="10" t="s">
        <v>3366</v>
      </c>
      <c r="F1237" s="218" t="s">
        <v>4013</v>
      </c>
      <c r="G1237" s="267" t="s">
        <v>4052</v>
      </c>
      <c r="H1237" s="237"/>
      <c r="I1237" s="10" t="s">
        <v>3343</v>
      </c>
      <c r="J1237" s="31" t="s">
        <v>11</v>
      </c>
      <c r="K1237" s="429">
        <f t="shared" si="63"/>
        <v>0</v>
      </c>
    </row>
    <row r="1238" spans="1:11" x14ac:dyDescent="0.2">
      <c r="A1238" s="72"/>
      <c r="B1238" s="72">
        <v>802</v>
      </c>
      <c r="C1238" s="265" t="s">
        <v>4990</v>
      </c>
      <c r="D1238" s="10">
        <f t="shared" si="64"/>
        <v>0</v>
      </c>
      <c r="E1238" s="10" t="s">
        <v>3366</v>
      </c>
      <c r="F1238" s="218" t="s">
        <v>3969</v>
      </c>
      <c r="G1238" s="264" t="s">
        <v>3970</v>
      </c>
      <c r="H1238" s="237"/>
      <c r="I1238" s="10" t="s">
        <v>3343</v>
      </c>
      <c r="J1238" s="31" t="s">
        <v>11</v>
      </c>
      <c r="K1238" s="429">
        <f t="shared" si="63"/>
        <v>0</v>
      </c>
    </row>
    <row r="1239" spans="1:11" x14ac:dyDescent="0.2">
      <c r="A1239" s="72"/>
      <c r="B1239" s="72">
        <v>803</v>
      </c>
      <c r="C1239" s="265" t="s">
        <v>4574</v>
      </c>
      <c r="D1239" s="10">
        <f t="shared" si="64"/>
        <v>0</v>
      </c>
      <c r="E1239" s="10" t="s">
        <v>3366</v>
      </c>
      <c r="F1239" s="218" t="s">
        <v>4038</v>
      </c>
      <c r="G1239" s="264" t="s">
        <v>4039</v>
      </c>
      <c r="H1239" s="237"/>
      <c r="I1239" s="10" t="s">
        <v>3343</v>
      </c>
      <c r="J1239" s="31" t="s">
        <v>11</v>
      </c>
      <c r="K1239" s="429">
        <f t="shared" si="63"/>
        <v>0</v>
      </c>
    </row>
    <row r="1240" spans="1:11" x14ac:dyDescent="0.2">
      <c r="A1240" s="72" t="s">
        <v>4991</v>
      </c>
      <c r="B1240" s="72">
        <v>804</v>
      </c>
      <c r="C1240" s="265" t="s">
        <v>4992</v>
      </c>
      <c r="D1240" s="10" t="str">
        <f t="shared" si="64"/>
        <v>21 Nov</v>
      </c>
      <c r="E1240" s="10" t="s">
        <v>3366</v>
      </c>
      <c r="F1240" s="218" t="s">
        <v>4005</v>
      </c>
      <c r="G1240" s="264" t="s">
        <v>4993</v>
      </c>
      <c r="H1240" s="237"/>
      <c r="I1240" s="10" t="s">
        <v>3343</v>
      </c>
      <c r="J1240" s="31" t="s">
        <v>11</v>
      </c>
      <c r="K1240" s="429">
        <f t="shared" si="63"/>
        <v>0</v>
      </c>
    </row>
    <row r="1241" spans="1:11" x14ac:dyDescent="0.2">
      <c r="A1241" s="72"/>
      <c r="B1241" s="72">
        <v>805</v>
      </c>
      <c r="C1241" s="265" t="s">
        <v>4427</v>
      </c>
      <c r="D1241" s="10">
        <f t="shared" si="64"/>
        <v>0</v>
      </c>
      <c r="E1241" s="10" t="s">
        <v>3366</v>
      </c>
      <c r="F1241" s="218" t="s">
        <v>3922</v>
      </c>
      <c r="G1241" s="267" t="s">
        <v>3984</v>
      </c>
      <c r="H1241" s="237"/>
      <c r="I1241" s="10" t="s">
        <v>3343</v>
      </c>
      <c r="J1241" s="31" t="s">
        <v>11</v>
      </c>
      <c r="K1241" s="429">
        <f t="shared" si="63"/>
        <v>0</v>
      </c>
    </row>
    <row r="1242" spans="1:11" x14ac:dyDescent="0.2">
      <c r="A1242" s="72" t="s">
        <v>4994</v>
      </c>
      <c r="B1242" s="72">
        <v>806</v>
      </c>
      <c r="C1242" s="31" t="s">
        <v>4995</v>
      </c>
      <c r="D1242" s="10" t="str">
        <f t="shared" si="64"/>
        <v>24 Nov</v>
      </c>
      <c r="E1242" s="10" t="s">
        <v>3366</v>
      </c>
      <c r="F1242" s="218" t="s">
        <v>4001</v>
      </c>
      <c r="G1242" s="264" t="s">
        <v>3741</v>
      </c>
      <c r="H1242" s="237"/>
      <c r="I1242" s="10" t="s">
        <v>3343</v>
      </c>
      <c r="J1242" s="31" t="s">
        <v>11</v>
      </c>
      <c r="K1242" s="429">
        <f t="shared" si="63"/>
        <v>0</v>
      </c>
    </row>
    <row r="1243" spans="1:11" x14ac:dyDescent="0.2">
      <c r="A1243" s="72" t="s">
        <v>4996</v>
      </c>
      <c r="B1243" s="72">
        <v>807</v>
      </c>
      <c r="C1243" s="31" t="s">
        <v>4060</v>
      </c>
      <c r="D1243" s="10" t="str">
        <f t="shared" si="64"/>
        <v>25 Nov</v>
      </c>
      <c r="E1243" s="10" t="s">
        <v>3366</v>
      </c>
      <c r="F1243" s="218" t="s">
        <v>3921</v>
      </c>
      <c r="G1243" s="264" t="s">
        <v>3402</v>
      </c>
      <c r="H1243" s="237"/>
      <c r="I1243" s="10" t="s">
        <v>3343</v>
      </c>
      <c r="J1243" s="31" t="s">
        <v>11</v>
      </c>
      <c r="K1243" s="429">
        <f t="shared" si="63"/>
        <v>0</v>
      </c>
    </row>
    <row r="1244" spans="1:11" x14ac:dyDescent="0.2">
      <c r="A1244" s="72" t="s">
        <v>4997</v>
      </c>
      <c r="B1244" s="72">
        <v>808</v>
      </c>
      <c r="C1244" s="31" t="s">
        <v>4998</v>
      </c>
      <c r="D1244" s="10" t="str">
        <f t="shared" si="64"/>
        <v>26 Nov</v>
      </c>
      <c r="E1244" s="10" t="s">
        <v>3366</v>
      </c>
      <c r="F1244" s="218" t="s">
        <v>3934</v>
      </c>
      <c r="G1244" s="264" t="s">
        <v>4032</v>
      </c>
      <c r="H1244" s="237"/>
      <c r="I1244" s="10" t="s">
        <v>3343</v>
      </c>
      <c r="J1244" s="31" t="s">
        <v>11</v>
      </c>
      <c r="K1244" s="429">
        <f t="shared" si="63"/>
        <v>0</v>
      </c>
    </row>
    <row r="1245" spans="1:11" x14ac:dyDescent="0.2">
      <c r="A1245" s="72" t="s">
        <v>4999</v>
      </c>
      <c r="B1245" s="72">
        <v>809</v>
      </c>
      <c r="C1245" s="31" t="s">
        <v>3900</v>
      </c>
      <c r="D1245" s="10" t="str">
        <f t="shared" si="64"/>
        <v>27 Nov</v>
      </c>
      <c r="E1245" s="10" t="s">
        <v>3366</v>
      </c>
      <c r="F1245" s="218" t="s">
        <v>3971</v>
      </c>
      <c r="G1245" s="267" t="s">
        <v>3972</v>
      </c>
      <c r="H1245" s="237"/>
      <c r="I1245" s="10" t="s">
        <v>3343</v>
      </c>
      <c r="J1245" s="31" t="s">
        <v>11</v>
      </c>
      <c r="K1245" s="429">
        <f t="shared" si="63"/>
        <v>0</v>
      </c>
    </row>
    <row r="1246" spans="1:11" x14ac:dyDescent="0.2">
      <c r="A1246" s="72"/>
      <c r="B1246" s="72">
        <v>810</v>
      </c>
      <c r="C1246" s="31" t="s">
        <v>4024</v>
      </c>
      <c r="D1246" s="10">
        <f t="shared" si="64"/>
        <v>0</v>
      </c>
      <c r="E1246" s="10" t="s">
        <v>3366</v>
      </c>
      <c r="F1246" s="218" t="s">
        <v>3483</v>
      </c>
      <c r="G1246" s="267" t="s">
        <v>3484</v>
      </c>
      <c r="H1246" s="237"/>
      <c r="I1246" s="10" t="s">
        <v>3343</v>
      </c>
      <c r="J1246" s="31" t="s">
        <v>11</v>
      </c>
      <c r="K1246" s="429">
        <f t="shared" si="63"/>
        <v>0</v>
      </c>
    </row>
    <row r="1247" spans="1:11" x14ac:dyDescent="0.2">
      <c r="A1247" s="72"/>
      <c r="B1247" s="72">
        <v>811</v>
      </c>
      <c r="C1247" s="31" t="s">
        <v>4065</v>
      </c>
      <c r="D1247" s="10">
        <f t="shared" si="64"/>
        <v>0</v>
      </c>
      <c r="E1247" s="10" t="s">
        <v>3366</v>
      </c>
      <c r="F1247" s="218" t="s">
        <v>3486</v>
      </c>
      <c r="G1247" s="267" t="s">
        <v>3973</v>
      </c>
      <c r="H1247" s="237"/>
      <c r="I1247" s="10" t="s">
        <v>3343</v>
      </c>
      <c r="J1247" s="31" t="s">
        <v>11</v>
      </c>
      <c r="K1247" s="429">
        <f t="shared" si="63"/>
        <v>0</v>
      </c>
    </row>
    <row r="1248" spans="1:11" x14ac:dyDescent="0.2">
      <c r="A1248" s="72"/>
      <c r="B1248" s="72">
        <v>812</v>
      </c>
      <c r="C1248" s="31" t="s">
        <v>3904</v>
      </c>
      <c r="D1248" s="10">
        <f t="shared" si="64"/>
        <v>0</v>
      </c>
      <c r="E1248" s="10" t="s">
        <v>3366</v>
      </c>
      <c r="F1248" s="218" t="s">
        <v>3486</v>
      </c>
      <c r="G1248" s="267" t="s">
        <v>3973</v>
      </c>
      <c r="H1248" s="237"/>
      <c r="I1248" s="10" t="s">
        <v>3343</v>
      </c>
      <c r="J1248" s="31" t="s">
        <v>11</v>
      </c>
      <c r="K1248" s="429">
        <f t="shared" si="63"/>
        <v>0</v>
      </c>
    </row>
    <row r="1249" spans="1:11" x14ac:dyDescent="0.2">
      <c r="A1249" s="72"/>
      <c r="B1249" s="72">
        <v>813</v>
      </c>
      <c r="C1249" s="31" t="s">
        <v>3906</v>
      </c>
      <c r="D1249" s="10">
        <f t="shared" si="64"/>
        <v>0</v>
      </c>
      <c r="E1249" s="10" t="s">
        <v>3366</v>
      </c>
      <c r="F1249" s="218" t="s">
        <v>3486</v>
      </c>
      <c r="G1249" s="267" t="s">
        <v>3973</v>
      </c>
      <c r="H1249" s="237"/>
      <c r="I1249" s="10" t="s">
        <v>3343</v>
      </c>
      <c r="J1249" s="31" t="s">
        <v>11</v>
      </c>
      <c r="K1249" s="429">
        <f t="shared" si="63"/>
        <v>0</v>
      </c>
    </row>
    <row r="1250" spans="1:11" x14ac:dyDescent="0.2">
      <c r="A1250" s="72"/>
      <c r="B1250" s="72">
        <v>814</v>
      </c>
      <c r="C1250" s="31" t="s">
        <v>5000</v>
      </c>
      <c r="D1250" s="10">
        <f t="shared" si="64"/>
        <v>0</v>
      </c>
      <c r="E1250" s="10" t="s">
        <v>3366</v>
      </c>
      <c r="F1250" s="218" t="s">
        <v>3925</v>
      </c>
      <c r="G1250" s="264" t="s">
        <v>3962</v>
      </c>
      <c r="H1250" s="237"/>
      <c r="I1250" s="10" t="s">
        <v>3343</v>
      </c>
      <c r="J1250" s="31" t="s">
        <v>11</v>
      </c>
      <c r="K1250" s="429">
        <f t="shared" si="63"/>
        <v>0</v>
      </c>
    </row>
    <row r="1251" spans="1:11" x14ac:dyDescent="0.2">
      <c r="A1251" s="72"/>
      <c r="B1251" s="72"/>
      <c r="C1251" s="31"/>
      <c r="D1251" s="10">
        <f t="shared" si="64"/>
        <v>0</v>
      </c>
      <c r="E1251" s="10" t="s">
        <v>3366</v>
      </c>
      <c r="F1251" s="218" t="s">
        <v>3520</v>
      </c>
      <c r="G1251" s="264" t="s">
        <v>3964</v>
      </c>
      <c r="H1251" s="237"/>
      <c r="I1251" s="10" t="s">
        <v>3343</v>
      </c>
      <c r="J1251" s="31" t="s">
        <v>11</v>
      </c>
      <c r="K1251" s="429">
        <f t="shared" si="63"/>
        <v>0</v>
      </c>
    </row>
    <row r="1252" spans="1:11" x14ac:dyDescent="0.2">
      <c r="A1252" s="72"/>
      <c r="B1252" s="72"/>
      <c r="C1252" s="31"/>
      <c r="D1252" s="10">
        <f t="shared" si="64"/>
        <v>0</v>
      </c>
      <c r="E1252" s="10" t="s">
        <v>3366</v>
      </c>
      <c r="F1252" s="218" t="s">
        <v>3543</v>
      </c>
      <c r="G1252" s="264" t="s">
        <v>3963</v>
      </c>
      <c r="H1252" s="237"/>
      <c r="I1252" s="10" t="s">
        <v>3343</v>
      </c>
      <c r="J1252" s="31" t="s">
        <v>11</v>
      </c>
      <c r="K1252" s="429">
        <f t="shared" si="63"/>
        <v>0</v>
      </c>
    </row>
    <row r="1253" spans="1:11" x14ac:dyDescent="0.2">
      <c r="A1253" s="72"/>
      <c r="B1253" s="72">
        <v>815</v>
      </c>
      <c r="C1253" s="31" t="s">
        <v>3895</v>
      </c>
      <c r="D1253" s="10">
        <f t="shared" si="64"/>
        <v>0</v>
      </c>
      <c r="E1253" s="10" t="s">
        <v>3366</v>
      </c>
      <c r="F1253" s="218" t="s">
        <v>3960</v>
      </c>
      <c r="G1253" s="264" t="s">
        <v>3456</v>
      </c>
      <c r="H1253" s="237"/>
      <c r="I1253" s="10" t="s">
        <v>3343</v>
      </c>
      <c r="J1253" s="31" t="s">
        <v>11</v>
      </c>
      <c r="K1253" s="429">
        <f t="shared" si="63"/>
        <v>0</v>
      </c>
    </row>
    <row r="1254" spans="1:11" x14ac:dyDescent="0.2">
      <c r="A1254" s="72"/>
      <c r="B1254" s="72">
        <v>816</v>
      </c>
      <c r="C1254" s="31" t="s">
        <v>4021</v>
      </c>
      <c r="D1254" s="10">
        <f t="shared" si="64"/>
        <v>0</v>
      </c>
      <c r="E1254" s="10" t="s">
        <v>3366</v>
      </c>
      <c r="F1254" s="218" t="s">
        <v>3925</v>
      </c>
      <c r="G1254" s="267" t="s">
        <v>3966</v>
      </c>
      <c r="H1254" s="237"/>
      <c r="I1254" s="10" t="s">
        <v>3343</v>
      </c>
      <c r="J1254" s="31" t="s">
        <v>11</v>
      </c>
      <c r="K1254" s="429">
        <f t="shared" si="63"/>
        <v>0</v>
      </c>
    </row>
    <row r="1255" spans="1:11" x14ac:dyDescent="0.2">
      <c r="A1255" s="72"/>
      <c r="B1255" s="72"/>
      <c r="C1255" s="31"/>
      <c r="D1255" s="10">
        <f t="shared" si="64"/>
        <v>0</v>
      </c>
      <c r="E1255" s="10" t="s">
        <v>3366</v>
      </c>
      <c r="F1255" s="218" t="s">
        <v>3543</v>
      </c>
      <c r="G1255" s="267" t="s">
        <v>3967</v>
      </c>
      <c r="H1255" s="237"/>
      <c r="I1255" s="10" t="s">
        <v>3343</v>
      </c>
      <c r="J1255" s="31" t="s">
        <v>11</v>
      </c>
      <c r="K1255" s="429">
        <f t="shared" si="63"/>
        <v>0</v>
      </c>
    </row>
    <row r="1256" spans="1:11" x14ac:dyDescent="0.2">
      <c r="A1256" s="72"/>
      <c r="B1256" s="72"/>
      <c r="C1256" s="31"/>
      <c r="D1256" s="10">
        <f t="shared" si="64"/>
        <v>0</v>
      </c>
      <c r="E1256" s="10" t="s">
        <v>3366</v>
      </c>
      <c r="F1256" s="218" t="s">
        <v>3520</v>
      </c>
      <c r="G1256" s="267" t="s">
        <v>3968</v>
      </c>
      <c r="H1256" s="237"/>
      <c r="I1256" s="10" t="s">
        <v>3343</v>
      </c>
      <c r="J1256" s="31" t="s">
        <v>11</v>
      </c>
      <c r="K1256" s="429">
        <f t="shared" si="63"/>
        <v>0</v>
      </c>
    </row>
    <row r="1257" spans="1:11" x14ac:dyDescent="0.2">
      <c r="A1257" s="72"/>
      <c r="B1257" s="72">
        <v>817</v>
      </c>
      <c r="C1257" s="31" t="s">
        <v>4744</v>
      </c>
      <c r="D1257" s="10">
        <f t="shared" si="64"/>
        <v>0</v>
      </c>
      <c r="E1257" s="10" t="s">
        <v>3366</v>
      </c>
      <c r="F1257" s="218" t="s">
        <v>3965</v>
      </c>
      <c r="G1257" s="264" t="s">
        <v>3478</v>
      </c>
      <c r="H1257" s="237"/>
      <c r="I1257" s="10" t="s">
        <v>3343</v>
      </c>
      <c r="J1257" s="31" t="s">
        <v>11</v>
      </c>
      <c r="K1257" s="429">
        <f t="shared" si="63"/>
        <v>0</v>
      </c>
    </row>
    <row r="1258" spans="1:11" x14ac:dyDescent="0.2">
      <c r="A1258" s="72"/>
      <c r="B1258" s="72">
        <v>818</v>
      </c>
      <c r="C1258" s="31" t="s">
        <v>4393</v>
      </c>
      <c r="D1258" s="10">
        <f t="shared" si="64"/>
        <v>0</v>
      </c>
      <c r="E1258" s="10" t="s">
        <v>3366</v>
      </c>
      <c r="F1258" s="218" t="s">
        <v>3969</v>
      </c>
      <c r="G1258" s="264" t="s">
        <v>3970</v>
      </c>
      <c r="H1258" s="237"/>
      <c r="I1258" s="10" t="s">
        <v>3343</v>
      </c>
      <c r="J1258" s="31" t="s">
        <v>11</v>
      </c>
      <c r="K1258" s="429">
        <f t="shared" si="63"/>
        <v>0</v>
      </c>
    </row>
    <row r="1259" spans="1:11" x14ac:dyDescent="0.2">
      <c r="A1259" s="72"/>
      <c r="B1259" s="72">
        <v>819</v>
      </c>
      <c r="C1259" s="31" t="s">
        <v>5001</v>
      </c>
      <c r="D1259" s="10">
        <f t="shared" si="64"/>
        <v>0</v>
      </c>
      <c r="E1259" s="10" t="s">
        <v>3366</v>
      </c>
      <c r="F1259" s="218" t="s">
        <v>3925</v>
      </c>
      <c r="G1259" s="264" t="s">
        <v>3958</v>
      </c>
      <c r="H1259" s="237"/>
      <c r="I1259" s="10" t="s">
        <v>3343</v>
      </c>
      <c r="J1259" s="31" t="s">
        <v>11</v>
      </c>
      <c r="K1259" s="429">
        <f t="shared" si="63"/>
        <v>0</v>
      </c>
    </row>
    <row r="1260" spans="1:11" x14ac:dyDescent="0.2">
      <c r="A1260" s="72"/>
      <c r="B1260" s="72"/>
      <c r="C1260" s="31"/>
      <c r="D1260" s="10">
        <f t="shared" si="64"/>
        <v>0</v>
      </c>
      <c r="E1260" s="10" t="s">
        <v>3366</v>
      </c>
      <c r="F1260" s="218" t="s">
        <v>3520</v>
      </c>
      <c r="G1260" s="264" t="s">
        <v>4019</v>
      </c>
      <c r="H1260" s="237"/>
      <c r="I1260" s="10" t="s">
        <v>3343</v>
      </c>
      <c r="J1260" s="31" t="s">
        <v>11</v>
      </c>
      <c r="K1260" s="429">
        <f t="shared" si="63"/>
        <v>0</v>
      </c>
    </row>
    <row r="1261" spans="1:11" x14ac:dyDescent="0.2">
      <c r="A1261" s="72"/>
      <c r="B1261" s="72"/>
      <c r="C1261" s="31"/>
      <c r="D1261" s="10">
        <f t="shared" si="64"/>
        <v>0</v>
      </c>
      <c r="E1261" s="10" t="s">
        <v>3366</v>
      </c>
      <c r="F1261" s="218" t="s">
        <v>3543</v>
      </c>
      <c r="G1261" s="264" t="s">
        <v>3959</v>
      </c>
      <c r="H1261" s="237"/>
      <c r="I1261" s="10" t="s">
        <v>3343</v>
      </c>
      <c r="J1261" s="31" t="s">
        <v>11</v>
      </c>
      <c r="K1261" s="429">
        <f t="shared" si="63"/>
        <v>0</v>
      </c>
    </row>
    <row r="1262" spans="1:11" x14ac:dyDescent="0.2">
      <c r="A1262" s="72"/>
      <c r="B1262" s="72">
        <v>820</v>
      </c>
      <c r="C1262" s="31" t="s">
        <v>3908</v>
      </c>
      <c r="D1262" s="10">
        <f t="shared" si="64"/>
        <v>0</v>
      </c>
      <c r="E1262" s="10" t="s">
        <v>3366</v>
      </c>
      <c r="F1262" s="218" t="s">
        <v>3956</v>
      </c>
      <c r="G1262" s="268" t="s">
        <v>3957</v>
      </c>
      <c r="H1262" s="237"/>
      <c r="I1262" s="10" t="s">
        <v>3343</v>
      </c>
      <c r="J1262" s="31" t="s">
        <v>11</v>
      </c>
      <c r="K1262" s="429">
        <f t="shared" si="63"/>
        <v>0</v>
      </c>
    </row>
    <row r="1263" spans="1:11" x14ac:dyDescent="0.2">
      <c r="A1263" s="72"/>
      <c r="B1263" s="72">
        <v>821</v>
      </c>
      <c r="C1263" s="31" t="s">
        <v>3910</v>
      </c>
      <c r="D1263" s="10">
        <f t="shared" si="64"/>
        <v>0</v>
      </c>
      <c r="E1263" s="10" t="s">
        <v>3366</v>
      </c>
      <c r="F1263" s="218" t="s">
        <v>3974</v>
      </c>
      <c r="G1263" s="268" t="s">
        <v>3975</v>
      </c>
      <c r="H1263" s="237"/>
      <c r="I1263" s="10" t="s">
        <v>3343</v>
      </c>
      <c r="J1263" s="31" t="s">
        <v>11</v>
      </c>
      <c r="K1263" s="429">
        <f t="shared" si="63"/>
        <v>0</v>
      </c>
    </row>
    <row r="1264" spans="1:11" x14ac:dyDescent="0.2">
      <c r="A1264" s="72"/>
      <c r="B1264" s="72">
        <v>822</v>
      </c>
      <c r="C1264" s="31" t="s">
        <v>3912</v>
      </c>
      <c r="D1264" s="10">
        <f t="shared" si="64"/>
        <v>0</v>
      </c>
      <c r="E1264" s="10" t="s">
        <v>3366</v>
      </c>
      <c r="F1264" s="218" t="s">
        <v>3976</v>
      </c>
      <c r="G1264" s="268" t="s">
        <v>3488</v>
      </c>
      <c r="H1264" s="237"/>
      <c r="I1264" s="10" t="s">
        <v>3343</v>
      </c>
      <c r="J1264" s="31" t="s">
        <v>11</v>
      </c>
      <c r="K1264" s="429">
        <f t="shared" si="63"/>
        <v>0</v>
      </c>
    </row>
    <row r="1265" spans="1:11" x14ac:dyDescent="0.2">
      <c r="A1265" s="72"/>
      <c r="B1265" s="72">
        <v>823</v>
      </c>
      <c r="C1265" s="31" t="s">
        <v>3914</v>
      </c>
      <c r="D1265" s="10">
        <f t="shared" si="64"/>
        <v>0</v>
      </c>
      <c r="E1265" s="10" t="s">
        <v>3366</v>
      </c>
      <c r="F1265" s="218" t="s">
        <v>3971</v>
      </c>
      <c r="G1265" s="268" t="s">
        <v>3972</v>
      </c>
      <c r="H1265" s="237"/>
      <c r="I1265" s="10" t="s">
        <v>3343</v>
      </c>
      <c r="J1265" s="31" t="s">
        <v>11</v>
      </c>
      <c r="K1265" s="429">
        <f t="shared" si="63"/>
        <v>0</v>
      </c>
    </row>
    <row r="1266" spans="1:11" x14ac:dyDescent="0.2">
      <c r="A1266" s="72"/>
      <c r="B1266" s="72">
        <v>824</v>
      </c>
      <c r="C1266" s="31" t="s">
        <v>4025</v>
      </c>
      <c r="D1266" s="10">
        <f t="shared" si="64"/>
        <v>0</v>
      </c>
      <c r="E1266" s="10" t="s">
        <v>3366</v>
      </c>
      <c r="F1266" s="218" t="s">
        <v>3932</v>
      </c>
      <c r="G1266" s="268" t="s">
        <v>3933</v>
      </c>
      <c r="H1266" s="237"/>
      <c r="I1266" s="10" t="s">
        <v>3343</v>
      </c>
      <c r="J1266" s="31" t="s">
        <v>11</v>
      </c>
      <c r="K1266" s="429">
        <f>H1266</f>
        <v>0</v>
      </c>
    </row>
    <row r="1267" spans="1:11" x14ac:dyDescent="0.2">
      <c r="A1267" s="72"/>
      <c r="B1267" s="72">
        <v>825</v>
      </c>
      <c r="C1267" s="31" t="s">
        <v>4747</v>
      </c>
      <c r="D1267" s="10">
        <f t="shared" si="64"/>
        <v>0</v>
      </c>
      <c r="E1267" s="10" t="s">
        <v>3366</v>
      </c>
      <c r="F1267" s="218" t="s">
        <v>3961</v>
      </c>
      <c r="G1267" s="268" t="s">
        <v>3931</v>
      </c>
      <c r="H1267" s="237"/>
      <c r="I1267" s="10" t="s">
        <v>3343</v>
      </c>
      <c r="J1267" s="31" t="s">
        <v>11</v>
      </c>
      <c r="K1267" s="429">
        <f t="shared" si="63"/>
        <v>0</v>
      </c>
    </row>
    <row r="1268" spans="1:11" x14ac:dyDescent="0.2">
      <c r="A1268" s="72"/>
      <c r="B1268" s="72">
        <v>826</v>
      </c>
      <c r="C1268" s="31" t="s">
        <v>4749</v>
      </c>
      <c r="D1268" s="10">
        <f t="shared" si="64"/>
        <v>0</v>
      </c>
      <c r="E1268" s="10" t="s">
        <v>3366</v>
      </c>
      <c r="F1268" s="218" t="s">
        <v>3952</v>
      </c>
      <c r="G1268" s="267" t="s">
        <v>3953</v>
      </c>
      <c r="H1268" s="237"/>
      <c r="I1268" s="10" t="s">
        <v>3343</v>
      </c>
      <c r="J1268" s="31" t="s">
        <v>11</v>
      </c>
      <c r="K1268" s="429">
        <f t="shared" si="63"/>
        <v>0</v>
      </c>
    </row>
    <row r="1269" spans="1:11" x14ac:dyDescent="0.2">
      <c r="A1269" s="72"/>
      <c r="B1269" s="72">
        <v>827</v>
      </c>
      <c r="C1269" s="31" t="s">
        <v>5002</v>
      </c>
      <c r="D1269" s="10">
        <f t="shared" si="64"/>
        <v>0</v>
      </c>
      <c r="E1269" s="10" t="s">
        <v>3366</v>
      </c>
      <c r="F1269" s="218" t="s">
        <v>3956</v>
      </c>
      <c r="G1269" s="267" t="s">
        <v>3957</v>
      </c>
      <c r="H1269" s="237"/>
      <c r="I1269" s="10" t="s">
        <v>3343</v>
      </c>
      <c r="J1269" s="31" t="s">
        <v>11</v>
      </c>
      <c r="K1269" s="429">
        <f t="shared" si="63"/>
        <v>0</v>
      </c>
    </row>
    <row r="1270" spans="1:11" x14ac:dyDescent="0.2">
      <c r="A1270" s="72"/>
      <c r="B1270" s="72">
        <v>828</v>
      </c>
      <c r="C1270" s="31" t="s">
        <v>3264</v>
      </c>
      <c r="D1270" s="10">
        <f t="shared" si="64"/>
        <v>0</v>
      </c>
      <c r="E1270" s="10" t="s">
        <v>3366</v>
      </c>
      <c r="F1270" s="218" t="s">
        <v>3925</v>
      </c>
      <c r="G1270" s="264" t="s">
        <v>3938</v>
      </c>
      <c r="H1270" s="237"/>
      <c r="I1270" s="10" t="s">
        <v>3343</v>
      </c>
      <c r="J1270" s="31" t="s">
        <v>11</v>
      </c>
      <c r="K1270" s="429">
        <f t="shared" ref="K1270:K1289" si="65">H1270</f>
        <v>0</v>
      </c>
    </row>
    <row r="1271" spans="1:11" x14ac:dyDescent="0.2">
      <c r="A1271" s="72"/>
      <c r="B1271" s="72">
        <v>829</v>
      </c>
      <c r="C1271" s="31" t="s">
        <v>4069</v>
      </c>
      <c r="D1271" s="10">
        <f t="shared" si="64"/>
        <v>0</v>
      </c>
      <c r="E1271" s="10" t="s">
        <v>3366</v>
      </c>
      <c r="F1271" s="218" t="s">
        <v>3934</v>
      </c>
      <c r="G1271" s="267" t="s">
        <v>4032</v>
      </c>
      <c r="H1271" s="237"/>
      <c r="I1271" s="10" t="s">
        <v>3343</v>
      </c>
      <c r="J1271" s="31" t="s">
        <v>11</v>
      </c>
      <c r="K1271" s="429">
        <f t="shared" si="65"/>
        <v>0</v>
      </c>
    </row>
    <row r="1272" spans="1:11" x14ac:dyDescent="0.2">
      <c r="A1272" s="72"/>
      <c r="B1272" s="72">
        <v>830</v>
      </c>
      <c r="C1272" s="31" t="s">
        <v>5003</v>
      </c>
      <c r="D1272" s="10">
        <f t="shared" si="64"/>
        <v>0</v>
      </c>
      <c r="E1272" s="10" t="s">
        <v>3366</v>
      </c>
      <c r="F1272" s="218" t="s">
        <v>4058</v>
      </c>
      <c r="G1272" s="267" t="s">
        <v>4017</v>
      </c>
      <c r="H1272" s="237"/>
      <c r="I1272" s="10" t="s">
        <v>3343</v>
      </c>
      <c r="J1272" s="31" t="s">
        <v>11</v>
      </c>
      <c r="K1272" s="429">
        <f t="shared" si="65"/>
        <v>0</v>
      </c>
    </row>
    <row r="1273" spans="1:11" x14ac:dyDescent="0.2">
      <c r="A1273" s="72"/>
      <c r="B1273" s="72">
        <v>831</v>
      </c>
      <c r="C1273" s="31" t="s">
        <v>3887</v>
      </c>
      <c r="D1273" s="10">
        <f t="shared" si="64"/>
        <v>0</v>
      </c>
      <c r="E1273" s="10" t="s">
        <v>3366</v>
      </c>
      <c r="F1273" s="218" t="s">
        <v>3941</v>
      </c>
      <c r="G1273" s="267" t="s">
        <v>5004</v>
      </c>
      <c r="H1273" s="237"/>
      <c r="I1273" s="10" t="s">
        <v>3343</v>
      </c>
      <c r="J1273" s="31" t="s">
        <v>11</v>
      </c>
      <c r="K1273" s="429">
        <f t="shared" si="65"/>
        <v>0</v>
      </c>
    </row>
    <row r="1274" spans="1:11" x14ac:dyDescent="0.2">
      <c r="A1274" s="72"/>
      <c r="B1274" s="72">
        <v>832</v>
      </c>
      <c r="C1274" s="31" t="s">
        <v>5005</v>
      </c>
      <c r="D1274" s="10">
        <f t="shared" si="64"/>
        <v>0</v>
      </c>
      <c r="E1274" s="10" t="s">
        <v>3366</v>
      </c>
      <c r="F1274" s="218" t="s">
        <v>3954</v>
      </c>
      <c r="G1274" s="267" t="s">
        <v>3955</v>
      </c>
      <c r="H1274" s="237"/>
      <c r="I1274" s="10" t="s">
        <v>3343</v>
      </c>
      <c r="J1274" s="31" t="s">
        <v>11</v>
      </c>
      <c r="K1274" s="429">
        <f t="shared" si="65"/>
        <v>0</v>
      </c>
    </row>
    <row r="1275" spans="1:11" x14ac:dyDescent="0.2">
      <c r="A1275" s="72"/>
      <c r="B1275" s="72">
        <v>833</v>
      </c>
      <c r="C1275" s="31" t="s">
        <v>5006</v>
      </c>
      <c r="D1275" s="10">
        <f t="shared" si="64"/>
        <v>0</v>
      </c>
      <c r="E1275" s="10" t="s">
        <v>3366</v>
      </c>
      <c r="F1275" s="218" t="s">
        <v>3936</v>
      </c>
      <c r="G1275" s="267" t="s">
        <v>3937</v>
      </c>
      <c r="H1275" s="237"/>
      <c r="I1275" s="10" t="s">
        <v>3343</v>
      </c>
      <c r="J1275" s="31" t="s">
        <v>11</v>
      </c>
      <c r="K1275" s="429">
        <f t="shared" si="65"/>
        <v>0</v>
      </c>
    </row>
    <row r="1276" spans="1:11" x14ac:dyDescent="0.2">
      <c r="A1276" s="72"/>
      <c r="B1276" s="72">
        <v>834</v>
      </c>
      <c r="C1276" s="31" t="s">
        <v>5007</v>
      </c>
      <c r="D1276" s="10">
        <f t="shared" si="64"/>
        <v>0</v>
      </c>
      <c r="E1276" s="10" t="s">
        <v>3366</v>
      </c>
      <c r="F1276" s="218" t="s">
        <v>3921</v>
      </c>
      <c r="G1276" s="267" t="s">
        <v>3402</v>
      </c>
      <c r="H1276" s="237"/>
      <c r="I1276" s="10" t="s">
        <v>3343</v>
      </c>
      <c r="J1276" s="31" t="s">
        <v>11</v>
      </c>
      <c r="K1276" s="429">
        <f t="shared" si="65"/>
        <v>0</v>
      </c>
    </row>
    <row r="1277" spans="1:11" x14ac:dyDescent="0.2">
      <c r="A1277" s="72"/>
      <c r="B1277" s="72">
        <v>835</v>
      </c>
      <c r="C1277" s="31" t="s">
        <v>5008</v>
      </c>
      <c r="D1277" s="10">
        <f t="shared" si="64"/>
        <v>0</v>
      </c>
      <c r="E1277" s="10" t="s">
        <v>3366</v>
      </c>
      <c r="F1277" s="218" t="s">
        <v>3936</v>
      </c>
      <c r="G1277" s="267" t="s">
        <v>3937</v>
      </c>
      <c r="H1277" s="237"/>
      <c r="I1277" s="10" t="s">
        <v>3343</v>
      </c>
      <c r="J1277" s="31" t="s">
        <v>11</v>
      </c>
      <c r="K1277" s="429">
        <f t="shared" si="65"/>
        <v>0</v>
      </c>
    </row>
    <row r="1278" spans="1:11" x14ac:dyDescent="0.2">
      <c r="A1278" s="72"/>
      <c r="B1278" s="72">
        <v>836</v>
      </c>
      <c r="C1278" s="31" t="s">
        <v>5009</v>
      </c>
      <c r="D1278" s="10">
        <f t="shared" si="64"/>
        <v>0</v>
      </c>
      <c r="E1278" s="10" t="s">
        <v>3366</v>
      </c>
      <c r="F1278" s="218" t="s">
        <v>3936</v>
      </c>
      <c r="G1278" s="267" t="s">
        <v>3937</v>
      </c>
      <c r="H1278" s="237"/>
      <c r="I1278" s="10" t="s">
        <v>3343</v>
      </c>
      <c r="J1278" s="31" t="s">
        <v>11</v>
      </c>
      <c r="K1278" s="429">
        <f t="shared" si="65"/>
        <v>0</v>
      </c>
    </row>
    <row r="1279" spans="1:11" x14ac:dyDescent="0.2">
      <c r="A1279" s="72"/>
      <c r="B1279" s="72">
        <v>837</v>
      </c>
      <c r="C1279" s="31" t="s">
        <v>3853</v>
      </c>
      <c r="D1279" s="10">
        <f t="shared" si="64"/>
        <v>0</v>
      </c>
      <c r="E1279" s="10" t="s">
        <v>3366</v>
      </c>
      <c r="F1279" s="218" t="s">
        <v>3543</v>
      </c>
      <c r="G1279" s="267" t="s">
        <v>4031</v>
      </c>
      <c r="H1279" s="237"/>
      <c r="I1279" s="10" t="s">
        <v>3343</v>
      </c>
      <c r="J1279" s="31" t="s">
        <v>11</v>
      </c>
      <c r="K1279" s="429">
        <f t="shared" si="65"/>
        <v>0</v>
      </c>
    </row>
    <row r="1280" spans="1:11" x14ac:dyDescent="0.2">
      <c r="A1280" s="72"/>
      <c r="B1280" s="72">
        <v>838</v>
      </c>
      <c r="C1280" s="31" t="s">
        <v>3920</v>
      </c>
      <c r="D1280" s="10">
        <f t="shared" si="64"/>
        <v>0</v>
      </c>
      <c r="E1280" s="10" t="s">
        <v>3366</v>
      </c>
      <c r="F1280" s="218" t="s">
        <v>3543</v>
      </c>
      <c r="G1280" s="267" t="s">
        <v>4031</v>
      </c>
      <c r="H1280" s="237"/>
      <c r="I1280" s="10" t="s">
        <v>3343</v>
      </c>
      <c r="J1280" s="31" t="s">
        <v>11</v>
      </c>
      <c r="K1280" s="429">
        <f t="shared" si="65"/>
        <v>0</v>
      </c>
    </row>
    <row r="1281" spans="1:11" x14ac:dyDescent="0.2">
      <c r="A1281" s="72"/>
      <c r="B1281" s="72">
        <v>839</v>
      </c>
      <c r="C1281" s="31" t="s">
        <v>3997</v>
      </c>
      <c r="D1281" s="10">
        <f t="shared" si="64"/>
        <v>0</v>
      </c>
      <c r="E1281" s="10" t="s">
        <v>3366</v>
      </c>
      <c r="F1281" s="218" t="s">
        <v>3939</v>
      </c>
      <c r="G1281" s="267" t="s">
        <v>3940</v>
      </c>
      <c r="H1281" s="237"/>
      <c r="I1281" s="10" t="s">
        <v>3343</v>
      </c>
      <c r="J1281" s="31" t="s">
        <v>11</v>
      </c>
      <c r="K1281" s="429">
        <f t="shared" si="65"/>
        <v>0</v>
      </c>
    </row>
    <row r="1282" spans="1:11" x14ac:dyDescent="0.2">
      <c r="A1282" s="72"/>
      <c r="B1282" s="72">
        <v>840</v>
      </c>
      <c r="C1282" s="31" t="s">
        <v>4060</v>
      </c>
      <c r="D1282" s="10">
        <f t="shared" si="64"/>
        <v>0</v>
      </c>
      <c r="E1282" s="10" t="s">
        <v>3366</v>
      </c>
      <c r="F1282" s="218" t="s">
        <v>3921</v>
      </c>
      <c r="G1282" s="267" t="s">
        <v>3402</v>
      </c>
      <c r="H1282" s="237"/>
      <c r="I1282" s="10" t="s">
        <v>3343</v>
      </c>
      <c r="J1282" s="31" t="s">
        <v>11</v>
      </c>
      <c r="K1282" s="429">
        <f t="shared" si="65"/>
        <v>0</v>
      </c>
    </row>
    <row r="1283" spans="1:11" x14ac:dyDescent="0.2">
      <c r="A1283" s="72" t="s">
        <v>5010</v>
      </c>
      <c r="B1283" s="72">
        <v>841</v>
      </c>
      <c r="C1283" s="31" t="s">
        <v>3878</v>
      </c>
      <c r="D1283" s="10" t="str">
        <f t="shared" si="64"/>
        <v>28 Nov</v>
      </c>
      <c r="E1283" s="10" t="s">
        <v>3366</v>
      </c>
      <c r="F1283" s="218" t="s">
        <v>3946</v>
      </c>
      <c r="G1283" s="267" t="s">
        <v>3432</v>
      </c>
      <c r="H1283" s="237"/>
      <c r="I1283" s="10" t="s">
        <v>3343</v>
      </c>
      <c r="J1283" s="31" t="s">
        <v>11</v>
      </c>
      <c r="K1283" s="429">
        <f t="shared" si="65"/>
        <v>0</v>
      </c>
    </row>
    <row r="1284" spans="1:11" x14ac:dyDescent="0.2">
      <c r="A1284" s="72"/>
      <c r="B1284" s="72">
        <v>842</v>
      </c>
      <c r="C1284" s="31" t="s">
        <v>4940</v>
      </c>
      <c r="D1284" s="10">
        <f t="shared" si="64"/>
        <v>0</v>
      </c>
      <c r="E1284" s="10" t="s">
        <v>3366</v>
      </c>
      <c r="F1284" s="218" t="s">
        <v>3932</v>
      </c>
      <c r="G1284" s="267" t="s">
        <v>3933</v>
      </c>
      <c r="H1284" s="237"/>
      <c r="I1284" s="10" t="s">
        <v>3343</v>
      </c>
      <c r="J1284" s="31" t="s">
        <v>11</v>
      </c>
      <c r="K1284" s="429">
        <f t="shared" si="65"/>
        <v>0</v>
      </c>
    </row>
    <row r="1285" spans="1:11" x14ac:dyDescent="0.2">
      <c r="A1285" s="72"/>
      <c r="B1285" s="72">
        <v>843</v>
      </c>
      <c r="C1285" s="31" t="s">
        <v>5011</v>
      </c>
      <c r="D1285" s="10">
        <f t="shared" si="64"/>
        <v>0</v>
      </c>
      <c r="E1285" s="10" t="s">
        <v>3366</v>
      </c>
      <c r="F1285" s="218" t="s">
        <v>4001</v>
      </c>
      <c r="G1285" s="268" t="s">
        <v>3741</v>
      </c>
      <c r="H1285" s="237"/>
      <c r="I1285" s="10" t="s">
        <v>3343</v>
      </c>
      <c r="J1285" s="31" t="s">
        <v>11</v>
      </c>
      <c r="K1285" s="429">
        <f t="shared" si="65"/>
        <v>0</v>
      </c>
    </row>
    <row r="1286" spans="1:11" x14ac:dyDescent="0.2">
      <c r="A1286" s="72"/>
      <c r="B1286" s="72">
        <v>844</v>
      </c>
      <c r="C1286" s="31" t="s">
        <v>5012</v>
      </c>
      <c r="D1286" s="10">
        <f t="shared" si="64"/>
        <v>0</v>
      </c>
      <c r="E1286" s="10" t="s">
        <v>3366</v>
      </c>
      <c r="F1286" s="218" t="s">
        <v>3934</v>
      </c>
      <c r="G1286" s="267" t="s">
        <v>4032</v>
      </c>
      <c r="H1286" s="237"/>
      <c r="I1286" s="10" t="s">
        <v>3343</v>
      </c>
      <c r="J1286" s="31" t="s">
        <v>11</v>
      </c>
      <c r="K1286" s="429">
        <f t="shared" si="65"/>
        <v>0</v>
      </c>
    </row>
    <row r="1287" spans="1:11" x14ac:dyDescent="0.2">
      <c r="A1287" s="72"/>
      <c r="B1287" s="72">
        <v>845</v>
      </c>
      <c r="C1287" s="31" t="s">
        <v>5013</v>
      </c>
      <c r="D1287" s="10">
        <f t="shared" si="64"/>
        <v>0</v>
      </c>
      <c r="E1287" s="10" t="s">
        <v>3366</v>
      </c>
      <c r="F1287" s="218" t="s">
        <v>4005</v>
      </c>
      <c r="G1287" s="267" t="s">
        <v>5014</v>
      </c>
      <c r="H1287" s="237"/>
      <c r="I1287" s="10" t="s">
        <v>3343</v>
      </c>
      <c r="J1287" s="31" t="s">
        <v>11</v>
      </c>
      <c r="K1287" s="429">
        <f t="shared" si="65"/>
        <v>0</v>
      </c>
    </row>
    <row r="1288" spans="1:11" x14ac:dyDescent="0.2">
      <c r="A1288" s="72"/>
      <c r="B1288" s="72"/>
      <c r="C1288" s="31"/>
      <c r="D1288" s="10">
        <f t="shared" ref="D1288:D1289" si="66">A1288</f>
        <v>0</v>
      </c>
      <c r="E1288" s="10" t="s">
        <v>3366</v>
      </c>
      <c r="F1288" s="218" t="s">
        <v>4003</v>
      </c>
      <c r="G1288" s="267" t="s">
        <v>4004</v>
      </c>
      <c r="H1288" s="237"/>
      <c r="I1288" s="10" t="s">
        <v>3343</v>
      </c>
      <c r="J1288" s="31" t="s">
        <v>11</v>
      </c>
      <c r="K1288" s="429">
        <f t="shared" si="65"/>
        <v>0</v>
      </c>
    </row>
    <row r="1289" spans="1:11" x14ac:dyDescent="0.2">
      <c r="A1289" s="72"/>
      <c r="B1289" s="72">
        <v>846</v>
      </c>
      <c r="C1289" s="31" t="s">
        <v>5015</v>
      </c>
      <c r="D1289" s="10">
        <f t="shared" si="66"/>
        <v>0</v>
      </c>
      <c r="E1289" s="10" t="s">
        <v>3366</v>
      </c>
      <c r="F1289" s="218" t="s">
        <v>3935</v>
      </c>
      <c r="G1289" s="267" t="s">
        <v>3406</v>
      </c>
      <c r="H1289" s="237"/>
      <c r="I1289" s="10" t="s">
        <v>3343</v>
      </c>
      <c r="J1289" s="31" t="s">
        <v>11</v>
      </c>
      <c r="K1289" s="429">
        <f t="shared" si="65"/>
        <v>0</v>
      </c>
    </row>
    <row r="1290" spans="1:11" ht="12" x14ac:dyDescent="0.2">
      <c r="A1290" s="658" t="s">
        <v>3556</v>
      </c>
      <c r="B1290" s="659"/>
      <c r="C1290" s="659"/>
      <c r="D1290" s="659"/>
      <c r="E1290" s="659"/>
      <c r="F1290" s="659"/>
      <c r="G1290" s="660"/>
      <c r="H1290" s="435">
        <f>SUM(H1205:H1289)</f>
        <v>0</v>
      </c>
      <c r="I1290" s="692" t="s">
        <v>3556</v>
      </c>
      <c r="J1290" s="692"/>
      <c r="K1290" s="435">
        <f>SUM(K1205:K1289)</f>
        <v>0</v>
      </c>
    </row>
    <row r="1291" spans="1:11" ht="12" x14ac:dyDescent="0.2">
      <c r="A1291" s="658" t="s">
        <v>3557</v>
      </c>
      <c r="B1291" s="659"/>
      <c r="C1291" s="659"/>
      <c r="D1291" s="659"/>
      <c r="E1291" s="659"/>
      <c r="F1291" s="659"/>
      <c r="G1291" s="660"/>
      <c r="H1291" s="435">
        <f>H1184</f>
        <v>0</v>
      </c>
      <c r="I1291" s="692" t="s">
        <v>3557</v>
      </c>
      <c r="J1291" s="692"/>
      <c r="K1291" s="435">
        <f>K1184</f>
        <v>0</v>
      </c>
    </row>
    <row r="1292" spans="1:11" ht="12.75" thickBot="1" x14ac:dyDescent="0.25">
      <c r="A1292" s="640" t="s">
        <v>3558</v>
      </c>
      <c r="B1292" s="641"/>
      <c r="C1292" s="641"/>
      <c r="D1292" s="641"/>
      <c r="E1292" s="641"/>
      <c r="F1292" s="641"/>
      <c r="G1292" s="642"/>
      <c r="H1292" s="436">
        <f>SUM(H1290:H1291)</f>
        <v>0</v>
      </c>
      <c r="I1292" s="693" t="s">
        <v>3558</v>
      </c>
      <c r="J1292" s="693"/>
      <c r="K1292" s="436">
        <f>SUM(K1290:K1291)</f>
        <v>0</v>
      </c>
    </row>
    <row r="1293" spans="1:11" x14ac:dyDescent="0.2">
      <c r="A1293" s="240"/>
      <c r="B1293" s="240"/>
      <c r="C1293" s="240"/>
      <c r="D1293" s="240"/>
      <c r="E1293" s="240"/>
      <c r="F1293" s="240"/>
      <c r="G1293" s="240"/>
      <c r="H1293" s="433"/>
    </row>
    <row r="1295" spans="1:11" ht="12" x14ac:dyDescent="0.2">
      <c r="A1295" s="691"/>
      <c r="B1295" s="691"/>
      <c r="C1295" s="691"/>
      <c r="D1295" s="691"/>
      <c r="E1295" s="304"/>
      <c r="F1295" s="304"/>
      <c r="G1295" s="324" t="s">
        <v>3569</v>
      </c>
      <c r="H1295" s="508"/>
      <c r="I1295" s="691" t="s">
        <v>3537</v>
      </c>
      <c r="J1295" s="691"/>
      <c r="K1295" s="691"/>
    </row>
    <row r="1296" spans="1:11" ht="12" x14ac:dyDescent="0.2">
      <c r="A1296" s="691"/>
      <c r="B1296" s="691"/>
      <c r="C1296" s="691"/>
      <c r="D1296" s="691"/>
      <c r="E1296" s="304"/>
      <c r="F1296" s="304"/>
      <c r="G1296" s="509"/>
      <c r="H1296" s="510"/>
      <c r="I1296" s="691" t="s">
        <v>3788</v>
      </c>
      <c r="J1296" s="691"/>
      <c r="K1296" s="691"/>
    </row>
    <row r="1297" spans="1:11" ht="12.75" x14ac:dyDescent="0.2">
      <c r="A1297" s="428" t="s">
        <v>3747</v>
      </c>
      <c r="B1297" s="305"/>
      <c r="C1297" s="143"/>
      <c r="D1297" s="305"/>
      <c r="E1297" s="305"/>
      <c r="F1297" s="305"/>
      <c r="G1297" s="143"/>
      <c r="H1297" s="143"/>
      <c r="I1297" s="305"/>
      <c r="J1297" s="143"/>
      <c r="K1297" s="143"/>
    </row>
    <row r="1298" spans="1:11" ht="12.75" x14ac:dyDescent="0.2">
      <c r="A1298" s="428" t="s">
        <v>3748</v>
      </c>
      <c r="B1298" s="305"/>
      <c r="C1298" s="143"/>
      <c r="D1298" s="305"/>
      <c r="E1298" s="305"/>
      <c r="F1298" s="305"/>
      <c r="G1298" s="143"/>
      <c r="H1298" s="143"/>
      <c r="I1298" s="305"/>
      <c r="J1298" s="143"/>
      <c r="K1298" s="143"/>
    </row>
    <row r="1299" spans="1:11" ht="12.75" x14ac:dyDescent="0.2">
      <c r="A1299" s="687" t="s">
        <v>3345</v>
      </c>
      <c r="B1299" s="687"/>
      <c r="C1299" s="687"/>
      <c r="D1299" s="687"/>
      <c r="E1299" s="687"/>
      <c r="F1299" s="687"/>
      <c r="G1299" s="687"/>
      <c r="H1299" s="687"/>
      <c r="I1299" s="687"/>
      <c r="J1299" s="687"/>
      <c r="K1299" s="687"/>
    </row>
    <row r="1300" spans="1:11" ht="12.75" x14ac:dyDescent="0.2">
      <c r="A1300" s="687" t="s">
        <v>3758</v>
      </c>
      <c r="B1300" s="687"/>
      <c r="C1300" s="687"/>
      <c r="D1300" s="687"/>
      <c r="E1300" s="687"/>
      <c r="F1300" s="687"/>
      <c r="G1300" s="687"/>
      <c r="H1300" s="687"/>
      <c r="I1300" s="687"/>
      <c r="J1300" s="687"/>
      <c r="K1300" s="687"/>
    </row>
    <row r="1301" spans="1:11" x14ac:dyDescent="0.2">
      <c r="A1301" s="18"/>
      <c r="B1301" s="18"/>
      <c r="C1301" s="18"/>
      <c r="D1301" s="18"/>
      <c r="E1301" s="18"/>
      <c r="F1301" s="18"/>
      <c r="G1301" s="18"/>
      <c r="H1301" s="18"/>
      <c r="I1301" s="18"/>
      <c r="J1301" s="18"/>
      <c r="K1301" s="18"/>
    </row>
    <row r="1302" spans="1:11" x14ac:dyDescent="0.2">
      <c r="A1302" s="678" t="s">
        <v>3346</v>
      </c>
      <c r="B1302" s="679"/>
      <c r="C1302" s="680" t="s">
        <v>13</v>
      </c>
      <c r="D1302" s="678" t="s">
        <v>3347</v>
      </c>
      <c r="E1302" s="679"/>
      <c r="F1302" s="688" t="s">
        <v>90</v>
      </c>
      <c r="G1302" s="689"/>
      <c r="H1302" s="690"/>
      <c r="I1302" s="688" t="s">
        <v>10</v>
      </c>
      <c r="J1302" s="689"/>
      <c r="K1302" s="690"/>
    </row>
    <row r="1303" spans="1:11" x14ac:dyDescent="0.2">
      <c r="A1303" s="680" t="s">
        <v>12</v>
      </c>
      <c r="B1303" s="680" t="s">
        <v>21</v>
      </c>
      <c r="C1303" s="681"/>
      <c r="D1303" s="665" t="s">
        <v>12</v>
      </c>
      <c r="E1303" s="665" t="s">
        <v>3348</v>
      </c>
      <c r="F1303" s="665" t="s">
        <v>3285</v>
      </c>
      <c r="G1303" s="665" t="s">
        <v>3282</v>
      </c>
      <c r="H1303" s="665" t="s">
        <v>3539</v>
      </c>
      <c r="I1303" s="665" t="s">
        <v>3285</v>
      </c>
      <c r="J1303" s="665" t="s">
        <v>3282</v>
      </c>
      <c r="K1303" s="665" t="s">
        <v>3539</v>
      </c>
    </row>
    <row r="1304" spans="1:11" x14ac:dyDescent="0.2">
      <c r="A1304" s="682"/>
      <c r="B1304" s="682"/>
      <c r="C1304" s="682"/>
      <c r="D1304" s="667"/>
      <c r="E1304" s="667"/>
      <c r="F1304" s="667"/>
      <c r="G1304" s="667"/>
      <c r="H1304" s="667"/>
      <c r="I1304" s="667"/>
      <c r="J1304" s="667"/>
      <c r="K1304" s="667"/>
    </row>
    <row r="1305" spans="1:11" x14ac:dyDescent="0.2">
      <c r="A1305" s="210" t="s">
        <v>5155</v>
      </c>
      <c r="B1305" s="210">
        <v>847</v>
      </c>
      <c r="C1305" s="60" t="s">
        <v>5156</v>
      </c>
      <c r="D1305" s="10" t="str">
        <f t="shared" ref="D1305:D1367" si="67">A1305</f>
        <v>02 Des</v>
      </c>
      <c r="E1305" s="6" t="s">
        <v>3366</v>
      </c>
      <c r="F1305" s="235" t="s">
        <v>4038</v>
      </c>
      <c r="G1305" s="266" t="s">
        <v>4039</v>
      </c>
      <c r="H1305" s="236"/>
      <c r="I1305" s="10" t="s">
        <v>3343</v>
      </c>
      <c r="J1305" s="31" t="s">
        <v>11</v>
      </c>
      <c r="K1305" s="429">
        <f>H1305</f>
        <v>0</v>
      </c>
    </row>
    <row r="1306" spans="1:11" x14ac:dyDescent="0.2">
      <c r="A1306" s="72" t="s">
        <v>5157</v>
      </c>
      <c r="B1306" s="72">
        <v>848</v>
      </c>
      <c r="C1306" s="31" t="s">
        <v>5158</v>
      </c>
      <c r="D1306" s="10" t="str">
        <f t="shared" si="67"/>
        <v>03 Des</v>
      </c>
      <c r="E1306" s="10" t="s">
        <v>3366</v>
      </c>
      <c r="F1306" s="507" t="s">
        <v>3941</v>
      </c>
      <c r="G1306" s="264" t="s">
        <v>3942</v>
      </c>
      <c r="H1306" s="237"/>
      <c r="I1306" s="10" t="s">
        <v>3343</v>
      </c>
      <c r="J1306" s="31" t="s">
        <v>11</v>
      </c>
      <c r="K1306" s="429">
        <f t="shared" ref="K1306:K1361" si="68">H1306</f>
        <v>0</v>
      </c>
    </row>
    <row r="1307" spans="1:11" x14ac:dyDescent="0.2">
      <c r="A1307" s="72"/>
      <c r="B1307" s="72">
        <v>849</v>
      </c>
      <c r="C1307" s="31" t="s">
        <v>5159</v>
      </c>
      <c r="D1307" s="10">
        <f t="shared" si="67"/>
        <v>0</v>
      </c>
      <c r="E1307" s="10" t="s">
        <v>3366</v>
      </c>
      <c r="F1307" s="218" t="s">
        <v>3922</v>
      </c>
      <c r="G1307" s="264" t="s">
        <v>3984</v>
      </c>
      <c r="H1307" s="237"/>
      <c r="I1307" s="10" t="s">
        <v>3343</v>
      </c>
      <c r="J1307" s="31" t="s">
        <v>11</v>
      </c>
      <c r="K1307" s="429">
        <f t="shared" si="68"/>
        <v>0</v>
      </c>
    </row>
    <row r="1308" spans="1:11" x14ac:dyDescent="0.2">
      <c r="A1308" s="72" t="s">
        <v>5160</v>
      </c>
      <c r="B1308" s="72">
        <v>850</v>
      </c>
      <c r="C1308" s="31" t="s">
        <v>4060</v>
      </c>
      <c r="D1308" s="10" t="str">
        <f t="shared" si="67"/>
        <v>04 Des</v>
      </c>
      <c r="E1308" s="10" t="s">
        <v>3366</v>
      </c>
      <c r="F1308" s="218" t="s">
        <v>3921</v>
      </c>
      <c r="G1308" s="264" t="s">
        <v>3402</v>
      </c>
      <c r="H1308" s="237"/>
      <c r="I1308" s="10" t="s">
        <v>3343</v>
      </c>
      <c r="J1308" s="31" t="s">
        <v>11</v>
      </c>
      <c r="K1308" s="429">
        <f t="shared" si="68"/>
        <v>0</v>
      </c>
    </row>
    <row r="1309" spans="1:11" x14ac:dyDescent="0.2">
      <c r="A1309" s="72"/>
      <c r="B1309" s="72">
        <v>851</v>
      </c>
      <c r="C1309" s="31" t="s">
        <v>4713</v>
      </c>
      <c r="D1309" s="10">
        <f t="shared" si="67"/>
        <v>0</v>
      </c>
      <c r="E1309" s="10" t="s">
        <v>3366</v>
      </c>
      <c r="F1309" s="218" t="s">
        <v>4154</v>
      </c>
      <c r="G1309" s="264" t="s">
        <v>4155</v>
      </c>
      <c r="H1309" s="237"/>
      <c r="I1309" s="10" t="s">
        <v>3343</v>
      </c>
      <c r="J1309" s="31" t="s">
        <v>11</v>
      </c>
      <c r="K1309" s="429">
        <f t="shared" si="68"/>
        <v>0</v>
      </c>
    </row>
    <row r="1310" spans="1:11" x14ac:dyDescent="0.2">
      <c r="A1310" s="72" t="s">
        <v>5161</v>
      </c>
      <c r="B1310" s="72">
        <v>852</v>
      </c>
      <c r="C1310" s="31" t="s">
        <v>3841</v>
      </c>
      <c r="D1310" s="10" t="str">
        <f t="shared" si="67"/>
        <v>09 Des</v>
      </c>
      <c r="E1310" s="10" t="s">
        <v>3366</v>
      </c>
      <c r="F1310" s="218" t="s">
        <v>3924</v>
      </c>
      <c r="G1310" s="264" t="s">
        <v>3410</v>
      </c>
      <c r="H1310" s="237"/>
      <c r="I1310" s="10" t="s">
        <v>3343</v>
      </c>
      <c r="J1310" s="31" t="s">
        <v>11</v>
      </c>
      <c r="K1310" s="429">
        <f t="shared" si="68"/>
        <v>0</v>
      </c>
    </row>
    <row r="1311" spans="1:11" x14ac:dyDescent="0.2">
      <c r="A1311" s="72"/>
      <c r="B1311" s="72">
        <v>853</v>
      </c>
      <c r="C1311" s="31" t="s">
        <v>3842</v>
      </c>
      <c r="D1311" s="10">
        <f t="shared" si="67"/>
        <v>0</v>
      </c>
      <c r="E1311" s="10" t="s">
        <v>3366</v>
      </c>
      <c r="F1311" s="218" t="s">
        <v>3924</v>
      </c>
      <c r="G1311" s="264" t="s">
        <v>3410</v>
      </c>
      <c r="H1311" s="237"/>
      <c r="I1311" s="10" t="s">
        <v>3343</v>
      </c>
      <c r="J1311" s="31" t="s">
        <v>11</v>
      </c>
      <c r="K1311" s="429">
        <f t="shared" si="68"/>
        <v>0</v>
      </c>
    </row>
    <row r="1312" spans="1:11" x14ac:dyDescent="0.2">
      <c r="A1312" s="72"/>
      <c r="B1312" s="72">
        <v>854</v>
      </c>
      <c r="C1312" s="31" t="s">
        <v>3843</v>
      </c>
      <c r="D1312" s="10">
        <f t="shared" si="67"/>
        <v>0</v>
      </c>
      <c r="E1312" s="10" t="s">
        <v>3366</v>
      </c>
      <c r="F1312" s="218" t="s">
        <v>3924</v>
      </c>
      <c r="G1312" s="264" t="s">
        <v>3410</v>
      </c>
      <c r="H1312" s="237"/>
      <c r="I1312" s="10" t="s">
        <v>3343</v>
      </c>
      <c r="J1312" s="31" t="s">
        <v>11</v>
      </c>
      <c r="K1312" s="429">
        <f t="shared" si="68"/>
        <v>0</v>
      </c>
    </row>
    <row r="1313" spans="1:11" x14ac:dyDescent="0.2">
      <c r="A1313" s="72"/>
      <c r="B1313" s="72">
        <v>855</v>
      </c>
      <c r="C1313" s="31" t="s">
        <v>5162</v>
      </c>
      <c r="D1313" s="10">
        <f t="shared" si="67"/>
        <v>0</v>
      </c>
      <c r="E1313" s="10" t="s">
        <v>3366</v>
      </c>
      <c r="F1313" s="218" t="s">
        <v>4038</v>
      </c>
      <c r="G1313" s="264" t="s">
        <v>4039</v>
      </c>
      <c r="H1313" s="237"/>
      <c r="I1313" s="10" t="s">
        <v>3343</v>
      </c>
      <c r="J1313" s="31" t="s">
        <v>11</v>
      </c>
      <c r="K1313" s="429">
        <f t="shared" si="68"/>
        <v>0</v>
      </c>
    </row>
    <row r="1314" spans="1:11" x14ac:dyDescent="0.2">
      <c r="A1314" s="72"/>
      <c r="B1314" s="72">
        <v>856</v>
      </c>
      <c r="C1314" s="31" t="s">
        <v>5163</v>
      </c>
      <c r="D1314" s="10">
        <f t="shared" si="67"/>
        <v>0</v>
      </c>
      <c r="E1314" s="10" t="s">
        <v>3366</v>
      </c>
      <c r="F1314" s="218" t="s">
        <v>3944</v>
      </c>
      <c r="G1314" s="264" t="s">
        <v>4017</v>
      </c>
      <c r="H1314" s="237"/>
      <c r="I1314" s="10" t="s">
        <v>3343</v>
      </c>
      <c r="J1314" s="31" t="s">
        <v>11</v>
      </c>
      <c r="K1314" s="429">
        <f t="shared" si="68"/>
        <v>0</v>
      </c>
    </row>
    <row r="1315" spans="1:11" x14ac:dyDescent="0.2">
      <c r="A1315" s="72"/>
      <c r="B1315" s="72">
        <v>857</v>
      </c>
      <c r="C1315" s="31" t="s">
        <v>5164</v>
      </c>
      <c r="D1315" s="10">
        <f t="shared" si="67"/>
        <v>0</v>
      </c>
      <c r="E1315" s="10" t="s">
        <v>3366</v>
      </c>
      <c r="F1315" s="218" t="s">
        <v>3934</v>
      </c>
      <c r="G1315" s="264" t="s">
        <v>4032</v>
      </c>
      <c r="H1315" s="237"/>
      <c r="I1315" s="10" t="s">
        <v>3343</v>
      </c>
      <c r="J1315" s="31" t="s">
        <v>11</v>
      </c>
      <c r="K1315" s="429">
        <f t="shared" si="68"/>
        <v>0</v>
      </c>
    </row>
    <row r="1316" spans="1:11" x14ac:dyDescent="0.2">
      <c r="A1316" s="72"/>
      <c r="B1316" s="72">
        <v>858</v>
      </c>
      <c r="C1316" s="31" t="s">
        <v>5165</v>
      </c>
      <c r="D1316" s="10">
        <f t="shared" si="67"/>
        <v>0</v>
      </c>
      <c r="E1316" s="10" t="s">
        <v>3366</v>
      </c>
      <c r="F1316" s="218" t="s">
        <v>4005</v>
      </c>
      <c r="G1316" s="264" t="s">
        <v>5014</v>
      </c>
      <c r="H1316" s="237"/>
      <c r="I1316" s="10" t="s">
        <v>3343</v>
      </c>
      <c r="J1316" s="31" t="s">
        <v>11</v>
      </c>
      <c r="K1316" s="429">
        <f t="shared" si="68"/>
        <v>0</v>
      </c>
    </row>
    <row r="1317" spans="1:11" x14ac:dyDescent="0.2">
      <c r="A1317" s="72"/>
      <c r="B1317" s="72">
        <v>859</v>
      </c>
      <c r="C1317" s="31" t="s">
        <v>5166</v>
      </c>
      <c r="D1317" s="10">
        <f t="shared" si="67"/>
        <v>0</v>
      </c>
      <c r="E1317" s="10" t="s">
        <v>3366</v>
      </c>
      <c r="F1317" s="218" t="s">
        <v>3941</v>
      </c>
      <c r="G1317" s="264" t="s">
        <v>3942</v>
      </c>
      <c r="H1317" s="237"/>
      <c r="I1317" s="10" t="s">
        <v>3343</v>
      </c>
      <c r="J1317" s="31" t="s">
        <v>11</v>
      </c>
      <c r="K1317" s="429">
        <f t="shared" si="68"/>
        <v>0</v>
      </c>
    </row>
    <row r="1318" spans="1:11" x14ac:dyDescent="0.2">
      <c r="A1318" s="72"/>
      <c r="B1318" s="72">
        <v>860</v>
      </c>
      <c r="C1318" s="31" t="s">
        <v>5167</v>
      </c>
      <c r="D1318" s="10">
        <f t="shared" si="67"/>
        <v>0</v>
      </c>
      <c r="E1318" s="10" t="s">
        <v>3366</v>
      </c>
      <c r="F1318" s="218" t="s">
        <v>3941</v>
      </c>
      <c r="G1318" s="264" t="s">
        <v>5168</v>
      </c>
      <c r="H1318" s="237"/>
      <c r="I1318" s="10" t="s">
        <v>3343</v>
      </c>
      <c r="J1318" s="31" t="s">
        <v>11</v>
      </c>
      <c r="K1318" s="429">
        <f t="shared" si="68"/>
        <v>0</v>
      </c>
    </row>
    <row r="1319" spans="1:11" x14ac:dyDescent="0.2">
      <c r="A1319" s="72" t="s">
        <v>5169</v>
      </c>
      <c r="B1319" s="72">
        <v>861</v>
      </c>
      <c r="C1319" s="31" t="s">
        <v>5170</v>
      </c>
      <c r="D1319" s="10" t="str">
        <f t="shared" si="67"/>
        <v>10 Des</v>
      </c>
      <c r="E1319" s="10" t="s">
        <v>3366</v>
      </c>
      <c r="F1319" s="218" t="s">
        <v>3921</v>
      </c>
      <c r="G1319" s="264" t="s">
        <v>3402</v>
      </c>
      <c r="H1319" s="237"/>
      <c r="I1319" s="10" t="s">
        <v>3343</v>
      </c>
      <c r="J1319" s="31" t="s">
        <v>11</v>
      </c>
      <c r="K1319" s="429">
        <f t="shared" si="68"/>
        <v>0</v>
      </c>
    </row>
    <row r="1320" spans="1:11" x14ac:dyDescent="0.2">
      <c r="A1320" s="72"/>
      <c r="B1320" s="72">
        <v>862</v>
      </c>
      <c r="C1320" s="31" t="s">
        <v>5171</v>
      </c>
      <c r="D1320" s="10">
        <f t="shared" si="67"/>
        <v>0</v>
      </c>
      <c r="E1320" s="10" t="s">
        <v>3366</v>
      </c>
      <c r="F1320" s="218" t="s">
        <v>3989</v>
      </c>
      <c r="G1320" s="264" t="s">
        <v>3990</v>
      </c>
      <c r="H1320" s="237"/>
      <c r="I1320" s="10" t="s">
        <v>3343</v>
      </c>
      <c r="J1320" s="31" t="s">
        <v>11</v>
      </c>
      <c r="K1320" s="429">
        <f t="shared" si="68"/>
        <v>0</v>
      </c>
    </row>
    <row r="1321" spans="1:11" x14ac:dyDescent="0.2">
      <c r="A1321" s="263"/>
      <c r="B1321" s="72">
        <v>863</v>
      </c>
      <c r="C1321" s="31" t="s">
        <v>5172</v>
      </c>
      <c r="D1321" s="10">
        <f t="shared" si="67"/>
        <v>0</v>
      </c>
      <c r="E1321" s="10" t="s">
        <v>3366</v>
      </c>
      <c r="F1321" s="218" t="s">
        <v>4005</v>
      </c>
      <c r="G1321" s="264" t="s">
        <v>5014</v>
      </c>
      <c r="H1321" s="237"/>
      <c r="I1321" s="10" t="s">
        <v>3343</v>
      </c>
      <c r="J1321" s="31" t="s">
        <v>11</v>
      </c>
      <c r="K1321" s="429">
        <f t="shared" si="68"/>
        <v>0</v>
      </c>
    </row>
    <row r="1322" spans="1:11" x14ac:dyDescent="0.2">
      <c r="A1322" s="72"/>
      <c r="B1322" s="72">
        <v>864</v>
      </c>
      <c r="C1322" s="31" t="s">
        <v>5173</v>
      </c>
      <c r="D1322" s="10">
        <f t="shared" si="67"/>
        <v>0</v>
      </c>
      <c r="E1322" s="10" t="s">
        <v>3366</v>
      </c>
      <c r="F1322" s="218" t="s">
        <v>3960</v>
      </c>
      <c r="G1322" s="264" t="s">
        <v>3456</v>
      </c>
      <c r="H1322" s="237"/>
      <c r="I1322" s="10" t="s">
        <v>3343</v>
      </c>
      <c r="J1322" s="31" t="s">
        <v>11</v>
      </c>
      <c r="K1322" s="429">
        <f t="shared" si="68"/>
        <v>0</v>
      </c>
    </row>
    <row r="1323" spans="1:11" x14ac:dyDescent="0.2">
      <c r="A1323" s="72"/>
      <c r="B1323" s="72">
        <v>865</v>
      </c>
      <c r="C1323" s="31" t="s">
        <v>5174</v>
      </c>
      <c r="D1323" s="10">
        <f t="shared" si="67"/>
        <v>0</v>
      </c>
      <c r="E1323" s="10" t="s">
        <v>3366</v>
      </c>
      <c r="F1323" s="218" t="s">
        <v>3999</v>
      </c>
      <c r="G1323" s="264" t="s">
        <v>4000</v>
      </c>
      <c r="H1323" s="237"/>
      <c r="I1323" s="10" t="s">
        <v>3343</v>
      </c>
      <c r="J1323" s="31" t="s">
        <v>11</v>
      </c>
      <c r="K1323" s="429">
        <f t="shared" si="68"/>
        <v>0</v>
      </c>
    </row>
    <row r="1324" spans="1:11" x14ac:dyDescent="0.2">
      <c r="A1324" s="72"/>
      <c r="B1324" s="72">
        <v>866</v>
      </c>
      <c r="C1324" s="31" t="s">
        <v>3845</v>
      </c>
      <c r="D1324" s="10">
        <f t="shared" si="67"/>
        <v>0</v>
      </c>
      <c r="E1324" s="10" t="s">
        <v>3366</v>
      </c>
      <c r="F1324" s="218" t="s">
        <v>3929</v>
      </c>
      <c r="G1324" s="264" t="s">
        <v>3930</v>
      </c>
      <c r="H1324" s="237"/>
      <c r="I1324" s="10" t="s">
        <v>3343</v>
      </c>
      <c r="J1324" s="31" t="s">
        <v>11</v>
      </c>
      <c r="K1324" s="429">
        <f t="shared" si="68"/>
        <v>0</v>
      </c>
    </row>
    <row r="1325" spans="1:11" x14ac:dyDescent="0.2">
      <c r="A1325" s="72"/>
      <c r="B1325" s="72">
        <v>867</v>
      </c>
      <c r="C1325" s="31" t="s">
        <v>5175</v>
      </c>
      <c r="D1325" s="10">
        <f t="shared" si="67"/>
        <v>0</v>
      </c>
      <c r="E1325" s="10" t="s">
        <v>3366</v>
      </c>
      <c r="F1325" s="218" t="s">
        <v>4578</v>
      </c>
      <c r="G1325" s="264" t="s">
        <v>4594</v>
      </c>
      <c r="H1325" s="237"/>
      <c r="I1325" s="10" t="s">
        <v>3343</v>
      </c>
      <c r="J1325" s="31" t="s">
        <v>11</v>
      </c>
      <c r="K1325" s="429">
        <f t="shared" si="68"/>
        <v>0</v>
      </c>
    </row>
    <row r="1326" spans="1:11" x14ac:dyDescent="0.2">
      <c r="A1326" s="72"/>
      <c r="B1326" s="72"/>
      <c r="C1326" s="31"/>
      <c r="D1326" s="10">
        <f t="shared" si="67"/>
        <v>0</v>
      </c>
      <c r="E1326" s="10" t="s">
        <v>3366</v>
      </c>
      <c r="F1326" s="218" t="s">
        <v>4595</v>
      </c>
      <c r="G1326" s="264" t="s">
        <v>4596</v>
      </c>
      <c r="H1326" s="237"/>
      <c r="I1326" s="10" t="s">
        <v>3343</v>
      </c>
      <c r="J1326" s="31" t="s">
        <v>11</v>
      </c>
      <c r="K1326" s="429">
        <f t="shared" si="68"/>
        <v>0</v>
      </c>
    </row>
    <row r="1327" spans="1:11" x14ac:dyDescent="0.2">
      <c r="A1327" s="72"/>
      <c r="B1327" s="72"/>
      <c r="C1327" s="31"/>
      <c r="D1327" s="10">
        <f t="shared" si="67"/>
        <v>0</v>
      </c>
      <c r="E1327" s="10" t="s">
        <v>3366</v>
      </c>
      <c r="F1327" s="218" t="s">
        <v>4597</v>
      </c>
      <c r="G1327" s="264" t="s">
        <v>4598</v>
      </c>
      <c r="H1327" s="237"/>
      <c r="I1327" s="10" t="s">
        <v>3343</v>
      </c>
      <c r="J1327" s="31" t="s">
        <v>11</v>
      </c>
      <c r="K1327" s="429">
        <f t="shared" si="68"/>
        <v>0</v>
      </c>
    </row>
    <row r="1328" spans="1:11" x14ac:dyDescent="0.2">
      <c r="A1328" s="72" t="s">
        <v>3757</v>
      </c>
      <c r="B1328" s="72">
        <v>868</v>
      </c>
      <c r="C1328" s="265" t="s">
        <v>3844</v>
      </c>
      <c r="D1328" s="10" t="str">
        <f t="shared" si="67"/>
        <v>11 Des</v>
      </c>
      <c r="E1328" s="10" t="s">
        <v>3366</v>
      </c>
      <c r="F1328" s="218" t="s">
        <v>3925</v>
      </c>
      <c r="G1328" s="264" t="s">
        <v>3926</v>
      </c>
      <c r="H1328" s="237"/>
      <c r="I1328" s="10" t="s">
        <v>3343</v>
      </c>
      <c r="J1328" s="31" t="s">
        <v>11</v>
      </c>
      <c r="K1328" s="429">
        <f t="shared" si="68"/>
        <v>0</v>
      </c>
    </row>
    <row r="1329" spans="1:11" x14ac:dyDescent="0.2">
      <c r="A1329" s="72"/>
      <c r="B1329" s="72"/>
      <c r="C1329" s="265"/>
      <c r="D1329" s="10">
        <f t="shared" si="67"/>
        <v>0</v>
      </c>
      <c r="E1329" s="10" t="s">
        <v>3366</v>
      </c>
      <c r="F1329" s="218" t="s">
        <v>3520</v>
      </c>
      <c r="G1329" s="264" t="s">
        <v>3928</v>
      </c>
      <c r="H1329" s="237"/>
      <c r="I1329" s="10" t="s">
        <v>3343</v>
      </c>
      <c r="J1329" s="31" t="s">
        <v>11</v>
      </c>
      <c r="K1329" s="429">
        <f t="shared" si="68"/>
        <v>0</v>
      </c>
    </row>
    <row r="1330" spans="1:11" x14ac:dyDescent="0.2">
      <c r="A1330" s="72"/>
      <c r="B1330" s="72"/>
      <c r="C1330" s="265"/>
      <c r="D1330" s="10">
        <f t="shared" si="67"/>
        <v>0</v>
      </c>
      <c r="E1330" s="10" t="s">
        <v>3366</v>
      </c>
      <c r="F1330" s="218" t="s">
        <v>3543</v>
      </c>
      <c r="G1330" s="264" t="s">
        <v>3927</v>
      </c>
      <c r="H1330" s="237"/>
      <c r="I1330" s="10" t="s">
        <v>3343</v>
      </c>
      <c r="J1330" s="31" t="s">
        <v>11</v>
      </c>
      <c r="K1330" s="429">
        <f t="shared" si="68"/>
        <v>0</v>
      </c>
    </row>
    <row r="1331" spans="1:11" x14ac:dyDescent="0.2">
      <c r="A1331" s="72"/>
      <c r="B1331" s="72">
        <v>869</v>
      </c>
      <c r="C1331" s="31" t="s">
        <v>5176</v>
      </c>
      <c r="D1331" s="10">
        <f t="shared" si="67"/>
        <v>0</v>
      </c>
      <c r="E1331" s="10" t="s">
        <v>3366</v>
      </c>
      <c r="F1331" s="218" t="s">
        <v>3935</v>
      </c>
      <c r="G1331" s="267" t="s">
        <v>3406</v>
      </c>
      <c r="H1331" s="237"/>
      <c r="I1331" s="10" t="s">
        <v>3343</v>
      </c>
      <c r="J1331" s="31" t="s">
        <v>11</v>
      </c>
      <c r="K1331" s="429">
        <f t="shared" si="68"/>
        <v>0</v>
      </c>
    </row>
    <row r="1332" spans="1:11" x14ac:dyDescent="0.2">
      <c r="A1332" s="72" t="s">
        <v>5177</v>
      </c>
      <c r="B1332" s="72">
        <v>870</v>
      </c>
      <c r="C1332" s="31" t="s">
        <v>5178</v>
      </c>
      <c r="D1332" s="10" t="str">
        <f t="shared" si="67"/>
        <v>12 Des</v>
      </c>
      <c r="E1332" s="10" t="s">
        <v>3366</v>
      </c>
      <c r="F1332" s="218" t="s">
        <v>3934</v>
      </c>
      <c r="G1332" s="267" t="s">
        <v>4032</v>
      </c>
      <c r="H1332" s="237"/>
      <c r="I1332" s="10" t="s">
        <v>3343</v>
      </c>
      <c r="J1332" s="31" t="s">
        <v>11</v>
      </c>
      <c r="K1332" s="429">
        <f t="shared" si="68"/>
        <v>0</v>
      </c>
    </row>
    <row r="1333" spans="1:11" x14ac:dyDescent="0.2">
      <c r="A1333" s="72" t="s">
        <v>5179</v>
      </c>
      <c r="B1333" s="72">
        <v>871</v>
      </c>
      <c r="C1333" s="31" t="s">
        <v>5180</v>
      </c>
      <c r="D1333" s="10" t="str">
        <f t="shared" si="67"/>
        <v>15 Des</v>
      </c>
      <c r="E1333" s="10" t="s">
        <v>3366</v>
      </c>
      <c r="F1333" s="218" t="s">
        <v>4003</v>
      </c>
      <c r="G1333" s="267" t="s">
        <v>4004</v>
      </c>
      <c r="H1333" s="237"/>
      <c r="I1333" s="10" t="s">
        <v>3343</v>
      </c>
      <c r="J1333" s="31" t="s">
        <v>11</v>
      </c>
      <c r="K1333" s="429">
        <f t="shared" si="68"/>
        <v>0</v>
      </c>
    </row>
    <row r="1334" spans="1:11" x14ac:dyDescent="0.2">
      <c r="A1334" s="72"/>
      <c r="B1334" s="72">
        <v>872</v>
      </c>
      <c r="C1334" s="31" t="s">
        <v>5181</v>
      </c>
      <c r="D1334" s="10">
        <f t="shared" si="67"/>
        <v>0</v>
      </c>
      <c r="E1334" s="10" t="s">
        <v>3366</v>
      </c>
      <c r="F1334" s="218" t="s">
        <v>4005</v>
      </c>
      <c r="G1334" s="267" t="s">
        <v>5014</v>
      </c>
      <c r="H1334" s="237"/>
      <c r="I1334" s="10" t="s">
        <v>3343</v>
      </c>
      <c r="J1334" s="31" t="s">
        <v>11</v>
      </c>
      <c r="K1334" s="429">
        <f t="shared" si="68"/>
        <v>0</v>
      </c>
    </row>
    <row r="1335" spans="1:11" x14ac:dyDescent="0.2">
      <c r="A1335" s="72"/>
      <c r="B1335" s="72">
        <v>873</v>
      </c>
      <c r="C1335" s="31" t="s">
        <v>5182</v>
      </c>
      <c r="D1335" s="10">
        <f t="shared" si="67"/>
        <v>0</v>
      </c>
      <c r="E1335" s="10" t="s">
        <v>3366</v>
      </c>
      <c r="F1335" s="218" t="s">
        <v>3921</v>
      </c>
      <c r="G1335" s="267" t="s">
        <v>5183</v>
      </c>
      <c r="H1335" s="237"/>
      <c r="I1335" s="10" t="s">
        <v>3343</v>
      </c>
      <c r="J1335" s="31" t="s">
        <v>11</v>
      </c>
      <c r="K1335" s="429">
        <f t="shared" si="68"/>
        <v>0</v>
      </c>
    </row>
    <row r="1336" spans="1:11" x14ac:dyDescent="0.2">
      <c r="A1336" s="72"/>
      <c r="B1336" s="72">
        <v>874</v>
      </c>
      <c r="C1336" s="31" t="s">
        <v>5184</v>
      </c>
      <c r="D1336" s="10">
        <f t="shared" si="67"/>
        <v>0</v>
      </c>
      <c r="E1336" s="10" t="s">
        <v>3366</v>
      </c>
      <c r="F1336" s="218" t="s">
        <v>4072</v>
      </c>
      <c r="G1336" s="267" t="s">
        <v>4073</v>
      </c>
      <c r="H1336" s="237"/>
      <c r="I1336" s="10" t="s">
        <v>3343</v>
      </c>
      <c r="J1336" s="31" t="s">
        <v>11</v>
      </c>
      <c r="K1336" s="429">
        <f t="shared" si="68"/>
        <v>0</v>
      </c>
    </row>
    <row r="1337" spans="1:11" x14ac:dyDescent="0.2">
      <c r="A1337" s="72"/>
      <c r="B1337" s="72">
        <v>875</v>
      </c>
      <c r="C1337" s="31" t="s">
        <v>5185</v>
      </c>
      <c r="D1337" s="10">
        <f t="shared" si="67"/>
        <v>0</v>
      </c>
      <c r="E1337" s="10" t="s">
        <v>3366</v>
      </c>
      <c r="F1337" s="218" t="s">
        <v>4005</v>
      </c>
      <c r="G1337" s="267" t="s">
        <v>5186</v>
      </c>
      <c r="H1337" s="237"/>
      <c r="I1337" s="10" t="s">
        <v>3343</v>
      </c>
      <c r="J1337" s="31" t="s">
        <v>11</v>
      </c>
      <c r="K1337" s="429">
        <f t="shared" si="68"/>
        <v>0</v>
      </c>
    </row>
    <row r="1338" spans="1:11" x14ac:dyDescent="0.2">
      <c r="A1338" s="72"/>
      <c r="B1338" s="72"/>
      <c r="C1338" s="265"/>
      <c r="D1338" s="10">
        <f t="shared" si="67"/>
        <v>0</v>
      </c>
      <c r="E1338" s="10" t="s">
        <v>3366</v>
      </c>
      <c r="F1338" s="218" t="s">
        <v>4006</v>
      </c>
      <c r="G1338" s="267" t="s">
        <v>5187</v>
      </c>
      <c r="H1338" s="237"/>
      <c r="I1338" s="10" t="s">
        <v>3343</v>
      </c>
      <c r="J1338" s="31" t="s">
        <v>11</v>
      </c>
      <c r="K1338" s="429">
        <f t="shared" si="68"/>
        <v>0</v>
      </c>
    </row>
    <row r="1339" spans="1:11" x14ac:dyDescent="0.2">
      <c r="A1339" s="72"/>
      <c r="B1339" s="72"/>
      <c r="C1339" s="265"/>
      <c r="D1339" s="10">
        <f t="shared" si="67"/>
        <v>0</v>
      </c>
      <c r="E1339" s="10" t="s">
        <v>3366</v>
      </c>
      <c r="F1339" s="218" t="s">
        <v>4003</v>
      </c>
      <c r="G1339" s="267" t="s">
        <v>5188</v>
      </c>
      <c r="H1339" s="237"/>
      <c r="I1339" s="10" t="s">
        <v>3343</v>
      </c>
      <c r="J1339" s="31" t="s">
        <v>11</v>
      </c>
      <c r="K1339" s="429">
        <f t="shared" si="68"/>
        <v>0</v>
      </c>
    </row>
    <row r="1340" spans="1:11" x14ac:dyDescent="0.2">
      <c r="A1340" s="72"/>
      <c r="B1340" s="72">
        <v>876</v>
      </c>
      <c r="C1340" s="265" t="s">
        <v>5189</v>
      </c>
      <c r="D1340" s="10">
        <f t="shared" si="67"/>
        <v>0</v>
      </c>
      <c r="E1340" s="10" t="s">
        <v>3366</v>
      </c>
      <c r="F1340" s="218" t="s">
        <v>3934</v>
      </c>
      <c r="G1340" s="264" t="s">
        <v>4032</v>
      </c>
      <c r="H1340" s="237"/>
      <c r="I1340" s="10" t="s">
        <v>3343</v>
      </c>
      <c r="J1340" s="31" t="s">
        <v>11</v>
      </c>
      <c r="K1340" s="429">
        <f t="shared" si="68"/>
        <v>0</v>
      </c>
    </row>
    <row r="1341" spans="1:11" x14ac:dyDescent="0.2">
      <c r="A1341" s="72"/>
      <c r="B1341" s="72">
        <v>877</v>
      </c>
      <c r="C1341" s="265" t="s">
        <v>3996</v>
      </c>
      <c r="D1341" s="10">
        <f t="shared" si="67"/>
        <v>0</v>
      </c>
      <c r="E1341" s="10" t="s">
        <v>3366</v>
      </c>
      <c r="F1341" s="218" t="s">
        <v>3390</v>
      </c>
      <c r="G1341" s="267" t="s">
        <v>3943</v>
      </c>
      <c r="H1341" s="237"/>
      <c r="I1341" s="10" t="s">
        <v>3343</v>
      </c>
      <c r="J1341" s="31" t="s">
        <v>11</v>
      </c>
      <c r="K1341" s="429">
        <f t="shared" si="68"/>
        <v>0</v>
      </c>
    </row>
    <row r="1342" spans="1:11" x14ac:dyDescent="0.2">
      <c r="A1342" s="72"/>
      <c r="B1342" s="72">
        <v>878</v>
      </c>
      <c r="C1342" s="31" t="s">
        <v>5190</v>
      </c>
      <c r="D1342" s="10">
        <f t="shared" si="67"/>
        <v>0</v>
      </c>
      <c r="E1342" s="10" t="s">
        <v>3366</v>
      </c>
      <c r="F1342" s="218" t="s">
        <v>3969</v>
      </c>
      <c r="G1342" s="267" t="s">
        <v>3970</v>
      </c>
      <c r="H1342" s="237"/>
      <c r="I1342" s="10" t="s">
        <v>3343</v>
      </c>
      <c r="J1342" s="31" t="s">
        <v>11</v>
      </c>
      <c r="K1342" s="429">
        <f t="shared" si="68"/>
        <v>0</v>
      </c>
    </row>
    <row r="1343" spans="1:11" x14ac:dyDescent="0.2">
      <c r="A1343" s="72" t="s">
        <v>5191</v>
      </c>
      <c r="B1343" s="72">
        <v>879</v>
      </c>
      <c r="C1343" s="31" t="s">
        <v>5192</v>
      </c>
      <c r="D1343" s="10" t="str">
        <f t="shared" si="67"/>
        <v>16 Des</v>
      </c>
      <c r="E1343" s="10" t="s">
        <v>3366</v>
      </c>
      <c r="F1343" s="218" t="s">
        <v>3944</v>
      </c>
      <c r="G1343" s="264" t="s">
        <v>4017</v>
      </c>
      <c r="H1343" s="237"/>
      <c r="I1343" s="10" t="s">
        <v>3343</v>
      </c>
      <c r="J1343" s="31" t="s">
        <v>11</v>
      </c>
      <c r="K1343" s="429">
        <f t="shared" si="68"/>
        <v>0</v>
      </c>
    </row>
    <row r="1344" spans="1:11" x14ac:dyDescent="0.2">
      <c r="A1344" s="72"/>
      <c r="B1344" s="72">
        <v>880</v>
      </c>
      <c r="C1344" s="31" t="s">
        <v>5193</v>
      </c>
      <c r="D1344" s="10">
        <f t="shared" si="67"/>
        <v>0</v>
      </c>
      <c r="E1344" s="10" t="s">
        <v>3366</v>
      </c>
      <c r="F1344" s="218" t="s">
        <v>3545</v>
      </c>
      <c r="G1344" s="267" t="s">
        <v>3544</v>
      </c>
      <c r="H1344" s="237"/>
      <c r="I1344" s="10" t="s">
        <v>3343</v>
      </c>
      <c r="J1344" s="31" t="s">
        <v>11</v>
      </c>
      <c r="K1344" s="429">
        <f t="shared" si="68"/>
        <v>0</v>
      </c>
    </row>
    <row r="1345" spans="1:11" x14ac:dyDescent="0.2">
      <c r="A1345" s="72"/>
      <c r="B1345" s="72">
        <v>881</v>
      </c>
      <c r="C1345" s="31" t="s">
        <v>5194</v>
      </c>
      <c r="D1345" s="10">
        <f t="shared" si="67"/>
        <v>0</v>
      </c>
      <c r="E1345" s="10" t="s">
        <v>3366</v>
      </c>
      <c r="F1345" s="218" t="s">
        <v>4003</v>
      </c>
      <c r="G1345" s="264" t="s">
        <v>4004</v>
      </c>
      <c r="H1345" s="237"/>
      <c r="I1345" s="10" t="s">
        <v>3343</v>
      </c>
      <c r="J1345" s="31" t="s">
        <v>11</v>
      </c>
      <c r="K1345" s="429">
        <f t="shared" si="68"/>
        <v>0</v>
      </c>
    </row>
    <row r="1346" spans="1:11" x14ac:dyDescent="0.2">
      <c r="A1346" s="72" t="s">
        <v>5195</v>
      </c>
      <c r="B1346" s="72">
        <v>882</v>
      </c>
      <c r="C1346" s="31" t="s">
        <v>5196</v>
      </c>
      <c r="D1346" s="10" t="str">
        <f t="shared" si="67"/>
        <v>17 Des</v>
      </c>
      <c r="E1346" s="10" t="s">
        <v>3366</v>
      </c>
      <c r="F1346" s="218" t="s">
        <v>4044</v>
      </c>
      <c r="G1346" s="264" t="s">
        <v>4045</v>
      </c>
      <c r="H1346" s="237"/>
      <c r="I1346" s="10" t="s">
        <v>3343</v>
      </c>
      <c r="J1346" s="31" t="s">
        <v>11</v>
      </c>
      <c r="K1346" s="429">
        <f t="shared" si="68"/>
        <v>0</v>
      </c>
    </row>
    <row r="1347" spans="1:11" x14ac:dyDescent="0.2">
      <c r="A1347" s="72" t="s">
        <v>5197</v>
      </c>
      <c r="B1347" s="72">
        <v>883</v>
      </c>
      <c r="C1347" s="31" t="s">
        <v>4033</v>
      </c>
      <c r="D1347" s="10" t="str">
        <f t="shared" si="67"/>
        <v>18 Des</v>
      </c>
      <c r="E1347" s="10" t="s">
        <v>3366</v>
      </c>
      <c r="F1347" s="218" t="s">
        <v>3939</v>
      </c>
      <c r="G1347" s="264" t="s">
        <v>3940</v>
      </c>
      <c r="H1347" s="237"/>
      <c r="I1347" s="10" t="s">
        <v>3343</v>
      </c>
      <c r="J1347" s="31" t="s">
        <v>11</v>
      </c>
      <c r="K1347" s="429">
        <f t="shared" si="68"/>
        <v>0</v>
      </c>
    </row>
    <row r="1348" spans="1:11" x14ac:dyDescent="0.2">
      <c r="A1348" s="72"/>
      <c r="B1348" s="72">
        <v>884</v>
      </c>
      <c r="C1348" s="31" t="s">
        <v>5198</v>
      </c>
      <c r="D1348" s="10">
        <f t="shared" si="67"/>
        <v>0</v>
      </c>
      <c r="E1348" s="10" t="s">
        <v>3366</v>
      </c>
      <c r="F1348" s="218" t="s">
        <v>4005</v>
      </c>
      <c r="G1348" s="264" t="s">
        <v>5186</v>
      </c>
      <c r="H1348" s="237"/>
      <c r="I1348" s="10" t="s">
        <v>3343</v>
      </c>
      <c r="J1348" s="31" t="s">
        <v>11</v>
      </c>
      <c r="K1348" s="429">
        <f t="shared" si="68"/>
        <v>0</v>
      </c>
    </row>
    <row r="1349" spans="1:11" x14ac:dyDescent="0.2">
      <c r="A1349" s="72"/>
      <c r="B1349" s="72"/>
      <c r="C1349" s="31"/>
      <c r="D1349" s="10">
        <f t="shared" si="67"/>
        <v>0</v>
      </c>
      <c r="E1349" s="10" t="s">
        <v>3366</v>
      </c>
      <c r="F1349" s="218" t="s">
        <v>4003</v>
      </c>
      <c r="G1349" s="264" t="s">
        <v>5199</v>
      </c>
      <c r="H1349" s="237"/>
      <c r="I1349" s="10" t="s">
        <v>3343</v>
      </c>
      <c r="J1349" s="31" t="s">
        <v>11</v>
      </c>
      <c r="K1349" s="429">
        <f t="shared" si="68"/>
        <v>0</v>
      </c>
    </row>
    <row r="1350" spans="1:11" x14ac:dyDescent="0.2">
      <c r="A1350" s="72" t="s">
        <v>5200</v>
      </c>
      <c r="B1350" s="72">
        <v>885</v>
      </c>
      <c r="C1350" s="31" t="s">
        <v>5201</v>
      </c>
      <c r="D1350" s="10" t="str">
        <f t="shared" si="67"/>
        <v>19 Des</v>
      </c>
      <c r="E1350" s="10" t="s">
        <v>3366</v>
      </c>
      <c r="F1350" s="218" t="s">
        <v>3559</v>
      </c>
      <c r="G1350" s="264" t="s">
        <v>4455</v>
      </c>
      <c r="H1350" s="237"/>
      <c r="I1350" s="10" t="s">
        <v>3343</v>
      </c>
      <c r="J1350" s="31" t="s">
        <v>11</v>
      </c>
      <c r="K1350" s="429">
        <f t="shared" si="68"/>
        <v>0</v>
      </c>
    </row>
    <row r="1351" spans="1:11" x14ac:dyDescent="0.2">
      <c r="A1351" s="72"/>
      <c r="B1351" s="72">
        <v>886</v>
      </c>
      <c r="C1351" s="31" t="s">
        <v>5202</v>
      </c>
      <c r="D1351" s="10">
        <f t="shared" si="67"/>
        <v>0</v>
      </c>
      <c r="E1351" s="10" t="s">
        <v>3366</v>
      </c>
      <c r="F1351" s="218" t="s">
        <v>3559</v>
      </c>
      <c r="G1351" s="264" t="s">
        <v>4455</v>
      </c>
      <c r="H1351" s="237"/>
      <c r="I1351" s="10" t="s">
        <v>3343</v>
      </c>
      <c r="J1351" s="31" t="s">
        <v>11</v>
      </c>
      <c r="K1351" s="429">
        <f t="shared" si="68"/>
        <v>0</v>
      </c>
    </row>
    <row r="1352" spans="1:11" x14ac:dyDescent="0.2">
      <c r="A1352" s="72"/>
      <c r="B1352" s="72">
        <v>887</v>
      </c>
      <c r="C1352" s="31" t="s">
        <v>5203</v>
      </c>
      <c r="D1352" s="10">
        <f t="shared" si="67"/>
        <v>0</v>
      </c>
      <c r="E1352" s="10" t="s">
        <v>3366</v>
      </c>
      <c r="F1352" s="218" t="s">
        <v>3559</v>
      </c>
      <c r="G1352" s="264" t="s">
        <v>4455</v>
      </c>
      <c r="H1352" s="237"/>
      <c r="I1352" s="10" t="s">
        <v>3343</v>
      </c>
      <c r="J1352" s="31" t="s">
        <v>11</v>
      </c>
      <c r="K1352" s="429">
        <f t="shared" si="68"/>
        <v>0</v>
      </c>
    </row>
    <row r="1353" spans="1:11" x14ac:dyDescent="0.2">
      <c r="A1353" s="72"/>
      <c r="B1353" s="72">
        <v>888</v>
      </c>
      <c r="C1353" s="31" t="s">
        <v>5204</v>
      </c>
      <c r="D1353" s="10">
        <f t="shared" si="67"/>
        <v>0</v>
      </c>
      <c r="E1353" s="10" t="s">
        <v>3366</v>
      </c>
      <c r="F1353" s="218" t="s">
        <v>4005</v>
      </c>
      <c r="G1353" s="267" t="s">
        <v>5205</v>
      </c>
      <c r="H1353" s="237"/>
      <c r="I1353" s="10" t="s">
        <v>3343</v>
      </c>
      <c r="J1353" s="31" t="s">
        <v>11</v>
      </c>
      <c r="K1353" s="429">
        <f t="shared" si="68"/>
        <v>0</v>
      </c>
    </row>
    <row r="1354" spans="1:11" x14ac:dyDescent="0.2">
      <c r="A1354" s="72"/>
      <c r="B1354" s="72">
        <v>889</v>
      </c>
      <c r="C1354" s="31" t="s">
        <v>4713</v>
      </c>
      <c r="D1354" s="10">
        <f t="shared" si="67"/>
        <v>0</v>
      </c>
      <c r="E1354" s="10" t="s">
        <v>3366</v>
      </c>
      <c r="F1354" s="218" t="s">
        <v>4154</v>
      </c>
      <c r="G1354" s="264" t="s">
        <v>4155</v>
      </c>
      <c r="H1354" s="237"/>
      <c r="I1354" s="10" t="s">
        <v>3343</v>
      </c>
      <c r="J1354" s="31" t="s">
        <v>11</v>
      </c>
      <c r="K1354" s="429">
        <f t="shared" si="68"/>
        <v>0</v>
      </c>
    </row>
    <row r="1355" spans="1:11" x14ac:dyDescent="0.2">
      <c r="A1355" s="72" t="s">
        <v>5206</v>
      </c>
      <c r="B1355" s="72">
        <v>890</v>
      </c>
      <c r="C1355" s="31" t="s">
        <v>3256</v>
      </c>
      <c r="D1355" s="10" t="str">
        <f t="shared" si="67"/>
        <v>24 Des</v>
      </c>
      <c r="E1355" s="10" t="s">
        <v>3366</v>
      </c>
      <c r="F1355" s="218" t="s">
        <v>3925</v>
      </c>
      <c r="G1355" s="264" t="s">
        <v>3962</v>
      </c>
      <c r="H1355" s="237"/>
      <c r="I1355" s="10" t="s">
        <v>3343</v>
      </c>
      <c r="J1355" s="31" t="s">
        <v>11</v>
      </c>
      <c r="K1355" s="429">
        <f t="shared" si="68"/>
        <v>0</v>
      </c>
    </row>
    <row r="1356" spans="1:11" x14ac:dyDescent="0.2">
      <c r="A1356" s="72"/>
      <c r="B1356" s="72"/>
      <c r="C1356" s="31"/>
      <c r="D1356" s="10">
        <f t="shared" si="67"/>
        <v>0</v>
      </c>
      <c r="E1356" s="10" t="s">
        <v>3366</v>
      </c>
      <c r="F1356" s="218" t="s">
        <v>3520</v>
      </c>
      <c r="G1356" s="264" t="s">
        <v>3964</v>
      </c>
      <c r="H1356" s="237"/>
      <c r="I1356" s="10" t="s">
        <v>3343</v>
      </c>
      <c r="J1356" s="31" t="s">
        <v>11</v>
      </c>
      <c r="K1356" s="429">
        <f t="shared" si="68"/>
        <v>0</v>
      </c>
    </row>
    <row r="1357" spans="1:11" x14ac:dyDescent="0.2">
      <c r="A1357" s="72"/>
      <c r="B1357" s="72"/>
      <c r="C1357" s="31"/>
      <c r="D1357" s="10">
        <f t="shared" si="67"/>
        <v>0</v>
      </c>
      <c r="E1357" s="10" t="s">
        <v>3366</v>
      </c>
      <c r="F1357" s="218" t="s">
        <v>3543</v>
      </c>
      <c r="G1357" s="264" t="s">
        <v>3963</v>
      </c>
      <c r="H1357" s="237"/>
      <c r="I1357" s="10" t="s">
        <v>3343</v>
      </c>
      <c r="J1357" s="31" t="s">
        <v>11</v>
      </c>
      <c r="K1357" s="429">
        <f>H1357</f>
        <v>0</v>
      </c>
    </row>
    <row r="1358" spans="1:11" x14ac:dyDescent="0.2">
      <c r="A1358" s="72"/>
      <c r="B1358" s="72">
        <v>891</v>
      </c>
      <c r="C1358" s="31" t="s">
        <v>3895</v>
      </c>
      <c r="D1358" s="10">
        <f t="shared" si="67"/>
        <v>0</v>
      </c>
      <c r="E1358" s="10" t="s">
        <v>3366</v>
      </c>
      <c r="F1358" s="218" t="s">
        <v>3960</v>
      </c>
      <c r="G1358" s="264" t="s">
        <v>3456</v>
      </c>
      <c r="H1358" s="237"/>
      <c r="I1358" s="10" t="s">
        <v>3343</v>
      </c>
      <c r="J1358" s="31" t="s">
        <v>11</v>
      </c>
      <c r="K1358" s="429">
        <f>H1358</f>
        <v>0</v>
      </c>
    </row>
    <row r="1359" spans="1:11" x14ac:dyDescent="0.2">
      <c r="A1359" s="72"/>
      <c r="B1359" s="72">
        <v>892</v>
      </c>
      <c r="C1359" s="31" t="s">
        <v>3889</v>
      </c>
      <c r="D1359" s="10">
        <f t="shared" si="67"/>
        <v>0</v>
      </c>
      <c r="E1359" s="10" t="s">
        <v>3366</v>
      </c>
      <c r="F1359" s="218" t="s">
        <v>3925</v>
      </c>
      <c r="G1359" s="264" t="s">
        <v>3958</v>
      </c>
      <c r="H1359" s="237"/>
      <c r="I1359" s="10" t="s">
        <v>3343</v>
      </c>
      <c r="J1359" s="31" t="s">
        <v>11</v>
      </c>
      <c r="K1359" s="429">
        <f t="shared" si="68"/>
        <v>0</v>
      </c>
    </row>
    <row r="1360" spans="1:11" x14ac:dyDescent="0.2">
      <c r="A1360" s="72"/>
      <c r="B1360" s="72"/>
      <c r="C1360" s="31"/>
      <c r="D1360" s="10">
        <f t="shared" si="67"/>
        <v>0</v>
      </c>
      <c r="E1360" s="10" t="s">
        <v>3366</v>
      </c>
      <c r="F1360" s="218" t="s">
        <v>3520</v>
      </c>
      <c r="G1360" s="264" t="s">
        <v>4019</v>
      </c>
      <c r="H1360" s="237"/>
      <c r="I1360" s="10" t="s">
        <v>3343</v>
      </c>
      <c r="J1360" s="31" t="s">
        <v>11</v>
      </c>
      <c r="K1360" s="429">
        <f t="shared" si="68"/>
        <v>0</v>
      </c>
    </row>
    <row r="1361" spans="1:11" x14ac:dyDescent="0.2">
      <c r="A1361" s="72"/>
      <c r="B1361" s="72"/>
      <c r="C1361" s="31"/>
      <c r="D1361" s="10">
        <f t="shared" si="67"/>
        <v>0</v>
      </c>
      <c r="E1361" s="10" t="s">
        <v>3366</v>
      </c>
      <c r="F1361" s="218" t="s">
        <v>3543</v>
      </c>
      <c r="G1361" s="264" t="s">
        <v>3959</v>
      </c>
      <c r="H1361" s="237"/>
      <c r="I1361" s="10" t="s">
        <v>3343</v>
      </c>
      <c r="J1361" s="31" t="s">
        <v>11</v>
      </c>
      <c r="K1361" s="429">
        <f t="shared" si="68"/>
        <v>0</v>
      </c>
    </row>
    <row r="1362" spans="1:11" x14ac:dyDescent="0.2">
      <c r="A1362" s="72"/>
      <c r="B1362" s="72">
        <v>893</v>
      </c>
      <c r="C1362" s="31" t="s">
        <v>5207</v>
      </c>
      <c r="D1362" s="10">
        <f t="shared" si="67"/>
        <v>0</v>
      </c>
      <c r="E1362" s="10" t="s">
        <v>3366</v>
      </c>
      <c r="F1362" s="218" t="s">
        <v>3935</v>
      </c>
      <c r="G1362" s="264" t="s">
        <v>3406</v>
      </c>
      <c r="H1362" s="237"/>
      <c r="I1362" s="10" t="s">
        <v>3343</v>
      </c>
      <c r="J1362" s="31" t="s">
        <v>11</v>
      </c>
      <c r="K1362" s="429">
        <f>H1362</f>
        <v>0</v>
      </c>
    </row>
    <row r="1363" spans="1:11" x14ac:dyDescent="0.2">
      <c r="A1363" s="72"/>
      <c r="B1363" s="72">
        <v>894</v>
      </c>
      <c r="C1363" s="31" t="s">
        <v>5208</v>
      </c>
      <c r="D1363" s="10">
        <f t="shared" si="67"/>
        <v>0</v>
      </c>
      <c r="E1363" s="10" t="s">
        <v>3366</v>
      </c>
      <c r="F1363" s="218" t="s">
        <v>4013</v>
      </c>
      <c r="G1363" s="264" t="s">
        <v>4052</v>
      </c>
      <c r="H1363" s="237"/>
      <c r="I1363" s="10" t="s">
        <v>3343</v>
      </c>
      <c r="J1363" s="31" t="s">
        <v>11</v>
      </c>
      <c r="K1363" s="429">
        <f>H1363</f>
        <v>0</v>
      </c>
    </row>
    <row r="1364" spans="1:11" x14ac:dyDescent="0.2">
      <c r="A1364" s="72" t="s">
        <v>5209</v>
      </c>
      <c r="B1364" s="72">
        <v>895</v>
      </c>
      <c r="C1364" s="31" t="s">
        <v>4610</v>
      </c>
      <c r="D1364" s="10" t="str">
        <f t="shared" si="67"/>
        <v>29 Des</v>
      </c>
      <c r="E1364" s="10" t="s">
        <v>3366</v>
      </c>
      <c r="F1364" s="218" t="s">
        <v>3971</v>
      </c>
      <c r="G1364" s="264" t="s">
        <v>3972</v>
      </c>
      <c r="H1364" s="237"/>
      <c r="I1364" s="10" t="s">
        <v>3343</v>
      </c>
      <c r="J1364" s="31" t="s">
        <v>11</v>
      </c>
      <c r="K1364" s="429">
        <f>H1364</f>
        <v>0</v>
      </c>
    </row>
    <row r="1365" spans="1:11" x14ac:dyDescent="0.2">
      <c r="A1365" s="72"/>
      <c r="B1365" s="72">
        <v>896</v>
      </c>
      <c r="C1365" s="31" t="s">
        <v>4024</v>
      </c>
      <c r="D1365" s="10">
        <f t="shared" si="67"/>
        <v>0</v>
      </c>
      <c r="E1365" s="10" t="s">
        <v>3366</v>
      </c>
      <c r="F1365" s="218" t="s">
        <v>3483</v>
      </c>
      <c r="G1365" s="267" t="s">
        <v>3484</v>
      </c>
      <c r="H1365" s="237"/>
      <c r="I1365" s="10" t="s">
        <v>3343</v>
      </c>
      <c r="J1365" s="31" t="s">
        <v>11</v>
      </c>
      <c r="K1365" s="429">
        <f>H1365</f>
        <v>0</v>
      </c>
    </row>
    <row r="1366" spans="1:11" x14ac:dyDescent="0.2">
      <c r="A1366" s="72"/>
      <c r="B1366" s="72">
        <v>897</v>
      </c>
      <c r="C1366" s="31" t="s">
        <v>4065</v>
      </c>
      <c r="D1366" s="10">
        <f t="shared" si="67"/>
        <v>0</v>
      </c>
      <c r="E1366" s="10" t="s">
        <v>3366</v>
      </c>
      <c r="F1366" s="218" t="s">
        <v>3486</v>
      </c>
      <c r="G1366" s="267" t="s">
        <v>3973</v>
      </c>
      <c r="H1366" s="237"/>
      <c r="I1366" s="10" t="s">
        <v>3343</v>
      </c>
      <c r="J1366" s="31" t="s">
        <v>11</v>
      </c>
      <c r="K1366" s="429">
        <f t="shared" ref="K1366:K1422" si="69">H1366</f>
        <v>0</v>
      </c>
    </row>
    <row r="1367" spans="1:11" x14ac:dyDescent="0.2">
      <c r="A1367" s="72"/>
      <c r="B1367" s="72">
        <v>898</v>
      </c>
      <c r="C1367" s="31" t="s">
        <v>3904</v>
      </c>
      <c r="D1367" s="10">
        <f t="shared" si="67"/>
        <v>0</v>
      </c>
      <c r="E1367" s="10" t="s">
        <v>3366</v>
      </c>
      <c r="F1367" s="218" t="s">
        <v>3486</v>
      </c>
      <c r="G1367" s="267" t="s">
        <v>3973</v>
      </c>
      <c r="H1367" s="237"/>
      <c r="I1367" s="10" t="s">
        <v>3343</v>
      </c>
      <c r="J1367" s="31" t="s">
        <v>11</v>
      </c>
      <c r="K1367" s="429">
        <f t="shared" si="69"/>
        <v>0</v>
      </c>
    </row>
    <row r="1368" spans="1:11" x14ac:dyDescent="0.2">
      <c r="A1368" s="72"/>
      <c r="B1368" s="72">
        <v>899</v>
      </c>
      <c r="C1368" s="31" t="s">
        <v>3906</v>
      </c>
      <c r="D1368" s="10">
        <f t="shared" ref="D1368:D1419" si="70">A1370</f>
        <v>0</v>
      </c>
      <c r="E1368" s="10" t="s">
        <v>3366</v>
      </c>
      <c r="F1368" s="218" t="s">
        <v>3486</v>
      </c>
      <c r="G1368" s="267" t="s">
        <v>3973</v>
      </c>
      <c r="H1368" s="237"/>
      <c r="I1368" s="10" t="s">
        <v>3343</v>
      </c>
      <c r="J1368" s="31" t="s">
        <v>11</v>
      </c>
      <c r="K1368" s="429">
        <f t="shared" si="69"/>
        <v>0</v>
      </c>
    </row>
    <row r="1369" spans="1:11" x14ac:dyDescent="0.2">
      <c r="A1369" s="72"/>
      <c r="B1369" s="72">
        <v>900</v>
      </c>
      <c r="C1369" s="31" t="s">
        <v>5210</v>
      </c>
      <c r="D1369" s="10">
        <f t="shared" si="70"/>
        <v>0</v>
      </c>
      <c r="E1369" s="10" t="s">
        <v>3366</v>
      </c>
      <c r="F1369" s="218" t="s">
        <v>3925</v>
      </c>
      <c r="G1369" s="267" t="s">
        <v>3966</v>
      </c>
      <c r="H1369" s="237"/>
      <c r="I1369" s="10" t="s">
        <v>3343</v>
      </c>
      <c r="J1369" s="31" t="s">
        <v>11</v>
      </c>
      <c r="K1369" s="429">
        <f t="shared" si="69"/>
        <v>0</v>
      </c>
    </row>
    <row r="1370" spans="1:11" x14ac:dyDescent="0.2">
      <c r="A1370" s="72"/>
      <c r="B1370" s="72"/>
      <c r="C1370" s="31"/>
      <c r="D1370" s="10">
        <f t="shared" si="70"/>
        <v>0</v>
      </c>
      <c r="E1370" s="10" t="s">
        <v>3366</v>
      </c>
      <c r="F1370" s="218" t="s">
        <v>3543</v>
      </c>
      <c r="G1370" s="267" t="s">
        <v>3967</v>
      </c>
      <c r="H1370" s="237"/>
      <c r="I1370" s="10" t="s">
        <v>3343</v>
      </c>
      <c r="J1370" s="31" t="s">
        <v>11</v>
      </c>
      <c r="K1370" s="429">
        <f t="shared" si="69"/>
        <v>0</v>
      </c>
    </row>
    <row r="1371" spans="1:11" x14ac:dyDescent="0.2">
      <c r="A1371" s="72"/>
      <c r="B1371" s="72"/>
      <c r="C1371" s="31"/>
      <c r="D1371" s="10">
        <f t="shared" si="70"/>
        <v>0</v>
      </c>
      <c r="E1371" s="10" t="s">
        <v>3366</v>
      </c>
      <c r="F1371" s="218" t="s">
        <v>3520</v>
      </c>
      <c r="G1371" s="267" t="s">
        <v>3968</v>
      </c>
      <c r="H1371" s="237"/>
      <c r="I1371" s="10" t="s">
        <v>3343</v>
      </c>
      <c r="J1371" s="31" t="s">
        <v>11</v>
      </c>
      <c r="K1371" s="429">
        <f t="shared" si="69"/>
        <v>0</v>
      </c>
    </row>
    <row r="1372" spans="1:11" x14ac:dyDescent="0.2">
      <c r="A1372" s="72"/>
      <c r="B1372" s="72">
        <v>901</v>
      </c>
      <c r="C1372" s="31" t="s">
        <v>4389</v>
      </c>
      <c r="D1372" s="10">
        <f t="shared" si="70"/>
        <v>0</v>
      </c>
      <c r="E1372" s="10" t="s">
        <v>3366</v>
      </c>
      <c r="F1372" s="218" t="s">
        <v>3965</v>
      </c>
      <c r="G1372" s="267" t="s">
        <v>3478</v>
      </c>
      <c r="H1372" s="237"/>
      <c r="I1372" s="10" t="s">
        <v>3343</v>
      </c>
      <c r="J1372" s="31" t="s">
        <v>11</v>
      </c>
      <c r="K1372" s="429">
        <f t="shared" si="69"/>
        <v>0</v>
      </c>
    </row>
    <row r="1373" spans="1:11" x14ac:dyDescent="0.2">
      <c r="A1373" s="72"/>
      <c r="B1373" s="72">
        <v>902</v>
      </c>
      <c r="C1373" s="31" t="s">
        <v>4929</v>
      </c>
      <c r="D1373" s="10">
        <f t="shared" si="70"/>
        <v>0</v>
      </c>
      <c r="E1373" s="10" t="s">
        <v>3366</v>
      </c>
      <c r="F1373" s="218" t="s">
        <v>3969</v>
      </c>
      <c r="G1373" s="267" t="s">
        <v>5211</v>
      </c>
      <c r="H1373" s="237"/>
      <c r="I1373" s="10" t="s">
        <v>3343</v>
      </c>
      <c r="J1373" s="31" t="s">
        <v>11</v>
      </c>
      <c r="K1373" s="429">
        <f t="shared" si="69"/>
        <v>0</v>
      </c>
    </row>
    <row r="1374" spans="1:11" x14ac:dyDescent="0.2">
      <c r="A1374" s="72"/>
      <c r="B1374" s="72">
        <v>903</v>
      </c>
      <c r="C1374" s="31" t="s">
        <v>3908</v>
      </c>
      <c r="D1374" s="10">
        <f t="shared" si="70"/>
        <v>0</v>
      </c>
      <c r="E1374" s="10" t="s">
        <v>3366</v>
      </c>
      <c r="F1374" s="218" t="s">
        <v>3956</v>
      </c>
      <c r="G1374" s="267" t="s">
        <v>3957</v>
      </c>
      <c r="H1374" s="237"/>
      <c r="I1374" s="10" t="s">
        <v>3343</v>
      </c>
      <c r="J1374" s="31" t="s">
        <v>11</v>
      </c>
      <c r="K1374" s="429">
        <f t="shared" si="69"/>
        <v>0</v>
      </c>
    </row>
    <row r="1375" spans="1:11" x14ac:dyDescent="0.2">
      <c r="A1375" s="72"/>
      <c r="B1375" s="72">
        <v>904</v>
      </c>
      <c r="C1375" s="31" t="s">
        <v>3910</v>
      </c>
      <c r="D1375" s="10">
        <f t="shared" si="70"/>
        <v>0</v>
      </c>
      <c r="E1375" s="10" t="s">
        <v>3366</v>
      </c>
      <c r="F1375" s="218" t="s">
        <v>3974</v>
      </c>
      <c r="G1375" s="267" t="s">
        <v>3975</v>
      </c>
      <c r="H1375" s="237"/>
      <c r="I1375" s="10" t="s">
        <v>3343</v>
      </c>
      <c r="J1375" s="31" t="s">
        <v>11</v>
      </c>
      <c r="K1375" s="429">
        <f t="shared" si="69"/>
        <v>0</v>
      </c>
    </row>
    <row r="1376" spans="1:11" x14ac:dyDescent="0.2">
      <c r="A1376" s="72"/>
      <c r="B1376" s="72">
        <v>905</v>
      </c>
      <c r="C1376" s="31" t="s">
        <v>3912</v>
      </c>
      <c r="D1376" s="10">
        <f t="shared" si="70"/>
        <v>0</v>
      </c>
      <c r="E1376" s="10" t="s">
        <v>3366</v>
      </c>
      <c r="F1376" s="218" t="s">
        <v>3976</v>
      </c>
      <c r="G1376" s="267" t="s">
        <v>3488</v>
      </c>
      <c r="H1376" s="237"/>
      <c r="I1376" s="10" t="s">
        <v>3343</v>
      </c>
      <c r="J1376" s="31" t="s">
        <v>11</v>
      </c>
      <c r="K1376" s="429">
        <f t="shared" si="69"/>
        <v>0</v>
      </c>
    </row>
    <row r="1377" spans="1:11" x14ac:dyDescent="0.2">
      <c r="A1377" s="72"/>
      <c r="B1377" s="72">
        <v>906</v>
      </c>
      <c r="C1377" s="31" t="s">
        <v>3914</v>
      </c>
      <c r="D1377" s="10">
        <f t="shared" si="70"/>
        <v>0</v>
      </c>
      <c r="E1377" s="10" t="s">
        <v>3366</v>
      </c>
      <c r="F1377" s="218" t="s">
        <v>3971</v>
      </c>
      <c r="G1377" s="267" t="s">
        <v>3972</v>
      </c>
      <c r="H1377" s="237"/>
      <c r="I1377" s="10" t="s">
        <v>3343</v>
      </c>
      <c r="J1377" s="31" t="s">
        <v>11</v>
      </c>
      <c r="K1377" s="429">
        <f>H1377</f>
        <v>0</v>
      </c>
    </row>
    <row r="1378" spans="1:11" x14ac:dyDescent="0.2">
      <c r="A1378" s="72"/>
      <c r="B1378" s="72">
        <v>907</v>
      </c>
      <c r="C1378" s="31" t="s">
        <v>4025</v>
      </c>
      <c r="D1378" s="10">
        <f t="shared" si="70"/>
        <v>0</v>
      </c>
      <c r="E1378" s="10" t="s">
        <v>3366</v>
      </c>
      <c r="F1378" s="218" t="s">
        <v>3932</v>
      </c>
      <c r="G1378" s="267" t="s">
        <v>3933</v>
      </c>
      <c r="H1378" s="237"/>
      <c r="I1378" s="10" t="s">
        <v>3343</v>
      </c>
      <c r="J1378" s="31" t="s">
        <v>11</v>
      </c>
      <c r="K1378" s="429">
        <f>H1378</f>
        <v>0</v>
      </c>
    </row>
    <row r="1379" spans="1:11" x14ac:dyDescent="0.2">
      <c r="A1379" s="72"/>
      <c r="B1379" s="72">
        <v>908</v>
      </c>
      <c r="C1379" s="31" t="s">
        <v>5212</v>
      </c>
      <c r="D1379" s="10">
        <f t="shared" si="70"/>
        <v>0</v>
      </c>
      <c r="E1379" s="10" t="s">
        <v>3366</v>
      </c>
      <c r="F1379" s="218" t="s">
        <v>3483</v>
      </c>
      <c r="G1379" s="267" t="s">
        <v>3484</v>
      </c>
      <c r="H1379" s="237"/>
      <c r="I1379" s="10" t="s">
        <v>3343</v>
      </c>
      <c r="J1379" s="31" t="s">
        <v>11</v>
      </c>
      <c r="K1379" s="429">
        <f>H1379</f>
        <v>0</v>
      </c>
    </row>
    <row r="1380" spans="1:11" x14ac:dyDescent="0.2">
      <c r="A1380" s="72"/>
      <c r="B1380" s="72"/>
      <c r="C1380" s="31"/>
      <c r="D1380" s="10">
        <f t="shared" si="70"/>
        <v>0</v>
      </c>
      <c r="E1380" s="10" t="s">
        <v>3366</v>
      </c>
      <c r="F1380" s="218" t="s">
        <v>3486</v>
      </c>
      <c r="G1380" s="268" t="s">
        <v>3973</v>
      </c>
      <c r="H1380" s="237"/>
      <c r="I1380" s="10" t="s">
        <v>3343</v>
      </c>
      <c r="J1380" s="31" t="s">
        <v>11</v>
      </c>
      <c r="K1380" s="429">
        <f t="shared" si="69"/>
        <v>0</v>
      </c>
    </row>
    <row r="1381" spans="1:11" x14ac:dyDescent="0.2">
      <c r="A1381" s="72"/>
      <c r="B1381" s="72">
        <v>909</v>
      </c>
      <c r="C1381" s="31" t="s">
        <v>4747</v>
      </c>
      <c r="D1381" s="10">
        <f t="shared" si="70"/>
        <v>0</v>
      </c>
      <c r="E1381" s="10" t="s">
        <v>3366</v>
      </c>
      <c r="F1381" s="218" t="s">
        <v>3961</v>
      </c>
      <c r="G1381" s="268" t="s">
        <v>3931</v>
      </c>
      <c r="H1381" s="237"/>
      <c r="I1381" s="10" t="s">
        <v>3343</v>
      </c>
      <c r="J1381" s="31" t="s">
        <v>11</v>
      </c>
      <c r="K1381" s="429">
        <f t="shared" si="69"/>
        <v>0</v>
      </c>
    </row>
    <row r="1382" spans="1:11" x14ac:dyDescent="0.2">
      <c r="A1382" s="72"/>
      <c r="B1382" s="72">
        <v>910</v>
      </c>
      <c r="C1382" s="31" t="s">
        <v>4749</v>
      </c>
      <c r="D1382" s="10">
        <f t="shared" si="70"/>
        <v>0</v>
      </c>
      <c r="E1382" s="10" t="s">
        <v>3366</v>
      </c>
      <c r="F1382" s="218" t="s">
        <v>3952</v>
      </c>
      <c r="G1382" s="267" t="s">
        <v>3953</v>
      </c>
      <c r="H1382" s="237"/>
      <c r="I1382" s="10" t="s">
        <v>3343</v>
      </c>
      <c r="J1382" s="31" t="s">
        <v>11</v>
      </c>
      <c r="K1382" s="429">
        <f t="shared" si="69"/>
        <v>0</v>
      </c>
    </row>
    <row r="1383" spans="1:11" x14ac:dyDescent="0.2">
      <c r="A1383" s="72"/>
      <c r="B1383" s="72">
        <v>911</v>
      </c>
      <c r="C1383" s="31" t="s">
        <v>5213</v>
      </c>
      <c r="D1383" s="10">
        <f t="shared" si="70"/>
        <v>0</v>
      </c>
      <c r="E1383" s="10" t="s">
        <v>3366</v>
      </c>
      <c r="F1383" s="218" t="s">
        <v>3956</v>
      </c>
      <c r="G1383" s="268" t="s">
        <v>3957</v>
      </c>
      <c r="H1383" s="237"/>
      <c r="I1383" s="10" t="s">
        <v>3343</v>
      </c>
      <c r="J1383" s="31" t="s">
        <v>11</v>
      </c>
      <c r="K1383" s="429">
        <f t="shared" si="69"/>
        <v>0</v>
      </c>
    </row>
    <row r="1384" spans="1:11" x14ac:dyDescent="0.2">
      <c r="A1384" s="72"/>
      <c r="B1384" s="72">
        <v>912</v>
      </c>
      <c r="C1384" s="31" t="s">
        <v>3264</v>
      </c>
      <c r="D1384" s="10">
        <f t="shared" si="70"/>
        <v>0</v>
      </c>
      <c r="E1384" s="10" t="s">
        <v>3366</v>
      </c>
      <c r="F1384" s="218" t="s">
        <v>3925</v>
      </c>
      <c r="G1384" s="268" t="s">
        <v>3979</v>
      </c>
      <c r="H1384" s="237"/>
      <c r="I1384" s="10" t="s">
        <v>3343</v>
      </c>
      <c r="J1384" s="31" t="s">
        <v>11</v>
      </c>
      <c r="K1384" s="429">
        <f t="shared" si="69"/>
        <v>0</v>
      </c>
    </row>
    <row r="1385" spans="1:11" x14ac:dyDescent="0.2">
      <c r="A1385" s="72"/>
      <c r="B1385" s="72">
        <v>913</v>
      </c>
      <c r="C1385" s="31" t="s">
        <v>4069</v>
      </c>
      <c r="D1385" s="10">
        <f t="shared" si="70"/>
        <v>0</v>
      </c>
      <c r="E1385" s="10" t="s">
        <v>3366</v>
      </c>
      <c r="F1385" s="218" t="s">
        <v>3934</v>
      </c>
      <c r="G1385" s="268" t="s">
        <v>4032</v>
      </c>
      <c r="H1385" s="237"/>
      <c r="I1385" s="10" t="s">
        <v>3343</v>
      </c>
      <c r="J1385" s="31" t="s">
        <v>11</v>
      </c>
      <c r="K1385" s="429">
        <f t="shared" si="69"/>
        <v>0</v>
      </c>
    </row>
    <row r="1386" spans="1:11" x14ac:dyDescent="0.2">
      <c r="A1386" s="72"/>
      <c r="B1386" s="72">
        <v>914</v>
      </c>
      <c r="C1386" s="31" t="s">
        <v>3887</v>
      </c>
      <c r="D1386" s="10">
        <f t="shared" si="70"/>
        <v>0</v>
      </c>
      <c r="E1386" s="10" t="s">
        <v>3366</v>
      </c>
      <c r="F1386" s="218" t="s">
        <v>3941</v>
      </c>
      <c r="G1386" s="268" t="s">
        <v>3942</v>
      </c>
      <c r="H1386" s="237"/>
      <c r="I1386" s="10" t="s">
        <v>3343</v>
      </c>
      <c r="J1386" s="31" t="s">
        <v>11</v>
      </c>
      <c r="K1386" s="429">
        <f t="shared" si="69"/>
        <v>0</v>
      </c>
    </row>
    <row r="1387" spans="1:11" x14ac:dyDescent="0.2">
      <c r="A1387" s="72"/>
      <c r="B1387" s="72">
        <v>915</v>
      </c>
      <c r="C1387" s="31" t="s">
        <v>5006</v>
      </c>
      <c r="D1387" s="10">
        <f t="shared" si="70"/>
        <v>0</v>
      </c>
      <c r="E1387" s="10" t="s">
        <v>3366</v>
      </c>
      <c r="F1387" s="218" t="s">
        <v>3936</v>
      </c>
      <c r="G1387" s="267" t="s">
        <v>3937</v>
      </c>
      <c r="H1387" s="237"/>
      <c r="I1387" s="10" t="s">
        <v>3343</v>
      </c>
      <c r="J1387" s="31" t="s">
        <v>11</v>
      </c>
      <c r="K1387" s="429">
        <f t="shared" si="69"/>
        <v>0</v>
      </c>
    </row>
    <row r="1388" spans="1:11" x14ac:dyDescent="0.2">
      <c r="A1388" s="72"/>
      <c r="B1388" s="72">
        <v>916</v>
      </c>
      <c r="C1388" s="31" t="s">
        <v>5007</v>
      </c>
      <c r="D1388" s="10">
        <f t="shared" si="70"/>
        <v>0</v>
      </c>
      <c r="E1388" s="10" t="s">
        <v>3366</v>
      </c>
      <c r="F1388" s="218" t="s">
        <v>3921</v>
      </c>
      <c r="G1388" s="267" t="s">
        <v>3402</v>
      </c>
      <c r="H1388" s="237"/>
      <c r="I1388" s="10" t="s">
        <v>3343</v>
      </c>
      <c r="J1388" s="31" t="s">
        <v>11</v>
      </c>
      <c r="K1388" s="429">
        <f t="shared" si="69"/>
        <v>0</v>
      </c>
    </row>
    <row r="1389" spans="1:11" x14ac:dyDescent="0.2">
      <c r="A1389" s="72"/>
      <c r="B1389" s="72">
        <v>917</v>
      </c>
      <c r="C1389" s="31" t="s">
        <v>5008</v>
      </c>
      <c r="D1389" s="10">
        <f t="shared" si="70"/>
        <v>0</v>
      </c>
      <c r="E1389" s="10" t="s">
        <v>3366</v>
      </c>
      <c r="F1389" s="218" t="s">
        <v>3936</v>
      </c>
      <c r="G1389" s="267" t="s">
        <v>3937</v>
      </c>
      <c r="H1389" s="237"/>
      <c r="I1389" s="10" t="s">
        <v>3343</v>
      </c>
      <c r="J1389" s="31" t="s">
        <v>11</v>
      </c>
      <c r="K1389" s="429">
        <f t="shared" si="69"/>
        <v>0</v>
      </c>
    </row>
    <row r="1390" spans="1:11" x14ac:dyDescent="0.2">
      <c r="A1390" s="72"/>
      <c r="B1390" s="72">
        <v>918</v>
      </c>
      <c r="C1390" s="31" t="s">
        <v>5009</v>
      </c>
      <c r="D1390" s="10">
        <f t="shared" si="70"/>
        <v>0</v>
      </c>
      <c r="E1390" s="10" t="s">
        <v>3366</v>
      </c>
      <c r="F1390" s="218" t="s">
        <v>3936</v>
      </c>
      <c r="G1390" s="267" t="s">
        <v>3937</v>
      </c>
      <c r="H1390" s="237"/>
      <c r="I1390" s="10" t="s">
        <v>3343</v>
      </c>
      <c r="J1390" s="31" t="s">
        <v>11</v>
      </c>
      <c r="K1390" s="429">
        <f t="shared" si="69"/>
        <v>0</v>
      </c>
    </row>
    <row r="1391" spans="1:11" x14ac:dyDescent="0.2">
      <c r="A1391" s="72"/>
      <c r="B1391" s="72">
        <v>919</v>
      </c>
      <c r="C1391" s="31" t="s">
        <v>3853</v>
      </c>
      <c r="D1391" s="10">
        <f t="shared" ref="D1391:D1392" si="71">A1391</f>
        <v>0</v>
      </c>
      <c r="E1391" s="10" t="s">
        <v>3366</v>
      </c>
      <c r="F1391" s="218" t="s">
        <v>3543</v>
      </c>
      <c r="G1391" s="267" t="s">
        <v>4031</v>
      </c>
      <c r="H1391" s="237"/>
      <c r="I1391" s="10" t="s">
        <v>3343</v>
      </c>
      <c r="J1391" s="31" t="s">
        <v>11</v>
      </c>
      <c r="K1391" s="429">
        <f t="shared" si="69"/>
        <v>0</v>
      </c>
    </row>
    <row r="1392" spans="1:11" x14ac:dyDescent="0.2">
      <c r="A1392" s="72"/>
      <c r="B1392" s="72">
        <v>920</v>
      </c>
      <c r="C1392" s="31" t="s">
        <v>3920</v>
      </c>
      <c r="D1392" s="10">
        <f t="shared" si="71"/>
        <v>0</v>
      </c>
      <c r="E1392" s="10" t="s">
        <v>3366</v>
      </c>
      <c r="F1392" s="218" t="s">
        <v>3543</v>
      </c>
      <c r="G1392" s="267" t="s">
        <v>4031</v>
      </c>
      <c r="H1392" s="237"/>
      <c r="I1392" s="10" t="s">
        <v>3343</v>
      </c>
      <c r="J1392" s="31" t="s">
        <v>11</v>
      </c>
      <c r="K1392" s="429">
        <f t="shared" si="69"/>
        <v>0</v>
      </c>
    </row>
    <row r="1393" spans="1:11" x14ac:dyDescent="0.2">
      <c r="A1393" s="72"/>
      <c r="B1393" s="72">
        <v>921</v>
      </c>
      <c r="C1393" s="31" t="s">
        <v>5214</v>
      </c>
      <c r="D1393" s="10">
        <f t="shared" si="70"/>
        <v>0</v>
      </c>
      <c r="E1393" s="10" t="s">
        <v>3366</v>
      </c>
      <c r="F1393" s="218" t="s">
        <v>3977</v>
      </c>
      <c r="G1393" s="268" t="s">
        <v>3978</v>
      </c>
      <c r="H1393" s="237"/>
      <c r="I1393" s="10" t="s">
        <v>3343</v>
      </c>
      <c r="J1393" s="31" t="s">
        <v>11</v>
      </c>
      <c r="K1393" s="429">
        <f t="shared" si="69"/>
        <v>0</v>
      </c>
    </row>
    <row r="1394" spans="1:11" x14ac:dyDescent="0.2">
      <c r="A1394" s="72"/>
      <c r="B1394" s="72">
        <v>922</v>
      </c>
      <c r="C1394" s="31" t="s">
        <v>4033</v>
      </c>
      <c r="D1394" s="10">
        <f t="shared" si="70"/>
        <v>0</v>
      </c>
      <c r="E1394" s="10" t="s">
        <v>3366</v>
      </c>
      <c r="F1394" s="218" t="s">
        <v>3939</v>
      </c>
      <c r="G1394" s="268" t="s">
        <v>3940</v>
      </c>
      <c r="H1394" s="237"/>
      <c r="I1394" s="10" t="s">
        <v>3343</v>
      </c>
      <c r="J1394" s="31" t="s">
        <v>11</v>
      </c>
      <c r="K1394" s="429">
        <f t="shared" si="69"/>
        <v>0</v>
      </c>
    </row>
    <row r="1395" spans="1:11" x14ac:dyDescent="0.2">
      <c r="A1395" s="72"/>
      <c r="B1395" s="72">
        <v>923</v>
      </c>
      <c r="C1395" s="31" t="s">
        <v>5215</v>
      </c>
      <c r="D1395" s="10">
        <f t="shared" si="70"/>
        <v>0</v>
      </c>
      <c r="E1395" s="10" t="s">
        <v>3366</v>
      </c>
      <c r="F1395" s="218" t="s">
        <v>3946</v>
      </c>
      <c r="G1395" s="268" t="s">
        <v>3432</v>
      </c>
      <c r="H1395" s="237"/>
      <c r="I1395" s="10" t="s">
        <v>3343</v>
      </c>
      <c r="J1395" s="31" t="s">
        <v>11</v>
      </c>
      <c r="K1395" s="429">
        <f t="shared" si="69"/>
        <v>0</v>
      </c>
    </row>
    <row r="1396" spans="1:11" x14ac:dyDescent="0.2">
      <c r="A1396" s="72"/>
      <c r="B1396" s="72">
        <v>924</v>
      </c>
      <c r="C1396" s="31" t="s">
        <v>3257</v>
      </c>
      <c r="D1396" s="10">
        <f t="shared" si="70"/>
        <v>0</v>
      </c>
      <c r="E1396" s="10" t="s">
        <v>3366</v>
      </c>
      <c r="F1396" s="218" t="s">
        <v>3922</v>
      </c>
      <c r="G1396" s="268" t="s">
        <v>3984</v>
      </c>
      <c r="H1396" s="237"/>
      <c r="I1396" s="10" t="s">
        <v>3343</v>
      </c>
      <c r="J1396" s="31" t="s">
        <v>11</v>
      </c>
      <c r="K1396" s="429">
        <f t="shared" si="69"/>
        <v>0</v>
      </c>
    </row>
    <row r="1397" spans="1:11" x14ac:dyDescent="0.2">
      <c r="A1397" s="72"/>
      <c r="B1397" s="72">
        <v>925</v>
      </c>
      <c r="C1397" s="31" t="s">
        <v>3869</v>
      </c>
      <c r="D1397" s="10">
        <f t="shared" si="70"/>
        <v>0</v>
      </c>
      <c r="E1397" s="10" t="s">
        <v>3366</v>
      </c>
      <c r="F1397" s="218" t="s">
        <v>3947</v>
      </c>
      <c r="G1397" s="268" t="s">
        <v>3436</v>
      </c>
      <c r="H1397" s="237"/>
      <c r="I1397" s="10" t="s">
        <v>3343</v>
      </c>
      <c r="J1397" s="31" t="s">
        <v>11</v>
      </c>
      <c r="K1397" s="429">
        <f t="shared" si="69"/>
        <v>0</v>
      </c>
    </row>
    <row r="1398" spans="1:11" x14ac:dyDescent="0.2">
      <c r="A1398" s="72"/>
      <c r="B1398" s="72">
        <v>926</v>
      </c>
      <c r="C1398" s="31" t="s">
        <v>5216</v>
      </c>
      <c r="D1398" s="10">
        <f t="shared" si="70"/>
        <v>0</v>
      </c>
      <c r="E1398" s="10" t="s">
        <v>3366</v>
      </c>
      <c r="F1398" s="218" t="s">
        <v>4027</v>
      </c>
      <c r="G1398" s="268" t="s">
        <v>4028</v>
      </c>
      <c r="H1398" s="237"/>
      <c r="I1398" s="10" t="s">
        <v>3343</v>
      </c>
      <c r="J1398" s="31" t="s">
        <v>11</v>
      </c>
      <c r="K1398" s="429">
        <f t="shared" si="69"/>
        <v>0</v>
      </c>
    </row>
    <row r="1399" spans="1:11" x14ac:dyDescent="0.2">
      <c r="A1399" s="72"/>
      <c r="B1399" s="72">
        <v>927</v>
      </c>
      <c r="C1399" s="31" t="s">
        <v>5217</v>
      </c>
      <c r="D1399" s="10">
        <f t="shared" si="70"/>
        <v>0</v>
      </c>
      <c r="E1399" s="10" t="s">
        <v>3366</v>
      </c>
      <c r="F1399" s="218" t="s">
        <v>4058</v>
      </c>
      <c r="G1399" s="268" t="s">
        <v>4017</v>
      </c>
      <c r="H1399" s="237"/>
      <c r="I1399" s="10" t="s">
        <v>3343</v>
      </c>
      <c r="J1399" s="31" t="s">
        <v>11</v>
      </c>
      <c r="K1399" s="429">
        <f t="shared" si="69"/>
        <v>0</v>
      </c>
    </row>
    <row r="1400" spans="1:11" x14ac:dyDescent="0.2">
      <c r="A1400" s="72"/>
      <c r="B1400" s="72">
        <v>928</v>
      </c>
      <c r="C1400" s="31" t="s">
        <v>5218</v>
      </c>
      <c r="D1400" s="10">
        <f t="shared" si="70"/>
        <v>0</v>
      </c>
      <c r="E1400" s="10" t="s">
        <v>3366</v>
      </c>
      <c r="F1400" s="218" t="s">
        <v>3952</v>
      </c>
      <c r="G1400" s="268" t="s">
        <v>3440</v>
      </c>
      <c r="H1400" s="237"/>
      <c r="I1400" s="10" t="s">
        <v>3343</v>
      </c>
      <c r="J1400" s="31" t="s">
        <v>11</v>
      </c>
      <c r="K1400" s="429">
        <f t="shared" si="69"/>
        <v>0</v>
      </c>
    </row>
    <row r="1401" spans="1:11" x14ac:dyDescent="0.2">
      <c r="A1401" s="72"/>
      <c r="B1401" s="72">
        <v>929</v>
      </c>
      <c r="C1401" s="31" t="s">
        <v>3996</v>
      </c>
      <c r="D1401" s="10">
        <f t="shared" si="70"/>
        <v>0</v>
      </c>
      <c r="E1401" s="10" t="s">
        <v>3366</v>
      </c>
      <c r="F1401" s="218" t="s">
        <v>3390</v>
      </c>
      <c r="G1401" s="268" t="s">
        <v>3943</v>
      </c>
      <c r="H1401" s="237"/>
      <c r="I1401" s="10" t="s">
        <v>3343</v>
      </c>
      <c r="J1401" s="31" t="s">
        <v>11</v>
      </c>
      <c r="K1401" s="429">
        <f t="shared" si="69"/>
        <v>0</v>
      </c>
    </row>
    <row r="1402" spans="1:11" x14ac:dyDescent="0.2">
      <c r="A1402" s="72"/>
      <c r="B1402" s="72">
        <v>930</v>
      </c>
      <c r="C1402" s="31" t="s">
        <v>3878</v>
      </c>
      <c r="D1402" s="10">
        <f t="shared" si="70"/>
        <v>0</v>
      </c>
      <c r="E1402" s="10" t="s">
        <v>3366</v>
      </c>
      <c r="F1402" s="218" t="s">
        <v>3946</v>
      </c>
      <c r="G1402" s="268" t="s">
        <v>3432</v>
      </c>
      <c r="H1402" s="237"/>
      <c r="I1402" s="10" t="s">
        <v>3343</v>
      </c>
      <c r="J1402" s="31" t="s">
        <v>11</v>
      </c>
      <c r="K1402" s="429">
        <f>H1402</f>
        <v>0</v>
      </c>
    </row>
    <row r="1403" spans="1:11" x14ac:dyDescent="0.2">
      <c r="A1403" s="72"/>
      <c r="B1403" s="72">
        <v>931</v>
      </c>
      <c r="C1403" s="31" t="s">
        <v>5219</v>
      </c>
      <c r="D1403" s="10">
        <f t="shared" si="70"/>
        <v>0</v>
      </c>
      <c r="E1403" s="10" t="s">
        <v>3366</v>
      </c>
      <c r="F1403" s="218" t="s">
        <v>3932</v>
      </c>
      <c r="G1403" s="268" t="s">
        <v>3933</v>
      </c>
      <c r="H1403" s="237"/>
      <c r="I1403" s="10" t="s">
        <v>3343</v>
      </c>
      <c r="J1403" s="31" t="s">
        <v>11</v>
      </c>
      <c r="K1403" s="429">
        <f t="shared" si="69"/>
        <v>0</v>
      </c>
    </row>
    <row r="1404" spans="1:11" x14ac:dyDescent="0.2">
      <c r="A1404" s="72"/>
      <c r="B1404" s="72">
        <v>932</v>
      </c>
      <c r="C1404" s="31" t="s">
        <v>5220</v>
      </c>
      <c r="D1404" s="10">
        <f t="shared" si="70"/>
        <v>0</v>
      </c>
      <c r="E1404" s="10" t="s">
        <v>3366</v>
      </c>
      <c r="F1404" s="218" t="s">
        <v>3971</v>
      </c>
      <c r="G1404" s="268" t="s">
        <v>5221</v>
      </c>
      <c r="H1404" s="237"/>
      <c r="I1404" s="10" t="s">
        <v>3343</v>
      </c>
      <c r="J1404" s="31" t="s">
        <v>11</v>
      </c>
      <c r="K1404" s="429">
        <f>H1404</f>
        <v>0</v>
      </c>
    </row>
    <row r="1405" spans="1:11" x14ac:dyDescent="0.2">
      <c r="A1405" s="72"/>
      <c r="B1405" s="72"/>
      <c r="C1405" s="31"/>
      <c r="D1405" s="10">
        <f t="shared" si="70"/>
        <v>0</v>
      </c>
      <c r="E1405" s="10" t="s">
        <v>3366</v>
      </c>
      <c r="F1405" s="218" t="s">
        <v>3483</v>
      </c>
      <c r="G1405" s="268" t="s">
        <v>3484</v>
      </c>
      <c r="H1405" s="237"/>
      <c r="I1405" s="10" t="s">
        <v>3343</v>
      </c>
      <c r="J1405" s="31" t="s">
        <v>11</v>
      </c>
      <c r="K1405" s="429">
        <f t="shared" si="69"/>
        <v>0</v>
      </c>
    </row>
    <row r="1406" spans="1:11" x14ac:dyDescent="0.2">
      <c r="A1406" s="72"/>
      <c r="B1406" s="72"/>
      <c r="C1406" s="31"/>
      <c r="D1406" s="10">
        <f t="shared" si="70"/>
        <v>0</v>
      </c>
      <c r="E1406" s="10" t="s">
        <v>3366</v>
      </c>
      <c r="F1406" s="218" t="s">
        <v>3486</v>
      </c>
      <c r="G1406" s="268" t="s">
        <v>3973</v>
      </c>
      <c r="H1406" s="237"/>
      <c r="I1406" s="10" t="s">
        <v>3343</v>
      </c>
      <c r="J1406" s="31" t="s">
        <v>11</v>
      </c>
      <c r="K1406" s="429">
        <f t="shared" si="69"/>
        <v>0</v>
      </c>
    </row>
    <row r="1407" spans="1:11" x14ac:dyDescent="0.2">
      <c r="A1407" s="72"/>
      <c r="B1407" s="72">
        <v>933</v>
      </c>
      <c r="C1407" s="31" t="s">
        <v>5222</v>
      </c>
      <c r="D1407" s="10">
        <f t="shared" si="70"/>
        <v>0</v>
      </c>
      <c r="E1407" s="10" t="s">
        <v>3366</v>
      </c>
      <c r="F1407" s="218" t="s">
        <v>3934</v>
      </c>
      <c r="G1407" s="268" t="s">
        <v>4032</v>
      </c>
      <c r="H1407" s="237"/>
      <c r="I1407" s="10" t="s">
        <v>3343</v>
      </c>
      <c r="J1407" s="31" t="s">
        <v>11</v>
      </c>
      <c r="K1407" s="429">
        <f t="shared" si="69"/>
        <v>0</v>
      </c>
    </row>
    <row r="1408" spans="1:11" x14ac:dyDescent="0.2">
      <c r="A1408" s="72"/>
      <c r="B1408" s="72">
        <v>934</v>
      </c>
      <c r="C1408" s="31" t="s">
        <v>5223</v>
      </c>
      <c r="D1408" s="10">
        <f t="shared" si="70"/>
        <v>0</v>
      </c>
      <c r="E1408" s="10" t="s">
        <v>3366</v>
      </c>
      <c r="F1408" s="218" t="s">
        <v>3999</v>
      </c>
      <c r="G1408" s="268" t="s">
        <v>4000</v>
      </c>
      <c r="H1408" s="237"/>
      <c r="I1408" s="10" t="s">
        <v>3343</v>
      </c>
      <c r="J1408" s="31" t="s">
        <v>11</v>
      </c>
      <c r="K1408" s="429">
        <f t="shared" si="69"/>
        <v>0</v>
      </c>
    </row>
    <row r="1409" spans="1:11" x14ac:dyDescent="0.2">
      <c r="A1409" s="72"/>
      <c r="B1409" s="72">
        <v>935</v>
      </c>
      <c r="C1409" s="31" t="s">
        <v>5224</v>
      </c>
      <c r="D1409" s="10" t="str">
        <f t="shared" si="70"/>
        <v>31 Des</v>
      </c>
      <c r="E1409" s="10" t="s">
        <v>3366</v>
      </c>
      <c r="F1409" s="218" t="s">
        <v>4038</v>
      </c>
      <c r="G1409" s="268" t="s">
        <v>4039</v>
      </c>
      <c r="H1409" s="237"/>
      <c r="I1409" s="10" t="s">
        <v>3343</v>
      </c>
      <c r="J1409" s="31" t="s">
        <v>11</v>
      </c>
      <c r="K1409" s="429">
        <f t="shared" si="69"/>
        <v>0</v>
      </c>
    </row>
    <row r="1410" spans="1:11" x14ac:dyDescent="0.2">
      <c r="A1410" s="72"/>
      <c r="B1410" s="72">
        <v>936</v>
      </c>
      <c r="C1410" s="31" t="s">
        <v>3846</v>
      </c>
      <c r="D1410" s="10">
        <f>A1415</f>
        <v>0</v>
      </c>
      <c r="E1410" s="10" t="s">
        <v>3366</v>
      </c>
      <c r="F1410" s="218" t="s">
        <v>3922</v>
      </c>
      <c r="G1410" s="268" t="s">
        <v>3984</v>
      </c>
      <c r="H1410" s="237"/>
      <c r="I1410" s="10" t="s">
        <v>3343</v>
      </c>
      <c r="J1410" s="31" t="s">
        <v>11</v>
      </c>
      <c r="K1410" s="429">
        <f t="shared" si="69"/>
        <v>0</v>
      </c>
    </row>
    <row r="1411" spans="1:11" x14ac:dyDescent="0.2">
      <c r="A1411" s="72" t="s">
        <v>3709</v>
      </c>
      <c r="B1411" s="72">
        <v>937</v>
      </c>
      <c r="C1411" s="31" t="s">
        <v>5225</v>
      </c>
      <c r="D1411" s="10">
        <f>A1416</f>
        <v>0</v>
      </c>
      <c r="E1411" s="10" t="s">
        <v>3366</v>
      </c>
      <c r="F1411" s="218" t="s">
        <v>3353</v>
      </c>
      <c r="G1411" s="268" t="s">
        <v>5233</v>
      </c>
      <c r="H1411" s="237"/>
      <c r="I1411" s="10" t="s">
        <v>3343</v>
      </c>
      <c r="J1411" s="31" t="s">
        <v>11</v>
      </c>
      <c r="K1411" s="429">
        <f>SUM(H1411:H1414)</f>
        <v>0</v>
      </c>
    </row>
    <row r="1412" spans="1:11" x14ac:dyDescent="0.2">
      <c r="A1412" s="72"/>
      <c r="B1412" s="72"/>
      <c r="C1412" s="31"/>
      <c r="D1412" s="10"/>
      <c r="E1412" s="10"/>
      <c r="F1412" s="218"/>
      <c r="G1412" s="268" t="s">
        <v>5234</v>
      </c>
      <c r="H1412" s="237"/>
      <c r="I1412" s="10"/>
      <c r="J1412" s="31"/>
      <c r="K1412" s="429"/>
    </row>
    <row r="1413" spans="1:11" x14ac:dyDescent="0.2">
      <c r="A1413" s="72"/>
      <c r="B1413" s="72"/>
      <c r="C1413" s="31"/>
      <c r="D1413" s="10"/>
      <c r="E1413" s="10"/>
      <c r="F1413" s="218"/>
      <c r="G1413" s="268" t="s">
        <v>5235</v>
      </c>
      <c r="H1413" s="237"/>
      <c r="I1413" s="10"/>
      <c r="J1413" s="31"/>
      <c r="K1413" s="429"/>
    </row>
    <row r="1414" spans="1:11" x14ac:dyDescent="0.2">
      <c r="A1414" s="72"/>
      <c r="B1414" s="72"/>
      <c r="C1414" s="31"/>
      <c r="D1414" s="10"/>
      <c r="E1414" s="10"/>
      <c r="F1414" s="218"/>
      <c r="G1414" s="268" t="s">
        <v>5236</v>
      </c>
      <c r="H1414" s="237"/>
      <c r="I1414" s="10"/>
      <c r="J1414" s="31"/>
      <c r="K1414" s="429"/>
    </row>
    <row r="1415" spans="1:11" x14ac:dyDescent="0.2">
      <c r="A1415" s="72"/>
      <c r="B1415" s="72">
        <v>938</v>
      </c>
      <c r="C1415" s="31" t="s">
        <v>5226</v>
      </c>
      <c r="D1415" s="10">
        <f t="shared" si="70"/>
        <v>0</v>
      </c>
      <c r="E1415" s="10" t="s">
        <v>3366</v>
      </c>
      <c r="F1415" s="218" t="s">
        <v>3934</v>
      </c>
      <c r="G1415" s="268" t="s">
        <v>4032</v>
      </c>
      <c r="H1415" s="237"/>
      <c r="I1415" s="10" t="s">
        <v>3343</v>
      </c>
      <c r="J1415" s="31" t="s">
        <v>11</v>
      </c>
      <c r="K1415" s="429">
        <f t="shared" si="69"/>
        <v>0</v>
      </c>
    </row>
    <row r="1416" spans="1:11" x14ac:dyDescent="0.2">
      <c r="A1416" s="72"/>
      <c r="B1416" s="72">
        <v>939</v>
      </c>
      <c r="C1416" s="31" t="s">
        <v>5227</v>
      </c>
      <c r="D1416" s="10">
        <f t="shared" si="70"/>
        <v>0</v>
      </c>
      <c r="E1416" s="10" t="s">
        <v>3366</v>
      </c>
      <c r="F1416" s="218" t="s">
        <v>3934</v>
      </c>
      <c r="G1416" s="268" t="s">
        <v>4032</v>
      </c>
      <c r="H1416" s="237"/>
      <c r="I1416" s="10" t="s">
        <v>3343</v>
      </c>
      <c r="J1416" s="31" t="s">
        <v>11</v>
      </c>
      <c r="K1416" s="429">
        <f t="shared" si="69"/>
        <v>0</v>
      </c>
    </row>
    <row r="1417" spans="1:11" x14ac:dyDescent="0.2">
      <c r="A1417" s="72"/>
      <c r="B1417" s="72">
        <v>940</v>
      </c>
      <c r="C1417" s="31" t="s">
        <v>5228</v>
      </c>
      <c r="D1417" s="10">
        <f t="shared" si="70"/>
        <v>0</v>
      </c>
      <c r="E1417" s="10" t="s">
        <v>3366</v>
      </c>
      <c r="F1417" s="218" t="s">
        <v>3520</v>
      </c>
      <c r="G1417" s="268" t="s">
        <v>5229</v>
      </c>
      <c r="H1417" s="237"/>
      <c r="I1417" s="10" t="s">
        <v>3343</v>
      </c>
      <c r="J1417" s="31" t="s">
        <v>11</v>
      </c>
      <c r="K1417" s="429">
        <f t="shared" si="69"/>
        <v>0</v>
      </c>
    </row>
    <row r="1418" spans="1:11" x14ac:dyDescent="0.2">
      <c r="A1418" s="72"/>
      <c r="B1418" s="72">
        <v>941</v>
      </c>
      <c r="C1418" s="31" t="s">
        <v>5230</v>
      </c>
      <c r="D1418" s="10">
        <f t="shared" si="70"/>
        <v>0</v>
      </c>
      <c r="E1418" s="10" t="s">
        <v>3366</v>
      </c>
      <c r="F1418" s="218" t="s">
        <v>3520</v>
      </c>
      <c r="G1418" s="268" t="s">
        <v>5229</v>
      </c>
      <c r="H1418" s="237"/>
      <c r="I1418" s="10" t="s">
        <v>3343</v>
      </c>
      <c r="J1418" s="31" t="s">
        <v>11</v>
      </c>
      <c r="K1418" s="429">
        <f t="shared" si="69"/>
        <v>0</v>
      </c>
    </row>
    <row r="1419" spans="1:11" x14ac:dyDescent="0.2">
      <c r="A1419" s="72"/>
      <c r="B1419" s="72">
        <v>942</v>
      </c>
      <c r="C1419" s="31" t="s">
        <v>3997</v>
      </c>
      <c r="D1419" s="10">
        <f t="shared" si="70"/>
        <v>0</v>
      </c>
      <c r="E1419" s="10" t="s">
        <v>3366</v>
      </c>
      <c r="F1419" s="218" t="s">
        <v>3939</v>
      </c>
      <c r="G1419" s="268" t="s">
        <v>3940</v>
      </c>
      <c r="H1419" s="237"/>
      <c r="I1419" s="10" t="s">
        <v>3343</v>
      </c>
      <c r="J1419" s="31" t="s">
        <v>11</v>
      </c>
      <c r="K1419" s="429">
        <f t="shared" si="69"/>
        <v>0</v>
      </c>
    </row>
    <row r="1420" spans="1:11" x14ac:dyDescent="0.2">
      <c r="A1420" s="72"/>
      <c r="B1420" s="72">
        <v>943</v>
      </c>
      <c r="C1420" s="31" t="s">
        <v>5231</v>
      </c>
      <c r="D1420" s="10">
        <v>0</v>
      </c>
      <c r="E1420" s="10" t="s">
        <v>3366</v>
      </c>
      <c r="F1420" s="218" t="s">
        <v>3921</v>
      </c>
      <c r="G1420" s="268" t="s">
        <v>3402</v>
      </c>
      <c r="H1420" s="237"/>
      <c r="I1420" s="10" t="s">
        <v>3343</v>
      </c>
      <c r="J1420" s="31" t="s">
        <v>11</v>
      </c>
      <c r="K1420" s="429">
        <f t="shared" si="69"/>
        <v>0</v>
      </c>
    </row>
    <row r="1421" spans="1:11" x14ac:dyDescent="0.2">
      <c r="A1421" s="72"/>
      <c r="B1421" s="72">
        <v>944</v>
      </c>
      <c r="C1421" s="31" t="s">
        <v>5156</v>
      </c>
      <c r="D1421" s="10">
        <v>0</v>
      </c>
      <c r="E1421" s="10" t="s">
        <v>3366</v>
      </c>
      <c r="F1421" s="218" t="s">
        <v>4038</v>
      </c>
      <c r="G1421" s="268" t="s">
        <v>4039</v>
      </c>
      <c r="H1421" s="237"/>
      <c r="I1421" s="10" t="s">
        <v>3343</v>
      </c>
      <c r="J1421" s="31" t="s">
        <v>11</v>
      </c>
      <c r="K1421" s="429">
        <f t="shared" si="69"/>
        <v>0</v>
      </c>
    </row>
    <row r="1422" spans="1:11" x14ac:dyDescent="0.2">
      <c r="A1422" s="187"/>
      <c r="B1422" s="72">
        <v>945</v>
      </c>
      <c r="C1422" s="4" t="s">
        <v>5232</v>
      </c>
      <c r="D1422" s="525">
        <v>0</v>
      </c>
      <c r="E1422" s="10" t="s">
        <v>3366</v>
      </c>
      <c r="F1422" s="526" t="s">
        <v>3969</v>
      </c>
      <c r="G1422" s="524" t="s">
        <v>3970</v>
      </c>
      <c r="H1422" s="745"/>
      <c r="I1422" s="10" t="s">
        <v>3343</v>
      </c>
      <c r="J1422" s="31" t="s">
        <v>11</v>
      </c>
      <c r="K1422" s="429">
        <f t="shared" si="69"/>
        <v>0</v>
      </c>
    </row>
    <row r="1423" spans="1:11" ht="12" x14ac:dyDescent="0.2">
      <c r="A1423" s="658" t="s">
        <v>3556</v>
      </c>
      <c r="B1423" s="659"/>
      <c r="C1423" s="659"/>
      <c r="D1423" s="659"/>
      <c r="E1423" s="659"/>
      <c r="F1423" s="659"/>
      <c r="G1423" s="660"/>
      <c r="H1423" s="435">
        <f>SUM(H1305:H1422)</f>
        <v>0</v>
      </c>
      <c r="I1423" s="692" t="s">
        <v>3556</v>
      </c>
      <c r="J1423" s="692"/>
      <c r="K1423" s="435">
        <f>SUM(K1305:K1422)</f>
        <v>0</v>
      </c>
    </row>
    <row r="1424" spans="1:11" ht="12" x14ac:dyDescent="0.2">
      <c r="A1424" s="658" t="s">
        <v>3557</v>
      </c>
      <c r="B1424" s="659"/>
      <c r="C1424" s="659"/>
      <c r="D1424" s="659"/>
      <c r="E1424" s="659"/>
      <c r="F1424" s="659"/>
      <c r="G1424" s="660"/>
      <c r="H1424" s="435">
        <f>H1292</f>
        <v>0</v>
      </c>
      <c r="I1424" s="692" t="s">
        <v>3557</v>
      </c>
      <c r="J1424" s="692"/>
      <c r="K1424" s="435">
        <f>K1292</f>
        <v>0</v>
      </c>
    </row>
    <row r="1425" spans="1:11" ht="12.75" thickBot="1" x14ac:dyDescent="0.25">
      <c r="A1425" s="640" t="s">
        <v>3558</v>
      </c>
      <c r="B1425" s="641"/>
      <c r="C1425" s="641"/>
      <c r="D1425" s="641"/>
      <c r="E1425" s="641"/>
      <c r="F1425" s="641"/>
      <c r="G1425" s="642"/>
      <c r="H1425" s="436">
        <f>SUM(H1423:H1424)</f>
        <v>0</v>
      </c>
      <c r="I1425" s="693" t="s">
        <v>3558</v>
      </c>
      <c r="J1425" s="693"/>
      <c r="K1425" s="436">
        <f>SUM(K1423:K1424)</f>
        <v>0</v>
      </c>
    </row>
    <row r="1426" spans="1:11" ht="12" x14ac:dyDescent="0.2">
      <c r="A1426" s="521"/>
      <c r="B1426" s="240"/>
      <c r="C1426" s="240"/>
      <c r="D1426" s="240"/>
      <c r="E1426" s="240"/>
      <c r="F1426" s="240"/>
      <c r="G1426" s="240"/>
      <c r="H1426" s="433"/>
      <c r="I1426" s="433"/>
      <c r="J1426" s="433"/>
      <c r="K1426" s="433"/>
    </row>
    <row r="1427" spans="1:11" ht="12" x14ac:dyDescent="0.2">
      <c r="A1427" s="522"/>
      <c r="H1427" s="254"/>
    </row>
    <row r="1428" spans="1:11" ht="12" x14ac:dyDescent="0.2">
      <c r="A1428" s="240"/>
      <c r="B1428" s="304"/>
      <c r="C1428" s="304"/>
      <c r="D1428" s="304"/>
      <c r="E1428" s="304"/>
      <c r="F1428" s="304"/>
      <c r="G1428" s="260"/>
      <c r="H1428" s="434"/>
      <c r="I1428" s="1"/>
      <c r="J1428" s="304" t="s">
        <v>3537</v>
      </c>
      <c r="K1428" s="304"/>
    </row>
    <row r="1429" spans="1:11" ht="12" x14ac:dyDescent="0.2">
      <c r="B1429" s="304"/>
      <c r="C1429" s="304"/>
      <c r="D1429" s="304"/>
      <c r="E1429" s="304"/>
      <c r="F1429" s="304"/>
      <c r="G1429" s="260"/>
      <c r="H1429" s="270"/>
      <c r="I1429" s="1"/>
      <c r="J1429" s="304" t="s">
        <v>3788</v>
      </c>
      <c r="K1429" s="304"/>
    </row>
    <row r="1430" spans="1:11" ht="12" x14ac:dyDescent="0.2">
      <c r="A1430" s="304"/>
      <c r="B1430" s="304"/>
      <c r="C1430" s="304"/>
      <c r="D1430" s="304"/>
      <c r="E1430" s="304"/>
      <c r="F1430" s="304"/>
      <c r="G1430" s="260" t="s">
        <v>3569</v>
      </c>
      <c r="H1430" s="270"/>
      <c r="I1430" s="1"/>
      <c r="J1430" s="304"/>
      <c r="K1430" s="304"/>
    </row>
    <row r="1431" spans="1:11" ht="12" x14ac:dyDescent="0.2">
      <c r="A1431" s="304"/>
      <c r="B1431" s="304"/>
      <c r="C1431" s="304"/>
      <c r="D1431" s="304"/>
      <c r="E1431" s="304"/>
      <c r="F1431" s="304"/>
      <c r="G1431" s="686"/>
      <c r="H1431" s="361"/>
      <c r="I1431" s="1"/>
      <c r="J1431" s="304"/>
      <c r="K1431" s="304"/>
    </row>
    <row r="1432" spans="1:11" ht="12" x14ac:dyDescent="0.2">
      <c r="A1432" s="304"/>
      <c r="B1432" s="304"/>
      <c r="C1432" s="304"/>
      <c r="D1432" s="304"/>
      <c r="E1432" s="304"/>
      <c r="F1432" s="304"/>
      <c r="G1432" s="686"/>
      <c r="H1432" s="73"/>
      <c r="I1432" s="1"/>
      <c r="J1432" s="329" t="s">
        <v>3538</v>
      </c>
      <c r="K1432" s="304"/>
    </row>
  </sheetData>
  <mergeCells count="347">
    <mergeCell ref="I1189:K1189"/>
    <mergeCell ref="I1190:K1190"/>
    <mergeCell ref="I1191:K1191"/>
    <mergeCell ref="A1182:G1182"/>
    <mergeCell ref="I1182:J1182"/>
    <mergeCell ref="A1183:G1183"/>
    <mergeCell ref="I1183:J1183"/>
    <mergeCell ref="A1184:G1184"/>
    <mergeCell ref="I1184:J1184"/>
    <mergeCell ref="A1187:D1187"/>
    <mergeCell ref="I1187:K1187"/>
    <mergeCell ref="A1188:D1188"/>
    <mergeCell ref="I1188:K1188"/>
    <mergeCell ref="I1102:K1102"/>
    <mergeCell ref="A1103:A1104"/>
    <mergeCell ref="B1103:B1104"/>
    <mergeCell ref="D1103:D1104"/>
    <mergeCell ref="E1103:E1104"/>
    <mergeCell ref="F1103:F1104"/>
    <mergeCell ref="G1103:G1104"/>
    <mergeCell ref="H1103:H1104"/>
    <mergeCell ref="I1103:I1104"/>
    <mergeCell ref="J1103:J1104"/>
    <mergeCell ref="K1103:K1104"/>
    <mergeCell ref="A744:G744"/>
    <mergeCell ref="I744:J744"/>
    <mergeCell ref="A745:G745"/>
    <mergeCell ref="I745:J745"/>
    <mergeCell ref="I748:K748"/>
    <mergeCell ref="I749:K749"/>
    <mergeCell ref="A750:D750"/>
    <mergeCell ref="L859:M859"/>
    <mergeCell ref="A895:G895"/>
    <mergeCell ref="I895:J895"/>
    <mergeCell ref="C800:C802"/>
    <mergeCell ref="D800:E800"/>
    <mergeCell ref="F800:H800"/>
    <mergeCell ref="I800:K800"/>
    <mergeCell ref="A801:A802"/>
    <mergeCell ref="B801:B802"/>
    <mergeCell ref="D801:D802"/>
    <mergeCell ref="E801:E802"/>
    <mergeCell ref="F801:F802"/>
    <mergeCell ref="G801:G802"/>
    <mergeCell ref="H801:H802"/>
    <mergeCell ref="I801:I802"/>
    <mergeCell ref="J801:J802"/>
    <mergeCell ref="K801:K802"/>
    <mergeCell ref="A896:G896"/>
    <mergeCell ref="I896:J896"/>
    <mergeCell ref="A647:K647"/>
    <mergeCell ref="A648:K648"/>
    <mergeCell ref="A650:B650"/>
    <mergeCell ref="C650:C652"/>
    <mergeCell ref="D650:E650"/>
    <mergeCell ref="F650:H650"/>
    <mergeCell ref="I650:K650"/>
    <mergeCell ref="A651:A652"/>
    <mergeCell ref="B651:B652"/>
    <mergeCell ref="D651:D652"/>
    <mergeCell ref="E651:E652"/>
    <mergeCell ref="F651:F652"/>
    <mergeCell ref="G651:G652"/>
    <mergeCell ref="H651:H652"/>
    <mergeCell ref="I651:I652"/>
    <mergeCell ref="J651:J652"/>
    <mergeCell ref="K651:K652"/>
    <mergeCell ref="A743:G743"/>
    <mergeCell ref="I743:J743"/>
    <mergeCell ref="A797:K797"/>
    <mergeCell ref="A798:K798"/>
    <mergeCell ref="A800:B800"/>
    <mergeCell ref="C642:C644"/>
    <mergeCell ref="D642:E642"/>
    <mergeCell ref="F642:H642"/>
    <mergeCell ref="I642:K642"/>
    <mergeCell ref="A643:A644"/>
    <mergeCell ref="B643:B644"/>
    <mergeCell ref="D643:D644"/>
    <mergeCell ref="E643:E644"/>
    <mergeCell ref="F643:F644"/>
    <mergeCell ref="G643:G644"/>
    <mergeCell ref="H643:H644"/>
    <mergeCell ref="I643:I644"/>
    <mergeCell ref="J643:J644"/>
    <mergeCell ref="K643:K644"/>
    <mergeCell ref="A492:D492"/>
    <mergeCell ref="I492:K492"/>
    <mergeCell ref="A493:D493"/>
    <mergeCell ref="I493:K493"/>
    <mergeCell ref="A494:D494"/>
    <mergeCell ref="I494:K494"/>
    <mergeCell ref="A486:G486"/>
    <mergeCell ref="I486:J486"/>
    <mergeCell ref="A487:G487"/>
    <mergeCell ref="I487:J487"/>
    <mergeCell ref="A488:G488"/>
    <mergeCell ref="I488:J488"/>
    <mergeCell ref="A490:D490"/>
    <mergeCell ref="I490:K490"/>
    <mergeCell ref="A491:D491"/>
    <mergeCell ref="I491:K491"/>
    <mergeCell ref="I95:K95"/>
    <mergeCell ref="A95:D95"/>
    <mergeCell ref="A396:K396"/>
    <mergeCell ref="A397:K397"/>
    <mergeCell ref="A399:B399"/>
    <mergeCell ref="C399:C401"/>
    <mergeCell ref="D399:E399"/>
    <mergeCell ref="F399:H399"/>
    <mergeCell ref="I399:K399"/>
    <mergeCell ref="A400:A401"/>
    <mergeCell ref="B400:B401"/>
    <mergeCell ref="D400:D401"/>
    <mergeCell ref="E400:E401"/>
    <mergeCell ref="F400:F401"/>
    <mergeCell ref="G400:G401"/>
    <mergeCell ref="H400:H401"/>
    <mergeCell ref="I400:I401"/>
    <mergeCell ref="J400:J401"/>
    <mergeCell ref="K400:K401"/>
    <mergeCell ref="K101:K102"/>
    <mergeCell ref="A184:G184"/>
    <mergeCell ref="I184:J184"/>
    <mergeCell ref="A189:D189"/>
    <mergeCell ref="I189:K189"/>
    <mergeCell ref="A92:G92"/>
    <mergeCell ref="A3:K3"/>
    <mergeCell ref="A4:K4"/>
    <mergeCell ref="A6:B6"/>
    <mergeCell ref="D6:E6"/>
    <mergeCell ref="A7:A8"/>
    <mergeCell ref="B7:B8"/>
    <mergeCell ref="F7:F8"/>
    <mergeCell ref="G7:G8"/>
    <mergeCell ref="H7:H8"/>
    <mergeCell ref="F6:H6"/>
    <mergeCell ref="I6:K6"/>
    <mergeCell ref="E7:E8"/>
    <mergeCell ref="D7:D8"/>
    <mergeCell ref="C6:C8"/>
    <mergeCell ref="I7:I8"/>
    <mergeCell ref="J7:J8"/>
    <mergeCell ref="K7:K8"/>
    <mergeCell ref="I92:J92"/>
    <mergeCell ref="A97:K97"/>
    <mergeCell ref="A98:K98"/>
    <mergeCell ref="A100:B100"/>
    <mergeCell ref="C100:C102"/>
    <mergeCell ref="D100:E100"/>
    <mergeCell ref="F100:H100"/>
    <mergeCell ref="I100:K100"/>
    <mergeCell ref="A101:A102"/>
    <mergeCell ref="B101:B102"/>
    <mergeCell ref="D101:D102"/>
    <mergeCell ref="E101:E102"/>
    <mergeCell ref="F101:F102"/>
    <mergeCell ref="G101:G102"/>
    <mergeCell ref="H101:H102"/>
    <mergeCell ref="I101:I102"/>
    <mergeCell ref="J101:J102"/>
    <mergeCell ref="A193:D193"/>
    <mergeCell ref="I193:K193"/>
    <mergeCell ref="I194:K194"/>
    <mergeCell ref="A185:G185"/>
    <mergeCell ref="I185:J185"/>
    <mergeCell ref="A186:G186"/>
    <mergeCell ref="I186:J186"/>
    <mergeCell ref="A190:D190"/>
    <mergeCell ref="I190:K190"/>
    <mergeCell ref="A191:D191"/>
    <mergeCell ref="I191:K191"/>
    <mergeCell ref="A192:D192"/>
    <mergeCell ref="I192:K192"/>
    <mergeCell ref="A292:G292"/>
    <mergeCell ref="I292:J292"/>
    <mergeCell ref="K201:K202"/>
    <mergeCell ref="A290:G290"/>
    <mergeCell ref="I290:J290"/>
    <mergeCell ref="A291:G291"/>
    <mergeCell ref="I291:J291"/>
    <mergeCell ref="A197:K197"/>
    <mergeCell ref="A198:K198"/>
    <mergeCell ref="A200:B200"/>
    <mergeCell ref="C200:C202"/>
    <mergeCell ref="D200:E200"/>
    <mergeCell ref="F200:H200"/>
    <mergeCell ref="I200:K200"/>
    <mergeCell ref="A201:A202"/>
    <mergeCell ref="B201:B202"/>
    <mergeCell ref="D201:D202"/>
    <mergeCell ref="E201:E202"/>
    <mergeCell ref="F201:F202"/>
    <mergeCell ref="G201:G202"/>
    <mergeCell ref="H201:H202"/>
    <mergeCell ref="I201:I202"/>
    <mergeCell ref="J201:J202"/>
    <mergeCell ref="A391:G391"/>
    <mergeCell ref="I391:J391"/>
    <mergeCell ref="K299:K300"/>
    <mergeCell ref="A389:G389"/>
    <mergeCell ref="I389:J389"/>
    <mergeCell ref="A390:G390"/>
    <mergeCell ref="I390:J390"/>
    <mergeCell ref="A295:K295"/>
    <mergeCell ref="A296:K296"/>
    <mergeCell ref="A298:B298"/>
    <mergeCell ref="C298:C300"/>
    <mergeCell ref="D298:E298"/>
    <mergeCell ref="F298:H298"/>
    <mergeCell ref="I298:K298"/>
    <mergeCell ref="A299:A300"/>
    <mergeCell ref="B299:B300"/>
    <mergeCell ref="D299:D300"/>
    <mergeCell ref="E299:E300"/>
    <mergeCell ref="F299:F300"/>
    <mergeCell ref="G299:G300"/>
    <mergeCell ref="H299:H300"/>
    <mergeCell ref="I299:I300"/>
    <mergeCell ref="J299:J300"/>
    <mergeCell ref="A497:K497"/>
    <mergeCell ref="A498:K498"/>
    <mergeCell ref="A500:B500"/>
    <mergeCell ref="C500:C502"/>
    <mergeCell ref="D500:E500"/>
    <mergeCell ref="F500:H500"/>
    <mergeCell ref="I500:K500"/>
    <mergeCell ref="A501:A502"/>
    <mergeCell ref="B501:B502"/>
    <mergeCell ref="D501:D502"/>
    <mergeCell ref="E501:E502"/>
    <mergeCell ref="F501:F502"/>
    <mergeCell ref="G501:G502"/>
    <mergeCell ref="H501:H502"/>
    <mergeCell ref="I501:I502"/>
    <mergeCell ref="J501:J502"/>
    <mergeCell ref="K501:K502"/>
    <mergeCell ref="A894:G894"/>
    <mergeCell ref="I894:J894"/>
    <mergeCell ref="I898:K898"/>
    <mergeCell ref="I899:K899"/>
    <mergeCell ref="I603:K603"/>
    <mergeCell ref="I604:K604"/>
    <mergeCell ref="A595:G595"/>
    <mergeCell ref="I595:J595"/>
    <mergeCell ref="A596:G596"/>
    <mergeCell ref="I596:J596"/>
    <mergeCell ref="A597:G597"/>
    <mergeCell ref="I597:J597"/>
    <mergeCell ref="I600:K600"/>
    <mergeCell ref="I601:K601"/>
    <mergeCell ref="I602:K602"/>
    <mergeCell ref="A622:G622"/>
    <mergeCell ref="I622:J622"/>
    <mergeCell ref="A623:G623"/>
    <mergeCell ref="I623:J623"/>
    <mergeCell ref="A624:G624"/>
    <mergeCell ref="I624:J624"/>
    <mergeCell ref="A639:K639"/>
    <mergeCell ref="A640:K640"/>
    <mergeCell ref="A642:B642"/>
    <mergeCell ref="A947:K947"/>
    <mergeCell ref="A948:K948"/>
    <mergeCell ref="A950:B950"/>
    <mergeCell ref="C950:C952"/>
    <mergeCell ref="D950:E950"/>
    <mergeCell ref="F950:H950"/>
    <mergeCell ref="I950:K950"/>
    <mergeCell ref="A951:A952"/>
    <mergeCell ref="B951:B952"/>
    <mergeCell ref="D951:D952"/>
    <mergeCell ref="E951:E952"/>
    <mergeCell ref="F951:F952"/>
    <mergeCell ref="G951:G952"/>
    <mergeCell ref="H951:H952"/>
    <mergeCell ref="I951:I952"/>
    <mergeCell ref="J951:J952"/>
    <mergeCell ref="K951:K952"/>
    <mergeCell ref="A1290:G1290"/>
    <mergeCell ref="I1290:J1290"/>
    <mergeCell ref="A1291:G1291"/>
    <mergeCell ref="I1291:J1291"/>
    <mergeCell ref="A1292:G1292"/>
    <mergeCell ref="I1292:J1292"/>
    <mergeCell ref="I1064:K1064"/>
    <mergeCell ref="I1065:K1065"/>
    <mergeCell ref="A1055:G1055"/>
    <mergeCell ref="I1055:J1055"/>
    <mergeCell ref="A1056:G1056"/>
    <mergeCell ref="I1056:J1056"/>
    <mergeCell ref="A1057:G1057"/>
    <mergeCell ref="I1057:J1057"/>
    <mergeCell ref="I1060:K1060"/>
    <mergeCell ref="I1062:K1062"/>
    <mergeCell ref="I1063:K1063"/>
    <mergeCell ref="I1061:K1061"/>
    <mergeCell ref="A1099:K1099"/>
    <mergeCell ref="A1100:K1100"/>
    <mergeCell ref="A1102:B1102"/>
    <mergeCell ref="C1102:C1104"/>
    <mergeCell ref="D1102:E1102"/>
    <mergeCell ref="F1102:H1102"/>
    <mergeCell ref="A1199:K1199"/>
    <mergeCell ref="A1200:K1200"/>
    <mergeCell ref="A1202:B1202"/>
    <mergeCell ref="C1202:C1204"/>
    <mergeCell ref="D1202:E1202"/>
    <mergeCell ref="F1202:H1202"/>
    <mergeCell ref="I1202:K1202"/>
    <mergeCell ref="A1203:A1204"/>
    <mergeCell ref="B1203:B1204"/>
    <mergeCell ref="D1203:D1204"/>
    <mergeCell ref="E1203:E1204"/>
    <mergeCell ref="F1203:F1204"/>
    <mergeCell ref="G1203:G1204"/>
    <mergeCell ref="H1203:H1204"/>
    <mergeCell ref="I1203:I1204"/>
    <mergeCell ref="J1203:J1204"/>
    <mergeCell ref="K1203:K1204"/>
    <mergeCell ref="A1295:D1295"/>
    <mergeCell ref="I1295:K1295"/>
    <mergeCell ref="A1296:D1296"/>
    <mergeCell ref="I1296:K1296"/>
    <mergeCell ref="A1423:G1423"/>
    <mergeCell ref="I1423:J1423"/>
    <mergeCell ref="A1424:G1424"/>
    <mergeCell ref="I1424:J1424"/>
    <mergeCell ref="A1425:G1425"/>
    <mergeCell ref="I1425:J1425"/>
    <mergeCell ref="A1299:K1299"/>
    <mergeCell ref="G1431:G1432"/>
    <mergeCell ref="A1300:K1300"/>
    <mergeCell ref="A1302:B1302"/>
    <mergeCell ref="C1302:C1304"/>
    <mergeCell ref="D1302:E1302"/>
    <mergeCell ref="F1302:H1302"/>
    <mergeCell ref="I1302:K1302"/>
    <mergeCell ref="A1303:A1304"/>
    <mergeCell ref="B1303:B1304"/>
    <mergeCell ref="D1303:D1304"/>
    <mergeCell ref="E1303:E1304"/>
    <mergeCell ref="F1303:F1304"/>
    <mergeCell ref="G1303:G1304"/>
    <mergeCell ref="H1303:H1304"/>
    <mergeCell ref="I1303:I1304"/>
    <mergeCell ref="J1303:J1304"/>
    <mergeCell ref="K1303:K1304"/>
  </mergeCells>
  <phoneticPr fontId="5" type="noConversion"/>
  <pageMargins left="0.31496062992125984" right="0.31496062992125984" top="0.74803149606299213" bottom="0.74803149606299213" header="0.31496062992125984" footer="0.31496062992125984"/>
  <pageSetup paperSize="5" scale="90" orientation="landscape" horizontalDpi="360" verticalDpi="36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1425"/>
  <sheetViews>
    <sheetView showWhiteSpace="0" view="pageLayout" topLeftCell="A1391" zoomScaleNormal="100" workbookViewId="0">
      <selection activeCell="K296" sqref="K296"/>
    </sheetView>
  </sheetViews>
  <sheetFormatPr defaultColWidth="9.140625" defaultRowHeight="12.75" customHeight="1" x14ac:dyDescent="0.2"/>
  <cols>
    <col min="1" max="1" width="8.42578125" style="1" customWidth="1"/>
    <col min="2" max="2" width="6.42578125" style="1" customWidth="1"/>
    <col min="3" max="3" width="7.7109375" style="1" customWidth="1"/>
    <col min="4" max="4" width="32.28515625" style="1" customWidth="1"/>
    <col min="5" max="5" width="9.28515625" style="1" customWidth="1"/>
    <col min="6" max="6" width="10.42578125" style="1" customWidth="1"/>
    <col min="7" max="7" width="16.140625" style="1" customWidth="1"/>
    <col min="8" max="8" width="17.5703125" style="1" customWidth="1"/>
    <col min="9" max="9" width="14.85546875" style="1" customWidth="1"/>
    <col min="10" max="10" width="12.85546875" style="1" bestFit="1" customWidth="1"/>
    <col min="11" max="11" width="9.140625" style="73"/>
    <col min="12" max="16384" width="9.140625" style="1"/>
  </cols>
  <sheetData>
    <row r="1" spans="1:10" ht="12.75" customHeight="1" x14ac:dyDescent="0.2">
      <c r="A1" s="9" t="s">
        <v>0</v>
      </c>
      <c r="B1" s="9"/>
      <c r="C1" s="9"/>
      <c r="D1" s="9"/>
      <c r="E1" s="9"/>
      <c r="F1" s="9"/>
      <c r="G1" s="9"/>
      <c r="H1" s="9"/>
      <c r="I1" s="9"/>
    </row>
    <row r="2" spans="1:10" ht="12.75" customHeight="1" x14ac:dyDescent="0.2">
      <c r="A2" s="9" t="s">
        <v>1</v>
      </c>
      <c r="B2" s="9"/>
      <c r="C2" s="9"/>
      <c r="D2" s="9"/>
      <c r="E2" s="9"/>
      <c r="F2" s="9"/>
      <c r="G2" s="9"/>
      <c r="H2" s="9"/>
      <c r="I2" s="9"/>
    </row>
    <row r="3" spans="1:10" ht="12.75" customHeight="1" x14ac:dyDescent="0.2">
      <c r="A3" s="9"/>
      <c r="B3" s="9"/>
      <c r="C3" s="9"/>
      <c r="D3" s="9"/>
      <c r="E3" s="9"/>
      <c r="F3" s="9"/>
      <c r="G3" s="9"/>
      <c r="H3" s="9"/>
      <c r="I3" s="9"/>
    </row>
    <row r="4" spans="1:10" ht="12.75" customHeight="1" x14ac:dyDescent="0.2">
      <c r="A4" s="643" t="s">
        <v>77</v>
      </c>
      <c r="B4" s="643"/>
      <c r="C4" s="643"/>
      <c r="D4" s="643"/>
      <c r="E4" s="643"/>
      <c r="F4" s="643"/>
      <c r="G4" s="643"/>
      <c r="H4" s="643"/>
      <c r="I4" s="643"/>
    </row>
    <row r="5" spans="1:10" ht="12.75" customHeight="1" x14ac:dyDescent="0.2">
      <c r="A5" s="643" t="s">
        <v>3806</v>
      </c>
      <c r="B5" s="643"/>
      <c r="C5" s="643"/>
      <c r="D5" s="643"/>
      <c r="E5" s="643"/>
      <c r="F5" s="643"/>
      <c r="G5" s="643"/>
      <c r="H5" s="643"/>
      <c r="I5" s="643"/>
    </row>
    <row r="6" spans="1:10" ht="12.75" customHeight="1" x14ac:dyDescent="0.2">
      <c r="A6" s="680" t="s">
        <v>3</v>
      </c>
      <c r="B6" s="701" t="s">
        <v>4</v>
      </c>
      <c r="C6" s="701"/>
      <c r="D6" s="680" t="s">
        <v>5</v>
      </c>
      <c r="E6" s="662" t="s">
        <v>6</v>
      </c>
      <c r="F6" s="664"/>
      <c r="G6" s="310" t="s">
        <v>10</v>
      </c>
      <c r="H6" s="701" t="s">
        <v>90</v>
      </c>
      <c r="I6" s="701"/>
    </row>
    <row r="7" spans="1:10" ht="12.75" customHeight="1" x14ac:dyDescent="0.2">
      <c r="A7" s="681"/>
      <c r="B7" s="680" t="s">
        <v>7</v>
      </c>
      <c r="C7" s="680" t="s">
        <v>3</v>
      </c>
      <c r="D7" s="681"/>
      <c r="E7" s="680" t="s">
        <v>8</v>
      </c>
      <c r="F7" s="680" t="s">
        <v>3</v>
      </c>
      <c r="G7" s="306" t="s">
        <v>9</v>
      </c>
      <c r="H7" s="310" t="s">
        <v>11</v>
      </c>
      <c r="I7" s="310" t="s">
        <v>3342</v>
      </c>
    </row>
    <row r="8" spans="1:10" ht="12.75" customHeight="1" x14ac:dyDescent="0.2">
      <c r="A8" s="682"/>
      <c r="B8" s="682"/>
      <c r="C8" s="682"/>
      <c r="D8" s="682"/>
      <c r="E8" s="682"/>
      <c r="F8" s="682"/>
      <c r="G8" s="310" t="s">
        <v>3312</v>
      </c>
      <c r="H8" s="307" t="s">
        <v>3343</v>
      </c>
      <c r="I8" s="307" t="s">
        <v>3344</v>
      </c>
      <c r="J8" s="70"/>
    </row>
    <row r="9" spans="1:10" ht="12.75" customHeight="1" x14ac:dyDescent="0.2">
      <c r="A9" s="366" t="s">
        <v>5385</v>
      </c>
      <c r="B9" s="210" t="s">
        <v>3767</v>
      </c>
      <c r="C9" s="211" t="str">
        <f t="shared" ref="C9:C40" si="0">A9</f>
        <v>05 Jan</v>
      </c>
      <c r="D9" s="202" t="s">
        <v>4144</v>
      </c>
      <c r="E9" s="212"/>
      <c r="F9" s="60"/>
      <c r="G9" s="90">
        <f>H9</f>
        <v>0</v>
      </c>
      <c r="H9" s="90">
        <f>DVUD!K9</f>
        <v>0</v>
      </c>
      <c r="I9" s="90"/>
      <c r="J9" s="70"/>
    </row>
    <row r="10" spans="1:10" ht="12.75" customHeight="1" x14ac:dyDescent="0.2">
      <c r="A10" s="263"/>
      <c r="B10" s="72" t="s">
        <v>3768</v>
      </c>
      <c r="C10" s="38">
        <f t="shared" si="0"/>
        <v>0</v>
      </c>
      <c r="D10" s="31" t="s">
        <v>5386</v>
      </c>
      <c r="E10" s="41"/>
      <c r="F10" s="31"/>
      <c r="G10" s="107">
        <f t="shared" ref="G10:G74" si="1">H10</f>
        <v>0</v>
      </c>
      <c r="H10" s="107">
        <f>DVUD!K10</f>
        <v>0</v>
      </c>
      <c r="I10" s="107"/>
      <c r="J10" s="70"/>
    </row>
    <row r="11" spans="1:10" ht="12.75" customHeight="1" x14ac:dyDescent="0.2">
      <c r="A11" s="72"/>
      <c r="B11" s="72" t="s">
        <v>3769</v>
      </c>
      <c r="C11" s="38">
        <f t="shared" si="0"/>
        <v>0</v>
      </c>
      <c r="D11" s="31" t="s">
        <v>5387</v>
      </c>
      <c r="E11" s="41"/>
      <c r="F11" s="31"/>
      <c r="G11" s="107">
        <f t="shared" si="1"/>
        <v>0</v>
      </c>
      <c r="H11" s="107">
        <f>DVUD!K11</f>
        <v>0</v>
      </c>
      <c r="I11" s="107"/>
      <c r="J11" s="70"/>
    </row>
    <row r="12" spans="1:10" ht="12.75" customHeight="1" x14ac:dyDescent="0.2">
      <c r="A12" s="72"/>
      <c r="B12" s="72" t="s">
        <v>3770</v>
      </c>
      <c r="C12" s="38">
        <f t="shared" si="0"/>
        <v>0</v>
      </c>
      <c r="D12" s="31" t="s">
        <v>5388</v>
      </c>
      <c r="E12" s="41"/>
      <c r="F12" s="31"/>
      <c r="G12" s="107">
        <f t="shared" si="1"/>
        <v>0</v>
      </c>
      <c r="H12" s="107">
        <f>DVUD!K12</f>
        <v>0</v>
      </c>
      <c r="I12" s="107"/>
      <c r="J12" s="70"/>
    </row>
    <row r="13" spans="1:10" ht="12.75" customHeight="1" x14ac:dyDescent="0.2">
      <c r="A13" s="72"/>
      <c r="B13" s="72" t="s">
        <v>3771</v>
      </c>
      <c r="C13" s="38">
        <f t="shared" si="0"/>
        <v>0</v>
      </c>
      <c r="D13" s="31" t="s">
        <v>5389</v>
      </c>
      <c r="E13" s="41"/>
      <c r="F13" s="31"/>
      <c r="G13" s="107">
        <f t="shared" si="1"/>
        <v>0</v>
      </c>
      <c r="H13" s="107">
        <f>DVUD!K13</f>
        <v>0</v>
      </c>
      <c r="I13" s="107"/>
      <c r="J13" s="70"/>
    </row>
    <row r="14" spans="1:10" ht="12.75" customHeight="1" x14ac:dyDescent="0.2">
      <c r="A14" s="72"/>
      <c r="B14" s="72" t="s">
        <v>3772</v>
      </c>
      <c r="C14" s="38">
        <f t="shared" si="0"/>
        <v>0</v>
      </c>
      <c r="D14" s="31" t="s">
        <v>3869</v>
      </c>
      <c r="E14" s="41"/>
      <c r="F14" s="31"/>
      <c r="G14" s="107">
        <f t="shared" si="1"/>
        <v>0</v>
      </c>
      <c r="H14" s="107">
        <f>DVUD!K14</f>
        <v>0</v>
      </c>
      <c r="I14" s="107"/>
      <c r="J14" s="70"/>
    </row>
    <row r="15" spans="1:10" ht="12.75" customHeight="1" x14ac:dyDescent="0.2">
      <c r="A15" s="72"/>
      <c r="B15" s="72" t="s">
        <v>3773</v>
      </c>
      <c r="C15" s="38">
        <f t="shared" si="0"/>
        <v>0</v>
      </c>
      <c r="D15" s="31" t="s">
        <v>3855</v>
      </c>
      <c r="E15" s="41"/>
      <c r="F15" s="31"/>
      <c r="G15" s="107">
        <f t="shared" si="1"/>
        <v>0</v>
      </c>
      <c r="H15" s="107">
        <f>DVUD!K15</f>
        <v>0</v>
      </c>
      <c r="I15" s="107"/>
      <c r="J15" s="70"/>
    </row>
    <row r="16" spans="1:10" ht="12.75" customHeight="1" x14ac:dyDescent="0.2">
      <c r="A16" s="72" t="s">
        <v>5390</v>
      </c>
      <c r="B16" s="72" t="s">
        <v>3774</v>
      </c>
      <c r="C16" s="38" t="str">
        <f t="shared" si="0"/>
        <v>08 Jan</v>
      </c>
      <c r="D16" s="31" t="s">
        <v>5391</v>
      </c>
      <c r="E16" s="41"/>
      <c r="F16" s="31"/>
      <c r="G16" s="107">
        <f t="shared" si="1"/>
        <v>0</v>
      </c>
      <c r="H16" s="107">
        <f>DVUD!K16</f>
        <v>0</v>
      </c>
      <c r="I16" s="107"/>
      <c r="J16" s="70"/>
    </row>
    <row r="17" spans="1:10" ht="12.75" customHeight="1" x14ac:dyDescent="0.2">
      <c r="A17" s="72"/>
      <c r="B17" s="72" t="s">
        <v>3775</v>
      </c>
      <c r="C17" s="38">
        <f t="shared" si="0"/>
        <v>0</v>
      </c>
      <c r="D17" s="31" t="s">
        <v>5392</v>
      </c>
      <c r="E17" s="41"/>
      <c r="F17" s="31"/>
      <c r="G17" s="107">
        <f t="shared" si="1"/>
        <v>0</v>
      </c>
      <c r="H17" s="107">
        <f>DVUD!K17</f>
        <v>0</v>
      </c>
      <c r="I17" s="107"/>
      <c r="J17" s="70"/>
    </row>
    <row r="18" spans="1:10" ht="12.75" customHeight="1" x14ac:dyDescent="0.2">
      <c r="A18" s="72" t="s">
        <v>5393</v>
      </c>
      <c r="B18" s="72" t="s">
        <v>3847</v>
      </c>
      <c r="C18" s="38" t="str">
        <f t="shared" si="0"/>
        <v>12 Jan</v>
      </c>
      <c r="D18" s="31" t="s">
        <v>5394</v>
      </c>
      <c r="E18" s="41"/>
      <c r="F18" s="31"/>
      <c r="G18" s="107">
        <f t="shared" si="1"/>
        <v>0</v>
      </c>
      <c r="H18" s="107">
        <f>DVUD!K18</f>
        <v>0</v>
      </c>
      <c r="I18" s="107"/>
      <c r="J18" s="70"/>
    </row>
    <row r="19" spans="1:10" ht="12.75" customHeight="1" x14ac:dyDescent="0.2">
      <c r="A19" s="72" t="s">
        <v>5395</v>
      </c>
      <c r="B19" s="72" t="s">
        <v>3848</v>
      </c>
      <c r="C19" s="38" t="str">
        <f t="shared" si="0"/>
        <v>13 Jan</v>
      </c>
      <c r="D19" s="31" t="s">
        <v>4356</v>
      </c>
      <c r="E19" s="41"/>
      <c r="F19" s="31"/>
      <c r="G19" s="107">
        <f t="shared" si="1"/>
        <v>0</v>
      </c>
      <c r="H19" s="107">
        <f>DVUD!K19</f>
        <v>0</v>
      </c>
      <c r="I19" s="107"/>
      <c r="J19" s="70"/>
    </row>
    <row r="20" spans="1:10" ht="12.75" customHeight="1" x14ac:dyDescent="0.2">
      <c r="A20" s="72"/>
      <c r="B20" s="72" t="s">
        <v>3849</v>
      </c>
      <c r="C20" s="38">
        <f t="shared" si="0"/>
        <v>0</v>
      </c>
      <c r="D20" s="31" t="s">
        <v>5397</v>
      </c>
      <c r="E20" s="41"/>
      <c r="F20" s="31"/>
      <c r="G20" s="107">
        <f t="shared" si="1"/>
        <v>0</v>
      </c>
      <c r="H20" s="107">
        <f>DVUD!K20</f>
        <v>0</v>
      </c>
      <c r="I20" s="107"/>
      <c r="J20" s="70"/>
    </row>
    <row r="21" spans="1:10" ht="12.75" customHeight="1" x14ac:dyDescent="0.2">
      <c r="A21" s="72"/>
      <c r="B21" s="72" t="s">
        <v>3850</v>
      </c>
      <c r="C21" s="38">
        <f t="shared" si="0"/>
        <v>0</v>
      </c>
      <c r="D21" s="31" t="s">
        <v>5398</v>
      </c>
      <c r="E21" s="41"/>
      <c r="F21" s="31"/>
      <c r="G21" s="107">
        <f t="shared" si="1"/>
        <v>0</v>
      </c>
      <c r="H21" s="107">
        <f>DVUD!K21</f>
        <v>0</v>
      </c>
      <c r="I21" s="107"/>
      <c r="J21" s="70"/>
    </row>
    <row r="22" spans="1:10" ht="12.75" customHeight="1" x14ac:dyDescent="0.2">
      <c r="A22" s="263" t="s">
        <v>5400</v>
      </c>
      <c r="B22" s="72" t="s">
        <v>3776</v>
      </c>
      <c r="C22" s="38" t="str">
        <f t="shared" si="0"/>
        <v>14 Jan</v>
      </c>
      <c r="D22" s="31" t="s">
        <v>5401</v>
      </c>
      <c r="E22" s="41"/>
      <c r="F22" s="31"/>
      <c r="G22" s="107">
        <f t="shared" si="1"/>
        <v>0</v>
      </c>
      <c r="H22" s="107">
        <f>DVUD!K22</f>
        <v>0</v>
      </c>
      <c r="I22" s="107"/>
      <c r="J22" s="70"/>
    </row>
    <row r="23" spans="1:10" ht="12.75" customHeight="1" x14ac:dyDescent="0.2">
      <c r="A23" s="72"/>
      <c r="B23" s="72" t="s">
        <v>3852</v>
      </c>
      <c r="C23" s="38">
        <f t="shared" si="0"/>
        <v>0</v>
      </c>
      <c r="D23" s="31" t="s">
        <v>5402</v>
      </c>
      <c r="E23" s="41"/>
      <c r="F23" s="31"/>
      <c r="G23" s="107">
        <f t="shared" si="1"/>
        <v>0</v>
      </c>
      <c r="H23" s="107">
        <f>DVUD!K23</f>
        <v>0</v>
      </c>
      <c r="I23" s="107"/>
      <c r="J23" s="70"/>
    </row>
    <row r="24" spans="1:10" ht="12.75" customHeight="1" x14ac:dyDescent="0.2">
      <c r="A24" s="10"/>
      <c r="B24" s="72" t="s">
        <v>3854</v>
      </c>
      <c r="C24" s="38">
        <f t="shared" si="0"/>
        <v>0</v>
      </c>
      <c r="D24" s="31" t="s">
        <v>5403</v>
      </c>
      <c r="E24" s="41"/>
      <c r="F24" s="31"/>
      <c r="G24" s="107">
        <f t="shared" si="1"/>
        <v>0</v>
      </c>
      <c r="H24" s="107">
        <f>DVUD!K24</f>
        <v>0</v>
      </c>
      <c r="I24" s="107"/>
      <c r="J24" s="70"/>
    </row>
    <row r="25" spans="1:10" ht="12.75" customHeight="1" x14ac:dyDescent="0.2">
      <c r="A25" s="72"/>
      <c r="B25" s="72" t="s">
        <v>3856</v>
      </c>
      <c r="C25" s="38">
        <f t="shared" si="0"/>
        <v>0</v>
      </c>
      <c r="D25" s="31" t="s">
        <v>3844</v>
      </c>
      <c r="E25" s="41"/>
      <c r="F25" s="31"/>
      <c r="G25" s="107">
        <f t="shared" si="1"/>
        <v>0</v>
      </c>
      <c r="H25" s="107">
        <f>DVUD!K25</f>
        <v>0</v>
      </c>
      <c r="I25" s="107"/>
      <c r="J25" s="70"/>
    </row>
    <row r="26" spans="1:10" ht="12.75" customHeight="1" x14ac:dyDescent="0.2">
      <c r="A26" s="10"/>
      <c r="B26" s="72"/>
      <c r="C26" s="38">
        <f t="shared" si="0"/>
        <v>0</v>
      </c>
      <c r="D26" s="31"/>
      <c r="E26" s="41"/>
      <c r="F26" s="31"/>
      <c r="G26" s="107">
        <f t="shared" si="1"/>
        <v>0</v>
      </c>
      <c r="H26" s="107">
        <f>DVUD!K26</f>
        <v>0</v>
      </c>
      <c r="I26" s="107"/>
      <c r="J26" s="70"/>
    </row>
    <row r="27" spans="1:10" ht="12.75" customHeight="1" x14ac:dyDescent="0.2">
      <c r="A27" s="10"/>
      <c r="B27" s="72"/>
      <c r="C27" s="38">
        <f t="shared" si="0"/>
        <v>0</v>
      </c>
      <c r="D27" s="31"/>
      <c r="E27" s="41"/>
      <c r="F27" s="31"/>
      <c r="G27" s="107">
        <f t="shared" si="1"/>
        <v>0</v>
      </c>
      <c r="H27" s="107">
        <f>DVUD!K27</f>
        <v>0</v>
      </c>
      <c r="I27" s="107"/>
      <c r="J27" s="70"/>
    </row>
    <row r="28" spans="1:10" ht="12.75" customHeight="1" x14ac:dyDescent="0.2">
      <c r="A28" s="72"/>
      <c r="B28" s="72" t="s">
        <v>3857</v>
      </c>
      <c r="C28" s="38">
        <f t="shared" si="0"/>
        <v>0</v>
      </c>
      <c r="D28" s="31" t="s">
        <v>5406</v>
      </c>
      <c r="E28" s="41"/>
      <c r="F28" s="31"/>
      <c r="G28" s="107">
        <f t="shared" si="1"/>
        <v>0</v>
      </c>
      <c r="H28" s="107">
        <f>DVUD!K28</f>
        <v>0</v>
      </c>
      <c r="I28" s="107"/>
      <c r="J28" s="70"/>
    </row>
    <row r="29" spans="1:10" ht="12.75" customHeight="1" x14ac:dyDescent="0.2">
      <c r="A29" s="72"/>
      <c r="B29" s="72" t="s">
        <v>3858</v>
      </c>
      <c r="C29" s="38">
        <f t="shared" si="0"/>
        <v>0</v>
      </c>
      <c r="D29" s="31" t="s">
        <v>3878</v>
      </c>
      <c r="E29" s="41"/>
      <c r="F29" s="31"/>
      <c r="G29" s="107">
        <f t="shared" si="1"/>
        <v>0</v>
      </c>
      <c r="H29" s="107">
        <f>DVUD!K29</f>
        <v>0</v>
      </c>
      <c r="I29" s="107"/>
      <c r="J29" s="70"/>
    </row>
    <row r="30" spans="1:10" ht="12.75" customHeight="1" x14ac:dyDescent="0.2">
      <c r="A30" s="263" t="s">
        <v>5407</v>
      </c>
      <c r="B30" s="72" t="s">
        <v>3859</v>
      </c>
      <c r="C30" s="38" t="str">
        <f t="shared" si="0"/>
        <v>15 Jan</v>
      </c>
      <c r="D30" s="31" t="s">
        <v>5408</v>
      </c>
      <c r="E30" s="41"/>
      <c r="F30" s="31"/>
      <c r="G30" s="107">
        <f t="shared" si="1"/>
        <v>0</v>
      </c>
      <c r="H30" s="107">
        <f>DVUD!K30</f>
        <v>0</v>
      </c>
      <c r="I30" s="107"/>
      <c r="J30" s="70"/>
    </row>
    <row r="31" spans="1:10" ht="12.75" customHeight="1" x14ac:dyDescent="0.2">
      <c r="A31" s="72"/>
      <c r="B31" s="72" t="s">
        <v>3860</v>
      </c>
      <c r="C31" s="38">
        <f t="shared" si="0"/>
        <v>0</v>
      </c>
      <c r="D31" s="92" t="s">
        <v>5409</v>
      </c>
      <c r="E31" s="41"/>
      <c r="F31" s="31"/>
      <c r="G31" s="107">
        <f t="shared" si="1"/>
        <v>0</v>
      </c>
      <c r="H31" s="107">
        <f>DVUD!K31</f>
        <v>0</v>
      </c>
      <c r="I31" s="107"/>
      <c r="J31" s="70"/>
    </row>
    <row r="32" spans="1:10" ht="12.75" customHeight="1" x14ac:dyDescent="0.2">
      <c r="A32" s="31"/>
      <c r="B32" s="72" t="s">
        <v>3861</v>
      </c>
      <c r="C32" s="38">
        <f t="shared" si="0"/>
        <v>0</v>
      </c>
      <c r="D32" s="31" t="s">
        <v>5410</v>
      </c>
      <c r="E32" s="41"/>
      <c r="F32" s="31"/>
      <c r="G32" s="107">
        <f t="shared" si="1"/>
        <v>0</v>
      </c>
      <c r="H32" s="107">
        <f>DVUD!K32</f>
        <v>0</v>
      </c>
      <c r="I32" s="107"/>
      <c r="J32" s="70"/>
    </row>
    <row r="33" spans="1:10" ht="12.75" customHeight="1" x14ac:dyDescent="0.2">
      <c r="A33" s="10"/>
      <c r="B33" s="72" t="s">
        <v>3862</v>
      </c>
      <c r="C33" s="38">
        <f t="shared" si="0"/>
        <v>0</v>
      </c>
      <c r="D33" s="31" t="s">
        <v>3846</v>
      </c>
      <c r="E33" s="41"/>
      <c r="F33" s="31"/>
      <c r="G33" s="107">
        <f t="shared" si="1"/>
        <v>0</v>
      </c>
      <c r="H33" s="107">
        <f>DVUD!K33</f>
        <v>0</v>
      </c>
      <c r="I33" s="31"/>
      <c r="J33" s="70"/>
    </row>
    <row r="34" spans="1:10" ht="12.75" customHeight="1" x14ac:dyDescent="0.2">
      <c r="A34" s="72" t="s">
        <v>5411</v>
      </c>
      <c r="B34" s="72" t="s">
        <v>3863</v>
      </c>
      <c r="C34" s="38" t="str">
        <f t="shared" si="0"/>
        <v>19 Jan</v>
      </c>
      <c r="D34" s="31" t="s">
        <v>5412</v>
      </c>
      <c r="E34" s="41"/>
      <c r="F34" s="31"/>
      <c r="G34" s="107">
        <f t="shared" si="1"/>
        <v>0</v>
      </c>
      <c r="H34" s="107">
        <f>DVUD!K34</f>
        <v>0</v>
      </c>
      <c r="I34" s="31"/>
      <c r="J34" s="70"/>
    </row>
    <row r="35" spans="1:10" ht="12.75" customHeight="1" x14ac:dyDescent="0.2">
      <c r="A35" s="72"/>
      <c r="B35" s="72" t="s">
        <v>3864</v>
      </c>
      <c r="C35" s="38">
        <f t="shared" si="0"/>
        <v>0</v>
      </c>
      <c r="D35" s="31" t="s">
        <v>5414</v>
      </c>
      <c r="E35" s="176"/>
      <c r="F35" s="173"/>
      <c r="G35" s="107">
        <f t="shared" si="1"/>
        <v>0</v>
      </c>
      <c r="H35" s="107">
        <f>DVUD!K35</f>
        <v>0</v>
      </c>
      <c r="I35" s="213"/>
      <c r="J35" s="70"/>
    </row>
    <row r="36" spans="1:10" ht="12.75" customHeight="1" x14ac:dyDescent="0.2">
      <c r="A36" s="72"/>
      <c r="B36" s="72" t="s">
        <v>3865</v>
      </c>
      <c r="C36" s="38">
        <f t="shared" si="0"/>
        <v>0</v>
      </c>
      <c r="D36" s="31" t="s">
        <v>5415</v>
      </c>
      <c r="E36" s="176"/>
      <c r="F36" s="173"/>
      <c r="G36" s="107">
        <f t="shared" si="1"/>
        <v>0</v>
      </c>
      <c r="H36" s="107">
        <f>DVUD!K36</f>
        <v>0</v>
      </c>
      <c r="I36" s="213"/>
      <c r="J36" s="70"/>
    </row>
    <row r="37" spans="1:10" ht="12.75" customHeight="1" x14ac:dyDescent="0.2">
      <c r="A37" s="72"/>
      <c r="B37" s="72" t="s">
        <v>3867</v>
      </c>
      <c r="C37" s="38">
        <f t="shared" si="0"/>
        <v>0</v>
      </c>
      <c r="D37" s="31" t="s">
        <v>5416</v>
      </c>
      <c r="E37" s="176"/>
      <c r="F37" s="173"/>
      <c r="G37" s="107">
        <f t="shared" si="1"/>
        <v>0</v>
      </c>
      <c r="H37" s="107">
        <f>DVUD!K37</f>
        <v>0</v>
      </c>
      <c r="I37" s="213"/>
      <c r="J37" s="70"/>
    </row>
    <row r="38" spans="1:10" ht="12.75" customHeight="1" x14ac:dyDescent="0.2">
      <c r="A38" s="72"/>
      <c r="B38" s="72" t="s">
        <v>3868</v>
      </c>
      <c r="C38" s="38">
        <f t="shared" si="0"/>
        <v>0</v>
      </c>
      <c r="D38" s="31" t="s">
        <v>4144</v>
      </c>
      <c r="E38" s="176"/>
      <c r="F38" s="173"/>
      <c r="G38" s="107">
        <f t="shared" si="1"/>
        <v>0</v>
      </c>
      <c r="H38" s="107">
        <f>DVUD!K38</f>
        <v>0</v>
      </c>
      <c r="I38" s="213"/>
      <c r="J38" s="70"/>
    </row>
    <row r="39" spans="1:10" ht="12.75" customHeight="1" x14ac:dyDescent="0.2">
      <c r="A39" s="10"/>
      <c r="B39" s="72" t="s">
        <v>3870</v>
      </c>
      <c r="C39" s="38">
        <f t="shared" si="0"/>
        <v>0</v>
      </c>
      <c r="D39" s="31" t="s">
        <v>3878</v>
      </c>
      <c r="E39" s="176"/>
      <c r="F39" s="173"/>
      <c r="G39" s="107">
        <f t="shared" si="1"/>
        <v>0</v>
      </c>
      <c r="H39" s="107">
        <f>DVUD!K39</f>
        <v>0</v>
      </c>
      <c r="I39" s="213"/>
      <c r="J39" s="70"/>
    </row>
    <row r="40" spans="1:10" ht="28.5" customHeight="1" x14ac:dyDescent="0.2">
      <c r="A40" s="61" t="s">
        <v>3379</v>
      </c>
      <c r="B40" s="72" t="s">
        <v>3871</v>
      </c>
      <c r="C40" s="38" t="str">
        <f t="shared" si="0"/>
        <v>20 Jan</v>
      </c>
      <c r="D40" s="431" t="s">
        <v>5417</v>
      </c>
      <c r="E40" s="176"/>
      <c r="F40" s="173"/>
      <c r="G40" s="107">
        <f t="shared" si="1"/>
        <v>0</v>
      </c>
      <c r="H40" s="107">
        <f>DVUD!K40</f>
        <v>0</v>
      </c>
      <c r="I40" s="213"/>
      <c r="J40" s="70"/>
    </row>
    <row r="41" spans="1:10" ht="12.75" customHeight="1" x14ac:dyDescent="0.2">
      <c r="A41" s="72"/>
      <c r="B41" s="72" t="s">
        <v>3872</v>
      </c>
      <c r="C41" s="38">
        <f t="shared" ref="C41:C72" si="2">A41</f>
        <v>0</v>
      </c>
      <c r="D41" s="31" t="s">
        <v>5418</v>
      </c>
      <c r="E41" s="176"/>
      <c r="F41" s="173"/>
      <c r="G41" s="107">
        <f t="shared" si="1"/>
        <v>0</v>
      </c>
      <c r="H41" s="107">
        <f>DVUD!K41</f>
        <v>0</v>
      </c>
      <c r="I41" s="213"/>
      <c r="J41" s="70"/>
    </row>
    <row r="42" spans="1:10" ht="12.75" customHeight="1" x14ac:dyDescent="0.2">
      <c r="A42" s="10"/>
      <c r="B42" s="72" t="s">
        <v>3873</v>
      </c>
      <c r="C42" s="38">
        <f t="shared" si="2"/>
        <v>0</v>
      </c>
      <c r="D42" s="31" t="s">
        <v>5419</v>
      </c>
      <c r="E42" s="176"/>
      <c r="F42" s="173"/>
      <c r="G42" s="107">
        <f t="shared" si="1"/>
        <v>0</v>
      </c>
      <c r="H42" s="107">
        <f>DVUD!K42</f>
        <v>0</v>
      </c>
      <c r="I42" s="213"/>
      <c r="J42" s="70"/>
    </row>
    <row r="43" spans="1:10" ht="12.75" customHeight="1" x14ac:dyDescent="0.2">
      <c r="A43" s="263" t="s">
        <v>3840</v>
      </c>
      <c r="B43" s="72" t="s">
        <v>3874</v>
      </c>
      <c r="C43" s="38" t="str">
        <f t="shared" si="2"/>
        <v>21 Jan</v>
      </c>
      <c r="D43" s="31" t="s">
        <v>5420</v>
      </c>
      <c r="E43" s="176"/>
      <c r="F43" s="173"/>
      <c r="G43" s="107">
        <f t="shared" si="1"/>
        <v>0</v>
      </c>
      <c r="H43" s="107">
        <f>DVUD!K43</f>
        <v>0</v>
      </c>
      <c r="I43" s="213"/>
      <c r="J43" s="70"/>
    </row>
    <row r="44" spans="1:10" ht="12.75" customHeight="1" x14ac:dyDescent="0.2">
      <c r="A44" s="72"/>
      <c r="B44" s="72" t="s">
        <v>3875</v>
      </c>
      <c r="C44" s="38">
        <f t="shared" si="2"/>
        <v>0</v>
      </c>
      <c r="D44" s="31" t="s">
        <v>5421</v>
      </c>
      <c r="E44" s="176"/>
      <c r="F44" s="173"/>
      <c r="G44" s="107">
        <f t="shared" si="1"/>
        <v>0</v>
      </c>
      <c r="H44" s="107">
        <f>DVUD!K44</f>
        <v>0</v>
      </c>
      <c r="I44" s="213"/>
      <c r="J44" s="70"/>
    </row>
    <row r="45" spans="1:10" ht="12.75" customHeight="1" x14ac:dyDescent="0.2">
      <c r="A45" s="72" t="s">
        <v>3398</v>
      </c>
      <c r="B45" s="72" t="s">
        <v>3877</v>
      </c>
      <c r="C45" s="38" t="str">
        <f t="shared" si="2"/>
        <v>22 Jan</v>
      </c>
      <c r="D45" s="31" t="s">
        <v>3878</v>
      </c>
      <c r="E45" s="176"/>
      <c r="F45" s="173"/>
      <c r="G45" s="107">
        <f t="shared" si="1"/>
        <v>0</v>
      </c>
      <c r="H45" s="107">
        <f>DVUD!K45</f>
        <v>0</v>
      </c>
      <c r="I45" s="213"/>
      <c r="J45" s="70"/>
    </row>
    <row r="46" spans="1:10" ht="12.75" customHeight="1" x14ac:dyDescent="0.2">
      <c r="A46" s="72" t="s">
        <v>3427</v>
      </c>
      <c r="B46" s="72" t="s">
        <v>3879</v>
      </c>
      <c r="C46" s="38" t="str">
        <f t="shared" si="2"/>
        <v>23 Jan</v>
      </c>
      <c r="D46" s="31" t="s">
        <v>5422</v>
      </c>
      <c r="E46" s="176"/>
      <c r="F46" s="173"/>
      <c r="G46" s="107">
        <f t="shared" si="1"/>
        <v>0</v>
      </c>
      <c r="H46" s="107">
        <f>DVUD!K46</f>
        <v>0</v>
      </c>
      <c r="I46" s="213"/>
      <c r="J46" s="70"/>
    </row>
    <row r="47" spans="1:10" ht="12.75" customHeight="1" x14ac:dyDescent="0.2">
      <c r="A47" s="10"/>
      <c r="B47" s="72" t="s">
        <v>3880</v>
      </c>
      <c r="C47" s="38">
        <f t="shared" si="2"/>
        <v>0</v>
      </c>
      <c r="D47" s="31" t="s">
        <v>5423</v>
      </c>
      <c r="E47" s="176"/>
      <c r="F47" s="173"/>
      <c r="G47" s="107">
        <f t="shared" si="1"/>
        <v>0</v>
      </c>
      <c r="H47" s="107">
        <f>DVUD!K47</f>
        <v>0</v>
      </c>
      <c r="I47" s="213"/>
      <c r="J47" s="70"/>
    </row>
    <row r="48" spans="1:10" ht="12.75" customHeight="1" x14ac:dyDescent="0.2">
      <c r="A48" s="72" t="s">
        <v>3530</v>
      </c>
      <c r="B48" s="72" t="s">
        <v>3882</v>
      </c>
      <c r="C48" s="38" t="str">
        <f t="shared" si="2"/>
        <v>28 Jan</v>
      </c>
      <c r="D48" s="31" t="s">
        <v>3900</v>
      </c>
      <c r="E48" s="176"/>
      <c r="F48" s="173"/>
      <c r="G48" s="107">
        <f t="shared" si="1"/>
        <v>0</v>
      </c>
      <c r="H48" s="107">
        <f>DVUD!K48</f>
        <v>0</v>
      </c>
      <c r="I48" s="213"/>
      <c r="J48" s="70"/>
    </row>
    <row r="49" spans="1:10" ht="12.75" customHeight="1" x14ac:dyDescent="0.2">
      <c r="A49" s="72"/>
      <c r="B49" s="72" t="s">
        <v>3883</v>
      </c>
      <c r="C49" s="38">
        <f t="shared" si="2"/>
        <v>0</v>
      </c>
      <c r="D49" s="31" t="s">
        <v>5424</v>
      </c>
      <c r="E49" s="176"/>
      <c r="F49" s="173"/>
      <c r="G49" s="107">
        <f t="shared" si="1"/>
        <v>0</v>
      </c>
      <c r="H49" s="107">
        <f>DVUD!K49</f>
        <v>0</v>
      </c>
      <c r="I49" s="213"/>
      <c r="J49" s="70"/>
    </row>
    <row r="50" spans="1:10" ht="12.75" customHeight="1" x14ac:dyDescent="0.2">
      <c r="A50" s="72"/>
      <c r="B50" s="72" t="s">
        <v>3884</v>
      </c>
      <c r="C50" s="38">
        <f t="shared" si="2"/>
        <v>0</v>
      </c>
      <c r="D50" s="31" t="s">
        <v>4065</v>
      </c>
      <c r="E50" s="176"/>
      <c r="F50" s="173"/>
      <c r="G50" s="107">
        <f t="shared" si="1"/>
        <v>0</v>
      </c>
      <c r="H50" s="107">
        <f>DVUD!K50</f>
        <v>0</v>
      </c>
      <c r="I50" s="213"/>
      <c r="J50" s="70"/>
    </row>
    <row r="51" spans="1:10" ht="12.75" customHeight="1" x14ac:dyDescent="0.2">
      <c r="A51" s="72"/>
      <c r="B51" s="72" t="s">
        <v>3885</v>
      </c>
      <c r="C51" s="38">
        <f t="shared" si="2"/>
        <v>0</v>
      </c>
      <c r="D51" s="31" t="s">
        <v>5426</v>
      </c>
      <c r="E51" s="176"/>
      <c r="F51" s="173"/>
      <c r="G51" s="107">
        <f t="shared" si="1"/>
        <v>0</v>
      </c>
      <c r="H51" s="107">
        <f>DVUD!K51</f>
        <v>0</v>
      </c>
      <c r="I51" s="213"/>
      <c r="J51" s="70"/>
    </row>
    <row r="52" spans="1:10" ht="12.75" customHeight="1" x14ac:dyDescent="0.2">
      <c r="A52" s="10"/>
      <c r="B52" s="72" t="s">
        <v>3886</v>
      </c>
      <c r="C52" s="38">
        <f t="shared" si="2"/>
        <v>0</v>
      </c>
      <c r="D52" s="31" t="s">
        <v>5427</v>
      </c>
      <c r="E52" s="176"/>
      <c r="F52" s="173"/>
      <c r="G52" s="107">
        <f t="shared" si="1"/>
        <v>0</v>
      </c>
      <c r="H52" s="107">
        <f>DVUD!K52</f>
        <v>0</v>
      </c>
      <c r="I52" s="213"/>
      <c r="J52" s="70"/>
    </row>
    <row r="53" spans="1:10" ht="12.75" customHeight="1" x14ac:dyDescent="0.2">
      <c r="A53" s="10"/>
      <c r="B53" s="72" t="s">
        <v>3888</v>
      </c>
      <c r="C53" s="38">
        <f t="shared" si="2"/>
        <v>0</v>
      </c>
      <c r="D53" s="31" t="s">
        <v>5428</v>
      </c>
      <c r="E53" s="176"/>
      <c r="F53" s="173"/>
      <c r="G53" s="107">
        <f t="shared" si="1"/>
        <v>0</v>
      </c>
      <c r="H53" s="107">
        <f>DVUD!K53</f>
        <v>0</v>
      </c>
      <c r="I53" s="213"/>
      <c r="J53" s="70"/>
    </row>
    <row r="54" spans="1:10" ht="12.75" customHeight="1" x14ac:dyDescent="0.2">
      <c r="A54" s="72"/>
      <c r="B54" s="72"/>
      <c r="C54" s="38">
        <f t="shared" si="2"/>
        <v>0</v>
      </c>
      <c r="D54" s="31"/>
      <c r="E54" s="176"/>
      <c r="F54" s="173"/>
      <c r="G54" s="107">
        <f t="shared" si="1"/>
        <v>0</v>
      </c>
      <c r="H54" s="107">
        <f>DVUD!K54</f>
        <v>0</v>
      </c>
      <c r="I54" s="213"/>
      <c r="J54" s="70"/>
    </row>
    <row r="55" spans="1:10" ht="12.75" customHeight="1" x14ac:dyDescent="0.2">
      <c r="A55" s="72"/>
      <c r="B55" s="72"/>
      <c r="C55" s="38">
        <f t="shared" si="2"/>
        <v>0</v>
      </c>
      <c r="D55" s="31"/>
      <c r="E55" s="176"/>
      <c r="F55" s="173"/>
      <c r="G55" s="107">
        <f t="shared" si="1"/>
        <v>0</v>
      </c>
      <c r="H55" s="107">
        <f>DVUD!K55</f>
        <v>0</v>
      </c>
      <c r="I55" s="213"/>
      <c r="J55" s="70"/>
    </row>
    <row r="56" spans="1:10" ht="12.75" customHeight="1" x14ac:dyDescent="0.2">
      <c r="A56" s="72"/>
      <c r="B56" s="72">
        <v>44</v>
      </c>
      <c r="C56" s="38">
        <f t="shared" si="2"/>
        <v>0</v>
      </c>
      <c r="D56" s="31" t="s">
        <v>5432</v>
      </c>
      <c r="E56" s="176"/>
      <c r="F56" s="173"/>
      <c r="G56" s="107">
        <f t="shared" si="1"/>
        <v>0</v>
      </c>
      <c r="H56" s="107">
        <f>DVUD!K56</f>
        <v>0</v>
      </c>
      <c r="I56" s="213"/>
      <c r="J56" s="70"/>
    </row>
    <row r="57" spans="1:10" ht="12.75" customHeight="1" x14ac:dyDescent="0.2">
      <c r="A57" s="10"/>
      <c r="B57" s="72" t="s">
        <v>3890</v>
      </c>
      <c r="C57" s="38">
        <f t="shared" si="2"/>
        <v>0</v>
      </c>
      <c r="D57" s="31" t="s">
        <v>5433</v>
      </c>
      <c r="E57" s="176"/>
      <c r="F57" s="173"/>
      <c r="G57" s="107">
        <f t="shared" si="1"/>
        <v>0</v>
      </c>
      <c r="H57" s="107">
        <f>DVUD!K57</f>
        <v>0</v>
      </c>
      <c r="I57" s="213"/>
      <c r="J57" s="70"/>
    </row>
    <row r="58" spans="1:10" ht="12.75" customHeight="1" x14ac:dyDescent="0.2">
      <c r="A58" s="10"/>
      <c r="B58" s="72" t="s">
        <v>3891</v>
      </c>
      <c r="C58" s="38">
        <f t="shared" si="2"/>
        <v>0</v>
      </c>
      <c r="D58" s="31" t="s">
        <v>3908</v>
      </c>
      <c r="E58" s="176"/>
      <c r="F58" s="173"/>
      <c r="G58" s="107">
        <f t="shared" si="1"/>
        <v>0</v>
      </c>
      <c r="H58" s="107">
        <f>DVUD!K58</f>
        <v>0</v>
      </c>
      <c r="I58" s="213"/>
      <c r="J58" s="70"/>
    </row>
    <row r="59" spans="1:10" ht="12.75" customHeight="1" x14ac:dyDescent="0.2">
      <c r="A59" s="72"/>
      <c r="B59" s="72" t="s">
        <v>3893</v>
      </c>
      <c r="C59" s="38">
        <f t="shared" si="2"/>
        <v>0</v>
      </c>
      <c r="D59" s="31" t="s">
        <v>3910</v>
      </c>
      <c r="E59" s="176"/>
      <c r="F59" s="173"/>
      <c r="G59" s="107">
        <f t="shared" si="1"/>
        <v>0</v>
      </c>
      <c r="H59" s="107">
        <f>DVUD!K59</f>
        <v>0</v>
      </c>
      <c r="I59" s="213"/>
      <c r="J59" s="70"/>
    </row>
    <row r="60" spans="1:10" ht="12.75" customHeight="1" x14ac:dyDescent="0.2">
      <c r="A60" s="72"/>
      <c r="B60" s="72" t="s">
        <v>3894</v>
      </c>
      <c r="C60" s="38">
        <f t="shared" si="2"/>
        <v>0</v>
      </c>
      <c r="D60" s="31" t="s">
        <v>5434</v>
      </c>
      <c r="E60" s="176"/>
      <c r="F60" s="173"/>
      <c r="G60" s="107">
        <f t="shared" si="1"/>
        <v>0</v>
      </c>
      <c r="H60" s="107">
        <f>DVUD!K60</f>
        <v>0</v>
      </c>
      <c r="I60" s="213"/>
      <c r="J60" s="70"/>
    </row>
    <row r="61" spans="1:10" ht="12.75" customHeight="1" x14ac:dyDescent="0.2">
      <c r="A61" s="72"/>
      <c r="B61" s="72" t="s">
        <v>3896</v>
      </c>
      <c r="C61" s="38">
        <f t="shared" si="2"/>
        <v>0</v>
      </c>
      <c r="D61" s="31" t="s">
        <v>4025</v>
      </c>
      <c r="E61" s="176"/>
      <c r="F61" s="173"/>
      <c r="G61" s="107">
        <f t="shared" si="1"/>
        <v>0</v>
      </c>
      <c r="H61" s="107">
        <f>DVUD!K61</f>
        <v>0</v>
      </c>
      <c r="I61" s="213"/>
      <c r="J61" s="70"/>
    </row>
    <row r="62" spans="1:10" ht="12.75" customHeight="1" x14ac:dyDescent="0.2">
      <c r="A62" s="72"/>
      <c r="B62" s="72" t="s">
        <v>3897</v>
      </c>
      <c r="C62" s="38">
        <f t="shared" si="2"/>
        <v>0</v>
      </c>
      <c r="D62" s="31" t="s">
        <v>5436</v>
      </c>
      <c r="E62" s="176"/>
      <c r="F62" s="173"/>
      <c r="G62" s="107">
        <f t="shared" si="1"/>
        <v>0</v>
      </c>
      <c r="H62" s="107">
        <f>DVUD!K62</f>
        <v>0</v>
      </c>
      <c r="I62" s="213"/>
      <c r="J62" s="70"/>
    </row>
    <row r="63" spans="1:10" ht="12.75" customHeight="1" x14ac:dyDescent="0.2">
      <c r="A63" s="72"/>
      <c r="B63" s="72"/>
      <c r="C63" s="38">
        <f t="shared" si="2"/>
        <v>0</v>
      </c>
      <c r="D63" s="31"/>
      <c r="E63" s="176"/>
      <c r="F63" s="173"/>
      <c r="G63" s="107">
        <f t="shared" si="1"/>
        <v>0</v>
      </c>
      <c r="H63" s="107">
        <f>DVUD!K63</f>
        <v>0</v>
      </c>
      <c r="I63" s="213"/>
      <c r="J63" s="70"/>
    </row>
    <row r="64" spans="1:10" ht="12.75" customHeight="1" x14ac:dyDescent="0.2">
      <c r="A64" s="72"/>
      <c r="B64" s="72"/>
      <c r="C64" s="38">
        <f t="shared" si="2"/>
        <v>0</v>
      </c>
      <c r="D64" s="31"/>
      <c r="E64" s="176"/>
      <c r="F64" s="173"/>
      <c r="G64" s="107">
        <f t="shared" si="1"/>
        <v>0</v>
      </c>
      <c r="H64" s="107">
        <f>DVUD!K64</f>
        <v>0</v>
      </c>
      <c r="I64" s="213"/>
      <c r="J64" s="70"/>
    </row>
    <row r="65" spans="1:10" ht="12.75" customHeight="1" x14ac:dyDescent="0.2">
      <c r="A65" s="10"/>
      <c r="B65" s="72" t="s">
        <v>3898</v>
      </c>
      <c r="C65" s="38">
        <f t="shared" si="2"/>
        <v>0</v>
      </c>
      <c r="D65" s="31" t="s">
        <v>4068</v>
      </c>
      <c r="E65" s="176"/>
      <c r="F65" s="173"/>
      <c r="G65" s="107">
        <f t="shared" si="1"/>
        <v>0</v>
      </c>
      <c r="H65" s="107">
        <f>DVUD!K65</f>
        <v>0</v>
      </c>
      <c r="I65" s="213"/>
      <c r="J65" s="70"/>
    </row>
    <row r="66" spans="1:10" ht="12.75" customHeight="1" x14ac:dyDescent="0.2">
      <c r="A66" s="72"/>
      <c r="B66" s="72" t="s">
        <v>3899</v>
      </c>
      <c r="C66" s="38">
        <f t="shared" si="2"/>
        <v>0</v>
      </c>
      <c r="D66" s="31" t="s">
        <v>5437</v>
      </c>
      <c r="E66" s="176"/>
      <c r="F66" s="173"/>
      <c r="G66" s="107">
        <f t="shared" si="1"/>
        <v>0</v>
      </c>
      <c r="H66" s="107">
        <f>DVUD!K66</f>
        <v>0</v>
      </c>
      <c r="I66" s="213"/>
      <c r="J66" s="70"/>
    </row>
    <row r="67" spans="1:10" ht="12.75" customHeight="1" x14ac:dyDescent="0.2">
      <c r="A67" s="72"/>
      <c r="B67" s="72" t="s">
        <v>3901</v>
      </c>
      <c r="C67" s="38">
        <f t="shared" si="2"/>
        <v>0</v>
      </c>
      <c r="D67" s="31" t="s">
        <v>5438</v>
      </c>
      <c r="E67" s="176"/>
      <c r="F67" s="173"/>
      <c r="G67" s="107">
        <f t="shared" si="1"/>
        <v>0</v>
      </c>
      <c r="H67" s="107">
        <f>DVUD!K67</f>
        <v>0</v>
      </c>
      <c r="I67" s="213"/>
      <c r="J67" s="70"/>
    </row>
    <row r="68" spans="1:10" ht="12.75" customHeight="1" x14ac:dyDescent="0.2">
      <c r="A68" s="10"/>
      <c r="B68" s="72" t="s">
        <v>3902</v>
      </c>
      <c r="C68" s="38">
        <f t="shared" si="2"/>
        <v>0</v>
      </c>
      <c r="D68" s="31" t="s">
        <v>3264</v>
      </c>
      <c r="E68" s="176"/>
      <c r="F68" s="173"/>
      <c r="G68" s="107">
        <f t="shared" si="1"/>
        <v>0</v>
      </c>
      <c r="H68" s="107">
        <f>DVUD!K68</f>
        <v>0</v>
      </c>
      <c r="I68" s="213"/>
      <c r="J68" s="70"/>
    </row>
    <row r="69" spans="1:10" ht="12.75" customHeight="1" x14ac:dyDescent="0.2">
      <c r="A69" s="10"/>
      <c r="B69" s="72" t="s">
        <v>3903</v>
      </c>
      <c r="C69" s="38">
        <f t="shared" si="2"/>
        <v>0</v>
      </c>
      <c r="D69" s="31" t="s">
        <v>5439</v>
      </c>
      <c r="E69" s="176"/>
      <c r="F69" s="173"/>
      <c r="G69" s="107">
        <f t="shared" si="1"/>
        <v>0</v>
      </c>
      <c r="H69" s="107">
        <f>DVUD!K69</f>
        <v>0</v>
      </c>
      <c r="I69" s="213"/>
      <c r="J69" s="70"/>
    </row>
    <row r="70" spans="1:10" ht="12.75" customHeight="1" x14ac:dyDescent="0.2">
      <c r="A70" s="72"/>
      <c r="B70" s="72" t="s">
        <v>3905</v>
      </c>
      <c r="C70" s="38">
        <f t="shared" si="2"/>
        <v>0</v>
      </c>
      <c r="D70" s="31" t="s">
        <v>3887</v>
      </c>
      <c r="E70" s="176"/>
      <c r="F70" s="173"/>
      <c r="G70" s="107">
        <f t="shared" si="1"/>
        <v>0</v>
      </c>
      <c r="H70" s="107">
        <f>DVUD!K70</f>
        <v>0</v>
      </c>
      <c r="I70" s="213"/>
      <c r="J70" s="70"/>
    </row>
    <row r="71" spans="1:10" ht="12.75" customHeight="1" x14ac:dyDescent="0.2">
      <c r="A71" s="10"/>
      <c r="B71" s="72" t="s">
        <v>3907</v>
      </c>
      <c r="C71" s="38">
        <f t="shared" si="2"/>
        <v>0</v>
      </c>
      <c r="D71" s="31" t="s">
        <v>5440</v>
      </c>
      <c r="E71" s="176"/>
      <c r="F71" s="173"/>
      <c r="G71" s="107">
        <f t="shared" si="1"/>
        <v>0</v>
      </c>
      <c r="H71" s="107">
        <f>DVUD!K71</f>
        <v>0</v>
      </c>
      <c r="I71" s="213"/>
      <c r="J71" s="70"/>
    </row>
    <row r="72" spans="1:10" ht="12.75" customHeight="1" x14ac:dyDescent="0.2">
      <c r="A72" s="72"/>
      <c r="B72" s="72" t="s">
        <v>3909</v>
      </c>
      <c r="C72" s="38">
        <f t="shared" si="2"/>
        <v>0</v>
      </c>
      <c r="D72" s="31" t="s">
        <v>5441</v>
      </c>
      <c r="E72" s="176"/>
      <c r="F72" s="173"/>
      <c r="G72" s="107">
        <f t="shared" si="1"/>
        <v>0</v>
      </c>
      <c r="H72" s="107">
        <f>DVUD!K72</f>
        <v>0</v>
      </c>
      <c r="I72" s="213"/>
      <c r="J72" s="70"/>
    </row>
    <row r="73" spans="1:10" ht="12.75" customHeight="1" x14ac:dyDescent="0.2">
      <c r="A73" s="10"/>
      <c r="B73" s="72" t="s">
        <v>3911</v>
      </c>
      <c r="C73" s="38">
        <f t="shared" ref="C73:C91" si="3">A73</f>
        <v>0</v>
      </c>
      <c r="D73" s="31" t="s">
        <v>5442</v>
      </c>
      <c r="E73" s="176"/>
      <c r="F73" s="173"/>
      <c r="G73" s="107">
        <f t="shared" si="1"/>
        <v>0</v>
      </c>
      <c r="H73" s="107">
        <f>DVUD!K73</f>
        <v>0</v>
      </c>
      <c r="I73" s="213"/>
      <c r="J73" s="70"/>
    </row>
    <row r="74" spans="1:10" ht="12.75" customHeight="1" x14ac:dyDescent="0.2">
      <c r="A74" s="64"/>
      <c r="B74" s="72" t="s">
        <v>3913</v>
      </c>
      <c r="C74" s="38">
        <f t="shared" si="3"/>
        <v>0</v>
      </c>
      <c r="D74" s="31" t="s">
        <v>5443</v>
      </c>
      <c r="E74" s="176"/>
      <c r="F74" s="173"/>
      <c r="G74" s="107">
        <f t="shared" si="1"/>
        <v>0</v>
      </c>
      <c r="H74" s="107">
        <f>DVUD!K74</f>
        <v>0</v>
      </c>
      <c r="I74" s="213"/>
      <c r="J74" s="70"/>
    </row>
    <row r="75" spans="1:10" ht="12.75" customHeight="1" x14ac:dyDescent="0.2">
      <c r="A75" s="61"/>
      <c r="B75" s="72" t="s">
        <v>3915</v>
      </c>
      <c r="C75" s="38">
        <f t="shared" si="3"/>
        <v>0</v>
      </c>
      <c r="D75" s="31" t="s">
        <v>5444</v>
      </c>
      <c r="E75" s="176"/>
      <c r="F75" s="173"/>
      <c r="G75" s="107">
        <f t="shared" ref="G75:G76" si="4">H75</f>
        <v>0</v>
      </c>
      <c r="H75" s="107">
        <f>DVUD!K75</f>
        <v>0</v>
      </c>
      <c r="I75" s="213"/>
      <c r="J75" s="70"/>
    </row>
    <row r="76" spans="1:10" ht="12.75" customHeight="1" x14ac:dyDescent="0.2">
      <c r="A76" s="10"/>
      <c r="B76" s="72" t="s">
        <v>3916</v>
      </c>
      <c r="C76" s="38">
        <f t="shared" si="3"/>
        <v>0</v>
      </c>
      <c r="D76" s="31" t="s">
        <v>5445</v>
      </c>
      <c r="E76" s="176"/>
      <c r="F76" s="173"/>
      <c r="G76" s="107">
        <f t="shared" si="4"/>
        <v>0</v>
      </c>
      <c r="H76" s="107">
        <f>DVUD!K76</f>
        <v>0</v>
      </c>
      <c r="I76" s="213"/>
      <c r="J76" s="70"/>
    </row>
    <row r="77" spans="1:10" ht="12.75" customHeight="1" x14ac:dyDescent="0.2">
      <c r="A77" s="10"/>
      <c r="B77" s="72" t="s">
        <v>3917</v>
      </c>
      <c r="C77" s="38">
        <f t="shared" si="3"/>
        <v>0</v>
      </c>
      <c r="D77" s="31" t="s">
        <v>3878</v>
      </c>
      <c r="E77" s="176"/>
      <c r="F77" s="173"/>
      <c r="G77" s="107">
        <f t="shared" ref="G77:G91" si="5">H77</f>
        <v>0</v>
      </c>
      <c r="H77" s="107">
        <f>DVUD!K77</f>
        <v>0</v>
      </c>
      <c r="I77" s="213"/>
      <c r="J77" s="70"/>
    </row>
    <row r="78" spans="1:10" ht="12.75" customHeight="1" x14ac:dyDescent="0.2">
      <c r="A78" s="10"/>
      <c r="B78" s="72" t="s">
        <v>3918</v>
      </c>
      <c r="C78" s="38">
        <f t="shared" si="3"/>
        <v>0</v>
      </c>
      <c r="D78" s="31" t="s">
        <v>5446</v>
      </c>
      <c r="E78" s="176"/>
      <c r="F78" s="173"/>
      <c r="G78" s="107">
        <f t="shared" si="5"/>
        <v>0</v>
      </c>
      <c r="H78" s="107">
        <f>DVUD!K78</f>
        <v>0</v>
      </c>
      <c r="I78" s="213"/>
      <c r="J78" s="70"/>
    </row>
    <row r="79" spans="1:10" ht="12.75" customHeight="1" x14ac:dyDescent="0.2">
      <c r="A79" s="72"/>
      <c r="B79" s="72" t="s">
        <v>3919</v>
      </c>
      <c r="C79" s="38">
        <f t="shared" si="3"/>
        <v>0</v>
      </c>
      <c r="D79" s="31" t="s">
        <v>5447</v>
      </c>
      <c r="E79" s="176"/>
      <c r="F79" s="173"/>
      <c r="G79" s="107">
        <f t="shared" si="5"/>
        <v>0</v>
      </c>
      <c r="H79" s="107">
        <f>DVUD!K79</f>
        <v>0</v>
      </c>
      <c r="I79" s="213"/>
      <c r="J79" s="70"/>
    </row>
    <row r="80" spans="1:10" ht="12.75" customHeight="1" x14ac:dyDescent="0.2">
      <c r="A80" s="72" t="s">
        <v>3535</v>
      </c>
      <c r="B80" s="72" t="s">
        <v>5448</v>
      </c>
      <c r="C80" s="38" t="str">
        <f t="shared" si="3"/>
        <v>29 Jan</v>
      </c>
      <c r="D80" s="31" t="s">
        <v>3256</v>
      </c>
      <c r="E80" s="176"/>
      <c r="F80" s="173"/>
      <c r="G80" s="107">
        <f t="shared" si="5"/>
        <v>0</v>
      </c>
      <c r="H80" s="107">
        <f>DVUD!K80</f>
        <v>0</v>
      </c>
      <c r="I80" s="213"/>
      <c r="J80" s="70"/>
    </row>
    <row r="81" spans="1:10" ht="12.75" customHeight="1" x14ac:dyDescent="0.2">
      <c r="A81" s="72"/>
      <c r="B81" s="72"/>
      <c r="C81" s="38">
        <f t="shared" si="3"/>
        <v>0</v>
      </c>
      <c r="D81" s="31"/>
      <c r="E81" s="176"/>
      <c r="F81" s="173"/>
      <c r="G81" s="107">
        <f t="shared" si="5"/>
        <v>0</v>
      </c>
      <c r="H81" s="107">
        <f>DVUD!K81</f>
        <v>0</v>
      </c>
      <c r="I81" s="213"/>
      <c r="J81" s="70"/>
    </row>
    <row r="82" spans="1:10" ht="12.75" customHeight="1" x14ac:dyDescent="0.2">
      <c r="A82" s="72"/>
      <c r="B82" s="72"/>
      <c r="C82" s="38">
        <f t="shared" si="3"/>
        <v>0</v>
      </c>
      <c r="D82" s="31"/>
      <c r="E82" s="176"/>
      <c r="F82" s="173"/>
      <c r="G82" s="107">
        <f t="shared" si="5"/>
        <v>0</v>
      </c>
      <c r="H82" s="107">
        <f>DVUD!K82</f>
        <v>0</v>
      </c>
      <c r="I82" s="213"/>
      <c r="J82" s="70"/>
    </row>
    <row r="83" spans="1:10" ht="12.75" customHeight="1" x14ac:dyDescent="0.2">
      <c r="A83" s="72"/>
      <c r="B83" s="72" t="s">
        <v>5451</v>
      </c>
      <c r="C83" s="38">
        <f t="shared" si="3"/>
        <v>0</v>
      </c>
      <c r="D83" s="31" t="s">
        <v>5452</v>
      </c>
      <c r="E83" s="176"/>
      <c r="F83" s="173"/>
      <c r="G83" s="107">
        <f t="shared" si="5"/>
        <v>0</v>
      </c>
      <c r="H83" s="107">
        <f>DVUD!K83</f>
        <v>0</v>
      </c>
      <c r="I83" s="213"/>
      <c r="J83" s="70"/>
    </row>
    <row r="84" spans="1:10" ht="12.75" customHeight="1" x14ac:dyDescent="0.2">
      <c r="A84" s="72"/>
      <c r="B84" s="72" t="s">
        <v>5453</v>
      </c>
      <c r="C84" s="38">
        <f t="shared" si="3"/>
        <v>0</v>
      </c>
      <c r="D84" s="31" t="s">
        <v>3889</v>
      </c>
      <c r="E84" s="176"/>
      <c r="F84" s="173"/>
      <c r="G84" s="107">
        <f t="shared" si="5"/>
        <v>0</v>
      </c>
      <c r="H84" s="107">
        <f>DVUD!K84</f>
        <v>0</v>
      </c>
      <c r="I84" s="213"/>
      <c r="J84" s="70"/>
    </row>
    <row r="85" spans="1:10" ht="12.75" customHeight="1" x14ac:dyDescent="0.2">
      <c r="A85" s="72"/>
      <c r="B85" s="72"/>
      <c r="C85" s="38">
        <f t="shared" si="3"/>
        <v>0</v>
      </c>
      <c r="D85" s="31"/>
      <c r="E85" s="176"/>
      <c r="F85" s="173"/>
      <c r="G85" s="107">
        <f t="shared" si="5"/>
        <v>0</v>
      </c>
      <c r="H85" s="107">
        <f>DVUD!K85</f>
        <v>0</v>
      </c>
      <c r="I85" s="213"/>
      <c r="J85" s="70"/>
    </row>
    <row r="86" spans="1:10" ht="12.75" customHeight="1" x14ac:dyDescent="0.2">
      <c r="A86" s="72"/>
      <c r="B86" s="72"/>
      <c r="C86" s="38">
        <f t="shared" si="3"/>
        <v>0</v>
      </c>
      <c r="D86" s="31"/>
      <c r="E86" s="176"/>
      <c r="F86" s="173"/>
      <c r="G86" s="107">
        <f t="shared" si="5"/>
        <v>0</v>
      </c>
      <c r="H86" s="107">
        <f>DVUD!K86</f>
        <v>0</v>
      </c>
      <c r="I86" s="213"/>
      <c r="J86" s="70"/>
    </row>
    <row r="87" spans="1:10" ht="12.75" customHeight="1" x14ac:dyDescent="0.2">
      <c r="A87" s="72"/>
      <c r="B87" s="72" t="s">
        <v>5455</v>
      </c>
      <c r="C87" s="38">
        <f t="shared" si="3"/>
        <v>0</v>
      </c>
      <c r="D87" s="31" t="s">
        <v>3892</v>
      </c>
      <c r="E87" s="176"/>
      <c r="F87" s="173"/>
      <c r="G87" s="107">
        <f t="shared" si="5"/>
        <v>0</v>
      </c>
      <c r="H87" s="107">
        <f>DVUD!K87</f>
        <v>0</v>
      </c>
      <c r="I87" s="213"/>
      <c r="J87" s="70"/>
    </row>
    <row r="88" spans="1:10" ht="12.75" customHeight="1" x14ac:dyDescent="0.2">
      <c r="A88" s="72"/>
      <c r="B88" s="72" t="s">
        <v>5456</v>
      </c>
      <c r="C88" s="38">
        <f t="shared" si="3"/>
        <v>0</v>
      </c>
      <c r="D88" s="31" t="s">
        <v>5457</v>
      </c>
      <c r="E88" s="176"/>
      <c r="F88" s="173"/>
      <c r="G88" s="107">
        <f t="shared" si="5"/>
        <v>0</v>
      </c>
      <c r="H88" s="107">
        <f>DVUD!K88</f>
        <v>0</v>
      </c>
      <c r="I88" s="213"/>
      <c r="J88" s="70"/>
    </row>
    <row r="89" spans="1:10" ht="12.75" customHeight="1" x14ac:dyDescent="0.2">
      <c r="A89" s="72"/>
      <c r="B89" s="72">
        <v>71</v>
      </c>
      <c r="C89" s="38">
        <f t="shared" si="3"/>
        <v>0</v>
      </c>
      <c r="D89" s="31" t="s">
        <v>5458</v>
      </c>
      <c r="E89" s="176"/>
      <c r="F89" s="173"/>
      <c r="G89" s="107">
        <f t="shared" si="5"/>
        <v>0</v>
      </c>
      <c r="H89" s="107">
        <f>DVUD!K89</f>
        <v>0</v>
      </c>
      <c r="I89" s="213"/>
      <c r="J89" s="70"/>
    </row>
    <row r="90" spans="1:10" ht="12.75" customHeight="1" x14ac:dyDescent="0.2">
      <c r="A90" s="72"/>
      <c r="B90" s="72" t="s">
        <v>5459</v>
      </c>
      <c r="C90" s="38">
        <f t="shared" si="3"/>
        <v>0</v>
      </c>
      <c r="D90" s="31" t="s">
        <v>3878</v>
      </c>
      <c r="E90" s="176"/>
      <c r="F90" s="173"/>
      <c r="G90" s="107">
        <f t="shared" si="5"/>
        <v>0</v>
      </c>
      <c r="H90" s="107">
        <f>DVUD!K90</f>
        <v>0</v>
      </c>
      <c r="I90" s="213"/>
      <c r="J90" s="70"/>
    </row>
    <row r="91" spans="1:10" ht="12.75" customHeight="1" x14ac:dyDescent="0.2">
      <c r="A91" s="72"/>
      <c r="B91" s="72" t="s">
        <v>5460</v>
      </c>
      <c r="C91" s="38">
        <f t="shared" si="3"/>
        <v>0</v>
      </c>
      <c r="D91" s="31" t="s">
        <v>5461</v>
      </c>
      <c r="E91" s="176"/>
      <c r="F91" s="173"/>
      <c r="G91" s="107">
        <f t="shared" si="5"/>
        <v>0</v>
      </c>
      <c r="H91" s="107">
        <f>DVUD!K91</f>
        <v>0</v>
      </c>
      <c r="I91" s="213"/>
      <c r="J91" s="70"/>
    </row>
    <row r="92" spans="1:10" ht="23.25" customHeight="1" thickBot="1" x14ac:dyDescent="0.25">
      <c r="A92" s="712" t="s">
        <v>15</v>
      </c>
      <c r="B92" s="713"/>
      <c r="C92" s="713"/>
      <c r="D92" s="713"/>
      <c r="E92" s="713"/>
      <c r="F92" s="714"/>
      <c r="G92" s="302">
        <f>SUM(G9:G91)</f>
        <v>0</v>
      </c>
      <c r="H92" s="302">
        <f>SUM(H9:H91)</f>
        <v>0</v>
      </c>
      <c r="I92" s="302">
        <f>SUM(I35:I91)</f>
        <v>0</v>
      </c>
      <c r="J92" s="70"/>
    </row>
    <row r="93" spans="1:10" ht="12.75" customHeight="1" x14ac:dyDescent="0.2">
      <c r="G93" s="46"/>
      <c r="H93" s="46"/>
      <c r="I93" s="46"/>
      <c r="J93" s="70"/>
    </row>
    <row r="94" spans="1:10" ht="12.75" customHeight="1" x14ac:dyDescent="0.2">
      <c r="A94" s="687"/>
      <c r="B94" s="687"/>
      <c r="C94" s="687"/>
      <c r="D94" s="687"/>
      <c r="E94" s="143"/>
      <c r="F94" s="143"/>
      <c r="G94" s="708" t="s">
        <v>3537</v>
      </c>
      <c r="H94" s="708"/>
      <c r="I94" s="708"/>
      <c r="J94" s="70"/>
    </row>
    <row r="95" spans="1:10" ht="12.75" customHeight="1" x14ac:dyDescent="0.2">
      <c r="A95" s="687"/>
      <c r="B95" s="687"/>
      <c r="C95" s="687"/>
      <c r="D95" s="687"/>
      <c r="E95" s="143"/>
      <c r="F95" s="143"/>
      <c r="G95" s="708" t="s">
        <v>3783</v>
      </c>
      <c r="H95" s="708"/>
      <c r="I95" s="708"/>
      <c r="J95" s="70"/>
    </row>
    <row r="96" spans="1:10" ht="12.75" customHeight="1" x14ac:dyDescent="0.2">
      <c r="A96" s="305"/>
      <c r="B96" s="305"/>
      <c r="C96" s="305"/>
      <c r="D96" s="305"/>
      <c r="E96" s="143"/>
      <c r="F96" s="143"/>
      <c r="G96" s="308"/>
      <c r="H96" s="308"/>
      <c r="I96" s="308"/>
      <c r="J96" s="70"/>
    </row>
    <row r="97" spans="1:10" ht="12.75" customHeight="1" x14ac:dyDescent="0.2">
      <c r="A97" s="687"/>
      <c r="B97" s="687"/>
      <c r="C97" s="687"/>
      <c r="D97" s="687"/>
      <c r="E97" s="143"/>
      <c r="F97" s="143"/>
      <c r="G97" s="708"/>
      <c r="H97" s="708"/>
      <c r="I97" s="708"/>
      <c r="J97" s="70"/>
    </row>
    <row r="98" spans="1:10" ht="12.75" customHeight="1" x14ac:dyDescent="0.2">
      <c r="A98" s="687"/>
      <c r="B98" s="687"/>
      <c r="C98" s="687"/>
      <c r="D98" s="687"/>
      <c r="E98" s="143"/>
      <c r="F98" s="143"/>
      <c r="G98" s="708"/>
      <c r="H98" s="708"/>
      <c r="I98" s="708"/>
      <c r="J98" s="70"/>
    </row>
    <row r="99" spans="1:10" ht="12.75" customHeight="1" x14ac:dyDescent="0.2">
      <c r="A99" s="709"/>
      <c r="B99" s="709"/>
      <c r="C99" s="709"/>
      <c r="D99" s="709"/>
      <c r="E99" s="233"/>
      <c r="F99" s="233"/>
      <c r="G99" s="700" t="s">
        <v>3538</v>
      </c>
      <c r="H99" s="700"/>
      <c r="I99" s="700"/>
      <c r="J99" s="70"/>
    </row>
    <row r="100" spans="1:10" ht="12.75" customHeight="1" x14ac:dyDescent="0.2">
      <c r="A100" s="626"/>
      <c r="B100" s="626"/>
      <c r="C100" s="626"/>
      <c r="D100" s="626"/>
      <c r="G100" s="715"/>
      <c r="H100" s="715"/>
      <c r="I100" s="715"/>
      <c r="J100" s="70"/>
    </row>
    <row r="101" spans="1:10" ht="12.75" customHeight="1" x14ac:dyDescent="0.2">
      <c r="A101" s="626"/>
      <c r="B101" s="626"/>
      <c r="C101" s="626"/>
      <c r="D101" s="626"/>
      <c r="G101" s="715"/>
      <c r="H101" s="715"/>
      <c r="I101" s="715"/>
      <c r="J101" s="70"/>
    </row>
    <row r="102" spans="1:10" ht="12.75" customHeight="1" x14ac:dyDescent="0.2">
      <c r="G102" s="47"/>
      <c r="H102" s="47"/>
      <c r="I102" s="47"/>
      <c r="J102" s="70"/>
    </row>
    <row r="103" spans="1:10" ht="12.75" customHeight="1" x14ac:dyDescent="0.2">
      <c r="G103" s="47"/>
      <c r="H103" s="47"/>
      <c r="I103" s="47"/>
      <c r="J103" s="70"/>
    </row>
    <row r="104" spans="1:10" ht="12.75" customHeight="1" x14ac:dyDescent="0.2">
      <c r="G104" s="47"/>
      <c r="H104" s="47"/>
      <c r="I104" s="47"/>
      <c r="J104" s="70"/>
    </row>
    <row r="105" spans="1:10" ht="12.75" customHeight="1" x14ac:dyDescent="0.2">
      <c r="G105" s="47"/>
      <c r="H105" s="47"/>
      <c r="I105" s="47"/>
      <c r="J105" s="70"/>
    </row>
    <row r="106" spans="1:10" ht="12.75" customHeight="1" x14ac:dyDescent="0.2">
      <c r="G106" s="47"/>
      <c r="H106" s="47"/>
      <c r="I106" s="47"/>
      <c r="J106" s="70"/>
    </row>
    <row r="107" spans="1:10" ht="12.75" customHeight="1" x14ac:dyDescent="0.2">
      <c r="G107" s="47"/>
      <c r="H107" s="47"/>
      <c r="I107" s="47"/>
      <c r="J107" s="70"/>
    </row>
    <row r="108" spans="1:10" ht="12.75" customHeight="1" x14ac:dyDescent="0.2">
      <c r="G108" s="47"/>
      <c r="H108" s="47"/>
      <c r="I108" s="47"/>
      <c r="J108" s="70"/>
    </row>
    <row r="109" spans="1:10" ht="12.75" customHeight="1" x14ac:dyDescent="0.2">
      <c r="G109" s="47"/>
      <c r="H109" s="47"/>
      <c r="I109" s="47"/>
      <c r="J109" s="70"/>
    </row>
    <row r="110" spans="1:10" ht="12.75" customHeight="1" x14ac:dyDescent="0.2">
      <c r="G110" s="47"/>
      <c r="H110" s="47"/>
      <c r="I110" s="47"/>
      <c r="J110" s="70"/>
    </row>
    <row r="111" spans="1:10" ht="12.75" customHeight="1" x14ac:dyDescent="0.2">
      <c r="G111" s="47"/>
      <c r="H111" s="47"/>
      <c r="I111" s="47"/>
      <c r="J111" s="70"/>
    </row>
    <row r="112" spans="1:10" ht="12.75" customHeight="1" x14ac:dyDescent="0.2">
      <c r="G112" s="47"/>
      <c r="H112" s="47"/>
      <c r="I112" s="47"/>
      <c r="J112" s="70"/>
    </row>
    <row r="113" spans="1:10" ht="12.75" customHeight="1" x14ac:dyDescent="0.2">
      <c r="G113" s="47"/>
      <c r="H113" s="47"/>
      <c r="I113" s="47"/>
      <c r="J113" s="70"/>
    </row>
    <row r="114" spans="1:10" ht="12.75" customHeight="1" x14ac:dyDescent="0.2">
      <c r="C114" s="546"/>
      <c r="G114" s="47"/>
      <c r="H114" s="47"/>
      <c r="I114" s="47"/>
      <c r="J114" s="70"/>
    </row>
    <row r="115" spans="1:10" ht="12.75" customHeight="1" x14ac:dyDescent="0.2">
      <c r="C115" s="546"/>
      <c r="G115" s="47"/>
      <c r="H115" s="47"/>
      <c r="I115" s="47"/>
      <c r="J115" s="70"/>
    </row>
    <row r="116" spans="1:10" ht="12.75" customHeight="1" x14ac:dyDescent="0.2">
      <c r="C116" s="546"/>
      <c r="G116" s="47"/>
      <c r="H116" s="47"/>
      <c r="I116" s="47"/>
      <c r="J116" s="70"/>
    </row>
    <row r="117" spans="1:10" ht="12.75" customHeight="1" x14ac:dyDescent="0.2">
      <c r="A117" s="9" t="s">
        <v>0</v>
      </c>
      <c r="B117" s="9"/>
      <c r="C117" s="9"/>
      <c r="D117" s="9"/>
      <c r="E117" s="9"/>
      <c r="F117" s="9"/>
      <c r="G117" s="9"/>
      <c r="H117" s="9"/>
      <c r="I117" s="9"/>
      <c r="J117" s="70"/>
    </row>
    <row r="118" spans="1:10" ht="12.75" customHeight="1" x14ac:dyDescent="0.2">
      <c r="A118" s="9" t="s">
        <v>1</v>
      </c>
      <c r="B118" s="9"/>
      <c r="C118" s="9"/>
      <c r="D118" s="9"/>
      <c r="E118" s="9"/>
      <c r="F118" s="9"/>
      <c r="G118" s="9"/>
      <c r="H118" s="9"/>
      <c r="I118" s="9"/>
    </row>
    <row r="119" spans="1:10" ht="12.75" customHeight="1" x14ac:dyDescent="0.2">
      <c r="A119" s="9"/>
      <c r="B119" s="9"/>
      <c r="C119" s="9"/>
      <c r="D119" s="9"/>
      <c r="E119" s="9"/>
      <c r="F119" s="9"/>
      <c r="G119" s="9"/>
      <c r="H119" s="9"/>
      <c r="I119" s="9"/>
    </row>
    <row r="120" spans="1:10" ht="12.75" customHeight="1" x14ac:dyDescent="0.2">
      <c r="A120" s="643" t="s">
        <v>77</v>
      </c>
      <c r="B120" s="643"/>
      <c r="C120" s="643"/>
      <c r="D120" s="643"/>
      <c r="E120" s="643"/>
      <c r="F120" s="710"/>
      <c r="G120" s="710"/>
      <c r="H120" s="643"/>
      <c r="I120" s="643"/>
    </row>
    <row r="121" spans="1:10" ht="12.75" customHeight="1" x14ac:dyDescent="0.2">
      <c r="A121" s="643" t="s">
        <v>3555</v>
      </c>
      <c r="B121" s="643"/>
      <c r="C121" s="643"/>
      <c r="D121" s="643"/>
      <c r="E121" s="643"/>
      <c r="F121" s="710"/>
      <c r="G121" s="710"/>
      <c r="H121" s="643"/>
      <c r="I121" s="643"/>
    </row>
    <row r="122" spans="1:10" ht="12.75" customHeight="1" x14ac:dyDescent="0.2">
      <c r="A122" s="680" t="s">
        <v>3</v>
      </c>
      <c r="B122" s="701" t="s">
        <v>4</v>
      </c>
      <c r="C122" s="701"/>
      <c r="D122" s="680" t="s">
        <v>5</v>
      </c>
      <c r="E122" s="662" t="s">
        <v>6</v>
      </c>
      <c r="F122" s="711"/>
      <c r="G122" s="310" t="s">
        <v>10</v>
      </c>
      <c r="H122" s="701" t="s">
        <v>90</v>
      </c>
      <c r="I122" s="701"/>
    </row>
    <row r="123" spans="1:10" ht="12.75" customHeight="1" x14ac:dyDescent="0.2">
      <c r="A123" s="681"/>
      <c r="B123" s="680" t="s">
        <v>7</v>
      </c>
      <c r="C123" s="680" t="s">
        <v>3</v>
      </c>
      <c r="D123" s="681"/>
      <c r="E123" s="680" t="s">
        <v>8</v>
      </c>
      <c r="F123" s="680" t="s">
        <v>3</v>
      </c>
      <c r="G123" s="306" t="s">
        <v>9</v>
      </c>
      <c r="H123" s="310" t="s">
        <v>11</v>
      </c>
      <c r="I123" s="310" t="s">
        <v>3342</v>
      </c>
    </row>
    <row r="124" spans="1:10" ht="12.75" customHeight="1" x14ac:dyDescent="0.2">
      <c r="A124" s="682"/>
      <c r="B124" s="682"/>
      <c r="C124" s="682"/>
      <c r="D124" s="682"/>
      <c r="E124" s="682"/>
      <c r="F124" s="682"/>
      <c r="G124" s="310" t="s">
        <v>3312</v>
      </c>
      <c r="H124" s="307" t="s">
        <v>3343</v>
      </c>
      <c r="I124" s="307" t="s">
        <v>3344</v>
      </c>
    </row>
    <row r="125" spans="1:10" ht="12.75" customHeight="1" x14ac:dyDescent="0.2">
      <c r="A125" s="210" t="s">
        <v>3670</v>
      </c>
      <c r="B125" s="210">
        <v>74</v>
      </c>
      <c r="C125" s="211" t="str">
        <f>A125</f>
        <v>02 Feb</v>
      </c>
      <c r="D125" s="202" t="s">
        <v>5479</v>
      </c>
      <c r="E125" s="212"/>
      <c r="F125" s="60"/>
      <c r="G125" s="236"/>
      <c r="H125" s="107">
        <f>DVUD!K103</f>
        <v>0</v>
      </c>
      <c r="I125" s="90"/>
    </row>
    <row r="126" spans="1:10" ht="12.75" customHeight="1" x14ac:dyDescent="0.2">
      <c r="A126" s="72"/>
      <c r="B126" s="72">
        <v>75</v>
      </c>
      <c r="C126" s="38">
        <f>A126</f>
        <v>0</v>
      </c>
      <c r="D126" s="31" t="s">
        <v>5480</v>
      </c>
      <c r="E126" s="41"/>
      <c r="F126" s="31"/>
      <c r="G126" s="237"/>
      <c r="H126" s="107">
        <f>DVUD!K104</f>
        <v>0</v>
      </c>
      <c r="I126" s="107"/>
    </row>
    <row r="127" spans="1:10" ht="12.75" customHeight="1" x14ac:dyDescent="0.2">
      <c r="A127" s="72"/>
      <c r="B127" s="72"/>
      <c r="C127" s="38">
        <f t="shared" ref="C127:C190" si="6">A127</f>
        <v>0</v>
      </c>
      <c r="D127" s="92" t="s">
        <v>5480</v>
      </c>
      <c r="E127" s="41"/>
      <c r="F127" s="31"/>
      <c r="G127" s="237"/>
      <c r="H127" s="107">
        <f>DVUD!K105</f>
        <v>0</v>
      </c>
      <c r="I127" s="107"/>
    </row>
    <row r="128" spans="1:10" ht="12.75" customHeight="1" x14ac:dyDescent="0.2">
      <c r="A128" s="263" t="s">
        <v>3983</v>
      </c>
      <c r="B128" s="72">
        <v>76</v>
      </c>
      <c r="C128" s="38" t="str">
        <f t="shared" si="6"/>
        <v>04 Feb</v>
      </c>
      <c r="D128" s="92" t="s">
        <v>5482</v>
      </c>
      <c r="E128" s="41"/>
      <c r="F128" s="31"/>
      <c r="G128" s="237"/>
      <c r="H128" s="107">
        <f>DVUD!K106</f>
        <v>0</v>
      </c>
      <c r="I128" s="107"/>
    </row>
    <row r="129" spans="1:9" ht="12.75" customHeight="1" x14ac:dyDescent="0.2">
      <c r="A129" s="72" t="s">
        <v>3988</v>
      </c>
      <c r="B129" s="72">
        <f t="shared" ref="B129:B136" si="7">B128+1</f>
        <v>77</v>
      </c>
      <c r="C129" s="38" t="str">
        <f t="shared" si="6"/>
        <v>06 Feb</v>
      </c>
      <c r="D129" s="31" t="s">
        <v>5483</v>
      </c>
      <c r="E129" s="41"/>
      <c r="F129" s="31"/>
      <c r="G129" s="237"/>
      <c r="H129" s="107">
        <f>DVUD!K107</f>
        <v>0</v>
      </c>
      <c r="I129" s="107"/>
    </row>
    <row r="130" spans="1:9" ht="12.75" customHeight="1" x14ac:dyDescent="0.2">
      <c r="A130" s="10"/>
      <c r="B130" s="72">
        <f t="shared" si="7"/>
        <v>78</v>
      </c>
      <c r="C130" s="38">
        <f t="shared" si="6"/>
        <v>0</v>
      </c>
      <c r="D130" s="31" t="s">
        <v>5484</v>
      </c>
      <c r="E130" s="41"/>
      <c r="F130" s="31"/>
      <c r="G130" s="237"/>
      <c r="H130" s="107">
        <f>DVUD!K108</f>
        <v>0</v>
      </c>
      <c r="I130" s="107"/>
    </row>
    <row r="131" spans="1:9" ht="12.75" customHeight="1" x14ac:dyDescent="0.2">
      <c r="A131" s="72"/>
      <c r="B131" s="72">
        <f t="shared" si="7"/>
        <v>79</v>
      </c>
      <c r="C131" s="38">
        <f t="shared" si="6"/>
        <v>0</v>
      </c>
      <c r="D131" s="31" t="s">
        <v>5485</v>
      </c>
      <c r="E131" s="41"/>
      <c r="F131" s="31" t="s">
        <v>3946</v>
      </c>
      <c r="G131" s="237"/>
      <c r="H131" s="107">
        <f>DVUD!K109</f>
        <v>0</v>
      </c>
      <c r="I131" s="107"/>
    </row>
    <row r="132" spans="1:9" ht="12.75" customHeight="1" x14ac:dyDescent="0.2">
      <c r="A132" s="72" t="s">
        <v>3561</v>
      </c>
      <c r="B132" s="72">
        <f t="shared" si="7"/>
        <v>80</v>
      </c>
      <c r="C132" s="38" t="str">
        <f t="shared" si="6"/>
        <v>09 Feb</v>
      </c>
      <c r="D132" s="31" t="s">
        <v>5486</v>
      </c>
      <c r="E132" s="41"/>
      <c r="F132" s="31"/>
      <c r="G132" s="237"/>
      <c r="H132" s="107">
        <f>DVUD!K110</f>
        <v>0</v>
      </c>
      <c r="I132" s="107"/>
    </row>
    <row r="133" spans="1:9" ht="12.75" customHeight="1" x14ac:dyDescent="0.2">
      <c r="A133" s="72"/>
      <c r="B133" s="72"/>
      <c r="C133" s="38">
        <f t="shared" si="6"/>
        <v>0</v>
      </c>
      <c r="D133" s="31" t="s">
        <v>5486</v>
      </c>
      <c r="E133" s="41"/>
      <c r="F133" s="31"/>
      <c r="G133" s="237"/>
      <c r="H133" s="107">
        <f>DVUD!K111</f>
        <v>0</v>
      </c>
      <c r="I133" s="107"/>
    </row>
    <row r="134" spans="1:9" ht="12.75" customHeight="1" x14ac:dyDescent="0.2">
      <c r="A134" s="10"/>
      <c r="B134" s="72">
        <v>81</v>
      </c>
      <c r="C134" s="38">
        <f t="shared" si="6"/>
        <v>0</v>
      </c>
      <c r="D134" s="31" t="s">
        <v>5487</v>
      </c>
      <c r="E134" s="41"/>
      <c r="F134" s="31"/>
      <c r="G134" s="237"/>
      <c r="H134" s="107">
        <f>DVUD!K112</f>
        <v>0</v>
      </c>
      <c r="I134" s="107"/>
    </row>
    <row r="135" spans="1:9" ht="12.75" customHeight="1" x14ac:dyDescent="0.2">
      <c r="A135" s="10"/>
      <c r="B135" s="72">
        <f t="shared" si="7"/>
        <v>82</v>
      </c>
      <c r="C135" s="38">
        <f t="shared" si="6"/>
        <v>0</v>
      </c>
      <c r="D135" s="31" t="s">
        <v>5488</v>
      </c>
      <c r="E135" s="41"/>
      <c r="F135" s="31"/>
      <c r="G135" s="237"/>
      <c r="H135" s="107">
        <f>DVUD!K113</f>
        <v>0</v>
      </c>
      <c r="I135" s="107"/>
    </row>
    <row r="136" spans="1:9" ht="12.75" customHeight="1" x14ac:dyDescent="0.2">
      <c r="A136" s="72"/>
      <c r="B136" s="72">
        <f t="shared" si="7"/>
        <v>83</v>
      </c>
      <c r="C136" s="38">
        <f t="shared" si="6"/>
        <v>0</v>
      </c>
      <c r="D136" s="31" t="s">
        <v>5389</v>
      </c>
      <c r="E136" s="41"/>
      <c r="F136" s="31"/>
      <c r="G136" s="237"/>
      <c r="H136" s="107">
        <f>DVUD!K114</f>
        <v>0</v>
      </c>
      <c r="I136" s="107"/>
    </row>
    <row r="137" spans="1:9" ht="12.75" customHeight="1" x14ac:dyDescent="0.2">
      <c r="A137" s="72"/>
      <c r="B137" s="72">
        <v>84</v>
      </c>
      <c r="C137" s="38">
        <f t="shared" si="6"/>
        <v>0</v>
      </c>
      <c r="D137" s="31" t="s">
        <v>5489</v>
      </c>
      <c r="E137" s="41"/>
      <c r="F137" s="31"/>
      <c r="G137" s="237"/>
      <c r="H137" s="107">
        <f>DVUD!K115</f>
        <v>0</v>
      </c>
      <c r="I137" s="107"/>
    </row>
    <row r="138" spans="1:9" ht="12.75" customHeight="1" x14ac:dyDescent="0.2">
      <c r="A138" s="10"/>
      <c r="B138" s="72">
        <v>85</v>
      </c>
      <c r="C138" s="38">
        <f t="shared" si="6"/>
        <v>0</v>
      </c>
      <c r="D138" s="31" t="s">
        <v>5490</v>
      </c>
      <c r="E138" s="41"/>
      <c r="F138" s="31"/>
      <c r="G138" s="237"/>
      <c r="H138" s="107">
        <f>DVUD!K116</f>
        <v>0</v>
      </c>
      <c r="I138" s="107"/>
    </row>
    <row r="139" spans="1:9" ht="12.75" customHeight="1" x14ac:dyDescent="0.2">
      <c r="A139" s="72" t="s">
        <v>3993</v>
      </c>
      <c r="B139" s="72">
        <v>86</v>
      </c>
      <c r="C139" s="38" t="str">
        <f>A139</f>
        <v>10 Feb</v>
      </c>
      <c r="D139" s="31" t="s">
        <v>5491</v>
      </c>
      <c r="E139" s="41"/>
      <c r="F139" s="31"/>
      <c r="G139" s="237"/>
      <c r="H139" s="107">
        <f>DVUD!K117</f>
        <v>0</v>
      </c>
      <c r="I139" s="107"/>
    </row>
    <row r="140" spans="1:9" ht="12.75" customHeight="1" x14ac:dyDescent="0.2">
      <c r="A140" s="72"/>
      <c r="B140" s="72">
        <f>B139+1</f>
        <v>87</v>
      </c>
      <c r="C140" s="38">
        <f t="shared" si="6"/>
        <v>0</v>
      </c>
      <c r="D140" s="31" t="s">
        <v>5492</v>
      </c>
      <c r="E140" s="41"/>
      <c r="F140" s="31"/>
      <c r="G140" s="237"/>
      <c r="H140" s="107">
        <f>DVUD!K118</f>
        <v>0</v>
      </c>
      <c r="I140" s="107"/>
    </row>
    <row r="141" spans="1:9" ht="12.75" customHeight="1" x14ac:dyDescent="0.2">
      <c r="A141" s="263" t="s">
        <v>3995</v>
      </c>
      <c r="B141" s="72">
        <f t="shared" ref="B141:B160" si="8">B140+1</f>
        <v>88</v>
      </c>
      <c r="C141" s="38" t="str">
        <f t="shared" si="6"/>
        <v>11 Feb</v>
      </c>
      <c r="D141" s="31" t="s">
        <v>5494</v>
      </c>
      <c r="E141" s="41"/>
      <c r="F141" s="31"/>
      <c r="G141" s="237"/>
      <c r="H141" s="107">
        <f>DVUD!K119</f>
        <v>0</v>
      </c>
      <c r="I141" s="107"/>
    </row>
    <row r="142" spans="1:9" ht="12.75" customHeight="1" x14ac:dyDescent="0.2">
      <c r="A142" s="72"/>
      <c r="B142" s="72">
        <f t="shared" si="8"/>
        <v>89</v>
      </c>
      <c r="C142" s="38">
        <f t="shared" si="6"/>
        <v>0</v>
      </c>
      <c r="D142" s="31" t="s">
        <v>5496</v>
      </c>
      <c r="E142" s="41"/>
      <c r="F142" s="31"/>
      <c r="G142" s="237"/>
      <c r="H142" s="107">
        <f>DVUD!K120</f>
        <v>0</v>
      </c>
      <c r="I142" s="107"/>
    </row>
    <row r="143" spans="1:9" ht="12.75" customHeight="1" x14ac:dyDescent="0.2">
      <c r="A143" s="263"/>
      <c r="B143" s="72">
        <f t="shared" si="8"/>
        <v>90</v>
      </c>
      <c r="C143" s="38">
        <f t="shared" si="6"/>
        <v>0</v>
      </c>
      <c r="D143" s="31" t="s">
        <v>5497</v>
      </c>
      <c r="E143" s="41"/>
      <c r="F143" s="31"/>
      <c r="G143" s="237"/>
      <c r="H143" s="107">
        <f>DVUD!K121</f>
        <v>0</v>
      </c>
      <c r="I143" s="107"/>
    </row>
    <row r="144" spans="1:9" ht="12.75" customHeight="1" x14ac:dyDescent="0.2">
      <c r="A144" s="10"/>
      <c r="B144" s="72">
        <f t="shared" si="8"/>
        <v>91</v>
      </c>
      <c r="C144" s="38">
        <f t="shared" si="6"/>
        <v>0</v>
      </c>
      <c r="D144" s="31" t="s">
        <v>4150</v>
      </c>
      <c r="E144" s="41"/>
      <c r="F144" s="31"/>
      <c r="G144" s="237"/>
      <c r="H144" s="107">
        <f>DVUD!K122</f>
        <v>0</v>
      </c>
      <c r="I144" s="107"/>
    </row>
    <row r="145" spans="1:9" ht="12.75" customHeight="1" x14ac:dyDescent="0.2">
      <c r="A145" s="72"/>
      <c r="B145" s="72"/>
      <c r="C145" s="38">
        <f t="shared" si="6"/>
        <v>0</v>
      </c>
      <c r="D145" s="31" t="s">
        <v>4150</v>
      </c>
      <c r="E145" s="41"/>
      <c r="F145" s="31"/>
      <c r="G145" s="237"/>
      <c r="H145" s="107">
        <f>DVUD!K123</f>
        <v>0</v>
      </c>
      <c r="I145" s="107"/>
    </row>
    <row r="146" spans="1:9" ht="12.75" customHeight="1" x14ac:dyDescent="0.2">
      <c r="A146" s="72"/>
      <c r="B146" s="72"/>
      <c r="C146" s="38">
        <f t="shared" si="6"/>
        <v>0</v>
      </c>
      <c r="D146" s="31" t="s">
        <v>5498</v>
      </c>
      <c r="E146" s="41"/>
      <c r="F146" s="31"/>
      <c r="G146" s="237"/>
      <c r="H146" s="107">
        <f>DVUD!K124</f>
        <v>0</v>
      </c>
      <c r="I146" s="107"/>
    </row>
    <row r="147" spans="1:9" ht="12.75" customHeight="1" x14ac:dyDescent="0.2">
      <c r="A147" s="72"/>
      <c r="B147" s="72">
        <v>92</v>
      </c>
      <c r="C147" s="38">
        <f t="shared" si="6"/>
        <v>0</v>
      </c>
      <c r="D147" s="31" t="s">
        <v>5499</v>
      </c>
      <c r="E147" s="41"/>
      <c r="F147" s="31"/>
      <c r="G147" s="237"/>
      <c r="H147" s="107">
        <f>DVUD!K125</f>
        <v>0</v>
      </c>
      <c r="I147" s="107"/>
    </row>
    <row r="148" spans="1:9" ht="12.75" customHeight="1" x14ac:dyDescent="0.2">
      <c r="A148" s="72"/>
      <c r="B148" s="72">
        <f t="shared" si="8"/>
        <v>93</v>
      </c>
      <c r="C148" s="38">
        <f t="shared" si="6"/>
        <v>0</v>
      </c>
      <c r="D148" s="31" t="s">
        <v>5501</v>
      </c>
      <c r="E148" s="41"/>
      <c r="F148" s="31"/>
      <c r="G148" s="237"/>
      <c r="H148" s="107">
        <f>DVUD!K126</f>
        <v>0</v>
      </c>
      <c r="I148" s="31"/>
    </row>
    <row r="149" spans="1:9" ht="12.75" customHeight="1" x14ac:dyDescent="0.2">
      <c r="A149" s="10"/>
      <c r="B149" s="72">
        <f t="shared" si="8"/>
        <v>94</v>
      </c>
      <c r="C149" s="38">
        <f t="shared" si="6"/>
        <v>0</v>
      </c>
      <c r="D149" s="31" t="s">
        <v>5502</v>
      </c>
      <c r="E149" s="41"/>
      <c r="F149" s="31"/>
      <c r="G149" s="237"/>
      <c r="H149" s="107">
        <f>DVUD!K127</f>
        <v>0</v>
      </c>
      <c r="I149" s="31"/>
    </row>
    <row r="150" spans="1:9" ht="12.75" customHeight="1" x14ac:dyDescent="0.2">
      <c r="A150" s="10"/>
      <c r="B150" s="72">
        <f t="shared" si="8"/>
        <v>95</v>
      </c>
      <c r="C150" s="38">
        <f t="shared" si="6"/>
        <v>0</v>
      </c>
      <c r="D150" s="31" t="s">
        <v>5391</v>
      </c>
      <c r="E150" s="176"/>
      <c r="F150" s="173"/>
      <c r="G150" s="237"/>
      <c r="H150" s="107">
        <f>DVUD!K128</f>
        <v>0</v>
      </c>
      <c r="I150" s="213"/>
    </row>
    <row r="151" spans="1:9" ht="12.75" customHeight="1" x14ac:dyDescent="0.2">
      <c r="A151" s="72" t="s">
        <v>3998</v>
      </c>
      <c r="B151" s="72">
        <f t="shared" si="8"/>
        <v>96</v>
      </c>
      <c r="C151" s="38" t="str">
        <f>A151</f>
        <v>12 Feb</v>
      </c>
      <c r="D151" s="31" t="s">
        <v>5503</v>
      </c>
      <c r="E151" s="176"/>
      <c r="F151" s="173"/>
      <c r="G151" s="237"/>
      <c r="H151" s="107">
        <f>DVUD!K129</f>
        <v>0</v>
      </c>
      <c r="I151" s="213"/>
    </row>
    <row r="152" spans="1:9" ht="12.75" customHeight="1" x14ac:dyDescent="0.2">
      <c r="A152" s="72"/>
      <c r="B152" s="72">
        <f t="shared" si="8"/>
        <v>97</v>
      </c>
      <c r="C152" s="38">
        <f t="shared" si="6"/>
        <v>0</v>
      </c>
      <c r="D152" s="31" t="s">
        <v>5504</v>
      </c>
      <c r="E152" s="176"/>
      <c r="F152" s="173"/>
      <c r="G152" s="237"/>
      <c r="H152" s="107">
        <f>DVUD!K130</f>
        <v>0</v>
      </c>
      <c r="I152" s="213"/>
    </row>
    <row r="153" spans="1:9" ht="12.75" customHeight="1" x14ac:dyDescent="0.2">
      <c r="A153" s="72" t="s">
        <v>4008</v>
      </c>
      <c r="B153" s="72">
        <f t="shared" si="8"/>
        <v>98</v>
      </c>
      <c r="C153" s="38" t="str">
        <f t="shared" si="6"/>
        <v>18 Feb</v>
      </c>
      <c r="D153" s="31" t="s">
        <v>5391</v>
      </c>
      <c r="E153" s="176"/>
      <c r="F153" s="173"/>
      <c r="G153" s="237"/>
      <c r="H153" s="107">
        <f>DVUD!K131</f>
        <v>0</v>
      </c>
      <c r="I153" s="213"/>
    </row>
    <row r="154" spans="1:9" ht="12.75" customHeight="1" x14ac:dyDescent="0.2">
      <c r="A154" s="72"/>
      <c r="B154" s="72">
        <f t="shared" si="8"/>
        <v>99</v>
      </c>
      <c r="C154" s="38">
        <f t="shared" si="6"/>
        <v>0</v>
      </c>
      <c r="D154" s="31" t="s">
        <v>5461</v>
      </c>
      <c r="E154" s="176"/>
      <c r="F154" s="173"/>
      <c r="G154" s="237"/>
      <c r="H154" s="107">
        <f>DVUD!K132</f>
        <v>0</v>
      </c>
      <c r="I154" s="213"/>
    </row>
    <row r="155" spans="1:9" ht="12.75" customHeight="1" x14ac:dyDescent="0.2">
      <c r="A155" s="72"/>
      <c r="B155" s="72">
        <f t="shared" si="8"/>
        <v>100</v>
      </c>
      <c r="C155" s="38">
        <f t="shared" si="6"/>
        <v>0</v>
      </c>
      <c r="D155" s="31" t="s">
        <v>5505</v>
      </c>
      <c r="E155" s="176"/>
      <c r="F155" s="173"/>
      <c r="G155" s="237"/>
      <c r="H155" s="107">
        <f>DVUD!K133</f>
        <v>0</v>
      </c>
      <c r="I155" s="213"/>
    </row>
    <row r="156" spans="1:9" ht="12.75" customHeight="1" x14ac:dyDescent="0.2">
      <c r="A156" s="10"/>
      <c r="B156" s="72">
        <f t="shared" si="8"/>
        <v>101</v>
      </c>
      <c r="C156" s="38">
        <f t="shared" si="6"/>
        <v>0</v>
      </c>
      <c r="D156" s="31" t="s">
        <v>5506</v>
      </c>
      <c r="E156" s="176"/>
      <c r="F156" s="173"/>
      <c r="G156" s="237"/>
      <c r="H156" s="107">
        <f>DVUD!K134</f>
        <v>0</v>
      </c>
      <c r="I156" s="213"/>
    </row>
    <row r="157" spans="1:9" ht="12.75" customHeight="1" x14ac:dyDescent="0.2">
      <c r="A157" s="72" t="s">
        <v>4010</v>
      </c>
      <c r="B157" s="72">
        <f t="shared" si="8"/>
        <v>102</v>
      </c>
      <c r="C157" s="38" t="str">
        <f t="shared" si="6"/>
        <v>19 Feb</v>
      </c>
      <c r="D157" s="31" t="s">
        <v>5508</v>
      </c>
      <c r="E157" s="176"/>
      <c r="F157" s="173"/>
      <c r="G157" s="237"/>
      <c r="H157" s="107">
        <f>DVUD!K135</f>
        <v>0</v>
      </c>
      <c r="I157" s="213"/>
    </row>
    <row r="158" spans="1:9" ht="12.75" customHeight="1" x14ac:dyDescent="0.2">
      <c r="A158" s="72"/>
      <c r="B158" s="72">
        <f t="shared" si="8"/>
        <v>103</v>
      </c>
      <c r="C158" s="38">
        <f t="shared" si="6"/>
        <v>0</v>
      </c>
      <c r="D158" s="31" t="s">
        <v>5509</v>
      </c>
      <c r="E158" s="176"/>
      <c r="F158" s="173"/>
      <c r="G158" s="237"/>
      <c r="H158" s="107">
        <f>DVUD!K136</f>
        <v>0</v>
      </c>
      <c r="I158" s="213"/>
    </row>
    <row r="159" spans="1:9" ht="12.75" customHeight="1" x14ac:dyDescent="0.2">
      <c r="A159" s="72" t="s">
        <v>4012</v>
      </c>
      <c r="B159" s="72">
        <f t="shared" si="8"/>
        <v>104</v>
      </c>
      <c r="C159" s="38" t="str">
        <f t="shared" si="6"/>
        <v>20 Feb</v>
      </c>
      <c r="D159" s="31" t="s">
        <v>5511</v>
      </c>
      <c r="E159" s="176"/>
      <c r="F159" s="173"/>
      <c r="G159" s="237"/>
      <c r="H159" s="107">
        <f>DVUD!K137</f>
        <v>0</v>
      </c>
      <c r="I159" s="213"/>
    </row>
    <row r="160" spans="1:9" ht="12.75" customHeight="1" x14ac:dyDescent="0.2">
      <c r="A160" s="72"/>
      <c r="B160" s="72">
        <f t="shared" si="8"/>
        <v>105</v>
      </c>
      <c r="C160" s="38">
        <f t="shared" si="6"/>
        <v>0</v>
      </c>
      <c r="D160" s="31" t="s">
        <v>5420</v>
      </c>
      <c r="E160" s="176"/>
      <c r="F160" s="173"/>
      <c r="G160" s="237"/>
      <c r="H160" s="107">
        <f>DVUD!K138</f>
        <v>0</v>
      </c>
      <c r="I160" s="213"/>
    </row>
    <row r="161" spans="1:9" ht="12.75" customHeight="1" x14ac:dyDescent="0.2">
      <c r="A161" s="72" t="s">
        <v>5513</v>
      </c>
      <c r="B161" s="72">
        <v>106</v>
      </c>
      <c r="C161" s="38" t="str">
        <f t="shared" si="6"/>
        <v>23 Feb</v>
      </c>
      <c r="D161" s="31" t="s">
        <v>5514</v>
      </c>
      <c r="E161" s="176"/>
      <c r="F161" s="173"/>
      <c r="G161" s="237"/>
      <c r="H161" s="107">
        <f>DVUD!K139</f>
        <v>0</v>
      </c>
      <c r="I161" s="213"/>
    </row>
    <row r="162" spans="1:9" ht="12.75" customHeight="1" x14ac:dyDescent="0.2">
      <c r="A162" s="72"/>
      <c r="B162" s="72">
        <v>107</v>
      </c>
      <c r="C162" s="38">
        <f t="shared" si="6"/>
        <v>0</v>
      </c>
      <c r="D162" s="31" t="s">
        <v>5461</v>
      </c>
      <c r="E162" s="176"/>
      <c r="F162" s="173"/>
      <c r="G162" s="237"/>
      <c r="H162" s="107">
        <f>DVUD!K140</f>
        <v>0</v>
      </c>
      <c r="I162" s="213"/>
    </row>
    <row r="163" spans="1:9" ht="12.75" customHeight="1" x14ac:dyDescent="0.2">
      <c r="A163" s="72" t="s">
        <v>4014</v>
      </c>
      <c r="B163" s="72">
        <v>108</v>
      </c>
      <c r="C163" s="38" t="str">
        <f t="shared" si="6"/>
        <v>24 Feb</v>
      </c>
      <c r="D163" s="31" t="s">
        <v>5515</v>
      </c>
      <c r="E163" s="176"/>
      <c r="F163" s="173"/>
      <c r="G163" s="237"/>
      <c r="H163" s="107">
        <f>DVUD!K141</f>
        <v>0</v>
      </c>
      <c r="I163" s="213"/>
    </row>
    <row r="164" spans="1:9" ht="12.75" customHeight="1" x14ac:dyDescent="0.2">
      <c r="A164" s="72" t="s">
        <v>4015</v>
      </c>
      <c r="B164" s="72">
        <f>B163+1</f>
        <v>109</v>
      </c>
      <c r="C164" s="38" t="str">
        <f>A164</f>
        <v>25 Feb</v>
      </c>
      <c r="D164" s="31" t="s">
        <v>5517</v>
      </c>
      <c r="E164" s="176"/>
      <c r="F164" s="173"/>
      <c r="G164" s="237"/>
      <c r="H164" s="107">
        <f>DVUD!K142</f>
        <v>0</v>
      </c>
      <c r="I164" s="213"/>
    </row>
    <row r="165" spans="1:9" ht="12.75" customHeight="1" x14ac:dyDescent="0.2">
      <c r="A165" s="72"/>
      <c r="B165" s="72">
        <f t="shared" ref="B165:B183" si="9">B164+1</f>
        <v>110</v>
      </c>
      <c r="C165" s="38">
        <f t="shared" si="6"/>
        <v>0</v>
      </c>
      <c r="D165" s="31" t="s">
        <v>5518</v>
      </c>
      <c r="E165" s="176"/>
      <c r="F165" s="173"/>
      <c r="G165" s="237"/>
      <c r="H165" s="107">
        <f>DVUD!K143</f>
        <v>0</v>
      </c>
      <c r="I165" s="213"/>
    </row>
    <row r="166" spans="1:9" ht="12.75" customHeight="1" x14ac:dyDescent="0.2">
      <c r="A166" s="72"/>
      <c r="B166" s="72">
        <f t="shared" si="9"/>
        <v>111</v>
      </c>
      <c r="C166" s="38">
        <f t="shared" si="6"/>
        <v>0</v>
      </c>
      <c r="D166" s="31" t="s">
        <v>5519</v>
      </c>
      <c r="E166" s="176"/>
      <c r="F166" s="173"/>
      <c r="G166" s="237"/>
      <c r="H166" s="107">
        <f>DVUD!K144</f>
        <v>0</v>
      </c>
      <c r="I166" s="213"/>
    </row>
    <row r="167" spans="1:9" ht="12.75" customHeight="1" x14ac:dyDescent="0.2">
      <c r="A167" s="72"/>
      <c r="B167" s="72">
        <v>112</v>
      </c>
      <c r="C167" s="38">
        <f t="shared" si="6"/>
        <v>0</v>
      </c>
      <c r="D167" s="31" t="s">
        <v>5391</v>
      </c>
      <c r="E167" s="176"/>
      <c r="F167" s="173"/>
      <c r="G167" s="237"/>
      <c r="H167" s="107">
        <f>DVUD!K145</f>
        <v>0</v>
      </c>
      <c r="I167" s="213"/>
    </row>
    <row r="168" spans="1:9" ht="12.75" customHeight="1" x14ac:dyDescent="0.2">
      <c r="A168" s="72"/>
      <c r="B168" s="72">
        <v>113</v>
      </c>
      <c r="C168" s="38">
        <f t="shared" si="6"/>
        <v>0</v>
      </c>
      <c r="D168" s="31" t="s">
        <v>4356</v>
      </c>
      <c r="E168" s="176"/>
      <c r="F168" s="173"/>
      <c r="G168" s="237"/>
      <c r="H168" s="107">
        <f>DVUD!K146</f>
        <v>0</v>
      </c>
      <c r="I168" s="213"/>
    </row>
    <row r="169" spans="1:9" ht="12.75" customHeight="1" x14ac:dyDescent="0.2">
      <c r="A169" s="72" t="s">
        <v>4018</v>
      </c>
      <c r="B169" s="72">
        <v>114</v>
      </c>
      <c r="C169" s="38" t="str">
        <f t="shared" si="6"/>
        <v>27 Feb</v>
      </c>
      <c r="D169" s="31" t="s">
        <v>5520</v>
      </c>
      <c r="E169" s="176"/>
      <c r="F169" s="173"/>
      <c r="G169" s="237"/>
      <c r="H169" s="107">
        <f>DVUD!K147</f>
        <v>0</v>
      </c>
      <c r="I169" s="213"/>
    </row>
    <row r="170" spans="1:9" ht="12.75" customHeight="1" x14ac:dyDescent="0.2">
      <c r="A170" s="72"/>
      <c r="B170" s="72">
        <v>115</v>
      </c>
      <c r="C170" s="38">
        <f t="shared" si="6"/>
        <v>0</v>
      </c>
      <c r="D170" s="31" t="s">
        <v>5521</v>
      </c>
      <c r="E170" s="176"/>
      <c r="F170" s="173"/>
      <c r="G170" s="237"/>
      <c r="H170" s="107">
        <f>DVUD!K148</f>
        <v>0</v>
      </c>
      <c r="I170" s="213"/>
    </row>
    <row r="171" spans="1:9" ht="12.75" customHeight="1" x14ac:dyDescent="0.2">
      <c r="A171" s="72"/>
      <c r="B171" s="72">
        <f t="shared" si="9"/>
        <v>116</v>
      </c>
      <c r="C171" s="38">
        <f t="shared" si="6"/>
        <v>0</v>
      </c>
      <c r="D171" s="31" t="s">
        <v>5522</v>
      </c>
      <c r="E171" s="176"/>
      <c r="F171" s="173"/>
      <c r="G171" s="237"/>
      <c r="H171" s="107">
        <f>DVUD!K149</f>
        <v>0</v>
      </c>
      <c r="I171" s="213"/>
    </row>
    <row r="172" spans="1:9" ht="12.75" customHeight="1" x14ac:dyDescent="0.2">
      <c r="A172" s="72"/>
      <c r="B172" s="72">
        <f t="shared" si="9"/>
        <v>117</v>
      </c>
      <c r="C172" s="38">
        <f t="shared" si="6"/>
        <v>0</v>
      </c>
      <c r="D172" s="31" t="s">
        <v>5523</v>
      </c>
      <c r="E172" s="176"/>
      <c r="F172" s="173"/>
      <c r="G172" s="237"/>
      <c r="H172" s="107">
        <f>DVUD!K150</f>
        <v>0</v>
      </c>
      <c r="I172" s="213"/>
    </row>
    <row r="173" spans="1:9" ht="12.75" customHeight="1" x14ac:dyDescent="0.2">
      <c r="A173" s="10"/>
      <c r="B173" s="72">
        <f t="shared" si="9"/>
        <v>118</v>
      </c>
      <c r="C173" s="38">
        <f t="shared" si="6"/>
        <v>0</v>
      </c>
      <c r="D173" s="31" t="s">
        <v>5524</v>
      </c>
      <c r="E173" s="176"/>
      <c r="F173" s="173"/>
      <c r="G173" s="237"/>
      <c r="H173" s="107">
        <f>DVUD!K151</f>
        <v>0</v>
      </c>
      <c r="I173" s="213"/>
    </row>
    <row r="174" spans="1:9" ht="12.75" customHeight="1" x14ac:dyDescent="0.2">
      <c r="A174" s="72"/>
      <c r="B174" s="72">
        <f t="shared" si="9"/>
        <v>119</v>
      </c>
      <c r="C174" s="38">
        <f t="shared" si="6"/>
        <v>0</v>
      </c>
      <c r="D174" s="31" t="s">
        <v>5525</v>
      </c>
      <c r="E174" s="176"/>
      <c r="F174" s="173"/>
      <c r="G174" s="237"/>
      <c r="H174" s="107">
        <f>DVUD!K152</f>
        <v>0</v>
      </c>
      <c r="I174" s="213"/>
    </row>
    <row r="175" spans="1:9" ht="12.75" customHeight="1" x14ac:dyDescent="0.2">
      <c r="A175" s="72"/>
      <c r="B175" s="72"/>
      <c r="C175" s="38">
        <f>A175</f>
        <v>0</v>
      </c>
      <c r="D175" s="31" t="s">
        <v>5525</v>
      </c>
      <c r="E175" s="176"/>
      <c r="F175" s="173"/>
      <c r="G175" s="237"/>
      <c r="H175" s="107">
        <f>DVUD!K153</f>
        <v>0</v>
      </c>
      <c r="I175" s="213"/>
    </row>
    <row r="176" spans="1:9" ht="12.75" customHeight="1" x14ac:dyDescent="0.2">
      <c r="A176" s="72"/>
      <c r="B176" s="72"/>
      <c r="C176" s="38">
        <f t="shared" si="6"/>
        <v>0</v>
      </c>
      <c r="D176" s="31" t="s">
        <v>5527</v>
      </c>
      <c r="E176" s="176"/>
      <c r="F176" s="173"/>
      <c r="G176" s="237"/>
      <c r="H176" s="107">
        <f>DVUD!K154</f>
        <v>0</v>
      </c>
      <c r="I176" s="213"/>
    </row>
    <row r="177" spans="1:9" ht="12.75" customHeight="1" x14ac:dyDescent="0.2">
      <c r="A177" s="72"/>
      <c r="B177" s="72">
        <v>120</v>
      </c>
      <c r="C177" s="38">
        <f t="shared" si="6"/>
        <v>0</v>
      </c>
      <c r="D177" s="31" t="s">
        <v>5528</v>
      </c>
      <c r="E177" s="176"/>
      <c r="F177" s="173"/>
      <c r="G177" s="237"/>
      <c r="H177" s="107">
        <f>DVUD!K155</f>
        <v>0</v>
      </c>
      <c r="I177" s="213"/>
    </row>
    <row r="178" spans="1:9" ht="12.75" customHeight="1" x14ac:dyDescent="0.2">
      <c r="A178" s="72"/>
      <c r="B178" s="72">
        <f t="shared" si="9"/>
        <v>121</v>
      </c>
      <c r="C178" s="38">
        <f t="shared" si="6"/>
        <v>0</v>
      </c>
      <c r="D178" s="31" t="s">
        <v>5529</v>
      </c>
      <c r="E178" s="176"/>
      <c r="F178" s="173"/>
      <c r="G178" s="237"/>
      <c r="H178" s="107">
        <f>DVUD!K156</f>
        <v>0</v>
      </c>
      <c r="I178" s="213"/>
    </row>
    <row r="179" spans="1:9" ht="12.75" customHeight="1" x14ac:dyDescent="0.2">
      <c r="A179" s="72"/>
      <c r="B179" s="72">
        <f t="shared" si="9"/>
        <v>122</v>
      </c>
      <c r="C179" s="38">
        <f t="shared" si="6"/>
        <v>0</v>
      </c>
      <c r="D179" s="31" t="s">
        <v>5000</v>
      </c>
      <c r="E179" s="176"/>
      <c r="F179" s="173"/>
      <c r="G179" s="237"/>
      <c r="H179" s="107">
        <f>DVUD!K157</f>
        <v>0</v>
      </c>
      <c r="I179" s="213"/>
    </row>
    <row r="180" spans="1:9" ht="12.75" customHeight="1" x14ac:dyDescent="0.2">
      <c r="A180" s="10"/>
      <c r="B180" s="72"/>
      <c r="C180" s="38">
        <f t="shared" si="6"/>
        <v>0</v>
      </c>
      <c r="D180" s="31" t="s">
        <v>5000</v>
      </c>
      <c r="E180" s="176"/>
      <c r="F180" s="173"/>
      <c r="G180" s="237"/>
      <c r="H180" s="107">
        <f>DVUD!K158</f>
        <v>0</v>
      </c>
      <c r="I180" s="213"/>
    </row>
    <row r="181" spans="1:9" ht="12.75" customHeight="1" x14ac:dyDescent="0.2">
      <c r="A181" s="10"/>
      <c r="B181" s="72"/>
      <c r="C181" s="38">
        <f t="shared" si="6"/>
        <v>0</v>
      </c>
      <c r="D181" s="31" t="s">
        <v>5531</v>
      </c>
      <c r="E181" s="176"/>
      <c r="F181" s="173"/>
      <c r="G181" s="237"/>
      <c r="H181" s="107">
        <f>DVUD!K159</f>
        <v>0</v>
      </c>
      <c r="I181" s="213"/>
    </row>
    <row r="182" spans="1:9" ht="12.75" customHeight="1" x14ac:dyDescent="0.2">
      <c r="A182" s="72"/>
      <c r="B182" s="72">
        <v>123</v>
      </c>
      <c r="C182" s="38">
        <f t="shared" si="6"/>
        <v>0</v>
      </c>
      <c r="D182" s="31" t="s">
        <v>5532</v>
      </c>
      <c r="E182" s="176"/>
      <c r="F182" s="173"/>
      <c r="G182" s="237"/>
      <c r="H182" s="107">
        <f>DVUD!K160</f>
        <v>0</v>
      </c>
      <c r="I182" s="213"/>
    </row>
    <row r="183" spans="1:9" ht="12.75" customHeight="1" x14ac:dyDescent="0.2">
      <c r="A183" s="72"/>
      <c r="B183" s="72">
        <f t="shared" si="9"/>
        <v>124</v>
      </c>
      <c r="C183" s="38">
        <f t="shared" si="6"/>
        <v>0</v>
      </c>
      <c r="D183" s="31" t="s">
        <v>5533</v>
      </c>
      <c r="E183" s="176"/>
      <c r="F183" s="173"/>
      <c r="G183" s="237"/>
      <c r="H183" s="107">
        <f>DVUD!K161</f>
        <v>0</v>
      </c>
      <c r="I183" s="213"/>
    </row>
    <row r="184" spans="1:9" ht="12.75" customHeight="1" x14ac:dyDescent="0.2">
      <c r="A184" s="10"/>
      <c r="B184" s="72"/>
      <c r="C184" s="38">
        <f t="shared" si="6"/>
        <v>0</v>
      </c>
      <c r="D184" s="31" t="s">
        <v>5533</v>
      </c>
      <c r="E184" s="176"/>
      <c r="F184" s="173"/>
      <c r="G184" s="237"/>
      <c r="H184" s="107">
        <f>DVUD!K162</f>
        <v>0</v>
      </c>
      <c r="I184" s="213"/>
    </row>
    <row r="185" spans="1:9" ht="12.75" customHeight="1" x14ac:dyDescent="0.2">
      <c r="A185" s="72"/>
      <c r="B185" s="72"/>
      <c r="C185" s="38">
        <f t="shared" si="6"/>
        <v>0</v>
      </c>
      <c r="D185" s="31" t="s">
        <v>5534</v>
      </c>
      <c r="E185" s="176"/>
      <c r="F185" s="173"/>
      <c r="G185" s="237"/>
      <c r="H185" s="107">
        <f>DVUD!K163</f>
        <v>0</v>
      </c>
      <c r="I185" s="213"/>
    </row>
    <row r="186" spans="1:9" ht="12.75" customHeight="1" x14ac:dyDescent="0.2">
      <c r="A186" s="72"/>
      <c r="B186" s="72">
        <v>125</v>
      </c>
      <c r="C186" s="38">
        <f t="shared" si="6"/>
        <v>0</v>
      </c>
      <c r="D186" s="31" t="s">
        <v>5535</v>
      </c>
      <c r="E186" s="176"/>
      <c r="F186" s="173"/>
      <c r="G186" s="237"/>
      <c r="H186" s="107">
        <f>DVUD!K164</f>
        <v>0</v>
      </c>
      <c r="I186" s="213"/>
    </row>
    <row r="187" spans="1:9" ht="12.75" customHeight="1" x14ac:dyDescent="0.2">
      <c r="A187" s="72"/>
      <c r="B187" s="72">
        <v>126</v>
      </c>
      <c r="C187" s="38">
        <f>A187</f>
        <v>0</v>
      </c>
      <c r="D187" s="31" t="s">
        <v>5537</v>
      </c>
      <c r="E187" s="176"/>
      <c r="F187" s="173"/>
      <c r="G187" s="237"/>
      <c r="H187" s="107">
        <f>DVUD!K165</f>
        <v>0</v>
      </c>
      <c r="I187" s="213"/>
    </row>
    <row r="188" spans="1:9" ht="12.75" customHeight="1" x14ac:dyDescent="0.2">
      <c r="A188" s="72"/>
      <c r="B188" s="72">
        <v>127</v>
      </c>
      <c r="C188" s="38">
        <f t="shared" si="6"/>
        <v>0</v>
      </c>
      <c r="D188" s="31" t="s">
        <v>5538</v>
      </c>
      <c r="E188" s="176"/>
      <c r="F188" s="173"/>
      <c r="G188" s="237"/>
      <c r="H188" s="107">
        <f>DVUD!K166</f>
        <v>0</v>
      </c>
      <c r="I188" s="213"/>
    </row>
    <row r="189" spans="1:9" ht="12.75" customHeight="1" x14ac:dyDescent="0.2">
      <c r="A189" s="72"/>
      <c r="B189" s="72">
        <v>128</v>
      </c>
      <c r="C189" s="38">
        <f t="shared" si="6"/>
        <v>0</v>
      </c>
      <c r="D189" s="31" t="s">
        <v>5539</v>
      </c>
      <c r="E189" s="176"/>
      <c r="F189" s="173"/>
      <c r="G189" s="237"/>
      <c r="H189" s="107">
        <f>DVUD!K167</f>
        <v>0</v>
      </c>
      <c r="I189" s="213"/>
    </row>
    <row r="190" spans="1:9" ht="12.75" customHeight="1" x14ac:dyDescent="0.2">
      <c r="A190" s="72"/>
      <c r="B190" s="72"/>
      <c r="C190" s="38">
        <f t="shared" si="6"/>
        <v>0</v>
      </c>
      <c r="D190" s="31" t="s">
        <v>5539</v>
      </c>
      <c r="E190" s="176"/>
      <c r="F190" s="173"/>
      <c r="G190" s="237"/>
      <c r="H190" s="107">
        <f>DVUD!K168</f>
        <v>0</v>
      </c>
      <c r="I190" s="213"/>
    </row>
    <row r="191" spans="1:9" ht="12.75" customHeight="1" x14ac:dyDescent="0.2">
      <c r="A191" s="72"/>
      <c r="B191" s="72"/>
      <c r="C191" s="38">
        <f t="shared" ref="C191:C196" si="10">A191</f>
        <v>0</v>
      </c>
      <c r="D191" s="31" t="s">
        <v>5540</v>
      </c>
      <c r="E191" s="176"/>
      <c r="F191" s="173"/>
      <c r="G191" s="237"/>
      <c r="H191" s="107">
        <f>DVUD!K169</f>
        <v>0</v>
      </c>
      <c r="I191" s="213"/>
    </row>
    <row r="192" spans="1:9" ht="12.75" customHeight="1" x14ac:dyDescent="0.2">
      <c r="A192" s="72"/>
      <c r="B192" s="72">
        <v>129</v>
      </c>
      <c r="C192" s="38">
        <f t="shared" si="10"/>
        <v>0</v>
      </c>
      <c r="D192" s="31" t="s">
        <v>5541</v>
      </c>
      <c r="E192" s="176"/>
      <c r="F192" s="173"/>
      <c r="G192" s="237"/>
      <c r="H192" s="107">
        <f>DVUD!K170</f>
        <v>0</v>
      </c>
      <c r="I192" s="213"/>
    </row>
    <row r="193" spans="1:9" ht="12.75" customHeight="1" x14ac:dyDescent="0.2">
      <c r="A193" s="72"/>
      <c r="B193" s="72">
        <v>130</v>
      </c>
      <c r="C193" s="38">
        <f t="shared" si="10"/>
        <v>0</v>
      </c>
      <c r="D193" s="31" t="s">
        <v>5543</v>
      </c>
      <c r="E193" s="176"/>
      <c r="F193" s="173"/>
      <c r="G193" s="237"/>
      <c r="H193" s="107">
        <f>DVUD!K171</f>
        <v>0</v>
      </c>
      <c r="I193" s="213"/>
    </row>
    <row r="194" spans="1:9" ht="12.75" customHeight="1" x14ac:dyDescent="0.2">
      <c r="A194" s="72"/>
      <c r="B194" s="72">
        <v>131</v>
      </c>
      <c r="C194" s="38">
        <f t="shared" si="10"/>
        <v>0</v>
      </c>
      <c r="D194" s="31" t="s">
        <v>5544</v>
      </c>
      <c r="E194" s="176"/>
      <c r="F194" s="173"/>
      <c r="G194" s="237"/>
      <c r="H194" s="107">
        <f>DVUD!K172</f>
        <v>0</v>
      </c>
      <c r="I194" s="213"/>
    </row>
    <row r="195" spans="1:9" ht="12.75" customHeight="1" x14ac:dyDescent="0.2">
      <c r="A195" s="72"/>
      <c r="B195" s="72">
        <v>132</v>
      </c>
      <c r="C195" s="38">
        <f t="shared" si="10"/>
        <v>0</v>
      </c>
      <c r="D195" s="31" t="s">
        <v>5545</v>
      </c>
      <c r="E195" s="176"/>
      <c r="F195" s="173"/>
      <c r="G195" s="237"/>
      <c r="H195" s="107">
        <f>DVUD!K173</f>
        <v>0</v>
      </c>
      <c r="I195" s="213"/>
    </row>
    <row r="196" spans="1:9" ht="12.75" customHeight="1" x14ac:dyDescent="0.2">
      <c r="A196" s="72"/>
      <c r="B196" s="72">
        <v>133</v>
      </c>
      <c r="C196" s="38">
        <f t="shared" si="10"/>
        <v>0</v>
      </c>
      <c r="D196" s="31" t="s">
        <v>5546</v>
      </c>
      <c r="E196" s="176"/>
      <c r="F196" s="173"/>
      <c r="G196" s="237"/>
      <c r="H196" s="107">
        <f>DVUD!K174</f>
        <v>0</v>
      </c>
      <c r="I196" s="213"/>
    </row>
    <row r="197" spans="1:9" ht="12.75" customHeight="1" x14ac:dyDescent="0.2">
      <c r="A197" s="72"/>
      <c r="B197" s="72">
        <v>134</v>
      </c>
      <c r="C197" s="38">
        <f>A197</f>
        <v>0</v>
      </c>
      <c r="D197" s="31" t="s">
        <v>5547</v>
      </c>
      <c r="E197" s="176"/>
      <c r="F197" s="173"/>
      <c r="G197" s="237"/>
      <c r="H197" s="107">
        <f>DVUD!K175</f>
        <v>0</v>
      </c>
      <c r="I197" s="213"/>
    </row>
    <row r="198" spans="1:9" ht="12.75" customHeight="1" x14ac:dyDescent="0.2">
      <c r="A198" s="72"/>
      <c r="B198" s="72">
        <f>1+B197</f>
        <v>135</v>
      </c>
      <c r="C198" s="38">
        <f t="shared" ref="C198:C205" si="11">A198</f>
        <v>0</v>
      </c>
      <c r="D198" s="31" t="s">
        <v>5548</v>
      </c>
      <c r="E198" s="176"/>
      <c r="F198" s="173"/>
      <c r="G198" s="237"/>
      <c r="H198" s="107">
        <f>DVUD!K176</f>
        <v>0</v>
      </c>
      <c r="I198" s="213"/>
    </row>
    <row r="199" spans="1:9" ht="12.75" customHeight="1" x14ac:dyDescent="0.2">
      <c r="A199" s="72"/>
      <c r="B199" s="72">
        <f t="shared" ref="B199:B205" si="12">1+B198</f>
        <v>136</v>
      </c>
      <c r="C199" s="38">
        <f t="shared" si="11"/>
        <v>0</v>
      </c>
      <c r="D199" s="31" t="s">
        <v>5549</v>
      </c>
      <c r="E199" s="176"/>
      <c r="F199" s="173"/>
      <c r="G199" s="237"/>
      <c r="H199" s="107">
        <f>DVUD!K177</f>
        <v>0</v>
      </c>
      <c r="I199" s="213"/>
    </row>
    <row r="200" spans="1:9" ht="12.75" customHeight="1" x14ac:dyDescent="0.2">
      <c r="A200" s="72"/>
      <c r="B200" s="72">
        <f t="shared" si="12"/>
        <v>137</v>
      </c>
      <c r="C200" s="38">
        <f t="shared" si="11"/>
        <v>0</v>
      </c>
      <c r="D200" s="31" t="s">
        <v>5550</v>
      </c>
      <c r="E200" s="176"/>
      <c r="F200" s="173"/>
      <c r="G200" s="237"/>
      <c r="H200" s="107">
        <f>DVUD!K178</f>
        <v>0</v>
      </c>
      <c r="I200" s="213"/>
    </row>
    <row r="201" spans="1:9" ht="12.75" customHeight="1" x14ac:dyDescent="0.2">
      <c r="A201" s="72"/>
      <c r="B201" s="72">
        <f t="shared" si="12"/>
        <v>138</v>
      </c>
      <c r="C201" s="38">
        <f t="shared" si="11"/>
        <v>0</v>
      </c>
      <c r="D201" s="31" t="s">
        <v>5551</v>
      </c>
      <c r="E201" s="176"/>
      <c r="F201" s="173"/>
      <c r="G201" s="237"/>
      <c r="H201" s="107">
        <f>DVUD!K179</f>
        <v>0</v>
      </c>
      <c r="I201" s="213"/>
    </row>
    <row r="202" spans="1:9" ht="12.75" customHeight="1" x14ac:dyDescent="0.2">
      <c r="A202" s="72"/>
      <c r="B202" s="72">
        <f t="shared" si="12"/>
        <v>139</v>
      </c>
      <c r="C202" s="38">
        <f t="shared" si="11"/>
        <v>0</v>
      </c>
      <c r="D202" s="31" t="s">
        <v>5552</v>
      </c>
      <c r="E202" s="176"/>
      <c r="F202" s="173"/>
      <c r="G202" s="237"/>
      <c r="H202" s="107">
        <f>DVUD!K180</f>
        <v>0</v>
      </c>
      <c r="I202" s="213"/>
    </row>
    <row r="203" spans="1:9" ht="12.75" customHeight="1" x14ac:dyDescent="0.2">
      <c r="A203" s="72"/>
      <c r="B203" s="72">
        <f t="shared" si="12"/>
        <v>140</v>
      </c>
      <c r="C203" s="38">
        <f t="shared" si="11"/>
        <v>0</v>
      </c>
      <c r="D203" s="31" t="s">
        <v>5553</v>
      </c>
      <c r="E203" s="176"/>
      <c r="F203" s="173"/>
      <c r="G203" s="237"/>
      <c r="H203" s="107">
        <f>DVUD!K181</f>
        <v>0</v>
      </c>
      <c r="I203" s="213"/>
    </row>
    <row r="204" spans="1:9" ht="12.75" customHeight="1" x14ac:dyDescent="0.2">
      <c r="A204" s="72"/>
      <c r="B204" s="72">
        <f t="shared" si="12"/>
        <v>141</v>
      </c>
      <c r="C204" s="38">
        <f t="shared" si="11"/>
        <v>0</v>
      </c>
      <c r="D204" s="31" t="s">
        <v>5554</v>
      </c>
      <c r="E204" s="176"/>
      <c r="F204" s="173"/>
      <c r="G204" s="237"/>
      <c r="H204" s="107">
        <f>DVUD!K182</f>
        <v>0</v>
      </c>
      <c r="I204" s="213"/>
    </row>
    <row r="205" spans="1:9" ht="12.75" customHeight="1" x14ac:dyDescent="0.2">
      <c r="A205" s="72"/>
      <c r="B205" s="72">
        <f t="shared" si="12"/>
        <v>142</v>
      </c>
      <c r="C205" s="38">
        <f t="shared" si="11"/>
        <v>0</v>
      </c>
      <c r="D205" s="31" t="s">
        <v>5555</v>
      </c>
      <c r="E205" s="176"/>
      <c r="F205" s="173"/>
      <c r="G205" s="237"/>
      <c r="H205" s="107">
        <f>DVUD!K183</f>
        <v>0</v>
      </c>
      <c r="I205" s="213"/>
    </row>
    <row r="206" spans="1:9" ht="12.75" customHeight="1" x14ac:dyDescent="0.2">
      <c r="A206" s="702" t="s">
        <v>3556</v>
      </c>
      <c r="B206" s="703"/>
      <c r="C206" s="703"/>
      <c r="D206" s="703"/>
      <c r="E206" s="703"/>
      <c r="F206" s="704"/>
      <c r="G206" s="94">
        <f>SUM(G125:G205)</f>
        <v>0</v>
      </c>
      <c r="H206" s="94">
        <f>SUM(H125:H205)</f>
        <v>0</v>
      </c>
      <c r="I206" s="94">
        <f>SUM(I150:I205)</f>
        <v>0</v>
      </c>
    </row>
    <row r="207" spans="1:9" ht="12.75" customHeight="1" x14ac:dyDescent="0.2">
      <c r="A207" s="702" t="s">
        <v>3560</v>
      </c>
      <c r="B207" s="703"/>
      <c r="C207" s="703"/>
      <c r="D207" s="703"/>
      <c r="E207" s="703"/>
      <c r="F207" s="704"/>
      <c r="G207" s="94">
        <f>G92</f>
        <v>0</v>
      </c>
      <c r="H207" s="94">
        <f>H92</f>
        <v>0</v>
      </c>
      <c r="I207" s="94"/>
    </row>
    <row r="208" spans="1:9" ht="12.75" customHeight="1" thickBot="1" x14ac:dyDescent="0.25">
      <c r="A208" s="705" t="s">
        <v>3558</v>
      </c>
      <c r="B208" s="706"/>
      <c r="C208" s="706"/>
      <c r="D208" s="706"/>
      <c r="E208" s="706"/>
      <c r="F208" s="707"/>
      <c r="G208" s="93">
        <f>SUM(G206:G207)</f>
        <v>0</v>
      </c>
      <c r="H208" s="93">
        <f>SUM(H206:H207)</f>
        <v>0</v>
      </c>
      <c r="I208" s="93"/>
    </row>
    <row r="209" spans="1:9" ht="12.75" customHeight="1" x14ac:dyDescent="0.2">
      <c r="A209" s="19"/>
      <c r="B209" s="19"/>
      <c r="C209" s="19"/>
      <c r="D209" s="19"/>
      <c r="E209" s="19"/>
      <c r="F209" s="19"/>
      <c r="G209" s="234"/>
      <c r="H209" s="234"/>
      <c r="I209" s="234"/>
    </row>
    <row r="210" spans="1:9" ht="12.75" customHeight="1" x14ac:dyDescent="0.2">
      <c r="G210" s="46">
        <f>DVUD!H184</f>
        <v>0</v>
      </c>
      <c r="H210" s="46"/>
      <c r="I210" s="46"/>
    </row>
    <row r="211" spans="1:9" ht="12.75" customHeight="1" x14ac:dyDescent="0.2">
      <c r="G211" s="46">
        <f>DVUD!H186</f>
        <v>0</v>
      </c>
      <c r="H211" s="46"/>
      <c r="I211" s="46"/>
    </row>
    <row r="212" spans="1:9" ht="12.75" customHeight="1" x14ac:dyDescent="0.2">
      <c r="A212" s="9" t="s">
        <v>1</v>
      </c>
      <c r="B212" s="9"/>
      <c r="C212" s="9"/>
      <c r="D212" s="9"/>
      <c r="E212" s="9"/>
      <c r="F212" s="9"/>
      <c r="G212" s="9"/>
      <c r="H212" s="9"/>
      <c r="I212" s="9"/>
    </row>
    <row r="213" spans="1:9" ht="12.75" customHeight="1" x14ac:dyDescent="0.2">
      <c r="A213" s="9"/>
      <c r="B213" s="9"/>
      <c r="C213" s="9"/>
      <c r="D213" s="9"/>
      <c r="E213" s="9"/>
      <c r="F213" s="9"/>
      <c r="G213" s="9"/>
      <c r="H213" s="9"/>
      <c r="I213" s="9"/>
    </row>
    <row r="214" spans="1:9" ht="12.75" customHeight="1" x14ac:dyDescent="0.2">
      <c r="A214" s="643" t="s">
        <v>77</v>
      </c>
      <c r="B214" s="643"/>
      <c r="C214" s="643"/>
      <c r="D214" s="643"/>
      <c r="E214" s="643"/>
      <c r="F214" s="643"/>
      <c r="G214" s="643"/>
      <c r="H214" s="643"/>
      <c r="I214" s="643"/>
    </row>
    <row r="215" spans="1:9" ht="12.75" customHeight="1" x14ac:dyDescent="0.2">
      <c r="A215" s="643" t="s">
        <v>3564</v>
      </c>
      <c r="B215" s="643"/>
      <c r="C215" s="643"/>
      <c r="D215" s="643"/>
      <c r="E215" s="643"/>
      <c r="F215" s="643"/>
      <c r="G215" s="643"/>
      <c r="H215" s="643"/>
      <c r="I215" s="643"/>
    </row>
    <row r="216" spans="1:9" ht="12.75" customHeight="1" x14ac:dyDescent="0.2">
      <c r="A216" s="680" t="s">
        <v>3</v>
      </c>
      <c r="B216" s="701" t="s">
        <v>4</v>
      </c>
      <c r="C216" s="701"/>
      <c r="D216" s="680" t="s">
        <v>5</v>
      </c>
      <c r="E216" s="662" t="s">
        <v>6</v>
      </c>
      <c r="F216" s="664"/>
      <c r="G216" s="310" t="s">
        <v>10</v>
      </c>
      <c r="H216" s="701" t="s">
        <v>90</v>
      </c>
      <c r="I216" s="701"/>
    </row>
    <row r="217" spans="1:9" ht="12.75" customHeight="1" x14ac:dyDescent="0.2">
      <c r="A217" s="681"/>
      <c r="B217" s="680" t="s">
        <v>7</v>
      </c>
      <c r="C217" s="680" t="s">
        <v>3</v>
      </c>
      <c r="D217" s="681"/>
      <c r="E217" s="680" t="s">
        <v>8</v>
      </c>
      <c r="F217" s="680" t="s">
        <v>3</v>
      </c>
      <c r="G217" s="306" t="s">
        <v>9</v>
      </c>
      <c r="H217" s="310" t="s">
        <v>11</v>
      </c>
      <c r="I217" s="310" t="s">
        <v>3342</v>
      </c>
    </row>
    <row r="218" spans="1:9" ht="12.75" customHeight="1" x14ac:dyDescent="0.2">
      <c r="A218" s="682"/>
      <c r="B218" s="682"/>
      <c r="C218" s="682"/>
      <c r="D218" s="682"/>
      <c r="E218" s="682"/>
      <c r="F218" s="682"/>
      <c r="G218" s="310" t="s">
        <v>3312</v>
      </c>
      <c r="H218" s="307" t="s">
        <v>3343</v>
      </c>
      <c r="I218" s="307" t="s">
        <v>3344</v>
      </c>
    </row>
    <row r="219" spans="1:9" ht="12.75" customHeight="1" x14ac:dyDescent="0.2">
      <c r="A219" s="210" t="s">
        <v>5566</v>
      </c>
      <c r="B219" s="210">
        <v>143</v>
      </c>
      <c r="C219" s="211" t="str">
        <f t="shared" ref="C219:C250" si="13">A219</f>
        <v>02 Mar</v>
      </c>
      <c r="D219" s="60" t="s">
        <v>5391</v>
      </c>
      <c r="E219" s="212"/>
      <c r="F219" s="60"/>
      <c r="G219" s="236"/>
      <c r="H219" s="429">
        <f>DVUD!K203</f>
        <v>0</v>
      </c>
      <c r="I219" s="90"/>
    </row>
    <row r="220" spans="1:9" ht="12.75" customHeight="1" x14ac:dyDescent="0.2">
      <c r="A220" s="72" t="s">
        <v>4042</v>
      </c>
      <c r="B220" s="72">
        <v>144</v>
      </c>
      <c r="C220" s="38" t="str">
        <f t="shared" si="13"/>
        <v>03 Mar</v>
      </c>
      <c r="D220" s="31" t="s">
        <v>5567</v>
      </c>
      <c r="E220" s="41"/>
      <c r="F220" s="31"/>
      <c r="G220" s="237"/>
      <c r="H220" s="429">
        <f>DVUD!K204</f>
        <v>0</v>
      </c>
      <c r="I220" s="107"/>
    </row>
    <row r="221" spans="1:9" ht="12.75" customHeight="1" x14ac:dyDescent="0.2">
      <c r="A221" s="72" t="s">
        <v>4047</v>
      </c>
      <c r="B221" s="72">
        <v>145</v>
      </c>
      <c r="C221" s="38" t="str">
        <f t="shared" si="13"/>
        <v>05 Mar</v>
      </c>
      <c r="D221" s="31" t="s">
        <v>5388</v>
      </c>
      <c r="E221" s="41"/>
      <c r="F221" s="31"/>
      <c r="G221" s="237"/>
      <c r="H221" s="429">
        <f>DVUD!K205</f>
        <v>0</v>
      </c>
      <c r="I221" s="107"/>
    </row>
    <row r="222" spans="1:9" ht="12.75" customHeight="1" x14ac:dyDescent="0.2">
      <c r="A222" s="72"/>
      <c r="B222" s="72">
        <v>146</v>
      </c>
      <c r="C222" s="38">
        <f t="shared" si="13"/>
        <v>0</v>
      </c>
      <c r="D222" s="31" t="s">
        <v>5568</v>
      </c>
      <c r="E222" s="41"/>
      <c r="F222" s="31"/>
      <c r="G222" s="237"/>
      <c r="H222" s="429">
        <f>DVUD!K206</f>
        <v>0</v>
      </c>
      <c r="I222" s="107"/>
    </row>
    <row r="223" spans="1:9" ht="12.75" customHeight="1" x14ac:dyDescent="0.2">
      <c r="A223" s="72"/>
      <c r="B223" s="72">
        <v>147</v>
      </c>
      <c r="C223" s="38">
        <f t="shared" si="13"/>
        <v>0</v>
      </c>
      <c r="D223" s="31" t="s">
        <v>5489</v>
      </c>
      <c r="E223" s="41"/>
      <c r="F223" s="31"/>
      <c r="G223" s="237"/>
      <c r="H223" s="429">
        <f>DVUD!K207</f>
        <v>0</v>
      </c>
      <c r="I223" s="107"/>
    </row>
    <row r="224" spans="1:9" ht="12.75" customHeight="1" x14ac:dyDescent="0.2">
      <c r="A224" s="72"/>
      <c r="B224" s="72">
        <v>148</v>
      </c>
      <c r="C224" s="38">
        <f t="shared" si="13"/>
        <v>0</v>
      </c>
      <c r="D224" s="92" t="s">
        <v>5591</v>
      </c>
      <c r="E224" s="41"/>
      <c r="F224" s="31"/>
      <c r="G224" s="237"/>
      <c r="H224" s="429">
        <f>DVUD!K208</f>
        <v>0</v>
      </c>
      <c r="I224" s="107"/>
    </row>
    <row r="225" spans="1:9" ht="12.75" customHeight="1" x14ac:dyDescent="0.2">
      <c r="A225" s="72" t="s">
        <v>4048</v>
      </c>
      <c r="B225" s="72">
        <f>B224+1</f>
        <v>149</v>
      </c>
      <c r="C225" s="38" t="str">
        <f t="shared" si="13"/>
        <v>06 Mar</v>
      </c>
      <c r="D225" s="31" t="s">
        <v>5570</v>
      </c>
      <c r="E225" s="41"/>
      <c r="F225" s="31"/>
      <c r="G225" s="237"/>
      <c r="H225" s="429">
        <f>DVUD!K209</f>
        <v>0</v>
      </c>
      <c r="I225" s="107"/>
    </row>
    <row r="226" spans="1:9" ht="12.75" customHeight="1" x14ac:dyDescent="0.2">
      <c r="A226" s="72"/>
      <c r="B226" s="72">
        <f t="shared" ref="B226:B254" si="14">B225+1</f>
        <v>150</v>
      </c>
      <c r="C226" s="38">
        <f t="shared" si="13"/>
        <v>0</v>
      </c>
      <c r="D226" s="31" t="s">
        <v>5571</v>
      </c>
      <c r="E226" s="41"/>
      <c r="F226" s="31"/>
      <c r="G226" s="237"/>
      <c r="H226" s="429">
        <f>DVUD!K210</f>
        <v>0</v>
      </c>
      <c r="I226" s="107"/>
    </row>
    <row r="227" spans="1:9" ht="12.75" customHeight="1" x14ac:dyDescent="0.2">
      <c r="A227" s="72"/>
      <c r="B227" s="72">
        <f t="shared" si="14"/>
        <v>151</v>
      </c>
      <c r="C227" s="38">
        <f t="shared" si="13"/>
        <v>0</v>
      </c>
      <c r="D227" s="31" t="s">
        <v>5572</v>
      </c>
      <c r="E227" s="41"/>
      <c r="F227" s="31"/>
      <c r="G227" s="237"/>
      <c r="H227" s="429">
        <f>DVUD!K211</f>
        <v>0</v>
      </c>
      <c r="I227" s="107"/>
    </row>
    <row r="228" spans="1:9" ht="12.75" customHeight="1" x14ac:dyDescent="0.2">
      <c r="A228" s="10"/>
      <c r="B228" s="72">
        <f t="shared" si="14"/>
        <v>152</v>
      </c>
      <c r="C228" s="38">
        <f t="shared" si="13"/>
        <v>0</v>
      </c>
      <c r="D228" s="31" t="s">
        <v>5573</v>
      </c>
      <c r="E228" s="41"/>
      <c r="F228" s="31"/>
      <c r="G228" s="237"/>
      <c r="H228" s="429">
        <f>DVUD!K212</f>
        <v>0</v>
      </c>
      <c r="I228" s="107"/>
    </row>
    <row r="229" spans="1:9" ht="12.75" customHeight="1" x14ac:dyDescent="0.2">
      <c r="A229" s="10"/>
      <c r="B229" s="72">
        <f t="shared" si="14"/>
        <v>153</v>
      </c>
      <c r="C229" s="38">
        <f t="shared" si="13"/>
        <v>0</v>
      </c>
      <c r="D229" s="31" t="s">
        <v>5575</v>
      </c>
      <c r="E229" s="41"/>
      <c r="F229" s="31"/>
      <c r="G229" s="237"/>
      <c r="H229" s="429">
        <f>DVUD!K213</f>
        <v>0</v>
      </c>
      <c r="I229" s="107"/>
    </row>
    <row r="230" spans="1:9" ht="12.75" customHeight="1" x14ac:dyDescent="0.2">
      <c r="A230" s="72"/>
      <c r="B230" s="72">
        <f t="shared" si="14"/>
        <v>154</v>
      </c>
      <c r="C230" s="38">
        <f t="shared" si="13"/>
        <v>0</v>
      </c>
      <c r="D230" s="31" t="s">
        <v>5576</v>
      </c>
      <c r="E230" s="41"/>
      <c r="F230" s="31"/>
      <c r="G230" s="237"/>
      <c r="H230" s="429">
        <f>DVUD!K214</f>
        <v>0</v>
      </c>
      <c r="I230" s="107"/>
    </row>
    <row r="231" spans="1:9" ht="12.75" customHeight="1" x14ac:dyDescent="0.2">
      <c r="A231" s="72" t="s">
        <v>5577</v>
      </c>
      <c r="B231" s="72">
        <f t="shared" si="14"/>
        <v>155</v>
      </c>
      <c r="C231" s="38" t="str">
        <f t="shared" si="13"/>
        <v>09 Mar</v>
      </c>
      <c r="D231" s="31" t="s">
        <v>5391</v>
      </c>
      <c r="E231" s="41"/>
      <c r="F231" s="31"/>
      <c r="G231" s="237"/>
      <c r="H231" s="429">
        <f>DVUD!K215</f>
        <v>0</v>
      </c>
      <c r="I231" s="107"/>
    </row>
    <row r="232" spans="1:9" ht="12.75" customHeight="1" x14ac:dyDescent="0.2">
      <c r="A232" s="72" t="s">
        <v>5579</v>
      </c>
      <c r="B232" s="72">
        <f t="shared" si="14"/>
        <v>156</v>
      </c>
      <c r="C232" s="38" t="str">
        <f t="shared" si="13"/>
        <v>10 Mer</v>
      </c>
      <c r="D232" s="31" t="s">
        <v>5580</v>
      </c>
      <c r="E232" s="41"/>
      <c r="F232" s="31"/>
      <c r="G232" s="237"/>
      <c r="H232" s="429">
        <f>DVUD!K216</f>
        <v>0</v>
      </c>
      <c r="I232" s="107"/>
    </row>
    <row r="233" spans="1:9" ht="12.75" customHeight="1" x14ac:dyDescent="0.2">
      <c r="A233" s="72" t="s">
        <v>4049</v>
      </c>
      <c r="B233" s="72">
        <f t="shared" si="14"/>
        <v>157</v>
      </c>
      <c r="C233" s="38" t="str">
        <f t="shared" si="13"/>
        <v>11 Mar</v>
      </c>
      <c r="D233" s="31" t="s">
        <v>5582</v>
      </c>
      <c r="E233" s="41"/>
      <c r="F233" s="31"/>
      <c r="G233" s="237"/>
      <c r="H233" s="429">
        <f>DVUD!K217</f>
        <v>0</v>
      </c>
      <c r="I233" s="107"/>
    </row>
    <row r="234" spans="1:9" ht="12.75" customHeight="1" x14ac:dyDescent="0.2">
      <c r="A234" s="72" t="s">
        <v>4050</v>
      </c>
      <c r="B234" s="72">
        <f t="shared" si="14"/>
        <v>158</v>
      </c>
      <c r="C234" s="38" t="str">
        <f t="shared" si="13"/>
        <v>12 Mar</v>
      </c>
      <c r="D234" s="31" t="s">
        <v>5583</v>
      </c>
      <c r="E234" s="41"/>
      <c r="F234" s="31"/>
      <c r="G234" s="237"/>
      <c r="H234" s="429">
        <f>DVUD!K218</f>
        <v>0</v>
      </c>
      <c r="I234" s="107"/>
    </row>
    <row r="235" spans="1:9" ht="12.75" customHeight="1" x14ac:dyDescent="0.2">
      <c r="A235" s="263"/>
      <c r="B235" s="72">
        <f t="shared" si="14"/>
        <v>159</v>
      </c>
      <c r="C235" s="38">
        <f t="shared" si="13"/>
        <v>0</v>
      </c>
      <c r="D235" s="31" t="s">
        <v>5496</v>
      </c>
      <c r="E235" s="41"/>
      <c r="F235" s="31"/>
      <c r="G235" s="237"/>
      <c r="H235" s="429">
        <f>DVUD!K219</f>
        <v>0</v>
      </c>
      <c r="I235" s="107"/>
    </row>
    <row r="236" spans="1:9" ht="12.75" customHeight="1" x14ac:dyDescent="0.2">
      <c r="A236" s="10"/>
      <c r="B236" s="72">
        <f t="shared" si="14"/>
        <v>160</v>
      </c>
      <c r="C236" s="38">
        <f t="shared" si="13"/>
        <v>0</v>
      </c>
      <c r="D236" s="92" t="s">
        <v>5633</v>
      </c>
      <c r="E236" s="41"/>
      <c r="F236" s="31"/>
      <c r="G236" s="237"/>
      <c r="H236" s="429">
        <f>DVUD!K220</f>
        <v>0</v>
      </c>
      <c r="I236" s="107"/>
    </row>
    <row r="237" spans="1:9" ht="12.75" customHeight="1" x14ac:dyDescent="0.2">
      <c r="A237" s="72"/>
      <c r="B237" s="72">
        <f t="shared" si="14"/>
        <v>161</v>
      </c>
      <c r="C237" s="38">
        <f t="shared" si="13"/>
        <v>0</v>
      </c>
      <c r="D237" s="31" t="s">
        <v>4150</v>
      </c>
      <c r="E237" s="41"/>
      <c r="F237" s="31"/>
      <c r="G237" s="237"/>
      <c r="H237" s="429">
        <f>DVUD!K221</f>
        <v>0</v>
      </c>
      <c r="I237" s="107"/>
    </row>
    <row r="238" spans="1:9" ht="12.75" customHeight="1" x14ac:dyDescent="0.2">
      <c r="A238" s="10"/>
      <c r="B238" s="72"/>
      <c r="C238" s="38">
        <f t="shared" si="13"/>
        <v>0</v>
      </c>
      <c r="D238" s="31" t="s">
        <v>4150</v>
      </c>
      <c r="E238" s="41"/>
      <c r="F238" s="31"/>
      <c r="G238" s="237"/>
      <c r="H238" s="429">
        <f>DVUD!K222</f>
        <v>0</v>
      </c>
      <c r="I238" s="107"/>
    </row>
    <row r="239" spans="1:9" ht="12.75" customHeight="1" x14ac:dyDescent="0.2">
      <c r="A239" s="72"/>
      <c r="B239" s="72"/>
      <c r="C239" s="38">
        <f t="shared" si="13"/>
        <v>0</v>
      </c>
      <c r="D239" s="31" t="s">
        <v>4150</v>
      </c>
      <c r="E239" s="41"/>
      <c r="F239" s="31"/>
      <c r="G239" s="237"/>
      <c r="H239" s="429">
        <f>DVUD!K223</f>
        <v>0</v>
      </c>
      <c r="I239" s="107"/>
    </row>
    <row r="240" spans="1:9" ht="12.75" customHeight="1" x14ac:dyDescent="0.2">
      <c r="A240" s="72"/>
      <c r="B240" s="72">
        <v>162</v>
      </c>
      <c r="C240" s="38">
        <f t="shared" si="13"/>
        <v>0</v>
      </c>
      <c r="D240" s="31" t="s">
        <v>5585</v>
      </c>
      <c r="E240" s="41"/>
      <c r="F240" s="31"/>
      <c r="G240" s="237"/>
      <c r="H240" s="429">
        <f>DVUD!K224</f>
        <v>0</v>
      </c>
      <c r="I240" s="107"/>
    </row>
    <row r="241" spans="1:9" ht="12.75" customHeight="1" x14ac:dyDescent="0.2">
      <c r="A241" s="72"/>
      <c r="B241" s="72">
        <f t="shared" si="14"/>
        <v>163</v>
      </c>
      <c r="C241" s="38">
        <f t="shared" si="13"/>
        <v>0</v>
      </c>
      <c r="D241" s="31" t="s">
        <v>5586</v>
      </c>
      <c r="E241" s="41"/>
      <c r="F241" s="31"/>
      <c r="G241" s="237"/>
      <c r="H241" s="429">
        <f>DVUD!K225</f>
        <v>0</v>
      </c>
      <c r="I241" s="107"/>
    </row>
    <row r="242" spans="1:9" ht="12.75" customHeight="1" x14ac:dyDescent="0.2">
      <c r="A242" s="72" t="s">
        <v>3780</v>
      </c>
      <c r="B242" s="72">
        <f t="shared" si="14"/>
        <v>164</v>
      </c>
      <c r="C242" s="38" t="str">
        <f t="shared" si="13"/>
        <v>13 Mar</v>
      </c>
      <c r="D242" s="31" t="s">
        <v>5584</v>
      </c>
      <c r="E242" s="41"/>
      <c r="F242" s="31"/>
      <c r="G242" s="237"/>
      <c r="H242" s="429">
        <f>DVUD!K226</f>
        <v>0</v>
      </c>
      <c r="I242" s="31"/>
    </row>
    <row r="243" spans="1:9" ht="12.75" customHeight="1" x14ac:dyDescent="0.2">
      <c r="A243" s="72"/>
      <c r="B243" s="72"/>
      <c r="C243" s="38">
        <f t="shared" si="13"/>
        <v>0</v>
      </c>
      <c r="D243" s="31" t="s">
        <v>5584</v>
      </c>
      <c r="E243" s="41"/>
      <c r="F243" s="31"/>
      <c r="G243" s="237"/>
      <c r="H243" s="429">
        <f>DVUD!K227</f>
        <v>0</v>
      </c>
      <c r="I243" s="31"/>
    </row>
    <row r="244" spans="1:9" ht="12.75" customHeight="1" x14ac:dyDescent="0.2">
      <c r="A244" s="72"/>
      <c r="B244" s="72"/>
      <c r="C244" s="38">
        <f t="shared" si="13"/>
        <v>0</v>
      </c>
      <c r="D244" s="31" t="s">
        <v>5584</v>
      </c>
      <c r="E244" s="176"/>
      <c r="F244" s="173"/>
      <c r="G244" s="237"/>
      <c r="H244" s="429">
        <f>DVUD!K228</f>
        <v>0</v>
      </c>
      <c r="I244" s="213"/>
    </row>
    <row r="245" spans="1:9" ht="12.75" customHeight="1" x14ac:dyDescent="0.2">
      <c r="A245" s="10"/>
      <c r="B245" s="72">
        <v>165</v>
      </c>
      <c r="C245" s="38">
        <f t="shared" si="13"/>
        <v>0</v>
      </c>
      <c r="D245" s="31" t="s">
        <v>5588</v>
      </c>
      <c r="E245" s="176"/>
      <c r="F245" s="173"/>
      <c r="G245" s="237"/>
      <c r="H245" s="429">
        <f>DVUD!K229</f>
        <v>0</v>
      </c>
      <c r="I245" s="213"/>
    </row>
    <row r="246" spans="1:9" ht="12.75" customHeight="1" x14ac:dyDescent="0.2">
      <c r="A246" s="72"/>
      <c r="B246" s="72">
        <f t="shared" si="14"/>
        <v>166</v>
      </c>
      <c r="C246" s="38">
        <f t="shared" si="13"/>
        <v>0</v>
      </c>
      <c r="D246" s="31" t="s">
        <v>5589</v>
      </c>
      <c r="E246" s="176"/>
      <c r="F246" s="173"/>
      <c r="G246" s="237"/>
      <c r="H246" s="429">
        <f>DVUD!K230</f>
        <v>0</v>
      </c>
      <c r="I246" s="213"/>
    </row>
    <row r="247" spans="1:9" ht="12.75" customHeight="1" x14ac:dyDescent="0.2">
      <c r="A247" s="72"/>
      <c r="B247" s="72">
        <f t="shared" si="14"/>
        <v>167</v>
      </c>
      <c r="C247" s="38">
        <f t="shared" si="13"/>
        <v>0</v>
      </c>
      <c r="D247" s="31" t="s">
        <v>5590</v>
      </c>
      <c r="E247" s="176"/>
      <c r="F247" s="173"/>
      <c r="G247" s="237"/>
      <c r="H247" s="429">
        <f>DVUD!K231</f>
        <v>0</v>
      </c>
      <c r="I247" s="213"/>
    </row>
    <row r="248" spans="1:9" ht="12.75" customHeight="1" x14ac:dyDescent="0.2">
      <c r="A248" s="72"/>
      <c r="B248" s="72"/>
      <c r="C248" s="38">
        <f t="shared" si="13"/>
        <v>0</v>
      </c>
      <c r="D248" s="31"/>
      <c r="E248" s="176"/>
      <c r="F248" s="173"/>
      <c r="G248" s="237"/>
      <c r="H248" s="429">
        <f>DVUD!K232</f>
        <v>0</v>
      </c>
      <c r="I248" s="213"/>
    </row>
    <row r="249" spans="1:9" ht="12.75" customHeight="1" x14ac:dyDescent="0.2">
      <c r="A249" s="72"/>
      <c r="B249" s="72"/>
      <c r="C249" s="38">
        <f t="shared" si="13"/>
        <v>0</v>
      </c>
      <c r="D249" s="31"/>
      <c r="E249" s="176"/>
      <c r="F249" s="173"/>
      <c r="G249" s="237"/>
      <c r="H249" s="429">
        <f>DVUD!K233</f>
        <v>0</v>
      </c>
      <c r="I249" s="213"/>
    </row>
    <row r="250" spans="1:9" ht="12.75" customHeight="1" x14ac:dyDescent="0.2">
      <c r="A250" s="72"/>
      <c r="B250" s="72">
        <f>B247+1</f>
        <v>168</v>
      </c>
      <c r="C250" s="38">
        <f t="shared" si="13"/>
        <v>0</v>
      </c>
      <c r="D250" s="31" t="s">
        <v>5591</v>
      </c>
      <c r="E250" s="176"/>
      <c r="F250" s="173"/>
      <c r="G250" s="237"/>
      <c r="H250" s="429">
        <f>DVUD!K234</f>
        <v>0</v>
      </c>
      <c r="I250" s="213"/>
    </row>
    <row r="251" spans="1:9" ht="12.75" customHeight="1" x14ac:dyDescent="0.2">
      <c r="A251" s="72"/>
      <c r="B251" s="72">
        <f t="shared" si="14"/>
        <v>169</v>
      </c>
      <c r="C251" s="38">
        <f t="shared" ref="C251:C305" si="15">A251</f>
        <v>0</v>
      </c>
      <c r="D251" s="31" t="s">
        <v>5391</v>
      </c>
      <c r="E251" s="176"/>
      <c r="F251" s="173"/>
      <c r="G251" s="237"/>
      <c r="H251" s="429">
        <f>DVUD!K235</f>
        <v>0</v>
      </c>
      <c r="I251" s="213"/>
    </row>
    <row r="252" spans="1:9" ht="12.75" customHeight="1" x14ac:dyDescent="0.2">
      <c r="A252" s="72"/>
      <c r="B252" s="72">
        <f t="shared" si="14"/>
        <v>170</v>
      </c>
      <c r="C252" s="38">
        <f t="shared" si="15"/>
        <v>0</v>
      </c>
      <c r="D252" s="31" t="s">
        <v>5592</v>
      </c>
      <c r="E252" s="176"/>
      <c r="F252" s="173"/>
      <c r="G252" s="237"/>
      <c r="H252" s="429">
        <f>DVUD!K236</f>
        <v>0</v>
      </c>
      <c r="I252" s="213"/>
    </row>
    <row r="253" spans="1:9" ht="12.75" customHeight="1" x14ac:dyDescent="0.2">
      <c r="A253" s="72" t="s">
        <v>4059</v>
      </c>
      <c r="B253" s="72">
        <f t="shared" si="14"/>
        <v>171</v>
      </c>
      <c r="C253" s="38" t="str">
        <f t="shared" si="15"/>
        <v>25 Mar</v>
      </c>
      <c r="D253" s="31" t="s">
        <v>5391</v>
      </c>
      <c r="E253" s="176"/>
      <c r="F253" s="173"/>
      <c r="G253" s="237"/>
      <c r="H253" s="429">
        <f>DVUD!K237</f>
        <v>0</v>
      </c>
      <c r="I253" s="213"/>
    </row>
    <row r="254" spans="1:9" ht="12.75" customHeight="1" x14ac:dyDescent="0.2">
      <c r="A254" s="72"/>
      <c r="B254" s="72">
        <f t="shared" si="14"/>
        <v>172</v>
      </c>
      <c r="C254" s="38">
        <f t="shared" si="15"/>
        <v>0</v>
      </c>
      <c r="D254" s="31" t="s">
        <v>5593</v>
      </c>
      <c r="E254" s="176"/>
      <c r="F254" s="173"/>
      <c r="G254" s="237"/>
      <c r="H254" s="429">
        <f>DVUD!K238</f>
        <v>0</v>
      </c>
      <c r="I254" s="213"/>
    </row>
    <row r="255" spans="1:9" ht="12.75" customHeight="1" x14ac:dyDescent="0.2">
      <c r="A255" s="10"/>
      <c r="B255" s="72">
        <v>173</v>
      </c>
      <c r="C255" s="38">
        <f t="shared" si="15"/>
        <v>0</v>
      </c>
      <c r="D255" s="31" t="s">
        <v>5595</v>
      </c>
      <c r="E255" s="176"/>
      <c r="F255" s="173"/>
      <c r="G255" s="237"/>
      <c r="H255" s="429">
        <f>DVUD!K239</f>
        <v>0</v>
      </c>
      <c r="I255" s="213"/>
    </row>
    <row r="256" spans="1:9" ht="12.75" customHeight="1" x14ac:dyDescent="0.2">
      <c r="A256" s="72" t="s">
        <v>4062</v>
      </c>
      <c r="B256" s="72">
        <v>174</v>
      </c>
      <c r="C256" s="38" t="str">
        <f t="shared" si="15"/>
        <v>26 Mar</v>
      </c>
      <c r="D256" s="31" t="s">
        <v>5597</v>
      </c>
      <c r="E256" s="176"/>
      <c r="F256" s="173"/>
      <c r="G256" s="237"/>
      <c r="H256" s="429">
        <f>DVUD!K240</f>
        <v>0</v>
      </c>
      <c r="I256" s="213"/>
    </row>
    <row r="257" spans="1:9" ht="12.75" customHeight="1" x14ac:dyDescent="0.2">
      <c r="A257" s="72" t="s">
        <v>4063</v>
      </c>
      <c r="B257" s="72">
        <v>175</v>
      </c>
      <c r="C257" s="38" t="str">
        <f t="shared" si="15"/>
        <v>27 Mar</v>
      </c>
      <c r="D257" s="31" t="s">
        <v>5598</v>
      </c>
      <c r="E257" s="176"/>
      <c r="F257" s="173"/>
      <c r="G257" s="237"/>
      <c r="H257" s="429">
        <f>DVUD!K241</f>
        <v>0</v>
      </c>
      <c r="I257" s="213"/>
    </row>
    <row r="258" spans="1:9" ht="12.75" customHeight="1" x14ac:dyDescent="0.2">
      <c r="A258" s="72"/>
      <c r="B258" s="72">
        <f>B257+1</f>
        <v>176</v>
      </c>
      <c r="C258" s="38">
        <f t="shared" si="15"/>
        <v>0</v>
      </c>
      <c r="D258" s="31" t="s">
        <v>5599</v>
      </c>
      <c r="E258" s="176"/>
      <c r="F258" s="173"/>
      <c r="G258" s="237"/>
      <c r="H258" s="429">
        <f>DVUD!K242</f>
        <v>0</v>
      </c>
      <c r="I258" s="213"/>
    </row>
    <row r="259" spans="1:9" ht="12.75" customHeight="1" x14ac:dyDescent="0.2">
      <c r="A259" s="72"/>
      <c r="B259" s="72">
        <f t="shared" ref="B259:B270" si="16">B258+1</f>
        <v>177</v>
      </c>
      <c r="C259" s="38">
        <f t="shared" si="15"/>
        <v>0</v>
      </c>
      <c r="D259" s="31" t="s">
        <v>5522</v>
      </c>
      <c r="E259" s="176"/>
      <c r="F259" s="173"/>
      <c r="G259" s="237"/>
      <c r="H259" s="429">
        <f>DVUD!K243</f>
        <v>0</v>
      </c>
      <c r="I259" s="213"/>
    </row>
    <row r="260" spans="1:9" ht="12.75" customHeight="1" x14ac:dyDescent="0.2">
      <c r="A260" s="72"/>
      <c r="B260" s="72">
        <f t="shared" si="16"/>
        <v>178</v>
      </c>
      <c r="C260" s="38">
        <f t="shared" si="15"/>
        <v>0</v>
      </c>
      <c r="D260" s="31" t="s">
        <v>5523</v>
      </c>
      <c r="E260" s="176"/>
      <c r="F260" s="173"/>
      <c r="G260" s="237"/>
      <c r="H260" s="429">
        <f>DVUD!K244</f>
        <v>0</v>
      </c>
      <c r="I260" s="213"/>
    </row>
    <row r="261" spans="1:9" ht="12.75" customHeight="1" x14ac:dyDescent="0.2">
      <c r="A261" s="72"/>
      <c r="B261" s="72">
        <f t="shared" si="16"/>
        <v>179</v>
      </c>
      <c r="C261" s="38">
        <f t="shared" si="15"/>
        <v>0</v>
      </c>
      <c r="D261" s="31" t="s">
        <v>5524</v>
      </c>
      <c r="E261" s="176"/>
      <c r="F261" s="173"/>
      <c r="G261" s="237"/>
      <c r="H261" s="429">
        <f>DVUD!K245</f>
        <v>0</v>
      </c>
      <c r="I261" s="213"/>
    </row>
    <row r="262" spans="1:9" ht="12.75" customHeight="1" x14ac:dyDescent="0.2">
      <c r="A262" s="72"/>
      <c r="B262" s="72">
        <f t="shared" si="16"/>
        <v>180</v>
      </c>
      <c r="C262" s="38">
        <f t="shared" si="15"/>
        <v>0</v>
      </c>
      <c r="D262" s="31" t="s">
        <v>5525</v>
      </c>
      <c r="E262" s="176"/>
      <c r="F262" s="173"/>
      <c r="G262" s="237"/>
      <c r="H262" s="429">
        <f>DVUD!K246</f>
        <v>0</v>
      </c>
      <c r="I262" s="213"/>
    </row>
    <row r="263" spans="1:9" ht="12.75" customHeight="1" x14ac:dyDescent="0.2">
      <c r="A263" s="72"/>
      <c r="B263" s="72"/>
      <c r="C263" s="38">
        <f t="shared" si="15"/>
        <v>0</v>
      </c>
      <c r="D263" s="31" t="s">
        <v>5525</v>
      </c>
      <c r="E263" s="176"/>
      <c r="F263" s="173"/>
      <c r="G263" s="237"/>
      <c r="H263" s="429">
        <f>DVUD!K247</f>
        <v>0</v>
      </c>
      <c r="I263" s="213"/>
    </row>
    <row r="264" spans="1:9" ht="12.75" customHeight="1" x14ac:dyDescent="0.2">
      <c r="A264" s="72"/>
      <c r="B264" s="72"/>
      <c r="C264" s="38">
        <f t="shared" si="15"/>
        <v>0</v>
      </c>
      <c r="D264" s="31" t="s">
        <v>5525</v>
      </c>
      <c r="E264" s="176"/>
      <c r="F264" s="173"/>
      <c r="G264" s="237"/>
      <c r="H264" s="429">
        <f>DVUD!K248</f>
        <v>0</v>
      </c>
      <c r="I264" s="213"/>
    </row>
    <row r="265" spans="1:9" ht="12.75" customHeight="1" x14ac:dyDescent="0.2">
      <c r="A265" s="72"/>
      <c r="B265" s="72">
        <v>181</v>
      </c>
      <c r="C265" s="38">
        <f t="shared" si="15"/>
        <v>0</v>
      </c>
      <c r="D265" s="31" t="s">
        <v>5525</v>
      </c>
      <c r="E265" s="176"/>
      <c r="F265" s="173"/>
      <c r="G265" s="237"/>
      <c r="H265" s="429">
        <f>DVUD!K249</f>
        <v>0</v>
      </c>
      <c r="I265" s="213"/>
    </row>
    <row r="266" spans="1:9" ht="12.75" customHeight="1" x14ac:dyDescent="0.2">
      <c r="A266" s="72"/>
      <c r="B266" s="72">
        <f t="shared" si="16"/>
        <v>182</v>
      </c>
      <c r="C266" s="38">
        <f t="shared" si="15"/>
        <v>0</v>
      </c>
      <c r="D266" s="31" t="s">
        <v>5529</v>
      </c>
      <c r="E266" s="176"/>
      <c r="F266" s="173"/>
      <c r="G266" s="237"/>
      <c r="H266" s="429">
        <f>DVUD!K250</f>
        <v>0</v>
      </c>
      <c r="I266" s="213"/>
    </row>
    <row r="267" spans="1:9" ht="12.75" customHeight="1" x14ac:dyDescent="0.2">
      <c r="A267" s="72"/>
      <c r="B267" s="72">
        <f t="shared" si="16"/>
        <v>183</v>
      </c>
      <c r="C267" s="38">
        <f t="shared" si="15"/>
        <v>0</v>
      </c>
      <c r="D267" s="31" t="s">
        <v>5535</v>
      </c>
      <c r="E267" s="176"/>
      <c r="F267" s="173"/>
      <c r="G267" s="237"/>
      <c r="H267" s="429">
        <f>DVUD!K251</f>
        <v>0</v>
      </c>
      <c r="I267" s="213"/>
    </row>
    <row r="268" spans="1:9" ht="12.75" customHeight="1" x14ac:dyDescent="0.2">
      <c r="A268" s="72"/>
      <c r="B268" s="72">
        <f t="shared" si="16"/>
        <v>184</v>
      </c>
      <c r="C268" s="38">
        <f t="shared" si="15"/>
        <v>0</v>
      </c>
      <c r="D268" s="31" t="s">
        <v>5602</v>
      </c>
      <c r="E268" s="176"/>
      <c r="F268" s="173"/>
      <c r="G268" s="237"/>
      <c r="H268" s="429">
        <f>DVUD!K252</f>
        <v>0</v>
      </c>
      <c r="I268" s="213"/>
    </row>
    <row r="269" spans="1:9" ht="12.75" customHeight="1" x14ac:dyDescent="0.2">
      <c r="A269" s="72"/>
      <c r="B269" s="72">
        <f t="shared" si="16"/>
        <v>185</v>
      </c>
      <c r="C269" s="38">
        <f t="shared" si="15"/>
        <v>0</v>
      </c>
      <c r="D269" s="31" t="s">
        <v>5603</v>
      </c>
      <c r="E269" s="176"/>
      <c r="F269" s="173"/>
      <c r="G269" s="237"/>
      <c r="H269" s="429">
        <f>DVUD!K253</f>
        <v>0</v>
      </c>
      <c r="I269" s="213"/>
    </row>
    <row r="270" spans="1:9" ht="12.75" customHeight="1" x14ac:dyDescent="0.2">
      <c r="A270" s="72"/>
      <c r="B270" s="72">
        <f t="shared" si="16"/>
        <v>186</v>
      </c>
      <c r="C270" s="38">
        <f t="shared" si="15"/>
        <v>0</v>
      </c>
      <c r="D270" s="31" t="s">
        <v>5604</v>
      </c>
      <c r="E270" s="176"/>
      <c r="F270" s="173"/>
      <c r="G270" s="237"/>
      <c r="H270" s="429">
        <f>DVUD!K254</f>
        <v>0</v>
      </c>
      <c r="I270" s="213"/>
    </row>
    <row r="271" spans="1:9" ht="12.75" customHeight="1" x14ac:dyDescent="0.2">
      <c r="A271" s="72"/>
      <c r="B271" s="72"/>
      <c r="C271" s="38">
        <f t="shared" si="15"/>
        <v>0</v>
      </c>
      <c r="D271" s="31" t="s">
        <v>5604</v>
      </c>
      <c r="E271" s="176"/>
      <c r="F271" s="173"/>
      <c r="G271" s="237"/>
      <c r="H271" s="429">
        <f>DVUD!K255</f>
        <v>0</v>
      </c>
      <c r="I271" s="213"/>
    </row>
    <row r="272" spans="1:9" ht="12.75" customHeight="1" x14ac:dyDescent="0.2">
      <c r="A272" s="72"/>
      <c r="B272" s="72">
        <v>187</v>
      </c>
      <c r="C272" s="38">
        <f t="shared" si="15"/>
        <v>0</v>
      </c>
      <c r="D272" s="31" t="s">
        <v>5541</v>
      </c>
      <c r="E272" s="176"/>
      <c r="F272" s="173"/>
      <c r="G272" s="237"/>
      <c r="H272" s="429">
        <f>DVUD!K256</f>
        <v>0</v>
      </c>
      <c r="I272" s="213"/>
    </row>
    <row r="273" spans="1:9" ht="12.75" customHeight="1" x14ac:dyDescent="0.2">
      <c r="A273" s="72"/>
      <c r="B273" s="72">
        <v>188</v>
      </c>
      <c r="C273" s="38">
        <f t="shared" si="15"/>
        <v>0</v>
      </c>
      <c r="D273" s="31" t="s">
        <v>5605</v>
      </c>
      <c r="E273" s="176"/>
      <c r="F273" s="173"/>
      <c r="G273" s="237"/>
      <c r="H273" s="429">
        <f>DVUD!K257</f>
        <v>0</v>
      </c>
      <c r="I273" s="213"/>
    </row>
    <row r="274" spans="1:9" ht="12.75" customHeight="1" x14ac:dyDescent="0.2">
      <c r="A274" s="72"/>
      <c r="B274" s="72">
        <v>189</v>
      </c>
      <c r="C274" s="38">
        <f t="shared" si="15"/>
        <v>0</v>
      </c>
      <c r="D274" s="31" t="s">
        <v>5606</v>
      </c>
      <c r="E274" s="176"/>
      <c r="F274" s="173"/>
      <c r="G274" s="237"/>
      <c r="H274" s="429">
        <f>DVUD!K258</f>
        <v>0</v>
      </c>
      <c r="I274" s="213"/>
    </row>
    <row r="275" spans="1:9" ht="12.75" customHeight="1" x14ac:dyDescent="0.2">
      <c r="A275" s="72"/>
      <c r="B275" s="72">
        <v>190</v>
      </c>
      <c r="C275" s="38">
        <f t="shared" si="15"/>
        <v>0</v>
      </c>
      <c r="D275" s="31" t="s">
        <v>5545</v>
      </c>
      <c r="E275" s="176"/>
      <c r="F275" s="173"/>
      <c r="G275" s="237"/>
      <c r="H275" s="429">
        <f>DVUD!K259</f>
        <v>0</v>
      </c>
      <c r="I275" s="213"/>
    </row>
    <row r="276" spans="1:9" ht="12.75" customHeight="1" x14ac:dyDescent="0.2">
      <c r="A276" s="72"/>
      <c r="B276" s="72">
        <v>191</v>
      </c>
      <c r="C276" s="38">
        <f t="shared" si="15"/>
        <v>0</v>
      </c>
      <c r="D276" s="31" t="s">
        <v>5607</v>
      </c>
      <c r="E276" s="176"/>
      <c r="F276" s="173"/>
      <c r="G276" s="237"/>
      <c r="H276" s="429">
        <f>DVUD!K260</f>
        <v>0</v>
      </c>
      <c r="I276" s="213"/>
    </row>
    <row r="277" spans="1:9" ht="12.75" customHeight="1" x14ac:dyDescent="0.2">
      <c r="A277" s="72"/>
      <c r="B277" s="72">
        <v>192</v>
      </c>
      <c r="C277" s="38">
        <f t="shared" si="15"/>
        <v>0</v>
      </c>
      <c r="D277" s="31" t="s">
        <v>5608</v>
      </c>
      <c r="E277" s="176"/>
      <c r="F277" s="173"/>
      <c r="G277" s="237"/>
      <c r="H277" s="429">
        <f>DVUD!K261</f>
        <v>0</v>
      </c>
      <c r="I277" s="213"/>
    </row>
    <row r="278" spans="1:9" ht="12.75" customHeight="1" x14ac:dyDescent="0.2">
      <c r="A278" s="72"/>
      <c r="B278" s="72">
        <v>193</v>
      </c>
      <c r="C278" s="38">
        <f t="shared" si="15"/>
        <v>0</v>
      </c>
      <c r="D278" s="31" t="s">
        <v>5609</v>
      </c>
      <c r="E278" s="176"/>
      <c r="F278" s="173"/>
      <c r="G278" s="237"/>
      <c r="H278" s="429">
        <f>DVUD!K262</f>
        <v>0</v>
      </c>
      <c r="I278" s="213"/>
    </row>
    <row r="279" spans="1:9" ht="12.75" customHeight="1" x14ac:dyDescent="0.2">
      <c r="A279" s="72"/>
      <c r="B279" s="72">
        <v>194</v>
      </c>
      <c r="C279" s="38">
        <f t="shared" si="15"/>
        <v>0</v>
      </c>
      <c r="D279" s="31" t="s">
        <v>5610</v>
      </c>
      <c r="E279" s="176"/>
      <c r="F279" s="173"/>
      <c r="G279" s="237"/>
      <c r="H279" s="429">
        <f>DVUD!K263</f>
        <v>0</v>
      </c>
      <c r="I279" s="213"/>
    </row>
    <row r="280" spans="1:9" ht="12.75" customHeight="1" x14ac:dyDescent="0.2">
      <c r="A280" s="72"/>
      <c r="B280" s="72">
        <v>195</v>
      </c>
      <c r="C280" s="38">
        <f t="shared" si="15"/>
        <v>0</v>
      </c>
      <c r="D280" s="31" t="s">
        <v>5611</v>
      </c>
      <c r="E280" s="176"/>
      <c r="F280" s="173"/>
      <c r="G280" s="237"/>
      <c r="H280" s="429">
        <f>DVUD!K264</f>
        <v>0</v>
      </c>
      <c r="I280" s="213"/>
    </row>
    <row r="281" spans="1:9" ht="12.75" customHeight="1" x14ac:dyDescent="0.2">
      <c r="A281" s="72"/>
      <c r="B281" s="72">
        <v>196</v>
      </c>
      <c r="C281" s="38">
        <f t="shared" si="15"/>
        <v>0</v>
      </c>
      <c r="D281" s="31" t="s">
        <v>5552</v>
      </c>
      <c r="E281" s="176"/>
      <c r="F281" s="173"/>
      <c r="G281" s="237"/>
      <c r="H281" s="429">
        <f>DVUD!K265</f>
        <v>0</v>
      </c>
      <c r="I281" s="213"/>
    </row>
    <row r="282" spans="1:9" ht="12.75" customHeight="1" x14ac:dyDescent="0.2">
      <c r="A282" s="72"/>
      <c r="B282" s="72">
        <f>B281+1</f>
        <v>197</v>
      </c>
      <c r="C282" s="38">
        <f t="shared" si="15"/>
        <v>0</v>
      </c>
      <c r="D282" s="31" t="s">
        <v>5553</v>
      </c>
      <c r="E282" s="176"/>
      <c r="F282" s="173"/>
      <c r="G282" s="237"/>
      <c r="H282" s="429">
        <f>DVUD!K266</f>
        <v>0</v>
      </c>
      <c r="I282" s="213"/>
    </row>
    <row r="283" spans="1:9" ht="12.75" customHeight="1" x14ac:dyDescent="0.2">
      <c r="A283" s="72"/>
      <c r="B283" s="72">
        <f t="shared" ref="B283:B288" si="17">B282+1</f>
        <v>198</v>
      </c>
      <c r="C283" s="38">
        <f t="shared" si="15"/>
        <v>0</v>
      </c>
      <c r="D283" s="31" t="s">
        <v>5612</v>
      </c>
      <c r="E283" s="176"/>
      <c r="F283" s="173"/>
      <c r="G283" s="237"/>
      <c r="H283" s="429">
        <f>DVUD!K267</f>
        <v>0</v>
      </c>
      <c r="I283" s="213"/>
    </row>
    <row r="284" spans="1:9" ht="12.75" customHeight="1" x14ac:dyDescent="0.2">
      <c r="A284" s="72"/>
      <c r="B284" s="72">
        <f t="shared" si="17"/>
        <v>199</v>
      </c>
      <c r="C284" s="38">
        <f t="shared" si="15"/>
        <v>0</v>
      </c>
      <c r="D284" s="31" t="s">
        <v>5613</v>
      </c>
      <c r="E284" s="176"/>
      <c r="F284" s="173"/>
      <c r="G284" s="237"/>
      <c r="H284" s="429">
        <f>DVUD!K268</f>
        <v>0</v>
      </c>
      <c r="I284" s="213"/>
    </row>
    <row r="285" spans="1:9" ht="12.75" customHeight="1" x14ac:dyDescent="0.2">
      <c r="A285" s="72"/>
      <c r="B285" s="72">
        <f t="shared" si="17"/>
        <v>200</v>
      </c>
      <c r="C285" s="38">
        <f t="shared" si="15"/>
        <v>0</v>
      </c>
      <c r="D285" s="31" t="s">
        <v>5614</v>
      </c>
      <c r="E285" s="176"/>
      <c r="F285" s="173"/>
      <c r="G285" s="237"/>
      <c r="H285" s="429">
        <f>DVUD!K269</f>
        <v>0</v>
      </c>
      <c r="I285" s="213"/>
    </row>
    <row r="286" spans="1:9" ht="12.75" customHeight="1" x14ac:dyDescent="0.2">
      <c r="A286" s="72"/>
      <c r="B286" s="72">
        <f t="shared" si="17"/>
        <v>201</v>
      </c>
      <c r="C286" s="38">
        <f t="shared" si="15"/>
        <v>0</v>
      </c>
      <c r="D286" s="31" t="s">
        <v>5615</v>
      </c>
      <c r="E286" s="176"/>
      <c r="F286" s="173"/>
      <c r="G286" s="237"/>
      <c r="H286" s="429">
        <f>DVUD!K270</f>
        <v>0</v>
      </c>
      <c r="I286" s="213"/>
    </row>
    <row r="287" spans="1:9" ht="12.75" customHeight="1" x14ac:dyDescent="0.2">
      <c r="A287" s="72"/>
      <c r="B287" s="72">
        <f t="shared" si="17"/>
        <v>202</v>
      </c>
      <c r="C287" s="38">
        <f t="shared" si="15"/>
        <v>0</v>
      </c>
      <c r="D287" s="31" t="s">
        <v>5616</v>
      </c>
      <c r="E287" s="176"/>
      <c r="F287" s="173"/>
      <c r="G287" s="237"/>
      <c r="H287" s="429">
        <f>DVUD!K271</f>
        <v>0</v>
      </c>
      <c r="I287" s="213"/>
    </row>
    <row r="288" spans="1:9" ht="12.75" customHeight="1" x14ac:dyDescent="0.2">
      <c r="A288" s="72" t="s">
        <v>5619</v>
      </c>
      <c r="B288" s="72">
        <f t="shared" si="17"/>
        <v>203</v>
      </c>
      <c r="C288" s="38" t="str">
        <f t="shared" si="15"/>
        <v>30 Mar</v>
      </c>
      <c r="D288" s="31" t="s">
        <v>5000</v>
      </c>
      <c r="E288" s="176"/>
      <c r="F288" s="173"/>
      <c r="G288" s="237"/>
      <c r="H288" s="429">
        <f>DVUD!K272</f>
        <v>0</v>
      </c>
      <c r="I288" s="213"/>
    </row>
    <row r="289" spans="1:9" ht="12.75" customHeight="1" x14ac:dyDescent="0.2">
      <c r="A289" s="72"/>
      <c r="B289" s="72"/>
      <c r="C289" s="38">
        <f t="shared" si="15"/>
        <v>0</v>
      </c>
      <c r="D289" s="31" t="s">
        <v>5000</v>
      </c>
      <c r="E289" s="176"/>
      <c r="F289" s="173"/>
      <c r="G289" s="237"/>
      <c r="H289" s="429">
        <f>DVUD!K273</f>
        <v>0</v>
      </c>
      <c r="I289" s="213"/>
    </row>
    <row r="290" spans="1:9" ht="12.75" customHeight="1" x14ac:dyDescent="0.2">
      <c r="A290" s="72"/>
      <c r="B290" s="72"/>
      <c r="C290" s="38">
        <f t="shared" si="15"/>
        <v>0</v>
      </c>
      <c r="D290" s="31" t="s">
        <v>5000</v>
      </c>
      <c r="E290" s="176"/>
      <c r="F290" s="173"/>
      <c r="G290" s="237"/>
      <c r="H290" s="429">
        <f>DVUD!K274</f>
        <v>0</v>
      </c>
      <c r="I290" s="213"/>
    </row>
    <row r="291" spans="1:9" ht="12.75" customHeight="1" x14ac:dyDescent="0.2">
      <c r="A291" s="72"/>
      <c r="B291" s="72">
        <v>204</v>
      </c>
      <c r="C291" s="38">
        <f t="shared" si="15"/>
        <v>0</v>
      </c>
      <c r="D291" s="31" t="s">
        <v>5618</v>
      </c>
      <c r="E291" s="176"/>
      <c r="F291" s="173"/>
      <c r="G291" s="237"/>
      <c r="H291" s="429">
        <f>DVUD!K275</f>
        <v>0</v>
      </c>
      <c r="I291" s="213"/>
    </row>
    <row r="292" spans="1:9" ht="12.75" customHeight="1" x14ac:dyDescent="0.2">
      <c r="A292" s="72"/>
      <c r="B292" s="72">
        <v>205</v>
      </c>
      <c r="C292" s="38">
        <f t="shared" si="15"/>
        <v>0</v>
      </c>
      <c r="D292" s="31" t="s">
        <v>5533</v>
      </c>
      <c r="E292" s="176"/>
      <c r="F292" s="173"/>
      <c r="G292" s="237"/>
      <c r="H292" s="429">
        <f>DVUD!K276</f>
        <v>0</v>
      </c>
      <c r="I292" s="213"/>
    </row>
    <row r="293" spans="1:9" ht="12.75" customHeight="1" x14ac:dyDescent="0.2">
      <c r="A293" s="72"/>
      <c r="B293" s="72"/>
      <c r="C293" s="38">
        <f t="shared" si="15"/>
        <v>0</v>
      </c>
      <c r="D293" s="31" t="s">
        <v>5533</v>
      </c>
      <c r="E293" s="176"/>
      <c r="F293" s="173"/>
      <c r="G293" s="237"/>
      <c r="H293" s="429">
        <f>DVUD!K277</f>
        <v>0</v>
      </c>
      <c r="I293" s="213"/>
    </row>
    <row r="294" spans="1:9" ht="12.75" customHeight="1" x14ac:dyDescent="0.2">
      <c r="A294" s="72"/>
      <c r="B294" s="72"/>
      <c r="C294" s="38">
        <f t="shared" si="15"/>
        <v>0</v>
      </c>
      <c r="D294" s="31" t="s">
        <v>5533</v>
      </c>
      <c r="E294" s="176"/>
      <c r="F294" s="173"/>
      <c r="G294" s="237"/>
      <c r="H294" s="429">
        <f>DVUD!K278</f>
        <v>0</v>
      </c>
      <c r="I294" s="213"/>
    </row>
    <row r="295" spans="1:9" ht="12.75" customHeight="1" x14ac:dyDescent="0.2">
      <c r="A295" s="72"/>
      <c r="B295" s="72">
        <v>206</v>
      </c>
      <c r="C295" s="38">
        <f t="shared" si="15"/>
        <v>0</v>
      </c>
      <c r="D295" s="31" t="s">
        <v>5620</v>
      </c>
      <c r="E295" s="176"/>
      <c r="F295" s="173"/>
      <c r="G295" s="237"/>
      <c r="H295" s="429">
        <f>DVUD!K279</f>
        <v>0</v>
      </c>
      <c r="I295" s="213"/>
    </row>
    <row r="296" spans="1:9" ht="12.75" customHeight="1" x14ac:dyDescent="0.2">
      <c r="A296" s="72"/>
      <c r="B296" s="72">
        <f>B295+1</f>
        <v>207</v>
      </c>
      <c r="C296" s="38">
        <f t="shared" si="15"/>
        <v>0</v>
      </c>
      <c r="D296" s="31" t="s">
        <v>5621</v>
      </c>
      <c r="E296" s="176"/>
      <c r="F296" s="173"/>
      <c r="G296" s="237"/>
      <c r="H296" s="429">
        <f>DVUD!K280</f>
        <v>0</v>
      </c>
      <c r="I296" s="213"/>
    </row>
    <row r="297" spans="1:9" ht="12.75" customHeight="1" x14ac:dyDescent="0.2">
      <c r="A297" s="72"/>
      <c r="B297" s="72">
        <f t="shared" ref="B297:B305" si="18">B296+1</f>
        <v>208</v>
      </c>
      <c r="C297" s="38">
        <f t="shared" si="15"/>
        <v>0</v>
      </c>
      <c r="D297" s="31" t="s">
        <v>5391</v>
      </c>
      <c r="E297" s="176"/>
      <c r="F297" s="173"/>
      <c r="G297" s="237"/>
      <c r="H297" s="429">
        <f>DVUD!K281</f>
        <v>0</v>
      </c>
      <c r="I297" s="213"/>
    </row>
    <row r="298" spans="1:9" ht="12.75" customHeight="1" x14ac:dyDescent="0.2">
      <c r="A298" s="72"/>
      <c r="B298" s="72">
        <f t="shared" si="18"/>
        <v>209</v>
      </c>
      <c r="C298" s="38">
        <f t="shared" si="15"/>
        <v>0</v>
      </c>
      <c r="D298" s="31" t="s">
        <v>5622</v>
      </c>
      <c r="E298" s="176"/>
      <c r="F298" s="173"/>
      <c r="G298" s="237"/>
      <c r="H298" s="429">
        <f>DVUD!K282</f>
        <v>0</v>
      </c>
      <c r="I298" s="213"/>
    </row>
    <row r="299" spans="1:9" ht="12.75" customHeight="1" x14ac:dyDescent="0.2">
      <c r="A299" s="72"/>
      <c r="B299" s="72">
        <f t="shared" si="18"/>
        <v>210</v>
      </c>
      <c r="C299" s="38">
        <f t="shared" si="15"/>
        <v>0</v>
      </c>
      <c r="D299" s="31" t="s">
        <v>5624</v>
      </c>
      <c r="E299" s="176"/>
      <c r="F299" s="173"/>
      <c r="G299" s="237"/>
      <c r="H299" s="429">
        <f>DVUD!K283</f>
        <v>0</v>
      </c>
      <c r="I299" s="213"/>
    </row>
    <row r="300" spans="1:9" ht="12.75" customHeight="1" x14ac:dyDescent="0.2">
      <c r="A300" s="72"/>
      <c r="B300" s="72">
        <f t="shared" si="18"/>
        <v>211</v>
      </c>
      <c r="C300" s="38">
        <f t="shared" si="15"/>
        <v>0</v>
      </c>
      <c r="D300" s="31" t="s">
        <v>5626</v>
      </c>
      <c r="E300" s="176"/>
      <c r="F300" s="173"/>
      <c r="G300" s="237"/>
      <c r="H300" s="429">
        <f>DVUD!K284</f>
        <v>0</v>
      </c>
      <c r="I300" s="213"/>
    </row>
    <row r="301" spans="1:9" ht="12.75" customHeight="1" x14ac:dyDescent="0.2">
      <c r="A301" s="72"/>
      <c r="B301" s="72">
        <f t="shared" si="18"/>
        <v>212</v>
      </c>
      <c r="C301" s="38">
        <f t="shared" si="15"/>
        <v>0</v>
      </c>
      <c r="D301" s="31" t="s">
        <v>5628</v>
      </c>
      <c r="E301" s="176"/>
      <c r="F301" s="173"/>
      <c r="G301" s="237"/>
      <c r="H301" s="429">
        <f>DVUD!K285</f>
        <v>0</v>
      </c>
      <c r="I301" s="213"/>
    </row>
    <row r="302" spans="1:9" ht="12.75" customHeight="1" x14ac:dyDescent="0.2">
      <c r="A302" s="72"/>
      <c r="B302" s="72">
        <f t="shared" si="18"/>
        <v>213</v>
      </c>
      <c r="C302" s="38">
        <f t="shared" si="15"/>
        <v>0</v>
      </c>
      <c r="D302" s="31" t="s">
        <v>5629</v>
      </c>
      <c r="E302" s="176"/>
      <c r="F302" s="173"/>
      <c r="G302" s="237"/>
      <c r="H302" s="429">
        <f>DVUD!K286</f>
        <v>0</v>
      </c>
      <c r="I302" s="213"/>
    </row>
    <row r="303" spans="1:9" ht="12.75" customHeight="1" x14ac:dyDescent="0.2">
      <c r="A303" s="72"/>
      <c r="B303" s="72">
        <f t="shared" si="18"/>
        <v>214</v>
      </c>
      <c r="C303" s="38">
        <f t="shared" si="15"/>
        <v>0</v>
      </c>
      <c r="D303" s="31" t="s">
        <v>5630</v>
      </c>
      <c r="E303" s="176"/>
      <c r="F303" s="173"/>
      <c r="G303" s="237"/>
      <c r="H303" s="429">
        <f>DVUD!K287</f>
        <v>0</v>
      </c>
      <c r="I303" s="213"/>
    </row>
    <row r="304" spans="1:9" ht="12.75" customHeight="1" x14ac:dyDescent="0.2">
      <c r="A304" s="72"/>
      <c r="B304" s="72">
        <f t="shared" si="18"/>
        <v>215</v>
      </c>
      <c r="C304" s="38">
        <f t="shared" si="15"/>
        <v>0</v>
      </c>
      <c r="D304" s="31" t="s">
        <v>5631</v>
      </c>
      <c r="E304" s="176"/>
      <c r="F304" s="173"/>
      <c r="G304" s="237"/>
      <c r="H304" s="429">
        <f>DVUD!K288</f>
        <v>0</v>
      </c>
      <c r="I304" s="213"/>
    </row>
    <row r="305" spans="1:9" ht="12.75" customHeight="1" x14ac:dyDescent="0.2">
      <c r="A305" s="72"/>
      <c r="B305" s="72">
        <f t="shared" si="18"/>
        <v>216</v>
      </c>
      <c r="C305" s="38">
        <f t="shared" si="15"/>
        <v>0</v>
      </c>
      <c r="D305" s="31" t="s">
        <v>5632</v>
      </c>
      <c r="E305" s="176"/>
      <c r="F305" s="173"/>
      <c r="G305" s="237"/>
      <c r="H305" s="429">
        <f>DVUD!K289</f>
        <v>0</v>
      </c>
      <c r="I305" s="213"/>
    </row>
    <row r="306" spans="1:9" ht="12.75" customHeight="1" x14ac:dyDescent="0.2">
      <c r="A306" s="702" t="s">
        <v>3556</v>
      </c>
      <c r="B306" s="703"/>
      <c r="C306" s="703"/>
      <c r="D306" s="703"/>
      <c r="E306" s="703"/>
      <c r="F306" s="704"/>
      <c r="G306" s="94">
        <f>SUM(G219:G305)</f>
        <v>0</v>
      </c>
      <c r="H306" s="94">
        <f>SUM(H219:H305)</f>
        <v>0</v>
      </c>
      <c r="I306" s="94">
        <f>SUM(I244:I305)</f>
        <v>0</v>
      </c>
    </row>
    <row r="307" spans="1:9" ht="12.75" customHeight="1" x14ac:dyDescent="0.2">
      <c r="A307" s="702" t="s">
        <v>3560</v>
      </c>
      <c r="B307" s="703"/>
      <c r="C307" s="703"/>
      <c r="D307" s="703"/>
      <c r="E307" s="703"/>
      <c r="F307" s="704"/>
      <c r="G307" s="94">
        <f>G208</f>
        <v>0</v>
      </c>
      <c r="H307" s="94">
        <f>H208</f>
        <v>0</v>
      </c>
      <c r="I307" s="94"/>
    </row>
    <row r="308" spans="1:9" ht="12.75" customHeight="1" thickBot="1" x14ac:dyDescent="0.25">
      <c r="A308" s="705" t="s">
        <v>3558</v>
      </c>
      <c r="B308" s="706"/>
      <c r="C308" s="706"/>
      <c r="D308" s="706"/>
      <c r="E308" s="706"/>
      <c r="F308" s="707"/>
      <c r="G308" s="93">
        <f>SUM(G306:G307)</f>
        <v>0</v>
      </c>
      <c r="H308" s="93">
        <f>SUM(H306:H307)</f>
        <v>0</v>
      </c>
      <c r="I308" s="93"/>
    </row>
    <row r="309" spans="1:9" ht="12.75" customHeight="1" x14ac:dyDescent="0.2">
      <c r="A309" s="19"/>
      <c r="B309" s="19"/>
      <c r="C309" s="19"/>
      <c r="D309" s="19"/>
      <c r="E309" s="19"/>
      <c r="F309" s="19"/>
      <c r="G309" s="234"/>
      <c r="H309" s="234"/>
      <c r="I309" s="234"/>
    </row>
    <row r="310" spans="1:9" ht="12.75" customHeight="1" x14ac:dyDescent="0.2">
      <c r="G310" s="46">
        <f>DVUD!H292</f>
        <v>0</v>
      </c>
      <c r="H310" s="46"/>
      <c r="I310" s="46"/>
    </row>
    <row r="311" spans="1:9" ht="12.75" customHeight="1" x14ac:dyDescent="0.2">
      <c r="A311" s="687"/>
      <c r="B311" s="687"/>
      <c r="C311" s="687"/>
      <c r="D311" s="687"/>
      <c r="E311" s="143"/>
      <c r="F311" s="143"/>
      <c r="G311" s="708"/>
      <c r="H311" s="708"/>
      <c r="I311" s="708"/>
    </row>
    <row r="312" spans="1:9" ht="12.75" customHeight="1" x14ac:dyDescent="0.2">
      <c r="A312" s="687"/>
      <c r="B312" s="687"/>
      <c r="C312" s="687"/>
      <c r="D312" s="687"/>
      <c r="E312" s="143"/>
      <c r="F312" s="143"/>
      <c r="G312" s="708"/>
      <c r="H312" s="708"/>
      <c r="I312" s="708"/>
    </row>
    <row r="313" spans="1:9" ht="12.75" customHeight="1" x14ac:dyDescent="0.2">
      <c r="A313" s="305"/>
      <c r="B313" s="305"/>
      <c r="C313" s="305"/>
      <c r="D313" s="305"/>
      <c r="E313" s="143"/>
      <c r="F313" s="143"/>
      <c r="G313" s="308"/>
      <c r="H313" s="308"/>
      <c r="I313" s="308"/>
    </row>
    <row r="314" spans="1:9" ht="12.75" customHeight="1" x14ac:dyDescent="0.2">
      <c r="A314" s="687"/>
      <c r="B314" s="687"/>
      <c r="C314" s="687"/>
      <c r="D314" s="687"/>
      <c r="E314" s="143"/>
      <c r="F314" s="143"/>
      <c r="G314" s="708"/>
      <c r="H314" s="708"/>
      <c r="I314" s="708"/>
    </row>
    <row r="315" spans="1:9" ht="12.75" customHeight="1" x14ac:dyDescent="0.2">
      <c r="A315" s="687"/>
      <c r="B315" s="687"/>
      <c r="C315" s="687"/>
      <c r="D315" s="687"/>
      <c r="E315" s="143"/>
      <c r="F315" s="143"/>
      <c r="G315" s="708"/>
      <c r="H315" s="708"/>
      <c r="I315" s="708"/>
    </row>
    <row r="316" spans="1:9" ht="12.75" customHeight="1" x14ac:dyDescent="0.2">
      <c r="A316" s="709"/>
      <c r="B316" s="709"/>
      <c r="C316" s="709"/>
      <c r="D316" s="709"/>
      <c r="E316" s="233"/>
      <c r="F316" s="233"/>
      <c r="G316" s="700"/>
      <c r="H316" s="700"/>
      <c r="I316" s="700"/>
    </row>
    <row r="317" spans="1:9" ht="12.75" customHeight="1" x14ac:dyDescent="0.2">
      <c r="A317" s="311"/>
      <c r="B317" s="311"/>
      <c r="C317" s="311"/>
      <c r="D317" s="311"/>
      <c r="E317" s="233"/>
      <c r="F317" s="233"/>
      <c r="G317" s="309"/>
      <c r="H317" s="309"/>
      <c r="I317" s="309"/>
    </row>
    <row r="318" spans="1:9" ht="12.75" customHeight="1" x14ac:dyDescent="0.2">
      <c r="A318" s="311"/>
      <c r="B318" s="311"/>
      <c r="C318" s="311"/>
      <c r="D318" s="311"/>
      <c r="E318" s="233"/>
      <c r="F318" s="233"/>
      <c r="G318" s="309"/>
      <c r="H318" s="309"/>
      <c r="I318" s="309"/>
    </row>
    <row r="319" spans="1:9" ht="12.75" customHeight="1" x14ac:dyDescent="0.2">
      <c r="A319" s="311"/>
      <c r="B319" s="311"/>
      <c r="C319" s="311"/>
      <c r="D319" s="311"/>
      <c r="E319" s="233"/>
      <c r="F319" s="233"/>
      <c r="G319" s="309"/>
      <c r="H319" s="309"/>
      <c r="I319" s="309"/>
    </row>
    <row r="320" spans="1:9" ht="12.75" customHeight="1" x14ac:dyDescent="0.2">
      <c r="A320" s="311"/>
      <c r="B320" s="311"/>
      <c r="C320" s="311"/>
      <c r="D320" s="311"/>
      <c r="E320" s="233"/>
      <c r="F320" s="233"/>
      <c r="G320" s="309"/>
      <c r="H320" s="309"/>
      <c r="I320" s="309"/>
    </row>
    <row r="321" spans="1:9" ht="12.75" customHeight="1" x14ac:dyDescent="0.2">
      <c r="A321" s="311"/>
      <c r="B321" s="311"/>
      <c r="C321" s="311"/>
      <c r="D321" s="311"/>
      <c r="E321" s="233"/>
      <c r="F321" s="233"/>
      <c r="G321" s="309"/>
      <c r="H321" s="309"/>
      <c r="I321" s="309"/>
    </row>
    <row r="322" spans="1:9" ht="12.75" customHeight="1" x14ac:dyDescent="0.2">
      <c r="A322" s="311"/>
      <c r="B322" s="311"/>
      <c r="C322" s="311"/>
      <c r="D322" s="311"/>
      <c r="E322" s="233"/>
      <c r="F322" s="233"/>
      <c r="G322" s="309"/>
      <c r="H322" s="309"/>
      <c r="I322" s="309"/>
    </row>
    <row r="323" spans="1:9" ht="12.75" customHeight="1" x14ac:dyDescent="0.2">
      <c r="A323" s="311"/>
      <c r="B323" s="311"/>
      <c r="C323" s="311"/>
      <c r="D323" s="311"/>
      <c r="E323" s="233"/>
      <c r="F323" s="233"/>
      <c r="G323" s="309"/>
      <c r="H323" s="309"/>
      <c r="I323" s="309"/>
    </row>
    <row r="324" spans="1:9" ht="12.75" customHeight="1" x14ac:dyDescent="0.2">
      <c r="A324" s="311"/>
      <c r="B324" s="311"/>
      <c r="C324" s="311"/>
      <c r="D324" s="311"/>
      <c r="E324" s="233"/>
      <c r="F324" s="233"/>
      <c r="G324" s="309"/>
      <c r="H324" s="309"/>
      <c r="I324" s="309"/>
    </row>
    <row r="325" spans="1:9" ht="12.75" customHeight="1" x14ac:dyDescent="0.2">
      <c r="A325" s="311"/>
      <c r="B325" s="311"/>
      <c r="C325" s="311"/>
      <c r="D325" s="311"/>
      <c r="E325" s="233"/>
      <c r="F325" s="233"/>
      <c r="G325" s="309"/>
      <c r="H325" s="309"/>
      <c r="I325" s="309"/>
    </row>
    <row r="326" spans="1:9" ht="12.75" customHeight="1" x14ac:dyDescent="0.2">
      <c r="A326" s="311"/>
      <c r="B326" s="311"/>
      <c r="C326" s="311"/>
      <c r="D326" s="311"/>
      <c r="E326" s="233"/>
      <c r="F326" s="233"/>
      <c r="G326" s="309"/>
      <c r="H326" s="309"/>
      <c r="I326" s="309"/>
    </row>
    <row r="327" spans="1:9" ht="12.75" customHeight="1" x14ac:dyDescent="0.2">
      <c r="A327" s="311"/>
      <c r="B327" s="311"/>
      <c r="C327" s="311"/>
      <c r="D327" s="311"/>
      <c r="E327" s="233"/>
      <c r="F327" s="233"/>
      <c r="G327" s="309"/>
      <c r="H327" s="309"/>
      <c r="I327" s="309"/>
    </row>
    <row r="328" spans="1:9" ht="12.75" customHeight="1" x14ac:dyDescent="0.2">
      <c r="A328" s="311"/>
      <c r="B328" s="311"/>
      <c r="C328" s="311"/>
      <c r="D328" s="311"/>
      <c r="E328" s="233"/>
      <c r="F328" s="233"/>
      <c r="G328" s="309"/>
      <c r="H328" s="309"/>
      <c r="I328" s="309"/>
    </row>
    <row r="329" spans="1:9" ht="12.75" customHeight="1" x14ac:dyDescent="0.2">
      <c r="A329" s="311"/>
      <c r="B329" s="311"/>
      <c r="C329" s="311"/>
      <c r="D329" s="311"/>
      <c r="E329" s="233"/>
      <c r="F329" s="233"/>
      <c r="G329" s="309"/>
      <c r="H329" s="309"/>
      <c r="I329" s="309"/>
    </row>
    <row r="330" spans="1:9" ht="12.75" customHeight="1" x14ac:dyDescent="0.2">
      <c r="A330" s="311"/>
      <c r="B330" s="311"/>
      <c r="C330" s="311"/>
      <c r="D330" s="311"/>
      <c r="E330" s="233"/>
      <c r="F330" s="233"/>
      <c r="G330" s="309"/>
      <c r="H330" s="309"/>
      <c r="I330" s="309"/>
    </row>
    <row r="331" spans="1:9" ht="12.75" customHeight="1" x14ac:dyDescent="0.2">
      <c r="A331" s="311"/>
      <c r="B331" s="311"/>
      <c r="C331" s="311"/>
      <c r="D331" s="311"/>
      <c r="E331" s="233"/>
      <c r="F331" s="233"/>
      <c r="G331" s="309"/>
      <c r="H331" s="309"/>
      <c r="I331" s="309"/>
    </row>
    <row r="332" spans="1:9" ht="12.75" customHeight="1" x14ac:dyDescent="0.2">
      <c r="A332" s="311"/>
      <c r="B332" s="311"/>
      <c r="C332" s="311"/>
      <c r="D332" s="311"/>
      <c r="E332" s="233"/>
      <c r="F332" s="233"/>
      <c r="G332" s="309"/>
      <c r="H332" s="309"/>
      <c r="I332" s="309"/>
    </row>
    <row r="333" spans="1:9" ht="12.75" customHeight="1" x14ac:dyDescent="0.2">
      <c r="A333" s="311"/>
      <c r="B333" s="311"/>
      <c r="C333" s="311"/>
      <c r="D333" s="311"/>
      <c r="E333" s="233"/>
      <c r="F333" s="233"/>
      <c r="G333" s="309"/>
      <c r="H333" s="309"/>
      <c r="I333" s="309"/>
    </row>
    <row r="334" spans="1:9" ht="12.75" customHeight="1" x14ac:dyDescent="0.2">
      <c r="A334" s="311"/>
      <c r="B334" s="311"/>
      <c r="C334" s="311"/>
      <c r="D334" s="311"/>
      <c r="E334" s="233"/>
      <c r="F334" s="233"/>
      <c r="G334" s="309"/>
      <c r="H334" s="309"/>
      <c r="I334" s="309"/>
    </row>
    <row r="335" spans="1:9" ht="12.75" customHeight="1" x14ac:dyDescent="0.2">
      <c r="A335" s="311"/>
      <c r="B335" s="311"/>
      <c r="C335" s="311"/>
      <c r="D335" s="311"/>
      <c r="E335" s="233"/>
      <c r="F335" s="233"/>
      <c r="G335" s="309"/>
      <c r="H335" s="309"/>
      <c r="I335" s="309"/>
    </row>
    <row r="336" spans="1:9" ht="12.75" customHeight="1" x14ac:dyDescent="0.2">
      <c r="A336" s="311"/>
      <c r="B336" s="311"/>
      <c r="C336" s="311"/>
      <c r="D336" s="311"/>
      <c r="E336" s="233"/>
      <c r="F336" s="233"/>
      <c r="G336" s="309"/>
      <c r="H336" s="309"/>
      <c r="I336" s="309"/>
    </row>
    <row r="337" spans="1:9" ht="12.75" customHeight="1" x14ac:dyDescent="0.2">
      <c r="A337" s="311"/>
      <c r="B337" s="311"/>
      <c r="C337" s="311"/>
      <c r="D337" s="311"/>
      <c r="E337" s="233"/>
      <c r="F337" s="233"/>
      <c r="G337" s="309"/>
      <c r="H337" s="309"/>
      <c r="I337" s="309"/>
    </row>
    <row r="338" spans="1:9" ht="12.75" customHeight="1" x14ac:dyDescent="0.2">
      <c r="A338" s="311"/>
      <c r="B338" s="311"/>
      <c r="C338" s="311"/>
      <c r="D338" s="311"/>
      <c r="E338" s="233"/>
      <c r="F338" s="233"/>
      <c r="G338" s="309"/>
      <c r="H338" s="309"/>
      <c r="I338" s="309"/>
    </row>
    <row r="339" spans="1:9" ht="12.75" customHeight="1" x14ac:dyDescent="0.2">
      <c r="A339" s="311"/>
      <c r="B339" s="311"/>
      <c r="C339" s="311"/>
      <c r="D339" s="311"/>
      <c r="E339" s="233"/>
      <c r="F339" s="233"/>
      <c r="G339" s="309"/>
      <c r="H339" s="309"/>
      <c r="I339" s="309"/>
    </row>
    <row r="340" spans="1:9" ht="12.75" customHeight="1" x14ac:dyDescent="0.2">
      <c r="A340" s="311"/>
      <c r="B340" s="311"/>
      <c r="C340" s="311"/>
      <c r="D340" s="311"/>
      <c r="E340" s="233"/>
      <c r="F340" s="233"/>
      <c r="G340" s="309"/>
      <c r="H340" s="309"/>
      <c r="I340" s="309"/>
    </row>
    <row r="341" spans="1:9" ht="12.75" customHeight="1" x14ac:dyDescent="0.2">
      <c r="A341" s="311"/>
      <c r="B341" s="311"/>
      <c r="C341" s="311"/>
      <c r="D341" s="311"/>
      <c r="E341" s="233"/>
      <c r="F341" s="233"/>
      <c r="G341" s="309"/>
      <c r="H341" s="309"/>
      <c r="I341" s="309"/>
    </row>
    <row r="342" spans="1:9" ht="12.75" customHeight="1" x14ac:dyDescent="0.2">
      <c r="A342" s="311"/>
      <c r="B342" s="311"/>
      <c r="C342" s="311"/>
      <c r="D342" s="311"/>
      <c r="E342" s="233"/>
      <c r="F342" s="233"/>
      <c r="G342" s="309"/>
      <c r="H342" s="309"/>
      <c r="I342" s="309"/>
    </row>
    <row r="343" spans="1:9" ht="12.75" customHeight="1" x14ac:dyDescent="0.2">
      <c r="A343" s="311"/>
      <c r="B343" s="311"/>
      <c r="C343" s="311"/>
      <c r="D343" s="311"/>
      <c r="E343" s="233"/>
      <c r="F343" s="233"/>
      <c r="G343" s="309"/>
      <c r="H343" s="309"/>
      <c r="I343" s="309"/>
    </row>
    <row r="344" spans="1:9" ht="12.75" customHeight="1" x14ac:dyDescent="0.2">
      <c r="A344" s="311"/>
      <c r="B344" s="311"/>
      <c r="C344" s="311"/>
      <c r="D344" s="311"/>
      <c r="E344" s="233"/>
      <c r="F344" s="233"/>
      <c r="G344" s="309"/>
      <c r="H344" s="309"/>
      <c r="I344" s="309"/>
    </row>
    <row r="345" spans="1:9" ht="12.75" customHeight="1" x14ac:dyDescent="0.2">
      <c r="A345" s="311"/>
      <c r="B345" s="311"/>
      <c r="C345" s="311"/>
      <c r="D345" s="311"/>
      <c r="E345" s="233"/>
      <c r="F345" s="233"/>
      <c r="G345" s="309"/>
      <c r="H345" s="309"/>
      <c r="I345" s="309"/>
    </row>
    <row r="346" spans="1:9" ht="12.75" customHeight="1" x14ac:dyDescent="0.2">
      <c r="A346" s="311"/>
      <c r="B346" s="311"/>
      <c r="C346" s="311"/>
      <c r="D346" s="311"/>
      <c r="E346" s="233"/>
      <c r="F346" s="233"/>
      <c r="G346" s="309"/>
      <c r="H346" s="309"/>
      <c r="I346" s="309"/>
    </row>
    <row r="347" spans="1:9" ht="12.75" customHeight="1" x14ac:dyDescent="0.2">
      <c r="A347" s="311"/>
      <c r="B347" s="311"/>
      <c r="C347" s="311"/>
      <c r="D347" s="311"/>
      <c r="E347" s="233"/>
      <c r="F347" s="233"/>
      <c r="G347" s="309"/>
      <c r="H347" s="309"/>
      <c r="I347" s="309"/>
    </row>
    <row r="348" spans="1:9" ht="12.75" customHeight="1" x14ac:dyDescent="0.2">
      <c r="A348" s="311"/>
      <c r="B348" s="311"/>
      <c r="C348" s="311"/>
      <c r="D348" s="311"/>
      <c r="E348" s="233"/>
      <c r="F348" s="233"/>
      <c r="G348" s="309"/>
      <c r="H348" s="309"/>
      <c r="I348" s="309"/>
    </row>
    <row r="349" spans="1:9" ht="12.75" customHeight="1" x14ac:dyDescent="0.2">
      <c r="A349" s="311"/>
      <c r="B349" s="311"/>
      <c r="C349" s="311"/>
      <c r="D349" s="311"/>
      <c r="E349" s="233"/>
      <c r="F349" s="233"/>
      <c r="G349" s="309"/>
      <c r="H349" s="309"/>
      <c r="I349" s="309"/>
    </row>
    <row r="350" spans="1:9" ht="12.75" customHeight="1" x14ac:dyDescent="0.2">
      <c r="A350" s="9" t="s">
        <v>0</v>
      </c>
      <c r="B350" s="9"/>
      <c r="C350" s="9"/>
      <c r="D350" s="9"/>
      <c r="E350" s="9"/>
      <c r="F350" s="9"/>
      <c r="G350" s="9"/>
      <c r="H350" s="9"/>
      <c r="I350" s="9"/>
    </row>
    <row r="351" spans="1:9" ht="12.75" customHeight="1" x14ac:dyDescent="0.2">
      <c r="A351" s="9" t="s">
        <v>1</v>
      </c>
      <c r="B351" s="9"/>
      <c r="C351" s="9"/>
      <c r="D351" s="9"/>
      <c r="E351" s="9"/>
      <c r="F351" s="9"/>
      <c r="G351" s="9"/>
      <c r="H351" s="9"/>
      <c r="I351" s="9"/>
    </row>
    <row r="352" spans="1:9" ht="12.75" customHeight="1" x14ac:dyDescent="0.2">
      <c r="A352" s="9"/>
      <c r="B352" s="9"/>
      <c r="C352" s="9"/>
      <c r="D352" s="9"/>
      <c r="E352" s="9"/>
      <c r="F352" s="9"/>
      <c r="G352" s="9"/>
      <c r="H352" s="9"/>
      <c r="I352" s="9"/>
    </row>
    <row r="353" spans="1:9" ht="12.75" customHeight="1" x14ac:dyDescent="0.2">
      <c r="A353" s="240" t="s">
        <v>77</v>
      </c>
      <c r="B353" s="240"/>
      <c r="C353" s="240"/>
      <c r="D353" s="240"/>
      <c r="E353" s="240"/>
      <c r="F353" s="240"/>
      <c r="G353" s="240"/>
      <c r="H353" s="240"/>
      <c r="I353" s="240"/>
    </row>
    <row r="354" spans="1:9" ht="12.75" customHeight="1" x14ac:dyDescent="0.2">
      <c r="A354" s="240" t="s">
        <v>3568</v>
      </c>
      <c r="B354" s="240"/>
      <c r="C354" s="240"/>
      <c r="D354" s="240"/>
      <c r="E354" s="240"/>
      <c r="F354" s="240"/>
      <c r="G354" s="240"/>
      <c r="H354" s="240"/>
      <c r="I354" s="240"/>
    </row>
    <row r="355" spans="1:9" ht="12.75" customHeight="1" x14ac:dyDescent="0.2">
      <c r="A355" s="306" t="s">
        <v>3</v>
      </c>
      <c r="B355" s="310" t="s">
        <v>4</v>
      </c>
      <c r="C355" s="310"/>
      <c r="D355" s="306" t="s">
        <v>5</v>
      </c>
      <c r="E355" s="567" t="s">
        <v>6</v>
      </c>
      <c r="F355" s="568"/>
      <c r="G355" s="310" t="s">
        <v>10</v>
      </c>
      <c r="H355" s="310" t="s">
        <v>90</v>
      </c>
      <c r="I355" s="310"/>
    </row>
    <row r="356" spans="1:9" ht="12.75" customHeight="1" x14ac:dyDescent="0.2">
      <c r="A356" s="56"/>
      <c r="B356" s="306" t="s">
        <v>7</v>
      </c>
      <c r="C356" s="306" t="s">
        <v>3</v>
      </c>
      <c r="D356" s="56"/>
      <c r="E356" s="306" t="s">
        <v>8</v>
      </c>
      <c r="F356" s="306" t="s">
        <v>3</v>
      </c>
      <c r="G356" s="306" t="s">
        <v>9</v>
      </c>
      <c r="H356" s="310" t="s">
        <v>11</v>
      </c>
      <c r="I356" s="310" t="s">
        <v>3342</v>
      </c>
    </row>
    <row r="357" spans="1:9" ht="12.75" customHeight="1" x14ac:dyDescent="0.2">
      <c r="A357" s="307"/>
      <c r="B357" s="307"/>
      <c r="C357" s="307"/>
      <c r="D357" s="307"/>
      <c r="E357" s="307"/>
      <c r="F357" s="307"/>
      <c r="G357" s="310" t="s">
        <v>3312</v>
      </c>
      <c r="H357" s="307" t="s">
        <v>3343</v>
      </c>
      <c r="I357" s="307" t="s">
        <v>3344</v>
      </c>
    </row>
    <row r="358" spans="1:9" ht="12.75" customHeight="1" x14ac:dyDescent="0.2">
      <c r="A358" s="210"/>
      <c r="B358" s="210"/>
      <c r="C358" s="211">
        <f t="shared" ref="C358:C389" si="19">A358</f>
        <v>0</v>
      </c>
      <c r="D358" s="236"/>
      <c r="E358" s="212"/>
      <c r="F358" s="60"/>
      <c r="G358" s="90">
        <f>H358</f>
        <v>0</v>
      </c>
      <c r="H358" s="236">
        <f>DVUD!K301</f>
        <v>0</v>
      </c>
      <c r="I358" s="90"/>
    </row>
    <row r="359" spans="1:9" ht="12.75" customHeight="1" x14ac:dyDescent="0.2">
      <c r="A359" s="72"/>
      <c r="B359" s="72"/>
      <c r="C359" s="38">
        <f t="shared" si="19"/>
        <v>0</v>
      </c>
      <c r="D359" s="237"/>
      <c r="E359" s="41"/>
      <c r="F359" s="31"/>
      <c r="G359" s="107">
        <f>H359</f>
        <v>0</v>
      </c>
      <c r="H359" s="237">
        <f>DVUD!K302</f>
        <v>0</v>
      </c>
      <c r="I359" s="107"/>
    </row>
    <row r="360" spans="1:9" ht="12.75" customHeight="1" x14ac:dyDescent="0.2">
      <c r="A360" s="72"/>
      <c r="B360" s="72"/>
      <c r="C360" s="38">
        <f t="shared" si="19"/>
        <v>0</v>
      </c>
      <c r="D360" s="237"/>
      <c r="E360" s="41"/>
      <c r="F360" s="31"/>
      <c r="G360" s="107">
        <f t="shared" ref="G360:G405" si="20">H360</f>
        <v>0</v>
      </c>
      <c r="H360" s="237">
        <f>DVUD!K303</f>
        <v>0</v>
      </c>
      <c r="I360" s="107"/>
    </row>
    <row r="361" spans="1:9" ht="12.75" customHeight="1" x14ac:dyDescent="0.2">
      <c r="A361" s="72"/>
      <c r="B361" s="72"/>
      <c r="C361" s="38">
        <f t="shared" si="19"/>
        <v>0</v>
      </c>
      <c r="D361" s="237"/>
      <c r="E361" s="41"/>
      <c r="F361" s="31"/>
      <c r="G361" s="107">
        <f t="shared" si="20"/>
        <v>0</v>
      </c>
      <c r="H361" s="237">
        <f>DVUD!K304</f>
        <v>0</v>
      </c>
      <c r="I361" s="107"/>
    </row>
    <row r="362" spans="1:9" ht="12.75" customHeight="1" x14ac:dyDescent="0.2">
      <c r="A362" s="72"/>
      <c r="B362" s="72"/>
      <c r="C362" s="38">
        <f t="shared" si="19"/>
        <v>0</v>
      </c>
      <c r="D362" s="237"/>
      <c r="E362" s="41"/>
      <c r="F362" s="31"/>
      <c r="G362" s="107">
        <f t="shared" si="20"/>
        <v>0</v>
      </c>
      <c r="H362" s="237">
        <f>DVUD!K305</f>
        <v>0</v>
      </c>
      <c r="I362" s="107"/>
    </row>
    <row r="363" spans="1:9" ht="12.75" customHeight="1" x14ac:dyDescent="0.2">
      <c r="A363" s="72"/>
      <c r="B363" s="72"/>
      <c r="C363" s="38">
        <f t="shared" si="19"/>
        <v>0</v>
      </c>
      <c r="D363" s="237"/>
      <c r="E363" s="41"/>
      <c r="F363" s="31"/>
      <c r="G363" s="107">
        <f t="shared" si="20"/>
        <v>0</v>
      </c>
      <c r="H363" s="237">
        <f>DVUD!K306</f>
        <v>0</v>
      </c>
      <c r="I363" s="107"/>
    </row>
    <row r="364" spans="1:9" ht="12.75" customHeight="1" x14ac:dyDescent="0.2">
      <c r="A364" s="72"/>
      <c r="B364" s="72"/>
      <c r="C364" s="38">
        <f t="shared" si="19"/>
        <v>0</v>
      </c>
      <c r="D364" s="237"/>
      <c r="E364" s="41"/>
      <c r="F364" s="31"/>
      <c r="G364" s="107">
        <f t="shared" si="20"/>
        <v>0</v>
      </c>
      <c r="H364" s="237">
        <f>DVUD!K307</f>
        <v>0</v>
      </c>
      <c r="I364" s="107"/>
    </row>
    <row r="365" spans="1:9" ht="12.75" customHeight="1" x14ac:dyDescent="0.2">
      <c r="A365" s="72"/>
      <c r="B365" s="72"/>
      <c r="C365" s="38">
        <f t="shared" si="19"/>
        <v>0</v>
      </c>
      <c r="D365" s="237"/>
      <c r="E365" s="41"/>
      <c r="F365" s="31"/>
      <c r="G365" s="107">
        <f t="shared" si="20"/>
        <v>0</v>
      </c>
      <c r="H365" s="237">
        <f>DVUD!K308</f>
        <v>0</v>
      </c>
      <c r="I365" s="107"/>
    </row>
    <row r="366" spans="1:9" ht="12.75" customHeight="1" x14ac:dyDescent="0.2">
      <c r="A366" s="72"/>
      <c r="B366" s="72"/>
      <c r="C366" s="38">
        <f t="shared" si="19"/>
        <v>0</v>
      </c>
      <c r="D366" s="237"/>
      <c r="E366" s="41"/>
      <c r="F366" s="31"/>
      <c r="G366" s="107">
        <f t="shared" si="20"/>
        <v>0</v>
      </c>
      <c r="H366" s="237">
        <f>DVUD!K309</f>
        <v>0</v>
      </c>
      <c r="I366" s="107"/>
    </row>
    <row r="367" spans="1:9" ht="12.75" customHeight="1" x14ac:dyDescent="0.2">
      <c r="A367" s="10"/>
      <c r="B367" s="72"/>
      <c r="C367" s="38">
        <f t="shared" si="19"/>
        <v>0</v>
      </c>
      <c r="D367" s="237"/>
      <c r="E367" s="41"/>
      <c r="F367" s="31"/>
      <c r="G367" s="107">
        <f t="shared" si="20"/>
        <v>0</v>
      </c>
      <c r="H367" s="237">
        <f>DVUD!K310</f>
        <v>0</v>
      </c>
      <c r="I367" s="107"/>
    </row>
    <row r="368" spans="1:9" ht="12.75" customHeight="1" x14ac:dyDescent="0.2">
      <c r="A368" s="72"/>
      <c r="B368" s="72"/>
      <c r="C368" s="38">
        <f t="shared" si="19"/>
        <v>0</v>
      </c>
      <c r="D368" s="237"/>
      <c r="E368" s="41"/>
      <c r="F368" s="31"/>
      <c r="G368" s="107">
        <f t="shared" si="20"/>
        <v>0</v>
      </c>
      <c r="H368" s="237">
        <f>DVUD!K311</f>
        <v>0</v>
      </c>
      <c r="I368" s="107"/>
    </row>
    <row r="369" spans="1:9" ht="12.75" customHeight="1" x14ac:dyDescent="0.2">
      <c r="A369" s="72"/>
      <c r="B369" s="72"/>
      <c r="C369" s="38">
        <f t="shared" si="19"/>
        <v>0</v>
      </c>
      <c r="D369" s="237"/>
      <c r="E369" s="41"/>
      <c r="F369" s="31"/>
      <c r="G369" s="107">
        <f t="shared" si="20"/>
        <v>0</v>
      </c>
      <c r="H369" s="237">
        <f>DVUD!K312</f>
        <v>0</v>
      </c>
      <c r="I369" s="107"/>
    </row>
    <row r="370" spans="1:9" ht="12.75" customHeight="1" x14ac:dyDescent="0.2">
      <c r="A370" s="72"/>
      <c r="B370" s="72"/>
      <c r="C370" s="38">
        <f t="shared" si="19"/>
        <v>0</v>
      </c>
      <c r="D370" s="237"/>
      <c r="E370" s="41"/>
      <c r="F370" s="31"/>
      <c r="G370" s="107">
        <f t="shared" si="20"/>
        <v>0</v>
      </c>
      <c r="H370" s="237">
        <f>DVUD!K313</f>
        <v>0</v>
      </c>
      <c r="I370" s="107"/>
    </row>
    <row r="371" spans="1:9" ht="12.75" customHeight="1" x14ac:dyDescent="0.2">
      <c r="A371" s="72"/>
      <c r="B371" s="72"/>
      <c r="C371" s="38">
        <f t="shared" si="19"/>
        <v>0</v>
      </c>
      <c r="D371" s="237"/>
      <c r="E371" s="41"/>
      <c r="F371" s="31"/>
      <c r="G371" s="107">
        <f t="shared" si="20"/>
        <v>0</v>
      </c>
      <c r="H371" s="237">
        <f>DVUD!K314</f>
        <v>0</v>
      </c>
      <c r="I371" s="107"/>
    </row>
    <row r="372" spans="1:9" ht="12.75" customHeight="1" x14ac:dyDescent="0.2">
      <c r="A372" s="72"/>
      <c r="B372" s="72"/>
      <c r="C372" s="38">
        <f t="shared" si="19"/>
        <v>0</v>
      </c>
      <c r="D372" s="237"/>
      <c r="E372" s="41"/>
      <c r="F372" s="31"/>
      <c r="G372" s="107">
        <f t="shared" si="20"/>
        <v>0</v>
      </c>
      <c r="H372" s="237">
        <f>DVUD!K315</f>
        <v>0</v>
      </c>
      <c r="I372" s="107"/>
    </row>
    <row r="373" spans="1:9" ht="12.75" customHeight="1" x14ac:dyDescent="0.2">
      <c r="A373" s="72"/>
      <c r="B373" s="72"/>
      <c r="C373" s="38">
        <f t="shared" si="19"/>
        <v>0</v>
      </c>
      <c r="D373" s="237"/>
      <c r="E373" s="41"/>
      <c r="F373" s="31"/>
      <c r="G373" s="107">
        <f t="shared" si="20"/>
        <v>0</v>
      </c>
      <c r="H373" s="237">
        <f>DVUD!K316</f>
        <v>0</v>
      </c>
      <c r="I373" s="107"/>
    </row>
    <row r="374" spans="1:9" ht="12.75" customHeight="1" x14ac:dyDescent="0.2">
      <c r="A374" s="263"/>
      <c r="B374" s="72"/>
      <c r="C374" s="38">
        <f t="shared" si="19"/>
        <v>0</v>
      </c>
      <c r="D374" s="237"/>
      <c r="E374" s="41"/>
      <c r="F374" s="31"/>
      <c r="G374" s="107">
        <f t="shared" si="20"/>
        <v>0</v>
      </c>
      <c r="H374" s="237">
        <f>DVUD!K317</f>
        <v>0</v>
      </c>
      <c r="I374" s="107"/>
    </row>
    <row r="375" spans="1:9" ht="12.75" customHeight="1" x14ac:dyDescent="0.2">
      <c r="A375" s="72"/>
      <c r="B375" s="72"/>
      <c r="C375" s="38">
        <f t="shared" si="19"/>
        <v>0</v>
      </c>
      <c r="D375" s="237"/>
      <c r="E375" s="41"/>
      <c r="F375" s="31"/>
      <c r="G375" s="107">
        <f t="shared" si="20"/>
        <v>0</v>
      </c>
      <c r="H375" s="237">
        <f>DVUD!K318</f>
        <v>0</v>
      </c>
      <c r="I375" s="107"/>
    </row>
    <row r="376" spans="1:9" ht="12.75" customHeight="1" x14ac:dyDescent="0.2">
      <c r="A376" s="72"/>
      <c r="B376" s="72"/>
      <c r="C376" s="38">
        <f t="shared" si="19"/>
        <v>0</v>
      </c>
      <c r="D376" s="237"/>
      <c r="E376" s="41"/>
      <c r="F376" s="31"/>
      <c r="G376" s="107">
        <f t="shared" si="20"/>
        <v>0</v>
      </c>
      <c r="H376" s="237">
        <f>DVUD!K319</f>
        <v>0</v>
      </c>
      <c r="I376" s="107"/>
    </row>
    <row r="377" spans="1:9" ht="12.75" customHeight="1" x14ac:dyDescent="0.2">
      <c r="A377" s="72"/>
      <c r="B377" s="72"/>
      <c r="C377" s="38">
        <f t="shared" si="19"/>
        <v>0</v>
      </c>
      <c r="D377" s="237"/>
      <c r="E377" s="41"/>
      <c r="F377" s="31"/>
      <c r="G377" s="107">
        <f t="shared" si="20"/>
        <v>0</v>
      </c>
      <c r="H377" s="237">
        <f>DVUD!K320</f>
        <v>0</v>
      </c>
      <c r="I377" s="107"/>
    </row>
    <row r="378" spans="1:9" ht="12.75" customHeight="1" x14ac:dyDescent="0.2">
      <c r="A378" s="72"/>
      <c r="B378" s="72"/>
      <c r="C378" s="38">
        <f t="shared" si="19"/>
        <v>0</v>
      </c>
      <c r="D378" s="237"/>
      <c r="E378" s="41"/>
      <c r="F378" s="31"/>
      <c r="G378" s="107">
        <f t="shared" si="20"/>
        <v>0</v>
      </c>
      <c r="H378" s="237">
        <f>DVUD!K321</f>
        <v>0</v>
      </c>
      <c r="I378" s="107"/>
    </row>
    <row r="379" spans="1:9" ht="12.75" customHeight="1" x14ac:dyDescent="0.2">
      <c r="A379" s="72"/>
      <c r="B379" s="72"/>
      <c r="C379" s="38">
        <f t="shared" si="19"/>
        <v>0</v>
      </c>
      <c r="D379" s="237"/>
      <c r="E379" s="41"/>
      <c r="F379" s="31"/>
      <c r="G379" s="107">
        <f t="shared" si="20"/>
        <v>0</v>
      </c>
      <c r="H379" s="237">
        <f>DVUD!K322</f>
        <v>0</v>
      </c>
      <c r="I379" s="107"/>
    </row>
    <row r="380" spans="1:9" ht="12.75" customHeight="1" x14ac:dyDescent="0.2">
      <c r="A380" s="72"/>
      <c r="B380" s="72"/>
      <c r="C380" s="38">
        <f t="shared" si="19"/>
        <v>0</v>
      </c>
      <c r="D380" s="237"/>
      <c r="E380" s="41"/>
      <c r="F380" s="31"/>
      <c r="G380" s="107">
        <f t="shared" si="20"/>
        <v>0</v>
      </c>
      <c r="H380" s="237">
        <f>DVUD!K323</f>
        <v>0</v>
      </c>
      <c r="I380" s="107"/>
    </row>
    <row r="381" spans="1:9" ht="12.75" customHeight="1" x14ac:dyDescent="0.2">
      <c r="A381" s="72"/>
      <c r="B381" s="72"/>
      <c r="C381" s="38">
        <f t="shared" si="19"/>
        <v>0</v>
      </c>
      <c r="D381" s="237"/>
      <c r="E381" s="41"/>
      <c r="F381" s="31"/>
      <c r="G381" s="107">
        <f t="shared" si="20"/>
        <v>0</v>
      </c>
      <c r="H381" s="237">
        <f>DVUD!K324</f>
        <v>0</v>
      </c>
      <c r="I381" s="31"/>
    </row>
    <row r="382" spans="1:9" ht="12.75" customHeight="1" x14ac:dyDescent="0.2">
      <c r="A382" s="72"/>
      <c r="B382" s="72"/>
      <c r="C382" s="38">
        <f t="shared" si="19"/>
        <v>0</v>
      </c>
      <c r="D382" s="237"/>
      <c r="E382" s="41"/>
      <c r="F382" s="31"/>
      <c r="G382" s="107">
        <f t="shared" si="20"/>
        <v>0</v>
      </c>
      <c r="H382" s="237">
        <f>DVUD!K325</f>
        <v>0</v>
      </c>
      <c r="I382" s="31"/>
    </row>
    <row r="383" spans="1:9" ht="12.75" customHeight="1" x14ac:dyDescent="0.2">
      <c r="A383" s="72"/>
      <c r="B383" s="72"/>
      <c r="C383" s="38">
        <f t="shared" si="19"/>
        <v>0</v>
      </c>
      <c r="D383" s="237"/>
      <c r="E383" s="176"/>
      <c r="F383" s="173"/>
      <c r="G383" s="107">
        <f t="shared" si="20"/>
        <v>0</v>
      </c>
      <c r="H383" s="237">
        <f>DVUD!K326</f>
        <v>0</v>
      </c>
      <c r="I383" s="213"/>
    </row>
    <row r="384" spans="1:9" ht="12.75" customHeight="1" x14ac:dyDescent="0.2">
      <c r="A384" s="72"/>
      <c r="B384" s="72"/>
      <c r="C384" s="38">
        <f t="shared" si="19"/>
        <v>0</v>
      </c>
      <c r="D384" s="237"/>
      <c r="E384" s="176"/>
      <c r="F384" s="173"/>
      <c r="G384" s="107">
        <f t="shared" si="20"/>
        <v>0</v>
      </c>
      <c r="H384" s="237">
        <f>DVUD!K327</f>
        <v>0</v>
      </c>
      <c r="I384" s="213"/>
    </row>
    <row r="385" spans="1:9" ht="12.75" customHeight="1" x14ac:dyDescent="0.2">
      <c r="A385" s="72"/>
      <c r="B385" s="72"/>
      <c r="C385" s="38">
        <f t="shared" si="19"/>
        <v>0</v>
      </c>
      <c r="D385" s="237"/>
      <c r="E385" s="176"/>
      <c r="F385" s="173"/>
      <c r="G385" s="107">
        <f t="shared" si="20"/>
        <v>0</v>
      </c>
      <c r="H385" s="237">
        <f>DVUD!K328</f>
        <v>0</v>
      </c>
      <c r="I385" s="213"/>
    </row>
    <row r="386" spans="1:9" ht="12.75" customHeight="1" x14ac:dyDescent="0.2">
      <c r="A386" s="72"/>
      <c r="B386" s="72"/>
      <c r="C386" s="38">
        <f t="shared" si="19"/>
        <v>0</v>
      </c>
      <c r="D386" s="237"/>
      <c r="E386" s="176"/>
      <c r="F386" s="173"/>
      <c r="G386" s="107">
        <f t="shared" si="20"/>
        <v>0</v>
      </c>
      <c r="H386" s="237">
        <f>DVUD!K329</f>
        <v>0</v>
      </c>
      <c r="I386" s="213"/>
    </row>
    <row r="387" spans="1:9" ht="12.75" customHeight="1" x14ac:dyDescent="0.2">
      <c r="A387" s="72"/>
      <c r="B387" s="72"/>
      <c r="C387" s="38">
        <f t="shared" si="19"/>
        <v>0</v>
      </c>
      <c r="D387" s="237"/>
      <c r="E387" s="176"/>
      <c r="F387" s="173"/>
      <c r="G387" s="107">
        <f t="shared" si="20"/>
        <v>0</v>
      </c>
      <c r="H387" s="237">
        <f>DVUD!K330</f>
        <v>0</v>
      </c>
      <c r="I387" s="213"/>
    </row>
    <row r="388" spans="1:9" ht="12.75" customHeight="1" x14ac:dyDescent="0.2">
      <c r="A388" s="72"/>
      <c r="B388" s="72"/>
      <c r="C388" s="38">
        <f t="shared" si="19"/>
        <v>0</v>
      </c>
      <c r="D388" s="237"/>
      <c r="E388" s="176"/>
      <c r="F388" s="173"/>
      <c r="G388" s="107">
        <f t="shared" si="20"/>
        <v>0</v>
      </c>
      <c r="H388" s="237">
        <f>DVUD!K331</f>
        <v>0</v>
      </c>
      <c r="I388" s="213"/>
    </row>
    <row r="389" spans="1:9" ht="12.75" customHeight="1" x14ac:dyDescent="0.2">
      <c r="A389" s="72"/>
      <c r="B389" s="72"/>
      <c r="C389" s="38">
        <f t="shared" si="19"/>
        <v>0</v>
      </c>
      <c r="D389" s="237"/>
      <c r="E389" s="176"/>
      <c r="F389" s="173"/>
      <c r="G389" s="107">
        <f t="shared" si="20"/>
        <v>0</v>
      </c>
      <c r="H389" s="237">
        <f>DVUD!K332</f>
        <v>0</v>
      </c>
      <c r="I389" s="213"/>
    </row>
    <row r="390" spans="1:9" ht="12.75" customHeight="1" x14ac:dyDescent="0.2">
      <c r="A390" s="72"/>
      <c r="B390" s="72"/>
      <c r="C390" s="38">
        <f t="shared" ref="C390:C421" si="21">A390</f>
        <v>0</v>
      </c>
      <c r="D390" s="237"/>
      <c r="E390" s="176"/>
      <c r="F390" s="173"/>
      <c r="G390" s="107">
        <f t="shared" si="20"/>
        <v>0</v>
      </c>
      <c r="H390" s="237">
        <f>DVUD!K333</f>
        <v>0</v>
      </c>
      <c r="I390" s="213"/>
    </row>
    <row r="391" spans="1:9" ht="12.75" customHeight="1" x14ac:dyDescent="0.2">
      <c r="A391" s="72"/>
      <c r="B391" s="72"/>
      <c r="C391" s="38">
        <f t="shared" si="21"/>
        <v>0</v>
      </c>
      <c r="D391" s="237"/>
      <c r="E391" s="176"/>
      <c r="F391" s="173"/>
      <c r="G391" s="107">
        <f t="shared" si="20"/>
        <v>0</v>
      </c>
      <c r="H391" s="237">
        <f>DVUD!K334</f>
        <v>0</v>
      </c>
      <c r="I391" s="213"/>
    </row>
    <row r="392" spans="1:9" ht="12.75" customHeight="1" x14ac:dyDescent="0.2">
      <c r="A392" s="72"/>
      <c r="B392" s="72"/>
      <c r="C392" s="38">
        <f t="shared" si="21"/>
        <v>0</v>
      </c>
      <c r="D392" s="237"/>
      <c r="E392" s="176"/>
      <c r="F392" s="173"/>
      <c r="G392" s="107">
        <f t="shared" si="20"/>
        <v>0</v>
      </c>
      <c r="H392" s="237">
        <f>DVUD!K335</f>
        <v>0</v>
      </c>
      <c r="I392" s="213"/>
    </row>
    <row r="393" spans="1:9" ht="12.75" customHeight="1" x14ac:dyDescent="0.2">
      <c r="A393" s="72"/>
      <c r="B393" s="72"/>
      <c r="C393" s="38">
        <f t="shared" si="21"/>
        <v>0</v>
      </c>
      <c r="D393" s="237"/>
      <c r="E393" s="176"/>
      <c r="F393" s="173"/>
      <c r="G393" s="107">
        <f t="shared" si="20"/>
        <v>0</v>
      </c>
      <c r="H393" s="237">
        <f>DVUD!K336</f>
        <v>0</v>
      </c>
      <c r="I393" s="213"/>
    </row>
    <row r="394" spans="1:9" ht="12.75" customHeight="1" x14ac:dyDescent="0.2">
      <c r="A394" s="72"/>
      <c r="B394" s="72"/>
      <c r="C394" s="38">
        <f t="shared" si="21"/>
        <v>0</v>
      </c>
      <c r="D394" s="237"/>
      <c r="E394" s="176"/>
      <c r="F394" s="173"/>
      <c r="G394" s="107">
        <f t="shared" si="20"/>
        <v>0</v>
      </c>
      <c r="H394" s="237">
        <f>DVUD!K337</f>
        <v>0</v>
      </c>
      <c r="I394" s="213"/>
    </row>
    <row r="395" spans="1:9" ht="12.75" customHeight="1" x14ac:dyDescent="0.2">
      <c r="A395" s="72"/>
      <c r="B395" s="72"/>
      <c r="C395" s="38">
        <f t="shared" si="21"/>
        <v>0</v>
      </c>
      <c r="D395" s="237"/>
      <c r="E395" s="176"/>
      <c r="F395" s="173"/>
      <c r="G395" s="107">
        <f t="shared" si="20"/>
        <v>0</v>
      </c>
      <c r="H395" s="237">
        <f>DVUD!K338</f>
        <v>0</v>
      </c>
      <c r="I395" s="213"/>
    </row>
    <row r="396" spans="1:9" ht="12.75" customHeight="1" x14ac:dyDescent="0.2">
      <c r="A396" s="72"/>
      <c r="B396" s="72"/>
      <c r="C396" s="38">
        <f t="shared" si="21"/>
        <v>0</v>
      </c>
      <c r="D396" s="237"/>
      <c r="E396" s="176"/>
      <c r="F396" s="173"/>
      <c r="G396" s="107">
        <f t="shared" si="20"/>
        <v>0</v>
      </c>
      <c r="H396" s="237">
        <f>DVUD!K339</f>
        <v>0</v>
      </c>
      <c r="I396" s="213"/>
    </row>
    <row r="397" spans="1:9" ht="12.75" customHeight="1" x14ac:dyDescent="0.2">
      <c r="A397" s="10"/>
      <c r="B397" s="72"/>
      <c r="C397" s="38">
        <f t="shared" si="21"/>
        <v>0</v>
      </c>
      <c r="D397" s="237"/>
      <c r="E397" s="176"/>
      <c r="F397" s="173"/>
      <c r="G397" s="107">
        <f t="shared" si="20"/>
        <v>0</v>
      </c>
      <c r="H397" s="237">
        <f>DVUD!K340</f>
        <v>0</v>
      </c>
      <c r="I397" s="213"/>
    </row>
    <row r="398" spans="1:9" ht="12.75" customHeight="1" x14ac:dyDescent="0.2">
      <c r="A398" s="72"/>
      <c r="B398" s="72"/>
      <c r="C398" s="38">
        <f t="shared" si="21"/>
        <v>0</v>
      </c>
      <c r="D398" s="237"/>
      <c r="E398" s="176"/>
      <c r="F398" s="173"/>
      <c r="G398" s="107">
        <f t="shared" si="20"/>
        <v>0</v>
      </c>
      <c r="H398" s="237">
        <f>DVUD!K341</f>
        <v>0</v>
      </c>
      <c r="I398" s="213"/>
    </row>
    <row r="399" spans="1:9" ht="12.75" customHeight="1" x14ac:dyDescent="0.2">
      <c r="A399" s="10"/>
      <c r="B399" s="72"/>
      <c r="C399" s="38">
        <f t="shared" si="21"/>
        <v>0</v>
      </c>
      <c r="D399" s="237"/>
      <c r="E399" s="176"/>
      <c r="F399" s="173"/>
      <c r="G399" s="107">
        <f t="shared" si="20"/>
        <v>0</v>
      </c>
      <c r="H399" s="237">
        <f>DVUD!K342</f>
        <v>0</v>
      </c>
      <c r="I399" s="213"/>
    </row>
    <row r="400" spans="1:9" ht="12.75" customHeight="1" x14ac:dyDescent="0.2">
      <c r="A400" s="72"/>
      <c r="B400" s="72"/>
      <c r="C400" s="38">
        <f t="shared" si="21"/>
        <v>0</v>
      </c>
      <c r="D400" s="237"/>
      <c r="E400" s="176"/>
      <c r="F400" s="173"/>
      <c r="G400" s="107">
        <f t="shared" si="20"/>
        <v>0</v>
      </c>
      <c r="H400" s="237">
        <f>DVUD!K343</f>
        <v>0</v>
      </c>
      <c r="I400" s="213"/>
    </row>
    <row r="401" spans="1:9" ht="12.75" customHeight="1" x14ac:dyDescent="0.2">
      <c r="A401" s="72"/>
      <c r="B401" s="72"/>
      <c r="C401" s="38">
        <f t="shared" si="21"/>
        <v>0</v>
      </c>
      <c r="D401" s="237"/>
      <c r="E401" s="176"/>
      <c r="F401" s="173"/>
      <c r="G401" s="107">
        <f t="shared" si="20"/>
        <v>0</v>
      </c>
      <c r="H401" s="237">
        <f>DVUD!K344</f>
        <v>0</v>
      </c>
      <c r="I401" s="213"/>
    </row>
    <row r="402" spans="1:9" ht="12.75" customHeight="1" x14ac:dyDescent="0.2">
      <c r="A402" s="72"/>
      <c r="B402" s="72"/>
      <c r="C402" s="38">
        <f t="shared" si="21"/>
        <v>0</v>
      </c>
      <c r="D402" s="237"/>
      <c r="E402" s="176"/>
      <c r="F402" s="173"/>
      <c r="G402" s="107">
        <f t="shared" si="20"/>
        <v>0</v>
      </c>
      <c r="H402" s="237">
        <f>DVUD!K345</f>
        <v>0</v>
      </c>
      <c r="I402" s="213"/>
    </row>
    <row r="403" spans="1:9" ht="12.75" customHeight="1" x14ac:dyDescent="0.2">
      <c r="A403" s="72"/>
      <c r="B403" s="72"/>
      <c r="C403" s="38">
        <f t="shared" si="21"/>
        <v>0</v>
      </c>
      <c r="D403" s="237"/>
      <c r="E403" s="176"/>
      <c r="F403" s="173"/>
      <c r="G403" s="107">
        <f t="shared" si="20"/>
        <v>0</v>
      </c>
      <c r="H403" s="237">
        <f>DVUD!K346</f>
        <v>0</v>
      </c>
      <c r="I403" s="213"/>
    </row>
    <row r="404" spans="1:9" ht="12.75" customHeight="1" x14ac:dyDescent="0.2">
      <c r="A404" s="72"/>
      <c r="B404" s="72"/>
      <c r="C404" s="38">
        <f t="shared" si="21"/>
        <v>0</v>
      </c>
      <c r="D404" s="237"/>
      <c r="E404" s="176"/>
      <c r="F404" s="173"/>
      <c r="G404" s="107">
        <f t="shared" si="20"/>
        <v>0</v>
      </c>
      <c r="H404" s="237">
        <f>DVUD!K347</f>
        <v>0</v>
      </c>
      <c r="I404" s="213"/>
    </row>
    <row r="405" spans="1:9" ht="12.75" customHeight="1" x14ac:dyDescent="0.2">
      <c r="A405" s="72"/>
      <c r="B405" s="72"/>
      <c r="C405" s="38">
        <f t="shared" si="21"/>
        <v>0</v>
      </c>
      <c r="D405" s="237"/>
      <c r="E405" s="176"/>
      <c r="F405" s="173"/>
      <c r="G405" s="107">
        <f t="shared" si="20"/>
        <v>0</v>
      </c>
      <c r="H405" s="237">
        <f>DVUD!K348</f>
        <v>0</v>
      </c>
      <c r="I405" s="213"/>
    </row>
    <row r="406" spans="1:9" ht="12.75" customHeight="1" x14ac:dyDescent="0.2">
      <c r="A406" s="72"/>
      <c r="B406" s="72"/>
      <c r="C406" s="38">
        <f t="shared" si="21"/>
        <v>0</v>
      </c>
      <c r="D406" s="237"/>
      <c r="E406" s="176"/>
      <c r="F406" s="173"/>
      <c r="G406" s="107">
        <f t="shared" ref="G406:G414" si="22">H406</f>
        <v>0</v>
      </c>
      <c r="H406" s="237">
        <f>DVUD!K349</f>
        <v>0</v>
      </c>
      <c r="I406" s="213"/>
    </row>
    <row r="407" spans="1:9" ht="12.75" customHeight="1" x14ac:dyDescent="0.2">
      <c r="A407" s="72"/>
      <c r="B407" s="72"/>
      <c r="C407" s="38">
        <f t="shared" si="21"/>
        <v>0</v>
      </c>
      <c r="D407" s="237"/>
      <c r="E407" s="176"/>
      <c r="F407" s="173"/>
      <c r="G407" s="107">
        <f t="shared" si="22"/>
        <v>0</v>
      </c>
      <c r="H407" s="237">
        <f>DVUD!K350</f>
        <v>0</v>
      </c>
      <c r="I407" s="213"/>
    </row>
    <row r="408" spans="1:9" ht="12.75" customHeight="1" x14ac:dyDescent="0.2">
      <c r="A408" s="72"/>
      <c r="B408" s="72"/>
      <c r="C408" s="38">
        <f t="shared" si="21"/>
        <v>0</v>
      </c>
      <c r="D408" s="237"/>
      <c r="E408" s="176"/>
      <c r="F408" s="173"/>
      <c r="G408" s="107">
        <f t="shared" si="22"/>
        <v>0</v>
      </c>
      <c r="H408" s="237">
        <f>DVUD!K351</f>
        <v>0</v>
      </c>
      <c r="I408" s="213"/>
    </row>
    <row r="409" spans="1:9" ht="12.75" customHeight="1" x14ac:dyDescent="0.2">
      <c r="A409" s="72"/>
      <c r="B409" s="72"/>
      <c r="C409" s="38">
        <f t="shared" si="21"/>
        <v>0</v>
      </c>
      <c r="D409" s="237"/>
      <c r="E409" s="176"/>
      <c r="F409" s="173"/>
      <c r="G409" s="107">
        <f t="shared" si="22"/>
        <v>0</v>
      </c>
      <c r="H409" s="237">
        <f>DVUD!K352</f>
        <v>0</v>
      </c>
      <c r="I409" s="213"/>
    </row>
    <row r="410" spans="1:9" ht="12.75" customHeight="1" x14ac:dyDescent="0.2">
      <c r="A410" s="72"/>
      <c r="B410" s="72"/>
      <c r="C410" s="38">
        <f t="shared" si="21"/>
        <v>0</v>
      </c>
      <c r="D410" s="237"/>
      <c r="E410" s="176"/>
      <c r="F410" s="173"/>
      <c r="G410" s="107">
        <f t="shared" si="22"/>
        <v>0</v>
      </c>
      <c r="H410" s="237">
        <f>DVUD!K353</f>
        <v>0</v>
      </c>
      <c r="I410" s="213"/>
    </row>
    <row r="411" spans="1:9" ht="12.75" customHeight="1" x14ac:dyDescent="0.2">
      <c r="A411" s="72"/>
      <c r="B411" s="72"/>
      <c r="C411" s="38">
        <f t="shared" si="21"/>
        <v>0</v>
      </c>
      <c r="D411" s="237"/>
      <c r="E411" s="176"/>
      <c r="F411" s="173"/>
      <c r="G411" s="107">
        <f t="shared" si="22"/>
        <v>0</v>
      </c>
      <c r="H411" s="237">
        <f>DVUD!K354</f>
        <v>0</v>
      </c>
      <c r="I411" s="213"/>
    </row>
    <row r="412" spans="1:9" ht="12.75" customHeight="1" x14ac:dyDescent="0.2">
      <c r="A412" s="72"/>
      <c r="B412" s="72"/>
      <c r="C412" s="38">
        <f t="shared" si="21"/>
        <v>0</v>
      </c>
      <c r="D412" s="237"/>
      <c r="E412" s="176"/>
      <c r="F412" s="173"/>
      <c r="G412" s="107">
        <f t="shared" si="22"/>
        <v>0</v>
      </c>
      <c r="H412" s="237">
        <f>DVUD!K355</f>
        <v>0</v>
      </c>
      <c r="I412" s="213"/>
    </row>
    <row r="413" spans="1:9" ht="12.75" customHeight="1" x14ac:dyDescent="0.2">
      <c r="A413" s="72"/>
      <c r="B413" s="72"/>
      <c r="C413" s="38">
        <f t="shared" si="21"/>
        <v>0</v>
      </c>
      <c r="D413" s="237"/>
      <c r="E413" s="176"/>
      <c r="F413" s="173"/>
      <c r="G413" s="107">
        <f t="shared" si="22"/>
        <v>0</v>
      </c>
      <c r="H413" s="237">
        <f>DVUD!K356</f>
        <v>0</v>
      </c>
      <c r="I413" s="213"/>
    </row>
    <row r="414" spans="1:9" ht="12.75" customHeight="1" x14ac:dyDescent="0.2">
      <c r="A414" s="72"/>
      <c r="B414" s="72"/>
      <c r="C414" s="38">
        <f t="shared" si="21"/>
        <v>0</v>
      </c>
      <c r="D414" s="237"/>
      <c r="E414" s="176"/>
      <c r="F414" s="173"/>
      <c r="G414" s="107">
        <f t="shared" si="22"/>
        <v>0</v>
      </c>
      <c r="H414" s="237">
        <f>DVUD!K357</f>
        <v>0</v>
      </c>
      <c r="I414" s="213"/>
    </row>
    <row r="415" spans="1:9" ht="12.75" customHeight="1" x14ac:dyDescent="0.2">
      <c r="A415" s="72"/>
      <c r="B415" s="72"/>
      <c r="C415" s="38">
        <f t="shared" si="21"/>
        <v>0</v>
      </c>
      <c r="D415" s="237"/>
      <c r="E415" s="176"/>
      <c r="F415" s="173"/>
      <c r="G415" s="107">
        <f t="shared" ref="G415:G445" si="23">H415</f>
        <v>0</v>
      </c>
      <c r="H415" s="237">
        <f>DVUD!K358</f>
        <v>0</v>
      </c>
      <c r="I415" s="213"/>
    </row>
    <row r="416" spans="1:9" ht="12.75" customHeight="1" x14ac:dyDescent="0.2">
      <c r="A416" s="72"/>
      <c r="B416" s="72"/>
      <c r="C416" s="38">
        <f t="shared" si="21"/>
        <v>0</v>
      </c>
      <c r="D416" s="237"/>
      <c r="E416" s="176"/>
      <c r="F416" s="173"/>
      <c r="G416" s="107">
        <f t="shared" si="23"/>
        <v>0</v>
      </c>
      <c r="H416" s="237">
        <f>DVUD!K359</f>
        <v>0</v>
      </c>
      <c r="I416" s="213"/>
    </row>
    <row r="417" spans="1:9" ht="12.75" customHeight="1" x14ac:dyDescent="0.2">
      <c r="A417" s="72"/>
      <c r="B417" s="72"/>
      <c r="C417" s="38">
        <f t="shared" si="21"/>
        <v>0</v>
      </c>
      <c r="D417" s="237"/>
      <c r="E417" s="176"/>
      <c r="F417" s="173"/>
      <c r="G417" s="107">
        <f t="shared" si="23"/>
        <v>0</v>
      </c>
      <c r="H417" s="237">
        <f>DVUD!K360</f>
        <v>0</v>
      </c>
      <c r="I417" s="213"/>
    </row>
    <row r="418" spans="1:9" ht="12.75" customHeight="1" x14ac:dyDescent="0.2">
      <c r="A418" s="72"/>
      <c r="B418" s="72"/>
      <c r="C418" s="38">
        <f t="shared" si="21"/>
        <v>0</v>
      </c>
      <c r="D418" s="237"/>
      <c r="E418" s="176"/>
      <c r="F418" s="173"/>
      <c r="G418" s="107">
        <f t="shared" si="23"/>
        <v>0</v>
      </c>
      <c r="H418" s="237">
        <f>DVUD!K361</f>
        <v>0</v>
      </c>
      <c r="I418" s="213"/>
    </row>
    <row r="419" spans="1:9" ht="12.75" customHeight="1" x14ac:dyDescent="0.2">
      <c r="A419" s="72"/>
      <c r="B419" s="72"/>
      <c r="C419" s="38">
        <f t="shared" si="21"/>
        <v>0</v>
      </c>
      <c r="D419" s="237"/>
      <c r="E419" s="176"/>
      <c r="F419" s="173"/>
      <c r="G419" s="107">
        <f t="shared" si="23"/>
        <v>0</v>
      </c>
      <c r="H419" s="237">
        <f>DVUD!K362</f>
        <v>0</v>
      </c>
      <c r="I419" s="213"/>
    </row>
    <row r="420" spans="1:9" ht="12.75" customHeight="1" x14ac:dyDescent="0.2">
      <c r="A420" s="72"/>
      <c r="B420" s="72"/>
      <c r="C420" s="38">
        <f t="shared" si="21"/>
        <v>0</v>
      </c>
      <c r="D420" s="237"/>
      <c r="E420" s="176"/>
      <c r="F420" s="173"/>
      <c r="G420" s="107">
        <f t="shared" si="23"/>
        <v>0</v>
      </c>
      <c r="H420" s="237">
        <f>DVUD!K363</f>
        <v>0</v>
      </c>
      <c r="I420" s="213"/>
    </row>
    <row r="421" spans="1:9" ht="12.75" customHeight="1" x14ac:dyDescent="0.2">
      <c r="A421" s="72"/>
      <c r="B421" s="72"/>
      <c r="C421" s="38">
        <f t="shared" si="21"/>
        <v>0</v>
      </c>
      <c r="D421" s="237"/>
      <c r="E421" s="176"/>
      <c r="F421" s="173"/>
      <c r="G421" s="107">
        <f t="shared" si="23"/>
        <v>0</v>
      </c>
      <c r="H421" s="237">
        <f>DVUD!K364</f>
        <v>0</v>
      </c>
      <c r="I421" s="213"/>
    </row>
    <row r="422" spans="1:9" ht="12.75" customHeight="1" x14ac:dyDescent="0.2">
      <c r="A422" s="72"/>
      <c r="B422" s="72"/>
      <c r="C422" s="38">
        <f t="shared" ref="C422:C428" si="24">A422</f>
        <v>0</v>
      </c>
      <c r="D422" s="237"/>
      <c r="E422" s="176"/>
      <c r="F422" s="173"/>
      <c r="G422" s="107">
        <f t="shared" si="23"/>
        <v>0</v>
      </c>
      <c r="H422" s="237">
        <f>DVUD!K365</f>
        <v>0</v>
      </c>
      <c r="I422" s="213"/>
    </row>
    <row r="423" spans="1:9" ht="12.75" customHeight="1" x14ac:dyDescent="0.2">
      <c r="A423" s="72"/>
      <c r="B423" s="72"/>
      <c r="C423" s="38">
        <f t="shared" si="24"/>
        <v>0</v>
      </c>
      <c r="D423" s="237"/>
      <c r="E423" s="176"/>
      <c r="F423" s="173"/>
      <c r="G423" s="107">
        <f t="shared" si="23"/>
        <v>0</v>
      </c>
      <c r="H423" s="237">
        <f>DVUD!K366</f>
        <v>0</v>
      </c>
      <c r="I423" s="213"/>
    </row>
    <row r="424" spans="1:9" ht="12.75" customHeight="1" x14ac:dyDescent="0.2">
      <c r="A424" s="72"/>
      <c r="B424" s="72"/>
      <c r="C424" s="38">
        <f t="shared" si="24"/>
        <v>0</v>
      </c>
      <c r="D424" s="237"/>
      <c r="E424" s="176"/>
      <c r="F424" s="173"/>
      <c r="G424" s="107">
        <f t="shared" si="23"/>
        <v>0</v>
      </c>
      <c r="H424" s="237">
        <f>DVUD!K367</f>
        <v>0</v>
      </c>
      <c r="I424" s="213"/>
    </row>
    <row r="425" spans="1:9" ht="12.75" customHeight="1" x14ac:dyDescent="0.2">
      <c r="A425" s="72"/>
      <c r="B425" s="72"/>
      <c r="C425" s="38">
        <f t="shared" si="24"/>
        <v>0</v>
      </c>
      <c r="D425" s="237"/>
      <c r="E425" s="176"/>
      <c r="F425" s="173"/>
      <c r="G425" s="107">
        <f t="shared" si="23"/>
        <v>0</v>
      </c>
      <c r="H425" s="237">
        <f>DVUD!K368</f>
        <v>0</v>
      </c>
      <c r="I425" s="213"/>
    </row>
    <row r="426" spans="1:9" ht="12.75" customHeight="1" x14ac:dyDescent="0.2">
      <c r="A426" s="72"/>
      <c r="B426" s="72"/>
      <c r="C426" s="38">
        <f t="shared" si="24"/>
        <v>0</v>
      </c>
      <c r="D426" s="237"/>
      <c r="E426" s="176"/>
      <c r="F426" s="173"/>
      <c r="G426" s="107">
        <f t="shared" si="23"/>
        <v>0</v>
      </c>
      <c r="H426" s="237">
        <f>DVUD!K369</f>
        <v>0</v>
      </c>
      <c r="I426" s="213"/>
    </row>
    <row r="427" spans="1:9" ht="12.75" customHeight="1" x14ac:dyDescent="0.2">
      <c r="A427" s="72"/>
      <c r="B427" s="72"/>
      <c r="C427" s="38">
        <f t="shared" si="24"/>
        <v>0</v>
      </c>
      <c r="D427" s="237"/>
      <c r="E427" s="176"/>
      <c r="F427" s="173"/>
      <c r="G427" s="107">
        <f t="shared" si="23"/>
        <v>0</v>
      </c>
      <c r="H427" s="237">
        <f>DVUD!K370</f>
        <v>0</v>
      </c>
      <c r="I427" s="213"/>
    </row>
    <row r="428" spans="1:9" ht="12.75" customHeight="1" x14ac:dyDescent="0.2">
      <c r="A428" s="72"/>
      <c r="B428" s="72"/>
      <c r="C428" s="38">
        <f t="shared" si="24"/>
        <v>0</v>
      </c>
      <c r="D428" s="237"/>
      <c r="E428" s="176"/>
      <c r="F428" s="173"/>
      <c r="G428" s="107">
        <f t="shared" si="23"/>
        <v>0</v>
      </c>
      <c r="H428" s="237">
        <f>DVUD!K371</f>
        <v>0</v>
      </c>
      <c r="I428" s="213"/>
    </row>
    <row r="429" spans="1:9" ht="12.75" customHeight="1" x14ac:dyDescent="0.2">
      <c r="A429" s="72"/>
      <c r="B429" s="72"/>
      <c r="C429" s="38"/>
      <c r="D429" s="237"/>
      <c r="E429" s="176"/>
      <c r="F429" s="173"/>
      <c r="G429" s="107">
        <f t="shared" si="23"/>
        <v>0</v>
      </c>
      <c r="H429" s="237">
        <f>DVUD!K372</f>
        <v>0</v>
      </c>
      <c r="I429" s="213"/>
    </row>
    <row r="430" spans="1:9" ht="12.75" customHeight="1" x14ac:dyDescent="0.2">
      <c r="A430" s="72"/>
      <c r="B430" s="72"/>
      <c r="C430" s="38"/>
      <c r="D430" s="237"/>
      <c r="E430" s="176"/>
      <c r="F430" s="173"/>
      <c r="G430" s="107">
        <f t="shared" si="23"/>
        <v>0</v>
      </c>
      <c r="H430" s="237">
        <f>DVUD!K373</f>
        <v>0</v>
      </c>
      <c r="I430" s="213"/>
    </row>
    <row r="431" spans="1:9" ht="12.75" customHeight="1" x14ac:dyDescent="0.2">
      <c r="A431" s="72"/>
      <c r="B431" s="72"/>
      <c r="C431" s="38"/>
      <c r="D431" s="237"/>
      <c r="E431" s="176"/>
      <c r="F431" s="173"/>
      <c r="G431" s="107">
        <f t="shared" si="23"/>
        <v>0</v>
      </c>
      <c r="H431" s="237">
        <f>DVUD!K374</f>
        <v>0</v>
      </c>
      <c r="I431" s="213"/>
    </row>
    <row r="432" spans="1:9" ht="12.75" customHeight="1" x14ac:dyDescent="0.2">
      <c r="A432" s="72"/>
      <c r="B432" s="72"/>
      <c r="C432" s="38"/>
      <c r="D432" s="237"/>
      <c r="E432" s="176"/>
      <c r="F432" s="173"/>
      <c r="G432" s="107">
        <f t="shared" si="23"/>
        <v>0</v>
      </c>
      <c r="H432" s="237">
        <f>DVUD!K375</f>
        <v>0</v>
      </c>
      <c r="I432" s="213"/>
    </row>
    <row r="433" spans="1:9" ht="12.75" customHeight="1" x14ac:dyDescent="0.2">
      <c r="A433" s="72"/>
      <c r="B433" s="72"/>
      <c r="C433" s="38"/>
      <c r="D433" s="237"/>
      <c r="E433" s="176"/>
      <c r="F433" s="173"/>
      <c r="G433" s="107">
        <f t="shared" si="23"/>
        <v>0</v>
      </c>
      <c r="H433" s="237">
        <f>DVUD!K376</f>
        <v>0</v>
      </c>
      <c r="I433" s="213"/>
    </row>
    <row r="434" spans="1:9" ht="12.75" customHeight="1" x14ac:dyDescent="0.2">
      <c r="A434" s="72"/>
      <c r="B434" s="72"/>
      <c r="C434" s="38"/>
      <c r="D434" s="237"/>
      <c r="E434" s="176"/>
      <c r="F434" s="173"/>
      <c r="G434" s="107">
        <f t="shared" si="23"/>
        <v>0</v>
      </c>
      <c r="H434" s="237">
        <f>DVUD!K377</f>
        <v>0</v>
      </c>
      <c r="I434" s="213"/>
    </row>
    <row r="435" spans="1:9" ht="12.75" customHeight="1" x14ac:dyDescent="0.2">
      <c r="A435" s="72"/>
      <c r="B435" s="72"/>
      <c r="C435" s="38"/>
      <c r="D435" s="237"/>
      <c r="E435" s="176"/>
      <c r="F435" s="173"/>
      <c r="G435" s="107">
        <f t="shared" si="23"/>
        <v>0</v>
      </c>
      <c r="H435" s="237">
        <f>DVUD!K378</f>
        <v>0</v>
      </c>
      <c r="I435" s="213"/>
    </row>
    <row r="436" spans="1:9" ht="12.75" customHeight="1" x14ac:dyDescent="0.2">
      <c r="A436" s="72"/>
      <c r="B436" s="72"/>
      <c r="C436" s="38"/>
      <c r="D436" s="237"/>
      <c r="E436" s="176"/>
      <c r="F436" s="173"/>
      <c r="G436" s="107">
        <f t="shared" si="23"/>
        <v>0</v>
      </c>
      <c r="H436" s="237">
        <f>DVUD!K379</f>
        <v>0</v>
      </c>
      <c r="I436" s="213"/>
    </row>
    <row r="437" spans="1:9" ht="12.75" customHeight="1" x14ac:dyDescent="0.2">
      <c r="A437" s="72"/>
      <c r="B437" s="72"/>
      <c r="C437" s="38"/>
      <c r="D437" s="237"/>
      <c r="E437" s="176"/>
      <c r="F437" s="173"/>
      <c r="G437" s="107">
        <f t="shared" si="23"/>
        <v>0</v>
      </c>
      <c r="H437" s="237">
        <f>DVUD!K380</f>
        <v>0</v>
      </c>
      <c r="I437" s="213"/>
    </row>
    <row r="438" spans="1:9" ht="12.75" customHeight="1" x14ac:dyDescent="0.2">
      <c r="A438" s="72"/>
      <c r="B438" s="72"/>
      <c r="C438" s="38"/>
      <c r="D438" s="237"/>
      <c r="E438" s="176"/>
      <c r="F438" s="173"/>
      <c r="G438" s="107">
        <f t="shared" si="23"/>
        <v>0</v>
      </c>
      <c r="H438" s="237">
        <f>DVUD!K381</f>
        <v>0</v>
      </c>
      <c r="I438" s="213"/>
    </row>
    <row r="439" spans="1:9" ht="12.75" customHeight="1" x14ac:dyDescent="0.2">
      <c r="A439" s="72"/>
      <c r="B439" s="72"/>
      <c r="C439" s="38"/>
      <c r="D439" s="237"/>
      <c r="E439" s="176"/>
      <c r="F439" s="173"/>
      <c r="G439" s="107">
        <f t="shared" si="23"/>
        <v>0</v>
      </c>
      <c r="H439" s="237">
        <f>DVUD!K382</f>
        <v>0</v>
      </c>
      <c r="I439" s="213"/>
    </row>
    <row r="440" spans="1:9" ht="12.75" customHeight="1" x14ac:dyDescent="0.2">
      <c r="A440" s="72"/>
      <c r="B440" s="72"/>
      <c r="C440" s="38"/>
      <c r="D440" s="237"/>
      <c r="E440" s="176"/>
      <c r="F440" s="173"/>
      <c r="G440" s="107">
        <f t="shared" si="23"/>
        <v>0</v>
      </c>
      <c r="H440" s="237">
        <f>DVUD!K383</f>
        <v>0</v>
      </c>
      <c r="I440" s="213"/>
    </row>
    <row r="441" spans="1:9" ht="12.75" customHeight="1" x14ac:dyDescent="0.2">
      <c r="A441" s="72"/>
      <c r="B441" s="72"/>
      <c r="C441" s="38"/>
      <c r="D441" s="237"/>
      <c r="E441" s="176"/>
      <c r="F441" s="173"/>
      <c r="G441" s="107">
        <f t="shared" si="23"/>
        <v>0</v>
      </c>
      <c r="H441" s="237">
        <f>DVUD!K384</f>
        <v>0</v>
      </c>
      <c r="I441" s="213"/>
    </row>
    <row r="442" spans="1:9" ht="12.75" customHeight="1" x14ac:dyDescent="0.2">
      <c r="A442" s="72"/>
      <c r="B442" s="72"/>
      <c r="C442" s="38"/>
      <c r="D442" s="237"/>
      <c r="E442" s="176"/>
      <c r="F442" s="173"/>
      <c r="G442" s="107">
        <f t="shared" si="23"/>
        <v>0</v>
      </c>
      <c r="H442" s="237">
        <f>DVUD!K385</f>
        <v>0</v>
      </c>
      <c r="I442" s="213"/>
    </row>
    <row r="443" spans="1:9" ht="12.75" customHeight="1" x14ac:dyDescent="0.2">
      <c r="A443" s="72"/>
      <c r="B443" s="72"/>
      <c r="C443" s="38"/>
      <c r="D443" s="237"/>
      <c r="E443" s="176"/>
      <c r="F443" s="173"/>
      <c r="G443" s="107">
        <f t="shared" si="23"/>
        <v>0</v>
      </c>
      <c r="H443" s="237">
        <f>DVUD!K386</f>
        <v>0</v>
      </c>
      <c r="I443" s="213"/>
    </row>
    <row r="444" spans="1:9" ht="12.75" customHeight="1" x14ac:dyDescent="0.2">
      <c r="A444" s="72"/>
      <c r="B444" s="72"/>
      <c r="C444" s="38"/>
      <c r="D444" s="237"/>
      <c r="E444" s="176"/>
      <c r="F444" s="173"/>
      <c r="G444" s="107">
        <f t="shared" si="23"/>
        <v>0</v>
      </c>
      <c r="H444" s="237">
        <f>DVUD!K387</f>
        <v>0</v>
      </c>
      <c r="I444" s="213"/>
    </row>
    <row r="445" spans="1:9" ht="12.75" customHeight="1" x14ac:dyDescent="0.2">
      <c r="A445" s="72"/>
      <c r="B445" s="72"/>
      <c r="C445" s="38"/>
      <c r="D445" s="237"/>
      <c r="E445" s="176"/>
      <c r="F445" s="173"/>
      <c r="G445" s="107">
        <f t="shared" si="23"/>
        <v>0</v>
      </c>
      <c r="H445" s="237">
        <f>DVUD!K388</f>
        <v>0</v>
      </c>
      <c r="I445" s="213"/>
    </row>
    <row r="446" spans="1:9" ht="12.75" customHeight="1" x14ac:dyDescent="0.2">
      <c r="A446" s="569" t="s">
        <v>3556</v>
      </c>
      <c r="B446" s="570"/>
      <c r="C446" s="570"/>
      <c r="D446" s="570"/>
      <c r="E446" s="570"/>
      <c r="F446" s="571"/>
      <c r="G446" s="94">
        <f>SUM(G358:G445)</f>
        <v>0</v>
      </c>
      <c r="H446" s="94">
        <f>SUM(H358:H445)</f>
        <v>0</v>
      </c>
      <c r="I446" s="94">
        <f>SUM(I383:I445)</f>
        <v>0</v>
      </c>
    </row>
    <row r="447" spans="1:9" ht="12.75" customHeight="1" x14ac:dyDescent="0.2">
      <c r="A447" s="569" t="s">
        <v>3560</v>
      </c>
      <c r="B447" s="570"/>
      <c r="C447" s="570"/>
      <c r="D447" s="570"/>
      <c r="E447" s="570"/>
      <c r="F447" s="571"/>
      <c r="G447" s="94">
        <f>G308</f>
        <v>0</v>
      </c>
      <c r="H447" s="94">
        <f>H308</f>
        <v>0</v>
      </c>
      <c r="I447" s="94"/>
    </row>
    <row r="448" spans="1:9" ht="12.75" customHeight="1" thickBot="1" x14ac:dyDescent="0.25">
      <c r="A448" s="705" t="s">
        <v>3558</v>
      </c>
      <c r="B448" s="706"/>
      <c r="C448" s="706"/>
      <c r="D448" s="706"/>
      <c r="E448" s="706"/>
      <c r="F448" s="707"/>
      <c r="G448" s="93">
        <f>SUM(G446:G447)</f>
        <v>0</v>
      </c>
      <c r="H448" s="93">
        <f>SUM(H446:H447)</f>
        <v>0</v>
      </c>
      <c r="I448" s="93"/>
    </row>
    <row r="449" spans="1:9" ht="12.75" customHeight="1" x14ac:dyDescent="0.2">
      <c r="A449" s="19"/>
      <c r="B449" s="19"/>
      <c r="C449" s="19"/>
      <c r="D449" s="19"/>
      <c r="E449" s="19"/>
      <c r="F449" s="19"/>
      <c r="G449" s="234">
        <f>DVUD!H389</f>
        <v>0</v>
      </c>
      <c r="H449" s="234"/>
      <c r="I449" s="234"/>
    </row>
    <row r="450" spans="1:9" ht="12.75" customHeight="1" x14ac:dyDescent="0.2">
      <c r="G450" s="46">
        <f>DVUD!H391</f>
        <v>0</v>
      </c>
      <c r="H450" s="46"/>
      <c r="I450" s="46"/>
    </row>
    <row r="451" spans="1:9" ht="12.75" customHeight="1" x14ac:dyDescent="0.2">
      <c r="A451" s="687"/>
      <c r="B451" s="687"/>
      <c r="C451" s="687"/>
      <c r="D451" s="687"/>
      <c r="E451" s="143"/>
      <c r="F451" s="143"/>
      <c r="G451" s="708" t="s">
        <v>3537</v>
      </c>
      <c r="H451" s="708"/>
      <c r="I451" s="708"/>
    </row>
    <row r="452" spans="1:9" ht="12.75" customHeight="1" x14ac:dyDescent="0.2">
      <c r="A452" s="687"/>
      <c r="B452" s="687"/>
      <c r="C452" s="687"/>
      <c r="D452" s="687"/>
      <c r="E452" s="143"/>
      <c r="F452" s="143"/>
      <c r="G452" s="708" t="s">
        <v>3783</v>
      </c>
      <c r="H452" s="708"/>
      <c r="I452" s="708"/>
    </row>
    <row r="453" spans="1:9" ht="12.75" customHeight="1" x14ac:dyDescent="0.2">
      <c r="A453" s="305"/>
      <c r="B453" s="305"/>
      <c r="C453" s="305"/>
      <c r="D453" s="305"/>
      <c r="E453" s="143"/>
      <c r="F453" s="143"/>
      <c r="G453" s="308"/>
      <c r="H453" s="308"/>
      <c r="I453" s="308"/>
    </row>
    <row r="454" spans="1:9" ht="12.75" customHeight="1" x14ac:dyDescent="0.2">
      <c r="A454" s="687"/>
      <c r="B454" s="687"/>
      <c r="C454" s="687"/>
      <c r="D454" s="687"/>
      <c r="E454" s="143"/>
      <c r="F454" s="143"/>
      <c r="G454" s="708"/>
      <c r="H454" s="708"/>
      <c r="I454" s="708"/>
    </row>
    <row r="455" spans="1:9" ht="12.75" customHeight="1" x14ac:dyDescent="0.2">
      <c r="A455" s="687"/>
      <c r="B455" s="687"/>
      <c r="C455" s="687"/>
      <c r="D455" s="687"/>
      <c r="E455" s="143"/>
      <c r="F455" s="143"/>
      <c r="G455" s="700" t="s">
        <v>3538</v>
      </c>
      <c r="H455" s="700"/>
      <c r="I455" s="700"/>
    </row>
    <row r="464" spans="1:9" ht="12.75" customHeight="1" x14ac:dyDescent="0.2">
      <c r="A464" s="305"/>
      <c r="B464" s="305"/>
      <c r="C464" s="305"/>
      <c r="D464" s="305"/>
      <c r="E464" s="143"/>
      <c r="F464" s="143"/>
      <c r="G464" s="309"/>
      <c r="H464" s="309"/>
      <c r="I464" s="309"/>
    </row>
    <row r="465" spans="1:9" ht="12.75" customHeight="1" x14ac:dyDescent="0.2">
      <c r="A465" s="305"/>
      <c r="B465" s="305"/>
      <c r="C465" s="305"/>
      <c r="D465" s="305"/>
      <c r="E465" s="143"/>
      <c r="F465" s="143"/>
      <c r="G465" s="309"/>
      <c r="H465" s="309"/>
      <c r="I465" s="309"/>
    </row>
    <row r="466" spans="1:9" ht="12.75" customHeight="1" x14ac:dyDescent="0.2">
      <c r="A466" s="305"/>
      <c r="B466" s="305"/>
      <c r="C466" s="305"/>
      <c r="D466" s="305"/>
      <c r="E466" s="143"/>
      <c r="F466" s="143"/>
      <c r="G466" s="309"/>
      <c r="H466" s="309"/>
      <c r="I466" s="309"/>
    </row>
    <row r="467" spans="1:9" ht="12.75" customHeight="1" x14ac:dyDescent="0.2">
      <c r="A467" s="305"/>
      <c r="B467" s="305"/>
      <c r="C467" s="305"/>
      <c r="D467" s="305"/>
      <c r="E467" s="143"/>
      <c r="F467" s="143"/>
      <c r="G467" s="309"/>
      <c r="H467" s="309"/>
      <c r="I467" s="309"/>
    </row>
    <row r="468" spans="1:9" ht="12.75" customHeight="1" x14ac:dyDescent="0.2">
      <c r="A468" s="305"/>
      <c r="B468" s="305"/>
      <c r="C468" s="305"/>
      <c r="D468" s="305"/>
      <c r="E468" s="143"/>
      <c r="F468" s="143"/>
      <c r="G468" s="309"/>
      <c r="H468" s="309"/>
      <c r="I468" s="309"/>
    </row>
    <row r="469" spans="1:9" ht="12.75" customHeight="1" x14ac:dyDescent="0.2">
      <c r="A469" s="305"/>
      <c r="B469" s="305"/>
      <c r="C469" s="305"/>
      <c r="D469" s="305"/>
      <c r="E469" s="143"/>
      <c r="F469" s="143"/>
      <c r="G469" s="309"/>
      <c r="H469" s="309"/>
      <c r="I469" s="309"/>
    </row>
    <row r="470" spans="1:9" ht="12.75" customHeight="1" x14ac:dyDescent="0.2">
      <c r="A470" s="305"/>
      <c r="B470" s="305"/>
      <c r="C470" s="305"/>
      <c r="D470" s="305"/>
      <c r="E470" s="143"/>
      <c r="F470" s="143"/>
      <c r="G470" s="309"/>
      <c r="H470" s="309"/>
      <c r="I470" s="309"/>
    </row>
    <row r="471" spans="1:9" ht="12.75" customHeight="1" x14ac:dyDescent="0.2">
      <c r="A471" s="305"/>
      <c r="B471" s="305"/>
      <c r="C471" s="305"/>
      <c r="D471" s="305"/>
      <c r="E471" s="143"/>
      <c r="F471" s="143"/>
      <c r="G471" s="309"/>
      <c r="H471" s="309"/>
      <c r="I471" s="309"/>
    </row>
    <row r="472" spans="1:9" ht="12.75" customHeight="1" x14ac:dyDescent="0.2">
      <c r="A472" s="305"/>
      <c r="B472" s="305"/>
      <c r="C472" s="305"/>
      <c r="D472" s="305"/>
      <c r="E472" s="143"/>
      <c r="F472" s="143"/>
      <c r="G472" s="309"/>
      <c r="H472" s="309"/>
      <c r="I472" s="309"/>
    </row>
    <row r="473" spans="1:9" ht="12.75" customHeight="1" x14ac:dyDescent="0.2">
      <c r="A473" s="305"/>
      <c r="B473" s="305"/>
      <c r="C473" s="305"/>
      <c r="D473" s="305"/>
      <c r="E473" s="143"/>
      <c r="F473" s="143"/>
      <c r="G473" s="309"/>
      <c r="H473" s="309"/>
      <c r="I473" s="309"/>
    </row>
    <row r="474" spans="1:9" ht="12.75" customHeight="1" x14ac:dyDescent="0.2">
      <c r="A474" s="9" t="s">
        <v>0</v>
      </c>
      <c r="B474" s="9"/>
      <c r="C474" s="9"/>
      <c r="D474" s="9"/>
      <c r="E474" s="9"/>
      <c r="F474" s="9"/>
      <c r="G474" s="9"/>
      <c r="H474" s="9"/>
      <c r="I474" s="9"/>
    </row>
    <row r="475" spans="1:9" ht="12.75" customHeight="1" x14ac:dyDescent="0.2">
      <c r="A475" s="9" t="s">
        <v>1</v>
      </c>
      <c r="B475" s="9"/>
      <c r="C475" s="9"/>
      <c r="D475" s="9"/>
      <c r="E475" s="9"/>
      <c r="F475" s="9"/>
      <c r="G475" s="9"/>
      <c r="H475" s="9"/>
      <c r="I475" s="9"/>
    </row>
    <row r="476" spans="1:9" ht="12.75" customHeight="1" x14ac:dyDescent="0.2">
      <c r="A476" s="9"/>
      <c r="B476" s="9"/>
      <c r="C476" s="9"/>
      <c r="D476" s="9"/>
      <c r="E476" s="9"/>
      <c r="F476" s="9"/>
      <c r="G476" s="9"/>
      <c r="H476" s="9"/>
      <c r="I476" s="9"/>
    </row>
    <row r="477" spans="1:9" ht="12.75" customHeight="1" x14ac:dyDescent="0.2">
      <c r="A477" s="643" t="s">
        <v>77</v>
      </c>
      <c r="B477" s="643"/>
      <c r="C477" s="643"/>
      <c r="D477" s="643"/>
      <c r="E477" s="643"/>
      <c r="F477" s="643"/>
      <c r="G477" s="643"/>
      <c r="H477" s="643"/>
      <c r="I477" s="643"/>
    </row>
    <row r="478" spans="1:9" ht="12.75" customHeight="1" x14ac:dyDescent="0.2">
      <c r="A478" s="643" t="s">
        <v>3574</v>
      </c>
      <c r="B478" s="643"/>
      <c r="C478" s="643"/>
      <c r="D478" s="643"/>
      <c r="E478" s="643"/>
      <c r="F478" s="643"/>
      <c r="G478" s="643"/>
      <c r="H478" s="643"/>
      <c r="I478" s="643"/>
    </row>
    <row r="479" spans="1:9" ht="12.75" customHeight="1" x14ac:dyDescent="0.2">
      <c r="A479" s="680" t="s">
        <v>3</v>
      </c>
      <c r="B479" s="701" t="s">
        <v>4</v>
      </c>
      <c r="C479" s="701"/>
      <c r="D479" s="680" t="s">
        <v>5</v>
      </c>
      <c r="E479" s="662" t="s">
        <v>6</v>
      </c>
      <c r="F479" s="664"/>
      <c r="G479" s="310" t="s">
        <v>10</v>
      </c>
      <c r="H479" s="701" t="s">
        <v>90</v>
      </c>
      <c r="I479" s="701"/>
    </row>
    <row r="480" spans="1:9" ht="12.75" customHeight="1" x14ac:dyDescent="0.2">
      <c r="A480" s="681"/>
      <c r="B480" s="680" t="s">
        <v>7</v>
      </c>
      <c r="C480" s="680" t="s">
        <v>3</v>
      </c>
      <c r="D480" s="681"/>
      <c r="E480" s="680" t="s">
        <v>8</v>
      </c>
      <c r="F480" s="680" t="s">
        <v>3</v>
      </c>
      <c r="G480" s="306" t="s">
        <v>9</v>
      </c>
      <c r="H480" s="310" t="s">
        <v>11</v>
      </c>
      <c r="I480" s="310" t="s">
        <v>3342</v>
      </c>
    </row>
    <row r="481" spans="1:9" ht="12.75" customHeight="1" x14ac:dyDescent="0.2">
      <c r="A481" s="682"/>
      <c r="B481" s="682"/>
      <c r="C481" s="682"/>
      <c r="D481" s="682"/>
      <c r="E481" s="682"/>
      <c r="F481" s="682"/>
      <c r="G481" s="310" t="s">
        <v>3312</v>
      </c>
      <c r="H481" s="307" t="s">
        <v>3343</v>
      </c>
      <c r="I481" s="307" t="s">
        <v>3344</v>
      </c>
    </row>
    <row r="482" spans="1:9" ht="12.75" customHeight="1" x14ac:dyDescent="0.2">
      <c r="A482" s="210" t="s">
        <v>4139</v>
      </c>
      <c r="B482" s="210">
        <v>300</v>
      </c>
      <c r="C482" s="211" t="str">
        <f t="shared" ref="C482:C513" si="25">A482</f>
        <v>02 Mei</v>
      </c>
      <c r="D482" s="236" t="s">
        <v>3402</v>
      </c>
      <c r="E482" s="212"/>
      <c r="F482" s="60"/>
      <c r="G482" s="90">
        <f>H482</f>
        <v>0</v>
      </c>
      <c r="H482" s="90">
        <f>DVUD!K402</f>
        <v>0</v>
      </c>
      <c r="I482" s="90"/>
    </row>
    <row r="483" spans="1:9" ht="12.75" customHeight="1" x14ac:dyDescent="0.2">
      <c r="A483" s="72"/>
      <c r="B483" s="72">
        <v>301</v>
      </c>
      <c r="C483" s="38">
        <f t="shared" si="25"/>
        <v>0</v>
      </c>
      <c r="D483" s="237" t="s">
        <v>3505</v>
      </c>
      <c r="E483" s="41"/>
      <c r="F483" s="31"/>
      <c r="G483" s="107">
        <f>H483</f>
        <v>0</v>
      </c>
      <c r="H483" s="107">
        <f>DVUD!K403</f>
        <v>0</v>
      </c>
      <c r="I483" s="107"/>
    </row>
    <row r="484" spans="1:9" ht="12.75" customHeight="1" x14ac:dyDescent="0.2">
      <c r="A484" s="72"/>
      <c r="B484" s="72">
        <v>302</v>
      </c>
      <c r="C484" s="38">
        <f t="shared" si="25"/>
        <v>0</v>
      </c>
      <c r="D484" s="237" t="s">
        <v>3984</v>
      </c>
      <c r="E484" s="41"/>
      <c r="F484" s="31"/>
      <c r="G484" s="107">
        <f t="shared" ref="G484:G547" si="26">H484</f>
        <v>0</v>
      </c>
      <c r="H484" s="107">
        <f>DVUD!K404</f>
        <v>0</v>
      </c>
      <c r="I484" s="107"/>
    </row>
    <row r="485" spans="1:9" ht="12.75" customHeight="1" x14ac:dyDescent="0.2">
      <c r="A485" s="72"/>
      <c r="B485" s="72">
        <v>303</v>
      </c>
      <c r="C485" s="38">
        <f t="shared" si="25"/>
        <v>0</v>
      </c>
      <c r="D485" s="237" t="s">
        <v>3984</v>
      </c>
      <c r="E485" s="41"/>
      <c r="F485" s="31"/>
      <c r="G485" s="107">
        <f t="shared" si="26"/>
        <v>0</v>
      </c>
      <c r="H485" s="107">
        <f>DVUD!K405</f>
        <v>0</v>
      </c>
      <c r="I485" s="107"/>
    </row>
    <row r="486" spans="1:9" ht="12.75" customHeight="1" x14ac:dyDescent="0.2">
      <c r="A486" s="72"/>
      <c r="B486" s="72">
        <v>304</v>
      </c>
      <c r="C486" s="38">
        <f t="shared" si="25"/>
        <v>0</v>
      </c>
      <c r="D486" s="237" t="s">
        <v>3402</v>
      </c>
      <c r="E486" s="41"/>
      <c r="F486" s="31"/>
      <c r="G486" s="107">
        <f t="shared" si="26"/>
        <v>0</v>
      </c>
      <c r="H486" s="107">
        <f>DVUD!K406</f>
        <v>0</v>
      </c>
      <c r="I486" s="107"/>
    </row>
    <row r="487" spans="1:9" ht="12.75" customHeight="1" x14ac:dyDescent="0.2">
      <c r="A487" s="72"/>
      <c r="B487" s="72">
        <v>305</v>
      </c>
      <c r="C487" s="38">
        <f t="shared" si="25"/>
        <v>0</v>
      </c>
      <c r="D487" s="237" t="s">
        <v>3970</v>
      </c>
      <c r="E487" s="41"/>
      <c r="F487" s="31"/>
      <c r="G487" s="107">
        <f t="shared" si="26"/>
        <v>0</v>
      </c>
      <c r="H487" s="107">
        <f>DVUD!K407</f>
        <v>0</v>
      </c>
      <c r="I487" s="107"/>
    </row>
    <row r="488" spans="1:9" ht="12.75" customHeight="1" x14ac:dyDescent="0.2">
      <c r="A488" s="72" t="s">
        <v>4146</v>
      </c>
      <c r="B488" s="72">
        <v>306</v>
      </c>
      <c r="C488" s="38" t="str">
        <f t="shared" si="25"/>
        <v>05 Mei</v>
      </c>
      <c r="D488" s="237" t="s">
        <v>3943</v>
      </c>
      <c r="E488" s="41"/>
      <c r="F488" s="31"/>
      <c r="G488" s="107">
        <f t="shared" si="26"/>
        <v>0</v>
      </c>
      <c r="H488" s="107">
        <f>DVUD!K408</f>
        <v>0</v>
      </c>
      <c r="I488" s="107"/>
    </row>
    <row r="489" spans="1:9" ht="12.75" customHeight="1" x14ac:dyDescent="0.2">
      <c r="A489" s="72"/>
      <c r="B489" s="72">
        <v>307</v>
      </c>
      <c r="C489" s="38">
        <f t="shared" si="25"/>
        <v>0</v>
      </c>
      <c r="D489" s="237" t="s">
        <v>3406</v>
      </c>
      <c r="E489" s="41"/>
      <c r="F489" s="31"/>
      <c r="G489" s="107">
        <f t="shared" si="26"/>
        <v>0</v>
      </c>
      <c r="H489" s="107">
        <f>DVUD!K409</f>
        <v>0</v>
      </c>
      <c r="I489" s="107"/>
    </row>
    <row r="490" spans="1:9" ht="12.75" customHeight="1" x14ac:dyDescent="0.2">
      <c r="A490" s="72"/>
      <c r="B490" s="72">
        <v>308</v>
      </c>
      <c r="C490" s="38">
        <f t="shared" si="25"/>
        <v>0</v>
      </c>
      <c r="D490" s="237" t="s">
        <v>3984</v>
      </c>
      <c r="E490" s="41"/>
      <c r="F490" s="31"/>
      <c r="G490" s="107">
        <f t="shared" si="26"/>
        <v>0</v>
      </c>
      <c r="H490" s="107">
        <f>DVUD!K410</f>
        <v>0</v>
      </c>
      <c r="I490" s="107"/>
    </row>
    <row r="491" spans="1:9" ht="12.75" customHeight="1" x14ac:dyDescent="0.2">
      <c r="A491" s="72" t="s">
        <v>4149</v>
      </c>
      <c r="B491" s="72">
        <v>309</v>
      </c>
      <c r="C491" s="38" t="str">
        <f t="shared" si="25"/>
        <v>06 Mei</v>
      </c>
      <c r="D491" s="237" t="s">
        <v>3926</v>
      </c>
      <c r="E491" s="41"/>
      <c r="F491" s="31"/>
      <c r="G491" s="107">
        <f t="shared" si="26"/>
        <v>0</v>
      </c>
      <c r="H491" s="107">
        <f>DVUD!K411</f>
        <v>0</v>
      </c>
      <c r="I491" s="107"/>
    </row>
    <row r="492" spans="1:9" ht="12.75" customHeight="1" x14ac:dyDescent="0.2">
      <c r="A492" s="263"/>
      <c r="B492" s="72"/>
      <c r="C492" s="38">
        <f t="shared" si="25"/>
        <v>0</v>
      </c>
      <c r="D492" s="237" t="s">
        <v>3927</v>
      </c>
      <c r="E492" s="41"/>
      <c r="F492" s="31"/>
      <c r="G492" s="107">
        <f t="shared" si="26"/>
        <v>0</v>
      </c>
      <c r="H492" s="107">
        <f>DVUD!K412</f>
        <v>0</v>
      </c>
      <c r="I492" s="107"/>
    </row>
    <row r="493" spans="1:9" ht="12.75" customHeight="1" x14ac:dyDescent="0.2">
      <c r="A493" s="72"/>
      <c r="B493" s="72"/>
      <c r="C493" s="38">
        <f t="shared" si="25"/>
        <v>0</v>
      </c>
      <c r="D493" s="237" t="s">
        <v>3928</v>
      </c>
      <c r="E493" s="41"/>
      <c r="F493" s="31"/>
      <c r="G493" s="107">
        <f t="shared" si="26"/>
        <v>0</v>
      </c>
      <c r="H493" s="107">
        <f>DVUD!K413</f>
        <v>0</v>
      </c>
      <c r="I493" s="107"/>
    </row>
    <row r="494" spans="1:9" ht="12.75" customHeight="1" x14ac:dyDescent="0.2">
      <c r="A494" s="72" t="s">
        <v>4151</v>
      </c>
      <c r="B494" s="72">
        <v>310</v>
      </c>
      <c r="C494" s="38" t="str">
        <f t="shared" si="25"/>
        <v>09 Mei</v>
      </c>
      <c r="D494" s="237" t="s">
        <v>3984</v>
      </c>
      <c r="E494" s="41"/>
      <c r="F494" s="31"/>
      <c r="G494" s="107">
        <f t="shared" si="26"/>
        <v>0</v>
      </c>
      <c r="H494" s="107">
        <f>DVUD!K414</f>
        <v>0</v>
      </c>
      <c r="I494" s="107"/>
    </row>
    <row r="495" spans="1:9" ht="12.75" customHeight="1" x14ac:dyDescent="0.2">
      <c r="A495" s="72"/>
      <c r="B495" s="72">
        <v>311</v>
      </c>
      <c r="C495" s="38">
        <f t="shared" si="25"/>
        <v>0</v>
      </c>
      <c r="D495" s="237" t="s">
        <v>3990</v>
      </c>
      <c r="E495" s="41"/>
      <c r="F495" s="31"/>
      <c r="G495" s="107">
        <f t="shared" si="26"/>
        <v>0</v>
      </c>
      <c r="H495" s="107">
        <f>DVUD!K415</f>
        <v>0</v>
      </c>
      <c r="I495" s="107"/>
    </row>
    <row r="496" spans="1:9" ht="12.75" customHeight="1" x14ac:dyDescent="0.2">
      <c r="A496" s="72"/>
      <c r="B496" s="72">
        <v>312</v>
      </c>
      <c r="C496" s="38">
        <f t="shared" si="25"/>
        <v>0</v>
      </c>
      <c r="D496" s="237" t="s">
        <v>3410</v>
      </c>
      <c r="E496" s="41"/>
      <c r="F496" s="31"/>
      <c r="G496" s="107">
        <f t="shared" si="26"/>
        <v>0</v>
      </c>
      <c r="H496" s="107">
        <f>DVUD!K416</f>
        <v>0</v>
      </c>
      <c r="I496" s="107"/>
    </row>
    <row r="497" spans="1:9" ht="12.75" customHeight="1" x14ac:dyDescent="0.2">
      <c r="A497" s="72"/>
      <c r="B497" s="72">
        <v>313</v>
      </c>
      <c r="C497" s="38">
        <f t="shared" si="25"/>
        <v>0</v>
      </c>
      <c r="D497" s="237" t="s">
        <v>3410</v>
      </c>
      <c r="E497" s="41"/>
      <c r="F497" s="31"/>
      <c r="G497" s="107">
        <f t="shared" si="26"/>
        <v>0</v>
      </c>
      <c r="H497" s="107">
        <f>DVUD!K417</f>
        <v>0</v>
      </c>
      <c r="I497" s="107"/>
    </row>
    <row r="498" spans="1:9" ht="12.75" customHeight="1" x14ac:dyDescent="0.2">
      <c r="A498" s="263"/>
      <c r="B498" s="72">
        <v>314</v>
      </c>
      <c r="C498" s="38">
        <f t="shared" si="25"/>
        <v>0</v>
      </c>
      <c r="D498" s="237" t="s">
        <v>3410</v>
      </c>
      <c r="E498" s="41"/>
      <c r="F498" s="31"/>
      <c r="G498" s="107">
        <f t="shared" si="26"/>
        <v>0</v>
      </c>
      <c r="H498" s="107">
        <f>DVUD!K418</f>
        <v>0</v>
      </c>
      <c r="I498" s="107"/>
    </row>
    <row r="499" spans="1:9" ht="12.75" customHeight="1" x14ac:dyDescent="0.2">
      <c r="A499" s="72"/>
      <c r="B499" s="72">
        <v>315</v>
      </c>
      <c r="C499" s="38">
        <f t="shared" si="25"/>
        <v>0</v>
      </c>
      <c r="D499" s="237" t="s">
        <v>4155</v>
      </c>
      <c r="E499" s="41"/>
      <c r="F499" s="31"/>
      <c r="G499" s="107">
        <f t="shared" si="26"/>
        <v>0</v>
      </c>
      <c r="H499" s="107">
        <f>DVUD!K419</f>
        <v>0</v>
      </c>
      <c r="I499" s="107"/>
    </row>
    <row r="500" spans="1:9" ht="12.75" customHeight="1" x14ac:dyDescent="0.2">
      <c r="A500" s="72"/>
      <c r="B500" s="72">
        <v>316</v>
      </c>
      <c r="C500" s="38">
        <f t="shared" si="25"/>
        <v>0</v>
      </c>
      <c r="D500" s="237" t="s">
        <v>4032</v>
      </c>
      <c r="E500" s="41"/>
      <c r="F500" s="31"/>
      <c r="G500" s="107">
        <f t="shared" si="26"/>
        <v>0</v>
      </c>
      <c r="H500" s="107">
        <f>DVUD!K420</f>
        <v>0</v>
      </c>
      <c r="I500" s="107"/>
    </row>
    <row r="501" spans="1:9" ht="12.75" customHeight="1" x14ac:dyDescent="0.2">
      <c r="A501" s="72" t="s">
        <v>4157</v>
      </c>
      <c r="B501" s="72">
        <v>317</v>
      </c>
      <c r="C501" s="38" t="str">
        <f t="shared" si="25"/>
        <v>14 Mei</v>
      </c>
      <c r="D501" s="237" t="s">
        <v>4004</v>
      </c>
      <c r="E501" s="41"/>
      <c r="F501" s="31"/>
      <c r="G501" s="107">
        <f t="shared" si="26"/>
        <v>0</v>
      </c>
      <c r="H501" s="107">
        <f>DVUD!K421</f>
        <v>0</v>
      </c>
      <c r="I501" s="107"/>
    </row>
    <row r="502" spans="1:9" ht="12.75" customHeight="1" x14ac:dyDescent="0.2">
      <c r="A502" s="72"/>
      <c r="B502" s="72">
        <v>318</v>
      </c>
      <c r="C502" s="38">
        <f t="shared" si="25"/>
        <v>0</v>
      </c>
      <c r="D502" s="237" t="s">
        <v>4004</v>
      </c>
      <c r="E502" s="41"/>
      <c r="F502" s="31"/>
      <c r="G502" s="107">
        <f t="shared" si="26"/>
        <v>0</v>
      </c>
      <c r="H502" s="107">
        <f>DVUD!K422</f>
        <v>0</v>
      </c>
      <c r="I502" s="107"/>
    </row>
    <row r="503" spans="1:9" ht="12.75" customHeight="1" x14ac:dyDescent="0.2">
      <c r="A503" s="72"/>
      <c r="B503" s="72">
        <v>319</v>
      </c>
      <c r="C503" s="38">
        <f t="shared" si="25"/>
        <v>0</v>
      </c>
      <c r="D503" s="237" t="s">
        <v>3406</v>
      </c>
      <c r="E503" s="41"/>
      <c r="F503" s="31"/>
      <c r="G503" s="107">
        <f t="shared" si="26"/>
        <v>0</v>
      </c>
      <c r="H503" s="107">
        <f>DVUD!K423</f>
        <v>0</v>
      </c>
      <c r="I503" s="107"/>
    </row>
    <row r="504" spans="1:9" ht="12.75" customHeight="1" x14ac:dyDescent="0.2">
      <c r="A504" s="72"/>
      <c r="B504" s="72">
        <v>320</v>
      </c>
      <c r="C504" s="38">
        <f t="shared" si="25"/>
        <v>0</v>
      </c>
      <c r="D504" s="237" t="s">
        <v>3406</v>
      </c>
      <c r="E504" s="41"/>
      <c r="F504" s="31"/>
      <c r="G504" s="107">
        <f t="shared" si="26"/>
        <v>0</v>
      </c>
      <c r="H504" s="107">
        <f>DVUD!K424</f>
        <v>0</v>
      </c>
      <c r="I504" s="107"/>
    </row>
    <row r="505" spans="1:9" ht="12.75" customHeight="1" x14ac:dyDescent="0.2">
      <c r="A505" s="72" t="s">
        <v>4162</v>
      </c>
      <c r="B505" s="72">
        <v>321</v>
      </c>
      <c r="C505" s="38" t="str">
        <f t="shared" si="25"/>
        <v>15 Mei</v>
      </c>
      <c r="D505" s="237" t="s">
        <v>4009</v>
      </c>
      <c r="E505" s="41"/>
      <c r="F505" s="31"/>
      <c r="G505" s="107">
        <f t="shared" si="26"/>
        <v>0</v>
      </c>
      <c r="H505" s="107">
        <f>DVUD!K425</f>
        <v>0</v>
      </c>
      <c r="I505" s="31"/>
    </row>
    <row r="506" spans="1:9" ht="12.75" customHeight="1" x14ac:dyDescent="0.2">
      <c r="A506" s="72"/>
      <c r="B506" s="72">
        <v>322</v>
      </c>
      <c r="C506" s="38">
        <f t="shared" si="25"/>
        <v>0</v>
      </c>
      <c r="D506" s="237" t="s">
        <v>4032</v>
      </c>
      <c r="E506" s="41"/>
      <c r="F506" s="31"/>
      <c r="G506" s="107">
        <f t="shared" si="26"/>
        <v>0</v>
      </c>
      <c r="H506" s="107">
        <f>DVUD!K426</f>
        <v>0</v>
      </c>
      <c r="I506" s="31"/>
    </row>
    <row r="507" spans="1:9" ht="12.75" customHeight="1" x14ac:dyDescent="0.2">
      <c r="A507" s="10"/>
      <c r="B507" s="72">
        <v>323</v>
      </c>
      <c r="C507" s="38">
        <f t="shared" si="25"/>
        <v>0</v>
      </c>
      <c r="D507" s="237" t="s">
        <v>3933</v>
      </c>
      <c r="E507" s="176"/>
      <c r="F507" s="173"/>
      <c r="G507" s="107">
        <f t="shared" si="26"/>
        <v>0</v>
      </c>
      <c r="H507" s="107">
        <f>DVUD!K427</f>
        <v>0</v>
      </c>
      <c r="I507" s="213"/>
    </row>
    <row r="508" spans="1:9" ht="12.75" customHeight="1" x14ac:dyDescent="0.2">
      <c r="A508" s="72" t="s">
        <v>4166</v>
      </c>
      <c r="B508" s="72">
        <v>324</v>
      </c>
      <c r="C508" s="38" t="str">
        <f t="shared" si="25"/>
        <v>19 Mei</v>
      </c>
      <c r="D508" s="237" t="s">
        <v>3406</v>
      </c>
      <c r="E508" s="176"/>
      <c r="F508" s="173"/>
      <c r="G508" s="107">
        <f t="shared" si="26"/>
        <v>0</v>
      </c>
      <c r="H508" s="107">
        <f>DVUD!K428</f>
        <v>0</v>
      </c>
      <c r="I508" s="213"/>
    </row>
    <row r="509" spans="1:9" ht="12.75" customHeight="1" x14ac:dyDescent="0.2">
      <c r="A509" s="72" t="s">
        <v>4168</v>
      </c>
      <c r="B509" s="72">
        <v>325</v>
      </c>
      <c r="C509" s="38" t="str">
        <f t="shared" si="25"/>
        <v>20 Mei</v>
      </c>
      <c r="D509" s="237" t="s">
        <v>4170</v>
      </c>
      <c r="E509" s="176"/>
      <c r="F509" s="173"/>
      <c r="G509" s="107">
        <f t="shared" si="26"/>
        <v>0</v>
      </c>
      <c r="H509" s="107">
        <f>DVUD!K429</f>
        <v>0</v>
      </c>
      <c r="I509" s="213"/>
    </row>
    <row r="510" spans="1:9" ht="12.75" customHeight="1" x14ac:dyDescent="0.2">
      <c r="A510" s="72"/>
      <c r="B510" s="72">
        <v>326</v>
      </c>
      <c r="C510" s="38">
        <f t="shared" si="25"/>
        <v>0</v>
      </c>
      <c r="D510" s="237" t="s">
        <v>3432</v>
      </c>
      <c r="E510" s="176"/>
      <c r="F510" s="173"/>
      <c r="G510" s="107">
        <f t="shared" si="26"/>
        <v>0</v>
      </c>
      <c r="H510" s="107">
        <f>DVUD!K430</f>
        <v>0</v>
      </c>
      <c r="I510" s="213"/>
    </row>
    <row r="511" spans="1:9" ht="12.75" customHeight="1" x14ac:dyDescent="0.2">
      <c r="A511" s="72"/>
      <c r="B511" s="72">
        <v>327</v>
      </c>
      <c r="C511" s="38">
        <f t="shared" si="25"/>
        <v>0</v>
      </c>
      <c r="D511" s="237" t="s">
        <v>3984</v>
      </c>
      <c r="E511" s="176"/>
      <c r="F511" s="173"/>
      <c r="G511" s="107">
        <f t="shared" si="26"/>
        <v>0</v>
      </c>
      <c r="H511" s="107">
        <f>DVUD!K431</f>
        <v>0</v>
      </c>
      <c r="I511" s="213"/>
    </row>
    <row r="512" spans="1:9" ht="12.75" customHeight="1" x14ac:dyDescent="0.2">
      <c r="A512" s="72"/>
      <c r="B512" s="72">
        <v>328</v>
      </c>
      <c r="C512" s="38">
        <f t="shared" si="25"/>
        <v>0</v>
      </c>
      <c r="D512" s="237" t="s">
        <v>3436</v>
      </c>
      <c r="E512" s="176"/>
      <c r="F512" s="173"/>
      <c r="G512" s="107">
        <f t="shared" si="26"/>
        <v>0</v>
      </c>
      <c r="H512" s="107">
        <f>DVUD!K432</f>
        <v>0</v>
      </c>
      <c r="I512" s="213"/>
    </row>
    <row r="513" spans="1:9" ht="12.75" customHeight="1" x14ac:dyDescent="0.2">
      <c r="A513" s="72" t="s">
        <v>4172</v>
      </c>
      <c r="B513" s="72">
        <v>329</v>
      </c>
      <c r="C513" s="38" t="str">
        <f t="shared" si="25"/>
        <v>22 Mei</v>
      </c>
      <c r="D513" s="237" t="s">
        <v>3432</v>
      </c>
      <c r="E513" s="176"/>
      <c r="F513" s="173"/>
      <c r="G513" s="107">
        <f t="shared" si="26"/>
        <v>0</v>
      </c>
      <c r="H513" s="107">
        <f>DVUD!K433</f>
        <v>0</v>
      </c>
      <c r="I513" s="213"/>
    </row>
    <row r="514" spans="1:9" ht="12.75" customHeight="1" x14ac:dyDescent="0.2">
      <c r="A514" s="10"/>
      <c r="B514" s="72">
        <v>330</v>
      </c>
      <c r="C514" s="38">
        <f t="shared" ref="C514:C537" si="27">A514</f>
        <v>0</v>
      </c>
      <c r="D514" s="237" t="s">
        <v>3937</v>
      </c>
      <c r="E514" s="176"/>
      <c r="F514" s="173"/>
      <c r="G514" s="107">
        <f t="shared" si="26"/>
        <v>0</v>
      </c>
      <c r="H514" s="107">
        <f>DVUD!K434</f>
        <v>0</v>
      </c>
      <c r="I514" s="213"/>
    </row>
    <row r="515" spans="1:9" ht="12.75" customHeight="1" x14ac:dyDescent="0.2">
      <c r="A515" s="72"/>
      <c r="B515" s="72">
        <v>331</v>
      </c>
      <c r="C515" s="38">
        <f t="shared" si="27"/>
        <v>0</v>
      </c>
      <c r="D515" s="237" t="s">
        <v>4031</v>
      </c>
      <c r="E515" s="176"/>
      <c r="F515" s="173"/>
      <c r="G515" s="107">
        <f t="shared" si="26"/>
        <v>0</v>
      </c>
      <c r="H515" s="107">
        <f>DVUD!K435</f>
        <v>0</v>
      </c>
      <c r="I515" s="213"/>
    </row>
    <row r="516" spans="1:9" ht="12.75" customHeight="1" x14ac:dyDescent="0.2">
      <c r="A516" s="72"/>
      <c r="B516" s="72">
        <v>332</v>
      </c>
      <c r="C516" s="38">
        <f t="shared" si="27"/>
        <v>0</v>
      </c>
      <c r="D516" s="237" t="s">
        <v>3402</v>
      </c>
      <c r="E516" s="176"/>
      <c r="F516" s="173"/>
      <c r="G516" s="107">
        <f t="shared" si="26"/>
        <v>0</v>
      </c>
      <c r="H516" s="107">
        <f>DVUD!K436</f>
        <v>0</v>
      </c>
      <c r="I516" s="213"/>
    </row>
    <row r="517" spans="1:9" ht="12.75" customHeight="1" x14ac:dyDescent="0.2">
      <c r="A517" s="72"/>
      <c r="B517" s="72">
        <v>333</v>
      </c>
      <c r="C517" s="38">
        <f t="shared" si="27"/>
        <v>0</v>
      </c>
      <c r="D517" s="237" t="s">
        <v>3937</v>
      </c>
      <c r="E517" s="176"/>
      <c r="F517" s="173"/>
      <c r="G517" s="107">
        <f t="shared" si="26"/>
        <v>0</v>
      </c>
      <c r="H517" s="107">
        <f>DVUD!K437</f>
        <v>0</v>
      </c>
      <c r="I517" s="213"/>
    </row>
    <row r="518" spans="1:9" ht="12.75" customHeight="1" x14ac:dyDescent="0.2">
      <c r="A518" s="10"/>
      <c r="B518" s="72">
        <v>334</v>
      </c>
      <c r="C518" s="38">
        <f t="shared" si="27"/>
        <v>0</v>
      </c>
      <c r="D518" s="237" t="s">
        <v>3953</v>
      </c>
      <c r="E518" s="176"/>
      <c r="F518" s="173"/>
      <c r="G518" s="107">
        <f t="shared" si="26"/>
        <v>0</v>
      </c>
      <c r="H518" s="107">
        <f>DVUD!K438</f>
        <v>0</v>
      </c>
      <c r="I518" s="213"/>
    </row>
    <row r="519" spans="1:9" ht="12.75" customHeight="1" x14ac:dyDescent="0.2">
      <c r="A519" s="10"/>
      <c r="B519" s="72">
        <v>335</v>
      </c>
      <c r="C519" s="38">
        <f t="shared" si="27"/>
        <v>0</v>
      </c>
      <c r="D519" s="237" t="s">
        <v>3957</v>
      </c>
      <c r="E519" s="176"/>
      <c r="F519" s="173"/>
      <c r="G519" s="107">
        <f t="shared" si="26"/>
        <v>0</v>
      </c>
      <c r="H519" s="107">
        <f>DVUD!K439</f>
        <v>0</v>
      </c>
      <c r="I519" s="213"/>
    </row>
    <row r="520" spans="1:9" ht="12.75" customHeight="1" x14ac:dyDescent="0.2">
      <c r="A520" s="72"/>
      <c r="B520" s="72">
        <v>336</v>
      </c>
      <c r="C520" s="38">
        <f t="shared" si="27"/>
        <v>0</v>
      </c>
      <c r="D520" s="237" t="s">
        <v>3938</v>
      </c>
      <c r="E520" s="176"/>
      <c r="F520" s="173"/>
      <c r="G520" s="107">
        <f t="shared" si="26"/>
        <v>0</v>
      </c>
      <c r="H520" s="107">
        <f>DVUD!K440</f>
        <v>0</v>
      </c>
      <c r="I520" s="213"/>
    </row>
    <row r="521" spans="1:9" ht="12.75" customHeight="1" x14ac:dyDescent="0.2">
      <c r="A521" s="72"/>
      <c r="B521" s="72">
        <v>337</v>
      </c>
      <c r="C521" s="38">
        <f t="shared" si="27"/>
        <v>0</v>
      </c>
      <c r="D521" s="237" t="s">
        <v>3942</v>
      </c>
      <c r="E521" s="176"/>
      <c r="F521" s="173"/>
      <c r="G521" s="107">
        <f t="shared" si="26"/>
        <v>0</v>
      </c>
      <c r="H521" s="107">
        <f>DVUD!K441</f>
        <v>0</v>
      </c>
      <c r="I521" s="213"/>
    </row>
    <row r="522" spans="1:9" ht="12.75" customHeight="1" x14ac:dyDescent="0.2">
      <c r="A522" s="72"/>
      <c r="B522" s="72">
        <v>338</v>
      </c>
      <c r="C522" s="38">
        <f t="shared" si="27"/>
        <v>0</v>
      </c>
      <c r="D522" s="237" t="s">
        <v>3955</v>
      </c>
      <c r="E522" s="176"/>
      <c r="F522" s="173"/>
      <c r="G522" s="107">
        <f t="shared" si="26"/>
        <v>0</v>
      </c>
      <c r="H522" s="107">
        <f>DVUD!K442</f>
        <v>0</v>
      </c>
      <c r="I522" s="213"/>
    </row>
    <row r="523" spans="1:9" ht="12.75" customHeight="1" x14ac:dyDescent="0.2">
      <c r="A523" s="72"/>
      <c r="B523" s="72">
        <v>339</v>
      </c>
      <c r="C523" s="38">
        <f t="shared" si="27"/>
        <v>0</v>
      </c>
      <c r="D523" s="237" t="s">
        <v>3970</v>
      </c>
      <c r="E523" s="176"/>
      <c r="F523" s="173"/>
      <c r="G523" s="107">
        <f t="shared" si="26"/>
        <v>0</v>
      </c>
      <c r="H523" s="107">
        <f>DVUD!K443</f>
        <v>0</v>
      </c>
      <c r="I523" s="213"/>
    </row>
    <row r="524" spans="1:9" ht="12.75" customHeight="1" x14ac:dyDescent="0.2">
      <c r="A524" s="72"/>
      <c r="B524" s="72">
        <v>340</v>
      </c>
      <c r="C524" s="38">
        <f t="shared" si="27"/>
        <v>0</v>
      </c>
      <c r="D524" s="237" t="s">
        <v>3970</v>
      </c>
      <c r="E524" s="176"/>
      <c r="F524" s="173"/>
      <c r="G524" s="107">
        <f t="shared" si="26"/>
        <v>0</v>
      </c>
      <c r="H524" s="107">
        <f>DVUD!K444</f>
        <v>0</v>
      </c>
      <c r="I524" s="213"/>
    </row>
    <row r="525" spans="1:9" ht="12.75" customHeight="1" x14ac:dyDescent="0.2">
      <c r="A525" s="72"/>
      <c r="B525" s="72">
        <v>341</v>
      </c>
      <c r="C525" s="38">
        <f t="shared" si="27"/>
        <v>0</v>
      </c>
      <c r="D525" s="237" t="s">
        <v>4030</v>
      </c>
      <c r="E525" s="176"/>
      <c r="F525" s="173"/>
      <c r="G525" s="107">
        <f t="shared" si="26"/>
        <v>0</v>
      </c>
      <c r="H525" s="107">
        <f>DVUD!K445</f>
        <v>0</v>
      </c>
      <c r="I525" s="213"/>
    </row>
    <row r="526" spans="1:9" ht="12.75" customHeight="1" x14ac:dyDescent="0.2">
      <c r="A526" s="72"/>
      <c r="B526" s="72">
        <v>342</v>
      </c>
      <c r="C526" s="38">
        <f t="shared" si="27"/>
        <v>0</v>
      </c>
      <c r="D526" s="237" t="s">
        <v>4017</v>
      </c>
      <c r="E526" s="176"/>
      <c r="F526" s="173"/>
      <c r="G526" s="107">
        <f t="shared" si="26"/>
        <v>0</v>
      </c>
      <c r="H526" s="107">
        <f>DVUD!K446</f>
        <v>0</v>
      </c>
      <c r="I526" s="213"/>
    </row>
    <row r="527" spans="1:9" ht="12.75" customHeight="1" x14ac:dyDescent="0.2">
      <c r="A527" s="72" t="s">
        <v>4181</v>
      </c>
      <c r="B527" s="72">
        <v>343</v>
      </c>
      <c r="C527" s="38" t="str">
        <f t="shared" si="27"/>
        <v>23 Mei</v>
      </c>
      <c r="D527" s="238" t="s">
        <v>3933</v>
      </c>
      <c r="E527" s="176"/>
      <c r="F527" s="173"/>
      <c r="G527" s="107">
        <f t="shared" si="26"/>
        <v>0</v>
      </c>
      <c r="H527" s="107">
        <f>DVUD!K447</f>
        <v>0</v>
      </c>
      <c r="I527" s="213"/>
    </row>
    <row r="528" spans="1:9" ht="12.75" customHeight="1" x14ac:dyDescent="0.2">
      <c r="A528" s="72" t="s">
        <v>4183</v>
      </c>
      <c r="B528" s="72">
        <v>344</v>
      </c>
      <c r="C528" s="38" t="str">
        <f t="shared" si="27"/>
        <v>26 Mei</v>
      </c>
      <c r="D528" s="237" t="s">
        <v>3940</v>
      </c>
      <c r="E528" s="176"/>
      <c r="F528" s="173"/>
      <c r="G528" s="107">
        <f t="shared" si="26"/>
        <v>0</v>
      </c>
      <c r="H528" s="107">
        <f>DVUD!K448</f>
        <v>0</v>
      </c>
      <c r="I528" s="213"/>
    </row>
    <row r="529" spans="1:9" ht="12.75" customHeight="1" x14ac:dyDescent="0.2">
      <c r="A529" s="72"/>
      <c r="B529" s="72">
        <v>345</v>
      </c>
      <c r="C529" s="38">
        <f t="shared" si="27"/>
        <v>0</v>
      </c>
      <c r="D529" s="237" t="s">
        <v>3505</v>
      </c>
      <c r="E529" s="176"/>
      <c r="F529" s="173"/>
      <c r="G529" s="107">
        <f t="shared" si="26"/>
        <v>0</v>
      </c>
      <c r="H529" s="107">
        <f>DVUD!K449</f>
        <v>0</v>
      </c>
      <c r="I529" s="213"/>
    </row>
    <row r="530" spans="1:9" ht="12.75" customHeight="1" x14ac:dyDescent="0.2">
      <c r="A530" s="72"/>
      <c r="B530" s="72">
        <v>346</v>
      </c>
      <c r="C530" s="38">
        <f t="shared" si="27"/>
        <v>0</v>
      </c>
      <c r="D530" s="238" t="s">
        <v>4032</v>
      </c>
      <c r="E530" s="176"/>
      <c r="F530" s="173"/>
      <c r="G530" s="107">
        <f t="shared" si="26"/>
        <v>0</v>
      </c>
      <c r="H530" s="107">
        <f>DVUD!K450</f>
        <v>0</v>
      </c>
      <c r="I530" s="213"/>
    </row>
    <row r="531" spans="1:9" ht="12.75" customHeight="1" x14ac:dyDescent="0.2">
      <c r="A531" s="72" t="s">
        <v>4186</v>
      </c>
      <c r="B531" s="72">
        <v>347</v>
      </c>
      <c r="C531" s="38" t="str">
        <f t="shared" si="27"/>
        <v>27 Mei</v>
      </c>
      <c r="D531" s="237" t="s">
        <v>3958</v>
      </c>
      <c r="E531" s="176"/>
      <c r="F531" s="173"/>
      <c r="G531" s="107">
        <f t="shared" si="26"/>
        <v>0</v>
      </c>
      <c r="H531" s="107">
        <f>DVUD!K451</f>
        <v>0</v>
      </c>
      <c r="I531" s="213"/>
    </row>
    <row r="532" spans="1:9" ht="12.75" customHeight="1" x14ac:dyDescent="0.2">
      <c r="A532" s="72"/>
      <c r="B532" s="72"/>
      <c r="C532" s="38">
        <f t="shared" si="27"/>
        <v>0</v>
      </c>
      <c r="D532" s="237" t="s">
        <v>4019</v>
      </c>
      <c r="E532" s="176"/>
      <c r="F532" s="173"/>
      <c r="G532" s="107">
        <f t="shared" si="26"/>
        <v>0</v>
      </c>
      <c r="H532" s="107">
        <f>DVUD!K452</f>
        <v>0</v>
      </c>
      <c r="I532" s="213"/>
    </row>
    <row r="533" spans="1:9" ht="12.75" customHeight="1" x14ac:dyDescent="0.2">
      <c r="A533" s="72"/>
      <c r="B533" s="72"/>
      <c r="C533" s="38">
        <f t="shared" si="27"/>
        <v>0</v>
      </c>
      <c r="D533" s="237" t="s">
        <v>4188</v>
      </c>
      <c r="E533" s="176"/>
      <c r="F533" s="173"/>
      <c r="G533" s="107">
        <f t="shared" si="26"/>
        <v>0</v>
      </c>
      <c r="H533" s="107">
        <f>DVUD!K453</f>
        <v>0</v>
      </c>
      <c r="I533" s="213"/>
    </row>
    <row r="534" spans="1:9" ht="12.75" customHeight="1" x14ac:dyDescent="0.2">
      <c r="A534" s="72"/>
      <c r="B534" s="72">
        <v>348</v>
      </c>
      <c r="C534" s="38">
        <f t="shared" si="27"/>
        <v>0</v>
      </c>
      <c r="D534" s="237" t="s">
        <v>3456</v>
      </c>
      <c r="E534" s="176"/>
      <c r="F534" s="173"/>
      <c r="G534" s="107">
        <f t="shared" si="26"/>
        <v>0</v>
      </c>
      <c r="H534" s="107">
        <f>DVUD!K454</f>
        <v>0</v>
      </c>
      <c r="I534" s="213"/>
    </row>
    <row r="535" spans="1:9" ht="12.75" customHeight="1" x14ac:dyDescent="0.2">
      <c r="A535" s="72"/>
      <c r="B535" s="72">
        <v>349</v>
      </c>
      <c r="C535" s="38">
        <f t="shared" si="27"/>
        <v>0</v>
      </c>
      <c r="D535" s="237" t="s">
        <v>4190</v>
      </c>
      <c r="E535" s="176"/>
      <c r="F535" s="173"/>
      <c r="G535" s="107">
        <f t="shared" si="26"/>
        <v>0</v>
      </c>
      <c r="H535" s="107">
        <f>DVUD!K455</f>
        <v>0</v>
      </c>
      <c r="I535" s="213"/>
    </row>
    <row r="536" spans="1:9" ht="12.75" customHeight="1" x14ac:dyDescent="0.2">
      <c r="A536" s="72"/>
      <c r="B536" s="72"/>
      <c r="C536" s="38">
        <f t="shared" si="27"/>
        <v>0</v>
      </c>
      <c r="D536" s="237" t="s">
        <v>4191</v>
      </c>
      <c r="E536" s="31"/>
      <c r="F536" s="31"/>
      <c r="G536" s="107">
        <f t="shared" si="26"/>
        <v>0</v>
      </c>
      <c r="H536" s="107">
        <f>DVUD!K456</f>
        <v>0</v>
      </c>
      <c r="I536" s="107"/>
    </row>
    <row r="537" spans="1:9" ht="12.75" customHeight="1" x14ac:dyDescent="0.2">
      <c r="A537" s="72"/>
      <c r="B537" s="72"/>
      <c r="C537" s="38">
        <f t="shared" si="27"/>
        <v>0</v>
      </c>
      <c r="D537" s="237" t="s">
        <v>4192</v>
      </c>
      <c r="F537" s="31"/>
      <c r="G537" s="107">
        <f t="shared" si="26"/>
        <v>0</v>
      </c>
      <c r="H537" s="107">
        <f>DVUD!K457</f>
        <v>0</v>
      </c>
      <c r="I537" s="107"/>
    </row>
    <row r="538" spans="1:9" ht="12.75" customHeight="1" x14ac:dyDescent="0.2">
      <c r="A538" s="72"/>
      <c r="B538" s="72">
        <v>350</v>
      </c>
      <c r="C538" s="38"/>
      <c r="D538" s="237" t="s">
        <v>3456</v>
      </c>
      <c r="F538" s="31"/>
      <c r="G538" s="107">
        <f t="shared" si="26"/>
        <v>0</v>
      </c>
      <c r="H538" s="107">
        <f>DVUD!K458</f>
        <v>0</v>
      </c>
      <c r="I538" s="107"/>
    </row>
    <row r="539" spans="1:9" ht="12.75" customHeight="1" x14ac:dyDescent="0.2">
      <c r="A539" s="72"/>
      <c r="B539" s="72">
        <v>351</v>
      </c>
      <c r="C539" s="38"/>
      <c r="D539" s="237" t="s">
        <v>3478</v>
      </c>
      <c r="F539" s="31"/>
      <c r="G539" s="107">
        <f t="shared" si="26"/>
        <v>0</v>
      </c>
      <c r="H539" s="107">
        <f>DVUD!K459</f>
        <v>0</v>
      </c>
      <c r="I539" s="107"/>
    </row>
    <row r="540" spans="1:9" ht="12.75" customHeight="1" x14ac:dyDescent="0.2">
      <c r="A540" s="72"/>
      <c r="B540" s="72">
        <v>352</v>
      </c>
      <c r="C540" s="38"/>
      <c r="D540" s="237" t="s">
        <v>3966</v>
      </c>
      <c r="F540" s="31"/>
      <c r="G540" s="107">
        <f t="shared" si="26"/>
        <v>0</v>
      </c>
      <c r="H540" s="107">
        <f>DVUD!K460</f>
        <v>0</v>
      </c>
      <c r="I540" s="107"/>
    </row>
    <row r="541" spans="1:9" ht="12.75" customHeight="1" x14ac:dyDescent="0.2">
      <c r="A541" s="72"/>
      <c r="B541" s="72"/>
      <c r="C541" s="38"/>
      <c r="D541" s="237" t="s">
        <v>4193</v>
      </c>
      <c r="F541" s="31"/>
      <c r="G541" s="107">
        <f t="shared" si="26"/>
        <v>0</v>
      </c>
      <c r="H541" s="107">
        <f>DVUD!K461</f>
        <v>0</v>
      </c>
      <c r="I541" s="107"/>
    </row>
    <row r="542" spans="1:9" ht="12.75" customHeight="1" x14ac:dyDescent="0.2">
      <c r="A542" s="72"/>
      <c r="B542" s="72"/>
      <c r="C542" s="38"/>
      <c r="D542" s="237" t="s">
        <v>4194</v>
      </c>
      <c r="F542" s="31"/>
      <c r="G542" s="107">
        <f t="shared" si="26"/>
        <v>0</v>
      </c>
      <c r="H542" s="107">
        <f>DVUD!K462</f>
        <v>0</v>
      </c>
      <c r="I542" s="107"/>
    </row>
    <row r="543" spans="1:9" ht="12.75" customHeight="1" x14ac:dyDescent="0.2">
      <c r="A543" s="72"/>
      <c r="B543" s="72">
        <v>353</v>
      </c>
      <c r="C543" s="38"/>
      <c r="D543" s="237" t="s">
        <v>3970</v>
      </c>
      <c r="F543" s="31"/>
      <c r="G543" s="107">
        <f t="shared" si="26"/>
        <v>0</v>
      </c>
      <c r="H543" s="107">
        <f>DVUD!K463</f>
        <v>0</v>
      </c>
      <c r="I543" s="107"/>
    </row>
    <row r="544" spans="1:9" ht="12.75" customHeight="1" x14ac:dyDescent="0.2">
      <c r="A544" s="72"/>
      <c r="B544" s="72">
        <v>354</v>
      </c>
      <c r="C544" s="38"/>
      <c r="D544" s="237" t="s">
        <v>3972</v>
      </c>
      <c r="F544" s="31"/>
      <c r="G544" s="107">
        <f t="shared" si="26"/>
        <v>0</v>
      </c>
      <c r="H544" s="107">
        <f>DVUD!K464</f>
        <v>0</v>
      </c>
      <c r="I544" s="107"/>
    </row>
    <row r="545" spans="1:9" ht="12.75" customHeight="1" x14ac:dyDescent="0.2">
      <c r="A545" s="72"/>
      <c r="B545" s="72">
        <v>355</v>
      </c>
      <c r="C545" s="38"/>
      <c r="D545" s="237" t="s">
        <v>3484</v>
      </c>
      <c r="F545" s="31"/>
      <c r="G545" s="107">
        <f t="shared" si="26"/>
        <v>0</v>
      </c>
      <c r="H545" s="107">
        <f>DVUD!K465</f>
        <v>0</v>
      </c>
      <c r="I545" s="107"/>
    </row>
    <row r="546" spans="1:9" ht="12.75" customHeight="1" x14ac:dyDescent="0.2">
      <c r="A546" s="72"/>
      <c r="B546" s="72">
        <v>356</v>
      </c>
      <c r="C546" s="38"/>
      <c r="D546" s="237" t="s">
        <v>3973</v>
      </c>
      <c r="F546" s="31"/>
      <c r="G546" s="107">
        <f t="shared" si="26"/>
        <v>0</v>
      </c>
      <c r="H546" s="107">
        <f>DVUD!K466</f>
        <v>0</v>
      </c>
      <c r="I546" s="107"/>
    </row>
    <row r="547" spans="1:9" ht="12.75" customHeight="1" x14ac:dyDescent="0.2">
      <c r="A547" s="72"/>
      <c r="B547" s="72">
        <v>357</v>
      </c>
      <c r="C547" s="38"/>
      <c r="D547" s="237" t="s">
        <v>4195</v>
      </c>
      <c r="F547" s="31"/>
      <c r="G547" s="107">
        <f t="shared" si="26"/>
        <v>0</v>
      </c>
      <c r="H547" s="107">
        <f>DVUD!K467</f>
        <v>0</v>
      </c>
      <c r="I547" s="107"/>
    </row>
    <row r="548" spans="1:9" ht="12.75" customHeight="1" x14ac:dyDescent="0.2">
      <c r="A548" s="72"/>
      <c r="B548" s="72">
        <v>358</v>
      </c>
      <c r="C548" s="38"/>
      <c r="D548" s="237" t="s">
        <v>3973</v>
      </c>
      <c r="F548" s="31"/>
      <c r="G548" s="107">
        <f t="shared" ref="G548:G565" si="28">H548</f>
        <v>0</v>
      </c>
      <c r="H548" s="107">
        <f>DVUD!K468</f>
        <v>0</v>
      </c>
      <c r="I548" s="107"/>
    </row>
    <row r="549" spans="1:9" ht="12.75" customHeight="1" x14ac:dyDescent="0.2">
      <c r="A549" s="72"/>
      <c r="B549" s="72">
        <v>359</v>
      </c>
      <c r="C549" s="38"/>
      <c r="D549" s="237" t="s">
        <v>3957</v>
      </c>
      <c r="F549" s="31"/>
      <c r="G549" s="107">
        <f t="shared" si="28"/>
        <v>0</v>
      </c>
      <c r="H549" s="107">
        <f>DVUD!K469</f>
        <v>0</v>
      </c>
      <c r="I549" s="107"/>
    </row>
    <row r="550" spans="1:9" ht="12.75" customHeight="1" x14ac:dyDescent="0.2">
      <c r="A550" s="72"/>
      <c r="B550" s="72">
        <v>360</v>
      </c>
      <c r="C550" s="38"/>
      <c r="D550" s="237" t="s">
        <v>3975</v>
      </c>
      <c r="F550" s="31"/>
      <c r="G550" s="107">
        <f t="shared" si="28"/>
        <v>0</v>
      </c>
      <c r="H550" s="107">
        <f>DVUD!K470</f>
        <v>0</v>
      </c>
      <c r="I550" s="107"/>
    </row>
    <row r="551" spans="1:9" ht="12.75" customHeight="1" x14ac:dyDescent="0.2">
      <c r="A551" s="72"/>
      <c r="B551" s="72">
        <v>361</v>
      </c>
      <c r="C551" s="38"/>
      <c r="D551" s="237" t="s">
        <v>3488</v>
      </c>
      <c r="F551" s="31"/>
      <c r="G551" s="107">
        <f t="shared" si="28"/>
        <v>0</v>
      </c>
      <c r="H551" s="107">
        <f>DVUD!K471</f>
        <v>0</v>
      </c>
      <c r="I551" s="107"/>
    </row>
    <row r="552" spans="1:9" ht="12.75" customHeight="1" x14ac:dyDescent="0.2">
      <c r="A552" s="72"/>
      <c r="B552" s="72">
        <v>362</v>
      </c>
      <c r="C552" s="38"/>
      <c r="D552" s="237" t="s">
        <v>3972</v>
      </c>
      <c r="F552" s="31"/>
      <c r="G552" s="107">
        <f t="shared" si="28"/>
        <v>0</v>
      </c>
      <c r="H552" s="107">
        <f>DVUD!K472</f>
        <v>0</v>
      </c>
      <c r="I552" s="107"/>
    </row>
    <row r="553" spans="1:9" ht="12.75" customHeight="1" x14ac:dyDescent="0.2">
      <c r="A553" s="72"/>
      <c r="B553" s="72">
        <v>363</v>
      </c>
      <c r="C553" s="38"/>
      <c r="D553" s="237" t="s">
        <v>3933</v>
      </c>
      <c r="F553" s="31"/>
      <c r="G553" s="107">
        <f t="shared" si="28"/>
        <v>0</v>
      </c>
      <c r="H553" s="107">
        <f>DVUD!K473</f>
        <v>0</v>
      </c>
      <c r="I553" s="107"/>
    </row>
    <row r="554" spans="1:9" ht="12.75" customHeight="1" x14ac:dyDescent="0.2">
      <c r="A554" s="72"/>
      <c r="B554" s="72">
        <v>364</v>
      </c>
      <c r="C554" s="38"/>
      <c r="D554" s="237" t="s">
        <v>3931</v>
      </c>
      <c r="F554" s="31"/>
      <c r="G554" s="107">
        <f t="shared" si="28"/>
        <v>0</v>
      </c>
      <c r="H554" s="107">
        <f>DVUD!K474</f>
        <v>0</v>
      </c>
      <c r="I554" s="107"/>
    </row>
    <row r="555" spans="1:9" ht="12.75" customHeight="1" x14ac:dyDescent="0.2">
      <c r="A555" s="72"/>
      <c r="B555" s="72">
        <v>365</v>
      </c>
      <c r="C555" s="38"/>
      <c r="D555" s="237" t="s">
        <v>3973</v>
      </c>
      <c r="F555" s="31"/>
      <c r="G555" s="107">
        <f t="shared" si="28"/>
        <v>0</v>
      </c>
      <c r="H555" s="107">
        <f>DVUD!K475</f>
        <v>0</v>
      </c>
      <c r="I555" s="107"/>
    </row>
    <row r="556" spans="1:9" ht="12.75" customHeight="1" x14ac:dyDescent="0.2">
      <c r="A556" s="72"/>
      <c r="B556" s="72"/>
      <c r="C556" s="38"/>
      <c r="D556" s="237" t="s">
        <v>3484</v>
      </c>
      <c r="F556" s="31"/>
      <c r="G556" s="107">
        <f t="shared" si="28"/>
        <v>0</v>
      </c>
      <c r="H556" s="107">
        <f>DVUD!K476</f>
        <v>0</v>
      </c>
      <c r="I556" s="107"/>
    </row>
    <row r="557" spans="1:9" ht="12.75" customHeight="1" x14ac:dyDescent="0.2">
      <c r="A557" s="72"/>
      <c r="B557" s="72">
        <v>366</v>
      </c>
      <c r="C557" s="38"/>
      <c r="D557" s="237" t="s">
        <v>4028</v>
      </c>
      <c r="F557" s="31"/>
      <c r="G557" s="107">
        <f t="shared" si="28"/>
        <v>0</v>
      </c>
      <c r="H557" s="107">
        <f>DVUD!K477</f>
        <v>0</v>
      </c>
      <c r="I557" s="107"/>
    </row>
    <row r="558" spans="1:9" ht="12.75" customHeight="1" x14ac:dyDescent="0.2">
      <c r="A558" s="72"/>
      <c r="B558" s="72">
        <v>367</v>
      </c>
      <c r="C558" s="38"/>
      <c r="D558" s="237" t="s">
        <v>4030</v>
      </c>
      <c r="F558" s="31"/>
      <c r="G558" s="107">
        <f t="shared" si="28"/>
        <v>0</v>
      </c>
      <c r="H558" s="107">
        <f>DVUD!K478</f>
        <v>0</v>
      </c>
      <c r="I558" s="107"/>
    </row>
    <row r="559" spans="1:9" ht="12.75" customHeight="1" x14ac:dyDescent="0.2">
      <c r="A559" s="72"/>
      <c r="B559" s="72">
        <v>368</v>
      </c>
      <c r="C559" s="38"/>
      <c r="D559" s="237" t="s">
        <v>3978</v>
      </c>
      <c r="F559" s="31"/>
      <c r="G559" s="107">
        <f t="shared" si="28"/>
        <v>0</v>
      </c>
      <c r="H559" s="107">
        <f>DVUD!K479</f>
        <v>0</v>
      </c>
      <c r="I559" s="107"/>
    </row>
    <row r="560" spans="1:9" ht="12.75" customHeight="1" x14ac:dyDescent="0.2">
      <c r="A560" s="72"/>
      <c r="B560" s="72">
        <v>369</v>
      </c>
      <c r="C560" s="38"/>
      <c r="D560" s="237" t="s">
        <v>3940</v>
      </c>
      <c r="F560" s="31"/>
      <c r="G560" s="107">
        <f t="shared" si="28"/>
        <v>0</v>
      </c>
      <c r="H560" s="107">
        <f>DVUD!K480</f>
        <v>0</v>
      </c>
      <c r="I560" s="107"/>
    </row>
    <row r="561" spans="1:9" ht="12.75" customHeight="1" x14ac:dyDescent="0.2">
      <c r="A561" s="72"/>
      <c r="B561" s="72">
        <v>370</v>
      </c>
      <c r="C561" s="38"/>
      <c r="D561" s="237" t="s">
        <v>4031</v>
      </c>
      <c r="F561" s="31"/>
      <c r="G561" s="107">
        <f t="shared" si="28"/>
        <v>0</v>
      </c>
      <c r="H561" s="107">
        <f>DVUD!K481</f>
        <v>0</v>
      </c>
      <c r="I561" s="107"/>
    </row>
    <row r="562" spans="1:9" ht="12.75" customHeight="1" x14ac:dyDescent="0.2">
      <c r="A562" s="72" t="s">
        <v>3786</v>
      </c>
      <c r="B562" s="72">
        <v>371</v>
      </c>
      <c r="C562" s="38"/>
      <c r="D562" s="237" t="s">
        <v>3933</v>
      </c>
      <c r="F562" s="31"/>
      <c r="G562" s="107">
        <f t="shared" si="28"/>
        <v>0</v>
      </c>
      <c r="H562" s="107">
        <f>DVUD!K482</f>
        <v>0</v>
      </c>
      <c r="I562" s="107"/>
    </row>
    <row r="563" spans="1:9" ht="12.75" customHeight="1" x14ac:dyDescent="0.2">
      <c r="A563" s="72"/>
      <c r="B563" s="72">
        <v>372</v>
      </c>
      <c r="C563" s="38"/>
      <c r="D563" s="237" t="s">
        <v>4032</v>
      </c>
      <c r="F563" s="31"/>
      <c r="G563" s="107">
        <f t="shared" si="28"/>
        <v>0</v>
      </c>
      <c r="H563" s="107">
        <f>DVUD!K483</f>
        <v>0</v>
      </c>
      <c r="I563" s="107"/>
    </row>
    <row r="564" spans="1:9" ht="12.75" customHeight="1" x14ac:dyDescent="0.2">
      <c r="A564" s="72"/>
      <c r="B564" s="72">
        <v>373</v>
      </c>
      <c r="C564" s="38"/>
      <c r="D564" s="237" t="s">
        <v>4032</v>
      </c>
      <c r="F564" s="31"/>
      <c r="G564" s="107">
        <f t="shared" si="28"/>
        <v>0</v>
      </c>
      <c r="H564" s="107">
        <f>DVUD!K484</f>
        <v>0</v>
      </c>
      <c r="I564" s="107"/>
    </row>
    <row r="565" spans="1:9" ht="12.75" customHeight="1" x14ac:dyDescent="0.2">
      <c r="A565" s="72"/>
      <c r="B565" s="72">
        <v>374</v>
      </c>
      <c r="C565" s="38"/>
      <c r="D565" s="237" t="s">
        <v>4032</v>
      </c>
      <c r="F565" s="31"/>
      <c r="G565" s="107">
        <f t="shared" si="28"/>
        <v>0</v>
      </c>
      <c r="H565" s="107">
        <f>DVUD!K485</f>
        <v>0</v>
      </c>
      <c r="I565" s="107"/>
    </row>
    <row r="566" spans="1:9" ht="12.75" customHeight="1" x14ac:dyDescent="0.2">
      <c r="A566" s="702" t="s">
        <v>3556</v>
      </c>
      <c r="B566" s="703"/>
      <c r="C566" s="703"/>
      <c r="D566" s="703"/>
      <c r="E566" s="703"/>
      <c r="F566" s="704"/>
      <c r="G566" s="94">
        <f>SUM(G482:G565)</f>
        <v>0</v>
      </c>
      <c r="H566" s="94">
        <f>SUM(H482:H565)</f>
        <v>0</v>
      </c>
      <c r="I566" s="94">
        <f>SUM(I507:I536)</f>
        <v>0</v>
      </c>
    </row>
    <row r="567" spans="1:9" ht="12.75" customHeight="1" x14ac:dyDescent="0.2">
      <c r="A567" s="702" t="s">
        <v>3560</v>
      </c>
      <c r="B567" s="703"/>
      <c r="C567" s="703"/>
      <c r="D567" s="703"/>
      <c r="E567" s="703"/>
      <c r="F567" s="704"/>
      <c r="G567" s="94">
        <f>G448</f>
        <v>0</v>
      </c>
      <c r="H567" s="94">
        <f>H448</f>
        <v>0</v>
      </c>
      <c r="I567" s="94"/>
    </row>
    <row r="568" spans="1:9" ht="12.75" customHeight="1" thickBot="1" x14ac:dyDescent="0.25">
      <c r="A568" s="705" t="s">
        <v>3558</v>
      </c>
      <c r="B568" s="706"/>
      <c r="C568" s="706"/>
      <c r="D568" s="706"/>
      <c r="E568" s="706"/>
      <c r="F568" s="707"/>
      <c r="G568" s="93">
        <f>SUM(G566:G567)</f>
        <v>0</v>
      </c>
      <c r="H568" s="93">
        <f>SUM(H566:H567)</f>
        <v>0</v>
      </c>
      <c r="I568" s="93"/>
    </row>
    <row r="569" spans="1:9" ht="12.75" customHeight="1" x14ac:dyDescent="0.2">
      <c r="A569" s="19"/>
      <c r="B569" s="19"/>
      <c r="C569" s="19"/>
      <c r="D569" s="19"/>
      <c r="E569" s="19"/>
      <c r="F569" s="19"/>
      <c r="G569" s="234"/>
      <c r="H569" s="234"/>
      <c r="I569" s="234"/>
    </row>
    <row r="570" spans="1:9" ht="12.75" customHeight="1" x14ac:dyDescent="0.2">
      <c r="G570" s="46"/>
      <c r="H570" s="46"/>
      <c r="I570" s="46"/>
    </row>
    <row r="571" spans="1:9" ht="12.75" customHeight="1" x14ac:dyDescent="0.2">
      <c r="A571" s="687"/>
      <c r="B571" s="687"/>
      <c r="C571" s="687"/>
      <c r="D571" s="687"/>
      <c r="E571" s="143"/>
      <c r="F571" s="143"/>
      <c r="G571" s="708" t="s">
        <v>3537</v>
      </c>
      <c r="H571" s="708"/>
      <c r="I571" s="708"/>
    </row>
    <row r="572" spans="1:9" ht="12.75" customHeight="1" x14ac:dyDescent="0.2">
      <c r="A572" s="687"/>
      <c r="B572" s="687"/>
      <c r="C572" s="687"/>
      <c r="D572" s="687"/>
      <c r="E572" s="143"/>
      <c r="F572" s="143"/>
      <c r="G572" s="708" t="s">
        <v>3783</v>
      </c>
      <c r="H572" s="708"/>
      <c r="I572" s="708"/>
    </row>
    <row r="573" spans="1:9" ht="12.75" customHeight="1" x14ac:dyDescent="0.2">
      <c r="A573" s="305"/>
      <c r="B573" s="305"/>
      <c r="C573" s="305"/>
      <c r="D573" s="305"/>
      <c r="E573" s="143"/>
      <c r="F573" s="143"/>
      <c r="G573" s="308"/>
      <c r="H573" s="308"/>
      <c r="I573" s="308"/>
    </row>
    <row r="574" spans="1:9" ht="12.75" customHeight="1" x14ac:dyDescent="0.2">
      <c r="A574" s="687"/>
      <c r="B574" s="687"/>
      <c r="C574" s="687"/>
      <c r="D574" s="687"/>
      <c r="E574" s="143"/>
      <c r="F574" s="143"/>
      <c r="G574" s="700"/>
      <c r="H574" s="700"/>
      <c r="I574" s="700"/>
    </row>
    <row r="575" spans="1:9" ht="12.75" customHeight="1" x14ac:dyDescent="0.2">
      <c r="A575" s="305"/>
      <c r="B575" s="305"/>
      <c r="C575" s="305"/>
      <c r="D575" s="305"/>
      <c r="E575" s="143"/>
      <c r="F575" s="143"/>
      <c r="G575" s="700"/>
      <c r="H575" s="700"/>
      <c r="I575" s="700"/>
    </row>
    <row r="576" spans="1:9" ht="12.75" customHeight="1" x14ac:dyDescent="0.2">
      <c r="A576" s="305"/>
      <c r="B576" s="305"/>
      <c r="C576" s="305"/>
      <c r="D576" s="305"/>
      <c r="E576" s="143"/>
      <c r="F576" s="143"/>
      <c r="G576" s="700" t="s">
        <v>3538</v>
      </c>
      <c r="H576" s="700"/>
      <c r="I576" s="700"/>
    </row>
    <row r="577" spans="1:9" ht="12.75" customHeight="1" x14ac:dyDescent="0.2">
      <c r="A577" s="305"/>
      <c r="B577" s="305"/>
      <c r="C577" s="305"/>
      <c r="D577" s="305"/>
      <c r="E577" s="143"/>
      <c r="F577" s="143"/>
      <c r="G577" s="309"/>
      <c r="H577" s="309"/>
      <c r="I577" s="309"/>
    </row>
    <row r="578" spans="1:9" ht="12.75" customHeight="1" x14ac:dyDescent="0.2">
      <c r="A578" s="305"/>
      <c r="B578" s="305"/>
      <c r="C578" s="305"/>
      <c r="D578" s="305"/>
      <c r="E578" s="143"/>
      <c r="F578" s="143"/>
      <c r="G578" s="309"/>
      <c r="H578" s="309"/>
      <c r="I578" s="309"/>
    </row>
    <row r="579" spans="1:9" ht="12.75" customHeight="1" x14ac:dyDescent="0.2">
      <c r="A579" s="305"/>
      <c r="B579" s="305"/>
      <c r="C579" s="305"/>
      <c r="D579" s="305"/>
      <c r="E579" s="143"/>
      <c r="F579" s="143"/>
      <c r="G579" s="309"/>
      <c r="H579" s="309"/>
      <c r="I579" s="309"/>
    </row>
    <row r="580" spans="1:9" ht="12.75" customHeight="1" x14ac:dyDescent="0.2">
      <c r="A580" s="305"/>
      <c r="B580" s="305"/>
      <c r="C580" s="305"/>
      <c r="D580" s="305"/>
      <c r="E580" s="143"/>
      <c r="F580" s="143"/>
      <c r="G580" s="309"/>
      <c r="H580" s="309"/>
      <c r="I580" s="309"/>
    </row>
    <row r="581" spans="1:9" ht="12.75" customHeight="1" x14ac:dyDescent="0.2">
      <c r="A581" s="305"/>
      <c r="B581" s="305"/>
      <c r="C581" s="305"/>
      <c r="D581" s="305"/>
      <c r="E581" s="143"/>
      <c r="F581" s="143"/>
      <c r="G581" s="309"/>
      <c r="H581" s="309"/>
      <c r="I581" s="309"/>
    </row>
    <row r="582" spans="1:9" ht="12.75" customHeight="1" x14ac:dyDescent="0.2">
      <c r="A582" s="305"/>
      <c r="B582" s="305"/>
      <c r="C582" s="305"/>
      <c r="D582" s="305"/>
      <c r="E582" s="143"/>
      <c r="F582" s="143"/>
      <c r="G582" s="309"/>
      <c r="H582" s="309"/>
      <c r="I582" s="309"/>
    </row>
    <row r="583" spans="1:9" ht="12.75" customHeight="1" x14ac:dyDescent="0.2">
      <c r="A583" s="305"/>
      <c r="B583" s="305"/>
      <c r="C583" s="305"/>
      <c r="D583" s="305"/>
      <c r="E583" s="143"/>
      <c r="F583" s="143"/>
      <c r="G583" s="309"/>
      <c r="H583" s="309"/>
      <c r="I583" s="309"/>
    </row>
    <row r="584" spans="1:9" ht="12.75" customHeight="1" x14ac:dyDescent="0.2">
      <c r="A584" s="305"/>
      <c r="B584" s="305"/>
      <c r="C584" s="305"/>
      <c r="D584" s="305"/>
      <c r="E584" s="143"/>
      <c r="F584" s="143"/>
      <c r="G584" s="309"/>
      <c r="H584" s="309"/>
      <c r="I584" s="309"/>
    </row>
    <row r="585" spans="1:9" ht="12.75" customHeight="1" x14ac:dyDescent="0.2">
      <c r="A585" s="305"/>
      <c r="B585" s="305"/>
      <c r="C585" s="305"/>
      <c r="D585" s="305"/>
      <c r="E585" s="143"/>
      <c r="F585" s="143"/>
      <c r="G585" s="309"/>
      <c r="H585" s="309"/>
      <c r="I585" s="309"/>
    </row>
    <row r="586" spans="1:9" ht="12.75" customHeight="1" x14ac:dyDescent="0.2">
      <c r="A586" s="305"/>
      <c r="B586" s="305"/>
      <c r="C586" s="305"/>
      <c r="D586" s="305"/>
      <c r="E586" s="143"/>
      <c r="F586" s="143"/>
      <c r="G586" s="309"/>
      <c r="H586" s="309"/>
      <c r="I586" s="309"/>
    </row>
    <row r="587" spans="1:9" ht="12.75" customHeight="1" x14ac:dyDescent="0.2">
      <c r="A587" s="305"/>
      <c r="B587" s="305"/>
      <c r="C587" s="305"/>
      <c r="D587" s="305"/>
      <c r="E587" s="143"/>
      <c r="F587" s="143"/>
      <c r="G587" s="309"/>
      <c r="H587" s="309"/>
      <c r="I587" s="309"/>
    </row>
    <row r="588" spans="1:9" ht="12.75" customHeight="1" x14ac:dyDescent="0.2">
      <c r="A588" s="305"/>
      <c r="B588" s="305"/>
      <c r="C588" s="305"/>
      <c r="D588" s="305"/>
      <c r="E588" s="143"/>
      <c r="F588" s="143"/>
      <c r="G588" s="309"/>
      <c r="H588" s="309"/>
      <c r="I588" s="309"/>
    </row>
    <row r="589" spans="1:9" ht="12.75" customHeight="1" x14ac:dyDescent="0.2">
      <c r="A589" s="305"/>
      <c r="B589" s="305"/>
      <c r="C589" s="305"/>
      <c r="D589" s="305"/>
      <c r="E589" s="143"/>
      <c r="F589" s="143"/>
      <c r="G589" s="309"/>
      <c r="H589" s="309"/>
      <c r="I589" s="309"/>
    </row>
    <row r="590" spans="1:9" ht="12.75" customHeight="1" x14ac:dyDescent="0.2">
      <c r="A590" s="305"/>
      <c r="B590" s="305"/>
      <c r="C590" s="305"/>
      <c r="D590" s="305"/>
      <c r="E590" s="143"/>
      <c r="F590" s="143"/>
      <c r="G590" s="309"/>
      <c r="H590" s="309"/>
      <c r="I590" s="309"/>
    </row>
    <row r="591" spans="1:9" ht="12.75" customHeight="1" x14ac:dyDescent="0.2">
      <c r="A591" s="9" t="s">
        <v>0</v>
      </c>
      <c r="B591" s="9"/>
      <c r="C591" s="9"/>
      <c r="D591" s="9"/>
      <c r="E591" s="9"/>
      <c r="F591" s="9"/>
      <c r="G591" s="9"/>
      <c r="H591" s="9"/>
      <c r="I591" s="9"/>
    </row>
    <row r="592" spans="1:9" ht="12.75" customHeight="1" x14ac:dyDescent="0.2">
      <c r="A592" s="9" t="s">
        <v>1</v>
      </c>
      <c r="B592" s="9"/>
      <c r="C592" s="9"/>
      <c r="D592" s="9"/>
      <c r="E592" s="9"/>
      <c r="F592" s="9"/>
      <c r="G592" s="9"/>
      <c r="H592" s="9"/>
      <c r="I592" s="9"/>
    </row>
    <row r="593" spans="1:9" ht="12.75" customHeight="1" x14ac:dyDescent="0.2">
      <c r="A593" s="9"/>
      <c r="B593" s="9"/>
      <c r="C593" s="9"/>
      <c r="D593" s="9"/>
      <c r="E593" s="9"/>
      <c r="F593" s="9"/>
      <c r="G593" s="9"/>
      <c r="H593" s="9"/>
      <c r="I593" s="9"/>
    </row>
    <row r="594" spans="1:9" ht="12.75" customHeight="1" x14ac:dyDescent="0.2">
      <c r="A594" s="643" t="s">
        <v>77</v>
      </c>
      <c r="B594" s="643"/>
      <c r="C594" s="643"/>
      <c r="D594" s="643"/>
      <c r="E594" s="643"/>
      <c r="F594" s="643"/>
      <c r="G594" s="643"/>
      <c r="H594" s="643"/>
      <c r="I594" s="643"/>
    </row>
    <row r="595" spans="1:9" ht="12.75" customHeight="1" x14ac:dyDescent="0.2">
      <c r="A595" s="643" t="s">
        <v>3575</v>
      </c>
      <c r="B595" s="643"/>
      <c r="C595" s="643"/>
      <c r="D595" s="643"/>
      <c r="E595" s="643"/>
      <c r="F595" s="643"/>
      <c r="G595" s="643"/>
      <c r="H595" s="643"/>
      <c r="I595" s="643"/>
    </row>
    <row r="596" spans="1:9" ht="12.75" customHeight="1" x14ac:dyDescent="0.2">
      <c r="A596" s="680" t="s">
        <v>3</v>
      </c>
      <c r="B596" s="701" t="s">
        <v>4</v>
      </c>
      <c r="C596" s="701"/>
      <c r="D596" s="680" t="s">
        <v>5</v>
      </c>
      <c r="E596" s="662" t="s">
        <v>6</v>
      </c>
      <c r="F596" s="664"/>
      <c r="G596" s="310" t="s">
        <v>10</v>
      </c>
      <c r="H596" s="701" t="s">
        <v>90</v>
      </c>
      <c r="I596" s="701"/>
    </row>
    <row r="597" spans="1:9" ht="12.75" customHeight="1" x14ac:dyDescent="0.2">
      <c r="A597" s="681"/>
      <c r="B597" s="680" t="s">
        <v>7</v>
      </c>
      <c r="C597" s="680" t="s">
        <v>3</v>
      </c>
      <c r="D597" s="681"/>
      <c r="E597" s="680" t="s">
        <v>8</v>
      </c>
      <c r="F597" s="680" t="s">
        <v>3</v>
      </c>
      <c r="G597" s="306" t="s">
        <v>9</v>
      </c>
      <c r="H597" s="310" t="s">
        <v>11</v>
      </c>
      <c r="I597" s="310" t="s">
        <v>3342</v>
      </c>
    </row>
    <row r="598" spans="1:9" ht="12.75" customHeight="1" x14ac:dyDescent="0.2">
      <c r="A598" s="682"/>
      <c r="B598" s="682"/>
      <c r="C598" s="682"/>
      <c r="D598" s="682"/>
      <c r="E598" s="682"/>
      <c r="F598" s="682"/>
      <c r="G598" s="310" t="s">
        <v>3312</v>
      </c>
      <c r="H598" s="307" t="s">
        <v>3343</v>
      </c>
      <c r="I598" s="307" t="s">
        <v>3344</v>
      </c>
    </row>
    <row r="599" spans="1:9" ht="12.75" customHeight="1" x14ac:dyDescent="0.2">
      <c r="A599" s="210" t="s">
        <v>4343</v>
      </c>
      <c r="B599" s="210">
        <v>375</v>
      </c>
      <c r="C599" s="211" t="str">
        <f t="shared" ref="C599:C630" si="29">A599</f>
        <v>03 Juni</v>
      </c>
      <c r="D599" s="236" t="s">
        <v>3406</v>
      </c>
      <c r="E599" s="212"/>
      <c r="F599" s="60"/>
      <c r="G599" s="90">
        <f>H599</f>
        <v>0</v>
      </c>
      <c r="H599" s="90">
        <f>DVUD!K503</f>
        <v>0</v>
      </c>
      <c r="I599" s="90"/>
    </row>
    <row r="600" spans="1:9" ht="12.75" customHeight="1" x14ac:dyDescent="0.2">
      <c r="A600" s="72"/>
      <c r="B600" s="72">
        <f>B599+1</f>
        <v>376</v>
      </c>
      <c r="C600" s="38">
        <f t="shared" si="29"/>
        <v>0</v>
      </c>
      <c r="D600" s="237" t="s">
        <v>3406</v>
      </c>
      <c r="E600" s="41"/>
      <c r="F600" s="31"/>
      <c r="G600" s="107">
        <f>H600</f>
        <v>0</v>
      </c>
      <c r="H600" s="107">
        <f>DVUD!H504</f>
        <v>0</v>
      </c>
      <c r="I600" s="107"/>
    </row>
    <row r="601" spans="1:9" ht="12.75" customHeight="1" x14ac:dyDescent="0.2">
      <c r="A601" s="72"/>
      <c r="B601" s="72">
        <f t="shared" ref="B601:B603" si="30">B600+1</f>
        <v>377</v>
      </c>
      <c r="C601" s="38">
        <f t="shared" si="29"/>
        <v>0</v>
      </c>
      <c r="D601" s="237" t="s">
        <v>3402</v>
      </c>
      <c r="E601" s="41"/>
      <c r="F601" s="31"/>
      <c r="G601" s="107">
        <f t="shared" ref="G601:G649" si="31">H601</f>
        <v>0</v>
      </c>
      <c r="H601" s="107">
        <f>DVUD!H505</f>
        <v>0</v>
      </c>
      <c r="I601" s="107"/>
    </row>
    <row r="602" spans="1:9" ht="12.75" customHeight="1" x14ac:dyDescent="0.2">
      <c r="A602" s="72"/>
      <c r="B602" s="72">
        <f t="shared" si="30"/>
        <v>378</v>
      </c>
      <c r="C602" s="38">
        <f t="shared" si="29"/>
        <v>0</v>
      </c>
      <c r="D602" s="237" t="s">
        <v>3402</v>
      </c>
      <c r="E602" s="41"/>
      <c r="F602" s="31"/>
      <c r="G602" s="107">
        <f t="shared" si="31"/>
        <v>0</v>
      </c>
      <c r="H602" s="107">
        <f>DVUD!H506</f>
        <v>0</v>
      </c>
      <c r="I602" s="107"/>
    </row>
    <row r="603" spans="1:9" ht="12.75" customHeight="1" x14ac:dyDescent="0.2">
      <c r="A603" s="72" t="s">
        <v>4348</v>
      </c>
      <c r="B603" s="72">
        <f t="shared" si="30"/>
        <v>379</v>
      </c>
      <c r="C603" s="38" t="str">
        <f t="shared" si="29"/>
        <v>04 Juni</v>
      </c>
      <c r="D603" s="237" t="s">
        <v>4349</v>
      </c>
      <c r="E603" s="41"/>
      <c r="F603" s="31"/>
      <c r="G603" s="107">
        <f t="shared" si="31"/>
        <v>0</v>
      </c>
      <c r="H603" s="107">
        <f>DVUD!H507</f>
        <v>0</v>
      </c>
      <c r="I603" s="107"/>
    </row>
    <row r="604" spans="1:9" ht="12.75" customHeight="1" x14ac:dyDescent="0.2">
      <c r="A604" s="72"/>
      <c r="B604" s="72"/>
      <c r="C604" s="38">
        <f t="shared" si="29"/>
        <v>0</v>
      </c>
      <c r="D604" s="237" t="s">
        <v>3927</v>
      </c>
      <c r="E604" s="41"/>
      <c r="F604" s="31"/>
      <c r="G604" s="107">
        <f t="shared" si="31"/>
        <v>0</v>
      </c>
      <c r="H604" s="107">
        <f>DVUD!H508</f>
        <v>0</v>
      </c>
      <c r="I604" s="107"/>
    </row>
    <row r="605" spans="1:9" ht="12.75" customHeight="1" x14ac:dyDescent="0.2">
      <c r="A605" s="72"/>
      <c r="B605" s="72"/>
      <c r="C605" s="38">
        <f t="shared" si="29"/>
        <v>0</v>
      </c>
      <c r="D605" s="237" t="s">
        <v>3928</v>
      </c>
      <c r="E605" s="41"/>
      <c r="F605" s="31"/>
      <c r="G605" s="107">
        <f t="shared" si="31"/>
        <v>0</v>
      </c>
      <c r="H605" s="107">
        <f>DVUD!H509</f>
        <v>0</v>
      </c>
      <c r="I605" s="107"/>
    </row>
    <row r="606" spans="1:9" ht="12.75" customHeight="1" x14ac:dyDescent="0.2">
      <c r="A606" s="72"/>
      <c r="B606" s="72">
        <v>380</v>
      </c>
      <c r="C606" s="38">
        <f t="shared" si="29"/>
        <v>0</v>
      </c>
      <c r="D606" s="237" t="s">
        <v>3741</v>
      </c>
      <c r="E606" s="41"/>
      <c r="F606" s="31"/>
      <c r="G606" s="107">
        <f t="shared" si="31"/>
        <v>0</v>
      </c>
      <c r="H606" s="107">
        <f>DVUD!H510</f>
        <v>0</v>
      </c>
      <c r="I606" s="107"/>
    </row>
    <row r="607" spans="1:9" ht="12.75" customHeight="1" x14ac:dyDescent="0.2">
      <c r="A607" s="72"/>
      <c r="B607" s="72">
        <f>B606+1</f>
        <v>381</v>
      </c>
      <c r="C607" s="38">
        <f t="shared" si="29"/>
        <v>0</v>
      </c>
      <c r="D607" s="237" t="s">
        <v>4032</v>
      </c>
      <c r="E607" s="41"/>
      <c r="F607" s="31"/>
      <c r="G607" s="107">
        <f t="shared" si="31"/>
        <v>0</v>
      </c>
      <c r="H607" s="107">
        <f>DVUD!H511</f>
        <v>0</v>
      </c>
      <c r="I607" s="107"/>
    </row>
    <row r="608" spans="1:9" ht="12.75" customHeight="1" x14ac:dyDescent="0.2">
      <c r="A608" s="72" t="s">
        <v>4352</v>
      </c>
      <c r="B608" s="72">
        <f t="shared" ref="B608:B641" si="32">B607+1</f>
        <v>382</v>
      </c>
      <c r="C608" s="38" t="str">
        <f t="shared" si="29"/>
        <v>05 Juni</v>
      </c>
      <c r="D608" s="237" t="s">
        <v>3410</v>
      </c>
      <c r="E608" s="41"/>
      <c r="F608" s="31"/>
      <c r="G608" s="107">
        <f t="shared" si="31"/>
        <v>0</v>
      </c>
      <c r="H608" s="107">
        <f>DVUD!H512</f>
        <v>0</v>
      </c>
      <c r="I608" s="107"/>
    </row>
    <row r="609" spans="1:9" ht="12.75" customHeight="1" x14ac:dyDescent="0.2">
      <c r="A609" s="10"/>
      <c r="B609" s="72">
        <f t="shared" si="32"/>
        <v>383</v>
      </c>
      <c r="C609" s="38">
        <f t="shared" si="29"/>
        <v>0</v>
      </c>
      <c r="D609" s="237" t="s">
        <v>3410</v>
      </c>
      <c r="E609" s="41"/>
      <c r="F609" s="31"/>
      <c r="G609" s="107">
        <f t="shared" si="31"/>
        <v>0</v>
      </c>
      <c r="H609" s="107">
        <f>DVUD!H513</f>
        <v>0</v>
      </c>
      <c r="I609" s="107"/>
    </row>
    <row r="610" spans="1:9" ht="12.75" customHeight="1" x14ac:dyDescent="0.2">
      <c r="A610" s="72"/>
      <c r="B610" s="72">
        <f t="shared" si="32"/>
        <v>384</v>
      </c>
      <c r="C610" s="38">
        <f t="shared" si="29"/>
        <v>0</v>
      </c>
      <c r="D610" s="237" t="s">
        <v>3410</v>
      </c>
      <c r="E610" s="41"/>
      <c r="F610" s="31"/>
      <c r="G610" s="107">
        <f t="shared" si="31"/>
        <v>0</v>
      </c>
      <c r="H610" s="107">
        <f>DVUD!H514</f>
        <v>0</v>
      </c>
      <c r="I610" s="107"/>
    </row>
    <row r="611" spans="1:9" ht="12.75" customHeight="1" x14ac:dyDescent="0.2">
      <c r="A611" s="72"/>
      <c r="B611" s="72">
        <f t="shared" si="32"/>
        <v>385</v>
      </c>
      <c r="C611" s="38">
        <f t="shared" si="29"/>
        <v>0</v>
      </c>
      <c r="D611" s="237" t="s">
        <v>3406</v>
      </c>
      <c r="E611" s="41"/>
      <c r="F611" s="31"/>
      <c r="G611" s="107">
        <f t="shared" si="31"/>
        <v>0</v>
      </c>
      <c r="H611" s="107">
        <f>DVUD!H515</f>
        <v>0</v>
      </c>
      <c r="I611" s="107"/>
    </row>
    <row r="612" spans="1:9" ht="12.75" customHeight="1" x14ac:dyDescent="0.2">
      <c r="A612" s="72"/>
      <c r="B612" s="72">
        <f t="shared" si="32"/>
        <v>386</v>
      </c>
      <c r="C612" s="38">
        <f t="shared" si="29"/>
        <v>0</v>
      </c>
      <c r="D612" s="237" t="s">
        <v>3940</v>
      </c>
      <c r="E612" s="41"/>
      <c r="F612" s="31"/>
      <c r="G612" s="107">
        <f t="shared" si="31"/>
        <v>0</v>
      </c>
      <c r="H612" s="107">
        <f>DVUD!H516</f>
        <v>0</v>
      </c>
      <c r="I612" s="107"/>
    </row>
    <row r="613" spans="1:9" ht="12.75" customHeight="1" x14ac:dyDescent="0.2">
      <c r="A613" s="72"/>
      <c r="B613" s="72">
        <f t="shared" si="32"/>
        <v>387</v>
      </c>
      <c r="C613" s="38">
        <f t="shared" si="29"/>
        <v>0</v>
      </c>
      <c r="D613" s="237" t="s">
        <v>3984</v>
      </c>
      <c r="E613" s="41"/>
      <c r="F613" s="31"/>
      <c r="G613" s="107">
        <f t="shared" si="31"/>
        <v>0</v>
      </c>
      <c r="H613" s="107">
        <f>DVUD!H517</f>
        <v>0</v>
      </c>
      <c r="I613" s="107"/>
    </row>
    <row r="614" spans="1:9" ht="12.75" customHeight="1" x14ac:dyDescent="0.2">
      <c r="A614" s="72"/>
      <c r="B614" s="72">
        <f t="shared" si="32"/>
        <v>388</v>
      </c>
      <c r="C614" s="38">
        <f t="shared" si="29"/>
        <v>0</v>
      </c>
      <c r="D614" s="237" t="s">
        <v>3402</v>
      </c>
      <c r="E614" s="41"/>
      <c r="F614" s="31"/>
      <c r="G614" s="107">
        <f t="shared" si="31"/>
        <v>0</v>
      </c>
      <c r="H614" s="107">
        <f>DVUD!H518</f>
        <v>0</v>
      </c>
      <c r="I614" s="107"/>
    </row>
    <row r="615" spans="1:9" ht="12.75" customHeight="1" x14ac:dyDescent="0.2">
      <c r="A615" s="263"/>
      <c r="B615" s="72">
        <f t="shared" si="32"/>
        <v>389</v>
      </c>
      <c r="C615" s="38">
        <f t="shared" si="29"/>
        <v>0</v>
      </c>
      <c r="D615" s="237" t="s">
        <v>3930</v>
      </c>
      <c r="E615" s="41"/>
      <c r="F615" s="31"/>
      <c r="G615" s="107">
        <f t="shared" si="31"/>
        <v>0</v>
      </c>
      <c r="H615" s="107">
        <f>DVUD!H519</f>
        <v>0</v>
      </c>
      <c r="I615" s="107"/>
    </row>
    <row r="616" spans="1:9" ht="12.75" customHeight="1" x14ac:dyDescent="0.2">
      <c r="A616" s="72"/>
      <c r="B616" s="72">
        <f t="shared" si="32"/>
        <v>390</v>
      </c>
      <c r="C616" s="38">
        <f t="shared" si="29"/>
        <v>0</v>
      </c>
      <c r="D616" s="237" t="s">
        <v>3406</v>
      </c>
      <c r="E616" s="41"/>
      <c r="F616" s="31"/>
      <c r="G616" s="107">
        <f t="shared" si="31"/>
        <v>0</v>
      </c>
      <c r="H616" s="107">
        <f>DVUD!H520</f>
        <v>0</v>
      </c>
      <c r="I616" s="107"/>
    </row>
    <row r="617" spans="1:9" ht="12.75" customHeight="1" x14ac:dyDescent="0.2">
      <c r="A617" s="72" t="s">
        <v>3789</v>
      </c>
      <c r="B617" s="72">
        <f t="shared" si="32"/>
        <v>391</v>
      </c>
      <c r="C617" s="38" t="str">
        <f t="shared" si="29"/>
        <v>10 Juni</v>
      </c>
      <c r="D617" s="237" t="s">
        <v>4360</v>
      </c>
      <c r="E617" s="41"/>
      <c r="F617" s="31"/>
      <c r="G617" s="107">
        <f t="shared" si="31"/>
        <v>0</v>
      </c>
      <c r="H617" s="107">
        <f>DVUD!H521</f>
        <v>0</v>
      </c>
      <c r="I617" s="107"/>
    </row>
    <row r="618" spans="1:9" ht="12.75" customHeight="1" x14ac:dyDescent="0.2">
      <c r="A618" s="72"/>
      <c r="B618" s="72">
        <f t="shared" si="32"/>
        <v>392</v>
      </c>
      <c r="C618" s="38">
        <f t="shared" si="29"/>
        <v>0</v>
      </c>
      <c r="D618" s="237" t="s">
        <v>3544</v>
      </c>
      <c r="E618" s="41"/>
      <c r="F618" s="31"/>
      <c r="G618" s="107">
        <f t="shared" si="31"/>
        <v>0</v>
      </c>
      <c r="H618" s="107">
        <f>DVUD!H522</f>
        <v>0</v>
      </c>
      <c r="I618" s="107"/>
    </row>
    <row r="619" spans="1:9" ht="12.75" customHeight="1" x14ac:dyDescent="0.2">
      <c r="A619" s="72"/>
      <c r="B619" s="72">
        <f t="shared" si="32"/>
        <v>393</v>
      </c>
      <c r="C619" s="38">
        <f t="shared" si="29"/>
        <v>0</v>
      </c>
      <c r="D619" s="237" t="s">
        <v>3940</v>
      </c>
      <c r="E619" s="41"/>
      <c r="F619" s="31"/>
      <c r="G619" s="107">
        <f t="shared" si="31"/>
        <v>0</v>
      </c>
      <c r="H619" s="107">
        <f>DVUD!H523</f>
        <v>0</v>
      </c>
      <c r="I619" s="107"/>
    </row>
    <row r="620" spans="1:9" ht="12.75" customHeight="1" x14ac:dyDescent="0.2">
      <c r="A620" s="72"/>
      <c r="B620" s="72">
        <f t="shared" si="32"/>
        <v>394</v>
      </c>
      <c r="C620" s="38">
        <f t="shared" si="29"/>
        <v>0</v>
      </c>
      <c r="D620" s="237" t="s">
        <v>3943</v>
      </c>
      <c r="E620" s="41"/>
      <c r="F620" s="31"/>
      <c r="G620" s="107">
        <f t="shared" si="31"/>
        <v>0</v>
      </c>
      <c r="H620" s="107">
        <f>DVUD!H524</f>
        <v>0</v>
      </c>
      <c r="I620" s="107"/>
    </row>
    <row r="621" spans="1:9" ht="12.75" customHeight="1" x14ac:dyDescent="0.2">
      <c r="A621" s="72" t="s">
        <v>4362</v>
      </c>
      <c r="B621" s="72">
        <f t="shared" si="32"/>
        <v>395</v>
      </c>
      <c r="C621" s="38" t="str">
        <f t="shared" si="29"/>
        <v>11 Juni</v>
      </c>
      <c r="D621" s="237" t="s">
        <v>4032</v>
      </c>
      <c r="E621" s="41"/>
      <c r="F621" s="31"/>
      <c r="G621" s="107">
        <f t="shared" si="31"/>
        <v>0</v>
      </c>
      <c r="H621" s="107">
        <f>DVUD!H525</f>
        <v>0</v>
      </c>
      <c r="I621" s="107"/>
    </row>
    <row r="622" spans="1:9" ht="12.75" customHeight="1" x14ac:dyDescent="0.2">
      <c r="A622" s="72"/>
      <c r="B622" s="72">
        <f t="shared" si="32"/>
        <v>396</v>
      </c>
      <c r="C622" s="38">
        <f t="shared" si="29"/>
        <v>0</v>
      </c>
      <c r="D622" s="237" t="s">
        <v>4032</v>
      </c>
      <c r="E622" s="41"/>
      <c r="F622" s="31"/>
      <c r="G622" s="107">
        <f t="shared" si="31"/>
        <v>0</v>
      </c>
      <c r="H622" s="107">
        <f>DVUD!H526</f>
        <v>0</v>
      </c>
      <c r="I622" s="31"/>
    </row>
    <row r="623" spans="1:9" ht="12.75" customHeight="1" x14ac:dyDescent="0.2">
      <c r="A623" s="72"/>
      <c r="B623" s="72">
        <f t="shared" si="32"/>
        <v>397</v>
      </c>
      <c r="C623" s="38">
        <f t="shared" si="29"/>
        <v>0</v>
      </c>
      <c r="D623" s="237" t="s">
        <v>3406</v>
      </c>
      <c r="E623" s="41"/>
      <c r="F623" s="31"/>
      <c r="G623" s="107">
        <f t="shared" si="31"/>
        <v>0</v>
      </c>
      <c r="H623" s="107">
        <f>DVUD!H527</f>
        <v>0</v>
      </c>
      <c r="I623" s="31"/>
    </row>
    <row r="624" spans="1:9" ht="12.75" customHeight="1" x14ac:dyDescent="0.2">
      <c r="A624" s="72" t="s">
        <v>4366</v>
      </c>
      <c r="B624" s="72">
        <f t="shared" si="32"/>
        <v>398</v>
      </c>
      <c r="C624" s="38" t="str">
        <f t="shared" si="29"/>
        <v>12 Juni</v>
      </c>
      <c r="D624" s="237" t="s">
        <v>3990</v>
      </c>
      <c r="E624" s="176"/>
      <c r="F624" s="173"/>
      <c r="G624" s="107">
        <f t="shared" si="31"/>
        <v>0</v>
      </c>
      <c r="H624" s="107">
        <f>DVUD!H528</f>
        <v>0</v>
      </c>
      <c r="I624" s="213"/>
    </row>
    <row r="625" spans="1:9" ht="12.75" customHeight="1" x14ac:dyDescent="0.2">
      <c r="A625" s="72"/>
      <c r="B625" s="72">
        <f t="shared" si="32"/>
        <v>399</v>
      </c>
      <c r="C625" s="38">
        <f t="shared" si="29"/>
        <v>0</v>
      </c>
      <c r="D625" s="237" t="s">
        <v>3978</v>
      </c>
      <c r="E625" s="176"/>
      <c r="F625" s="173"/>
      <c r="G625" s="107">
        <f t="shared" si="31"/>
        <v>0</v>
      </c>
      <c r="H625" s="107">
        <f>DVUD!H529</f>
        <v>0</v>
      </c>
      <c r="I625" s="213"/>
    </row>
    <row r="626" spans="1:9" ht="12.75" customHeight="1" x14ac:dyDescent="0.2">
      <c r="A626" s="72"/>
      <c r="B626" s="72">
        <f t="shared" si="32"/>
        <v>400</v>
      </c>
      <c r="C626" s="38">
        <f t="shared" si="29"/>
        <v>0</v>
      </c>
      <c r="D626" s="237" t="s">
        <v>4030</v>
      </c>
      <c r="E626" s="176"/>
      <c r="F626" s="173"/>
      <c r="G626" s="107">
        <f t="shared" si="31"/>
        <v>0</v>
      </c>
      <c r="H626" s="107">
        <f>DVUD!H530</f>
        <v>0</v>
      </c>
      <c r="I626" s="213"/>
    </row>
    <row r="627" spans="1:9" ht="12.75" customHeight="1" x14ac:dyDescent="0.2">
      <c r="A627" s="72"/>
      <c r="B627" s="72">
        <f t="shared" si="32"/>
        <v>401</v>
      </c>
      <c r="C627" s="38">
        <f t="shared" si="29"/>
        <v>0</v>
      </c>
      <c r="D627" s="237" t="s">
        <v>3942</v>
      </c>
      <c r="E627" s="176"/>
      <c r="F627" s="173"/>
      <c r="G627" s="107">
        <f t="shared" si="31"/>
        <v>0</v>
      </c>
      <c r="H627" s="107">
        <f>DVUD!H531</f>
        <v>0</v>
      </c>
      <c r="I627" s="213"/>
    </row>
    <row r="628" spans="1:9" ht="12.75" customHeight="1" x14ac:dyDescent="0.2">
      <c r="A628" s="72" t="s">
        <v>4371</v>
      </c>
      <c r="B628" s="72">
        <f t="shared" si="32"/>
        <v>402</v>
      </c>
      <c r="C628" s="38" t="str">
        <f t="shared" si="29"/>
        <v>13 Juni</v>
      </c>
      <c r="D628" s="237" t="s">
        <v>3406</v>
      </c>
      <c r="E628" s="176"/>
      <c r="F628" s="173"/>
      <c r="G628" s="107">
        <f t="shared" si="31"/>
        <v>0</v>
      </c>
      <c r="H628" s="107">
        <f>DVUD!H532</f>
        <v>0</v>
      </c>
      <c r="I628" s="213"/>
    </row>
    <row r="629" spans="1:9" ht="12.75" customHeight="1" x14ac:dyDescent="0.2">
      <c r="A629" s="72"/>
      <c r="B629" s="72">
        <f t="shared" si="32"/>
        <v>403</v>
      </c>
      <c r="C629" s="38">
        <f t="shared" si="29"/>
        <v>0</v>
      </c>
      <c r="D629" s="237" t="s">
        <v>3955</v>
      </c>
      <c r="E629" s="176"/>
      <c r="F629" s="173"/>
      <c r="G629" s="107">
        <f t="shared" si="31"/>
        <v>0</v>
      </c>
      <c r="H629" s="107">
        <f>DVUD!H533</f>
        <v>0</v>
      </c>
      <c r="I629" s="213"/>
    </row>
    <row r="630" spans="1:9" ht="12.75" customHeight="1" x14ac:dyDescent="0.2">
      <c r="A630" s="72" t="s">
        <v>4374</v>
      </c>
      <c r="B630" s="72">
        <f t="shared" si="32"/>
        <v>404</v>
      </c>
      <c r="C630" s="38" t="str">
        <f t="shared" si="29"/>
        <v>17 Juni</v>
      </c>
      <c r="D630" s="237" t="s">
        <v>4376</v>
      </c>
      <c r="E630" s="176"/>
      <c r="F630" s="173"/>
      <c r="G630" s="107">
        <f t="shared" si="31"/>
        <v>0</v>
      </c>
      <c r="H630" s="107">
        <f>DVUD!H534</f>
        <v>0</v>
      </c>
      <c r="I630" s="213"/>
    </row>
    <row r="631" spans="1:9" ht="12.75" customHeight="1" x14ac:dyDescent="0.2">
      <c r="A631" s="72"/>
      <c r="B631" s="72">
        <f t="shared" si="32"/>
        <v>405</v>
      </c>
      <c r="C631" s="38">
        <f t="shared" ref="C631:C662" si="33">A631</f>
        <v>0</v>
      </c>
      <c r="D631" s="237" t="s">
        <v>3933</v>
      </c>
      <c r="E631" s="176"/>
      <c r="F631" s="173"/>
      <c r="G631" s="107">
        <f>H631</f>
        <v>0</v>
      </c>
      <c r="H631" s="107">
        <f>DVUD!H535</f>
        <v>0</v>
      </c>
      <c r="I631" s="213"/>
    </row>
    <row r="632" spans="1:9" ht="12.75" customHeight="1" x14ac:dyDescent="0.2">
      <c r="A632" s="72"/>
      <c r="B632" s="72">
        <f t="shared" si="32"/>
        <v>406</v>
      </c>
      <c r="C632" s="38">
        <f t="shared" si="33"/>
        <v>0</v>
      </c>
      <c r="D632" s="237" t="s">
        <v>3955</v>
      </c>
      <c r="E632" s="176"/>
      <c r="F632" s="173"/>
      <c r="G632" s="107">
        <f t="shared" si="31"/>
        <v>0</v>
      </c>
      <c r="H632" s="107">
        <f>DVUD!H536</f>
        <v>0</v>
      </c>
      <c r="I632" s="213"/>
    </row>
    <row r="633" spans="1:9" ht="12.75" customHeight="1" x14ac:dyDescent="0.2">
      <c r="A633" s="72" t="s">
        <v>4377</v>
      </c>
      <c r="B633" s="72">
        <f t="shared" si="32"/>
        <v>407</v>
      </c>
      <c r="C633" s="38" t="str">
        <f t="shared" si="33"/>
        <v>18 Juni</v>
      </c>
      <c r="D633" s="237" t="s">
        <v>3943</v>
      </c>
      <c r="E633" s="176"/>
      <c r="F633" s="173"/>
      <c r="G633" s="107">
        <f t="shared" si="31"/>
        <v>0</v>
      </c>
      <c r="H633" s="107">
        <f>DVUD!H537</f>
        <v>0</v>
      </c>
      <c r="I633" s="213"/>
    </row>
    <row r="634" spans="1:9" ht="12.75" customHeight="1" x14ac:dyDescent="0.2">
      <c r="A634" s="10" t="s">
        <v>4339</v>
      </c>
      <c r="B634" s="72">
        <f t="shared" si="32"/>
        <v>408</v>
      </c>
      <c r="C634" s="38" t="str">
        <f t="shared" si="33"/>
        <v>20 Juni</v>
      </c>
      <c r="D634" s="237" t="s">
        <v>4052</v>
      </c>
      <c r="E634" s="176"/>
      <c r="F634" s="173"/>
      <c r="G634" s="107">
        <f t="shared" si="31"/>
        <v>0</v>
      </c>
      <c r="H634" s="107">
        <f>DVUD!H538</f>
        <v>0</v>
      </c>
      <c r="I634" s="213"/>
    </row>
    <row r="635" spans="1:9" ht="12.75" customHeight="1" x14ac:dyDescent="0.2">
      <c r="A635" s="72" t="s">
        <v>4380</v>
      </c>
      <c r="B635" s="72">
        <f t="shared" si="32"/>
        <v>409</v>
      </c>
      <c r="C635" s="38" t="str">
        <f t="shared" si="33"/>
        <v>23 Juni</v>
      </c>
      <c r="D635" s="237" t="s">
        <v>3933</v>
      </c>
      <c r="E635" s="176"/>
      <c r="F635" s="173"/>
      <c r="G635" s="107">
        <f t="shared" si="31"/>
        <v>0</v>
      </c>
      <c r="H635" s="107">
        <f>DVUD!H539</f>
        <v>0</v>
      </c>
      <c r="I635" s="213"/>
    </row>
    <row r="636" spans="1:9" ht="12.75" customHeight="1" x14ac:dyDescent="0.2">
      <c r="A636" s="72"/>
      <c r="B636" s="72">
        <f t="shared" si="32"/>
        <v>410</v>
      </c>
      <c r="C636" s="38">
        <f t="shared" si="33"/>
        <v>0</v>
      </c>
      <c r="D636" s="237" t="s">
        <v>4383</v>
      </c>
      <c r="E636" s="176"/>
      <c r="F636" s="173"/>
      <c r="G636" s="107">
        <f t="shared" si="31"/>
        <v>0</v>
      </c>
      <c r="H636" s="107">
        <f>DVUD!H540</f>
        <v>0</v>
      </c>
      <c r="I636" s="213"/>
    </row>
    <row r="637" spans="1:9" ht="12.75" customHeight="1" x14ac:dyDescent="0.2">
      <c r="A637" s="72" t="s">
        <v>4384</v>
      </c>
      <c r="B637" s="72">
        <f t="shared" si="32"/>
        <v>411</v>
      </c>
      <c r="C637" s="38" t="str">
        <f t="shared" si="33"/>
        <v>24 Juni</v>
      </c>
      <c r="D637" s="237" t="s">
        <v>4383</v>
      </c>
      <c r="E637" s="176"/>
      <c r="F637" s="173"/>
      <c r="G637" s="107">
        <f t="shared" si="31"/>
        <v>0</v>
      </c>
      <c r="H637" s="107">
        <f>DVUD!H541</f>
        <v>0</v>
      </c>
      <c r="I637" s="213"/>
    </row>
    <row r="638" spans="1:9" ht="12.75" customHeight="1" x14ac:dyDescent="0.2">
      <c r="A638" s="10"/>
      <c r="B638" s="72">
        <f t="shared" si="32"/>
        <v>412</v>
      </c>
      <c r="C638" s="38">
        <f t="shared" si="33"/>
        <v>0</v>
      </c>
      <c r="D638" s="237" t="s">
        <v>3984</v>
      </c>
      <c r="E638" s="176"/>
      <c r="F638" s="173"/>
      <c r="G638" s="107">
        <f t="shared" si="31"/>
        <v>0</v>
      </c>
      <c r="H638" s="107">
        <f>DVUD!H542</f>
        <v>0</v>
      </c>
      <c r="I638" s="213"/>
    </row>
    <row r="639" spans="1:9" ht="12.75" customHeight="1" x14ac:dyDescent="0.2">
      <c r="A639" s="72"/>
      <c r="B639" s="72">
        <f t="shared" si="32"/>
        <v>413</v>
      </c>
      <c r="C639" s="38">
        <f t="shared" si="33"/>
        <v>0</v>
      </c>
      <c r="D639" s="237" t="s">
        <v>3436</v>
      </c>
      <c r="E639" s="176"/>
      <c r="F639" s="173"/>
      <c r="G639" s="107">
        <f t="shared" si="31"/>
        <v>0</v>
      </c>
      <c r="H639" s="107">
        <f>DVUD!H543</f>
        <v>0</v>
      </c>
      <c r="I639" s="213"/>
    </row>
    <row r="640" spans="1:9" ht="12.75" customHeight="1" x14ac:dyDescent="0.2">
      <c r="A640" s="72" t="s">
        <v>4386</v>
      </c>
      <c r="B640" s="72">
        <f t="shared" si="32"/>
        <v>414</v>
      </c>
      <c r="C640" s="38" t="str">
        <f t="shared" si="33"/>
        <v>25 Juni</v>
      </c>
      <c r="D640" s="237" t="s">
        <v>3970</v>
      </c>
      <c r="E640" s="176"/>
      <c r="F640" s="173"/>
      <c r="G640" s="107">
        <f t="shared" si="31"/>
        <v>0</v>
      </c>
      <c r="H640" s="107">
        <f>DVUD!H544</f>
        <v>0</v>
      </c>
      <c r="I640" s="213"/>
    </row>
    <row r="641" spans="1:9" ht="12.75" customHeight="1" x14ac:dyDescent="0.2">
      <c r="A641" s="72" t="s">
        <v>4388</v>
      </c>
      <c r="B641" s="72">
        <f t="shared" si="32"/>
        <v>415</v>
      </c>
      <c r="C641" s="38" t="str">
        <f t="shared" si="33"/>
        <v>26 Juni</v>
      </c>
      <c r="D641" s="237" t="s">
        <v>3958</v>
      </c>
      <c r="E641" s="176"/>
      <c r="F641" s="173"/>
      <c r="G641" s="107">
        <f t="shared" si="31"/>
        <v>0</v>
      </c>
      <c r="H641" s="107">
        <f>DVUD!H545</f>
        <v>0</v>
      </c>
      <c r="I641" s="213"/>
    </row>
    <row r="642" spans="1:9" ht="12.75" customHeight="1" x14ac:dyDescent="0.2">
      <c r="A642" s="72"/>
      <c r="B642" s="72"/>
      <c r="C642" s="38">
        <f t="shared" si="33"/>
        <v>0</v>
      </c>
      <c r="D642" s="237" t="s">
        <v>4019</v>
      </c>
      <c r="E642" s="176"/>
      <c r="F642" s="173"/>
      <c r="G642" s="107">
        <f t="shared" si="31"/>
        <v>0</v>
      </c>
      <c r="H642" s="107">
        <f>DVUD!H546</f>
        <v>0</v>
      </c>
      <c r="I642" s="213"/>
    </row>
    <row r="643" spans="1:9" ht="12.75" customHeight="1" x14ac:dyDescent="0.2">
      <c r="A643" s="72"/>
      <c r="B643" s="72"/>
      <c r="C643" s="38">
        <f t="shared" si="33"/>
        <v>0</v>
      </c>
      <c r="D643" s="237" t="s">
        <v>3959</v>
      </c>
      <c r="E643" s="176"/>
      <c r="F643" s="173"/>
      <c r="G643" s="107">
        <f t="shared" si="31"/>
        <v>0</v>
      </c>
      <c r="H643" s="107">
        <f>DVUD!H547</f>
        <v>0</v>
      </c>
      <c r="I643" s="213"/>
    </row>
    <row r="644" spans="1:9" ht="12.75" customHeight="1" x14ac:dyDescent="0.2">
      <c r="A644" s="72"/>
      <c r="B644" s="72">
        <v>416</v>
      </c>
      <c r="C644" s="38">
        <f t="shared" si="33"/>
        <v>0</v>
      </c>
      <c r="D644" s="237" t="s">
        <v>3962</v>
      </c>
      <c r="E644" s="176"/>
      <c r="F644" s="173"/>
      <c r="G644" s="107">
        <f t="shared" si="31"/>
        <v>0</v>
      </c>
      <c r="H644" s="107">
        <f>DVUD!H548</f>
        <v>0</v>
      </c>
      <c r="I644" s="213"/>
    </row>
    <row r="645" spans="1:9" ht="12.75" customHeight="1" x14ac:dyDescent="0.2">
      <c r="A645" s="72"/>
      <c r="B645" s="72"/>
      <c r="C645" s="38">
        <f t="shared" si="33"/>
        <v>0</v>
      </c>
      <c r="D645" s="237" t="s">
        <v>3963</v>
      </c>
      <c r="E645" s="176"/>
      <c r="F645" s="173"/>
      <c r="G645" s="107">
        <f t="shared" si="31"/>
        <v>0</v>
      </c>
      <c r="H645" s="107">
        <f>DVUD!H549</f>
        <v>0</v>
      </c>
      <c r="I645" s="213"/>
    </row>
    <row r="646" spans="1:9" ht="12.75" customHeight="1" x14ac:dyDescent="0.2">
      <c r="A646" s="72"/>
      <c r="B646" s="72"/>
      <c r="C646" s="38">
        <f t="shared" si="33"/>
        <v>0</v>
      </c>
      <c r="D646" s="237" t="s">
        <v>3964</v>
      </c>
      <c r="E646" s="176"/>
      <c r="F646" s="173"/>
      <c r="G646" s="107">
        <f t="shared" si="31"/>
        <v>0</v>
      </c>
      <c r="H646" s="107">
        <f>DVUD!H550</f>
        <v>0</v>
      </c>
      <c r="I646" s="213"/>
    </row>
    <row r="647" spans="1:9" ht="12.75" customHeight="1" x14ac:dyDescent="0.2">
      <c r="A647" s="72"/>
      <c r="B647" s="72">
        <v>417</v>
      </c>
      <c r="C647" s="38">
        <f t="shared" si="33"/>
        <v>0</v>
      </c>
      <c r="D647" s="237" t="s">
        <v>3456</v>
      </c>
      <c r="E647" s="176"/>
      <c r="F647" s="173"/>
      <c r="G647" s="107">
        <f t="shared" si="31"/>
        <v>0</v>
      </c>
      <c r="H647" s="107">
        <f>DVUD!H551</f>
        <v>0</v>
      </c>
      <c r="I647" s="213"/>
    </row>
    <row r="648" spans="1:9" ht="12.75" customHeight="1" x14ac:dyDescent="0.2">
      <c r="A648" s="72"/>
      <c r="B648" s="72">
        <v>418</v>
      </c>
      <c r="C648" s="38">
        <f t="shared" si="33"/>
        <v>0</v>
      </c>
      <c r="D648" s="237" t="s">
        <v>3478</v>
      </c>
      <c r="E648" s="176"/>
      <c r="F648" s="173"/>
      <c r="G648" s="107">
        <f t="shared" si="31"/>
        <v>0</v>
      </c>
      <c r="H648" s="107">
        <f>DVUD!H552</f>
        <v>0</v>
      </c>
      <c r="I648" s="213"/>
    </row>
    <row r="649" spans="1:9" ht="12.75" customHeight="1" x14ac:dyDescent="0.2">
      <c r="A649" s="72"/>
      <c r="B649" s="72">
        <v>419</v>
      </c>
      <c r="C649" s="38">
        <f t="shared" si="33"/>
        <v>0</v>
      </c>
      <c r="D649" s="237" t="s">
        <v>3966</v>
      </c>
      <c r="E649" s="176"/>
      <c r="F649" s="173"/>
      <c r="G649" s="107">
        <f t="shared" si="31"/>
        <v>0</v>
      </c>
      <c r="H649" s="107">
        <f>DVUD!H553</f>
        <v>0</v>
      </c>
      <c r="I649" s="213"/>
    </row>
    <row r="650" spans="1:9" ht="12.75" customHeight="1" x14ac:dyDescent="0.2">
      <c r="A650" s="72"/>
      <c r="B650" s="72"/>
      <c r="C650" s="38">
        <f t="shared" si="33"/>
        <v>0</v>
      </c>
      <c r="D650" s="237" t="s">
        <v>4391</v>
      </c>
      <c r="E650" s="176"/>
      <c r="F650" s="173"/>
      <c r="G650" s="107">
        <f t="shared" ref="G650:G671" si="34">H650</f>
        <v>0</v>
      </c>
      <c r="H650" s="107">
        <f>DVUD!H554</f>
        <v>0</v>
      </c>
      <c r="I650" s="213"/>
    </row>
    <row r="651" spans="1:9" ht="12.75" customHeight="1" x14ac:dyDescent="0.2">
      <c r="A651" s="72"/>
      <c r="B651" s="72"/>
      <c r="C651" s="38">
        <f t="shared" si="33"/>
        <v>0</v>
      </c>
      <c r="D651" s="237" t="s">
        <v>4392</v>
      </c>
      <c r="E651" s="176"/>
      <c r="F651" s="173"/>
      <c r="G651" s="107">
        <f t="shared" si="34"/>
        <v>0</v>
      </c>
      <c r="H651" s="107">
        <f>DVUD!H555</f>
        <v>0</v>
      </c>
      <c r="I651" s="213"/>
    </row>
    <row r="652" spans="1:9" ht="12.75" customHeight="1" x14ac:dyDescent="0.2">
      <c r="A652" s="72"/>
      <c r="B652" s="72">
        <v>420</v>
      </c>
      <c r="C652" s="38">
        <f t="shared" si="33"/>
        <v>0</v>
      </c>
      <c r="D652" s="237" t="s">
        <v>3970</v>
      </c>
      <c r="E652" s="176"/>
      <c r="F652" s="173"/>
      <c r="G652" s="107">
        <f t="shared" si="34"/>
        <v>0</v>
      </c>
      <c r="H652" s="107">
        <f>DVUD!H556</f>
        <v>0</v>
      </c>
      <c r="I652" s="213"/>
    </row>
    <row r="653" spans="1:9" ht="12.75" customHeight="1" x14ac:dyDescent="0.2">
      <c r="A653" s="72"/>
      <c r="B653" s="72">
        <f>B652+1</f>
        <v>421</v>
      </c>
      <c r="C653" s="38">
        <f t="shared" si="33"/>
        <v>0</v>
      </c>
      <c r="D653" s="237" t="s">
        <v>3972</v>
      </c>
      <c r="E653" s="176"/>
      <c r="F653" s="173"/>
      <c r="G653" s="107">
        <f t="shared" si="34"/>
        <v>0</v>
      </c>
      <c r="H653" s="107">
        <f>DVUD!H557</f>
        <v>0</v>
      </c>
      <c r="I653" s="213"/>
    </row>
    <row r="654" spans="1:9" ht="12.75" customHeight="1" x14ac:dyDescent="0.2">
      <c r="A654" s="72"/>
      <c r="B654" s="72">
        <f t="shared" ref="B654:B664" si="35">B653+1</f>
        <v>422</v>
      </c>
      <c r="C654" s="38">
        <f t="shared" si="33"/>
        <v>0</v>
      </c>
      <c r="D654" s="237" t="s">
        <v>3484</v>
      </c>
      <c r="E654" s="176"/>
      <c r="F654" s="173"/>
      <c r="G654" s="107">
        <f t="shared" si="34"/>
        <v>0</v>
      </c>
      <c r="H654" s="107">
        <f>DVUD!H558</f>
        <v>0</v>
      </c>
      <c r="I654" s="213"/>
    </row>
    <row r="655" spans="1:9" ht="12.75" customHeight="1" x14ac:dyDescent="0.2">
      <c r="A655" s="72"/>
      <c r="B655" s="72">
        <f t="shared" si="35"/>
        <v>423</v>
      </c>
      <c r="C655" s="38">
        <f t="shared" si="33"/>
        <v>0</v>
      </c>
      <c r="D655" s="237" t="s">
        <v>3973</v>
      </c>
      <c r="E655" s="176"/>
      <c r="F655" s="173"/>
      <c r="G655" s="107">
        <f t="shared" si="34"/>
        <v>0</v>
      </c>
      <c r="H655" s="107">
        <f>DVUD!H559</f>
        <v>0</v>
      </c>
      <c r="I655" s="213"/>
    </row>
    <row r="656" spans="1:9" ht="12.75" customHeight="1" x14ac:dyDescent="0.2">
      <c r="A656" s="72"/>
      <c r="B656" s="72">
        <f t="shared" si="35"/>
        <v>424</v>
      </c>
      <c r="C656" s="38">
        <f t="shared" si="33"/>
        <v>0</v>
      </c>
      <c r="D656" s="237" t="s">
        <v>3973</v>
      </c>
      <c r="E656" s="176"/>
      <c r="F656" s="173"/>
      <c r="G656" s="107">
        <f t="shared" si="34"/>
        <v>0</v>
      </c>
      <c r="H656" s="107">
        <f>DVUD!H560</f>
        <v>0</v>
      </c>
      <c r="I656" s="213"/>
    </row>
    <row r="657" spans="1:9" ht="12.75" customHeight="1" x14ac:dyDescent="0.2">
      <c r="A657" s="72"/>
      <c r="B657" s="72">
        <f t="shared" si="35"/>
        <v>425</v>
      </c>
      <c r="C657" s="38">
        <f t="shared" si="33"/>
        <v>0</v>
      </c>
      <c r="D657" s="237" t="s">
        <v>3973</v>
      </c>
      <c r="E657" s="176"/>
      <c r="F657" s="173"/>
      <c r="G657" s="107">
        <f t="shared" si="34"/>
        <v>0</v>
      </c>
      <c r="H657" s="107">
        <f>DVUD!H561</f>
        <v>0</v>
      </c>
      <c r="I657" s="213"/>
    </row>
    <row r="658" spans="1:9" ht="12.75" customHeight="1" x14ac:dyDescent="0.2">
      <c r="A658" s="72"/>
      <c r="B658" s="72">
        <f t="shared" si="35"/>
        <v>426</v>
      </c>
      <c r="C658" s="38">
        <f t="shared" si="33"/>
        <v>0</v>
      </c>
      <c r="D658" s="237" t="s">
        <v>3957</v>
      </c>
      <c r="E658" s="176"/>
      <c r="F658" s="173"/>
      <c r="G658" s="107">
        <f t="shared" si="34"/>
        <v>0</v>
      </c>
      <c r="H658" s="107">
        <f>DVUD!H562</f>
        <v>0</v>
      </c>
      <c r="I658" s="213"/>
    </row>
    <row r="659" spans="1:9" ht="12.75" customHeight="1" x14ac:dyDescent="0.2">
      <c r="A659" s="72"/>
      <c r="B659" s="72">
        <f t="shared" si="35"/>
        <v>427</v>
      </c>
      <c r="C659" s="38">
        <f t="shared" si="33"/>
        <v>0</v>
      </c>
      <c r="D659" s="237" t="s">
        <v>3975</v>
      </c>
      <c r="E659" s="176"/>
      <c r="F659" s="173"/>
      <c r="G659" s="107">
        <f t="shared" si="34"/>
        <v>0</v>
      </c>
      <c r="H659" s="107">
        <f>DVUD!H563</f>
        <v>0</v>
      </c>
      <c r="I659" s="213"/>
    </row>
    <row r="660" spans="1:9" ht="12.75" customHeight="1" x14ac:dyDescent="0.2">
      <c r="A660" s="72"/>
      <c r="B660" s="72">
        <f t="shared" si="35"/>
        <v>428</v>
      </c>
      <c r="C660" s="38">
        <f t="shared" si="33"/>
        <v>0</v>
      </c>
      <c r="D660" s="237" t="s">
        <v>4394</v>
      </c>
      <c r="E660" s="176"/>
      <c r="F660" s="173"/>
      <c r="G660" s="107">
        <f t="shared" si="34"/>
        <v>0</v>
      </c>
      <c r="H660" s="107">
        <f>DVUD!H564</f>
        <v>0</v>
      </c>
      <c r="I660" s="213"/>
    </row>
    <row r="661" spans="1:9" ht="12.75" customHeight="1" x14ac:dyDescent="0.2">
      <c r="A661" s="72"/>
      <c r="B661" s="72">
        <f t="shared" si="35"/>
        <v>429</v>
      </c>
      <c r="C661" s="38">
        <f t="shared" si="33"/>
        <v>0</v>
      </c>
      <c r="D661" s="237" t="s">
        <v>3972</v>
      </c>
      <c r="E661" s="176"/>
      <c r="F661" s="173"/>
      <c r="G661" s="107">
        <f t="shared" si="34"/>
        <v>0</v>
      </c>
      <c r="H661" s="107">
        <f>DVUD!H565</f>
        <v>0</v>
      </c>
      <c r="I661" s="213"/>
    </row>
    <row r="662" spans="1:9" ht="12.75" customHeight="1" x14ac:dyDescent="0.2">
      <c r="A662" s="72"/>
      <c r="B662" s="72">
        <f t="shared" si="35"/>
        <v>430</v>
      </c>
      <c r="C662" s="38">
        <f t="shared" si="33"/>
        <v>0</v>
      </c>
      <c r="D662" s="31" t="s">
        <v>3933</v>
      </c>
      <c r="E662" s="176"/>
      <c r="F662" s="173"/>
      <c r="G662" s="107">
        <f t="shared" si="34"/>
        <v>0</v>
      </c>
      <c r="H662" s="107">
        <f>DVUD!H566</f>
        <v>0</v>
      </c>
      <c r="I662" s="213"/>
    </row>
    <row r="663" spans="1:9" ht="12.75" customHeight="1" x14ac:dyDescent="0.2">
      <c r="A663" s="72"/>
      <c r="B663" s="72">
        <f t="shared" si="35"/>
        <v>431</v>
      </c>
      <c r="C663" s="38">
        <f t="shared" ref="C663:C672" si="36">A663</f>
        <v>0</v>
      </c>
      <c r="D663" s="237" t="s">
        <v>3931</v>
      </c>
      <c r="E663" s="176"/>
      <c r="F663" s="173"/>
      <c r="G663" s="107">
        <f t="shared" si="34"/>
        <v>0</v>
      </c>
      <c r="H663" s="107">
        <f>DVUD!H567</f>
        <v>0</v>
      </c>
      <c r="I663" s="213"/>
    </row>
    <row r="664" spans="1:9" ht="12.75" customHeight="1" x14ac:dyDescent="0.2">
      <c r="A664" s="72"/>
      <c r="B664" s="72">
        <f t="shared" si="35"/>
        <v>432</v>
      </c>
      <c r="C664" s="38">
        <f t="shared" si="36"/>
        <v>0</v>
      </c>
      <c r="D664" s="237" t="s">
        <v>3973</v>
      </c>
      <c r="E664" s="176"/>
      <c r="F664" s="173"/>
      <c r="G664" s="107">
        <f t="shared" si="34"/>
        <v>0</v>
      </c>
      <c r="H664" s="107">
        <f>DVUD!H568</f>
        <v>0</v>
      </c>
      <c r="I664" s="213"/>
    </row>
    <row r="665" spans="1:9" ht="12.75" customHeight="1" x14ac:dyDescent="0.2">
      <c r="A665" s="72"/>
      <c r="B665" s="72"/>
      <c r="C665" s="38">
        <f t="shared" si="36"/>
        <v>0</v>
      </c>
      <c r="D665" s="237" t="s">
        <v>3484</v>
      </c>
      <c r="E665" s="176"/>
      <c r="F665" s="173"/>
      <c r="G665" s="107">
        <f t="shared" si="34"/>
        <v>0</v>
      </c>
      <c r="H665" s="107">
        <f>DVUD!H569</f>
        <v>0</v>
      </c>
      <c r="I665" s="213"/>
    </row>
    <row r="666" spans="1:9" ht="12.75" customHeight="1" x14ac:dyDescent="0.2">
      <c r="A666" s="72"/>
      <c r="B666" s="72"/>
      <c r="C666" s="38">
        <f t="shared" si="36"/>
        <v>0</v>
      </c>
      <c r="D666" s="237" t="s">
        <v>3972</v>
      </c>
      <c r="E666" s="176"/>
      <c r="F666" s="173"/>
      <c r="G666" s="107">
        <f t="shared" si="34"/>
        <v>0</v>
      </c>
      <c r="H666" s="107">
        <f>DVUD!H570</f>
        <v>0</v>
      </c>
      <c r="I666" s="213"/>
    </row>
    <row r="667" spans="1:9" ht="12.75" customHeight="1" x14ac:dyDescent="0.2">
      <c r="A667" s="72"/>
      <c r="B667" s="72">
        <v>433</v>
      </c>
      <c r="C667" s="38">
        <f t="shared" si="36"/>
        <v>0</v>
      </c>
      <c r="D667" s="237" t="s">
        <v>3953</v>
      </c>
      <c r="E667" s="176"/>
      <c r="F667" s="173"/>
      <c r="G667" s="107">
        <f t="shared" si="34"/>
        <v>0</v>
      </c>
      <c r="H667" s="107">
        <f>DVUD!H571</f>
        <v>0</v>
      </c>
      <c r="I667" s="213"/>
    </row>
    <row r="668" spans="1:9" ht="12.75" customHeight="1" x14ac:dyDescent="0.2">
      <c r="A668" s="72"/>
      <c r="B668" s="72">
        <f>B667+1</f>
        <v>434</v>
      </c>
      <c r="C668" s="38">
        <f t="shared" si="36"/>
        <v>0</v>
      </c>
      <c r="D668" s="237" t="s">
        <v>3957</v>
      </c>
      <c r="E668" s="176"/>
      <c r="F668" s="173"/>
      <c r="G668" s="107">
        <f t="shared" si="34"/>
        <v>0</v>
      </c>
      <c r="H668" s="107">
        <f>DVUD!H572</f>
        <v>0</v>
      </c>
      <c r="I668" s="213"/>
    </row>
    <row r="669" spans="1:9" ht="12.75" customHeight="1" x14ac:dyDescent="0.2">
      <c r="A669" s="72"/>
      <c r="B669" s="72">
        <f t="shared" ref="B669:B681" si="37">B668+1</f>
        <v>435</v>
      </c>
      <c r="C669" s="38">
        <f t="shared" si="36"/>
        <v>0</v>
      </c>
      <c r="D669" s="237" t="s">
        <v>3938</v>
      </c>
      <c r="E669" s="176"/>
      <c r="F669" s="173"/>
      <c r="G669" s="107">
        <f t="shared" si="34"/>
        <v>0</v>
      </c>
      <c r="H669" s="107">
        <f>DVUD!H573</f>
        <v>0</v>
      </c>
      <c r="I669" s="213"/>
    </row>
    <row r="670" spans="1:9" ht="12.75" customHeight="1" x14ac:dyDescent="0.2">
      <c r="A670" s="72"/>
      <c r="B670" s="72">
        <f t="shared" si="37"/>
        <v>436</v>
      </c>
      <c r="C670" s="38">
        <f t="shared" si="36"/>
        <v>0</v>
      </c>
      <c r="D670" s="237" t="s">
        <v>4032</v>
      </c>
      <c r="E670" s="176"/>
      <c r="F670" s="173"/>
      <c r="G670" s="107">
        <f t="shared" si="34"/>
        <v>0</v>
      </c>
      <c r="H670" s="107">
        <f>DVUD!H574</f>
        <v>0</v>
      </c>
      <c r="I670" s="213"/>
    </row>
    <row r="671" spans="1:9" ht="12.75" customHeight="1" x14ac:dyDescent="0.2">
      <c r="A671" s="72"/>
      <c r="B671" s="72">
        <f t="shared" si="37"/>
        <v>437</v>
      </c>
      <c r="C671" s="38">
        <f t="shared" si="36"/>
        <v>0</v>
      </c>
      <c r="D671" s="237" t="s">
        <v>3942</v>
      </c>
      <c r="E671" s="176"/>
      <c r="F671" s="173"/>
      <c r="G671" s="107">
        <f t="shared" si="34"/>
        <v>0</v>
      </c>
      <c r="H671" s="107">
        <f>DVUD!H575</f>
        <v>0</v>
      </c>
      <c r="I671" s="213"/>
    </row>
    <row r="672" spans="1:9" ht="12.75" customHeight="1" x14ac:dyDescent="0.2">
      <c r="A672" s="72"/>
      <c r="B672" s="72">
        <f t="shared" si="37"/>
        <v>438</v>
      </c>
      <c r="C672" s="38">
        <f t="shared" si="36"/>
        <v>0</v>
      </c>
      <c r="D672" s="237" t="s">
        <v>3955</v>
      </c>
      <c r="E672" s="176"/>
      <c r="F672" s="173"/>
      <c r="G672" s="107">
        <f t="shared" ref="G672:G690" si="38">H672</f>
        <v>0</v>
      </c>
      <c r="H672" s="107">
        <f>DVUD!H576</f>
        <v>0</v>
      </c>
      <c r="I672" s="213"/>
    </row>
    <row r="673" spans="1:9" ht="12.75" customHeight="1" x14ac:dyDescent="0.2">
      <c r="A673" s="72"/>
      <c r="B673" s="72">
        <f t="shared" si="37"/>
        <v>439</v>
      </c>
      <c r="C673" s="38"/>
      <c r="D673" s="237" t="s">
        <v>3943</v>
      </c>
      <c r="E673" s="176"/>
      <c r="F673" s="173"/>
      <c r="G673" s="107">
        <f t="shared" si="38"/>
        <v>0</v>
      </c>
      <c r="H673" s="107">
        <f>DVUD!H577</f>
        <v>0</v>
      </c>
      <c r="I673" s="213"/>
    </row>
    <row r="674" spans="1:9" ht="12.75" customHeight="1" x14ac:dyDescent="0.2">
      <c r="A674" s="72"/>
      <c r="B674" s="72">
        <f t="shared" si="37"/>
        <v>440</v>
      </c>
      <c r="C674" s="38"/>
      <c r="D674" s="237" t="s">
        <v>3950</v>
      </c>
      <c r="E674" s="176"/>
      <c r="F674" s="173"/>
      <c r="G674" s="107">
        <f t="shared" si="38"/>
        <v>0</v>
      </c>
      <c r="H674" s="107">
        <f>DVUD!H578</f>
        <v>0</v>
      </c>
      <c r="I674" s="213"/>
    </row>
    <row r="675" spans="1:9" ht="12.75" customHeight="1" x14ac:dyDescent="0.2">
      <c r="A675" s="72"/>
      <c r="B675" s="72">
        <f t="shared" si="37"/>
        <v>441</v>
      </c>
      <c r="C675" s="38"/>
      <c r="D675" s="237" t="s">
        <v>4032</v>
      </c>
      <c r="E675" s="176"/>
      <c r="F675" s="173"/>
      <c r="G675" s="107">
        <f t="shared" si="38"/>
        <v>0</v>
      </c>
      <c r="H675" s="107">
        <f>DVUD!H579</f>
        <v>0</v>
      </c>
      <c r="I675" s="213"/>
    </row>
    <row r="676" spans="1:9" ht="12.75" customHeight="1" x14ac:dyDescent="0.2">
      <c r="A676" s="72"/>
      <c r="B676" s="72">
        <f t="shared" si="37"/>
        <v>442</v>
      </c>
      <c r="C676" s="38"/>
      <c r="D676" s="237" t="s">
        <v>3402</v>
      </c>
      <c r="E676" s="176"/>
      <c r="F676" s="173"/>
      <c r="G676" s="107">
        <f t="shared" si="38"/>
        <v>0</v>
      </c>
      <c r="H676" s="107">
        <f>DVUD!H580</f>
        <v>0</v>
      </c>
      <c r="I676" s="213"/>
    </row>
    <row r="677" spans="1:9" ht="12.75" customHeight="1" x14ac:dyDescent="0.2">
      <c r="A677" s="72"/>
      <c r="B677" s="72">
        <f t="shared" si="37"/>
        <v>443</v>
      </c>
      <c r="C677" s="38"/>
      <c r="D677" s="237" t="s">
        <v>3937</v>
      </c>
      <c r="E677" s="176"/>
      <c r="F677" s="173"/>
      <c r="G677" s="107">
        <f t="shared" si="38"/>
        <v>0</v>
      </c>
      <c r="H677" s="107">
        <f>DVUD!H581</f>
        <v>0</v>
      </c>
      <c r="I677" s="213"/>
    </row>
    <row r="678" spans="1:9" ht="12.75" customHeight="1" x14ac:dyDescent="0.2">
      <c r="A678" s="72"/>
      <c r="B678" s="72">
        <f t="shared" si="37"/>
        <v>444</v>
      </c>
      <c r="C678" s="38"/>
      <c r="D678" s="237" t="s">
        <v>3937</v>
      </c>
      <c r="E678" s="176"/>
      <c r="F678" s="173"/>
      <c r="G678" s="107">
        <f t="shared" si="38"/>
        <v>0</v>
      </c>
      <c r="H678" s="107">
        <f>DVUD!H582</f>
        <v>0</v>
      </c>
      <c r="I678" s="213"/>
    </row>
    <row r="679" spans="1:9" ht="12.75" customHeight="1" x14ac:dyDescent="0.2">
      <c r="A679" s="72"/>
      <c r="B679" s="72">
        <f t="shared" si="37"/>
        <v>445</v>
      </c>
      <c r="C679" s="38"/>
      <c r="D679" s="237" t="s">
        <v>4031</v>
      </c>
      <c r="E679" s="176"/>
      <c r="F679" s="173"/>
      <c r="G679" s="107">
        <f t="shared" si="38"/>
        <v>0</v>
      </c>
      <c r="H679" s="107">
        <f>DVUD!H583</f>
        <v>0</v>
      </c>
      <c r="I679" s="213"/>
    </row>
    <row r="680" spans="1:9" ht="12.75" customHeight="1" x14ac:dyDescent="0.2">
      <c r="A680" s="72"/>
      <c r="B680" s="72">
        <f t="shared" si="37"/>
        <v>446</v>
      </c>
      <c r="C680" s="38"/>
      <c r="D680" s="237" t="s">
        <v>4031</v>
      </c>
      <c r="E680" s="176"/>
      <c r="F680" s="173"/>
      <c r="G680" s="107">
        <f t="shared" si="38"/>
        <v>0</v>
      </c>
      <c r="H680" s="107">
        <f>DVUD!H584</f>
        <v>0</v>
      </c>
      <c r="I680" s="213"/>
    </row>
    <row r="681" spans="1:9" ht="12.75" customHeight="1" x14ac:dyDescent="0.2">
      <c r="A681" s="72"/>
      <c r="B681" s="72">
        <f t="shared" si="37"/>
        <v>447</v>
      </c>
      <c r="C681" s="38"/>
      <c r="D681" s="237" t="s">
        <v>3972</v>
      </c>
      <c r="E681" s="176"/>
      <c r="F681" s="173"/>
      <c r="G681" s="107">
        <f t="shared" si="38"/>
        <v>0</v>
      </c>
      <c r="H681" s="107">
        <f>DVUD!H585</f>
        <v>0</v>
      </c>
      <c r="I681" s="213"/>
    </row>
    <row r="682" spans="1:9" ht="12.75" customHeight="1" x14ac:dyDescent="0.2">
      <c r="A682" s="72"/>
      <c r="B682" s="72"/>
      <c r="C682" s="38"/>
      <c r="D682" s="237" t="s">
        <v>3484</v>
      </c>
      <c r="E682" s="176"/>
      <c r="F682" s="173"/>
      <c r="G682" s="107">
        <f t="shared" si="38"/>
        <v>0</v>
      </c>
      <c r="H682" s="107">
        <f>DVUD!H586</f>
        <v>0</v>
      </c>
      <c r="I682" s="213"/>
    </row>
    <row r="683" spans="1:9" ht="12.75" customHeight="1" x14ac:dyDescent="0.2">
      <c r="A683" s="72"/>
      <c r="B683" s="72"/>
      <c r="C683" s="38"/>
      <c r="D683" s="237" t="s">
        <v>3973</v>
      </c>
      <c r="E683" s="176"/>
      <c r="F683" s="173"/>
      <c r="G683" s="107">
        <f t="shared" si="38"/>
        <v>0</v>
      </c>
      <c r="H683" s="107">
        <f>DVUD!H587</f>
        <v>0</v>
      </c>
      <c r="I683" s="213"/>
    </row>
    <row r="684" spans="1:9" ht="12.75" customHeight="1" x14ac:dyDescent="0.2">
      <c r="A684" s="72"/>
      <c r="B684" s="72">
        <v>448</v>
      </c>
      <c r="C684" s="38"/>
      <c r="D684" s="237" t="s">
        <v>3937</v>
      </c>
      <c r="E684" s="176"/>
      <c r="F684" s="173"/>
      <c r="G684" s="107">
        <f t="shared" si="38"/>
        <v>0</v>
      </c>
      <c r="H684" s="107">
        <f>DVUD!H588</f>
        <v>0</v>
      </c>
      <c r="I684" s="213"/>
    </row>
    <row r="685" spans="1:9" ht="12.75" customHeight="1" x14ac:dyDescent="0.2">
      <c r="A685" s="72"/>
      <c r="B685" s="72">
        <f>B684+1</f>
        <v>449</v>
      </c>
      <c r="C685" s="38"/>
      <c r="D685" s="237" t="s">
        <v>4408</v>
      </c>
      <c r="E685" s="176"/>
      <c r="F685" s="173"/>
      <c r="G685" s="107">
        <f t="shared" si="38"/>
        <v>0</v>
      </c>
      <c r="H685" s="107">
        <f>DVUD!H589</f>
        <v>0</v>
      </c>
      <c r="I685" s="213"/>
    </row>
    <row r="686" spans="1:9" ht="12.75" customHeight="1" x14ac:dyDescent="0.2">
      <c r="A686" s="72"/>
      <c r="B686" s="72">
        <f t="shared" ref="B686:B690" si="39">B685+1</f>
        <v>450</v>
      </c>
      <c r="C686" s="38"/>
      <c r="D686" s="237" t="s">
        <v>3741</v>
      </c>
      <c r="E686" s="176"/>
      <c r="F686" s="173"/>
      <c r="G686" s="107">
        <f t="shared" si="38"/>
        <v>0</v>
      </c>
      <c r="H686" s="107">
        <f>DVUD!H590</f>
        <v>0</v>
      </c>
      <c r="I686" s="213"/>
    </row>
    <row r="687" spans="1:9" ht="12.75" customHeight="1" x14ac:dyDescent="0.2">
      <c r="A687" s="72"/>
      <c r="B687" s="72">
        <f t="shared" si="39"/>
        <v>451</v>
      </c>
      <c r="C687" s="38"/>
      <c r="D687" s="237" t="s">
        <v>3406</v>
      </c>
      <c r="E687" s="176"/>
      <c r="F687" s="173"/>
      <c r="G687" s="107">
        <f t="shared" si="38"/>
        <v>0</v>
      </c>
      <c r="H687" s="107">
        <f>DVUD!H591</f>
        <v>0</v>
      </c>
      <c r="I687" s="213"/>
    </row>
    <row r="688" spans="1:9" ht="12.75" customHeight="1" x14ac:dyDescent="0.2">
      <c r="A688" s="72"/>
      <c r="B688" s="72">
        <f t="shared" si="39"/>
        <v>452</v>
      </c>
      <c r="C688" s="38"/>
      <c r="D688" s="237" t="s">
        <v>3406</v>
      </c>
      <c r="E688" s="176"/>
      <c r="F688" s="173"/>
      <c r="G688" s="107">
        <f t="shared" si="38"/>
        <v>0</v>
      </c>
      <c r="H688" s="107">
        <f>DVUD!H592</f>
        <v>0</v>
      </c>
      <c r="I688" s="213"/>
    </row>
    <row r="689" spans="1:9" ht="12.75" customHeight="1" x14ac:dyDescent="0.2">
      <c r="A689" s="72" t="s">
        <v>3573</v>
      </c>
      <c r="B689" s="72">
        <f t="shared" si="39"/>
        <v>453</v>
      </c>
      <c r="C689" s="38"/>
      <c r="D689" s="237" t="s">
        <v>3933</v>
      </c>
      <c r="E689" s="176"/>
      <c r="F689" s="173"/>
      <c r="G689" s="107">
        <f t="shared" si="38"/>
        <v>0</v>
      </c>
      <c r="H689" s="107">
        <f>DVUD!H593</f>
        <v>0</v>
      </c>
      <c r="I689" s="213"/>
    </row>
    <row r="690" spans="1:9" ht="12.75" customHeight="1" x14ac:dyDescent="0.2">
      <c r="A690" s="72"/>
      <c r="B690" s="72">
        <f t="shared" si="39"/>
        <v>454</v>
      </c>
      <c r="C690" s="38"/>
      <c r="D690" s="237" t="s">
        <v>3456</v>
      </c>
      <c r="E690" s="176"/>
      <c r="F690" s="173"/>
      <c r="G690" s="107">
        <f t="shared" si="38"/>
        <v>0</v>
      </c>
      <c r="H690" s="107">
        <f>DVUD!H594</f>
        <v>0</v>
      </c>
      <c r="I690" s="213"/>
    </row>
    <row r="691" spans="1:9" ht="12.75" customHeight="1" x14ac:dyDescent="0.2">
      <c r="A691" s="702" t="s">
        <v>3556</v>
      </c>
      <c r="B691" s="703"/>
      <c r="C691" s="703"/>
      <c r="D691" s="703"/>
      <c r="E691" s="703"/>
      <c r="F691" s="704"/>
      <c r="G691" s="94">
        <f>SUM(G599:G690)</f>
        <v>0</v>
      </c>
      <c r="H691" s="94">
        <f>SUM(H599:H690)</f>
        <v>0</v>
      </c>
      <c r="I691" s="94">
        <f>SUM(I624:I690)</f>
        <v>0</v>
      </c>
    </row>
    <row r="692" spans="1:9" ht="12.75" customHeight="1" x14ac:dyDescent="0.2">
      <c r="A692" s="702" t="s">
        <v>3560</v>
      </c>
      <c r="B692" s="703"/>
      <c r="C692" s="703"/>
      <c r="D692" s="703"/>
      <c r="E692" s="703"/>
      <c r="F692" s="704"/>
      <c r="G692" s="94">
        <f>G568</f>
        <v>0</v>
      </c>
      <c r="H692" s="94">
        <f>H568</f>
        <v>0</v>
      </c>
      <c r="I692" s="94"/>
    </row>
    <row r="693" spans="1:9" ht="12.75" customHeight="1" thickBot="1" x14ac:dyDescent="0.25">
      <c r="A693" s="705" t="s">
        <v>3558</v>
      </c>
      <c r="B693" s="706"/>
      <c r="C693" s="706"/>
      <c r="D693" s="706"/>
      <c r="E693" s="706"/>
      <c r="F693" s="707"/>
      <c r="G693" s="93">
        <f>SUM(G691:G692)</f>
        <v>0</v>
      </c>
      <c r="H693" s="93">
        <f>SUM(H691:H692)</f>
        <v>0</v>
      </c>
      <c r="I693" s="93"/>
    </row>
    <row r="694" spans="1:9" ht="12.75" customHeight="1" x14ac:dyDescent="0.2">
      <c r="G694" s="46"/>
      <c r="H694" s="46"/>
      <c r="I694" s="46"/>
    </row>
    <row r="695" spans="1:9" ht="12.75" customHeight="1" x14ac:dyDescent="0.2">
      <c r="A695" s="687"/>
      <c r="B695" s="687"/>
      <c r="C695" s="687"/>
      <c r="D695" s="687"/>
      <c r="E695" s="143"/>
      <c r="F695" s="143"/>
      <c r="G695" s="708" t="s">
        <v>3537</v>
      </c>
      <c r="H695" s="708"/>
      <c r="I695" s="708"/>
    </row>
    <row r="696" spans="1:9" ht="12.75" customHeight="1" x14ac:dyDescent="0.2">
      <c r="A696" s="687"/>
      <c r="B696" s="687"/>
      <c r="C696" s="687"/>
      <c r="D696" s="687"/>
      <c r="E696" s="143"/>
      <c r="F696" s="143"/>
      <c r="G696" s="708" t="s">
        <v>3783</v>
      </c>
      <c r="H696" s="708"/>
      <c r="I696" s="708"/>
    </row>
    <row r="697" spans="1:9" ht="12.75" customHeight="1" x14ac:dyDescent="0.2">
      <c r="A697" s="305"/>
      <c r="B697" s="305"/>
      <c r="C697" s="305"/>
      <c r="D697" s="305"/>
      <c r="E697" s="143"/>
      <c r="F697" s="143"/>
      <c r="G697" s="308"/>
      <c r="H697" s="308"/>
      <c r="I697" s="308"/>
    </row>
    <row r="698" spans="1:9" ht="12.75" customHeight="1" x14ac:dyDescent="0.2">
      <c r="A698" s="687"/>
      <c r="B698" s="687"/>
      <c r="C698" s="687"/>
      <c r="D698" s="687"/>
      <c r="E698" s="143"/>
      <c r="F698" s="143"/>
      <c r="G698" s="708"/>
      <c r="H698" s="708"/>
      <c r="I698" s="708"/>
    </row>
    <row r="699" spans="1:9" ht="12.75" customHeight="1" x14ac:dyDescent="0.2">
      <c r="A699" s="709"/>
      <c r="B699" s="709"/>
      <c r="C699" s="709"/>
      <c r="D699" s="709"/>
      <c r="E699" s="233"/>
      <c r="F699" s="233"/>
      <c r="G699" s="700" t="s">
        <v>3538</v>
      </c>
      <c r="H699" s="700"/>
      <c r="I699" s="700"/>
    </row>
    <row r="700" spans="1:9" ht="12.75" customHeight="1" x14ac:dyDescent="0.2">
      <c r="A700" s="311"/>
      <c r="B700" s="311"/>
      <c r="C700" s="311"/>
      <c r="D700" s="311"/>
      <c r="E700" s="233"/>
      <c r="F700" s="233"/>
      <c r="G700" s="309"/>
      <c r="H700" s="309"/>
      <c r="I700" s="309"/>
    </row>
    <row r="701" spans="1:9" ht="12.75" customHeight="1" x14ac:dyDescent="0.2">
      <c r="A701" s="311"/>
      <c r="B701" s="311"/>
      <c r="C701" s="311"/>
      <c r="D701" s="311"/>
      <c r="E701" s="233"/>
      <c r="F701" s="233"/>
      <c r="G701" s="309"/>
      <c r="H701" s="309"/>
      <c r="I701" s="309"/>
    </row>
    <row r="702" spans="1:9" ht="12.75" customHeight="1" x14ac:dyDescent="0.2">
      <c r="A702" s="311"/>
      <c r="B702" s="311"/>
      <c r="C702" s="311"/>
      <c r="D702" s="311"/>
      <c r="E702" s="233"/>
      <c r="F702" s="233"/>
      <c r="G702" s="309"/>
      <c r="H702" s="309"/>
      <c r="I702" s="309"/>
    </row>
    <row r="703" spans="1:9" ht="12.75" customHeight="1" x14ac:dyDescent="0.2">
      <c r="A703" s="311"/>
      <c r="B703" s="311"/>
      <c r="C703" s="311"/>
      <c r="D703" s="311"/>
      <c r="E703" s="233"/>
      <c r="F703" s="233"/>
      <c r="G703" s="309"/>
      <c r="H703" s="309"/>
      <c r="I703" s="309"/>
    </row>
    <row r="704" spans="1:9" ht="12.75" customHeight="1" x14ac:dyDescent="0.2">
      <c r="A704" s="311"/>
      <c r="B704" s="311"/>
      <c r="C704" s="311"/>
      <c r="D704" s="311"/>
      <c r="E704" s="233"/>
      <c r="F704" s="233"/>
      <c r="G704" s="309">
        <f>DVUD!H622</f>
        <v>0</v>
      </c>
      <c r="H704" s="309"/>
      <c r="I704" s="309"/>
    </row>
    <row r="705" spans="1:9" ht="12.75" customHeight="1" x14ac:dyDescent="0.2">
      <c r="A705" s="311"/>
      <c r="B705" s="311"/>
      <c r="C705" s="311"/>
      <c r="D705" s="311"/>
      <c r="E705" s="233"/>
      <c r="F705" s="233"/>
      <c r="G705" s="309"/>
      <c r="H705" s="309"/>
      <c r="I705" s="309"/>
    </row>
    <row r="706" spans="1:9" ht="12.75" customHeight="1" x14ac:dyDescent="0.2">
      <c r="A706" s="311"/>
      <c r="B706" s="311"/>
      <c r="C706" s="311"/>
      <c r="D706" s="311"/>
      <c r="E706" s="233"/>
      <c r="F706" s="233"/>
      <c r="G706" s="309"/>
      <c r="H706" s="309"/>
      <c r="I706" s="309"/>
    </row>
    <row r="707" spans="1:9" ht="12.75" customHeight="1" x14ac:dyDescent="0.2">
      <c r="A707" s="311"/>
      <c r="B707" s="311"/>
      <c r="C707" s="311"/>
      <c r="D707" s="311"/>
      <c r="E707" s="233"/>
      <c r="F707" s="233"/>
      <c r="G707" s="309"/>
      <c r="H707" s="309"/>
      <c r="I707" s="309"/>
    </row>
    <row r="708" spans="1:9" ht="12.75" customHeight="1" x14ac:dyDescent="0.2">
      <c r="A708" s="9" t="s">
        <v>0</v>
      </c>
      <c r="B708" s="9"/>
      <c r="C708" s="9"/>
      <c r="D708" s="9"/>
      <c r="E708" s="9"/>
      <c r="F708" s="9"/>
      <c r="G708" s="9"/>
      <c r="H708" s="9"/>
      <c r="I708" s="9"/>
    </row>
    <row r="709" spans="1:9" ht="12.75" customHeight="1" x14ac:dyDescent="0.2">
      <c r="A709" s="9" t="s">
        <v>1</v>
      </c>
      <c r="B709" s="9"/>
      <c r="C709" s="9"/>
      <c r="D709" s="9"/>
      <c r="E709" s="9"/>
      <c r="F709" s="9"/>
      <c r="G709" s="9"/>
      <c r="H709" s="9"/>
      <c r="I709" s="9"/>
    </row>
    <row r="710" spans="1:9" ht="12.75" customHeight="1" x14ac:dyDescent="0.2">
      <c r="A710" s="9"/>
      <c r="B710" s="9"/>
      <c r="C710" s="9"/>
      <c r="D710" s="9"/>
      <c r="E710" s="9"/>
      <c r="F710" s="9"/>
      <c r="G710" s="9"/>
      <c r="H710" s="9"/>
      <c r="I710" s="9"/>
    </row>
    <row r="711" spans="1:9" ht="12.75" customHeight="1" x14ac:dyDescent="0.2">
      <c r="A711" s="643" t="s">
        <v>77</v>
      </c>
      <c r="B711" s="643"/>
      <c r="C711" s="643"/>
      <c r="D711" s="643"/>
      <c r="E711" s="643"/>
      <c r="F711" s="643"/>
      <c r="G711" s="643"/>
      <c r="H711" s="643"/>
      <c r="I711" s="643"/>
    </row>
    <row r="712" spans="1:9" ht="12.75" customHeight="1" x14ac:dyDescent="0.2">
      <c r="A712" s="643" t="s">
        <v>3732</v>
      </c>
      <c r="B712" s="643"/>
      <c r="C712" s="643"/>
      <c r="D712" s="643"/>
      <c r="E712" s="643"/>
      <c r="F712" s="643"/>
      <c r="G712" s="643"/>
      <c r="H712" s="643"/>
      <c r="I712" s="643"/>
    </row>
    <row r="713" spans="1:9" ht="12.75" customHeight="1" x14ac:dyDescent="0.2">
      <c r="A713" s="680" t="s">
        <v>3</v>
      </c>
      <c r="B713" s="701" t="s">
        <v>4</v>
      </c>
      <c r="C713" s="701"/>
      <c r="D713" s="680" t="s">
        <v>5</v>
      </c>
      <c r="E713" s="662" t="s">
        <v>6</v>
      </c>
      <c r="F713" s="664"/>
      <c r="G713" s="310" t="s">
        <v>10</v>
      </c>
      <c r="H713" s="701" t="s">
        <v>90</v>
      </c>
      <c r="I713" s="701"/>
    </row>
    <row r="714" spans="1:9" ht="12.75" customHeight="1" x14ac:dyDescent="0.2">
      <c r="A714" s="681"/>
      <c r="B714" s="680" t="s">
        <v>7</v>
      </c>
      <c r="C714" s="680" t="s">
        <v>3</v>
      </c>
      <c r="D714" s="681"/>
      <c r="E714" s="680" t="s">
        <v>8</v>
      </c>
      <c r="F714" s="680" t="s">
        <v>3</v>
      </c>
      <c r="G714" s="306" t="s">
        <v>9</v>
      </c>
      <c r="H714" s="310" t="s">
        <v>11</v>
      </c>
      <c r="I714" s="310" t="s">
        <v>3342</v>
      </c>
    </row>
    <row r="715" spans="1:9" ht="12.75" customHeight="1" x14ac:dyDescent="0.2">
      <c r="A715" s="682"/>
      <c r="B715" s="682"/>
      <c r="C715" s="682"/>
      <c r="D715" s="682"/>
      <c r="E715" s="682"/>
      <c r="F715" s="682"/>
      <c r="G715" s="310" t="s">
        <v>3312</v>
      </c>
      <c r="H715" s="307" t="s">
        <v>3343</v>
      </c>
      <c r="I715" s="307" t="s">
        <v>3344</v>
      </c>
    </row>
    <row r="716" spans="1:9" ht="12.75" customHeight="1" x14ac:dyDescent="0.2">
      <c r="A716" s="210" t="s">
        <v>3692</v>
      </c>
      <c r="B716" s="210">
        <v>455</v>
      </c>
      <c r="C716" s="211" t="str">
        <f t="shared" ref="C716:C747" si="40">A716</f>
        <v>01 Juli</v>
      </c>
      <c r="D716" s="266" t="s">
        <v>3526</v>
      </c>
      <c r="E716" s="212"/>
      <c r="F716" s="60"/>
      <c r="G716" s="90">
        <f>H716</f>
        <v>0</v>
      </c>
      <c r="H716" s="90">
        <f>DVUD!K653</f>
        <v>0</v>
      </c>
      <c r="I716" s="90"/>
    </row>
    <row r="717" spans="1:9" ht="12.75" customHeight="1" x14ac:dyDescent="0.2">
      <c r="A717" s="72" t="s">
        <v>4426</v>
      </c>
      <c r="B717" s="72">
        <v>456</v>
      </c>
      <c r="C717" s="38" t="str">
        <f t="shared" si="40"/>
        <v>03 Juli</v>
      </c>
      <c r="D717" s="264" t="s">
        <v>3984</v>
      </c>
      <c r="E717" s="41"/>
      <c r="F717" s="31"/>
      <c r="G717" s="107">
        <f>H717</f>
        <v>0</v>
      </c>
      <c r="H717" s="107">
        <f>DVUD!K654</f>
        <v>0</v>
      </c>
      <c r="I717" s="107"/>
    </row>
    <row r="718" spans="1:9" ht="12.75" customHeight="1" x14ac:dyDescent="0.2">
      <c r="A718" s="72" t="s">
        <v>4428</v>
      </c>
      <c r="B718" s="72">
        <v>457</v>
      </c>
      <c r="C718" s="38" t="str">
        <f t="shared" si="40"/>
        <v>04 Juli</v>
      </c>
      <c r="D718" s="264" t="s">
        <v>3406</v>
      </c>
      <c r="E718" s="41"/>
      <c r="F718" s="31"/>
      <c r="G718" s="107">
        <f t="shared" ref="G718:G781" si="41">H718</f>
        <v>0</v>
      </c>
      <c r="H718" s="107">
        <f>DVUD!K655</f>
        <v>0</v>
      </c>
      <c r="I718" s="107"/>
    </row>
    <row r="719" spans="1:9" ht="12.75" customHeight="1" x14ac:dyDescent="0.2">
      <c r="A719" s="72" t="s">
        <v>4430</v>
      </c>
      <c r="B719" s="72">
        <v>458</v>
      </c>
      <c r="C719" s="38" t="str">
        <f t="shared" si="40"/>
        <v>07 Juli</v>
      </c>
      <c r="D719" s="264" t="s">
        <v>3402</v>
      </c>
      <c r="E719" s="41"/>
      <c r="F719" s="31"/>
      <c r="G719" s="107">
        <f t="shared" si="41"/>
        <v>0</v>
      </c>
      <c r="H719" s="107">
        <f>DVUD!K656</f>
        <v>0</v>
      </c>
      <c r="I719" s="107"/>
    </row>
    <row r="720" spans="1:9" ht="12.75" customHeight="1" x14ac:dyDescent="0.2">
      <c r="A720" s="72"/>
      <c r="B720" s="72">
        <v>459</v>
      </c>
      <c r="C720" s="38">
        <f t="shared" si="40"/>
        <v>0</v>
      </c>
      <c r="D720" s="264" t="s">
        <v>3955</v>
      </c>
      <c r="E720" s="41"/>
      <c r="F720" s="31"/>
      <c r="G720" s="107">
        <f t="shared" si="41"/>
        <v>0</v>
      </c>
      <c r="H720" s="107">
        <f>DVUD!K657</f>
        <v>0</v>
      </c>
      <c r="I720" s="107"/>
    </row>
    <row r="721" spans="1:9" ht="12.75" customHeight="1" x14ac:dyDescent="0.2">
      <c r="A721" s="72" t="s">
        <v>4433</v>
      </c>
      <c r="B721" s="72">
        <v>460</v>
      </c>
      <c r="C721" s="38" t="str">
        <f t="shared" si="40"/>
        <v>08 Juli</v>
      </c>
      <c r="D721" s="264" t="s">
        <v>3930</v>
      </c>
      <c r="E721" s="41"/>
      <c r="F721" s="31"/>
      <c r="G721" s="107">
        <f t="shared" si="41"/>
        <v>0</v>
      </c>
      <c r="H721" s="107">
        <f>DVUD!K658</f>
        <v>0</v>
      </c>
      <c r="I721" s="107"/>
    </row>
    <row r="722" spans="1:9" ht="12.75" customHeight="1" x14ac:dyDescent="0.2">
      <c r="A722" s="72"/>
      <c r="B722" s="72">
        <v>461</v>
      </c>
      <c r="C722" s="38">
        <f t="shared" si="40"/>
        <v>0</v>
      </c>
      <c r="D722" s="264" t="s">
        <v>3406</v>
      </c>
      <c r="E722" s="41"/>
      <c r="F722" s="31"/>
      <c r="G722" s="107">
        <f t="shared" si="41"/>
        <v>0</v>
      </c>
      <c r="H722" s="107">
        <f>DVUD!K659</f>
        <v>0</v>
      </c>
      <c r="I722" s="107"/>
    </row>
    <row r="723" spans="1:9" ht="12.75" customHeight="1" x14ac:dyDescent="0.2">
      <c r="A723" s="72"/>
      <c r="B723" s="72">
        <v>462</v>
      </c>
      <c r="C723" s="38">
        <f t="shared" si="40"/>
        <v>0</v>
      </c>
      <c r="D723" s="264" t="s">
        <v>3940</v>
      </c>
      <c r="E723" s="41"/>
      <c r="F723" s="31"/>
      <c r="G723" s="107">
        <f t="shared" si="41"/>
        <v>0</v>
      </c>
      <c r="H723" s="107">
        <f>DVUD!K660</f>
        <v>0</v>
      </c>
      <c r="I723" s="107"/>
    </row>
    <row r="724" spans="1:9" ht="12.75" customHeight="1" x14ac:dyDescent="0.2">
      <c r="A724" s="72" t="s">
        <v>4436</v>
      </c>
      <c r="B724" s="72">
        <v>463</v>
      </c>
      <c r="C724" s="38" t="str">
        <f t="shared" si="40"/>
        <v>09 Juli</v>
      </c>
      <c r="D724" s="264" t="s">
        <v>4437</v>
      </c>
      <c r="E724" s="41"/>
      <c r="F724" s="31"/>
      <c r="G724" s="107">
        <f t="shared" si="41"/>
        <v>0</v>
      </c>
      <c r="H724" s="107">
        <f>DVUD!K661</f>
        <v>0</v>
      </c>
      <c r="I724" s="107"/>
    </row>
    <row r="725" spans="1:9" ht="12.75" customHeight="1" x14ac:dyDescent="0.2">
      <c r="A725" s="72"/>
      <c r="B725" s="72"/>
      <c r="C725" s="38">
        <f t="shared" si="40"/>
        <v>0</v>
      </c>
      <c r="D725" s="264" t="s">
        <v>3927</v>
      </c>
      <c r="E725" s="41"/>
      <c r="F725" s="31"/>
      <c r="G725" s="107">
        <f t="shared" si="41"/>
        <v>0</v>
      </c>
      <c r="H725" s="107">
        <f>DVUD!K662</f>
        <v>0</v>
      </c>
      <c r="I725" s="107"/>
    </row>
    <row r="726" spans="1:9" ht="12.75" customHeight="1" x14ac:dyDescent="0.2">
      <c r="A726" s="10"/>
      <c r="B726" s="72"/>
      <c r="C726" s="38">
        <f t="shared" si="40"/>
        <v>0</v>
      </c>
      <c r="D726" s="264" t="s">
        <v>3928</v>
      </c>
      <c r="E726" s="41"/>
      <c r="F726" s="31"/>
      <c r="G726" s="107">
        <f t="shared" si="41"/>
        <v>0</v>
      </c>
      <c r="H726" s="107">
        <f>DVUD!K663</f>
        <v>0</v>
      </c>
      <c r="I726" s="107"/>
    </row>
    <row r="727" spans="1:9" ht="12.75" customHeight="1" x14ac:dyDescent="0.2">
      <c r="A727" s="72"/>
      <c r="B727" s="72">
        <v>464</v>
      </c>
      <c r="C727" s="38">
        <f t="shared" si="40"/>
        <v>0</v>
      </c>
      <c r="D727" s="264" t="s">
        <v>3933</v>
      </c>
      <c r="E727" s="41"/>
      <c r="F727" s="31"/>
      <c r="G727" s="107">
        <f t="shared" si="41"/>
        <v>0</v>
      </c>
      <c r="H727" s="107">
        <f>DVUD!K664</f>
        <v>0</v>
      </c>
      <c r="I727" s="107"/>
    </row>
    <row r="728" spans="1:9" ht="12.75" customHeight="1" x14ac:dyDescent="0.2">
      <c r="A728" s="72" t="s">
        <v>3752</v>
      </c>
      <c r="B728" s="72">
        <v>465</v>
      </c>
      <c r="C728" s="38" t="str">
        <f t="shared" si="40"/>
        <v>10 Juli</v>
      </c>
      <c r="D728" s="264" t="s">
        <v>3990</v>
      </c>
      <c r="E728" s="41"/>
      <c r="F728" s="31"/>
      <c r="G728" s="107">
        <f t="shared" si="41"/>
        <v>0</v>
      </c>
      <c r="H728" s="107">
        <f>DVUD!K665</f>
        <v>0</v>
      </c>
      <c r="I728" s="107"/>
    </row>
    <row r="729" spans="1:9" ht="12.75" customHeight="1" x14ac:dyDescent="0.2">
      <c r="A729" s="72"/>
      <c r="B729" s="72">
        <v>466</v>
      </c>
      <c r="C729" s="38">
        <f t="shared" si="40"/>
        <v>0</v>
      </c>
      <c r="D729" s="264" t="s">
        <v>3526</v>
      </c>
      <c r="E729" s="41"/>
      <c r="F729" s="31"/>
      <c r="G729" s="107">
        <f t="shared" si="41"/>
        <v>0</v>
      </c>
      <c r="H729" s="107">
        <f>DVUD!K666</f>
        <v>0</v>
      </c>
      <c r="I729" s="107"/>
    </row>
    <row r="730" spans="1:9" ht="12.75" customHeight="1" x14ac:dyDescent="0.2">
      <c r="A730" s="72" t="s">
        <v>4441</v>
      </c>
      <c r="B730" s="72">
        <v>467</v>
      </c>
      <c r="C730" s="38" t="str">
        <f t="shared" si="40"/>
        <v>14 Juli</v>
      </c>
      <c r="D730" s="264" t="s">
        <v>3406</v>
      </c>
      <c r="E730" s="41"/>
      <c r="F730" s="31"/>
      <c r="G730" s="107">
        <f t="shared" si="41"/>
        <v>0</v>
      </c>
      <c r="H730" s="107">
        <f>DVUD!K667</f>
        <v>0</v>
      </c>
      <c r="I730" s="107"/>
    </row>
    <row r="731" spans="1:9" ht="12.75" customHeight="1" x14ac:dyDescent="0.2">
      <c r="A731" s="72"/>
      <c r="B731" s="72">
        <v>468</v>
      </c>
      <c r="C731" s="38">
        <f t="shared" si="40"/>
        <v>0</v>
      </c>
      <c r="D731" s="264" t="s">
        <v>3933</v>
      </c>
      <c r="E731" s="41"/>
      <c r="F731" s="31"/>
      <c r="G731" s="107">
        <f t="shared" si="41"/>
        <v>0</v>
      </c>
      <c r="H731" s="107">
        <f>DVUD!K668</f>
        <v>0</v>
      </c>
      <c r="I731" s="107"/>
    </row>
    <row r="732" spans="1:9" ht="12.75" customHeight="1" x14ac:dyDescent="0.2">
      <c r="A732" s="263" t="s">
        <v>4444</v>
      </c>
      <c r="B732" s="72">
        <v>469</v>
      </c>
      <c r="C732" s="38" t="str">
        <f t="shared" si="40"/>
        <v>15 Juli</v>
      </c>
      <c r="D732" s="264" t="s">
        <v>3410</v>
      </c>
      <c r="E732" s="41"/>
      <c r="F732" s="31"/>
      <c r="G732" s="107">
        <f t="shared" si="41"/>
        <v>0</v>
      </c>
      <c r="H732" s="107">
        <f>DVUD!K669</f>
        <v>0</v>
      </c>
      <c r="I732" s="107"/>
    </row>
    <row r="733" spans="1:9" ht="12.75" customHeight="1" x14ac:dyDescent="0.2">
      <c r="A733" s="72"/>
      <c r="B733" s="72">
        <v>470</v>
      </c>
      <c r="C733" s="38">
        <f t="shared" si="40"/>
        <v>0</v>
      </c>
      <c r="D733" s="264" t="s">
        <v>3410</v>
      </c>
      <c r="E733" s="41"/>
      <c r="F733" s="31"/>
      <c r="G733" s="107">
        <f t="shared" si="41"/>
        <v>0</v>
      </c>
      <c r="H733" s="107">
        <f>DVUD!K670</f>
        <v>0</v>
      </c>
      <c r="I733" s="107"/>
    </row>
    <row r="734" spans="1:9" ht="12.75" customHeight="1" x14ac:dyDescent="0.2">
      <c r="A734" s="72"/>
      <c r="B734" s="72">
        <v>471</v>
      </c>
      <c r="C734" s="38">
        <f t="shared" si="40"/>
        <v>0</v>
      </c>
      <c r="D734" s="264" t="s">
        <v>3410</v>
      </c>
      <c r="E734" s="41"/>
      <c r="F734" s="31"/>
      <c r="G734" s="107">
        <f t="shared" si="41"/>
        <v>0</v>
      </c>
      <c r="H734" s="107">
        <f>DVUD!K671</f>
        <v>0</v>
      </c>
      <c r="I734" s="107"/>
    </row>
    <row r="735" spans="1:9" ht="12.75" customHeight="1" x14ac:dyDescent="0.2">
      <c r="A735" s="72"/>
      <c r="B735" s="72">
        <v>472</v>
      </c>
      <c r="C735" s="38">
        <f t="shared" si="40"/>
        <v>0</v>
      </c>
      <c r="D735" s="264" t="s">
        <v>3402</v>
      </c>
      <c r="E735" s="41"/>
      <c r="F735" s="31"/>
      <c r="G735" s="107">
        <f t="shared" si="41"/>
        <v>0</v>
      </c>
      <c r="H735" s="107">
        <f>DVUD!K672</f>
        <v>0</v>
      </c>
      <c r="I735" s="107"/>
    </row>
    <row r="736" spans="1:9" ht="12.75" customHeight="1" x14ac:dyDescent="0.2">
      <c r="A736" s="72" t="s">
        <v>4445</v>
      </c>
      <c r="B736" s="72">
        <v>473</v>
      </c>
      <c r="C736" s="38" t="str">
        <f t="shared" si="40"/>
        <v>17 Juli</v>
      </c>
      <c r="D736" s="267" t="s">
        <v>3943</v>
      </c>
      <c r="E736" s="41"/>
      <c r="F736" s="31"/>
      <c r="G736" s="107">
        <f t="shared" si="41"/>
        <v>0</v>
      </c>
      <c r="H736" s="107">
        <f>DVUD!K673</f>
        <v>0</v>
      </c>
      <c r="I736" s="107"/>
    </row>
    <row r="737" spans="1:9" ht="12.75" customHeight="1" x14ac:dyDescent="0.2">
      <c r="A737" s="72"/>
      <c r="B737" s="72">
        <v>474</v>
      </c>
      <c r="C737" s="38">
        <f t="shared" si="40"/>
        <v>0</v>
      </c>
      <c r="D737" s="267" t="s">
        <v>3940</v>
      </c>
      <c r="E737" s="41"/>
      <c r="F737" s="31"/>
      <c r="G737" s="107">
        <f t="shared" si="41"/>
        <v>0</v>
      </c>
      <c r="H737" s="107">
        <f>DVUD!K674</f>
        <v>0</v>
      </c>
      <c r="I737" s="107"/>
    </row>
    <row r="738" spans="1:9" ht="12.75" customHeight="1" x14ac:dyDescent="0.2">
      <c r="A738" s="72" t="s">
        <v>4446</v>
      </c>
      <c r="B738" s="72">
        <v>475</v>
      </c>
      <c r="C738" s="38" t="str">
        <f t="shared" si="40"/>
        <v>18 Juli</v>
      </c>
      <c r="D738" s="264" t="s">
        <v>4449</v>
      </c>
      <c r="E738" s="41"/>
      <c r="F738" s="31"/>
      <c r="G738" s="107">
        <f t="shared" si="41"/>
        <v>0</v>
      </c>
      <c r="H738" s="107">
        <f>DVUD!K675</f>
        <v>0</v>
      </c>
      <c r="I738" s="107"/>
    </row>
    <row r="739" spans="1:9" ht="12.75" customHeight="1" x14ac:dyDescent="0.2">
      <c r="A739" s="72"/>
      <c r="B739" s="72">
        <v>476</v>
      </c>
      <c r="C739" s="38">
        <f t="shared" si="40"/>
        <v>0</v>
      </c>
      <c r="D739" s="264" t="s">
        <v>4452</v>
      </c>
      <c r="E739" s="41"/>
      <c r="F739" s="31"/>
      <c r="G739" s="107">
        <f t="shared" si="41"/>
        <v>0</v>
      </c>
      <c r="H739" s="107">
        <f>DVUD!K676</f>
        <v>0</v>
      </c>
      <c r="I739" s="31"/>
    </row>
    <row r="740" spans="1:9" ht="12.75" customHeight="1" x14ac:dyDescent="0.2">
      <c r="A740" s="72"/>
      <c r="B740" s="72">
        <v>477</v>
      </c>
      <c r="C740" s="38">
        <f t="shared" si="40"/>
        <v>0</v>
      </c>
      <c r="D740" s="267" t="s">
        <v>3406</v>
      </c>
      <c r="E740" s="176"/>
      <c r="F740" s="173"/>
      <c r="G740" s="107">
        <f t="shared" si="41"/>
        <v>0</v>
      </c>
      <c r="H740" s="107">
        <f>DVUD!K677</f>
        <v>0</v>
      </c>
      <c r="I740" s="213"/>
    </row>
    <row r="741" spans="1:9" ht="12.75" customHeight="1" x14ac:dyDescent="0.2">
      <c r="A741" s="72"/>
      <c r="B741" s="72">
        <v>478</v>
      </c>
      <c r="C741" s="38">
        <f t="shared" si="40"/>
        <v>0</v>
      </c>
      <c r="D741" s="267" t="s">
        <v>4455</v>
      </c>
      <c r="E741" s="176"/>
      <c r="F741" s="173"/>
      <c r="G741" s="107">
        <f t="shared" si="41"/>
        <v>0</v>
      </c>
      <c r="H741" s="107">
        <f>DVUD!K678</f>
        <v>0</v>
      </c>
      <c r="I741" s="213"/>
    </row>
    <row r="742" spans="1:9" ht="12.75" customHeight="1" x14ac:dyDescent="0.2">
      <c r="A742" s="72" t="s">
        <v>4456</v>
      </c>
      <c r="B742" s="72">
        <v>479</v>
      </c>
      <c r="C742" s="38" t="str">
        <f t="shared" si="40"/>
        <v>21 Juli</v>
      </c>
      <c r="D742" s="267" t="s">
        <v>4490</v>
      </c>
      <c r="E742" s="176"/>
      <c r="F742" s="173"/>
      <c r="G742" s="107">
        <f t="shared" si="41"/>
        <v>0</v>
      </c>
      <c r="H742" s="107">
        <f>DVUD!K679</f>
        <v>0</v>
      </c>
      <c r="I742" s="213"/>
    </row>
    <row r="743" spans="1:9" ht="12.75" customHeight="1" x14ac:dyDescent="0.2">
      <c r="A743" s="72"/>
      <c r="B743" s="72"/>
      <c r="C743" s="38">
        <f t="shared" si="40"/>
        <v>0</v>
      </c>
      <c r="D743" s="267" t="s">
        <v>4491</v>
      </c>
      <c r="E743" s="176"/>
      <c r="F743" s="173"/>
      <c r="G743" s="107">
        <f t="shared" si="41"/>
        <v>0</v>
      </c>
      <c r="H743" s="107">
        <f>DVUD!K680</f>
        <v>0</v>
      </c>
      <c r="I743" s="213"/>
    </row>
    <row r="744" spans="1:9" ht="12.75" customHeight="1" x14ac:dyDescent="0.2">
      <c r="A744" s="72"/>
      <c r="B744" s="72"/>
      <c r="C744" s="38">
        <f t="shared" si="40"/>
        <v>0</v>
      </c>
      <c r="D744" s="267" t="s">
        <v>4492</v>
      </c>
      <c r="E744" s="176"/>
      <c r="F744" s="173"/>
      <c r="G744" s="107">
        <f t="shared" si="41"/>
        <v>0</v>
      </c>
      <c r="H744" s="107">
        <f>DVUD!K681</f>
        <v>0</v>
      </c>
      <c r="I744" s="213"/>
    </row>
    <row r="745" spans="1:9" ht="12.75" customHeight="1" x14ac:dyDescent="0.2">
      <c r="A745" s="72"/>
      <c r="B745" s="72"/>
      <c r="C745" s="38">
        <f t="shared" si="40"/>
        <v>0</v>
      </c>
      <c r="D745" s="267" t="s">
        <v>4493</v>
      </c>
      <c r="E745" s="176"/>
      <c r="F745" s="173"/>
      <c r="G745" s="107">
        <f t="shared" si="41"/>
        <v>0</v>
      </c>
      <c r="H745" s="107">
        <f>DVUD!K682</f>
        <v>0</v>
      </c>
      <c r="I745" s="213"/>
    </row>
    <row r="746" spans="1:9" ht="12.75" customHeight="1" x14ac:dyDescent="0.2">
      <c r="A746" s="72"/>
      <c r="B746" s="72">
        <v>480</v>
      </c>
      <c r="C746" s="38">
        <f t="shared" si="40"/>
        <v>0</v>
      </c>
      <c r="D746" s="267" t="s">
        <v>4000</v>
      </c>
      <c r="E746" s="176"/>
      <c r="F746" s="173"/>
      <c r="G746" s="107">
        <f t="shared" si="41"/>
        <v>0</v>
      </c>
      <c r="H746" s="107">
        <f>DVUD!K683</f>
        <v>0</v>
      </c>
      <c r="I746" s="213"/>
    </row>
    <row r="747" spans="1:9" ht="12.75" customHeight="1" x14ac:dyDescent="0.2">
      <c r="A747" s="72"/>
      <c r="B747" s="72">
        <v>481</v>
      </c>
      <c r="C747" s="38">
        <f t="shared" si="40"/>
        <v>0</v>
      </c>
      <c r="D747" s="267" t="s">
        <v>4460</v>
      </c>
      <c r="E747" s="176"/>
      <c r="F747" s="173"/>
      <c r="G747" s="107">
        <f t="shared" si="41"/>
        <v>0</v>
      </c>
      <c r="H747" s="107">
        <f>DVUD!K684</f>
        <v>0</v>
      </c>
      <c r="I747" s="213"/>
    </row>
    <row r="748" spans="1:9" ht="12.75" customHeight="1" x14ac:dyDescent="0.2">
      <c r="A748" s="72"/>
      <c r="B748" s="72">
        <v>482</v>
      </c>
      <c r="C748" s="38">
        <f t="shared" ref="C748:C779" si="42">A748</f>
        <v>0</v>
      </c>
      <c r="D748" s="264" t="s">
        <v>3984</v>
      </c>
      <c r="E748" s="176"/>
      <c r="F748" s="173"/>
      <c r="G748" s="107">
        <f t="shared" si="41"/>
        <v>0</v>
      </c>
      <c r="H748" s="107">
        <f>DVUD!K685</f>
        <v>0</v>
      </c>
      <c r="I748" s="213"/>
    </row>
    <row r="749" spans="1:9" ht="12.75" customHeight="1" x14ac:dyDescent="0.2">
      <c r="A749" s="72" t="s">
        <v>4420</v>
      </c>
      <c r="B749" s="72">
        <v>483</v>
      </c>
      <c r="C749" s="38" t="str">
        <f t="shared" si="42"/>
        <v>22 Juli</v>
      </c>
      <c r="D749" s="264" t="s">
        <v>4043</v>
      </c>
      <c r="E749" s="176"/>
      <c r="F749" s="173"/>
      <c r="G749" s="107">
        <f t="shared" si="41"/>
        <v>0</v>
      </c>
      <c r="H749" s="107">
        <f>DVUD!K686</f>
        <v>0</v>
      </c>
      <c r="I749" s="213"/>
    </row>
    <row r="750" spans="1:9" ht="12.75" customHeight="1" x14ac:dyDescent="0.2">
      <c r="A750" s="72"/>
      <c r="B750" s="72">
        <v>484</v>
      </c>
      <c r="C750" s="38">
        <f t="shared" si="42"/>
        <v>0</v>
      </c>
      <c r="D750" s="264" t="s">
        <v>4043</v>
      </c>
      <c r="E750" s="176"/>
      <c r="F750" s="173"/>
      <c r="G750" s="107">
        <f t="shared" si="41"/>
        <v>0</v>
      </c>
      <c r="H750" s="107">
        <f>DVUD!K687</f>
        <v>0</v>
      </c>
      <c r="I750" s="213"/>
    </row>
    <row r="751" spans="1:9" ht="12.75" customHeight="1" x14ac:dyDescent="0.2">
      <c r="A751" s="72"/>
      <c r="B751" s="72">
        <v>485</v>
      </c>
      <c r="C751" s="38">
        <f t="shared" si="42"/>
        <v>0</v>
      </c>
      <c r="D751" s="264" t="s">
        <v>4043</v>
      </c>
      <c r="E751" s="176"/>
      <c r="F751" s="173"/>
      <c r="G751" s="107">
        <f t="shared" si="41"/>
        <v>0</v>
      </c>
      <c r="H751" s="107">
        <f>DVUD!K688</f>
        <v>0</v>
      </c>
      <c r="I751" s="213"/>
    </row>
    <row r="752" spans="1:9" ht="12.75" customHeight="1" x14ac:dyDescent="0.2">
      <c r="A752" s="10" t="s">
        <v>4464</v>
      </c>
      <c r="B752" s="72">
        <v>486</v>
      </c>
      <c r="C752" s="38" t="str">
        <f t="shared" si="42"/>
        <v>23 Juli</v>
      </c>
      <c r="D752" s="264" t="s">
        <v>3940</v>
      </c>
      <c r="E752" s="176"/>
      <c r="F752" s="173"/>
      <c r="G752" s="107">
        <f t="shared" si="41"/>
        <v>0</v>
      </c>
      <c r="H752" s="107">
        <f>DVUD!K689</f>
        <v>0</v>
      </c>
      <c r="I752" s="213"/>
    </row>
    <row r="753" spans="1:9" ht="12.75" customHeight="1" x14ac:dyDescent="0.2">
      <c r="A753" s="72" t="s">
        <v>4465</v>
      </c>
      <c r="B753" s="72">
        <v>487</v>
      </c>
      <c r="C753" s="38" t="str">
        <f t="shared" si="42"/>
        <v>24 Juli</v>
      </c>
      <c r="D753" s="264" t="s">
        <v>3930</v>
      </c>
      <c r="E753" s="176"/>
      <c r="F753" s="173"/>
      <c r="G753" s="107">
        <f t="shared" si="41"/>
        <v>0</v>
      </c>
      <c r="H753" s="107">
        <f>DVUD!K690</f>
        <v>0</v>
      </c>
      <c r="I753" s="213"/>
    </row>
    <row r="754" spans="1:9" ht="12.75" customHeight="1" x14ac:dyDescent="0.2">
      <c r="A754" s="72"/>
      <c r="B754" s="72">
        <v>488</v>
      </c>
      <c r="C754" s="38">
        <f t="shared" si="42"/>
        <v>0</v>
      </c>
      <c r="D754" s="264" t="s">
        <v>4000</v>
      </c>
      <c r="E754" s="176"/>
      <c r="F754" s="173"/>
      <c r="G754" s="107">
        <f t="shared" si="41"/>
        <v>0</v>
      </c>
      <c r="H754" s="107">
        <f>DVUD!K691</f>
        <v>0</v>
      </c>
      <c r="I754" s="213"/>
    </row>
    <row r="755" spans="1:9" ht="12.75" customHeight="1" x14ac:dyDescent="0.2">
      <c r="A755" s="72" t="s">
        <v>4467</v>
      </c>
      <c r="B755" s="72">
        <v>489</v>
      </c>
      <c r="C755" s="38" t="str">
        <f t="shared" si="42"/>
        <v>28 Juli</v>
      </c>
      <c r="D755" s="264" t="s">
        <v>3962</v>
      </c>
      <c r="E755" s="176"/>
      <c r="F755" s="173"/>
      <c r="G755" s="107">
        <f t="shared" si="41"/>
        <v>0</v>
      </c>
      <c r="H755" s="107">
        <f>DVUD!K692</f>
        <v>0</v>
      </c>
      <c r="I755" s="213"/>
    </row>
    <row r="756" spans="1:9" ht="12.75" customHeight="1" x14ac:dyDescent="0.2">
      <c r="A756" s="72"/>
      <c r="B756" s="72"/>
      <c r="C756" s="38">
        <f t="shared" si="42"/>
        <v>0</v>
      </c>
      <c r="D756" s="264" t="s">
        <v>3964</v>
      </c>
      <c r="E756" s="176"/>
      <c r="F756" s="173"/>
      <c r="G756" s="107">
        <f t="shared" si="41"/>
        <v>0</v>
      </c>
      <c r="H756" s="107">
        <f>DVUD!K693</f>
        <v>0</v>
      </c>
      <c r="I756" s="213"/>
    </row>
    <row r="757" spans="1:9" ht="12.75" customHeight="1" x14ac:dyDescent="0.2">
      <c r="A757" s="72"/>
      <c r="B757" s="72"/>
      <c r="C757" s="38">
        <f t="shared" si="42"/>
        <v>0</v>
      </c>
      <c r="D757" s="264" t="s">
        <v>3963</v>
      </c>
      <c r="E757" s="176"/>
      <c r="F757" s="173"/>
      <c r="G757" s="107">
        <f t="shared" si="41"/>
        <v>0</v>
      </c>
      <c r="H757" s="107">
        <f>DVUD!K694</f>
        <v>0</v>
      </c>
      <c r="I757" s="213"/>
    </row>
    <row r="758" spans="1:9" ht="12.75" customHeight="1" x14ac:dyDescent="0.2">
      <c r="A758" s="72"/>
      <c r="B758" s="72">
        <v>490</v>
      </c>
      <c r="C758" s="38">
        <f t="shared" si="42"/>
        <v>0</v>
      </c>
      <c r="D758" s="264" t="s">
        <v>3456</v>
      </c>
      <c r="E758" s="176"/>
      <c r="F758" s="173"/>
      <c r="G758" s="107">
        <f t="shared" si="41"/>
        <v>0</v>
      </c>
      <c r="H758" s="107">
        <f>DVUD!K695</f>
        <v>0</v>
      </c>
      <c r="I758" s="213"/>
    </row>
    <row r="759" spans="1:9" ht="12.75" customHeight="1" x14ac:dyDescent="0.2">
      <c r="A759" s="72"/>
      <c r="B759" s="72">
        <v>491</v>
      </c>
      <c r="C759" s="38">
        <f t="shared" si="42"/>
        <v>0</v>
      </c>
      <c r="D759" s="264" t="s">
        <v>3966</v>
      </c>
      <c r="E759" s="176"/>
      <c r="F759" s="173"/>
      <c r="G759" s="107">
        <f t="shared" si="41"/>
        <v>0</v>
      </c>
      <c r="H759" s="107">
        <f>DVUD!K696</f>
        <v>0</v>
      </c>
      <c r="I759" s="213"/>
    </row>
    <row r="760" spans="1:9" ht="12.75" customHeight="1" x14ac:dyDescent="0.2">
      <c r="A760" s="72"/>
      <c r="B760" s="72"/>
      <c r="C760" s="38">
        <f t="shared" si="42"/>
        <v>0</v>
      </c>
      <c r="D760" s="264" t="s">
        <v>3967</v>
      </c>
      <c r="E760" s="176"/>
      <c r="F760" s="173"/>
      <c r="G760" s="107">
        <f t="shared" si="41"/>
        <v>0</v>
      </c>
      <c r="H760" s="107">
        <f>DVUD!K697</f>
        <v>0</v>
      </c>
      <c r="I760" s="213"/>
    </row>
    <row r="761" spans="1:9" ht="12.75" customHeight="1" x14ac:dyDescent="0.2">
      <c r="A761" s="72"/>
      <c r="B761" s="72"/>
      <c r="C761" s="38">
        <f t="shared" si="42"/>
        <v>0</v>
      </c>
      <c r="D761" s="267" t="s">
        <v>3968</v>
      </c>
      <c r="E761" s="176"/>
      <c r="F761" s="173"/>
      <c r="G761" s="107">
        <f t="shared" si="41"/>
        <v>0</v>
      </c>
      <c r="H761" s="107">
        <f>DVUD!K698</f>
        <v>0</v>
      </c>
      <c r="I761" s="213"/>
    </row>
    <row r="762" spans="1:9" ht="12.75" customHeight="1" x14ac:dyDescent="0.2">
      <c r="A762" s="72"/>
      <c r="B762" s="72">
        <v>492</v>
      </c>
      <c r="C762" s="38">
        <f t="shared" si="42"/>
        <v>0</v>
      </c>
      <c r="D762" s="264" t="s">
        <v>3972</v>
      </c>
      <c r="E762" s="176"/>
      <c r="F762" s="173"/>
      <c r="G762" s="107">
        <f t="shared" si="41"/>
        <v>0</v>
      </c>
      <c r="H762" s="107">
        <f>DVUD!K699</f>
        <v>0</v>
      </c>
      <c r="I762" s="213"/>
    </row>
    <row r="763" spans="1:9" ht="12.75" customHeight="1" x14ac:dyDescent="0.2">
      <c r="A763" s="72"/>
      <c r="B763" s="72">
        <v>493</v>
      </c>
      <c r="C763" s="38">
        <f t="shared" si="42"/>
        <v>0</v>
      </c>
      <c r="D763" s="264" t="s">
        <v>3484</v>
      </c>
      <c r="E763" s="176"/>
      <c r="F763" s="173"/>
      <c r="G763" s="107">
        <f t="shared" si="41"/>
        <v>0</v>
      </c>
      <c r="H763" s="107">
        <f>DVUD!K700</f>
        <v>0</v>
      </c>
      <c r="I763" s="213"/>
    </row>
    <row r="764" spans="1:9" ht="12.75" customHeight="1" x14ac:dyDescent="0.2">
      <c r="A764" s="72"/>
      <c r="B764" s="72">
        <v>494</v>
      </c>
      <c r="C764" s="38">
        <f t="shared" si="42"/>
        <v>0</v>
      </c>
      <c r="D764" s="267" t="s">
        <v>3973</v>
      </c>
      <c r="E764" s="176"/>
      <c r="F764" s="173"/>
      <c r="G764" s="107">
        <f t="shared" si="41"/>
        <v>0</v>
      </c>
      <c r="H764" s="107">
        <f>DVUD!K701</f>
        <v>0</v>
      </c>
      <c r="I764" s="213"/>
    </row>
    <row r="765" spans="1:9" ht="12.75" customHeight="1" x14ac:dyDescent="0.2">
      <c r="A765" s="72"/>
      <c r="B765" s="72">
        <v>495</v>
      </c>
      <c r="C765" s="38">
        <f t="shared" si="42"/>
        <v>0</v>
      </c>
      <c r="D765" s="267" t="s">
        <v>3973</v>
      </c>
      <c r="E765" s="176"/>
      <c r="F765" s="173"/>
      <c r="G765" s="107">
        <f t="shared" si="41"/>
        <v>0</v>
      </c>
      <c r="H765" s="107">
        <f>DVUD!K702</f>
        <v>0</v>
      </c>
      <c r="I765" s="213"/>
    </row>
    <row r="766" spans="1:9" ht="12.75" customHeight="1" x14ac:dyDescent="0.2">
      <c r="A766" s="72"/>
      <c r="B766" s="72">
        <v>496</v>
      </c>
      <c r="C766" s="38">
        <f t="shared" si="42"/>
        <v>0</v>
      </c>
      <c r="D766" s="264" t="s">
        <v>3973</v>
      </c>
      <c r="E766" s="176"/>
      <c r="F766" s="173"/>
      <c r="G766" s="107">
        <f t="shared" si="41"/>
        <v>0</v>
      </c>
      <c r="H766" s="107">
        <f>DVUD!K703</f>
        <v>0</v>
      </c>
      <c r="I766" s="213"/>
    </row>
    <row r="767" spans="1:9" ht="12.75" customHeight="1" x14ac:dyDescent="0.2">
      <c r="A767" s="72"/>
      <c r="B767" s="72">
        <v>497</v>
      </c>
      <c r="C767" s="38">
        <f t="shared" si="42"/>
        <v>0</v>
      </c>
      <c r="D767" s="268" t="s">
        <v>3478</v>
      </c>
      <c r="E767" s="176"/>
      <c r="F767" s="173"/>
      <c r="G767" s="107">
        <f t="shared" si="41"/>
        <v>0</v>
      </c>
      <c r="H767" s="107">
        <f>DVUD!K704</f>
        <v>0</v>
      </c>
      <c r="I767" s="213"/>
    </row>
    <row r="768" spans="1:9" ht="12.75" customHeight="1" x14ac:dyDescent="0.2">
      <c r="A768" s="72"/>
      <c r="B768" s="72">
        <v>498</v>
      </c>
      <c r="C768" s="38">
        <f t="shared" si="42"/>
        <v>0</v>
      </c>
      <c r="D768" s="268" t="s">
        <v>3970</v>
      </c>
      <c r="E768" s="176"/>
      <c r="F768" s="173"/>
      <c r="G768" s="107">
        <f t="shared" si="41"/>
        <v>0</v>
      </c>
      <c r="H768" s="107">
        <f>DVUD!K705</f>
        <v>0</v>
      </c>
      <c r="I768" s="213"/>
    </row>
    <row r="769" spans="1:9" ht="12.75" customHeight="1" x14ac:dyDescent="0.2">
      <c r="A769" s="72"/>
      <c r="B769" s="72">
        <v>499</v>
      </c>
      <c r="C769" s="38">
        <f t="shared" si="42"/>
        <v>0</v>
      </c>
      <c r="D769" s="264" t="s">
        <v>3957</v>
      </c>
      <c r="E769" s="176"/>
      <c r="F769" s="173"/>
      <c r="G769" s="107">
        <f t="shared" si="41"/>
        <v>0</v>
      </c>
      <c r="H769" s="107">
        <f>DVUD!K706</f>
        <v>0</v>
      </c>
      <c r="I769" s="213"/>
    </row>
    <row r="770" spans="1:9" ht="12.75" customHeight="1" x14ac:dyDescent="0.2">
      <c r="A770" s="72"/>
      <c r="B770" s="72">
        <v>500</v>
      </c>
      <c r="C770" s="38">
        <f t="shared" si="42"/>
        <v>0</v>
      </c>
      <c r="D770" s="264" t="s">
        <v>4469</v>
      </c>
      <c r="E770" s="176"/>
      <c r="F770" s="173"/>
      <c r="G770" s="107">
        <f t="shared" si="41"/>
        <v>0</v>
      </c>
      <c r="H770" s="107">
        <f>DVUD!K707</f>
        <v>0</v>
      </c>
      <c r="I770" s="213"/>
    </row>
    <row r="771" spans="1:9" ht="12.75" customHeight="1" x14ac:dyDescent="0.2">
      <c r="A771" s="72"/>
      <c r="B771" s="72">
        <v>501</v>
      </c>
      <c r="C771" s="38">
        <f t="shared" si="42"/>
        <v>0</v>
      </c>
      <c r="D771" s="268" t="s">
        <v>3488</v>
      </c>
      <c r="E771" s="176"/>
      <c r="F771" s="173"/>
      <c r="G771" s="107">
        <f t="shared" si="41"/>
        <v>0</v>
      </c>
      <c r="H771" s="107">
        <f>DVUD!K708</f>
        <v>0</v>
      </c>
      <c r="I771" s="213"/>
    </row>
    <row r="772" spans="1:9" ht="12.75" customHeight="1" x14ac:dyDescent="0.2">
      <c r="A772" s="72"/>
      <c r="B772" s="72">
        <v>502</v>
      </c>
      <c r="C772" s="38">
        <f t="shared" si="42"/>
        <v>0</v>
      </c>
      <c r="D772" s="268" t="s">
        <v>3972</v>
      </c>
      <c r="E772" s="176"/>
      <c r="F772" s="173"/>
      <c r="G772" s="107">
        <f t="shared" si="41"/>
        <v>0</v>
      </c>
      <c r="H772" s="107">
        <f>DVUD!K709</f>
        <v>0</v>
      </c>
      <c r="I772" s="213"/>
    </row>
    <row r="773" spans="1:9" ht="12.75" customHeight="1" x14ac:dyDescent="0.2">
      <c r="A773" s="72"/>
      <c r="B773" s="72">
        <v>503</v>
      </c>
      <c r="C773" s="38">
        <f t="shared" si="42"/>
        <v>0</v>
      </c>
      <c r="D773" s="268" t="s">
        <v>3933</v>
      </c>
      <c r="E773" s="176"/>
      <c r="F773" s="173"/>
      <c r="G773" s="107">
        <f t="shared" si="41"/>
        <v>0</v>
      </c>
      <c r="H773" s="107">
        <f>DVUD!K710</f>
        <v>0</v>
      </c>
      <c r="I773" s="213"/>
    </row>
    <row r="774" spans="1:9" ht="12.75" customHeight="1" x14ac:dyDescent="0.2">
      <c r="A774" s="72"/>
      <c r="B774" s="72">
        <v>504</v>
      </c>
      <c r="C774" s="38">
        <f t="shared" si="42"/>
        <v>0</v>
      </c>
      <c r="D774" s="268" t="s">
        <v>3931</v>
      </c>
      <c r="E774" s="176"/>
      <c r="F774" s="173"/>
      <c r="G774" s="107">
        <f t="shared" si="41"/>
        <v>0</v>
      </c>
      <c r="H774" s="107">
        <f>DVUD!K711</f>
        <v>0</v>
      </c>
      <c r="I774" s="213"/>
    </row>
    <row r="775" spans="1:9" ht="12.75" customHeight="1" x14ac:dyDescent="0.2">
      <c r="A775" s="72"/>
      <c r="B775" s="72">
        <v>505</v>
      </c>
      <c r="C775" s="38">
        <f t="shared" si="42"/>
        <v>0</v>
      </c>
      <c r="D775" s="267" t="s">
        <v>3484</v>
      </c>
      <c r="E775" s="176"/>
      <c r="F775" s="173"/>
      <c r="G775" s="107">
        <f t="shared" si="41"/>
        <v>0</v>
      </c>
      <c r="H775" s="107">
        <f>DVUD!K712</f>
        <v>0</v>
      </c>
      <c r="I775" s="213"/>
    </row>
    <row r="776" spans="1:9" ht="12.75" customHeight="1" x14ac:dyDescent="0.2">
      <c r="A776" s="72"/>
      <c r="B776" s="72"/>
      <c r="C776" s="38">
        <f t="shared" si="42"/>
        <v>0</v>
      </c>
      <c r="D776" s="267" t="s">
        <v>3973</v>
      </c>
      <c r="E776" s="176"/>
      <c r="F776" s="173"/>
      <c r="G776" s="107">
        <f t="shared" si="41"/>
        <v>0</v>
      </c>
      <c r="H776" s="107">
        <f>DVUD!K713</f>
        <v>0</v>
      </c>
      <c r="I776" s="213"/>
    </row>
    <row r="777" spans="1:9" ht="12.75" customHeight="1" x14ac:dyDescent="0.2">
      <c r="A777" s="72" t="s">
        <v>4472</v>
      </c>
      <c r="B777" s="72">
        <v>506</v>
      </c>
      <c r="C777" s="38" t="str">
        <f t="shared" si="42"/>
        <v>29 Juli</v>
      </c>
      <c r="D777" s="267" t="s">
        <v>3958</v>
      </c>
      <c r="E777" s="176"/>
      <c r="F777" s="173"/>
      <c r="G777" s="107">
        <f t="shared" si="41"/>
        <v>0</v>
      </c>
      <c r="H777" s="107">
        <f>DVUD!K714</f>
        <v>0</v>
      </c>
      <c r="I777" s="213"/>
    </row>
    <row r="778" spans="1:9" ht="12.75" customHeight="1" x14ac:dyDescent="0.2">
      <c r="A778" s="72"/>
      <c r="B778" s="72"/>
      <c r="C778" s="38">
        <f t="shared" si="42"/>
        <v>0</v>
      </c>
      <c r="D778" s="267" t="s">
        <v>4019</v>
      </c>
      <c r="E778" s="176"/>
      <c r="F778" s="173"/>
      <c r="G778" s="107">
        <f t="shared" si="41"/>
        <v>0</v>
      </c>
      <c r="H778" s="107">
        <f>DVUD!K715</f>
        <v>0</v>
      </c>
      <c r="I778" s="213"/>
    </row>
    <row r="779" spans="1:9" ht="12.75" customHeight="1" x14ac:dyDescent="0.2">
      <c r="A779" s="72"/>
      <c r="B779" s="72"/>
      <c r="C779" s="38">
        <f t="shared" si="42"/>
        <v>0</v>
      </c>
      <c r="D779" s="268" t="s">
        <v>3959</v>
      </c>
      <c r="E779" s="176"/>
      <c r="F779" s="173"/>
      <c r="G779" s="107">
        <f t="shared" si="41"/>
        <v>0</v>
      </c>
      <c r="H779" s="107">
        <f>DVUD!K716</f>
        <v>0</v>
      </c>
      <c r="I779" s="213"/>
    </row>
    <row r="780" spans="1:9" ht="12.75" customHeight="1" x14ac:dyDescent="0.2">
      <c r="A780" s="72"/>
      <c r="B780" s="72">
        <v>507</v>
      </c>
      <c r="C780" s="38">
        <f t="shared" ref="C780:C805" si="43">A780</f>
        <v>0</v>
      </c>
      <c r="D780" s="268" t="s">
        <v>3432</v>
      </c>
      <c r="E780" s="176"/>
      <c r="F780" s="173"/>
      <c r="G780" s="107">
        <f t="shared" si="41"/>
        <v>0</v>
      </c>
      <c r="H780" s="107">
        <f>DVUD!K717</f>
        <v>0</v>
      </c>
      <c r="I780" s="213"/>
    </row>
    <row r="781" spans="1:9" ht="12.75" customHeight="1" x14ac:dyDescent="0.2">
      <c r="A781" s="72"/>
      <c r="B781" s="72">
        <v>508</v>
      </c>
      <c r="C781" s="38">
        <f t="shared" si="43"/>
        <v>0</v>
      </c>
      <c r="D781" s="268" t="s">
        <v>3984</v>
      </c>
      <c r="E781" s="176"/>
      <c r="F781" s="173"/>
      <c r="G781" s="107">
        <f t="shared" si="41"/>
        <v>0</v>
      </c>
      <c r="H781" s="107">
        <f>DVUD!K718</f>
        <v>0</v>
      </c>
      <c r="I781" s="213"/>
    </row>
    <row r="782" spans="1:9" ht="12.75" customHeight="1" x14ac:dyDescent="0.2">
      <c r="A782" s="72"/>
      <c r="B782" s="72">
        <v>509</v>
      </c>
      <c r="C782" s="38">
        <f t="shared" si="43"/>
        <v>0</v>
      </c>
      <c r="D782" s="268" t="s">
        <v>3436</v>
      </c>
      <c r="E782" s="176"/>
      <c r="F782" s="173"/>
      <c r="G782" s="107">
        <f t="shared" ref="G782:G805" si="44">H782</f>
        <v>0</v>
      </c>
      <c r="H782" s="107">
        <f>DVUD!K719</f>
        <v>0</v>
      </c>
      <c r="I782" s="213"/>
    </row>
    <row r="783" spans="1:9" ht="12.75" customHeight="1" x14ac:dyDescent="0.2">
      <c r="A783" s="72"/>
      <c r="B783" s="72">
        <v>510</v>
      </c>
      <c r="C783" s="38">
        <f t="shared" si="43"/>
        <v>0</v>
      </c>
      <c r="D783" s="268" t="s">
        <v>4475</v>
      </c>
      <c r="E783" s="176"/>
      <c r="F783" s="173"/>
      <c r="G783" s="107">
        <f t="shared" si="44"/>
        <v>0</v>
      </c>
      <c r="H783" s="107">
        <f>DVUD!K720</f>
        <v>0</v>
      </c>
      <c r="I783" s="213"/>
    </row>
    <row r="784" spans="1:9" ht="12.75" customHeight="1" x14ac:dyDescent="0.2">
      <c r="A784" s="72"/>
      <c r="B784" s="72">
        <v>511</v>
      </c>
      <c r="C784" s="38">
        <f t="shared" si="43"/>
        <v>0</v>
      </c>
      <c r="D784" s="268" t="s">
        <v>3456</v>
      </c>
      <c r="E784" s="176"/>
      <c r="F784" s="173"/>
      <c r="G784" s="107">
        <f t="shared" si="44"/>
        <v>0</v>
      </c>
      <c r="H784" s="107">
        <f>DVUD!K721</f>
        <v>0</v>
      </c>
      <c r="I784" s="213"/>
    </row>
    <row r="785" spans="1:9" ht="12.75" customHeight="1" x14ac:dyDescent="0.2">
      <c r="A785" s="72"/>
      <c r="B785" s="72">
        <v>512</v>
      </c>
      <c r="C785" s="38">
        <f t="shared" si="43"/>
        <v>0</v>
      </c>
      <c r="D785" s="268" t="s">
        <v>3741</v>
      </c>
      <c r="E785" s="176"/>
      <c r="F785" s="173"/>
      <c r="G785" s="107">
        <f t="shared" si="44"/>
        <v>0</v>
      </c>
      <c r="H785" s="107">
        <f>DVUD!K722</f>
        <v>0</v>
      </c>
      <c r="I785" s="213"/>
    </row>
    <row r="786" spans="1:9" ht="12.75" customHeight="1" x14ac:dyDescent="0.2">
      <c r="A786" s="72"/>
      <c r="B786" s="72">
        <v>513</v>
      </c>
      <c r="C786" s="38">
        <f t="shared" si="43"/>
        <v>0</v>
      </c>
      <c r="D786" s="268" t="s">
        <v>3432</v>
      </c>
      <c r="E786" s="176"/>
      <c r="F786" s="173"/>
      <c r="G786" s="107">
        <f t="shared" si="44"/>
        <v>0</v>
      </c>
      <c r="H786" s="107">
        <f>DVUD!K723</f>
        <v>0</v>
      </c>
      <c r="I786" s="213"/>
    </row>
    <row r="787" spans="1:9" ht="12.75" customHeight="1" x14ac:dyDescent="0.2">
      <c r="A787" s="72"/>
      <c r="B787" s="72">
        <v>514</v>
      </c>
      <c r="C787" s="38">
        <f t="shared" si="43"/>
        <v>0</v>
      </c>
      <c r="D787" s="268" t="s">
        <v>3953</v>
      </c>
      <c r="E787" s="176"/>
      <c r="F787" s="173"/>
      <c r="G787" s="107">
        <f t="shared" si="44"/>
        <v>0</v>
      </c>
      <c r="H787" s="107">
        <f>DVUD!K724</f>
        <v>0</v>
      </c>
      <c r="I787" s="213"/>
    </row>
    <row r="788" spans="1:9" ht="12.75" customHeight="1" x14ac:dyDescent="0.2">
      <c r="A788" s="72"/>
      <c r="B788" s="72">
        <v>515</v>
      </c>
      <c r="C788" s="38">
        <f t="shared" si="43"/>
        <v>0</v>
      </c>
      <c r="D788" s="268" t="s">
        <v>3957</v>
      </c>
      <c r="E788" s="176"/>
      <c r="F788" s="173"/>
      <c r="G788" s="107">
        <f t="shared" si="44"/>
        <v>0</v>
      </c>
      <c r="H788" s="107">
        <f>DVUD!K725</f>
        <v>0</v>
      </c>
      <c r="I788" s="213"/>
    </row>
    <row r="789" spans="1:9" ht="12.75" customHeight="1" x14ac:dyDescent="0.2">
      <c r="A789" s="72"/>
      <c r="B789" s="72">
        <v>516</v>
      </c>
      <c r="C789" s="38">
        <f t="shared" si="43"/>
        <v>0</v>
      </c>
      <c r="D789" s="268" t="s">
        <v>3938</v>
      </c>
      <c r="E789" s="176"/>
      <c r="F789" s="173"/>
      <c r="G789" s="107">
        <f t="shared" si="44"/>
        <v>0</v>
      </c>
      <c r="H789" s="107">
        <f>DVUD!K726</f>
        <v>0</v>
      </c>
      <c r="I789" s="213"/>
    </row>
    <row r="790" spans="1:9" ht="12.75" customHeight="1" x14ac:dyDescent="0.2">
      <c r="A790" s="72"/>
      <c r="B790" s="72">
        <v>517</v>
      </c>
      <c r="C790" s="38">
        <f t="shared" si="43"/>
        <v>0</v>
      </c>
      <c r="D790" s="268" t="s">
        <v>4032</v>
      </c>
      <c r="E790" s="176"/>
      <c r="F790" s="173"/>
      <c r="G790" s="107">
        <f t="shared" si="44"/>
        <v>0</v>
      </c>
      <c r="H790" s="107">
        <f>DVUD!K727</f>
        <v>0</v>
      </c>
      <c r="I790" s="213"/>
    </row>
    <row r="791" spans="1:9" ht="12.75" customHeight="1" x14ac:dyDescent="0.2">
      <c r="A791" s="72"/>
      <c r="B791" s="72">
        <v>518</v>
      </c>
      <c r="C791" s="38">
        <f t="shared" si="43"/>
        <v>0</v>
      </c>
      <c r="D791" s="268" t="s">
        <v>3942</v>
      </c>
      <c r="E791" s="176"/>
      <c r="F791" s="173"/>
      <c r="G791" s="107">
        <f t="shared" si="44"/>
        <v>0</v>
      </c>
      <c r="H791" s="107">
        <f>DVUD!K728</f>
        <v>0</v>
      </c>
      <c r="I791" s="213"/>
    </row>
    <row r="792" spans="1:9" ht="12.75" customHeight="1" x14ac:dyDescent="0.2">
      <c r="A792" s="72"/>
      <c r="B792" s="72">
        <v>519</v>
      </c>
      <c r="C792" s="38">
        <f t="shared" si="43"/>
        <v>0</v>
      </c>
      <c r="D792" s="268" t="s">
        <v>3955</v>
      </c>
      <c r="E792" s="176"/>
      <c r="F792" s="173"/>
      <c r="G792" s="107">
        <f t="shared" si="44"/>
        <v>0</v>
      </c>
      <c r="H792" s="107">
        <f>DVUD!K729</f>
        <v>0</v>
      </c>
      <c r="I792" s="213"/>
    </row>
    <row r="793" spans="1:9" ht="12.75" customHeight="1" x14ac:dyDescent="0.2">
      <c r="A793" s="72"/>
      <c r="B793" s="72">
        <v>520</v>
      </c>
      <c r="C793" s="38">
        <f t="shared" si="43"/>
        <v>0</v>
      </c>
      <c r="D793" s="268" t="s">
        <v>3937</v>
      </c>
      <c r="E793" s="176"/>
      <c r="F793" s="173"/>
      <c r="G793" s="107">
        <f t="shared" si="44"/>
        <v>0</v>
      </c>
      <c r="H793" s="107">
        <f>DVUD!K730</f>
        <v>0</v>
      </c>
      <c r="I793" s="213"/>
    </row>
    <row r="794" spans="1:9" ht="12.75" customHeight="1" x14ac:dyDescent="0.2">
      <c r="A794" s="72"/>
      <c r="B794" s="72">
        <v>521</v>
      </c>
      <c r="C794" s="38">
        <f t="shared" si="43"/>
        <v>0</v>
      </c>
      <c r="D794" s="268" t="s">
        <v>3402</v>
      </c>
      <c r="E794" s="176"/>
      <c r="F794" s="173"/>
      <c r="G794" s="107">
        <f t="shared" si="44"/>
        <v>0</v>
      </c>
      <c r="H794" s="107">
        <f>DVUD!K731</f>
        <v>0</v>
      </c>
      <c r="I794" s="213"/>
    </row>
    <row r="795" spans="1:9" ht="12.75" customHeight="1" x14ac:dyDescent="0.2">
      <c r="A795" s="72"/>
      <c r="B795" s="72">
        <v>522</v>
      </c>
      <c r="C795" s="38">
        <f t="shared" si="43"/>
        <v>0</v>
      </c>
      <c r="D795" s="268" t="s">
        <v>3937</v>
      </c>
      <c r="E795" s="176"/>
      <c r="F795" s="173"/>
      <c r="G795" s="107">
        <f t="shared" si="44"/>
        <v>0</v>
      </c>
      <c r="H795" s="107">
        <f>DVUD!K732</f>
        <v>0</v>
      </c>
      <c r="I795" s="213"/>
    </row>
    <row r="796" spans="1:9" ht="12.75" customHeight="1" x14ac:dyDescent="0.2">
      <c r="A796" s="72"/>
      <c r="B796" s="72">
        <v>523</v>
      </c>
      <c r="C796" s="38">
        <f t="shared" si="43"/>
        <v>0</v>
      </c>
      <c r="D796" s="268" t="s">
        <v>3937</v>
      </c>
      <c r="E796" s="176"/>
      <c r="F796" s="173"/>
      <c r="G796" s="107">
        <f t="shared" si="44"/>
        <v>0</v>
      </c>
      <c r="H796" s="107">
        <f>DVUD!K733</f>
        <v>0</v>
      </c>
      <c r="I796" s="213"/>
    </row>
    <row r="797" spans="1:9" ht="12.75" customHeight="1" x14ac:dyDescent="0.2">
      <c r="A797" s="72"/>
      <c r="B797" s="72">
        <v>524</v>
      </c>
      <c r="C797" s="38">
        <f t="shared" si="43"/>
        <v>0</v>
      </c>
      <c r="D797" s="268" t="s">
        <v>4031</v>
      </c>
      <c r="E797" s="176"/>
      <c r="F797" s="173"/>
      <c r="G797" s="107">
        <f t="shared" si="44"/>
        <v>0</v>
      </c>
      <c r="H797" s="107">
        <f>DVUD!K734</f>
        <v>0</v>
      </c>
      <c r="I797" s="213"/>
    </row>
    <row r="798" spans="1:9" ht="12.75" customHeight="1" x14ac:dyDescent="0.2">
      <c r="A798" s="72"/>
      <c r="B798" s="72">
        <v>525</v>
      </c>
      <c r="C798" s="38">
        <f t="shared" si="43"/>
        <v>0</v>
      </c>
      <c r="D798" s="268" t="s">
        <v>4031</v>
      </c>
      <c r="E798" s="176"/>
      <c r="F798" s="173"/>
      <c r="G798" s="107">
        <f t="shared" si="44"/>
        <v>0</v>
      </c>
      <c r="H798" s="107">
        <f>DVUD!K735</f>
        <v>0</v>
      </c>
      <c r="I798" s="213"/>
    </row>
    <row r="799" spans="1:9" ht="12.75" customHeight="1" x14ac:dyDescent="0.2">
      <c r="A799" s="72"/>
      <c r="B799" s="72">
        <v>526</v>
      </c>
      <c r="C799" s="38">
        <f t="shared" si="43"/>
        <v>0</v>
      </c>
      <c r="D799" s="268" t="s">
        <v>4028</v>
      </c>
      <c r="E799" s="176"/>
      <c r="F799" s="173"/>
      <c r="G799" s="107">
        <f t="shared" si="44"/>
        <v>0</v>
      </c>
      <c r="H799" s="107">
        <f>DVUD!K736</f>
        <v>0</v>
      </c>
      <c r="I799" s="213"/>
    </row>
    <row r="800" spans="1:9" ht="12.75" customHeight="1" x14ac:dyDescent="0.2">
      <c r="A800" s="72"/>
      <c r="B800" s="72">
        <v>527</v>
      </c>
      <c r="C800" s="38">
        <f t="shared" si="43"/>
        <v>0</v>
      </c>
      <c r="D800" s="268" t="s">
        <v>3505</v>
      </c>
      <c r="E800" s="176"/>
      <c r="F800" s="173"/>
      <c r="G800" s="107">
        <f t="shared" si="44"/>
        <v>0</v>
      </c>
      <c r="H800" s="107">
        <f>DVUD!K737</f>
        <v>0</v>
      </c>
      <c r="I800" s="213"/>
    </row>
    <row r="801" spans="1:9" ht="12.75" customHeight="1" x14ac:dyDescent="0.2">
      <c r="A801" s="72"/>
      <c r="B801" s="72">
        <v>528</v>
      </c>
      <c r="C801" s="38">
        <f t="shared" si="43"/>
        <v>0</v>
      </c>
      <c r="D801" s="268" t="s">
        <v>4043</v>
      </c>
      <c r="E801" s="176"/>
      <c r="F801" s="173"/>
      <c r="G801" s="107">
        <f t="shared" si="44"/>
        <v>0</v>
      </c>
      <c r="H801" s="107">
        <f>DVUD!K738</f>
        <v>0</v>
      </c>
      <c r="I801" s="213"/>
    </row>
    <row r="802" spans="1:9" ht="12.75" customHeight="1" x14ac:dyDescent="0.2">
      <c r="A802" s="72"/>
      <c r="B802" s="72">
        <v>529</v>
      </c>
      <c r="C802" s="38">
        <f t="shared" si="43"/>
        <v>0</v>
      </c>
      <c r="D802" s="268" t="s">
        <v>4449</v>
      </c>
      <c r="E802" s="176"/>
      <c r="F802" s="173"/>
      <c r="G802" s="107">
        <f t="shared" si="44"/>
        <v>0</v>
      </c>
      <c r="H802" s="107">
        <f>DVUD!K739</f>
        <v>0</v>
      </c>
      <c r="I802" s="213"/>
    </row>
    <row r="803" spans="1:9" ht="12.75" customHeight="1" x14ac:dyDescent="0.2">
      <c r="A803" s="72" t="s">
        <v>4486</v>
      </c>
      <c r="B803" s="72">
        <v>530</v>
      </c>
      <c r="C803" s="38" t="str">
        <f t="shared" si="43"/>
        <v>30 Juli</v>
      </c>
      <c r="D803" s="268" t="s">
        <v>3949</v>
      </c>
      <c r="E803" s="176"/>
      <c r="F803" s="173"/>
      <c r="G803" s="107">
        <f t="shared" si="44"/>
        <v>0</v>
      </c>
      <c r="H803" s="107">
        <f>DVUD!K740</f>
        <v>0</v>
      </c>
      <c r="I803" s="213"/>
    </row>
    <row r="804" spans="1:9" ht="12.75" customHeight="1" x14ac:dyDescent="0.2">
      <c r="A804" s="72"/>
      <c r="B804" s="72">
        <v>531</v>
      </c>
      <c r="C804" s="38">
        <f t="shared" si="43"/>
        <v>0</v>
      </c>
      <c r="D804" s="268" t="s">
        <v>3933</v>
      </c>
      <c r="E804" s="176"/>
      <c r="F804" s="173"/>
      <c r="G804" s="107">
        <f t="shared" si="44"/>
        <v>0</v>
      </c>
      <c r="H804" s="107">
        <f>DVUD!K741</f>
        <v>0</v>
      </c>
      <c r="I804" s="213"/>
    </row>
    <row r="805" spans="1:9" ht="12.75" customHeight="1" x14ac:dyDescent="0.2">
      <c r="A805" s="72" t="s">
        <v>3693</v>
      </c>
      <c r="B805" s="72">
        <v>532</v>
      </c>
      <c r="C805" s="38" t="str">
        <f t="shared" si="43"/>
        <v>31 Juli</v>
      </c>
      <c r="D805" s="268" t="s">
        <v>4032</v>
      </c>
      <c r="E805" s="176"/>
      <c r="F805" s="173"/>
      <c r="G805" s="107">
        <f t="shared" si="44"/>
        <v>0</v>
      </c>
      <c r="H805" s="107">
        <f>DVUD!K742</f>
        <v>0</v>
      </c>
      <c r="I805" s="213"/>
    </row>
    <row r="806" spans="1:9" ht="12.75" customHeight="1" x14ac:dyDescent="0.2">
      <c r="A806" s="702" t="s">
        <v>3556</v>
      </c>
      <c r="B806" s="703"/>
      <c r="C806" s="703"/>
      <c r="D806" s="703"/>
      <c r="E806" s="703"/>
      <c r="F806" s="704"/>
      <c r="G806" s="94">
        <f>SUM(G716:G805)</f>
        <v>0</v>
      </c>
      <c r="H806" s="94">
        <f>SUM(H716:H805)</f>
        <v>0</v>
      </c>
      <c r="I806" s="94">
        <f>SUM(I740:I805)</f>
        <v>0</v>
      </c>
    </row>
    <row r="807" spans="1:9" ht="12.75" customHeight="1" x14ac:dyDescent="0.2">
      <c r="A807" s="702" t="s">
        <v>3560</v>
      </c>
      <c r="B807" s="703"/>
      <c r="C807" s="703"/>
      <c r="D807" s="703"/>
      <c r="E807" s="703"/>
      <c r="F807" s="704"/>
      <c r="G807" s="94">
        <f>G693</f>
        <v>0</v>
      </c>
      <c r="H807" s="94">
        <f>H693</f>
        <v>0</v>
      </c>
      <c r="I807" s="94"/>
    </row>
    <row r="808" spans="1:9" ht="12.75" customHeight="1" thickBot="1" x14ac:dyDescent="0.25">
      <c r="A808" s="705" t="s">
        <v>3558</v>
      </c>
      <c r="B808" s="706"/>
      <c r="C808" s="706"/>
      <c r="D808" s="706"/>
      <c r="E808" s="706"/>
      <c r="F808" s="707"/>
      <c r="G808" s="93">
        <f>SUM(G806:G807)</f>
        <v>0</v>
      </c>
      <c r="H808" s="93">
        <f>SUM(H806:H807)</f>
        <v>0</v>
      </c>
      <c r="I808" s="93"/>
    </row>
    <row r="809" spans="1:9" ht="12.75" customHeight="1" x14ac:dyDescent="0.2">
      <c r="G809" s="46"/>
      <c r="H809" s="46"/>
      <c r="I809" s="46"/>
    </row>
    <row r="810" spans="1:9" ht="12.75" customHeight="1" x14ac:dyDescent="0.2">
      <c r="A810" s="687"/>
      <c r="B810" s="687"/>
      <c r="C810" s="687"/>
      <c r="D810" s="687"/>
      <c r="E810" s="143"/>
      <c r="F810" s="143"/>
      <c r="G810" s="708">
        <f>DVUD!H749</f>
        <v>705066059</v>
      </c>
      <c r="H810" s="708"/>
      <c r="I810" s="708"/>
    </row>
    <row r="811" spans="1:9" ht="12.75" customHeight="1" x14ac:dyDescent="0.2">
      <c r="A811" s="687"/>
      <c r="B811" s="687"/>
      <c r="C811" s="687"/>
      <c r="D811" s="687"/>
      <c r="E811" s="143"/>
      <c r="F811" s="143"/>
      <c r="G811" s="708"/>
      <c r="H811" s="708"/>
      <c r="I811" s="708"/>
    </row>
    <row r="812" spans="1:9" ht="12.75" customHeight="1" x14ac:dyDescent="0.2">
      <c r="A812" s="305"/>
      <c r="B812" s="305"/>
      <c r="C812" s="305"/>
      <c r="D812" s="305"/>
      <c r="E812" s="143"/>
      <c r="F812" s="143"/>
      <c r="G812" s="308">
        <f>DVUD!H745</f>
        <v>0</v>
      </c>
      <c r="H812" s="308"/>
      <c r="I812" s="308"/>
    </row>
    <row r="813" spans="1:9" ht="12.75" customHeight="1" x14ac:dyDescent="0.2">
      <c r="A813" s="305"/>
      <c r="B813" s="305"/>
      <c r="C813" s="305"/>
      <c r="D813" s="305"/>
      <c r="E813" s="143"/>
      <c r="F813" s="143"/>
      <c r="G813" s="308"/>
      <c r="H813" s="308"/>
      <c r="I813" s="308"/>
    </row>
    <row r="814" spans="1:9" ht="12.75" customHeight="1" x14ac:dyDescent="0.2">
      <c r="A814" s="305"/>
      <c r="B814" s="305"/>
      <c r="C814" s="305"/>
      <c r="D814" s="305"/>
      <c r="E814" s="143"/>
      <c r="F814" s="143"/>
      <c r="G814" s="308"/>
      <c r="H814" s="308"/>
      <c r="I814" s="308"/>
    </row>
    <row r="815" spans="1:9" ht="12.75" customHeight="1" x14ac:dyDescent="0.2">
      <c r="A815" s="305"/>
      <c r="B815" s="305"/>
      <c r="C815" s="305"/>
      <c r="D815" s="305"/>
      <c r="E815" s="143"/>
      <c r="F815" s="143"/>
      <c r="G815" s="308"/>
      <c r="H815" s="308"/>
      <c r="I815" s="308"/>
    </row>
    <row r="816" spans="1:9" ht="12.75" customHeight="1" x14ac:dyDescent="0.2">
      <c r="A816" s="305"/>
      <c r="B816" s="305"/>
      <c r="C816" s="305"/>
      <c r="D816" s="305"/>
      <c r="E816" s="143"/>
      <c r="F816" s="143"/>
      <c r="G816" s="308"/>
      <c r="H816" s="308"/>
      <c r="I816" s="308"/>
    </row>
    <row r="817" spans="1:9" ht="12.75" customHeight="1" x14ac:dyDescent="0.2">
      <c r="A817" s="305"/>
      <c r="B817" s="305"/>
      <c r="C817" s="305"/>
      <c r="D817" s="305"/>
      <c r="E817" s="143"/>
      <c r="F817" s="143"/>
      <c r="G817" s="308"/>
      <c r="H817" s="308"/>
      <c r="I817" s="308"/>
    </row>
    <row r="818" spans="1:9" ht="12.75" customHeight="1" x14ac:dyDescent="0.2">
      <c r="A818" s="305"/>
      <c r="B818" s="305"/>
      <c r="C818" s="305"/>
      <c r="D818" s="305"/>
      <c r="E818" s="143"/>
      <c r="F818" s="143"/>
      <c r="G818" s="308"/>
      <c r="H818" s="308"/>
      <c r="I818" s="308"/>
    </row>
    <row r="819" spans="1:9" ht="12.75" customHeight="1" x14ac:dyDescent="0.2">
      <c r="A819" s="305"/>
      <c r="B819" s="305"/>
      <c r="C819" s="305"/>
      <c r="D819" s="305"/>
      <c r="E819" s="143"/>
      <c r="F819" s="143"/>
      <c r="G819" s="308"/>
      <c r="H819" s="308"/>
      <c r="I819" s="308"/>
    </row>
    <row r="820" spans="1:9" ht="12.75" customHeight="1" x14ac:dyDescent="0.2">
      <c r="A820" s="305"/>
      <c r="B820" s="305"/>
      <c r="C820" s="305"/>
      <c r="D820" s="305"/>
      <c r="E820" s="143"/>
      <c r="F820" s="143"/>
      <c r="G820" s="308"/>
      <c r="H820" s="308"/>
      <c r="I820" s="308"/>
    </row>
    <row r="821" spans="1:9" ht="12.75" customHeight="1" x14ac:dyDescent="0.2">
      <c r="A821" s="305"/>
      <c r="B821" s="305"/>
      <c r="C821" s="305"/>
      <c r="D821" s="305"/>
      <c r="E821" s="143"/>
      <c r="F821" s="143"/>
      <c r="G821" s="308"/>
      <c r="H821" s="308"/>
      <c r="I821" s="308"/>
    </row>
    <row r="822" spans="1:9" ht="12.75" customHeight="1" x14ac:dyDescent="0.2">
      <c r="A822" s="305"/>
      <c r="B822" s="305"/>
      <c r="C822" s="305"/>
      <c r="D822" s="305"/>
      <c r="E822" s="143"/>
      <c r="F822" s="143"/>
      <c r="G822" s="308"/>
      <c r="H822" s="308"/>
      <c r="I822" s="308"/>
    </row>
    <row r="823" spans="1:9" ht="12.75" customHeight="1" x14ac:dyDescent="0.2">
      <c r="A823" s="305"/>
      <c r="B823" s="305"/>
      <c r="C823" s="305"/>
      <c r="D823" s="305"/>
      <c r="E823" s="143"/>
      <c r="F823" s="143"/>
      <c r="G823" s="308"/>
      <c r="H823" s="308"/>
      <c r="I823" s="308"/>
    </row>
    <row r="824" spans="1:9" ht="12.75" customHeight="1" x14ac:dyDescent="0.2">
      <c r="A824" s="305"/>
      <c r="B824" s="305"/>
      <c r="C824" s="305"/>
      <c r="D824" s="305"/>
      <c r="E824" s="143"/>
      <c r="F824" s="143"/>
      <c r="G824" s="308"/>
      <c r="H824" s="308"/>
      <c r="I824" s="308"/>
    </row>
    <row r="825" spans="1:9" ht="12.75" customHeight="1" x14ac:dyDescent="0.2">
      <c r="A825" s="9" t="s">
        <v>0</v>
      </c>
      <c r="B825" s="9"/>
      <c r="C825" s="9"/>
      <c r="D825" s="9"/>
      <c r="E825" s="9"/>
      <c r="F825" s="9"/>
      <c r="G825" s="9"/>
      <c r="H825" s="9"/>
      <c r="I825" s="9"/>
    </row>
    <row r="826" spans="1:9" ht="12.75" customHeight="1" x14ac:dyDescent="0.2">
      <c r="A826" s="9" t="s">
        <v>1</v>
      </c>
      <c r="B826" s="9"/>
      <c r="C826" s="9"/>
      <c r="D826" s="9"/>
      <c r="E826" s="9"/>
      <c r="F826" s="9"/>
      <c r="G826" s="9"/>
      <c r="H826" s="9"/>
      <c r="I826" s="9"/>
    </row>
    <row r="827" spans="1:9" ht="12.75" customHeight="1" x14ac:dyDescent="0.2">
      <c r="A827" s="9"/>
      <c r="B827" s="9"/>
      <c r="C827" s="9"/>
      <c r="D827" s="9"/>
      <c r="E827" s="9"/>
      <c r="F827" s="9"/>
      <c r="G827" s="9"/>
      <c r="H827" s="9"/>
      <c r="I827" s="9"/>
    </row>
    <row r="828" spans="1:9" ht="12.75" customHeight="1" x14ac:dyDescent="0.2">
      <c r="A828" s="643" t="s">
        <v>77</v>
      </c>
      <c r="B828" s="643"/>
      <c r="C828" s="643"/>
      <c r="D828" s="643"/>
      <c r="E828" s="643"/>
      <c r="F828" s="643"/>
      <c r="G828" s="643"/>
      <c r="H828" s="643"/>
      <c r="I828" s="643"/>
    </row>
    <row r="829" spans="1:9" ht="12.75" customHeight="1" x14ac:dyDescent="0.2">
      <c r="A829" s="643" t="s">
        <v>3577</v>
      </c>
      <c r="B829" s="643"/>
      <c r="C829" s="643"/>
      <c r="D829" s="643"/>
      <c r="E829" s="643"/>
      <c r="F829" s="643"/>
      <c r="G829" s="643"/>
      <c r="H829" s="643"/>
      <c r="I829" s="643"/>
    </row>
    <row r="830" spans="1:9" ht="12.75" customHeight="1" x14ac:dyDescent="0.2">
      <c r="A830" s="680" t="s">
        <v>3</v>
      </c>
      <c r="B830" s="701" t="s">
        <v>4</v>
      </c>
      <c r="C830" s="701"/>
      <c r="D830" s="680" t="s">
        <v>5</v>
      </c>
      <c r="E830" s="662" t="s">
        <v>6</v>
      </c>
      <c r="F830" s="664"/>
      <c r="G830" s="310" t="s">
        <v>10</v>
      </c>
      <c r="H830" s="701" t="s">
        <v>90</v>
      </c>
      <c r="I830" s="701"/>
    </row>
    <row r="831" spans="1:9" ht="12.75" customHeight="1" x14ac:dyDescent="0.2">
      <c r="A831" s="681"/>
      <c r="B831" s="680" t="s">
        <v>7</v>
      </c>
      <c r="C831" s="680" t="s">
        <v>3</v>
      </c>
      <c r="D831" s="681"/>
      <c r="E831" s="680" t="s">
        <v>8</v>
      </c>
      <c r="F831" s="680" t="s">
        <v>3</v>
      </c>
      <c r="G831" s="306" t="s">
        <v>9</v>
      </c>
      <c r="H831" s="310" t="s">
        <v>11</v>
      </c>
      <c r="I831" s="310" t="s">
        <v>3342</v>
      </c>
    </row>
    <row r="832" spans="1:9" ht="12.75" customHeight="1" x14ac:dyDescent="0.2">
      <c r="A832" s="682"/>
      <c r="B832" s="682"/>
      <c r="C832" s="682"/>
      <c r="D832" s="682"/>
      <c r="E832" s="682"/>
      <c r="F832" s="682"/>
      <c r="G832" s="310" t="s">
        <v>3312</v>
      </c>
      <c r="H832" s="307" t="s">
        <v>3343</v>
      </c>
      <c r="I832" s="307" t="s">
        <v>3344</v>
      </c>
    </row>
    <row r="833" spans="1:9" ht="12.75" customHeight="1" x14ac:dyDescent="0.2">
      <c r="A833" s="366" t="s">
        <v>4562</v>
      </c>
      <c r="B833" s="210">
        <v>533</v>
      </c>
      <c r="C833" s="211" t="str">
        <f t="shared" ref="C833:C864" si="45">A833</f>
        <v>01 Agt</v>
      </c>
      <c r="D833" s="266" t="s">
        <v>4004</v>
      </c>
      <c r="E833" s="212"/>
      <c r="F833" s="60"/>
      <c r="G833" s="90">
        <f t="shared" ref="G833:G909" si="46">H833</f>
        <v>0</v>
      </c>
      <c r="H833" s="90">
        <f>DVUD!K803</f>
        <v>0</v>
      </c>
      <c r="I833" s="90"/>
    </row>
    <row r="834" spans="1:9" ht="12.75" customHeight="1" x14ac:dyDescent="0.2">
      <c r="A834" s="72"/>
      <c r="B834" s="72">
        <v>534</v>
      </c>
      <c r="C834" s="38">
        <f t="shared" si="45"/>
        <v>0</v>
      </c>
      <c r="D834" s="264" t="s">
        <v>4449</v>
      </c>
      <c r="E834" s="41"/>
      <c r="F834" s="31"/>
      <c r="G834" s="107">
        <f t="shared" si="46"/>
        <v>0</v>
      </c>
      <c r="H834" s="107">
        <f>DVUD!K804</f>
        <v>0</v>
      </c>
      <c r="I834" s="107"/>
    </row>
    <row r="835" spans="1:9" ht="12.75" customHeight="1" x14ac:dyDescent="0.2">
      <c r="A835" s="72"/>
      <c r="B835" s="72">
        <v>535</v>
      </c>
      <c r="C835" s="38">
        <f t="shared" si="45"/>
        <v>0</v>
      </c>
      <c r="D835" s="264" t="s">
        <v>3942</v>
      </c>
      <c r="E835" s="41"/>
      <c r="F835" s="31"/>
      <c r="G835" s="107">
        <f t="shared" si="46"/>
        <v>0</v>
      </c>
      <c r="H835" s="107">
        <f>DVUD!K805</f>
        <v>0</v>
      </c>
      <c r="I835" s="107"/>
    </row>
    <row r="836" spans="1:9" ht="12.75" customHeight="1" x14ac:dyDescent="0.2">
      <c r="A836" s="72"/>
      <c r="B836" s="72">
        <v>536</v>
      </c>
      <c r="C836" s="38">
        <f t="shared" si="45"/>
        <v>0</v>
      </c>
      <c r="D836" s="264" t="s">
        <v>4052</v>
      </c>
      <c r="E836" s="41"/>
      <c r="F836" s="31"/>
      <c r="G836" s="107">
        <f t="shared" si="46"/>
        <v>0</v>
      </c>
      <c r="H836" s="107">
        <f>DVUD!K806</f>
        <v>0</v>
      </c>
      <c r="I836" s="107"/>
    </row>
    <row r="837" spans="1:9" ht="12.75" customHeight="1" x14ac:dyDescent="0.2">
      <c r="A837" s="72" t="s">
        <v>4567</v>
      </c>
      <c r="B837" s="72">
        <v>537</v>
      </c>
      <c r="C837" s="38" t="str">
        <f t="shared" si="45"/>
        <v>04 Agt</v>
      </c>
      <c r="D837" s="264" t="s">
        <v>4004</v>
      </c>
      <c r="E837" s="41"/>
      <c r="F837" s="31"/>
      <c r="G837" s="107">
        <f t="shared" si="46"/>
        <v>0</v>
      </c>
      <c r="H837" s="107">
        <f>DVUD!K807</f>
        <v>0</v>
      </c>
      <c r="I837" s="107"/>
    </row>
    <row r="838" spans="1:9" ht="12.75" customHeight="1" x14ac:dyDescent="0.2">
      <c r="A838" s="72"/>
      <c r="B838" s="72">
        <v>538</v>
      </c>
      <c r="C838" s="38">
        <f t="shared" si="45"/>
        <v>0</v>
      </c>
      <c r="D838" s="264" t="s">
        <v>4032</v>
      </c>
      <c r="E838" s="41"/>
      <c r="F838" s="31"/>
      <c r="G838" s="107">
        <f t="shared" si="46"/>
        <v>0</v>
      </c>
      <c r="H838" s="107">
        <f>DVUD!K808</f>
        <v>0</v>
      </c>
      <c r="I838" s="107"/>
    </row>
    <row r="839" spans="1:9" ht="12.75" customHeight="1" x14ac:dyDescent="0.2">
      <c r="A839" s="72"/>
      <c r="B839" s="72">
        <v>539</v>
      </c>
      <c r="C839" s="38">
        <f t="shared" si="45"/>
        <v>0</v>
      </c>
      <c r="D839" s="264" t="s">
        <v>3406</v>
      </c>
      <c r="E839" s="41"/>
      <c r="F839" s="31"/>
      <c r="G839" s="107">
        <f t="shared" si="46"/>
        <v>0</v>
      </c>
      <c r="H839" s="107">
        <f>DVUD!K809</f>
        <v>0</v>
      </c>
      <c r="I839" s="107"/>
    </row>
    <row r="840" spans="1:9" ht="12.75" customHeight="1" x14ac:dyDescent="0.2">
      <c r="A840" s="72" t="s">
        <v>4571</v>
      </c>
      <c r="B840" s="72">
        <v>540</v>
      </c>
      <c r="C840" s="38" t="str">
        <f t="shared" si="45"/>
        <v>05 Agt</v>
      </c>
      <c r="D840" s="264" t="s">
        <v>3526</v>
      </c>
      <c r="E840" s="41"/>
      <c r="F840" s="31"/>
      <c r="G840" s="107">
        <f t="shared" si="46"/>
        <v>0</v>
      </c>
      <c r="H840" s="107">
        <f>DVUD!K810</f>
        <v>0</v>
      </c>
      <c r="I840" s="107"/>
    </row>
    <row r="841" spans="1:9" ht="12.75" customHeight="1" x14ac:dyDescent="0.2">
      <c r="A841" s="72"/>
      <c r="B841" s="72">
        <v>541</v>
      </c>
      <c r="C841" s="38">
        <f t="shared" si="45"/>
        <v>0</v>
      </c>
      <c r="D841" s="264" t="s">
        <v>3984</v>
      </c>
      <c r="E841" s="41"/>
      <c r="F841" s="31"/>
      <c r="G841" s="107">
        <f t="shared" si="46"/>
        <v>0</v>
      </c>
      <c r="H841" s="107">
        <f>DVUD!K811</f>
        <v>0</v>
      </c>
      <c r="I841" s="107"/>
    </row>
    <row r="842" spans="1:9" ht="12.75" customHeight="1" x14ac:dyDescent="0.2">
      <c r="A842" s="72"/>
      <c r="B842" s="72">
        <v>542</v>
      </c>
      <c r="C842" s="38">
        <f t="shared" si="45"/>
        <v>0</v>
      </c>
      <c r="D842" s="264" t="s">
        <v>3940</v>
      </c>
      <c r="E842" s="41"/>
      <c r="F842" s="31"/>
      <c r="G842" s="107">
        <f t="shared" si="46"/>
        <v>0</v>
      </c>
      <c r="H842" s="107">
        <f>DVUD!K812</f>
        <v>0</v>
      </c>
      <c r="I842" s="107"/>
    </row>
    <row r="843" spans="1:9" ht="12.75" customHeight="1" x14ac:dyDescent="0.2">
      <c r="A843" s="72"/>
      <c r="B843" s="72">
        <v>543</v>
      </c>
      <c r="C843" s="38">
        <f t="shared" si="45"/>
        <v>0</v>
      </c>
      <c r="D843" s="264" t="s">
        <v>3986</v>
      </c>
      <c r="E843" s="41"/>
      <c r="F843" s="31"/>
      <c r="G843" s="107">
        <f t="shared" si="46"/>
        <v>0</v>
      </c>
      <c r="H843" s="107">
        <f>DVUD!K813</f>
        <v>0</v>
      </c>
      <c r="I843" s="107"/>
    </row>
    <row r="844" spans="1:9" ht="12.75" customHeight="1" x14ac:dyDescent="0.2">
      <c r="A844" s="72" t="s">
        <v>4575</v>
      </c>
      <c r="B844" s="72">
        <v>544</v>
      </c>
      <c r="C844" s="38" t="str">
        <f t="shared" si="45"/>
        <v>07 Agt</v>
      </c>
      <c r="D844" s="264" t="s">
        <v>4032</v>
      </c>
      <c r="E844" s="41"/>
      <c r="F844" s="31"/>
      <c r="G844" s="107">
        <f t="shared" si="46"/>
        <v>0</v>
      </c>
      <c r="H844" s="107">
        <f>DVUD!K814</f>
        <v>0</v>
      </c>
      <c r="I844" s="107"/>
    </row>
    <row r="845" spans="1:9" ht="12.75" customHeight="1" x14ac:dyDescent="0.2">
      <c r="A845" s="72"/>
      <c r="B845" s="72">
        <v>545</v>
      </c>
      <c r="C845" s="38">
        <f t="shared" si="45"/>
        <v>0</v>
      </c>
      <c r="D845" s="264" t="s">
        <v>4579</v>
      </c>
      <c r="E845" s="41"/>
      <c r="F845" s="31"/>
      <c r="G845" s="107">
        <f t="shared" si="46"/>
        <v>0</v>
      </c>
      <c r="H845" s="107">
        <f>DVUD!K815</f>
        <v>0</v>
      </c>
      <c r="I845" s="107"/>
    </row>
    <row r="846" spans="1:9" ht="12.75" customHeight="1" x14ac:dyDescent="0.2">
      <c r="A846" s="72"/>
      <c r="B846" s="72">
        <v>546</v>
      </c>
      <c r="C846" s="38">
        <f t="shared" si="45"/>
        <v>0</v>
      </c>
      <c r="D846" s="264" t="s">
        <v>3526</v>
      </c>
      <c r="E846" s="41"/>
      <c r="F846" s="31"/>
      <c r="G846" s="107">
        <f t="shared" si="46"/>
        <v>0</v>
      </c>
      <c r="H846" s="107">
        <f>DVUD!K816</f>
        <v>0</v>
      </c>
      <c r="I846" s="107"/>
    </row>
    <row r="847" spans="1:9" ht="12.75" customHeight="1" x14ac:dyDescent="0.2">
      <c r="A847" s="72" t="s">
        <v>4581</v>
      </c>
      <c r="B847" s="72">
        <v>547</v>
      </c>
      <c r="C847" s="38" t="str">
        <f t="shared" si="45"/>
        <v>08 Agt</v>
      </c>
      <c r="D847" s="264" t="s">
        <v>3926</v>
      </c>
      <c r="E847" s="41"/>
      <c r="F847" s="31"/>
      <c r="G847" s="107">
        <f t="shared" si="46"/>
        <v>0</v>
      </c>
      <c r="H847" s="107">
        <f>DVUD!K817</f>
        <v>0</v>
      </c>
      <c r="I847" s="107"/>
    </row>
    <row r="848" spans="1:9" ht="12.75" customHeight="1" x14ac:dyDescent="0.2">
      <c r="A848" s="72"/>
      <c r="B848" s="72"/>
      <c r="C848" s="38">
        <f t="shared" si="45"/>
        <v>0</v>
      </c>
      <c r="D848" s="264" t="s">
        <v>3927</v>
      </c>
      <c r="E848" s="41"/>
      <c r="F848" s="31"/>
      <c r="G848" s="107">
        <f t="shared" si="46"/>
        <v>0</v>
      </c>
      <c r="H848" s="107">
        <f>DVUD!K818</f>
        <v>0</v>
      </c>
      <c r="I848" s="107"/>
    </row>
    <row r="849" spans="1:9" ht="12.75" customHeight="1" x14ac:dyDescent="0.2">
      <c r="A849" s="263"/>
      <c r="B849" s="72"/>
      <c r="C849" s="38">
        <f t="shared" si="45"/>
        <v>0</v>
      </c>
      <c r="D849" s="264" t="s">
        <v>3928</v>
      </c>
      <c r="E849" s="41"/>
      <c r="F849" s="31"/>
      <c r="G849" s="107">
        <f t="shared" si="46"/>
        <v>0</v>
      </c>
      <c r="H849" s="107">
        <f>DVUD!K819</f>
        <v>0</v>
      </c>
      <c r="I849" s="107"/>
    </row>
    <row r="850" spans="1:9" ht="12.75" customHeight="1" x14ac:dyDescent="0.2">
      <c r="A850" s="72"/>
      <c r="B850" s="72">
        <v>548</v>
      </c>
      <c r="C850" s="38">
        <f t="shared" si="45"/>
        <v>0</v>
      </c>
      <c r="D850" s="264" t="s">
        <v>3406</v>
      </c>
      <c r="E850" s="41"/>
      <c r="F850" s="31"/>
      <c r="G850" s="107">
        <f t="shared" si="46"/>
        <v>0</v>
      </c>
      <c r="H850" s="107">
        <f>DVUD!K820</f>
        <v>0</v>
      </c>
      <c r="I850" s="107"/>
    </row>
    <row r="851" spans="1:9" ht="12.75" customHeight="1" x14ac:dyDescent="0.2">
      <c r="A851" s="72"/>
      <c r="B851" s="72">
        <v>549</v>
      </c>
      <c r="C851" s="38">
        <f t="shared" si="45"/>
        <v>0</v>
      </c>
      <c r="D851" s="264" t="s">
        <v>3942</v>
      </c>
      <c r="E851" s="41"/>
      <c r="F851" s="31"/>
      <c r="G851" s="107">
        <f t="shared" si="46"/>
        <v>0</v>
      </c>
      <c r="H851" s="107">
        <f>DVUD!K821</f>
        <v>0</v>
      </c>
      <c r="I851" s="107"/>
    </row>
    <row r="852" spans="1:9" ht="12.75" customHeight="1" x14ac:dyDescent="0.2">
      <c r="A852" s="72" t="s">
        <v>4584</v>
      </c>
      <c r="B852" s="72">
        <v>550</v>
      </c>
      <c r="C852" s="38" t="str">
        <f t="shared" si="45"/>
        <v>11 Agt</v>
      </c>
      <c r="D852" s="264" t="s">
        <v>3410</v>
      </c>
      <c r="E852" s="41"/>
      <c r="F852" s="31"/>
      <c r="G852" s="107">
        <f t="shared" si="46"/>
        <v>0</v>
      </c>
      <c r="H852" s="107">
        <f>DVUD!K822</f>
        <v>0</v>
      </c>
      <c r="I852" s="107"/>
    </row>
    <row r="853" spans="1:9" ht="12.75" customHeight="1" x14ac:dyDescent="0.2">
      <c r="A853" s="72"/>
      <c r="B853" s="72">
        <v>551</v>
      </c>
      <c r="C853" s="38">
        <f t="shared" si="45"/>
        <v>0</v>
      </c>
      <c r="D853" s="267" t="s">
        <v>3410</v>
      </c>
      <c r="E853" s="41"/>
      <c r="F853" s="31"/>
      <c r="G853" s="107">
        <f t="shared" si="46"/>
        <v>0</v>
      </c>
      <c r="H853" s="107">
        <f>DVUD!K823</f>
        <v>0</v>
      </c>
      <c r="I853" s="107"/>
    </row>
    <row r="854" spans="1:9" ht="12.75" customHeight="1" x14ac:dyDescent="0.2">
      <c r="A854" s="72"/>
      <c r="B854" s="72">
        <v>552</v>
      </c>
      <c r="C854" s="38">
        <f t="shared" si="45"/>
        <v>0</v>
      </c>
      <c r="D854" s="267" t="s">
        <v>3410</v>
      </c>
      <c r="E854" s="41"/>
      <c r="F854" s="31"/>
      <c r="G854" s="107">
        <f t="shared" si="46"/>
        <v>0</v>
      </c>
      <c r="H854" s="107">
        <f>DVUD!K824</f>
        <v>0</v>
      </c>
      <c r="I854" s="107"/>
    </row>
    <row r="855" spans="1:9" ht="12.75" customHeight="1" x14ac:dyDescent="0.2">
      <c r="A855" s="72"/>
      <c r="B855" s="72">
        <v>553</v>
      </c>
      <c r="C855" s="38">
        <f t="shared" si="45"/>
        <v>0</v>
      </c>
      <c r="D855" s="264" t="s">
        <v>4032</v>
      </c>
      <c r="E855" s="41"/>
      <c r="F855" s="31"/>
      <c r="G855" s="107">
        <f t="shared" si="46"/>
        <v>0</v>
      </c>
      <c r="H855" s="107">
        <f>DVUD!K825</f>
        <v>0</v>
      </c>
      <c r="I855" s="107"/>
    </row>
    <row r="856" spans="1:9" ht="12.75" customHeight="1" x14ac:dyDescent="0.2">
      <c r="A856" s="72"/>
      <c r="B856" s="72">
        <v>554</v>
      </c>
      <c r="C856" s="38">
        <f t="shared" si="45"/>
        <v>0</v>
      </c>
      <c r="D856" s="267" t="s">
        <v>3943</v>
      </c>
      <c r="E856" s="41"/>
      <c r="F856" s="31"/>
      <c r="G856" s="107">
        <f t="shared" si="46"/>
        <v>0</v>
      </c>
      <c r="H856" s="107">
        <f>DVUD!K826</f>
        <v>0</v>
      </c>
      <c r="I856" s="107"/>
    </row>
    <row r="857" spans="1:9" ht="12.75" customHeight="1" x14ac:dyDescent="0.2">
      <c r="A857" s="72"/>
      <c r="B857" s="72">
        <v>555</v>
      </c>
      <c r="C857" s="38">
        <f t="shared" si="45"/>
        <v>0</v>
      </c>
      <c r="D857" s="267" t="s">
        <v>3955</v>
      </c>
      <c r="E857" s="41"/>
      <c r="F857" s="31"/>
      <c r="G857" s="107">
        <f t="shared" si="46"/>
        <v>0</v>
      </c>
      <c r="H857" s="107">
        <f>DVUD!K827</f>
        <v>0</v>
      </c>
      <c r="I857" s="107"/>
    </row>
    <row r="858" spans="1:9" ht="12.75" customHeight="1" x14ac:dyDescent="0.2">
      <c r="A858" s="72" t="s">
        <v>4587</v>
      </c>
      <c r="B858" s="72">
        <v>556</v>
      </c>
      <c r="C858" s="38" t="str">
        <f t="shared" si="45"/>
        <v>13 Agt</v>
      </c>
      <c r="D858" s="267" t="s">
        <v>3990</v>
      </c>
      <c r="E858" s="176"/>
      <c r="F858" s="173"/>
      <c r="G858" s="107">
        <f t="shared" si="46"/>
        <v>0</v>
      </c>
      <c r="H858" s="107">
        <f>DVUD!K828</f>
        <v>0</v>
      </c>
      <c r="I858" s="107"/>
    </row>
    <row r="859" spans="1:9" ht="12.75" customHeight="1" x14ac:dyDescent="0.2">
      <c r="A859" s="72" t="s">
        <v>4589</v>
      </c>
      <c r="B859" s="72">
        <v>557</v>
      </c>
      <c r="C859" s="38" t="str">
        <f t="shared" si="45"/>
        <v>15 Agt</v>
      </c>
      <c r="D859" s="264" t="s">
        <v>3406</v>
      </c>
      <c r="E859" s="176"/>
      <c r="F859" s="173"/>
      <c r="G859" s="107">
        <f t="shared" si="46"/>
        <v>0</v>
      </c>
      <c r="H859" s="107">
        <f>DVUD!K829</f>
        <v>0</v>
      </c>
      <c r="I859" s="107"/>
    </row>
    <row r="860" spans="1:9" ht="12.75" customHeight="1" x14ac:dyDescent="0.2">
      <c r="A860" s="72" t="s">
        <v>4591</v>
      </c>
      <c r="B860" s="72">
        <v>558</v>
      </c>
      <c r="C860" s="38" t="str">
        <f t="shared" si="45"/>
        <v>19 Agt</v>
      </c>
      <c r="D860" s="264" t="s">
        <v>3406</v>
      </c>
      <c r="E860" s="176"/>
      <c r="F860" s="173"/>
      <c r="G860" s="107">
        <f t="shared" si="46"/>
        <v>0</v>
      </c>
      <c r="H860" s="107">
        <f>DVUD!K830</f>
        <v>0</v>
      </c>
      <c r="I860" s="107"/>
    </row>
    <row r="861" spans="1:9" ht="12.75" customHeight="1" x14ac:dyDescent="0.2">
      <c r="A861" s="72"/>
      <c r="B861" s="72">
        <v>559</v>
      </c>
      <c r="C861" s="38">
        <f t="shared" si="45"/>
        <v>0</v>
      </c>
      <c r="D861" s="267" t="s">
        <v>4594</v>
      </c>
      <c r="E861" s="176"/>
      <c r="F861" s="173"/>
      <c r="G861" s="107">
        <f t="shared" si="46"/>
        <v>0</v>
      </c>
      <c r="H861" s="107">
        <f>DVUD!K831</f>
        <v>0</v>
      </c>
      <c r="I861" s="107"/>
    </row>
    <row r="862" spans="1:9" ht="12.75" customHeight="1" x14ac:dyDescent="0.2">
      <c r="A862" s="72"/>
      <c r="B862" s="72"/>
      <c r="C862" s="38">
        <f t="shared" si="45"/>
        <v>0</v>
      </c>
      <c r="D862" s="267" t="s">
        <v>4596</v>
      </c>
      <c r="E862" s="176"/>
      <c r="F862" s="173"/>
      <c r="G862" s="107">
        <f t="shared" si="46"/>
        <v>0</v>
      </c>
      <c r="H862" s="107">
        <f>DVUD!K832</f>
        <v>0</v>
      </c>
      <c r="I862" s="107"/>
    </row>
    <row r="863" spans="1:9" ht="12.75" customHeight="1" x14ac:dyDescent="0.2">
      <c r="A863" s="72"/>
      <c r="B863" s="72"/>
      <c r="C863" s="38">
        <f t="shared" si="45"/>
        <v>0</v>
      </c>
      <c r="D863" s="267" t="s">
        <v>4598</v>
      </c>
      <c r="E863" s="176"/>
      <c r="F863" s="173"/>
      <c r="G863" s="107">
        <f t="shared" si="46"/>
        <v>0</v>
      </c>
      <c r="H863" s="107">
        <f>DVUD!K833</f>
        <v>0</v>
      </c>
      <c r="I863" s="107"/>
    </row>
    <row r="864" spans="1:9" ht="12.75" customHeight="1" x14ac:dyDescent="0.2">
      <c r="A864" s="72"/>
      <c r="B864" s="72">
        <v>560</v>
      </c>
      <c r="C864" s="38">
        <f t="shared" si="45"/>
        <v>0</v>
      </c>
      <c r="D864" s="264" t="s">
        <v>3432</v>
      </c>
      <c r="E864" s="176"/>
      <c r="F864" s="173"/>
      <c r="G864" s="107">
        <f t="shared" si="46"/>
        <v>0</v>
      </c>
      <c r="H864" s="107">
        <f>DVUD!K834</f>
        <v>0</v>
      </c>
      <c r="I864" s="107"/>
    </row>
    <row r="865" spans="1:9" ht="12.75" customHeight="1" x14ac:dyDescent="0.2">
      <c r="A865" s="72"/>
      <c r="B865" s="72">
        <v>561</v>
      </c>
      <c r="C865" s="38">
        <f t="shared" ref="C865:C896" si="47">A865</f>
        <v>0</v>
      </c>
      <c r="D865" s="267" t="s">
        <v>4032</v>
      </c>
      <c r="E865" s="176"/>
      <c r="F865" s="173"/>
      <c r="G865" s="107">
        <f t="shared" si="46"/>
        <v>0</v>
      </c>
      <c r="H865" s="107">
        <f>DVUD!K835</f>
        <v>0</v>
      </c>
      <c r="I865" s="107"/>
    </row>
    <row r="866" spans="1:9" ht="12.75" customHeight="1" x14ac:dyDescent="0.2">
      <c r="A866" s="72"/>
      <c r="B866" s="72">
        <v>562</v>
      </c>
      <c r="C866" s="38">
        <f t="shared" si="47"/>
        <v>0</v>
      </c>
      <c r="D866" s="264" t="s">
        <v>3436</v>
      </c>
      <c r="E866" s="176"/>
      <c r="F866" s="173"/>
      <c r="G866" s="107">
        <f t="shared" si="46"/>
        <v>0</v>
      </c>
      <c r="H866" s="107">
        <f>DVUD!K836</f>
        <v>0</v>
      </c>
      <c r="I866" s="107"/>
    </row>
    <row r="867" spans="1:9" ht="12.75" customHeight="1" x14ac:dyDescent="0.2">
      <c r="A867" s="72" t="s">
        <v>4600</v>
      </c>
      <c r="B867" s="72">
        <v>563</v>
      </c>
      <c r="C867" s="38" t="str">
        <f t="shared" si="47"/>
        <v>20 Agt</v>
      </c>
      <c r="D867" s="264" t="s">
        <v>3933</v>
      </c>
      <c r="E867" s="176"/>
      <c r="F867" s="173"/>
      <c r="G867" s="107">
        <f t="shared" si="46"/>
        <v>0</v>
      </c>
      <c r="H867" s="107">
        <f>DVUD!K837</f>
        <v>0</v>
      </c>
      <c r="I867" s="107"/>
    </row>
    <row r="868" spans="1:9" ht="12.75" customHeight="1" x14ac:dyDescent="0.2">
      <c r="A868" s="72"/>
      <c r="B868" s="72">
        <v>564</v>
      </c>
      <c r="C868" s="38">
        <f t="shared" si="47"/>
        <v>0</v>
      </c>
      <c r="D868" s="264" t="s">
        <v>4032</v>
      </c>
      <c r="E868" s="176"/>
      <c r="F868" s="173"/>
      <c r="G868" s="107">
        <f t="shared" si="46"/>
        <v>0</v>
      </c>
      <c r="H868" s="107">
        <f>DVUD!K838</f>
        <v>0</v>
      </c>
      <c r="I868" s="107"/>
    </row>
    <row r="869" spans="1:9" ht="12.75" customHeight="1" x14ac:dyDescent="0.2">
      <c r="A869" s="72"/>
      <c r="B869" s="72">
        <v>565</v>
      </c>
      <c r="C869" s="38">
        <f t="shared" si="47"/>
        <v>0</v>
      </c>
      <c r="D869" s="264" t="s">
        <v>4032</v>
      </c>
      <c r="E869" s="176"/>
      <c r="F869" s="173"/>
      <c r="G869" s="107">
        <f t="shared" si="46"/>
        <v>0</v>
      </c>
      <c r="H869" s="107">
        <f>DVUD!K839</f>
        <v>0</v>
      </c>
      <c r="I869" s="107"/>
    </row>
    <row r="870" spans="1:9" ht="12.75" customHeight="1" x14ac:dyDescent="0.2">
      <c r="A870" s="72"/>
      <c r="B870" s="72">
        <v>566</v>
      </c>
      <c r="C870" s="38">
        <f t="shared" si="47"/>
        <v>0</v>
      </c>
      <c r="D870" s="264" t="s">
        <v>4032</v>
      </c>
      <c r="E870" s="176"/>
      <c r="F870" s="173"/>
      <c r="G870" s="107">
        <f t="shared" si="46"/>
        <v>0</v>
      </c>
      <c r="H870" s="107">
        <f>DVUD!K840</f>
        <v>0</v>
      </c>
      <c r="I870" s="107"/>
    </row>
    <row r="871" spans="1:9" ht="12.75" customHeight="1" x14ac:dyDescent="0.2">
      <c r="A871" s="72" t="s">
        <v>4604</v>
      </c>
      <c r="B871" s="72">
        <v>567</v>
      </c>
      <c r="C871" s="38" t="str">
        <f t="shared" si="47"/>
        <v>25 Agt</v>
      </c>
      <c r="D871" s="264" t="s">
        <v>3406</v>
      </c>
      <c r="E871" s="176"/>
      <c r="F871" s="173"/>
      <c r="G871" s="107">
        <f t="shared" si="46"/>
        <v>0</v>
      </c>
      <c r="H871" s="107">
        <f>DVUD!K841</f>
        <v>0</v>
      </c>
      <c r="I871" s="107"/>
    </row>
    <row r="872" spans="1:9" ht="12.75" customHeight="1" x14ac:dyDescent="0.2">
      <c r="A872" s="72"/>
      <c r="B872" s="72">
        <v>568</v>
      </c>
      <c r="C872" s="38">
        <f t="shared" si="47"/>
        <v>0</v>
      </c>
      <c r="D872" s="264" t="s">
        <v>3406</v>
      </c>
      <c r="E872" s="176"/>
      <c r="F872" s="173"/>
      <c r="G872" s="107">
        <f t="shared" si="46"/>
        <v>0</v>
      </c>
      <c r="H872" s="107">
        <f>DVUD!K842</f>
        <v>0</v>
      </c>
      <c r="I872" s="107"/>
    </row>
    <row r="873" spans="1:9" ht="12.75" customHeight="1" x14ac:dyDescent="0.2">
      <c r="A873" s="72" t="s">
        <v>4607</v>
      </c>
      <c r="B873" s="72">
        <v>569</v>
      </c>
      <c r="C873" s="38" t="str">
        <f t="shared" si="47"/>
        <v>26 Agt</v>
      </c>
      <c r="D873" s="267" t="s">
        <v>4000</v>
      </c>
      <c r="E873" s="176"/>
      <c r="F873" s="173"/>
      <c r="G873" s="107">
        <f t="shared" si="46"/>
        <v>0</v>
      </c>
      <c r="H873" s="107">
        <f>DVUD!K843</f>
        <v>0</v>
      </c>
      <c r="I873" s="107"/>
    </row>
    <row r="874" spans="1:9" ht="12.75" customHeight="1" x14ac:dyDescent="0.2">
      <c r="A874" s="72"/>
      <c r="B874" s="72">
        <v>570</v>
      </c>
      <c r="C874" s="38">
        <f t="shared" si="47"/>
        <v>0</v>
      </c>
      <c r="D874" s="267" t="s">
        <v>3955</v>
      </c>
      <c r="E874" s="176"/>
      <c r="F874" s="173"/>
      <c r="G874" s="107">
        <f t="shared" si="46"/>
        <v>0</v>
      </c>
      <c r="H874" s="107">
        <f>DVUD!K844</f>
        <v>0</v>
      </c>
      <c r="I874" s="107"/>
    </row>
    <row r="875" spans="1:9" ht="12.75" customHeight="1" x14ac:dyDescent="0.2">
      <c r="A875" s="72"/>
      <c r="B875" s="72">
        <v>571</v>
      </c>
      <c r="C875" s="38">
        <f t="shared" si="47"/>
        <v>0</v>
      </c>
      <c r="D875" s="264" t="s">
        <v>3962</v>
      </c>
      <c r="E875" s="176"/>
      <c r="F875" s="173"/>
      <c r="G875" s="107">
        <f t="shared" si="46"/>
        <v>0</v>
      </c>
      <c r="H875" s="107">
        <f>DVUD!K845</f>
        <v>0</v>
      </c>
      <c r="I875" s="107"/>
    </row>
    <row r="876" spans="1:9" ht="12.75" customHeight="1" x14ac:dyDescent="0.2">
      <c r="A876" s="72"/>
      <c r="B876" s="72"/>
      <c r="C876" s="38">
        <f t="shared" si="47"/>
        <v>0</v>
      </c>
      <c r="D876" s="264" t="s">
        <v>3964</v>
      </c>
      <c r="E876" s="176"/>
      <c r="F876" s="173"/>
      <c r="G876" s="107">
        <f t="shared" si="46"/>
        <v>0</v>
      </c>
      <c r="H876" s="107">
        <f>DVUD!K846</f>
        <v>0</v>
      </c>
      <c r="I876" s="107"/>
    </row>
    <row r="877" spans="1:9" ht="12.75" customHeight="1" x14ac:dyDescent="0.2">
      <c r="A877" s="72"/>
      <c r="B877" s="72"/>
      <c r="C877" s="38">
        <f t="shared" si="47"/>
        <v>0</v>
      </c>
      <c r="D877" s="264" t="s">
        <v>3963</v>
      </c>
      <c r="E877" s="176"/>
      <c r="F877" s="173"/>
      <c r="G877" s="107">
        <f t="shared" si="46"/>
        <v>0</v>
      </c>
      <c r="H877" s="107">
        <f>DVUD!K847</f>
        <v>0</v>
      </c>
      <c r="I877" s="107"/>
    </row>
    <row r="878" spans="1:9" ht="12.75" customHeight="1" x14ac:dyDescent="0.2">
      <c r="A878" s="72"/>
      <c r="B878" s="72">
        <v>572</v>
      </c>
      <c r="C878" s="38">
        <f t="shared" si="47"/>
        <v>0</v>
      </c>
      <c r="D878" s="264" t="s">
        <v>3456</v>
      </c>
      <c r="E878" s="176"/>
      <c r="F878" s="173"/>
      <c r="G878" s="107">
        <f t="shared" si="46"/>
        <v>0</v>
      </c>
      <c r="H878" s="107">
        <f>DVUD!K848</f>
        <v>0</v>
      </c>
      <c r="I878" s="107"/>
    </row>
    <row r="879" spans="1:9" ht="12.75" customHeight="1" x14ac:dyDescent="0.2">
      <c r="A879" s="72"/>
      <c r="B879" s="72">
        <v>573</v>
      </c>
      <c r="C879" s="38">
        <f t="shared" si="47"/>
        <v>0</v>
      </c>
      <c r="D879" s="264" t="s">
        <v>3966</v>
      </c>
      <c r="E879" s="176"/>
      <c r="F879" s="173"/>
      <c r="G879" s="107">
        <f t="shared" si="46"/>
        <v>0</v>
      </c>
      <c r="H879" s="107">
        <f>DVUD!K849</f>
        <v>0</v>
      </c>
      <c r="I879" s="107"/>
    </row>
    <row r="880" spans="1:9" ht="12.75" customHeight="1" x14ac:dyDescent="0.2">
      <c r="A880" s="72"/>
      <c r="B880" s="72"/>
      <c r="C880" s="38">
        <f t="shared" si="47"/>
        <v>0</v>
      </c>
      <c r="D880" s="267" t="s">
        <v>3967</v>
      </c>
      <c r="E880" s="176"/>
      <c r="F880" s="173"/>
      <c r="G880" s="107">
        <f t="shared" si="46"/>
        <v>0</v>
      </c>
      <c r="H880" s="107">
        <f>DVUD!K850</f>
        <v>0</v>
      </c>
      <c r="I880" s="107"/>
    </row>
    <row r="881" spans="1:9" ht="12.75" customHeight="1" x14ac:dyDescent="0.2">
      <c r="A881" s="72"/>
      <c r="B881" s="72"/>
      <c r="C881" s="38">
        <f t="shared" si="47"/>
        <v>0</v>
      </c>
      <c r="D881" s="267" t="s">
        <v>3968</v>
      </c>
      <c r="E881" s="176"/>
      <c r="F881" s="173"/>
      <c r="G881" s="107">
        <f>H881</f>
        <v>0</v>
      </c>
      <c r="H881" s="107">
        <f>DVUD!K851</f>
        <v>0</v>
      </c>
      <c r="I881" s="107"/>
    </row>
    <row r="882" spans="1:9" ht="12.75" customHeight="1" x14ac:dyDescent="0.2">
      <c r="A882" s="72"/>
      <c r="B882" s="72">
        <v>574</v>
      </c>
      <c r="C882" s="38">
        <f t="shared" si="47"/>
        <v>0</v>
      </c>
      <c r="D882" s="267" t="s">
        <v>3972</v>
      </c>
      <c r="E882" s="176"/>
      <c r="F882" s="173"/>
      <c r="G882" s="107">
        <f t="shared" si="46"/>
        <v>0</v>
      </c>
      <c r="H882" s="107">
        <f>DVUD!K852</f>
        <v>0</v>
      </c>
      <c r="I882" s="107"/>
    </row>
    <row r="883" spans="1:9" ht="12.75" customHeight="1" x14ac:dyDescent="0.2">
      <c r="A883" s="72"/>
      <c r="B883" s="72">
        <v>575</v>
      </c>
      <c r="C883" s="38">
        <f t="shared" si="47"/>
        <v>0</v>
      </c>
      <c r="D883" s="267" t="s">
        <v>3484</v>
      </c>
      <c r="E883" s="176"/>
      <c r="F883" s="173"/>
      <c r="G883" s="107">
        <f t="shared" si="46"/>
        <v>0</v>
      </c>
      <c r="H883" s="107">
        <f>DVUD!K853</f>
        <v>0</v>
      </c>
      <c r="I883" s="107"/>
    </row>
    <row r="884" spans="1:9" ht="12.75" customHeight="1" x14ac:dyDescent="0.2">
      <c r="A884" s="72"/>
      <c r="B884" s="72">
        <v>576</v>
      </c>
      <c r="C884" s="38">
        <f t="shared" si="47"/>
        <v>0</v>
      </c>
      <c r="D884" s="267" t="s">
        <v>3973</v>
      </c>
      <c r="E884" s="176"/>
      <c r="F884" s="173"/>
      <c r="G884" s="107">
        <f t="shared" si="46"/>
        <v>0</v>
      </c>
      <c r="H884" s="107">
        <f>DVUD!K854</f>
        <v>0</v>
      </c>
      <c r="I884" s="107"/>
    </row>
    <row r="885" spans="1:9" ht="12.75" customHeight="1" x14ac:dyDescent="0.2">
      <c r="A885" s="72"/>
      <c r="B885" s="72">
        <v>577</v>
      </c>
      <c r="C885" s="38">
        <f t="shared" si="47"/>
        <v>0</v>
      </c>
      <c r="D885" s="267" t="s">
        <v>3973</v>
      </c>
      <c r="E885" s="176"/>
      <c r="F885" s="173"/>
      <c r="G885" s="107">
        <f t="shared" si="46"/>
        <v>0</v>
      </c>
      <c r="H885" s="107">
        <f>DVUD!K855</f>
        <v>0</v>
      </c>
      <c r="I885" s="107"/>
    </row>
    <row r="886" spans="1:9" ht="12.75" customHeight="1" x14ac:dyDescent="0.2">
      <c r="A886" s="72"/>
      <c r="B886" s="72">
        <v>578</v>
      </c>
      <c r="C886" s="38">
        <f t="shared" si="47"/>
        <v>0</v>
      </c>
      <c r="D886" s="267" t="s">
        <v>3973</v>
      </c>
      <c r="E886" s="176"/>
      <c r="F886" s="173"/>
      <c r="G886" s="107">
        <f t="shared" si="46"/>
        <v>0</v>
      </c>
      <c r="H886" s="107">
        <f>DVUD!K856</f>
        <v>0</v>
      </c>
      <c r="I886" s="107"/>
    </row>
    <row r="887" spans="1:9" ht="12.75" customHeight="1" x14ac:dyDescent="0.2">
      <c r="A887" s="72"/>
      <c r="B887" s="72">
        <v>579</v>
      </c>
      <c r="C887" s="38">
        <f t="shared" si="47"/>
        <v>0</v>
      </c>
      <c r="D887" s="267" t="s">
        <v>3478</v>
      </c>
      <c r="E887" s="176"/>
      <c r="F887" s="173"/>
      <c r="G887" s="107">
        <f t="shared" si="46"/>
        <v>0</v>
      </c>
      <c r="H887" s="107">
        <f>DVUD!K857</f>
        <v>0</v>
      </c>
      <c r="I887" s="107"/>
    </row>
    <row r="888" spans="1:9" ht="12.75" customHeight="1" x14ac:dyDescent="0.2">
      <c r="A888" s="72"/>
      <c r="B888" s="72">
        <v>580</v>
      </c>
      <c r="C888" s="38">
        <f t="shared" si="47"/>
        <v>0</v>
      </c>
      <c r="D888" s="264" t="s">
        <v>3970</v>
      </c>
      <c r="E888" s="176"/>
      <c r="F888" s="173"/>
      <c r="G888" s="107">
        <f t="shared" si="46"/>
        <v>0</v>
      </c>
      <c r="H888" s="107">
        <f>DVUD!K858</f>
        <v>0</v>
      </c>
      <c r="I888" s="107"/>
    </row>
    <row r="889" spans="1:9" ht="12.75" customHeight="1" x14ac:dyDescent="0.2">
      <c r="A889" s="72"/>
      <c r="B889" s="72">
        <v>581</v>
      </c>
      <c r="C889" s="38">
        <f t="shared" si="47"/>
        <v>0</v>
      </c>
      <c r="D889" s="264" t="s">
        <v>3957</v>
      </c>
      <c r="E889" s="176"/>
      <c r="F889" s="173"/>
      <c r="G889" s="107">
        <f t="shared" si="46"/>
        <v>0</v>
      </c>
      <c r="H889" s="107">
        <f>DVUD!K859</f>
        <v>0</v>
      </c>
      <c r="I889" s="107"/>
    </row>
    <row r="890" spans="1:9" ht="12.75" customHeight="1" x14ac:dyDescent="0.2">
      <c r="A890" s="72"/>
      <c r="B890" s="72">
        <v>582</v>
      </c>
      <c r="C890" s="38">
        <f t="shared" si="47"/>
        <v>0</v>
      </c>
      <c r="D890" s="264" t="s">
        <v>3975</v>
      </c>
      <c r="E890" s="176"/>
      <c r="F890" s="173"/>
      <c r="G890" s="107">
        <f t="shared" si="46"/>
        <v>0</v>
      </c>
      <c r="H890" s="107">
        <f>DVUD!K860</f>
        <v>0</v>
      </c>
      <c r="I890" s="107"/>
    </row>
    <row r="891" spans="1:9" ht="12.75" customHeight="1" x14ac:dyDescent="0.2">
      <c r="A891" s="72"/>
      <c r="B891" s="72">
        <v>583</v>
      </c>
      <c r="C891" s="38">
        <f t="shared" si="47"/>
        <v>0</v>
      </c>
      <c r="D891" s="267" t="s">
        <v>3488</v>
      </c>
      <c r="E891" s="176"/>
      <c r="F891" s="173"/>
      <c r="G891" s="107">
        <f t="shared" si="46"/>
        <v>0</v>
      </c>
      <c r="H891" s="107">
        <f>DVUD!K861</f>
        <v>0</v>
      </c>
      <c r="I891" s="107"/>
    </row>
    <row r="892" spans="1:9" ht="12.75" customHeight="1" x14ac:dyDescent="0.2">
      <c r="A892" s="72"/>
      <c r="B892" s="72">
        <v>584</v>
      </c>
      <c r="C892" s="38">
        <f t="shared" si="47"/>
        <v>0</v>
      </c>
      <c r="D892" s="267" t="s">
        <v>3972</v>
      </c>
      <c r="E892" s="176"/>
      <c r="F892" s="173"/>
      <c r="G892" s="107">
        <f t="shared" si="46"/>
        <v>0</v>
      </c>
      <c r="H892" s="107">
        <f>DVUD!K862</f>
        <v>0</v>
      </c>
      <c r="I892" s="107"/>
    </row>
    <row r="893" spans="1:9" ht="12.75" customHeight="1" x14ac:dyDescent="0.2">
      <c r="A893" s="72"/>
      <c r="B893" s="72">
        <v>585</v>
      </c>
      <c r="C893" s="38">
        <f t="shared" si="47"/>
        <v>0</v>
      </c>
      <c r="D893" s="264" t="s">
        <v>3933</v>
      </c>
      <c r="E893" s="176"/>
      <c r="F893" s="173"/>
      <c r="G893" s="107">
        <f t="shared" si="46"/>
        <v>0</v>
      </c>
      <c r="H893" s="107">
        <f>DVUD!K863</f>
        <v>0</v>
      </c>
      <c r="I893" s="107"/>
    </row>
    <row r="894" spans="1:9" ht="12.75" customHeight="1" x14ac:dyDescent="0.2">
      <c r="A894" s="72"/>
      <c r="B894" s="72">
        <v>586</v>
      </c>
      <c r="C894" s="38">
        <f t="shared" si="47"/>
        <v>0</v>
      </c>
      <c r="D894" s="264" t="s">
        <v>4612</v>
      </c>
      <c r="E894" s="176"/>
      <c r="F894" s="173"/>
      <c r="G894" s="107">
        <f t="shared" si="46"/>
        <v>0</v>
      </c>
      <c r="H894" s="107">
        <f>DVUD!K864</f>
        <v>0</v>
      </c>
      <c r="I894" s="107"/>
    </row>
    <row r="895" spans="1:9" ht="12.75" customHeight="1" x14ac:dyDescent="0.2">
      <c r="A895" s="72"/>
      <c r="B895" s="72">
        <v>587</v>
      </c>
      <c r="C895" s="38">
        <f t="shared" si="47"/>
        <v>0</v>
      </c>
      <c r="D895" s="268" t="s">
        <v>4614</v>
      </c>
      <c r="E895" s="176"/>
      <c r="F895" s="173"/>
      <c r="G895" s="107">
        <f t="shared" si="46"/>
        <v>0</v>
      </c>
      <c r="H895" s="107">
        <f>DVUD!K865</f>
        <v>0</v>
      </c>
      <c r="I895" s="107"/>
    </row>
    <row r="896" spans="1:9" ht="12.75" customHeight="1" x14ac:dyDescent="0.2">
      <c r="A896" s="72"/>
      <c r="B896" s="72"/>
      <c r="C896" s="38">
        <f t="shared" si="47"/>
        <v>0</v>
      </c>
      <c r="D896" s="264" t="s">
        <v>3484</v>
      </c>
      <c r="E896" s="176"/>
      <c r="F896" s="173"/>
      <c r="G896" s="107">
        <f t="shared" si="46"/>
        <v>0</v>
      </c>
      <c r="H896" s="107">
        <f>DVUD!K866</f>
        <v>0</v>
      </c>
      <c r="I896" s="107"/>
    </row>
    <row r="897" spans="1:9" ht="12.75" customHeight="1" x14ac:dyDescent="0.2">
      <c r="A897" s="72"/>
      <c r="B897" s="72"/>
      <c r="C897" s="38">
        <f t="shared" ref="C897:C923" si="48">A897</f>
        <v>0</v>
      </c>
      <c r="D897" s="264" t="s">
        <v>3973</v>
      </c>
      <c r="E897" s="176"/>
      <c r="F897" s="173"/>
      <c r="G897" s="107">
        <f t="shared" si="46"/>
        <v>0</v>
      </c>
      <c r="H897" s="107">
        <f>DVUD!K867</f>
        <v>0</v>
      </c>
      <c r="I897" s="107"/>
    </row>
    <row r="898" spans="1:9" ht="12.75" customHeight="1" x14ac:dyDescent="0.2">
      <c r="A898" s="72"/>
      <c r="B898" s="72">
        <v>588</v>
      </c>
      <c r="C898" s="38">
        <f t="shared" si="48"/>
        <v>0</v>
      </c>
      <c r="D898" s="264" t="s">
        <v>3440</v>
      </c>
      <c r="E898" s="176"/>
      <c r="F898" s="173"/>
      <c r="G898" s="107">
        <f t="shared" si="46"/>
        <v>0</v>
      </c>
      <c r="H898" s="107">
        <f>DVUD!K868</f>
        <v>0</v>
      </c>
      <c r="I898" s="107"/>
    </row>
    <row r="899" spans="1:9" ht="12.75" customHeight="1" x14ac:dyDescent="0.2">
      <c r="A899" s="72"/>
      <c r="B899" s="72">
        <v>589</v>
      </c>
      <c r="C899" s="38">
        <f t="shared" si="48"/>
        <v>0</v>
      </c>
      <c r="D899" s="264" t="s">
        <v>3957</v>
      </c>
      <c r="E899" s="176"/>
      <c r="F899" s="173"/>
      <c r="G899" s="107">
        <f t="shared" si="46"/>
        <v>0</v>
      </c>
      <c r="H899" s="107">
        <f>DVUD!K869</f>
        <v>0</v>
      </c>
      <c r="I899" s="107"/>
    </row>
    <row r="900" spans="1:9" ht="12.75" customHeight="1" x14ac:dyDescent="0.2">
      <c r="A900" s="72"/>
      <c r="B900" s="72">
        <v>590</v>
      </c>
      <c r="C900" s="38">
        <f t="shared" si="48"/>
        <v>0</v>
      </c>
      <c r="D900" s="264" t="s">
        <v>3938</v>
      </c>
      <c r="E900" s="176"/>
      <c r="F900" s="173"/>
      <c r="G900" s="107">
        <f t="shared" si="46"/>
        <v>0</v>
      </c>
      <c r="H900" s="107">
        <f>DVUD!K870</f>
        <v>0</v>
      </c>
      <c r="I900" s="107"/>
    </row>
    <row r="901" spans="1:9" ht="12.75" customHeight="1" x14ac:dyDescent="0.2">
      <c r="A901" s="72"/>
      <c r="B901" s="72">
        <v>591</v>
      </c>
      <c r="C901" s="38">
        <f t="shared" si="48"/>
        <v>0</v>
      </c>
      <c r="D901" s="264" t="s">
        <v>3942</v>
      </c>
      <c r="E901" s="176"/>
      <c r="F901" s="173"/>
      <c r="G901" s="107">
        <f t="shared" si="46"/>
        <v>0</v>
      </c>
      <c r="H901" s="107">
        <f>DVUD!K871</f>
        <v>0</v>
      </c>
      <c r="I901" s="107"/>
    </row>
    <row r="902" spans="1:9" ht="12.75" customHeight="1" x14ac:dyDescent="0.2">
      <c r="A902" s="72"/>
      <c r="B902" s="72">
        <v>592</v>
      </c>
      <c r="C902" s="38">
        <f t="shared" si="48"/>
        <v>0</v>
      </c>
      <c r="D902" s="264" t="s">
        <v>3955</v>
      </c>
      <c r="E902" s="176"/>
      <c r="F902" s="173"/>
      <c r="G902" s="107">
        <f t="shared" si="46"/>
        <v>0</v>
      </c>
      <c r="H902" s="107">
        <f>DVUD!K872</f>
        <v>0</v>
      </c>
      <c r="I902" s="107"/>
    </row>
    <row r="903" spans="1:9" ht="12.75" customHeight="1" x14ac:dyDescent="0.2">
      <c r="A903" s="72"/>
      <c r="B903" s="72">
        <v>593</v>
      </c>
      <c r="C903" s="38">
        <f t="shared" si="48"/>
        <v>0</v>
      </c>
      <c r="D903" s="264" t="s">
        <v>4030</v>
      </c>
      <c r="E903" s="176"/>
      <c r="F903" s="173"/>
      <c r="G903" s="107">
        <f t="shared" si="46"/>
        <v>0</v>
      </c>
      <c r="H903" s="107">
        <f>DVUD!K873</f>
        <v>0</v>
      </c>
      <c r="I903" s="107"/>
    </row>
    <row r="904" spans="1:9" ht="12.75" customHeight="1" x14ac:dyDescent="0.2">
      <c r="A904" s="72"/>
      <c r="B904" s="72">
        <v>594</v>
      </c>
      <c r="C904" s="38">
        <f t="shared" si="48"/>
        <v>0</v>
      </c>
      <c r="D904" s="264" t="s">
        <v>4043</v>
      </c>
      <c r="E904" s="176"/>
      <c r="F904" s="173"/>
      <c r="G904" s="107">
        <f t="shared" si="46"/>
        <v>0</v>
      </c>
      <c r="H904" s="107">
        <f>DVUD!K874</f>
        <v>0</v>
      </c>
      <c r="I904" s="107"/>
    </row>
    <row r="905" spans="1:9" ht="12.75" customHeight="1" x14ac:dyDescent="0.2">
      <c r="A905" s="72"/>
      <c r="B905" s="72">
        <v>595</v>
      </c>
      <c r="C905" s="38">
        <f t="shared" si="48"/>
        <v>0</v>
      </c>
      <c r="D905" s="264" t="s">
        <v>3937</v>
      </c>
      <c r="E905" s="176"/>
      <c r="F905" s="173"/>
      <c r="G905" s="107">
        <f t="shared" si="46"/>
        <v>0</v>
      </c>
      <c r="H905" s="107">
        <f>DVUD!K875</f>
        <v>0</v>
      </c>
      <c r="I905" s="107"/>
    </row>
    <row r="906" spans="1:9" ht="12.75" customHeight="1" x14ac:dyDescent="0.2">
      <c r="A906" s="72"/>
      <c r="B906" s="72">
        <v>596</v>
      </c>
      <c r="C906" s="38">
        <f t="shared" si="48"/>
        <v>0</v>
      </c>
      <c r="D906" s="264" t="s">
        <v>3402</v>
      </c>
      <c r="E906" s="176"/>
      <c r="F906" s="173"/>
      <c r="G906" s="107">
        <f t="shared" si="46"/>
        <v>0</v>
      </c>
      <c r="H906" s="107">
        <f>DVUD!K876</f>
        <v>0</v>
      </c>
      <c r="I906" s="107"/>
    </row>
    <row r="907" spans="1:9" ht="12.75" customHeight="1" x14ac:dyDescent="0.2">
      <c r="A907" s="72"/>
      <c r="B907" s="72">
        <v>597</v>
      </c>
      <c r="C907" s="38">
        <f t="shared" si="48"/>
        <v>0</v>
      </c>
      <c r="D907" s="264" t="s">
        <v>3937</v>
      </c>
      <c r="E907" s="176"/>
      <c r="F907" s="173"/>
      <c r="G907" s="107">
        <f t="shared" si="46"/>
        <v>0</v>
      </c>
      <c r="H907" s="107">
        <f>DVUD!K877</f>
        <v>0</v>
      </c>
      <c r="I907" s="107"/>
    </row>
    <row r="908" spans="1:9" ht="12.75" customHeight="1" x14ac:dyDescent="0.2">
      <c r="A908" s="72"/>
      <c r="B908" s="72">
        <v>598</v>
      </c>
      <c r="C908" s="38">
        <f t="shared" si="48"/>
        <v>0</v>
      </c>
      <c r="D908" s="264" t="s">
        <v>3937</v>
      </c>
      <c r="E908" s="176"/>
      <c r="F908" s="173"/>
      <c r="G908" s="107">
        <f t="shared" si="46"/>
        <v>0</v>
      </c>
      <c r="H908" s="107">
        <f>DVUD!K878</f>
        <v>0</v>
      </c>
      <c r="I908" s="107"/>
    </row>
    <row r="909" spans="1:9" ht="12.75" customHeight="1" x14ac:dyDescent="0.2">
      <c r="A909" s="72"/>
      <c r="B909" s="72">
        <v>599</v>
      </c>
      <c r="C909" s="38">
        <f t="shared" si="48"/>
        <v>0</v>
      </c>
      <c r="D909" s="264" t="s">
        <v>4031</v>
      </c>
      <c r="E909" s="176"/>
      <c r="F909" s="173"/>
      <c r="G909" s="107">
        <f t="shared" si="46"/>
        <v>0</v>
      </c>
      <c r="H909" s="107">
        <f>DVUD!K879</f>
        <v>0</v>
      </c>
      <c r="I909" s="107"/>
    </row>
    <row r="910" spans="1:9" ht="12.75" customHeight="1" x14ac:dyDescent="0.2">
      <c r="A910" s="72"/>
      <c r="B910" s="72">
        <v>600</v>
      </c>
      <c r="C910" s="38">
        <f t="shared" si="48"/>
        <v>0</v>
      </c>
      <c r="D910" s="264" t="s">
        <v>4031</v>
      </c>
      <c r="E910" s="176"/>
      <c r="F910" s="173"/>
      <c r="G910" s="107">
        <f t="shared" ref="G910:G923" si="49">H910</f>
        <v>0</v>
      </c>
      <c r="H910" s="107">
        <f>DVUD!K880</f>
        <v>0</v>
      </c>
      <c r="I910" s="107"/>
    </row>
    <row r="911" spans="1:9" ht="12.75" customHeight="1" x14ac:dyDescent="0.2">
      <c r="A911" s="72"/>
      <c r="B911" s="72">
        <v>601</v>
      </c>
      <c r="C911" s="38">
        <f t="shared" si="48"/>
        <v>0</v>
      </c>
      <c r="D911" s="264" t="s">
        <v>3402</v>
      </c>
      <c r="E911" s="176"/>
      <c r="F911" s="173"/>
      <c r="G911" s="107">
        <f t="shared" si="49"/>
        <v>0</v>
      </c>
      <c r="H911" s="107">
        <f>DVUD!K881</f>
        <v>0</v>
      </c>
      <c r="I911" s="107"/>
    </row>
    <row r="912" spans="1:9" ht="12.75" customHeight="1" x14ac:dyDescent="0.2">
      <c r="A912" s="72"/>
      <c r="B912" s="72">
        <v>602</v>
      </c>
      <c r="C912" s="38">
        <f t="shared" si="48"/>
        <v>0</v>
      </c>
      <c r="D912" s="264" t="s">
        <v>3979</v>
      </c>
      <c r="E912" s="176"/>
      <c r="F912" s="173"/>
      <c r="G912" s="107">
        <f t="shared" si="49"/>
        <v>0</v>
      </c>
      <c r="H912" s="107">
        <f>DVUD!K882</f>
        <v>0</v>
      </c>
      <c r="I912" s="107"/>
    </row>
    <row r="913" spans="1:9" ht="12.75" customHeight="1" x14ac:dyDescent="0.2">
      <c r="A913" s="72"/>
      <c r="B913" s="72">
        <v>603</v>
      </c>
      <c r="C913" s="38">
        <f t="shared" si="48"/>
        <v>0</v>
      </c>
      <c r="D913" s="264" t="s">
        <v>3933</v>
      </c>
      <c r="E913" s="176"/>
      <c r="F913" s="173"/>
      <c r="G913" s="107">
        <f t="shared" si="49"/>
        <v>0</v>
      </c>
      <c r="H913" s="107">
        <f>DVUD!K883</f>
        <v>0</v>
      </c>
      <c r="I913" s="107"/>
    </row>
    <row r="914" spans="1:9" ht="12.75" customHeight="1" x14ac:dyDescent="0.2">
      <c r="A914" s="72" t="s">
        <v>4624</v>
      </c>
      <c r="B914" s="72">
        <v>604</v>
      </c>
      <c r="C914" s="38" t="str">
        <f t="shared" si="48"/>
        <v>27 Agt</v>
      </c>
      <c r="D914" s="264" t="s">
        <v>3958</v>
      </c>
      <c r="E914" s="176"/>
      <c r="F914" s="173"/>
      <c r="G914" s="107">
        <f t="shared" si="49"/>
        <v>0</v>
      </c>
      <c r="H914" s="107">
        <f>DVUD!K884</f>
        <v>0</v>
      </c>
      <c r="I914" s="107"/>
    </row>
    <row r="915" spans="1:9" ht="12.75" customHeight="1" x14ac:dyDescent="0.2">
      <c r="A915" s="72"/>
      <c r="B915" s="72"/>
      <c r="C915" s="38">
        <f t="shared" si="48"/>
        <v>0</v>
      </c>
      <c r="D915" s="264" t="s">
        <v>4019</v>
      </c>
      <c r="E915" s="176"/>
      <c r="F915" s="173"/>
      <c r="G915" s="107">
        <f t="shared" si="49"/>
        <v>0</v>
      </c>
      <c r="H915" s="107">
        <f>DVUD!K885</f>
        <v>0</v>
      </c>
      <c r="I915" s="107"/>
    </row>
    <row r="916" spans="1:9" ht="12.75" customHeight="1" x14ac:dyDescent="0.2">
      <c r="A916" s="72"/>
      <c r="B916" s="72"/>
      <c r="C916" s="38">
        <f t="shared" si="48"/>
        <v>0</v>
      </c>
      <c r="D916" s="264" t="s">
        <v>3959</v>
      </c>
      <c r="E916" s="176"/>
      <c r="F916" s="173"/>
      <c r="G916" s="107">
        <f t="shared" si="49"/>
        <v>0</v>
      </c>
      <c r="H916" s="107">
        <f>DVUD!K886</f>
        <v>0</v>
      </c>
      <c r="I916" s="107"/>
    </row>
    <row r="917" spans="1:9" ht="12.75" customHeight="1" x14ac:dyDescent="0.2">
      <c r="A917" s="72"/>
      <c r="B917" s="72">
        <v>605</v>
      </c>
      <c r="C917" s="38">
        <f t="shared" si="48"/>
        <v>0</v>
      </c>
      <c r="D917" s="264" t="s">
        <v>3456</v>
      </c>
      <c r="E917" s="176"/>
      <c r="F917" s="173"/>
      <c r="G917" s="107">
        <f t="shared" si="49"/>
        <v>0</v>
      </c>
      <c r="H917" s="107">
        <f>DVUD!K887</f>
        <v>0</v>
      </c>
      <c r="I917" s="107"/>
    </row>
    <row r="918" spans="1:9" ht="12.75" customHeight="1" x14ac:dyDescent="0.2">
      <c r="A918" s="72"/>
      <c r="B918" s="72">
        <v>606</v>
      </c>
      <c r="C918" s="38">
        <f t="shared" si="48"/>
        <v>0</v>
      </c>
      <c r="D918" s="264" t="s">
        <v>3432</v>
      </c>
      <c r="E918" s="176"/>
      <c r="F918" s="173"/>
      <c r="G918" s="107">
        <f t="shared" si="49"/>
        <v>0</v>
      </c>
      <c r="H918" s="107">
        <f>DVUD!K888</f>
        <v>0</v>
      </c>
      <c r="I918" s="107"/>
    </row>
    <row r="919" spans="1:9" ht="12.75" customHeight="1" x14ac:dyDescent="0.2">
      <c r="A919" s="72"/>
      <c r="B919" s="72">
        <v>607</v>
      </c>
      <c r="C919" s="38">
        <f t="shared" si="48"/>
        <v>0</v>
      </c>
      <c r="D919" s="264" t="s">
        <v>3402</v>
      </c>
      <c r="E919" s="176"/>
      <c r="F919" s="173"/>
      <c r="G919" s="107">
        <f t="shared" si="49"/>
        <v>0</v>
      </c>
      <c r="H919" s="107">
        <f>DVUD!K889</f>
        <v>0</v>
      </c>
      <c r="I919" s="107"/>
    </row>
    <row r="920" spans="1:9" ht="12.75" customHeight="1" x14ac:dyDescent="0.2">
      <c r="A920" s="72"/>
      <c r="B920" s="72">
        <v>608</v>
      </c>
      <c r="C920" s="38">
        <f t="shared" si="48"/>
        <v>0</v>
      </c>
      <c r="D920" s="264" t="s">
        <v>3942</v>
      </c>
      <c r="E920" s="176"/>
      <c r="F920" s="173"/>
      <c r="G920" s="107">
        <f t="shared" si="49"/>
        <v>0</v>
      </c>
      <c r="H920" s="107">
        <f>DVUD!K890</f>
        <v>0</v>
      </c>
      <c r="I920" s="107"/>
    </row>
    <row r="921" spans="1:9" ht="12.75" customHeight="1" x14ac:dyDescent="0.2">
      <c r="A921" s="72" t="s">
        <v>4627</v>
      </c>
      <c r="B921" s="72">
        <v>609</v>
      </c>
      <c r="C921" s="38" t="str">
        <f t="shared" si="48"/>
        <v>28 Agt</v>
      </c>
      <c r="D921" s="264" t="s">
        <v>3741</v>
      </c>
      <c r="E921" s="176"/>
      <c r="F921" s="173"/>
      <c r="G921" s="107">
        <f t="shared" si="49"/>
        <v>0</v>
      </c>
      <c r="H921" s="107">
        <f>DVUD!K891</f>
        <v>0</v>
      </c>
      <c r="I921" s="107"/>
    </row>
    <row r="922" spans="1:9" ht="12.75" customHeight="1" x14ac:dyDescent="0.2">
      <c r="A922" s="72"/>
      <c r="B922" s="72">
        <v>610</v>
      </c>
      <c r="C922" s="38">
        <f t="shared" si="48"/>
        <v>0</v>
      </c>
      <c r="D922" s="264" t="s">
        <v>3930</v>
      </c>
      <c r="E922" s="176"/>
      <c r="F922" s="173"/>
      <c r="G922" s="107">
        <f t="shared" si="49"/>
        <v>0</v>
      </c>
      <c r="H922" s="107">
        <f>DVUD!K892</f>
        <v>0</v>
      </c>
      <c r="I922" s="107"/>
    </row>
    <row r="923" spans="1:9" ht="12.75" customHeight="1" x14ac:dyDescent="0.2">
      <c r="A923" s="72" t="s">
        <v>4629</v>
      </c>
      <c r="B923" s="72">
        <v>611</v>
      </c>
      <c r="C923" s="38" t="str">
        <f t="shared" si="48"/>
        <v>29 Agt</v>
      </c>
      <c r="D923" s="264" t="s">
        <v>4631</v>
      </c>
      <c r="E923" s="176"/>
      <c r="F923" s="173"/>
      <c r="G923" s="107">
        <f t="shared" si="49"/>
        <v>0</v>
      </c>
      <c r="H923" s="107">
        <f>DVUD!K893</f>
        <v>0</v>
      </c>
      <c r="I923" s="107"/>
    </row>
    <row r="924" spans="1:9" ht="12.75" customHeight="1" x14ac:dyDescent="0.2">
      <c r="A924" s="702" t="s">
        <v>3556</v>
      </c>
      <c r="B924" s="703"/>
      <c r="C924" s="703"/>
      <c r="D924" s="703"/>
      <c r="E924" s="703"/>
      <c r="F924" s="704"/>
      <c r="G924" s="94">
        <f>SUM(G833:G923)</f>
        <v>0</v>
      </c>
      <c r="H924" s="94">
        <f>SUM(H833:H923)</f>
        <v>0</v>
      </c>
      <c r="I924" s="94">
        <f>SUM(I858:I923)</f>
        <v>0</v>
      </c>
    </row>
    <row r="925" spans="1:9" ht="12.75" customHeight="1" x14ac:dyDescent="0.2">
      <c r="A925" s="702" t="s">
        <v>3560</v>
      </c>
      <c r="B925" s="703"/>
      <c r="C925" s="703"/>
      <c r="D925" s="703"/>
      <c r="E925" s="703"/>
      <c r="F925" s="704"/>
      <c r="G925" s="94">
        <f>G808</f>
        <v>0</v>
      </c>
      <c r="H925" s="94">
        <f>H808</f>
        <v>0</v>
      </c>
      <c r="I925" s="94">
        <f>I808</f>
        <v>0</v>
      </c>
    </row>
    <row r="926" spans="1:9" ht="12.75" customHeight="1" thickBot="1" x14ac:dyDescent="0.25">
      <c r="A926" s="705" t="s">
        <v>3558</v>
      </c>
      <c r="B926" s="706"/>
      <c r="C926" s="706"/>
      <c r="D926" s="706"/>
      <c r="E926" s="706"/>
      <c r="F926" s="707"/>
      <c r="G926" s="93">
        <f>SUM(G924:G925)</f>
        <v>0</v>
      </c>
      <c r="H926" s="93">
        <f>SUM(H924:H925)</f>
        <v>0</v>
      </c>
      <c r="I926" s="93"/>
    </row>
    <row r="927" spans="1:9" ht="12.75" customHeight="1" x14ac:dyDescent="0.2">
      <c r="G927" s="46"/>
      <c r="H927" s="46">
        <f>DVUD!K895</f>
        <v>0</v>
      </c>
      <c r="I927" s="46"/>
    </row>
    <row r="928" spans="1:9" ht="12.75" customHeight="1" x14ac:dyDescent="0.2">
      <c r="A928" s="687"/>
      <c r="B928" s="687"/>
      <c r="C928" s="687"/>
      <c r="D928" s="687"/>
      <c r="E928" s="143"/>
      <c r="F928" s="143"/>
      <c r="G928" s="708" t="s">
        <v>3537</v>
      </c>
      <c r="H928" s="708"/>
      <c r="I928" s="708"/>
    </row>
    <row r="929" spans="1:9" ht="12.75" customHeight="1" x14ac:dyDescent="0.2">
      <c r="A929" s="687"/>
      <c r="B929" s="687"/>
      <c r="C929" s="687"/>
      <c r="D929" s="687"/>
      <c r="E929" s="143"/>
      <c r="F929" s="143"/>
      <c r="G929" s="708" t="s">
        <v>3783</v>
      </c>
      <c r="H929" s="708"/>
      <c r="I929" s="708"/>
    </row>
    <row r="930" spans="1:9" ht="12.75" customHeight="1" x14ac:dyDescent="0.2">
      <c r="A930" s="305"/>
      <c r="B930" s="305"/>
      <c r="C930" s="305"/>
      <c r="D930" s="305"/>
      <c r="E930" s="143"/>
      <c r="F930" s="143"/>
      <c r="G930" s="308"/>
      <c r="H930" s="308"/>
      <c r="I930" s="308"/>
    </row>
    <row r="931" spans="1:9" ht="12.75" customHeight="1" x14ac:dyDescent="0.2">
      <c r="A931" s="687"/>
      <c r="B931" s="687"/>
      <c r="C931" s="687"/>
      <c r="D931" s="687"/>
      <c r="E931" s="143"/>
      <c r="F931" s="143"/>
      <c r="G931" s="708"/>
      <c r="H931" s="708"/>
      <c r="I931" s="708"/>
    </row>
    <row r="932" spans="1:9" ht="12.75" customHeight="1" x14ac:dyDescent="0.2">
      <c r="A932" s="709"/>
      <c r="B932" s="709"/>
      <c r="C932" s="709"/>
      <c r="D932" s="709"/>
      <c r="E932" s="233"/>
      <c r="F932" s="233"/>
      <c r="G932" s="700" t="s">
        <v>3538</v>
      </c>
      <c r="H932" s="700"/>
      <c r="I932" s="700"/>
    </row>
    <row r="935" spans="1:9" ht="12.75" customHeight="1" x14ac:dyDescent="0.2">
      <c r="H935" s="254"/>
    </row>
    <row r="936" spans="1:9" ht="12.75" customHeight="1" x14ac:dyDescent="0.2">
      <c r="H936" s="254"/>
    </row>
    <row r="937" spans="1:9" ht="12.75" customHeight="1" x14ac:dyDescent="0.2">
      <c r="G937" s="254"/>
    </row>
    <row r="938" spans="1:9" ht="12.75" customHeight="1" x14ac:dyDescent="0.2">
      <c r="G938" s="254"/>
    </row>
    <row r="942" spans="1:9" ht="12.75" customHeight="1" x14ac:dyDescent="0.2">
      <c r="A942" s="9" t="s">
        <v>0</v>
      </c>
      <c r="B942" s="9"/>
      <c r="C942" s="9"/>
      <c r="D942" s="9"/>
      <c r="E942" s="9"/>
      <c r="F942" s="9"/>
      <c r="G942" s="9"/>
      <c r="H942" s="9"/>
      <c r="I942" s="9"/>
    </row>
    <row r="943" spans="1:9" ht="12.75" customHeight="1" x14ac:dyDescent="0.2">
      <c r="A943" s="9" t="s">
        <v>1</v>
      </c>
      <c r="B943" s="9"/>
      <c r="C943" s="9"/>
      <c r="D943" s="9"/>
      <c r="E943" s="9"/>
      <c r="F943" s="9"/>
      <c r="G943" s="9"/>
      <c r="H943" s="9"/>
      <c r="I943" s="9"/>
    </row>
    <row r="944" spans="1:9" ht="12.75" customHeight="1" x14ac:dyDescent="0.2">
      <c r="A944" s="9"/>
      <c r="B944" s="9"/>
      <c r="C944" s="9"/>
      <c r="D944" s="9"/>
      <c r="E944" s="9"/>
      <c r="F944" s="9"/>
      <c r="G944" s="9"/>
      <c r="H944" s="9"/>
      <c r="I944" s="9"/>
    </row>
    <row r="945" spans="1:9" ht="12.75" customHeight="1" x14ac:dyDescent="0.2">
      <c r="A945" s="643" t="s">
        <v>77</v>
      </c>
      <c r="B945" s="643"/>
      <c r="C945" s="643"/>
      <c r="D945" s="643"/>
      <c r="E945" s="643"/>
      <c r="F945" s="643"/>
      <c r="G945" s="643"/>
      <c r="H945" s="643"/>
      <c r="I945" s="643"/>
    </row>
    <row r="946" spans="1:9" ht="12.75" customHeight="1" x14ac:dyDescent="0.2">
      <c r="A946" s="643" t="s">
        <v>3582</v>
      </c>
      <c r="B946" s="643"/>
      <c r="C946" s="643"/>
      <c r="D946" s="643"/>
      <c r="E946" s="643"/>
      <c r="F946" s="643"/>
      <c r="G946" s="643"/>
      <c r="H946" s="643"/>
      <c r="I946" s="643"/>
    </row>
    <row r="947" spans="1:9" ht="12.75" customHeight="1" x14ac:dyDescent="0.2">
      <c r="A947" s="240"/>
      <c r="B947" s="240"/>
      <c r="C947" s="240"/>
      <c r="D947" s="240"/>
      <c r="E947" s="240"/>
      <c r="F947" s="240"/>
      <c r="G947" s="240"/>
      <c r="H947" s="240"/>
      <c r="I947" s="240"/>
    </row>
    <row r="948" spans="1:9" ht="12.75" customHeight="1" x14ac:dyDescent="0.2">
      <c r="A948" s="680" t="s">
        <v>3</v>
      </c>
      <c r="B948" s="701" t="s">
        <v>4</v>
      </c>
      <c r="C948" s="701"/>
      <c r="D948" s="680" t="s">
        <v>5</v>
      </c>
      <c r="E948" s="662" t="s">
        <v>6</v>
      </c>
      <c r="F948" s="664"/>
      <c r="G948" s="310" t="s">
        <v>10</v>
      </c>
      <c r="H948" s="701" t="s">
        <v>90</v>
      </c>
      <c r="I948" s="701"/>
    </row>
    <row r="949" spans="1:9" ht="12.75" customHeight="1" x14ac:dyDescent="0.2">
      <c r="A949" s="681"/>
      <c r="B949" s="680" t="s">
        <v>7</v>
      </c>
      <c r="C949" s="680" t="s">
        <v>3</v>
      </c>
      <c r="D949" s="681"/>
      <c r="E949" s="680" t="s">
        <v>8</v>
      </c>
      <c r="F949" s="680" t="s">
        <v>3</v>
      </c>
      <c r="G949" s="306" t="s">
        <v>9</v>
      </c>
      <c r="H949" s="310" t="s">
        <v>11</v>
      </c>
      <c r="I949" s="310" t="s">
        <v>3342</v>
      </c>
    </row>
    <row r="950" spans="1:9" ht="12.75" customHeight="1" x14ac:dyDescent="0.2">
      <c r="A950" s="682"/>
      <c r="B950" s="682"/>
      <c r="C950" s="682"/>
      <c r="D950" s="682"/>
      <c r="E950" s="682"/>
      <c r="F950" s="682"/>
      <c r="G950" s="310" t="s">
        <v>3312</v>
      </c>
      <c r="H950" s="307" t="s">
        <v>3343</v>
      </c>
      <c r="I950" s="307" t="s">
        <v>3344</v>
      </c>
    </row>
    <row r="951" spans="1:9" ht="12.75" customHeight="1" x14ac:dyDescent="0.2">
      <c r="A951" s="366" t="s">
        <v>3697</v>
      </c>
      <c r="B951" s="210">
        <v>612</v>
      </c>
      <c r="C951" s="211" t="str">
        <f t="shared" ref="C951:C982" si="50">A951</f>
        <v>01 Sept</v>
      </c>
      <c r="D951" s="202" t="s">
        <v>4703</v>
      </c>
      <c r="E951" s="212"/>
      <c r="F951" s="60"/>
      <c r="G951" s="90">
        <f t="shared" ref="G951:G998" si="51">H951</f>
        <v>0</v>
      </c>
      <c r="H951" s="107">
        <f>DVUD!K953</f>
        <v>0</v>
      </c>
      <c r="I951" s="90"/>
    </row>
    <row r="952" spans="1:9" ht="12.75" customHeight="1" x14ac:dyDescent="0.2">
      <c r="A952" s="72" t="s">
        <v>4704</v>
      </c>
      <c r="B952" s="72">
        <v>613</v>
      </c>
      <c r="C952" s="38" t="str">
        <f t="shared" si="50"/>
        <v>02 Sept</v>
      </c>
      <c r="D952" s="31" t="s">
        <v>4705</v>
      </c>
      <c r="E952" s="41"/>
      <c r="F952" s="31"/>
      <c r="G952" s="107">
        <f t="shared" si="51"/>
        <v>0</v>
      </c>
      <c r="H952" s="107">
        <f>DVUD!K954</f>
        <v>0</v>
      </c>
      <c r="I952" s="107"/>
    </row>
    <row r="953" spans="1:9" ht="12.75" customHeight="1" x14ac:dyDescent="0.2">
      <c r="A953" s="72" t="s">
        <v>4706</v>
      </c>
      <c r="B953" s="72">
        <v>614</v>
      </c>
      <c r="C953" s="38" t="str">
        <f t="shared" si="50"/>
        <v>03 Sept</v>
      </c>
      <c r="D953" s="31" t="s">
        <v>4707</v>
      </c>
      <c r="E953" s="41"/>
      <c r="F953" s="31"/>
      <c r="G953" s="107">
        <f t="shared" si="51"/>
        <v>0</v>
      </c>
      <c r="H953" s="107">
        <f>DVUD!K955</f>
        <v>0</v>
      </c>
      <c r="I953" s="107"/>
    </row>
    <row r="954" spans="1:9" ht="12.75" customHeight="1" x14ac:dyDescent="0.2">
      <c r="A954" s="72"/>
      <c r="B954" s="72">
        <v>615</v>
      </c>
      <c r="C954" s="38">
        <f t="shared" si="50"/>
        <v>0</v>
      </c>
      <c r="D954" s="31" t="s">
        <v>4708</v>
      </c>
      <c r="E954" s="41"/>
      <c r="F954" s="31"/>
      <c r="G954" s="107">
        <f t="shared" si="51"/>
        <v>0</v>
      </c>
      <c r="H954" s="107">
        <f>DVUD!K956</f>
        <v>0</v>
      </c>
      <c r="I954" s="107"/>
    </row>
    <row r="955" spans="1:9" ht="12.75" customHeight="1" x14ac:dyDescent="0.2">
      <c r="A955" s="72"/>
      <c r="B955" s="72">
        <v>616</v>
      </c>
      <c r="C955" s="38">
        <f t="shared" si="50"/>
        <v>0</v>
      </c>
      <c r="D955" s="31" t="s">
        <v>4709</v>
      </c>
      <c r="E955" s="41"/>
      <c r="F955" s="31"/>
      <c r="G955" s="107">
        <f t="shared" si="51"/>
        <v>0</v>
      </c>
      <c r="H955" s="107">
        <f>DVUD!K957</f>
        <v>0</v>
      </c>
      <c r="I955" s="107"/>
    </row>
    <row r="956" spans="1:9" ht="12.75" customHeight="1" x14ac:dyDescent="0.2">
      <c r="A956" s="72"/>
      <c r="B956" s="72">
        <v>617</v>
      </c>
      <c r="C956" s="38">
        <f t="shared" si="50"/>
        <v>0</v>
      </c>
      <c r="D956" s="92" t="s">
        <v>4710</v>
      </c>
      <c r="E956" s="41"/>
      <c r="F956" s="31"/>
      <c r="G956" s="107">
        <f t="shared" si="51"/>
        <v>0</v>
      </c>
      <c r="H956" s="107">
        <f>DVUD!K958</f>
        <v>0</v>
      </c>
      <c r="I956" s="107"/>
    </row>
    <row r="957" spans="1:9" ht="12.75" customHeight="1" x14ac:dyDescent="0.2">
      <c r="A957" s="72"/>
      <c r="B957" s="72">
        <v>618</v>
      </c>
      <c r="C957" s="38">
        <f t="shared" si="50"/>
        <v>0</v>
      </c>
      <c r="D957" s="31" t="s">
        <v>4711</v>
      </c>
      <c r="E957" s="41"/>
      <c r="F957" s="31"/>
      <c r="G957" s="107">
        <f t="shared" si="51"/>
        <v>0</v>
      </c>
      <c r="H957" s="107">
        <f>DVUD!K959</f>
        <v>0</v>
      </c>
      <c r="I957" s="107"/>
    </row>
    <row r="958" spans="1:9" ht="12.75" customHeight="1" x14ac:dyDescent="0.2">
      <c r="A958" s="72"/>
      <c r="B958" s="72">
        <v>619</v>
      </c>
      <c r="C958" s="38">
        <f t="shared" si="50"/>
        <v>0</v>
      </c>
      <c r="D958" s="31" t="s">
        <v>4713</v>
      </c>
      <c r="E958" s="41"/>
      <c r="F958" s="31"/>
      <c r="G958" s="107">
        <f t="shared" si="51"/>
        <v>0</v>
      </c>
      <c r="H958" s="107">
        <f>DVUD!K960</f>
        <v>0</v>
      </c>
      <c r="I958" s="107"/>
    </row>
    <row r="959" spans="1:9" ht="12.75" customHeight="1" x14ac:dyDescent="0.2">
      <c r="A959" s="72"/>
      <c r="B959" s="72">
        <v>620</v>
      </c>
      <c r="C959" s="38">
        <f t="shared" si="50"/>
        <v>0</v>
      </c>
      <c r="D959" s="31" t="s">
        <v>4714</v>
      </c>
      <c r="E959" s="41"/>
      <c r="F959" s="31"/>
      <c r="G959" s="107">
        <f t="shared" si="51"/>
        <v>0</v>
      </c>
      <c r="H959" s="107">
        <f>DVUD!K961</f>
        <v>0</v>
      </c>
      <c r="I959" s="107"/>
    </row>
    <row r="960" spans="1:9" ht="12.75" customHeight="1" x14ac:dyDescent="0.2">
      <c r="A960" s="72" t="s">
        <v>3790</v>
      </c>
      <c r="B960" s="72">
        <v>621</v>
      </c>
      <c r="C960" s="38" t="str">
        <f t="shared" si="50"/>
        <v>04 Sept</v>
      </c>
      <c r="D960" s="31" t="s">
        <v>3997</v>
      </c>
      <c r="E960" s="41"/>
      <c r="F960" s="31"/>
      <c r="G960" s="107">
        <f t="shared" si="51"/>
        <v>0</v>
      </c>
      <c r="H960" s="107">
        <f>DVUD!K962</f>
        <v>0</v>
      </c>
      <c r="I960" s="107"/>
    </row>
    <row r="961" spans="1:9" ht="12.75" customHeight="1" x14ac:dyDescent="0.2">
      <c r="A961" s="72"/>
      <c r="B961" s="72">
        <v>622</v>
      </c>
      <c r="C961" s="38">
        <f t="shared" si="50"/>
        <v>0</v>
      </c>
      <c r="D961" s="31" t="s">
        <v>3987</v>
      </c>
      <c r="E961" s="41"/>
      <c r="F961" s="31"/>
      <c r="G961" s="107">
        <f t="shared" si="51"/>
        <v>0</v>
      </c>
      <c r="H961" s="107">
        <f>DVUD!K963</f>
        <v>0</v>
      </c>
      <c r="I961" s="107"/>
    </row>
    <row r="962" spans="1:9" ht="12.75" customHeight="1" x14ac:dyDescent="0.2">
      <c r="A962" s="72"/>
      <c r="B962" s="72">
        <v>623</v>
      </c>
      <c r="C962" s="38">
        <f t="shared" si="50"/>
        <v>0</v>
      </c>
      <c r="D962" s="31" t="s">
        <v>4715</v>
      </c>
      <c r="E962" s="41"/>
      <c r="F962" s="31"/>
      <c r="G962" s="107">
        <f t="shared" si="51"/>
        <v>0</v>
      </c>
      <c r="H962" s="107">
        <f>DVUD!K964</f>
        <v>0</v>
      </c>
      <c r="I962" s="107"/>
    </row>
    <row r="963" spans="1:9" ht="12.75" customHeight="1" x14ac:dyDescent="0.2">
      <c r="A963" s="72"/>
      <c r="B963" s="72">
        <v>624</v>
      </c>
      <c r="C963" s="38">
        <f t="shared" si="50"/>
        <v>0</v>
      </c>
      <c r="D963" s="31" t="s">
        <v>3855</v>
      </c>
      <c r="E963" s="41"/>
      <c r="F963" s="31"/>
      <c r="G963" s="107">
        <f t="shared" si="51"/>
        <v>0</v>
      </c>
      <c r="H963" s="107">
        <f>DVUD!K965</f>
        <v>0</v>
      </c>
      <c r="I963" s="107"/>
    </row>
    <row r="964" spans="1:9" ht="12.75" customHeight="1" x14ac:dyDescent="0.2">
      <c r="A964" s="72" t="s">
        <v>4716</v>
      </c>
      <c r="B964" s="72">
        <v>625</v>
      </c>
      <c r="C964" s="38" t="str">
        <f t="shared" si="50"/>
        <v>09 Sept</v>
      </c>
      <c r="D964" s="31" t="s">
        <v>3844</v>
      </c>
      <c r="E964" s="41"/>
      <c r="F964" s="31"/>
      <c r="G964" s="107">
        <f t="shared" si="51"/>
        <v>0</v>
      </c>
      <c r="H964" s="107">
        <f>DVUD!K966</f>
        <v>0</v>
      </c>
      <c r="I964" s="107"/>
    </row>
    <row r="965" spans="1:9" ht="12.75" customHeight="1" x14ac:dyDescent="0.2">
      <c r="A965" s="72"/>
      <c r="B965" s="72"/>
      <c r="C965" s="38">
        <f t="shared" si="50"/>
        <v>0</v>
      </c>
      <c r="D965" s="31"/>
      <c r="E965" s="41"/>
      <c r="F965" s="31"/>
      <c r="G965" s="107">
        <f t="shared" si="51"/>
        <v>0</v>
      </c>
      <c r="H965" s="107">
        <f>DVUD!K967</f>
        <v>0</v>
      </c>
      <c r="I965" s="107"/>
    </row>
    <row r="966" spans="1:9" ht="12.75" customHeight="1" x14ac:dyDescent="0.2">
      <c r="A966" s="72"/>
      <c r="B966" s="72"/>
      <c r="C966" s="38">
        <f t="shared" si="50"/>
        <v>0</v>
      </c>
      <c r="D966" s="31"/>
      <c r="E966" s="41"/>
      <c r="F966" s="31"/>
      <c r="G966" s="107">
        <f t="shared" si="51"/>
        <v>0</v>
      </c>
      <c r="H966" s="107">
        <f>DVUD!K968</f>
        <v>0</v>
      </c>
      <c r="I966" s="107"/>
    </row>
    <row r="967" spans="1:9" ht="12.75" customHeight="1" x14ac:dyDescent="0.2">
      <c r="A967" s="263"/>
      <c r="B967" s="72">
        <v>626</v>
      </c>
      <c r="C967" s="38">
        <f t="shared" si="50"/>
        <v>0</v>
      </c>
      <c r="D967" s="31" t="s">
        <v>4718</v>
      </c>
      <c r="E967" s="41"/>
      <c r="F967" s="31"/>
      <c r="G967" s="107">
        <f t="shared" si="51"/>
        <v>0</v>
      </c>
      <c r="H967" s="107">
        <f>DVUD!K969</f>
        <v>0</v>
      </c>
      <c r="I967" s="107"/>
    </row>
    <row r="968" spans="1:9" ht="12.75" customHeight="1" x14ac:dyDescent="0.2">
      <c r="A968" s="72"/>
      <c r="B968" s="72">
        <v>627</v>
      </c>
      <c r="C968" s="38">
        <f t="shared" si="50"/>
        <v>0</v>
      </c>
      <c r="D968" s="31" t="s">
        <v>4719</v>
      </c>
      <c r="E968" s="41"/>
      <c r="F968" s="31"/>
      <c r="G968" s="107">
        <f t="shared" si="51"/>
        <v>0</v>
      </c>
      <c r="H968" s="107">
        <f>DVUD!K970</f>
        <v>0</v>
      </c>
      <c r="I968" s="107"/>
    </row>
    <row r="969" spans="1:9" ht="12.75" customHeight="1" x14ac:dyDescent="0.2">
      <c r="A969" s="72"/>
      <c r="B969" s="72">
        <v>628</v>
      </c>
      <c r="C969" s="38">
        <f t="shared" si="50"/>
        <v>0</v>
      </c>
      <c r="D969" s="31" t="s">
        <v>4720</v>
      </c>
      <c r="E969" s="41"/>
      <c r="F969" s="31"/>
      <c r="G969" s="107">
        <f t="shared" si="51"/>
        <v>0</v>
      </c>
      <c r="H969" s="107">
        <f>DVUD!K971</f>
        <v>0</v>
      </c>
      <c r="I969" s="107"/>
    </row>
    <row r="970" spans="1:9" ht="12.75" customHeight="1" x14ac:dyDescent="0.2">
      <c r="A970" s="72"/>
      <c r="B970" s="72">
        <v>629</v>
      </c>
      <c r="C970" s="38">
        <f t="shared" si="50"/>
        <v>0</v>
      </c>
      <c r="D970" s="31" t="s">
        <v>3997</v>
      </c>
      <c r="E970" s="41"/>
      <c r="F970" s="31"/>
      <c r="G970" s="107">
        <f t="shared" si="51"/>
        <v>0</v>
      </c>
      <c r="H970" s="107">
        <f>DVUD!K972</f>
        <v>0</v>
      </c>
      <c r="I970" s="107"/>
    </row>
    <row r="971" spans="1:9" ht="12.75" customHeight="1" x14ac:dyDescent="0.2">
      <c r="A971" s="72"/>
      <c r="B971" s="72">
        <v>630</v>
      </c>
      <c r="C971" s="38">
        <f t="shared" si="50"/>
        <v>0</v>
      </c>
      <c r="D971" s="31" t="s">
        <v>4069</v>
      </c>
      <c r="E971" s="41"/>
      <c r="F971" s="31"/>
      <c r="G971" s="107">
        <f t="shared" si="51"/>
        <v>0</v>
      </c>
      <c r="H971" s="107">
        <f>DVUD!K973</f>
        <v>0</v>
      </c>
      <c r="I971" s="107"/>
    </row>
    <row r="972" spans="1:9" ht="12.75" customHeight="1" x14ac:dyDescent="0.2">
      <c r="A972" s="72" t="s">
        <v>3754</v>
      </c>
      <c r="B972" s="72">
        <v>631</v>
      </c>
      <c r="C972" s="38" t="str">
        <f t="shared" si="50"/>
        <v>10 Sept</v>
      </c>
      <c r="D972" s="265" t="s">
        <v>3841</v>
      </c>
      <c r="E972" s="41"/>
      <c r="F972" s="31"/>
      <c r="G972" s="107">
        <f t="shared" si="51"/>
        <v>0</v>
      </c>
      <c r="H972" s="107">
        <f>DVUD!K974</f>
        <v>0</v>
      </c>
      <c r="I972" s="107"/>
    </row>
    <row r="973" spans="1:9" ht="12.75" customHeight="1" x14ac:dyDescent="0.2">
      <c r="A973" s="72"/>
      <c r="B973" s="72">
        <v>632</v>
      </c>
      <c r="C973" s="38">
        <f t="shared" si="50"/>
        <v>0</v>
      </c>
      <c r="D973" s="265" t="s">
        <v>3842</v>
      </c>
      <c r="E973" s="41"/>
      <c r="F973" s="31"/>
      <c r="G973" s="107">
        <f t="shared" si="51"/>
        <v>0</v>
      </c>
      <c r="H973" s="107">
        <f>DVUD!K975</f>
        <v>0</v>
      </c>
      <c r="I973" s="107"/>
    </row>
    <row r="974" spans="1:9" ht="12.75" customHeight="1" x14ac:dyDescent="0.2">
      <c r="A974" s="72"/>
      <c r="B974" s="72">
        <v>633</v>
      </c>
      <c r="C974" s="38">
        <f t="shared" si="50"/>
        <v>0</v>
      </c>
      <c r="D974" s="265" t="s">
        <v>3843</v>
      </c>
      <c r="E974" s="41"/>
      <c r="F974" s="31"/>
      <c r="G974" s="107">
        <f t="shared" si="51"/>
        <v>0</v>
      </c>
      <c r="H974" s="107">
        <f>DVUD!K976</f>
        <v>0</v>
      </c>
      <c r="I974" s="107"/>
    </row>
    <row r="975" spans="1:9" ht="12.75" customHeight="1" x14ac:dyDescent="0.2">
      <c r="A975" s="72"/>
      <c r="B975" s="72">
        <v>634</v>
      </c>
      <c r="C975" s="38">
        <f t="shared" si="50"/>
        <v>0</v>
      </c>
      <c r="D975" s="31" t="s">
        <v>4721</v>
      </c>
      <c r="E975" s="41"/>
      <c r="F975" s="31"/>
      <c r="G975" s="107">
        <f t="shared" si="51"/>
        <v>0</v>
      </c>
      <c r="H975" s="107">
        <f>DVUD!K977</f>
        <v>0</v>
      </c>
      <c r="I975" s="107"/>
    </row>
    <row r="976" spans="1:9" ht="12.75" customHeight="1" x14ac:dyDescent="0.2">
      <c r="A976" s="72"/>
      <c r="B976" s="72">
        <v>635</v>
      </c>
      <c r="C976" s="38">
        <f t="shared" si="50"/>
        <v>0</v>
      </c>
      <c r="D976" s="31" t="s">
        <v>3846</v>
      </c>
      <c r="E976" s="176"/>
      <c r="F976" s="173"/>
      <c r="G976" s="107">
        <f t="shared" si="51"/>
        <v>0</v>
      </c>
      <c r="H976" s="107">
        <f>DVUD!K978</f>
        <v>0</v>
      </c>
      <c r="I976" s="107"/>
    </row>
    <row r="977" spans="1:9" ht="12.75" customHeight="1" x14ac:dyDescent="0.2">
      <c r="A977" s="72" t="s">
        <v>4722</v>
      </c>
      <c r="B977" s="72">
        <v>636</v>
      </c>
      <c r="C977" s="38" t="str">
        <f t="shared" si="50"/>
        <v>11 Sept</v>
      </c>
      <c r="D977" s="31" t="s">
        <v>4723</v>
      </c>
      <c r="E977" s="176"/>
      <c r="F977" s="173"/>
      <c r="G977" s="107">
        <f t="shared" si="51"/>
        <v>0</v>
      </c>
      <c r="H977" s="107">
        <f>DVUD!K979</f>
        <v>0</v>
      </c>
      <c r="I977" s="107"/>
    </row>
    <row r="978" spans="1:9" ht="12.75" customHeight="1" x14ac:dyDescent="0.2">
      <c r="A978" s="72" t="s">
        <v>4724</v>
      </c>
      <c r="B978" s="72">
        <v>637</v>
      </c>
      <c r="C978" s="38" t="str">
        <f t="shared" si="50"/>
        <v>15 Sept</v>
      </c>
      <c r="D978" s="31" t="s">
        <v>4725</v>
      </c>
      <c r="E978" s="176"/>
      <c r="F978" s="173"/>
      <c r="G978" s="107">
        <f t="shared" si="51"/>
        <v>0</v>
      </c>
      <c r="H978" s="107">
        <f>DVUD!K980</f>
        <v>0</v>
      </c>
      <c r="I978" s="107"/>
    </row>
    <row r="979" spans="1:9" ht="12.75" customHeight="1" x14ac:dyDescent="0.2">
      <c r="A979" s="72" t="s">
        <v>4726</v>
      </c>
      <c r="B979" s="72">
        <v>638</v>
      </c>
      <c r="C979" s="38" t="str">
        <f t="shared" si="50"/>
        <v>16 Sept</v>
      </c>
      <c r="D979" s="31" t="s">
        <v>4727</v>
      </c>
      <c r="E979" s="176"/>
      <c r="F979" s="173"/>
      <c r="G979" s="107">
        <f t="shared" si="51"/>
        <v>0</v>
      </c>
      <c r="H979" s="107">
        <f>DVUD!K981</f>
        <v>0</v>
      </c>
      <c r="I979" s="107"/>
    </row>
    <row r="980" spans="1:9" ht="12.75" customHeight="1" x14ac:dyDescent="0.2">
      <c r="A980" s="72"/>
      <c r="B980" s="72">
        <v>639</v>
      </c>
      <c r="C980" s="38">
        <f t="shared" si="50"/>
        <v>0</v>
      </c>
      <c r="D980" s="31" t="s">
        <v>4729</v>
      </c>
      <c r="E980" s="176"/>
      <c r="F980" s="173"/>
      <c r="G980" s="107">
        <f t="shared" si="51"/>
        <v>0</v>
      </c>
      <c r="H980" s="107">
        <f>DVUD!K982</f>
        <v>0</v>
      </c>
      <c r="I980" s="107"/>
    </row>
    <row r="981" spans="1:9" ht="12.75" customHeight="1" x14ac:dyDescent="0.2">
      <c r="A981" s="72"/>
      <c r="B981" s="72">
        <v>640</v>
      </c>
      <c r="C981" s="38">
        <f t="shared" si="50"/>
        <v>0</v>
      </c>
      <c r="D981" s="31" t="s">
        <v>4730</v>
      </c>
      <c r="E981" s="176"/>
      <c r="F981" s="173"/>
      <c r="G981" s="107">
        <f t="shared" si="51"/>
        <v>0</v>
      </c>
      <c r="H981" s="107">
        <f>DVUD!K983</f>
        <v>0</v>
      </c>
      <c r="I981" s="107"/>
    </row>
    <row r="982" spans="1:9" ht="12.75" customHeight="1" x14ac:dyDescent="0.2">
      <c r="A982" s="72"/>
      <c r="B982" s="72">
        <v>641</v>
      </c>
      <c r="C982" s="38">
        <f t="shared" si="50"/>
        <v>0</v>
      </c>
      <c r="D982" s="31" t="s">
        <v>4731</v>
      </c>
      <c r="E982" s="176"/>
      <c r="F982" s="173"/>
      <c r="G982" s="107">
        <f t="shared" si="51"/>
        <v>0</v>
      </c>
      <c r="H982" s="107">
        <f>DVUD!K984</f>
        <v>0</v>
      </c>
      <c r="I982" s="107"/>
    </row>
    <row r="983" spans="1:9" ht="12.75" customHeight="1" x14ac:dyDescent="0.2">
      <c r="A983" s="72" t="s">
        <v>4732</v>
      </c>
      <c r="B983" s="72">
        <v>642</v>
      </c>
      <c r="C983" s="38" t="str">
        <f t="shared" ref="C983:C1014" si="52">A983</f>
        <v>17 Sept</v>
      </c>
      <c r="D983" s="31" t="s">
        <v>4733</v>
      </c>
      <c r="E983" s="176"/>
      <c r="F983" s="173"/>
      <c r="G983" s="107">
        <f t="shared" si="51"/>
        <v>0</v>
      </c>
      <c r="H983" s="107">
        <f>DVUD!K985</f>
        <v>0</v>
      </c>
      <c r="I983" s="107"/>
    </row>
    <row r="984" spans="1:9" ht="12.75" customHeight="1" x14ac:dyDescent="0.2">
      <c r="A984" s="72"/>
      <c r="B984" s="72">
        <v>643</v>
      </c>
      <c r="C984" s="38">
        <f t="shared" si="52"/>
        <v>0</v>
      </c>
      <c r="D984" s="265" t="s">
        <v>3997</v>
      </c>
      <c r="E984" s="176"/>
      <c r="F984" s="173"/>
      <c r="G984" s="107">
        <f t="shared" si="51"/>
        <v>0</v>
      </c>
      <c r="H984" s="107">
        <f>DVUD!K986</f>
        <v>0</v>
      </c>
      <c r="I984" s="107"/>
    </row>
    <row r="985" spans="1:9" ht="12.75" customHeight="1" x14ac:dyDescent="0.2">
      <c r="A985" s="72" t="s">
        <v>4734</v>
      </c>
      <c r="B985" s="72">
        <v>644</v>
      </c>
      <c r="C985" s="38" t="str">
        <f t="shared" si="52"/>
        <v>18 Sept</v>
      </c>
      <c r="D985" s="265" t="s">
        <v>4735</v>
      </c>
      <c r="E985" s="176"/>
      <c r="F985" s="173"/>
      <c r="G985" s="107">
        <f t="shared" si="51"/>
        <v>0</v>
      </c>
      <c r="H985" s="107">
        <f>DVUD!K987</f>
        <v>0</v>
      </c>
      <c r="I985" s="107"/>
    </row>
    <row r="986" spans="1:9" ht="12.75" customHeight="1" x14ac:dyDescent="0.2">
      <c r="A986" s="72"/>
      <c r="B986" s="72">
        <v>645</v>
      </c>
      <c r="C986" s="38">
        <f t="shared" si="52"/>
        <v>0</v>
      </c>
      <c r="D986" s="265" t="s">
        <v>4736</v>
      </c>
      <c r="E986" s="176"/>
      <c r="F986" s="173"/>
      <c r="G986" s="107">
        <f t="shared" si="51"/>
        <v>0</v>
      </c>
      <c r="H986" s="107">
        <f>DVUD!K988</f>
        <v>0</v>
      </c>
      <c r="I986" s="107"/>
    </row>
    <row r="987" spans="1:9" ht="12.75" customHeight="1" x14ac:dyDescent="0.2">
      <c r="A987" s="72"/>
      <c r="B987" s="72">
        <v>646</v>
      </c>
      <c r="C987" s="38">
        <f t="shared" si="52"/>
        <v>0</v>
      </c>
      <c r="D987" s="265" t="s">
        <v>3855</v>
      </c>
      <c r="E987" s="176"/>
      <c r="F987" s="173"/>
      <c r="G987" s="107">
        <f t="shared" si="51"/>
        <v>0</v>
      </c>
      <c r="H987" s="107">
        <f>DVUD!K989</f>
        <v>0</v>
      </c>
      <c r="I987" s="107"/>
    </row>
    <row r="988" spans="1:9" ht="12.75" customHeight="1" x14ac:dyDescent="0.2">
      <c r="A988" s="72" t="s">
        <v>4737</v>
      </c>
      <c r="B988" s="72">
        <v>647</v>
      </c>
      <c r="C988" s="38" t="str">
        <f t="shared" si="52"/>
        <v>22 Sept</v>
      </c>
      <c r="D988" s="31" t="s">
        <v>4738</v>
      </c>
      <c r="E988" s="176"/>
      <c r="F988" s="173"/>
      <c r="G988" s="107">
        <f t="shared" si="51"/>
        <v>0</v>
      </c>
      <c r="H988" s="107">
        <f>DVUD!K990</f>
        <v>0</v>
      </c>
      <c r="I988" s="107"/>
    </row>
    <row r="989" spans="1:9" ht="12.75" customHeight="1" x14ac:dyDescent="0.2">
      <c r="A989" s="72"/>
      <c r="B989" s="72">
        <v>648</v>
      </c>
      <c r="C989" s="38">
        <f t="shared" si="52"/>
        <v>0</v>
      </c>
      <c r="D989" s="31" t="s">
        <v>4739</v>
      </c>
      <c r="E989" s="176"/>
      <c r="F989" s="173"/>
      <c r="G989" s="107">
        <f t="shared" si="51"/>
        <v>0</v>
      </c>
      <c r="H989" s="107">
        <f>DVUD!K991</f>
        <v>0</v>
      </c>
      <c r="I989" s="107"/>
    </row>
    <row r="990" spans="1:9" ht="12.75" customHeight="1" x14ac:dyDescent="0.2">
      <c r="A990" s="72"/>
      <c r="B990" s="72">
        <v>649</v>
      </c>
      <c r="C990" s="38">
        <f t="shared" si="52"/>
        <v>0</v>
      </c>
      <c r="D990" s="31" t="s">
        <v>4740</v>
      </c>
      <c r="E990" s="176"/>
      <c r="F990" s="173"/>
      <c r="G990" s="107">
        <f t="shared" si="51"/>
        <v>0</v>
      </c>
      <c r="H990" s="107">
        <f>DVUD!K992</f>
        <v>0</v>
      </c>
      <c r="I990" s="107"/>
    </row>
    <row r="991" spans="1:9" ht="12.75" customHeight="1" x14ac:dyDescent="0.2">
      <c r="A991" s="72"/>
      <c r="B991" s="72">
        <v>650</v>
      </c>
      <c r="C991" s="38">
        <f t="shared" si="52"/>
        <v>0</v>
      </c>
      <c r="D991" s="31" t="s">
        <v>3846</v>
      </c>
      <c r="E991" s="176"/>
      <c r="F991" s="173"/>
      <c r="G991" s="107">
        <f t="shared" si="51"/>
        <v>0</v>
      </c>
      <c r="H991" s="107">
        <f>DVUD!K993</f>
        <v>0</v>
      </c>
      <c r="I991" s="107"/>
    </row>
    <row r="992" spans="1:9" ht="12.75" customHeight="1" x14ac:dyDescent="0.2">
      <c r="A992" s="72"/>
      <c r="B992" s="72">
        <v>651</v>
      </c>
      <c r="C992" s="38">
        <f t="shared" si="52"/>
        <v>0</v>
      </c>
      <c r="D992" s="31" t="s">
        <v>4741</v>
      </c>
      <c r="E992" s="176"/>
      <c r="F992" s="173"/>
      <c r="G992" s="107">
        <f t="shared" si="51"/>
        <v>0</v>
      </c>
      <c r="H992" s="107">
        <f>DVUD!K994</f>
        <v>0</v>
      </c>
      <c r="I992" s="107"/>
    </row>
    <row r="993" spans="1:9" ht="12.75" customHeight="1" x14ac:dyDescent="0.2">
      <c r="A993" s="72"/>
      <c r="B993" s="72">
        <v>652</v>
      </c>
      <c r="C993" s="38">
        <f t="shared" si="52"/>
        <v>0</v>
      </c>
      <c r="D993" s="31" t="s">
        <v>4742</v>
      </c>
      <c r="E993" s="176"/>
      <c r="F993" s="173"/>
      <c r="G993" s="107">
        <f t="shared" si="51"/>
        <v>0</v>
      </c>
      <c r="H993" s="107">
        <f>DVUD!K995</f>
        <v>0</v>
      </c>
      <c r="I993" s="107"/>
    </row>
    <row r="994" spans="1:9" ht="12.75" customHeight="1" x14ac:dyDescent="0.2">
      <c r="A994" s="72"/>
      <c r="B994" s="72">
        <v>653</v>
      </c>
      <c r="C994" s="38">
        <f t="shared" si="52"/>
        <v>0</v>
      </c>
      <c r="D994" s="31" t="s">
        <v>3257</v>
      </c>
      <c r="E994" s="176"/>
      <c r="F994" s="173"/>
      <c r="G994" s="107">
        <f t="shared" si="51"/>
        <v>0</v>
      </c>
      <c r="H994" s="107">
        <f>DVUD!K996</f>
        <v>0</v>
      </c>
      <c r="I994" s="107"/>
    </row>
    <row r="995" spans="1:9" ht="12.75" customHeight="1" x14ac:dyDescent="0.2">
      <c r="A995" s="72"/>
      <c r="B995" s="72">
        <v>654</v>
      </c>
      <c r="C995" s="38">
        <f t="shared" si="52"/>
        <v>0</v>
      </c>
      <c r="D995" s="31" t="s">
        <v>3869</v>
      </c>
      <c r="E995" s="176"/>
      <c r="F995" s="173"/>
      <c r="G995" s="107">
        <f t="shared" si="51"/>
        <v>0</v>
      </c>
      <c r="H995" s="107">
        <f>DVUD!K997</f>
        <v>0</v>
      </c>
      <c r="I995" s="107"/>
    </row>
    <row r="996" spans="1:9" ht="12.75" customHeight="1" x14ac:dyDescent="0.2">
      <c r="A996" s="72" t="s">
        <v>4701</v>
      </c>
      <c r="B996" s="72">
        <v>655</v>
      </c>
      <c r="C996" s="38" t="str">
        <f t="shared" si="52"/>
        <v>26 Sept</v>
      </c>
      <c r="D996" s="31" t="s">
        <v>3256</v>
      </c>
      <c r="E996" s="176"/>
      <c r="F996" s="173"/>
      <c r="G996" s="107">
        <f t="shared" si="51"/>
        <v>0</v>
      </c>
      <c r="H996" s="107">
        <f>DVUD!K998</f>
        <v>0</v>
      </c>
      <c r="I996" s="107"/>
    </row>
    <row r="997" spans="1:9" ht="12.75" customHeight="1" x14ac:dyDescent="0.2">
      <c r="A997" s="72"/>
      <c r="B997" s="72"/>
      <c r="C997" s="38">
        <f t="shared" si="52"/>
        <v>0</v>
      </c>
      <c r="D997" s="31"/>
      <c r="E997" s="176"/>
      <c r="F997" s="173"/>
      <c r="G997" s="107">
        <f t="shared" si="51"/>
        <v>0</v>
      </c>
      <c r="H997" s="107">
        <f>DVUD!K999</f>
        <v>0</v>
      </c>
      <c r="I997" s="107"/>
    </row>
    <row r="998" spans="1:9" ht="12.75" customHeight="1" x14ac:dyDescent="0.2">
      <c r="A998" s="72"/>
      <c r="B998" s="72"/>
      <c r="C998" s="38">
        <f t="shared" si="52"/>
        <v>0</v>
      </c>
      <c r="D998" s="31"/>
      <c r="E998" s="176"/>
      <c r="F998" s="173"/>
      <c r="G998" s="107">
        <f t="shared" si="51"/>
        <v>0</v>
      </c>
      <c r="H998" s="107">
        <f>DVUD!K1000</f>
        <v>0</v>
      </c>
      <c r="I998" s="107"/>
    </row>
    <row r="999" spans="1:9" ht="12.75" customHeight="1" x14ac:dyDescent="0.2">
      <c r="A999" s="72"/>
      <c r="B999" s="72">
        <v>656</v>
      </c>
      <c r="C999" s="38">
        <f t="shared" si="52"/>
        <v>0</v>
      </c>
      <c r="D999" s="31" t="s">
        <v>3895</v>
      </c>
      <c r="E999" s="176"/>
      <c r="F999" s="173"/>
      <c r="G999" s="107">
        <f>H999</f>
        <v>0</v>
      </c>
      <c r="H999" s="107">
        <f>DVUD!K1001</f>
        <v>0</v>
      </c>
      <c r="I999" s="107"/>
    </row>
    <row r="1000" spans="1:9" ht="12.75" customHeight="1" x14ac:dyDescent="0.2">
      <c r="A1000" s="72"/>
      <c r="B1000" s="72">
        <v>657</v>
      </c>
      <c r="C1000" s="38">
        <f t="shared" si="52"/>
        <v>0</v>
      </c>
      <c r="D1000" s="31" t="s">
        <v>4064</v>
      </c>
      <c r="E1000" s="176"/>
      <c r="F1000" s="173"/>
      <c r="G1000" s="107">
        <f t="shared" ref="G1000:G1052" si="53">H1000</f>
        <v>0</v>
      </c>
      <c r="H1000" s="107">
        <f>DVUD!K1002</f>
        <v>0</v>
      </c>
      <c r="I1000" s="107"/>
    </row>
    <row r="1001" spans="1:9" ht="12.75" customHeight="1" x14ac:dyDescent="0.2">
      <c r="A1001" s="72"/>
      <c r="B1001" s="72"/>
      <c r="C1001" s="38">
        <f t="shared" si="52"/>
        <v>0</v>
      </c>
      <c r="D1001" s="31"/>
      <c r="E1001" s="176"/>
      <c r="F1001" s="173"/>
      <c r="G1001" s="107">
        <f t="shared" si="53"/>
        <v>0</v>
      </c>
      <c r="H1001" s="107">
        <f>DVUD!K1003</f>
        <v>0</v>
      </c>
      <c r="I1001" s="107"/>
    </row>
    <row r="1002" spans="1:9" ht="12.75" customHeight="1" x14ac:dyDescent="0.2">
      <c r="A1002" s="72"/>
      <c r="B1002" s="72"/>
      <c r="C1002" s="38">
        <f t="shared" si="52"/>
        <v>0</v>
      </c>
      <c r="D1002" s="31"/>
      <c r="E1002" s="176"/>
      <c r="F1002" s="173"/>
      <c r="G1002" s="107">
        <f t="shared" si="53"/>
        <v>0</v>
      </c>
      <c r="H1002" s="107">
        <f>DVUD!K1004</f>
        <v>0</v>
      </c>
      <c r="I1002" s="107"/>
    </row>
    <row r="1003" spans="1:9" ht="12.75" customHeight="1" x14ac:dyDescent="0.2">
      <c r="A1003" s="72"/>
      <c r="B1003" s="72">
        <v>658</v>
      </c>
      <c r="C1003" s="38">
        <f t="shared" si="52"/>
        <v>0</v>
      </c>
      <c r="D1003" s="31" t="s">
        <v>3900</v>
      </c>
      <c r="E1003" s="176"/>
      <c r="F1003" s="173"/>
      <c r="G1003" s="107">
        <f t="shared" si="53"/>
        <v>0</v>
      </c>
      <c r="H1003" s="107">
        <f>DVUD!K1005</f>
        <v>0</v>
      </c>
      <c r="I1003" s="107"/>
    </row>
    <row r="1004" spans="1:9" ht="12.75" customHeight="1" x14ac:dyDescent="0.2">
      <c r="A1004" s="72"/>
      <c r="B1004" s="72">
        <v>659</v>
      </c>
      <c r="C1004" s="38">
        <f t="shared" si="52"/>
        <v>0</v>
      </c>
      <c r="D1004" s="31" t="s">
        <v>4024</v>
      </c>
      <c r="E1004" s="176"/>
      <c r="F1004" s="173"/>
      <c r="G1004" s="107">
        <f t="shared" si="53"/>
        <v>0</v>
      </c>
      <c r="H1004" s="107">
        <f>DVUD!K1006</f>
        <v>0</v>
      </c>
      <c r="I1004" s="107"/>
    </row>
    <row r="1005" spans="1:9" ht="12.75" customHeight="1" x14ac:dyDescent="0.2">
      <c r="A1005" s="72"/>
      <c r="B1005" s="72">
        <v>660</v>
      </c>
      <c r="C1005" s="38">
        <f t="shared" si="52"/>
        <v>0</v>
      </c>
      <c r="D1005" s="31" t="s">
        <v>4065</v>
      </c>
      <c r="E1005" s="176"/>
      <c r="F1005" s="173"/>
      <c r="G1005" s="107">
        <f t="shared" si="53"/>
        <v>0</v>
      </c>
      <c r="H1005" s="107">
        <f>DVUD!K1007</f>
        <v>0</v>
      </c>
      <c r="I1005" s="107"/>
    </row>
    <row r="1006" spans="1:9" ht="12.75" customHeight="1" x14ac:dyDescent="0.2">
      <c r="A1006" s="72"/>
      <c r="B1006" s="72">
        <v>661</v>
      </c>
      <c r="C1006" s="38">
        <f t="shared" si="52"/>
        <v>0</v>
      </c>
      <c r="D1006" s="31" t="s">
        <v>3904</v>
      </c>
      <c r="E1006" s="176"/>
      <c r="F1006" s="173"/>
      <c r="G1006" s="107">
        <f t="shared" si="53"/>
        <v>0</v>
      </c>
      <c r="H1006" s="107">
        <f>DVUD!K1008</f>
        <v>0</v>
      </c>
      <c r="I1006" s="107"/>
    </row>
    <row r="1007" spans="1:9" ht="12.75" customHeight="1" x14ac:dyDescent="0.2">
      <c r="A1007" s="72"/>
      <c r="B1007" s="72">
        <v>662</v>
      </c>
      <c r="C1007" s="38">
        <f t="shared" si="52"/>
        <v>0</v>
      </c>
      <c r="D1007" s="31" t="s">
        <v>3906</v>
      </c>
      <c r="E1007" s="176"/>
      <c r="F1007" s="173"/>
      <c r="G1007" s="107">
        <f t="shared" si="53"/>
        <v>0</v>
      </c>
      <c r="H1007" s="107">
        <f>DVUD!K1009</f>
        <v>0</v>
      </c>
      <c r="I1007" s="107"/>
    </row>
    <row r="1008" spans="1:9" ht="12.75" customHeight="1" x14ac:dyDescent="0.2">
      <c r="A1008" s="72"/>
      <c r="B1008" s="72">
        <v>663</v>
      </c>
      <c r="C1008" s="38">
        <f t="shared" si="52"/>
        <v>0</v>
      </c>
      <c r="D1008" s="31" t="s">
        <v>4744</v>
      </c>
      <c r="E1008" s="176"/>
      <c r="F1008" s="173"/>
      <c r="G1008" s="107">
        <f t="shared" si="53"/>
        <v>0</v>
      </c>
      <c r="H1008" s="107">
        <f>DVUD!K1010</f>
        <v>0</v>
      </c>
      <c r="I1008" s="107"/>
    </row>
    <row r="1009" spans="1:9" ht="12.75" customHeight="1" x14ac:dyDescent="0.2">
      <c r="A1009" s="72"/>
      <c r="B1009" s="72">
        <v>664</v>
      </c>
      <c r="C1009" s="38">
        <f t="shared" si="52"/>
        <v>0</v>
      </c>
      <c r="D1009" s="31" t="s">
        <v>4393</v>
      </c>
      <c r="E1009" s="176"/>
      <c r="F1009" s="173"/>
      <c r="G1009" s="107">
        <f t="shared" si="53"/>
        <v>0</v>
      </c>
      <c r="H1009" s="107">
        <f>DVUD!K1011</f>
        <v>0</v>
      </c>
      <c r="I1009" s="107"/>
    </row>
    <row r="1010" spans="1:9" ht="12.75" customHeight="1" x14ac:dyDescent="0.2">
      <c r="A1010" s="72"/>
      <c r="B1010" s="72">
        <v>665</v>
      </c>
      <c r="C1010" s="38">
        <f t="shared" si="52"/>
        <v>0</v>
      </c>
      <c r="D1010" s="31" t="s">
        <v>3908</v>
      </c>
      <c r="E1010" s="176"/>
      <c r="F1010" s="173"/>
      <c r="G1010" s="107">
        <f t="shared" si="53"/>
        <v>0</v>
      </c>
      <c r="H1010" s="107">
        <f>DVUD!K1012</f>
        <v>0</v>
      </c>
      <c r="I1010" s="107"/>
    </row>
    <row r="1011" spans="1:9" ht="12.75" customHeight="1" x14ac:dyDescent="0.2">
      <c r="A1011" s="72"/>
      <c r="B1011" s="72">
        <v>666</v>
      </c>
      <c r="C1011" s="38">
        <f t="shared" si="52"/>
        <v>0</v>
      </c>
      <c r="D1011" s="31" t="s">
        <v>3910</v>
      </c>
      <c r="E1011" s="176"/>
      <c r="F1011" s="173"/>
      <c r="G1011" s="107">
        <f t="shared" si="53"/>
        <v>0</v>
      </c>
      <c r="H1011" s="107">
        <f>DVUD!K1013</f>
        <v>0</v>
      </c>
      <c r="I1011" s="107"/>
    </row>
    <row r="1012" spans="1:9" ht="12.75" customHeight="1" x14ac:dyDescent="0.2">
      <c r="A1012" s="72"/>
      <c r="B1012" s="72">
        <v>667</v>
      </c>
      <c r="C1012" s="38">
        <f t="shared" si="52"/>
        <v>0</v>
      </c>
      <c r="D1012" s="31" t="s">
        <v>4746</v>
      </c>
      <c r="E1012" s="176"/>
      <c r="F1012" s="173"/>
      <c r="G1012" s="107">
        <f t="shared" si="53"/>
        <v>0</v>
      </c>
      <c r="H1012" s="107">
        <f>DVUD!K1014</f>
        <v>0</v>
      </c>
      <c r="I1012" s="107"/>
    </row>
    <row r="1013" spans="1:9" ht="12.75" customHeight="1" x14ac:dyDescent="0.2">
      <c r="A1013" s="72"/>
      <c r="B1013" s="72">
        <v>668</v>
      </c>
      <c r="C1013" s="38">
        <f t="shared" si="52"/>
        <v>0</v>
      </c>
      <c r="D1013" s="31" t="s">
        <v>3914</v>
      </c>
      <c r="E1013" s="176"/>
      <c r="F1013" s="173"/>
      <c r="G1013" s="107">
        <f t="shared" si="53"/>
        <v>0</v>
      </c>
      <c r="H1013" s="107">
        <f>DVUD!K1015</f>
        <v>0</v>
      </c>
      <c r="I1013" s="107"/>
    </row>
    <row r="1014" spans="1:9" ht="12.75" customHeight="1" x14ac:dyDescent="0.2">
      <c r="A1014" s="72"/>
      <c r="B1014" s="72">
        <v>669</v>
      </c>
      <c r="C1014" s="38">
        <f t="shared" si="52"/>
        <v>0</v>
      </c>
      <c r="D1014" s="31" t="s">
        <v>4025</v>
      </c>
      <c r="E1014" s="176"/>
      <c r="F1014" s="173"/>
      <c r="G1014" s="107">
        <f t="shared" si="53"/>
        <v>0</v>
      </c>
      <c r="H1014" s="107">
        <f>DVUD!K1016</f>
        <v>0</v>
      </c>
      <c r="I1014" s="107"/>
    </row>
    <row r="1015" spans="1:9" ht="12.75" customHeight="1" x14ac:dyDescent="0.2">
      <c r="A1015" s="72"/>
      <c r="B1015" s="72">
        <v>670</v>
      </c>
      <c r="C1015" s="38">
        <f t="shared" ref="C1015:C1020" si="54">A1015</f>
        <v>0</v>
      </c>
      <c r="D1015" s="31" t="s">
        <v>4747</v>
      </c>
      <c r="E1015" s="176"/>
      <c r="F1015" s="173"/>
      <c r="G1015" s="107">
        <f t="shared" si="53"/>
        <v>0</v>
      </c>
      <c r="H1015" s="107">
        <f>DVUD!K1017</f>
        <v>0</v>
      </c>
      <c r="I1015" s="107"/>
    </row>
    <row r="1016" spans="1:9" ht="12.75" customHeight="1" x14ac:dyDescent="0.2">
      <c r="A1016" s="72"/>
      <c r="B1016" s="72">
        <v>671</v>
      </c>
      <c r="C1016" s="38">
        <f t="shared" si="54"/>
        <v>0</v>
      </c>
      <c r="D1016" s="31" t="s">
        <v>4748</v>
      </c>
      <c r="E1016" s="176"/>
      <c r="F1016" s="173"/>
      <c r="G1016" s="107">
        <f t="shared" si="53"/>
        <v>0</v>
      </c>
      <c r="H1016" s="107">
        <f>DVUD!K1018</f>
        <v>0</v>
      </c>
      <c r="I1016" s="107"/>
    </row>
    <row r="1017" spans="1:9" ht="12.75" customHeight="1" x14ac:dyDescent="0.2">
      <c r="A1017" s="72"/>
      <c r="B1017" s="72"/>
      <c r="C1017" s="38">
        <f t="shared" si="54"/>
        <v>0</v>
      </c>
      <c r="D1017" s="31"/>
      <c r="E1017" s="176"/>
      <c r="F1017" s="173"/>
      <c r="G1017" s="107">
        <f t="shared" si="53"/>
        <v>0</v>
      </c>
      <c r="H1017" s="107">
        <f>DVUD!K1019</f>
        <v>0</v>
      </c>
      <c r="I1017" s="107"/>
    </row>
    <row r="1018" spans="1:9" ht="12.75" customHeight="1" x14ac:dyDescent="0.2">
      <c r="A1018" s="72"/>
      <c r="B1018" s="72"/>
      <c r="C1018" s="38">
        <f t="shared" si="54"/>
        <v>0</v>
      </c>
      <c r="D1018" s="31"/>
      <c r="E1018" s="176"/>
      <c r="F1018" s="173"/>
      <c r="G1018" s="107">
        <f t="shared" si="53"/>
        <v>0</v>
      </c>
      <c r="H1018" s="107">
        <f>DVUD!K1020</f>
        <v>0</v>
      </c>
      <c r="I1018" s="107"/>
    </row>
    <row r="1019" spans="1:9" ht="12.75" customHeight="1" x14ac:dyDescent="0.2">
      <c r="A1019" s="72"/>
      <c r="B1019" s="72">
        <v>672</v>
      </c>
      <c r="C1019" s="38">
        <f t="shared" si="54"/>
        <v>0</v>
      </c>
      <c r="D1019" s="31" t="s">
        <v>4749</v>
      </c>
      <c r="E1019" s="176"/>
      <c r="F1019" s="173"/>
      <c r="G1019" s="107">
        <f t="shared" si="53"/>
        <v>0</v>
      </c>
      <c r="H1019" s="107">
        <f>DVUD!K1021</f>
        <v>0</v>
      </c>
      <c r="I1019" s="107"/>
    </row>
    <row r="1020" spans="1:9" ht="12.75" customHeight="1" x14ac:dyDescent="0.2">
      <c r="A1020" s="72"/>
      <c r="B1020" s="72">
        <v>673</v>
      </c>
      <c r="C1020" s="38">
        <f t="shared" si="54"/>
        <v>0</v>
      </c>
      <c r="D1020" s="31" t="s">
        <v>4750</v>
      </c>
      <c r="E1020" s="176"/>
      <c r="F1020" s="173"/>
      <c r="G1020" s="107">
        <f t="shared" si="53"/>
        <v>0</v>
      </c>
      <c r="H1020" s="107">
        <f>DVUD!K1022</f>
        <v>0</v>
      </c>
      <c r="I1020" s="107"/>
    </row>
    <row r="1021" spans="1:9" ht="12.75" customHeight="1" x14ac:dyDescent="0.2">
      <c r="A1021" s="72"/>
      <c r="B1021" s="72">
        <v>674</v>
      </c>
      <c r="C1021" s="38"/>
      <c r="D1021" s="31" t="s">
        <v>3264</v>
      </c>
      <c r="E1021" s="176"/>
      <c r="F1021" s="173"/>
      <c r="G1021" s="107">
        <f t="shared" si="53"/>
        <v>0</v>
      </c>
      <c r="H1021" s="107">
        <f>DVUD!K1023</f>
        <v>0</v>
      </c>
      <c r="I1021" s="107"/>
    </row>
    <row r="1022" spans="1:9" ht="12.75" customHeight="1" x14ac:dyDescent="0.2">
      <c r="A1022" s="72"/>
      <c r="B1022" s="72">
        <v>675</v>
      </c>
      <c r="C1022" s="38"/>
      <c r="D1022" s="31" t="s">
        <v>4069</v>
      </c>
      <c r="E1022" s="176"/>
      <c r="F1022" s="173"/>
      <c r="G1022" s="107">
        <f t="shared" si="53"/>
        <v>0</v>
      </c>
      <c r="H1022" s="107">
        <f>DVUD!K1024</f>
        <v>0</v>
      </c>
      <c r="I1022" s="107"/>
    </row>
    <row r="1023" spans="1:9" ht="12.75" customHeight="1" x14ac:dyDescent="0.2">
      <c r="A1023" s="72"/>
      <c r="B1023" s="72">
        <v>676</v>
      </c>
      <c r="C1023" s="38"/>
      <c r="D1023" s="31" t="s">
        <v>3887</v>
      </c>
      <c r="E1023" s="176"/>
      <c r="F1023" s="173"/>
      <c r="G1023" s="107">
        <f t="shared" si="53"/>
        <v>0</v>
      </c>
      <c r="H1023" s="107">
        <f>DVUD!K1025</f>
        <v>0</v>
      </c>
      <c r="I1023" s="107"/>
    </row>
    <row r="1024" spans="1:9" ht="12.75" customHeight="1" x14ac:dyDescent="0.2">
      <c r="A1024" s="72"/>
      <c r="B1024" s="72">
        <v>677</v>
      </c>
      <c r="C1024" s="38"/>
      <c r="D1024" s="31" t="s">
        <v>4751</v>
      </c>
      <c r="E1024" s="176"/>
      <c r="F1024" s="173"/>
      <c r="G1024" s="107">
        <f t="shared" si="53"/>
        <v>0</v>
      </c>
      <c r="H1024" s="107">
        <f>DVUD!K1026</f>
        <v>0</v>
      </c>
      <c r="I1024" s="107"/>
    </row>
    <row r="1025" spans="1:9" ht="12.75" customHeight="1" x14ac:dyDescent="0.2">
      <c r="A1025" s="72"/>
      <c r="B1025" s="72">
        <v>678</v>
      </c>
      <c r="C1025" s="38"/>
      <c r="D1025" s="31" t="s">
        <v>3881</v>
      </c>
      <c r="E1025" s="176"/>
      <c r="F1025" s="173"/>
      <c r="G1025" s="107">
        <f t="shared" si="53"/>
        <v>0</v>
      </c>
      <c r="H1025" s="107">
        <f>DVUD!K1027</f>
        <v>0</v>
      </c>
      <c r="I1025" s="107"/>
    </row>
    <row r="1026" spans="1:9" ht="12.75" customHeight="1" x14ac:dyDescent="0.2">
      <c r="A1026" s="72"/>
      <c r="B1026" s="72">
        <v>679</v>
      </c>
      <c r="C1026" s="38"/>
      <c r="D1026" s="31" t="s">
        <v>3876</v>
      </c>
      <c r="E1026" s="176"/>
      <c r="F1026" s="173"/>
      <c r="G1026" s="107">
        <f t="shared" si="53"/>
        <v>0</v>
      </c>
      <c r="H1026" s="107">
        <f>DVUD!K1028</f>
        <v>0</v>
      </c>
      <c r="I1026" s="107"/>
    </row>
    <row r="1027" spans="1:9" ht="12.75" customHeight="1" x14ac:dyDescent="0.2">
      <c r="A1027" s="72"/>
      <c r="B1027" s="72">
        <v>680</v>
      </c>
      <c r="C1027" s="38"/>
      <c r="D1027" s="31" t="s">
        <v>4752</v>
      </c>
      <c r="E1027" s="176"/>
      <c r="F1027" s="173"/>
      <c r="G1027" s="107">
        <f t="shared" si="53"/>
        <v>0</v>
      </c>
      <c r="H1027" s="107">
        <f>DVUD!K1029</f>
        <v>0</v>
      </c>
      <c r="I1027" s="107"/>
    </row>
    <row r="1028" spans="1:9" ht="12.75" customHeight="1" x14ac:dyDescent="0.2">
      <c r="A1028" s="72"/>
      <c r="B1028" s="72">
        <v>681</v>
      </c>
      <c r="C1028" s="38"/>
      <c r="D1028" s="31" t="s">
        <v>3851</v>
      </c>
      <c r="E1028" s="176"/>
      <c r="F1028" s="173"/>
      <c r="G1028" s="107">
        <f t="shared" si="53"/>
        <v>0</v>
      </c>
      <c r="H1028" s="107">
        <f>DVUD!K1030</f>
        <v>0</v>
      </c>
      <c r="I1028" s="107"/>
    </row>
    <row r="1029" spans="1:9" ht="12.75" customHeight="1" x14ac:dyDescent="0.2">
      <c r="A1029" s="72"/>
      <c r="B1029" s="72">
        <v>682</v>
      </c>
      <c r="C1029" s="38"/>
      <c r="D1029" s="31" t="s">
        <v>3853</v>
      </c>
      <c r="E1029" s="176"/>
      <c r="F1029" s="173"/>
      <c r="G1029" s="107">
        <f t="shared" si="53"/>
        <v>0</v>
      </c>
      <c r="H1029" s="107">
        <f>DVUD!K1031</f>
        <v>0</v>
      </c>
      <c r="I1029" s="107"/>
    </row>
    <row r="1030" spans="1:9" ht="12.75" customHeight="1" x14ac:dyDescent="0.2">
      <c r="A1030" s="72"/>
      <c r="B1030" s="72">
        <v>683</v>
      </c>
      <c r="C1030" s="38"/>
      <c r="D1030" s="31" t="s">
        <v>3920</v>
      </c>
      <c r="E1030" s="176"/>
      <c r="F1030" s="173"/>
      <c r="G1030" s="107">
        <f t="shared" si="53"/>
        <v>0</v>
      </c>
      <c r="H1030" s="107">
        <f>DVUD!K1032</f>
        <v>0</v>
      </c>
      <c r="I1030" s="107"/>
    </row>
    <row r="1031" spans="1:9" ht="12.75" customHeight="1" x14ac:dyDescent="0.2">
      <c r="A1031" s="72"/>
      <c r="B1031" s="72">
        <v>684</v>
      </c>
      <c r="C1031" s="38"/>
      <c r="D1031" s="31" t="s">
        <v>4753</v>
      </c>
      <c r="E1031" s="176"/>
      <c r="F1031" s="173"/>
      <c r="G1031" s="107">
        <f t="shared" si="53"/>
        <v>0</v>
      </c>
      <c r="H1031" s="107">
        <f>DVUD!K1033</f>
        <v>0</v>
      </c>
      <c r="I1031" s="107"/>
    </row>
    <row r="1032" spans="1:9" ht="12.75" customHeight="1" x14ac:dyDescent="0.2">
      <c r="A1032" s="72"/>
      <c r="B1032" s="72">
        <v>685</v>
      </c>
      <c r="C1032" s="38"/>
      <c r="D1032" s="31" t="s">
        <v>4754</v>
      </c>
      <c r="E1032" s="176"/>
      <c r="F1032" s="173"/>
      <c r="G1032" s="107">
        <f t="shared" si="53"/>
        <v>0</v>
      </c>
      <c r="H1032" s="107">
        <f>DVUD!K1034</f>
        <v>0</v>
      </c>
      <c r="I1032" s="107"/>
    </row>
    <row r="1033" spans="1:9" ht="12.75" customHeight="1" x14ac:dyDescent="0.2">
      <c r="A1033" s="72"/>
      <c r="B1033" s="72"/>
      <c r="C1033" s="38"/>
      <c r="D1033" s="31"/>
      <c r="E1033" s="176"/>
      <c r="F1033" s="173"/>
      <c r="G1033" s="107">
        <f t="shared" si="53"/>
        <v>0</v>
      </c>
      <c r="H1033" s="107">
        <f>DVUD!K1035</f>
        <v>0</v>
      </c>
      <c r="I1033" s="107"/>
    </row>
    <row r="1034" spans="1:9" ht="12.75" customHeight="1" x14ac:dyDescent="0.2">
      <c r="A1034" s="72"/>
      <c r="B1034" s="72">
        <v>686</v>
      </c>
      <c r="C1034" s="38"/>
      <c r="D1034" s="31" t="s">
        <v>4757</v>
      </c>
      <c r="E1034" s="176"/>
      <c r="F1034" s="173"/>
      <c r="G1034" s="107">
        <f t="shared" si="53"/>
        <v>0</v>
      </c>
      <c r="H1034" s="107">
        <f>DVUD!K1036</f>
        <v>0</v>
      </c>
      <c r="I1034" s="107"/>
    </row>
    <row r="1035" spans="1:9" ht="12.75" customHeight="1" x14ac:dyDescent="0.2">
      <c r="A1035" s="72"/>
      <c r="B1035" s="72"/>
      <c r="C1035" s="38"/>
      <c r="D1035" s="31"/>
      <c r="E1035" s="176"/>
      <c r="F1035" s="173"/>
      <c r="G1035" s="107">
        <f t="shared" si="53"/>
        <v>0</v>
      </c>
      <c r="H1035" s="107">
        <f>DVUD!K1037</f>
        <v>0</v>
      </c>
      <c r="I1035" s="107"/>
    </row>
    <row r="1036" spans="1:9" ht="12.75" customHeight="1" x14ac:dyDescent="0.2">
      <c r="A1036" s="72" t="s">
        <v>4758</v>
      </c>
      <c r="B1036" s="72">
        <v>687</v>
      </c>
      <c r="C1036" s="38"/>
      <c r="D1036" s="31" t="s">
        <v>3889</v>
      </c>
      <c r="E1036" s="176"/>
      <c r="F1036" s="173"/>
      <c r="G1036" s="107">
        <f t="shared" si="53"/>
        <v>0</v>
      </c>
      <c r="H1036" s="107">
        <f>DVUD!K1038</f>
        <v>0</v>
      </c>
      <c r="I1036" s="107"/>
    </row>
    <row r="1037" spans="1:9" ht="12.75" customHeight="1" x14ac:dyDescent="0.2">
      <c r="A1037" s="72"/>
      <c r="B1037" s="72"/>
      <c r="C1037" s="38"/>
      <c r="D1037" s="31"/>
      <c r="E1037" s="176"/>
      <c r="F1037" s="173"/>
      <c r="G1037" s="107">
        <f t="shared" si="53"/>
        <v>0</v>
      </c>
      <c r="H1037" s="107">
        <f>DVUD!K1039</f>
        <v>0</v>
      </c>
      <c r="I1037" s="107"/>
    </row>
    <row r="1038" spans="1:9" ht="12.75" customHeight="1" x14ac:dyDescent="0.2">
      <c r="A1038" s="72"/>
      <c r="B1038" s="72"/>
      <c r="C1038" s="38"/>
      <c r="D1038" s="31"/>
      <c r="E1038" s="176"/>
      <c r="F1038" s="173"/>
      <c r="G1038" s="107">
        <f t="shared" si="53"/>
        <v>0</v>
      </c>
      <c r="H1038" s="107">
        <f>DVUD!K1040</f>
        <v>0</v>
      </c>
      <c r="I1038" s="107"/>
    </row>
    <row r="1039" spans="1:9" ht="12.75" customHeight="1" x14ac:dyDescent="0.2">
      <c r="A1039" s="72"/>
      <c r="B1039" s="72">
        <v>688</v>
      </c>
      <c r="C1039" s="38"/>
      <c r="D1039" s="31" t="s">
        <v>4759</v>
      </c>
      <c r="E1039" s="176"/>
      <c r="F1039" s="173"/>
      <c r="G1039" s="107">
        <f t="shared" si="53"/>
        <v>0</v>
      </c>
      <c r="H1039" s="107">
        <f>DVUD!K1041</f>
        <v>0</v>
      </c>
      <c r="I1039" s="107"/>
    </row>
    <row r="1040" spans="1:9" ht="12.75" customHeight="1" x14ac:dyDescent="0.2">
      <c r="A1040" s="72"/>
      <c r="B1040" s="72">
        <v>689</v>
      </c>
      <c r="C1040" s="38"/>
      <c r="D1040" s="31" t="s">
        <v>3878</v>
      </c>
      <c r="E1040" s="176"/>
      <c r="F1040" s="173"/>
      <c r="G1040" s="107">
        <f t="shared" si="53"/>
        <v>0</v>
      </c>
      <c r="H1040" s="107">
        <f>DVUD!K1042</f>
        <v>0</v>
      </c>
      <c r="I1040" s="107"/>
    </row>
    <row r="1041" spans="1:9" ht="12.75" customHeight="1" x14ac:dyDescent="0.2">
      <c r="A1041" s="72"/>
      <c r="B1041" s="72">
        <v>690</v>
      </c>
      <c r="C1041" s="38"/>
      <c r="D1041" s="31" t="s">
        <v>4760</v>
      </c>
      <c r="E1041" s="176"/>
      <c r="F1041" s="173"/>
      <c r="G1041" s="107">
        <f t="shared" si="53"/>
        <v>0</v>
      </c>
      <c r="H1041" s="107">
        <f>DVUD!K1043</f>
        <v>0</v>
      </c>
      <c r="I1041" s="107"/>
    </row>
    <row r="1042" spans="1:9" ht="12.75" customHeight="1" x14ac:dyDescent="0.2">
      <c r="A1042" s="72"/>
      <c r="B1042" s="72">
        <v>691</v>
      </c>
      <c r="C1042" s="38"/>
      <c r="D1042" s="31" t="s">
        <v>4165</v>
      </c>
      <c r="E1042" s="176"/>
      <c r="F1042" s="173"/>
      <c r="G1042" s="107">
        <f t="shared" si="53"/>
        <v>0</v>
      </c>
      <c r="H1042" s="107">
        <f>DVUD!K1044</f>
        <v>0</v>
      </c>
      <c r="I1042" s="107"/>
    </row>
    <row r="1043" spans="1:9" ht="12.75" customHeight="1" x14ac:dyDescent="0.2">
      <c r="A1043" s="72"/>
      <c r="B1043" s="72">
        <v>692</v>
      </c>
      <c r="C1043" s="38"/>
      <c r="D1043" s="31" t="s">
        <v>4761</v>
      </c>
      <c r="E1043" s="176"/>
      <c r="F1043" s="173"/>
      <c r="G1043" s="107">
        <f t="shared" si="53"/>
        <v>0</v>
      </c>
      <c r="H1043" s="107">
        <f>DVUD!K1045</f>
        <v>0</v>
      </c>
      <c r="I1043" s="107"/>
    </row>
    <row r="1044" spans="1:9" ht="12.75" customHeight="1" x14ac:dyDescent="0.2">
      <c r="A1044" s="72"/>
      <c r="B1044" s="72">
        <v>693</v>
      </c>
      <c r="C1044" s="38"/>
      <c r="D1044" s="31" t="s">
        <v>4762</v>
      </c>
      <c r="E1044" s="176"/>
      <c r="F1044" s="173"/>
      <c r="G1044" s="107">
        <f t="shared" si="53"/>
        <v>0</v>
      </c>
      <c r="H1044" s="107">
        <f>DVUD!K1046</f>
        <v>0</v>
      </c>
      <c r="I1044" s="107"/>
    </row>
    <row r="1045" spans="1:9" ht="12.75" customHeight="1" x14ac:dyDescent="0.2">
      <c r="A1045" s="72"/>
      <c r="B1045" s="72">
        <v>694</v>
      </c>
      <c r="C1045" s="38"/>
      <c r="D1045" s="31" t="s">
        <v>4763</v>
      </c>
      <c r="E1045" s="176"/>
      <c r="F1045" s="173"/>
      <c r="G1045" s="107">
        <f t="shared" si="53"/>
        <v>0</v>
      </c>
      <c r="H1045" s="107">
        <f>DVUD!K1047</f>
        <v>0</v>
      </c>
      <c r="I1045" s="107"/>
    </row>
    <row r="1046" spans="1:9" ht="12.75" customHeight="1" x14ac:dyDescent="0.2">
      <c r="A1046" s="72"/>
      <c r="B1046" s="72">
        <v>695</v>
      </c>
      <c r="C1046" s="38"/>
      <c r="D1046" s="31" t="s">
        <v>3997</v>
      </c>
      <c r="E1046" s="176"/>
      <c r="F1046" s="173"/>
      <c r="G1046" s="107">
        <f t="shared" si="53"/>
        <v>0</v>
      </c>
      <c r="H1046" s="107">
        <f>DVUD!K1048</f>
        <v>0</v>
      </c>
      <c r="I1046" s="107"/>
    </row>
    <row r="1047" spans="1:9" ht="12.75" customHeight="1" x14ac:dyDescent="0.2">
      <c r="A1047" s="72" t="s">
        <v>3261</v>
      </c>
      <c r="B1047" s="72">
        <v>696</v>
      </c>
      <c r="C1047" s="38"/>
      <c r="D1047" s="31" t="s">
        <v>4764</v>
      </c>
      <c r="E1047" s="176"/>
      <c r="F1047" s="173"/>
      <c r="G1047" s="107">
        <f t="shared" si="53"/>
        <v>0</v>
      </c>
      <c r="H1047" s="107">
        <f>DVUD!K1049</f>
        <v>0</v>
      </c>
      <c r="I1047" s="107"/>
    </row>
    <row r="1048" spans="1:9" ht="12.75" customHeight="1" x14ac:dyDescent="0.2">
      <c r="A1048" s="72"/>
      <c r="B1048" s="72">
        <v>697</v>
      </c>
      <c r="C1048" s="38"/>
      <c r="D1048" s="31" t="s">
        <v>4765</v>
      </c>
      <c r="E1048" s="176"/>
      <c r="F1048" s="173"/>
      <c r="G1048" s="107">
        <f t="shared" si="53"/>
        <v>0</v>
      </c>
      <c r="H1048" s="107">
        <f>DVUD!K1050</f>
        <v>0</v>
      </c>
      <c r="I1048" s="107"/>
    </row>
    <row r="1049" spans="1:9" ht="12.75" customHeight="1" x14ac:dyDescent="0.2">
      <c r="A1049" s="72"/>
      <c r="B1049" s="72">
        <v>698</v>
      </c>
      <c r="C1049" s="38"/>
      <c r="D1049" s="31" t="s">
        <v>4768</v>
      </c>
      <c r="E1049" s="176"/>
      <c r="F1049" s="173"/>
      <c r="G1049" s="107">
        <f t="shared" si="53"/>
        <v>0</v>
      </c>
      <c r="H1049" s="107">
        <f>DVUD!K1051</f>
        <v>0</v>
      </c>
      <c r="I1049" s="107"/>
    </row>
    <row r="1050" spans="1:9" ht="12.75" customHeight="1" x14ac:dyDescent="0.2">
      <c r="A1050" s="72"/>
      <c r="B1050" s="72">
        <v>699</v>
      </c>
      <c r="C1050" s="38"/>
      <c r="D1050" s="31" t="s">
        <v>4769</v>
      </c>
      <c r="E1050" s="176"/>
      <c r="F1050" s="173"/>
      <c r="G1050" s="107">
        <f t="shared" si="53"/>
        <v>0</v>
      </c>
      <c r="H1050" s="107">
        <f>DVUD!K1052</f>
        <v>0</v>
      </c>
      <c r="I1050" s="107"/>
    </row>
    <row r="1051" spans="1:9" ht="12.75" customHeight="1" x14ac:dyDescent="0.2">
      <c r="A1051" s="72"/>
      <c r="B1051" s="72">
        <v>700</v>
      </c>
      <c r="C1051" s="38"/>
      <c r="D1051" s="31" t="s">
        <v>4770</v>
      </c>
      <c r="E1051" s="176"/>
      <c r="F1051" s="173"/>
      <c r="G1051" s="107">
        <f t="shared" si="53"/>
        <v>0</v>
      </c>
      <c r="H1051" s="107">
        <f>DVUD!K1053</f>
        <v>0</v>
      </c>
      <c r="I1051" s="107"/>
    </row>
    <row r="1052" spans="1:9" ht="12.75" customHeight="1" x14ac:dyDescent="0.2">
      <c r="A1052" s="72"/>
      <c r="B1052" s="72">
        <v>701</v>
      </c>
      <c r="C1052" s="38"/>
      <c r="D1052" s="31" t="s">
        <v>4771</v>
      </c>
      <c r="E1052" s="176"/>
      <c r="F1052" s="173"/>
      <c r="G1052" s="107">
        <f t="shared" si="53"/>
        <v>0</v>
      </c>
      <c r="H1052" s="107">
        <f>DVUD!K1054</f>
        <v>0</v>
      </c>
      <c r="I1052" s="107"/>
    </row>
    <row r="1053" spans="1:9" ht="12.75" customHeight="1" x14ac:dyDescent="0.2">
      <c r="A1053" s="702" t="s">
        <v>3556</v>
      </c>
      <c r="B1053" s="703"/>
      <c r="C1053" s="703"/>
      <c r="D1053" s="703"/>
      <c r="E1053" s="703"/>
      <c r="F1053" s="704"/>
      <c r="G1053" s="94">
        <f>SUM(G951:G1052)</f>
        <v>0</v>
      </c>
      <c r="H1053" s="94">
        <f>SUM(H951:H1052)</f>
        <v>0</v>
      </c>
      <c r="I1053" s="94">
        <f>SUM(I976:I1052)</f>
        <v>0</v>
      </c>
    </row>
    <row r="1054" spans="1:9" ht="12.75" customHeight="1" x14ac:dyDescent="0.2">
      <c r="A1054" s="702" t="s">
        <v>3560</v>
      </c>
      <c r="B1054" s="703"/>
      <c r="C1054" s="703"/>
      <c r="D1054" s="703"/>
      <c r="E1054" s="703"/>
      <c r="F1054" s="704"/>
      <c r="G1054" s="94">
        <f>G926</f>
        <v>0</v>
      </c>
      <c r="H1054" s="94">
        <f>H926</f>
        <v>0</v>
      </c>
      <c r="I1054" s="94">
        <f>I908</f>
        <v>0</v>
      </c>
    </row>
    <row r="1055" spans="1:9" ht="12.75" customHeight="1" thickBot="1" x14ac:dyDescent="0.25">
      <c r="A1055" s="705" t="s">
        <v>3558</v>
      </c>
      <c r="B1055" s="706"/>
      <c r="C1055" s="706"/>
      <c r="D1055" s="706"/>
      <c r="E1055" s="706"/>
      <c r="F1055" s="707"/>
      <c r="G1055" s="93">
        <f>SUM(G1053:G1054)</f>
        <v>0</v>
      </c>
      <c r="H1055" s="93">
        <f>SUM(H1053:H1054)</f>
        <v>0</v>
      </c>
      <c r="I1055" s="93"/>
    </row>
    <row r="1056" spans="1:9" ht="12.75" customHeight="1" x14ac:dyDescent="0.2">
      <c r="G1056" s="46"/>
      <c r="H1056" s="46">
        <f>DVUD!K1057</f>
        <v>0</v>
      </c>
      <c r="I1056" s="46"/>
    </row>
    <row r="1057" spans="1:9" ht="12.75" customHeight="1" x14ac:dyDescent="0.2">
      <c r="A1057" s="687"/>
      <c r="B1057" s="687"/>
      <c r="C1057" s="687"/>
      <c r="D1057" s="687"/>
      <c r="E1057" s="143"/>
      <c r="F1057" s="143"/>
      <c r="G1057" s="708" t="s">
        <v>3537</v>
      </c>
      <c r="H1057" s="708"/>
      <c r="I1057" s="708"/>
    </row>
    <row r="1058" spans="1:9" ht="12.75" customHeight="1" x14ac:dyDescent="0.2">
      <c r="A1058" s="687"/>
      <c r="B1058" s="687"/>
      <c r="C1058" s="687"/>
      <c r="D1058" s="687"/>
      <c r="E1058" s="143"/>
      <c r="F1058" s="143"/>
      <c r="G1058" s="708" t="s">
        <v>3783</v>
      </c>
      <c r="H1058" s="708"/>
      <c r="I1058" s="708"/>
    </row>
    <row r="1059" spans="1:9" ht="12.75" customHeight="1" x14ac:dyDescent="0.2">
      <c r="A1059" s="9" t="s">
        <v>0</v>
      </c>
      <c r="B1059" s="9"/>
      <c r="C1059" s="9"/>
      <c r="D1059" s="9"/>
      <c r="E1059" s="9"/>
      <c r="F1059" s="9"/>
      <c r="G1059" s="9"/>
      <c r="H1059" s="9"/>
      <c r="I1059" s="9"/>
    </row>
    <row r="1060" spans="1:9" ht="12.75" customHeight="1" x14ac:dyDescent="0.2">
      <c r="A1060" s="9" t="s">
        <v>1</v>
      </c>
      <c r="B1060" s="9"/>
      <c r="C1060" s="9"/>
      <c r="D1060" s="9"/>
      <c r="E1060" s="9"/>
      <c r="F1060" s="9"/>
      <c r="G1060" s="9"/>
      <c r="H1060" s="9"/>
      <c r="I1060" s="9"/>
    </row>
    <row r="1061" spans="1:9" ht="12.75" customHeight="1" x14ac:dyDescent="0.2">
      <c r="A1061" s="9"/>
      <c r="B1061" s="9"/>
      <c r="C1061" s="9"/>
      <c r="D1061" s="9"/>
      <c r="E1061" s="9"/>
      <c r="F1061" s="9"/>
      <c r="G1061" s="9"/>
      <c r="H1061" s="9"/>
      <c r="I1061" s="9"/>
    </row>
    <row r="1062" spans="1:9" ht="12.75" customHeight="1" x14ac:dyDescent="0.2">
      <c r="A1062" s="643" t="s">
        <v>77</v>
      </c>
      <c r="B1062" s="643"/>
      <c r="C1062" s="643"/>
      <c r="D1062" s="643"/>
      <c r="E1062" s="643"/>
      <c r="F1062" s="643"/>
      <c r="G1062" s="643"/>
      <c r="H1062" s="643"/>
      <c r="I1062" s="643"/>
    </row>
    <row r="1063" spans="1:9" ht="12.75" customHeight="1" x14ac:dyDescent="0.2">
      <c r="A1063" s="643" t="s">
        <v>3583</v>
      </c>
      <c r="B1063" s="643"/>
      <c r="C1063" s="643"/>
      <c r="D1063" s="643"/>
      <c r="E1063" s="643"/>
      <c r="F1063" s="643"/>
      <c r="G1063" s="643"/>
      <c r="H1063" s="643"/>
      <c r="I1063" s="643"/>
    </row>
    <row r="1064" spans="1:9" ht="12.75" customHeight="1" x14ac:dyDescent="0.2">
      <c r="A1064" s="240"/>
      <c r="B1064" s="240"/>
      <c r="C1064" s="240"/>
      <c r="D1064" s="240"/>
      <c r="E1064" s="240"/>
      <c r="F1064" s="240"/>
      <c r="G1064" s="240"/>
      <c r="H1064" s="240"/>
      <c r="I1064" s="240"/>
    </row>
    <row r="1065" spans="1:9" ht="12.75" customHeight="1" x14ac:dyDescent="0.2">
      <c r="A1065" s="680" t="s">
        <v>3</v>
      </c>
      <c r="B1065" s="701" t="s">
        <v>4</v>
      </c>
      <c r="C1065" s="701"/>
      <c r="D1065" s="680" t="s">
        <v>5</v>
      </c>
      <c r="E1065" s="662" t="s">
        <v>6</v>
      </c>
      <c r="F1065" s="664"/>
      <c r="G1065" s="310" t="s">
        <v>10</v>
      </c>
      <c r="H1065" s="701" t="s">
        <v>90</v>
      </c>
      <c r="I1065" s="701"/>
    </row>
    <row r="1066" spans="1:9" ht="12.75" customHeight="1" x14ac:dyDescent="0.2">
      <c r="A1066" s="681"/>
      <c r="B1066" s="680" t="s">
        <v>7</v>
      </c>
      <c r="C1066" s="680" t="s">
        <v>3</v>
      </c>
      <c r="D1066" s="681"/>
      <c r="E1066" s="680" t="s">
        <v>8</v>
      </c>
      <c r="F1066" s="680" t="s">
        <v>3</v>
      </c>
      <c r="G1066" s="306" t="s">
        <v>9</v>
      </c>
      <c r="H1066" s="310" t="s">
        <v>11</v>
      </c>
      <c r="I1066" s="310" t="s">
        <v>3342</v>
      </c>
    </row>
    <row r="1067" spans="1:9" ht="12.75" customHeight="1" x14ac:dyDescent="0.2">
      <c r="A1067" s="682"/>
      <c r="B1067" s="682"/>
      <c r="C1067" s="682"/>
      <c r="D1067" s="682"/>
      <c r="E1067" s="682"/>
      <c r="F1067" s="682"/>
      <c r="G1067" s="310" t="s">
        <v>3312</v>
      </c>
      <c r="H1067" s="307" t="s">
        <v>3343</v>
      </c>
      <c r="I1067" s="307" t="s">
        <v>3344</v>
      </c>
    </row>
    <row r="1068" spans="1:9" ht="12.75" customHeight="1" x14ac:dyDescent="0.2">
      <c r="A1068" s="72" t="s">
        <v>4900</v>
      </c>
      <c r="B1068" s="72">
        <v>702</v>
      </c>
      <c r="C1068" s="211"/>
      <c r="D1068" s="31" t="s">
        <v>4901</v>
      </c>
      <c r="E1068" s="212"/>
      <c r="F1068" s="60"/>
      <c r="G1068" s="90">
        <f t="shared" ref="G1068:G1129" si="55">H1068</f>
        <v>0</v>
      </c>
      <c r="H1068" s="90">
        <f>DVUD!K1105</f>
        <v>0</v>
      </c>
      <c r="I1068" s="90"/>
    </row>
    <row r="1069" spans="1:9" ht="12.75" customHeight="1" x14ac:dyDescent="0.2">
      <c r="A1069" s="72"/>
      <c r="B1069" s="72">
        <v>703</v>
      </c>
      <c r="C1069" s="38"/>
      <c r="D1069" s="31" t="s">
        <v>4902</v>
      </c>
      <c r="E1069" s="41"/>
      <c r="F1069" s="31"/>
      <c r="G1069" s="107">
        <f t="shared" si="55"/>
        <v>0</v>
      </c>
      <c r="H1069" s="107">
        <f>DVUD!K1106</f>
        <v>0</v>
      </c>
      <c r="I1069" s="107"/>
    </row>
    <row r="1070" spans="1:9" ht="12.75" customHeight="1" x14ac:dyDescent="0.2">
      <c r="A1070" s="72" t="s">
        <v>4903</v>
      </c>
      <c r="B1070" s="72">
        <v>704</v>
      </c>
      <c r="C1070" s="38"/>
      <c r="D1070" s="31" t="s">
        <v>4904</v>
      </c>
      <c r="E1070" s="41"/>
      <c r="F1070" s="31"/>
      <c r="G1070" s="107">
        <f t="shared" si="55"/>
        <v>0</v>
      </c>
      <c r="H1070" s="107">
        <f>DVUD!K1107</f>
        <v>0</v>
      </c>
      <c r="I1070" s="107"/>
    </row>
    <row r="1071" spans="1:9" ht="12.75" customHeight="1" x14ac:dyDescent="0.2">
      <c r="A1071" s="72"/>
      <c r="B1071" s="72">
        <v>705</v>
      </c>
      <c r="C1071" s="38"/>
      <c r="D1071" s="31" t="s">
        <v>4435</v>
      </c>
      <c r="E1071" s="41"/>
      <c r="F1071" s="31"/>
      <c r="G1071" s="107">
        <f t="shared" si="55"/>
        <v>0</v>
      </c>
      <c r="H1071" s="107">
        <f>DVUD!K1108</f>
        <v>0</v>
      </c>
      <c r="I1071" s="107"/>
    </row>
    <row r="1072" spans="1:9" ht="12.75" customHeight="1" x14ac:dyDescent="0.2">
      <c r="A1072" s="72"/>
      <c r="B1072" s="72">
        <v>706</v>
      </c>
      <c r="C1072" s="38"/>
      <c r="D1072" s="31" t="s">
        <v>4905</v>
      </c>
      <c r="E1072" s="41"/>
      <c r="F1072" s="31"/>
      <c r="G1072" s="107">
        <f t="shared" si="55"/>
        <v>0</v>
      </c>
      <c r="H1072" s="107">
        <f>DVUD!K1109</f>
        <v>0</v>
      </c>
      <c r="I1072" s="107"/>
    </row>
    <row r="1073" spans="1:9" ht="12.75" customHeight="1" x14ac:dyDescent="0.2">
      <c r="A1073" s="72"/>
      <c r="B1073" s="72">
        <v>707</v>
      </c>
      <c r="C1073" s="38"/>
      <c r="D1073" s="31" t="s">
        <v>4906</v>
      </c>
      <c r="E1073" s="41"/>
      <c r="F1073" s="31"/>
      <c r="G1073" s="107">
        <f t="shared" si="55"/>
        <v>0</v>
      </c>
      <c r="H1073" s="107">
        <f>DVUD!K1110</f>
        <v>0</v>
      </c>
      <c r="I1073" s="107"/>
    </row>
    <row r="1074" spans="1:9" ht="12.75" customHeight="1" x14ac:dyDescent="0.2">
      <c r="A1074" s="72" t="s">
        <v>4907</v>
      </c>
      <c r="B1074" s="72">
        <v>708</v>
      </c>
      <c r="C1074" s="38"/>
      <c r="D1074" s="31" t="s">
        <v>3841</v>
      </c>
      <c r="E1074" s="41"/>
      <c r="F1074" s="31"/>
      <c r="G1074" s="107">
        <f t="shared" si="55"/>
        <v>0</v>
      </c>
      <c r="H1074" s="107">
        <f>DVUD!K1111</f>
        <v>0</v>
      </c>
      <c r="I1074" s="107"/>
    </row>
    <row r="1075" spans="1:9" ht="12.75" customHeight="1" x14ac:dyDescent="0.2">
      <c r="A1075" s="72"/>
      <c r="B1075" s="72">
        <v>709</v>
      </c>
      <c r="C1075" s="38"/>
      <c r="D1075" s="31" t="s">
        <v>3842</v>
      </c>
      <c r="E1075" s="41"/>
      <c r="F1075" s="31"/>
      <c r="G1075" s="107">
        <f t="shared" si="55"/>
        <v>0</v>
      </c>
      <c r="H1075" s="107">
        <f>DVUD!K1112</f>
        <v>0</v>
      </c>
      <c r="I1075" s="107"/>
    </row>
    <row r="1076" spans="1:9" ht="12.75" customHeight="1" x14ac:dyDescent="0.2">
      <c r="A1076" s="72"/>
      <c r="B1076" s="72">
        <v>710</v>
      </c>
      <c r="C1076" s="38"/>
      <c r="D1076" s="31" t="s">
        <v>3843</v>
      </c>
      <c r="E1076" s="41"/>
      <c r="F1076" s="31"/>
      <c r="G1076" s="107">
        <f t="shared" si="55"/>
        <v>0</v>
      </c>
      <c r="H1076" s="107">
        <f>DVUD!K1113</f>
        <v>0</v>
      </c>
      <c r="I1076" s="107"/>
    </row>
    <row r="1077" spans="1:9" ht="12.75" customHeight="1" x14ac:dyDescent="0.2">
      <c r="A1077" s="72"/>
      <c r="B1077" s="72">
        <v>711</v>
      </c>
      <c r="C1077" s="38"/>
      <c r="D1077" s="31" t="s">
        <v>3996</v>
      </c>
      <c r="E1077" s="41"/>
      <c r="F1077" s="31"/>
      <c r="G1077" s="107">
        <f t="shared" si="55"/>
        <v>0</v>
      </c>
      <c r="H1077" s="107">
        <f>DVUD!K1114</f>
        <v>0</v>
      </c>
      <c r="I1077" s="107"/>
    </row>
    <row r="1078" spans="1:9" ht="12.75" customHeight="1" x14ac:dyDescent="0.2">
      <c r="A1078" s="72"/>
      <c r="B1078" s="72">
        <v>712</v>
      </c>
      <c r="C1078" s="38"/>
      <c r="D1078" s="31" t="s">
        <v>4908</v>
      </c>
      <c r="E1078" s="41"/>
      <c r="F1078" s="31"/>
      <c r="G1078" s="107">
        <f t="shared" si="55"/>
        <v>0</v>
      </c>
      <c r="H1078" s="107">
        <f>DVUD!K1115</f>
        <v>0</v>
      </c>
      <c r="I1078" s="107"/>
    </row>
    <row r="1079" spans="1:9" ht="12.75" customHeight="1" x14ac:dyDescent="0.2">
      <c r="A1079" s="72"/>
      <c r="B1079" s="72">
        <v>713</v>
      </c>
      <c r="C1079" s="38"/>
      <c r="D1079" s="31" t="s">
        <v>4033</v>
      </c>
      <c r="E1079" s="41"/>
      <c r="F1079" s="31"/>
      <c r="G1079" s="107">
        <f t="shared" si="55"/>
        <v>0</v>
      </c>
      <c r="H1079" s="107">
        <f>DVUD!K1116</f>
        <v>0</v>
      </c>
      <c r="I1079" s="107"/>
    </row>
    <row r="1080" spans="1:9" ht="12.75" customHeight="1" x14ac:dyDescent="0.2">
      <c r="A1080" s="72"/>
      <c r="B1080" s="72">
        <v>714</v>
      </c>
      <c r="C1080" s="38"/>
      <c r="D1080" s="31" t="s">
        <v>4909</v>
      </c>
      <c r="E1080" s="41"/>
      <c r="F1080" s="31"/>
      <c r="G1080" s="107">
        <f t="shared" si="55"/>
        <v>0</v>
      </c>
      <c r="H1080" s="107">
        <f>DVUD!K1117</f>
        <v>0</v>
      </c>
      <c r="I1080" s="107"/>
    </row>
    <row r="1081" spans="1:9" ht="12.75" customHeight="1" x14ac:dyDescent="0.2">
      <c r="A1081" s="72"/>
      <c r="B1081" s="72">
        <v>715</v>
      </c>
      <c r="C1081" s="38"/>
      <c r="D1081" s="31" t="s">
        <v>4910</v>
      </c>
      <c r="E1081" s="41"/>
      <c r="F1081" s="31"/>
      <c r="G1081" s="107">
        <f t="shared" si="55"/>
        <v>0</v>
      </c>
      <c r="H1081" s="107">
        <f>DVUD!K1118</f>
        <v>0</v>
      </c>
      <c r="I1081" s="107"/>
    </row>
    <row r="1082" spans="1:9" ht="12.75" customHeight="1" x14ac:dyDescent="0.2">
      <c r="A1082" s="72"/>
      <c r="B1082" s="72">
        <v>716</v>
      </c>
      <c r="C1082" s="38"/>
      <c r="D1082" s="31" t="s">
        <v>4144</v>
      </c>
      <c r="E1082" s="41"/>
      <c r="F1082" s="31"/>
      <c r="G1082" s="107">
        <f t="shared" si="55"/>
        <v>0</v>
      </c>
      <c r="H1082" s="107">
        <f>DVUD!K1119</f>
        <v>0</v>
      </c>
      <c r="I1082" s="107"/>
    </row>
    <row r="1083" spans="1:9" ht="12.75" customHeight="1" x14ac:dyDescent="0.2">
      <c r="A1083" s="72" t="s">
        <v>4911</v>
      </c>
      <c r="B1083" s="72">
        <v>717</v>
      </c>
      <c r="C1083" s="38"/>
      <c r="D1083" s="31" t="s">
        <v>4912</v>
      </c>
      <c r="E1083" s="41"/>
      <c r="F1083" s="31"/>
      <c r="G1083" s="107">
        <f t="shared" si="55"/>
        <v>0</v>
      </c>
      <c r="H1083" s="107">
        <f>DVUD!K1120</f>
        <v>0</v>
      </c>
      <c r="I1083" s="107"/>
    </row>
    <row r="1084" spans="1:9" ht="12.75" customHeight="1" x14ac:dyDescent="0.2">
      <c r="A1084" s="72"/>
      <c r="B1084" s="72"/>
      <c r="C1084" s="38"/>
      <c r="D1084" s="31"/>
      <c r="E1084" s="41"/>
      <c r="F1084" s="31"/>
      <c r="G1084" s="107">
        <f t="shared" si="55"/>
        <v>0</v>
      </c>
      <c r="H1084" s="107">
        <f>DVUD!K1121</f>
        <v>0</v>
      </c>
      <c r="I1084" s="107"/>
    </row>
    <row r="1085" spans="1:9" ht="12.75" customHeight="1" x14ac:dyDescent="0.2">
      <c r="A1085" s="72"/>
      <c r="B1085" s="72"/>
      <c r="C1085" s="38"/>
      <c r="D1085" s="265"/>
      <c r="E1085" s="41"/>
      <c r="F1085" s="31"/>
      <c r="G1085" s="107">
        <f t="shared" si="55"/>
        <v>0</v>
      </c>
      <c r="H1085" s="107">
        <f>DVUD!K1122</f>
        <v>0</v>
      </c>
      <c r="I1085" s="107"/>
    </row>
    <row r="1086" spans="1:9" ht="12.75" customHeight="1" x14ac:dyDescent="0.2">
      <c r="A1086" s="72"/>
      <c r="B1086" s="72">
        <v>718</v>
      </c>
      <c r="C1086" s="38"/>
      <c r="D1086" s="265" t="s">
        <v>4144</v>
      </c>
      <c r="E1086" s="41"/>
      <c r="F1086" s="31"/>
      <c r="G1086" s="107">
        <f t="shared" si="55"/>
        <v>0</v>
      </c>
      <c r="H1086" s="107">
        <f>DVUD!K1123</f>
        <v>0</v>
      </c>
      <c r="I1086" s="107"/>
    </row>
    <row r="1087" spans="1:9" ht="12.75" customHeight="1" x14ac:dyDescent="0.2">
      <c r="A1087" s="72"/>
      <c r="B1087" s="72">
        <v>719</v>
      </c>
      <c r="C1087" s="38"/>
      <c r="D1087" s="265" t="s">
        <v>3845</v>
      </c>
      <c r="E1087" s="41"/>
      <c r="F1087" s="31"/>
      <c r="G1087" s="107">
        <f t="shared" si="55"/>
        <v>0</v>
      </c>
      <c r="H1087" s="107">
        <f>DVUD!K1124</f>
        <v>0</v>
      </c>
      <c r="I1087" s="107"/>
    </row>
    <row r="1088" spans="1:9" ht="12.75" customHeight="1" x14ac:dyDescent="0.2">
      <c r="A1088" s="72"/>
      <c r="B1088" s="72">
        <v>720</v>
      </c>
      <c r="C1088" s="38"/>
      <c r="D1088" s="265" t="s">
        <v>4913</v>
      </c>
      <c r="E1088" s="41"/>
      <c r="F1088" s="31"/>
      <c r="G1088" s="107">
        <f t="shared" si="55"/>
        <v>0</v>
      </c>
      <c r="H1088" s="107">
        <f>DVUD!K1125</f>
        <v>0</v>
      </c>
      <c r="I1088" s="107"/>
    </row>
    <row r="1089" spans="1:9" ht="12.75" customHeight="1" x14ac:dyDescent="0.2">
      <c r="A1089" s="72" t="s">
        <v>4914</v>
      </c>
      <c r="B1089" s="72">
        <v>721</v>
      </c>
      <c r="C1089" s="38"/>
      <c r="D1089" s="31" t="s">
        <v>4915</v>
      </c>
      <c r="E1089" s="41"/>
      <c r="F1089" s="31"/>
      <c r="G1089" s="107">
        <f t="shared" si="55"/>
        <v>0</v>
      </c>
      <c r="H1089" s="107">
        <f>DVUD!K1126</f>
        <v>0</v>
      </c>
      <c r="I1089" s="107"/>
    </row>
    <row r="1090" spans="1:9" ht="12.75" customHeight="1" x14ac:dyDescent="0.2">
      <c r="A1090" s="72" t="s">
        <v>3791</v>
      </c>
      <c r="B1090" s="72">
        <v>722</v>
      </c>
      <c r="C1090" s="38"/>
      <c r="D1090" s="31" t="s">
        <v>4916</v>
      </c>
      <c r="E1090" s="41"/>
      <c r="F1090" s="31"/>
      <c r="G1090" s="107">
        <f t="shared" si="55"/>
        <v>0</v>
      </c>
      <c r="H1090" s="107">
        <f>DVUD!K1127</f>
        <v>0</v>
      </c>
      <c r="I1090" s="107"/>
    </row>
    <row r="1091" spans="1:9" ht="12.75" customHeight="1" x14ac:dyDescent="0.2">
      <c r="A1091" s="72"/>
      <c r="B1091" s="72">
        <v>723</v>
      </c>
      <c r="C1091" s="38"/>
      <c r="D1091" s="31" t="s">
        <v>4917</v>
      </c>
      <c r="E1091" s="176"/>
      <c r="F1091" s="173"/>
      <c r="G1091" s="107">
        <f t="shared" si="55"/>
        <v>0</v>
      </c>
      <c r="H1091" s="107">
        <f>DVUD!K1128</f>
        <v>0</v>
      </c>
      <c r="I1091" s="107"/>
    </row>
    <row r="1092" spans="1:9" ht="12.75" customHeight="1" x14ac:dyDescent="0.2">
      <c r="A1092" s="72"/>
      <c r="B1092" s="72">
        <v>724</v>
      </c>
      <c r="C1092" s="38"/>
      <c r="D1092" s="31" t="s">
        <v>4918</v>
      </c>
      <c r="E1092" s="176"/>
      <c r="F1092" s="173"/>
      <c r="G1092" s="107">
        <f t="shared" si="55"/>
        <v>0</v>
      </c>
      <c r="H1092" s="107">
        <f>DVUD!K1129</f>
        <v>0</v>
      </c>
      <c r="I1092" s="107"/>
    </row>
    <row r="1093" spans="1:9" ht="12.75" customHeight="1" x14ac:dyDescent="0.2">
      <c r="A1093" s="72"/>
      <c r="B1093" s="72">
        <v>725</v>
      </c>
      <c r="C1093" s="38"/>
      <c r="D1093" s="31" t="s">
        <v>3985</v>
      </c>
      <c r="E1093" s="176"/>
      <c r="F1093" s="173"/>
      <c r="G1093" s="107">
        <f t="shared" si="55"/>
        <v>0</v>
      </c>
      <c r="H1093" s="107">
        <f>DVUD!K1130</f>
        <v>0</v>
      </c>
      <c r="I1093" s="107"/>
    </row>
    <row r="1094" spans="1:9" ht="12.75" customHeight="1" x14ac:dyDescent="0.2">
      <c r="A1094" s="72" t="s">
        <v>4919</v>
      </c>
      <c r="B1094" s="72">
        <v>726</v>
      </c>
      <c r="C1094" s="38"/>
      <c r="D1094" s="31" t="s">
        <v>4742</v>
      </c>
      <c r="E1094" s="176"/>
      <c r="F1094" s="173"/>
      <c r="G1094" s="107">
        <f t="shared" si="55"/>
        <v>0</v>
      </c>
      <c r="H1094" s="107">
        <f>DVUD!K1131</f>
        <v>0</v>
      </c>
      <c r="I1094" s="107"/>
    </row>
    <row r="1095" spans="1:9" ht="12.75" customHeight="1" x14ac:dyDescent="0.2">
      <c r="A1095" s="72"/>
      <c r="B1095" s="72">
        <v>727</v>
      </c>
      <c r="C1095" s="38"/>
      <c r="D1095" s="31" t="s">
        <v>3257</v>
      </c>
      <c r="E1095" s="176"/>
      <c r="F1095" s="173"/>
      <c r="G1095" s="107">
        <f t="shared" si="55"/>
        <v>0</v>
      </c>
      <c r="H1095" s="107">
        <f>DVUD!K1132</f>
        <v>0</v>
      </c>
      <c r="I1095" s="107"/>
    </row>
    <row r="1096" spans="1:9" ht="12.75" customHeight="1" x14ac:dyDescent="0.2">
      <c r="A1096" s="72"/>
      <c r="B1096" s="72">
        <v>728</v>
      </c>
      <c r="C1096" s="38"/>
      <c r="D1096" s="31" t="s">
        <v>3869</v>
      </c>
      <c r="E1096" s="176"/>
      <c r="F1096" s="173"/>
      <c r="G1096" s="107">
        <f t="shared" si="55"/>
        <v>0</v>
      </c>
      <c r="H1096" s="107">
        <f>DVUD!K1133</f>
        <v>0</v>
      </c>
      <c r="I1096" s="107"/>
    </row>
    <row r="1097" spans="1:9" ht="12.75" customHeight="1" x14ac:dyDescent="0.2">
      <c r="A1097" s="72" t="s">
        <v>4920</v>
      </c>
      <c r="B1097" s="72">
        <v>729</v>
      </c>
      <c r="C1097" s="38"/>
      <c r="D1097" s="265" t="s">
        <v>4921</v>
      </c>
      <c r="E1097" s="176"/>
      <c r="F1097" s="173"/>
      <c r="G1097" s="107">
        <f t="shared" si="55"/>
        <v>0</v>
      </c>
      <c r="H1097" s="107">
        <f>DVUD!K1134</f>
        <v>0</v>
      </c>
      <c r="I1097" s="107"/>
    </row>
    <row r="1098" spans="1:9" ht="12.75" customHeight="1" x14ac:dyDescent="0.2">
      <c r="A1098" s="72"/>
      <c r="B1098" s="72">
        <v>730</v>
      </c>
      <c r="C1098" s="38"/>
      <c r="D1098" s="265" t="s">
        <v>4922</v>
      </c>
      <c r="E1098" s="176"/>
      <c r="F1098" s="173"/>
      <c r="G1098" s="107">
        <f t="shared" si="55"/>
        <v>0</v>
      </c>
      <c r="H1098" s="107">
        <f>DVUD!K1135</f>
        <v>0</v>
      </c>
      <c r="I1098" s="107"/>
    </row>
    <row r="1099" spans="1:9" ht="12.75" customHeight="1" x14ac:dyDescent="0.2">
      <c r="A1099" s="263"/>
      <c r="B1099" s="72">
        <v>731</v>
      </c>
      <c r="C1099" s="38"/>
      <c r="D1099" s="265" t="s">
        <v>4923</v>
      </c>
      <c r="E1099" s="176"/>
      <c r="F1099" s="173"/>
      <c r="G1099" s="107">
        <f t="shared" si="55"/>
        <v>0</v>
      </c>
      <c r="H1099" s="107">
        <f>DVUD!K1136</f>
        <v>0</v>
      </c>
      <c r="I1099" s="107"/>
    </row>
    <row r="1100" spans="1:9" ht="12.75" customHeight="1" x14ac:dyDescent="0.2">
      <c r="A1100" s="72" t="s">
        <v>4924</v>
      </c>
      <c r="B1100" s="72">
        <v>732</v>
      </c>
      <c r="C1100" s="38"/>
      <c r="D1100" s="265" t="s">
        <v>4917</v>
      </c>
      <c r="E1100" s="176"/>
      <c r="F1100" s="173"/>
      <c r="G1100" s="107">
        <f t="shared" si="55"/>
        <v>0</v>
      </c>
      <c r="H1100" s="107">
        <f>DVUD!K1137</f>
        <v>0</v>
      </c>
      <c r="I1100" s="107"/>
    </row>
    <row r="1101" spans="1:9" ht="12.75" customHeight="1" x14ac:dyDescent="0.2">
      <c r="A1101" s="72"/>
      <c r="B1101" s="72">
        <v>733</v>
      </c>
      <c r="C1101" s="38"/>
      <c r="D1101" s="31" t="s">
        <v>4925</v>
      </c>
      <c r="E1101" s="176"/>
      <c r="F1101" s="173"/>
      <c r="G1101" s="107">
        <f t="shared" si="55"/>
        <v>0</v>
      </c>
      <c r="H1101" s="107">
        <f>DVUD!K1138</f>
        <v>0</v>
      </c>
      <c r="I1101" s="107"/>
    </row>
    <row r="1102" spans="1:9" ht="12.75" customHeight="1" x14ac:dyDescent="0.2">
      <c r="A1102" s="72"/>
      <c r="B1102" s="72">
        <v>734</v>
      </c>
      <c r="C1102" s="38"/>
      <c r="D1102" s="31" t="s">
        <v>3256</v>
      </c>
      <c r="E1102" s="176"/>
      <c r="F1102" s="173"/>
      <c r="G1102" s="107">
        <f t="shared" si="55"/>
        <v>0</v>
      </c>
      <c r="H1102" s="107">
        <f>DVUD!K1139</f>
        <v>0</v>
      </c>
      <c r="I1102" s="107"/>
    </row>
    <row r="1103" spans="1:9" ht="12.75" customHeight="1" x14ac:dyDescent="0.2">
      <c r="A1103" s="72"/>
      <c r="B1103" s="72"/>
      <c r="C1103" s="38"/>
      <c r="D1103" s="31"/>
      <c r="E1103" s="176"/>
      <c r="F1103" s="173"/>
      <c r="G1103" s="107">
        <f t="shared" si="55"/>
        <v>0</v>
      </c>
      <c r="H1103" s="107">
        <f>DVUD!K1140</f>
        <v>0</v>
      </c>
      <c r="I1103" s="107"/>
    </row>
    <row r="1104" spans="1:9" ht="12.75" customHeight="1" x14ac:dyDescent="0.2">
      <c r="A1104" s="72"/>
      <c r="B1104" s="72"/>
      <c r="C1104" s="38"/>
      <c r="D1104" s="31"/>
      <c r="E1104" s="176"/>
      <c r="F1104" s="173"/>
      <c r="G1104" s="107">
        <f t="shared" si="55"/>
        <v>0</v>
      </c>
      <c r="H1104" s="107">
        <f>DVUD!K1141</f>
        <v>0</v>
      </c>
      <c r="I1104" s="107"/>
    </row>
    <row r="1105" spans="1:9" ht="12.75" customHeight="1" x14ac:dyDescent="0.2">
      <c r="A1105" s="72"/>
      <c r="B1105" s="72">
        <v>735</v>
      </c>
      <c r="C1105" s="38"/>
      <c r="D1105" s="31" t="s">
        <v>3895</v>
      </c>
      <c r="E1105" s="176"/>
      <c r="F1105" s="173"/>
      <c r="G1105" s="107">
        <f t="shared" si="55"/>
        <v>0</v>
      </c>
      <c r="H1105" s="107">
        <f>DVUD!K1142</f>
        <v>0</v>
      </c>
      <c r="I1105" s="107"/>
    </row>
    <row r="1106" spans="1:9" ht="12.75" customHeight="1" x14ac:dyDescent="0.2">
      <c r="A1106" s="72"/>
      <c r="B1106" s="72">
        <v>736</v>
      </c>
      <c r="C1106" s="38"/>
      <c r="D1106" s="31" t="s">
        <v>4927</v>
      </c>
      <c r="E1106" s="176"/>
      <c r="F1106" s="173"/>
      <c r="G1106" s="107">
        <f t="shared" si="55"/>
        <v>0</v>
      </c>
      <c r="H1106" s="107">
        <f>DVUD!K1143</f>
        <v>0</v>
      </c>
      <c r="I1106" s="107"/>
    </row>
    <row r="1107" spans="1:9" ht="12.75" customHeight="1" x14ac:dyDescent="0.2">
      <c r="A1107" s="72"/>
      <c r="B1107" s="72"/>
      <c r="C1107" s="38"/>
      <c r="D1107" s="31"/>
      <c r="E1107" s="176"/>
      <c r="F1107" s="173"/>
      <c r="G1107" s="107">
        <f t="shared" si="55"/>
        <v>0</v>
      </c>
      <c r="H1107" s="107">
        <f>DVUD!K1144</f>
        <v>0</v>
      </c>
      <c r="I1107" s="107"/>
    </row>
    <row r="1108" spans="1:9" ht="12.75" customHeight="1" x14ac:dyDescent="0.2">
      <c r="A1108" s="72"/>
      <c r="B1108" s="72"/>
      <c r="C1108" s="38"/>
      <c r="D1108" s="31"/>
      <c r="E1108" s="176"/>
      <c r="F1108" s="173"/>
      <c r="G1108" s="107">
        <f t="shared" si="55"/>
        <v>0</v>
      </c>
      <c r="H1108" s="107">
        <f>DVUD!K1145</f>
        <v>0</v>
      </c>
      <c r="I1108" s="107"/>
    </row>
    <row r="1109" spans="1:9" ht="12.75" customHeight="1" x14ac:dyDescent="0.2">
      <c r="A1109" s="72"/>
      <c r="B1109" s="72">
        <v>737</v>
      </c>
      <c r="C1109" s="38"/>
      <c r="D1109" s="31" t="s">
        <v>4610</v>
      </c>
      <c r="E1109" s="176"/>
      <c r="F1109" s="173"/>
      <c r="G1109" s="107">
        <f t="shared" si="55"/>
        <v>0</v>
      </c>
      <c r="H1109" s="107">
        <f>DVUD!K1146</f>
        <v>0</v>
      </c>
      <c r="I1109" s="107"/>
    </row>
    <row r="1110" spans="1:9" ht="12.75" customHeight="1" x14ac:dyDescent="0.2">
      <c r="A1110" s="72"/>
      <c r="B1110" s="72">
        <v>738</v>
      </c>
      <c r="C1110" s="38"/>
      <c r="D1110" s="31" t="s">
        <v>4024</v>
      </c>
      <c r="E1110" s="176"/>
      <c r="F1110" s="173"/>
      <c r="G1110" s="107">
        <f t="shared" si="55"/>
        <v>0</v>
      </c>
      <c r="H1110" s="107">
        <f>DVUD!K1147</f>
        <v>0</v>
      </c>
      <c r="I1110" s="107"/>
    </row>
    <row r="1111" spans="1:9" ht="12.75" customHeight="1" x14ac:dyDescent="0.2">
      <c r="A1111" s="72"/>
      <c r="B1111" s="72">
        <v>739</v>
      </c>
      <c r="C1111" s="38"/>
      <c r="D1111" s="31" t="s">
        <v>4928</v>
      </c>
      <c r="E1111" s="176"/>
      <c r="F1111" s="173"/>
      <c r="G1111" s="107">
        <f t="shared" si="55"/>
        <v>0</v>
      </c>
      <c r="H1111" s="107">
        <f>DVUD!K1148</f>
        <v>0</v>
      </c>
      <c r="I1111" s="107"/>
    </row>
    <row r="1112" spans="1:9" ht="12.75" customHeight="1" x14ac:dyDescent="0.2">
      <c r="A1112" s="72"/>
      <c r="B1112" s="72">
        <v>740</v>
      </c>
      <c r="C1112" s="38"/>
      <c r="D1112" s="31" t="s">
        <v>3904</v>
      </c>
      <c r="E1112" s="176"/>
      <c r="F1112" s="173"/>
      <c r="G1112" s="107">
        <f t="shared" si="55"/>
        <v>0</v>
      </c>
      <c r="H1112" s="107">
        <f>DVUD!K1149</f>
        <v>0</v>
      </c>
      <c r="I1112" s="107"/>
    </row>
    <row r="1113" spans="1:9" ht="12.75" customHeight="1" x14ac:dyDescent="0.2">
      <c r="A1113" s="72"/>
      <c r="B1113" s="72">
        <v>741</v>
      </c>
      <c r="C1113" s="38"/>
      <c r="D1113" s="31" t="s">
        <v>3906</v>
      </c>
      <c r="E1113" s="176"/>
      <c r="F1113" s="173"/>
      <c r="G1113" s="107">
        <f t="shared" si="55"/>
        <v>0</v>
      </c>
      <c r="H1113" s="107">
        <f>DVUD!K1150</f>
        <v>0</v>
      </c>
      <c r="I1113" s="107"/>
    </row>
    <row r="1114" spans="1:9" ht="12.75" customHeight="1" x14ac:dyDescent="0.2">
      <c r="A1114" s="72"/>
      <c r="B1114" s="72">
        <v>742</v>
      </c>
      <c r="C1114" s="38"/>
      <c r="D1114" s="31" t="s">
        <v>4389</v>
      </c>
      <c r="E1114" s="176"/>
      <c r="F1114" s="173"/>
      <c r="G1114" s="107">
        <f t="shared" si="55"/>
        <v>0</v>
      </c>
      <c r="H1114" s="107">
        <f>DVUD!K1151</f>
        <v>0</v>
      </c>
      <c r="I1114" s="107"/>
    </row>
    <row r="1115" spans="1:9" ht="12.75" customHeight="1" x14ac:dyDescent="0.2">
      <c r="A1115" s="72"/>
      <c r="B1115" s="72">
        <v>743</v>
      </c>
      <c r="C1115" s="38"/>
      <c r="D1115" s="31" t="s">
        <v>4929</v>
      </c>
      <c r="E1115" s="176"/>
      <c r="F1115" s="173"/>
      <c r="G1115" s="107">
        <f t="shared" si="55"/>
        <v>0</v>
      </c>
      <c r="H1115" s="107">
        <f>DVUD!K1152</f>
        <v>0</v>
      </c>
      <c r="I1115" s="107"/>
    </row>
    <row r="1116" spans="1:9" ht="12.75" customHeight="1" x14ac:dyDescent="0.2">
      <c r="A1116" s="72"/>
      <c r="B1116" s="72">
        <v>744</v>
      </c>
      <c r="C1116" s="38"/>
      <c r="D1116" s="31" t="s">
        <v>3908</v>
      </c>
      <c r="E1116" s="176"/>
      <c r="F1116" s="173"/>
      <c r="G1116" s="107">
        <f t="shared" si="55"/>
        <v>0</v>
      </c>
      <c r="H1116" s="107">
        <f>DVUD!K1153</f>
        <v>0</v>
      </c>
      <c r="I1116" s="107"/>
    </row>
    <row r="1117" spans="1:9" ht="12.75" customHeight="1" x14ac:dyDescent="0.2">
      <c r="A1117" s="72"/>
      <c r="B1117" s="72">
        <v>745</v>
      </c>
      <c r="C1117" s="38"/>
      <c r="D1117" s="31" t="s">
        <v>3910</v>
      </c>
      <c r="E1117" s="176"/>
      <c r="F1117" s="173"/>
      <c r="G1117" s="107">
        <f t="shared" si="55"/>
        <v>0</v>
      </c>
      <c r="H1117" s="107">
        <f>DVUD!K1154</f>
        <v>0</v>
      </c>
      <c r="I1117" s="107"/>
    </row>
    <row r="1118" spans="1:9" ht="12.75" customHeight="1" x14ac:dyDescent="0.2">
      <c r="A1118" s="72"/>
      <c r="B1118" s="72">
        <v>746</v>
      </c>
      <c r="C1118" s="38"/>
      <c r="D1118" s="31" t="s">
        <v>4930</v>
      </c>
      <c r="E1118" s="176"/>
      <c r="F1118" s="173"/>
      <c r="G1118" s="107">
        <f t="shared" si="55"/>
        <v>0</v>
      </c>
      <c r="H1118" s="107">
        <f>DVUD!K1155</f>
        <v>0</v>
      </c>
      <c r="I1118" s="107"/>
    </row>
    <row r="1119" spans="1:9" ht="12.75" customHeight="1" x14ac:dyDescent="0.2">
      <c r="A1119" s="72"/>
      <c r="B1119" s="72">
        <v>747</v>
      </c>
      <c r="C1119" s="38"/>
      <c r="D1119" s="31" t="s">
        <v>3914</v>
      </c>
      <c r="E1119" s="176"/>
      <c r="F1119" s="173"/>
      <c r="G1119" s="107">
        <f t="shared" si="55"/>
        <v>0</v>
      </c>
      <c r="H1119" s="107">
        <f>DVUD!K1156</f>
        <v>0</v>
      </c>
      <c r="I1119" s="107"/>
    </row>
    <row r="1120" spans="1:9" ht="12.75" customHeight="1" x14ac:dyDescent="0.2">
      <c r="A1120" s="72"/>
      <c r="B1120" s="72">
        <v>748</v>
      </c>
      <c r="C1120" s="38"/>
      <c r="D1120" s="31" t="s">
        <v>4025</v>
      </c>
      <c r="E1120" s="176"/>
      <c r="F1120" s="173"/>
      <c r="G1120" s="107">
        <f t="shared" si="55"/>
        <v>0</v>
      </c>
      <c r="H1120" s="107">
        <f>DVUD!K1157</f>
        <v>0</v>
      </c>
      <c r="I1120" s="107"/>
    </row>
    <row r="1121" spans="1:9" ht="12.75" customHeight="1" x14ac:dyDescent="0.2">
      <c r="A1121" s="72"/>
      <c r="B1121" s="72">
        <v>749</v>
      </c>
      <c r="C1121" s="38"/>
      <c r="D1121" s="31" t="s">
        <v>3892</v>
      </c>
      <c r="E1121" s="176"/>
      <c r="F1121" s="173"/>
      <c r="G1121" s="107">
        <f t="shared" si="55"/>
        <v>0</v>
      </c>
      <c r="H1121" s="107">
        <f>DVUD!K1158</f>
        <v>0</v>
      </c>
      <c r="I1121" s="107"/>
    </row>
    <row r="1122" spans="1:9" ht="12.75" customHeight="1" x14ac:dyDescent="0.2">
      <c r="A1122" s="72"/>
      <c r="B1122" s="72">
        <v>750</v>
      </c>
      <c r="C1122" s="38"/>
      <c r="D1122" s="31" t="s">
        <v>4749</v>
      </c>
      <c r="E1122" s="176"/>
      <c r="F1122" s="173"/>
      <c r="G1122" s="107">
        <f t="shared" si="55"/>
        <v>0</v>
      </c>
      <c r="H1122" s="107">
        <f>DVUD!K1159</f>
        <v>0</v>
      </c>
      <c r="I1122" s="107"/>
    </row>
    <row r="1123" spans="1:9" ht="12.75" customHeight="1" x14ac:dyDescent="0.2">
      <c r="A1123" s="72"/>
      <c r="B1123" s="72">
        <v>751</v>
      </c>
      <c r="C1123" s="38"/>
      <c r="D1123" s="31" t="s">
        <v>4931</v>
      </c>
      <c r="E1123" s="176"/>
      <c r="F1123" s="173"/>
      <c r="G1123" s="107">
        <f t="shared" si="55"/>
        <v>0</v>
      </c>
      <c r="H1123" s="107">
        <f>DVUD!K1160</f>
        <v>0</v>
      </c>
      <c r="I1123" s="107"/>
    </row>
    <row r="1124" spans="1:9" ht="12.75" customHeight="1" x14ac:dyDescent="0.2">
      <c r="A1124" s="72"/>
      <c r="B1124" s="72">
        <v>752</v>
      </c>
      <c r="C1124" s="38"/>
      <c r="D1124" s="31" t="s">
        <v>3264</v>
      </c>
      <c r="E1124" s="176"/>
      <c r="F1124" s="173"/>
      <c r="G1124" s="107">
        <f t="shared" si="55"/>
        <v>0</v>
      </c>
      <c r="H1124" s="107">
        <f>DVUD!K1161</f>
        <v>0</v>
      </c>
      <c r="I1124" s="107"/>
    </row>
    <row r="1125" spans="1:9" ht="12.75" customHeight="1" x14ac:dyDescent="0.2">
      <c r="A1125" s="72"/>
      <c r="B1125" s="72">
        <v>753</v>
      </c>
      <c r="C1125" s="38"/>
      <c r="D1125" s="31" t="s">
        <v>4069</v>
      </c>
      <c r="E1125" s="176"/>
      <c r="F1125" s="173"/>
      <c r="G1125" s="107">
        <f t="shared" si="55"/>
        <v>0</v>
      </c>
      <c r="H1125" s="107">
        <f>DVUD!K1162</f>
        <v>0</v>
      </c>
      <c r="I1125" s="107"/>
    </row>
    <row r="1126" spans="1:9" ht="12.75" customHeight="1" x14ac:dyDescent="0.2">
      <c r="A1126" s="72"/>
      <c r="B1126" s="72">
        <v>754</v>
      </c>
      <c r="C1126" s="38"/>
      <c r="D1126" s="31" t="s">
        <v>3887</v>
      </c>
      <c r="E1126" s="176"/>
      <c r="F1126" s="173"/>
      <c r="G1126" s="107">
        <f t="shared" si="55"/>
        <v>0</v>
      </c>
      <c r="H1126" s="107">
        <f>DVUD!K1163</f>
        <v>0</v>
      </c>
      <c r="I1126" s="107"/>
    </row>
    <row r="1127" spans="1:9" ht="12.75" customHeight="1" x14ac:dyDescent="0.2">
      <c r="A1127" s="72"/>
      <c r="B1127" s="72">
        <v>755</v>
      </c>
      <c r="C1127" s="38"/>
      <c r="D1127" s="31" t="s">
        <v>4932</v>
      </c>
      <c r="E1127" s="176"/>
      <c r="F1127" s="173"/>
      <c r="G1127" s="107">
        <f t="shared" si="55"/>
        <v>0</v>
      </c>
      <c r="H1127" s="107">
        <f>DVUD!K1164</f>
        <v>0</v>
      </c>
      <c r="I1127" s="107"/>
    </row>
    <row r="1128" spans="1:9" ht="12.75" customHeight="1" x14ac:dyDescent="0.2">
      <c r="A1128" s="72"/>
      <c r="B1128" s="72">
        <v>756</v>
      </c>
      <c r="C1128" s="38"/>
      <c r="D1128" s="31" t="s">
        <v>4933</v>
      </c>
      <c r="E1128" s="176"/>
      <c r="F1128" s="173"/>
      <c r="G1128" s="107">
        <f t="shared" si="55"/>
        <v>0</v>
      </c>
      <c r="H1128" s="107">
        <f>DVUD!K1165</f>
        <v>0</v>
      </c>
      <c r="I1128" s="107"/>
    </row>
    <row r="1129" spans="1:9" ht="12.75" customHeight="1" x14ac:dyDescent="0.2">
      <c r="A1129" s="72"/>
      <c r="B1129" s="72">
        <v>757</v>
      </c>
      <c r="C1129" s="38"/>
      <c r="D1129" s="31" t="s">
        <v>3881</v>
      </c>
      <c r="E1129" s="176"/>
      <c r="F1129" s="173"/>
      <c r="G1129" s="107">
        <f t="shared" si="55"/>
        <v>0</v>
      </c>
      <c r="H1129" s="107">
        <f>DVUD!K1166</f>
        <v>0</v>
      </c>
      <c r="I1129" s="107"/>
    </row>
    <row r="1130" spans="1:9" ht="12.75" customHeight="1" x14ac:dyDescent="0.2">
      <c r="A1130" s="72"/>
      <c r="B1130" s="72">
        <v>758</v>
      </c>
      <c r="C1130" s="38"/>
      <c r="D1130" s="31" t="s">
        <v>4934</v>
      </c>
      <c r="E1130" s="176"/>
      <c r="F1130" s="173"/>
      <c r="G1130" s="107">
        <f t="shared" ref="G1130:G1131" si="56">H1130</f>
        <v>0</v>
      </c>
      <c r="H1130" s="107">
        <f>DVUD!K1167</f>
        <v>0</v>
      </c>
      <c r="I1130" s="107"/>
    </row>
    <row r="1131" spans="1:9" ht="12.75" customHeight="1" x14ac:dyDescent="0.2">
      <c r="A1131" s="72"/>
      <c r="B1131" s="72">
        <v>759</v>
      </c>
      <c r="C1131" s="38"/>
      <c r="D1131" s="31" t="s">
        <v>4935</v>
      </c>
      <c r="E1131" s="176"/>
      <c r="F1131" s="173"/>
      <c r="G1131" s="107">
        <f t="shared" si="56"/>
        <v>0</v>
      </c>
      <c r="H1131" s="107">
        <f>DVUD!K1168</f>
        <v>0</v>
      </c>
      <c r="I1131" s="107"/>
    </row>
    <row r="1132" spans="1:9" ht="12.75" customHeight="1" x14ac:dyDescent="0.2">
      <c r="A1132" s="72"/>
      <c r="B1132" s="72">
        <v>760</v>
      </c>
      <c r="C1132" s="38"/>
      <c r="D1132" s="31" t="s">
        <v>4936</v>
      </c>
      <c r="E1132" s="176"/>
      <c r="F1132" s="173"/>
      <c r="G1132" s="107">
        <f t="shared" ref="G1132:G1144" si="57">H1132</f>
        <v>0</v>
      </c>
      <c r="H1132" s="107">
        <f>DVUD!K1169</f>
        <v>0</v>
      </c>
      <c r="I1132" s="107"/>
    </row>
    <row r="1133" spans="1:9" ht="12.75" customHeight="1" x14ac:dyDescent="0.2">
      <c r="A1133" s="72"/>
      <c r="B1133" s="72">
        <v>761</v>
      </c>
      <c r="C1133" s="38"/>
      <c r="D1133" s="31" t="s">
        <v>3853</v>
      </c>
      <c r="E1133" s="176"/>
      <c r="F1133" s="173"/>
      <c r="G1133" s="107">
        <f t="shared" si="57"/>
        <v>0</v>
      </c>
      <c r="H1133" s="107">
        <f>DVUD!K1170</f>
        <v>0</v>
      </c>
      <c r="I1133" s="107"/>
    </row>
    <row r="1134" spans="1:9" ht="12.75" customHeight="1" x14ac:dyDescent="0.2">
      <c r="A1134" s="72"/>
      <c r="B1134" s="72">
        <v>762</v>
      </c>
      <c r="C1134" s="38"/>
      <c r="D1134" s="31" t="s">
        <v>3920</v>
      </c>
      <c r="E1134" s="176"/>
      <c r="F1134" s="173"/>
      <c r="G1134" s="107">
        <f t="shared" si="57"/>
        <v>0</v>
      </c>
      <c r="H1134" s="107">
        <f>DVUD!K1171</f>
        <v>0</v>
      </c>
      <c r="I1134" s="107"/>
    </row>
    <row r="1135" spans="1:9" ht="12.75" customHeight="1" x14ac:dyDescent="0.2">
      <c r="A1135" s="72"/>
      <c r="B1135" s="72">
        <v>763</v>
      </c>
      <c r="C1135" s="38"/>
      <c r="D1135" s="31" t="s">
        <v>4938</v>
      </c>
      <c r="E1135" s="176"/>
      <c r="F1135" s="173"/>
      <c r="G1135" s="107">
        <f t="shared" si="57"/>
        <v>0</v>
      </c>
      <c r="H1135" s="107">
        <f>DVUD!K1172</f>
        <v>0</v>
      </c>
      <c r="I1135" s="107"/>
    </row>
    <row r="1136" spans="1:9" ht="12.75" customHeight="1" x14ac:dyDescent="0.2">
      <c r="A1136" s="72"/>
      <c r="B1136" s="72">
        <v>764</v>
      </c>
      <c r="C1136" s="38"/>
      <c r="D1136" s="31" t="s">
        <v>3846</v>
      </c>
      <c r="E1136" s="176"/>
      <c r="F1136" s="173"/>
      <c r="G1136" s="107">
        <f t="shared" si="57"/>
        <v>0</v>
      </c>
      <c r="H1136" s="107">
        <f>DVUD!K1173</f>
        <v>0</v>
      </c>
      <c r="I1136" s="107"/>
    </row>
    <row r="1137" spans="1:9" ht="12.75" customHeight="1" x14ac:dyDescent="0.2">
      <c r="A1137" s="72" t="s">
        <v>4939</v>
      </c>
      <c r="B1137" s="72">
        <v>765</v>
      </c>
      <c r="C1137" s="38"/>
      <c r="D1137" s="31" t="s">
        <v>3878</v>
      </c>
      <c r="E1137" s="176"/>
      <c r="F1137" s="173"/>
      <c r="G1137" s="107">
        <f t="shared" si="57"/>
        <v>0</v>
      </c>
      <c r="H1137" s="107">
        <f>DVUD!K1174</f>
        <v>0</v>
      </c>
      <c r="I1137" s="107"/>
    </row>
    <row r="1138" spans="1:9" ht="12.75" customHeight="1" x14ac:dyDescent="0.2">
      <c r="A1138" s="72"/>
      <c r="B1138" s="72">
        <v>766</v>
      </c>
      <c r="C1138" s="38"/>
      <c r="D1138" s="31" t="s">
        <v>4940</v>
      </c>
      <c r="E1138" s="176"/>
      <c r="F1138" s="173"/>
      <c r="G1138" s="107">
        <f t="shared" si="57"/>
        <v>0</v>
      </c>
      <c r="H1138" s="107">
        <f>DVUD!K1175</f>
        <v>0</v>
      </c>
      <c r="I1138" s="107"/>
    </row>
    <row r="1139" spans="1:9" ht="12.75" customHeight="1" x14ac:dyDescent="0.2">
      <c r="A1139" s="72"/>
      <c r="B1139" s="72">
        <v>767</v>
      </c>
      <c r="C1139" s="38"/>
      <c r="D1139" s="31" t="s">
        <v>4941</v>
      </c>
      <c r="E1139" s="176"/>
      <c r="F1139" s="173"/>
      <c r="G1139" s="107">
        <f t="shared" si="57"/>
        <v>0</v>
      </c>
      <c r="H1139" s="107">
        <f>DVUD!K1176</f>
        <v>0</v>
      </c>
      <c r="I1139" s="107"/>
    </row>
    <row r="1140" spans="1:9" ht="12.75" customHeight="1" x14ac:dyDescent="0.2">
      <c r="A1140" s="72"/>
      <c r="B1140" s="72">
        <v>768</v>
      </c>
      <c r="C1140" s="38"/>
      <c r="D1140" s="31" t="s">
        <v>3846</v>
      </c>
      <c r="E1140" s="176"/>
      <c r="F1140" s="173"/>
      <c r="G1140" s="107">
        <f t="shared" si="57"/>
        <v>0</v>
      </c>
      <c r="H1140" s="107">
        <f>DVUD!K1177</f>
        <v>0</v>
      </c>
      <c r="I1140" s="107"/>
    </row>
    <row r="1141" spans="1:9" ht="12.75" customHeight="1" x14ac:dyDescent="0.2">
      <c r="A1141" s="72" t="s">
        <v>4944</v>
      </c>
      <c r="B1141" s="72">
        <v>769</v>
      </c>
      <c r="C1141" s="38"/>
      <c r="D1141" s="31" t="s">
        <v>3889</v>
      </c>
      <c r="E1141" s="176"/>
      <c r="F1141" s="173"/>
      <c r="G1141" s="107">
        <f t="shared" si="57"/>
        <v>0</v>
      </c>
      <c r="H1141" s="107">
        <f>DVUD!K1178</f>
        <v>0</v>
      </c>
      <c r="I1141" s="107"/>
    </row>
    <row r="1142" spans="1:9" ht="12.75" customHeight="1" x14ac:dyDescent="0.2">
      <c r="A1142" s="72"/>
      <c r="B1142" s="72"/>
      <c r="C1142" s="38"/>
      <c r="D1142" s="31"/>
      <c r="E1142" s="176"/>
      <c r="F1142" s="173"/>
      <c r="G1142" s="107">
        <f t="shared" si="57"/>
        <v>0</v>
      </c>
      <c r="H1142" s="107">
        <f>DVUD!K1179</f>
        <v>0</v>
      </c>
      <c r="I1142" s="107"/>
    </row>
    <row r="1143" spans="1:9" ht="12.75" customHeight="1" x14ac:dyDescent="0.2">
      <c r="A1143" s="72"/>
      <c r="B1143" s="72"/>
      <c r="C1143" s="38"/>
      <c r="D1143" s="31"/>
      <c r="E1143" s="176"/>
      <c r="F1143" s="173"/>
      <c r="G1143" s="107">
        <f t="shared" si="57"/>
        <v>0</v>
      </c>
      <c r="H1143" s="107">
        <f>DVUD!K1180</f>
        <v>0</v>
      </c>
      <c r="I1143" s="107"/>
    </row>
    <row r="1144" spans="1:9" ht="12.75" customHeight="1" x14ac:dyDescent="0.2">
      <c r="A1144" s="72"/>
      <c r="B1144" s="72">
        <v>770</v>
      </c>
      <c r="C1144" s="38"/>
      <c r="D1144" s="31" t="s">
        <v>4945</v>
      </c>
      <c r="E1144" s="176"/>
      <c r="F1144" s="173"/>
      <c r="G1144" s="107">
        <f t="shared" si="57"/>
        <v>0</v>
      </c>
      <c r="H1144" s="107">
        <f>DVUD!K1181</f>
        <v>0</v>
      </c>
      <c r="I1144" s="107"/>
    </row>
    <row r="1145" spans="1:9" ht="12.75" customHeight="1" x14ac:dyDescent="0.2">
      <c r="A1145" s="702" t="s">
        <v>3556</v>
      </c>
      <c r="B1145" s="703"/>
      <c r="C1145" s="703"/>
      <c r="D1145" s="703"/>
      <c r="E1145" s="703"/>
      <c r="F1145" s="704"/>
      <c r="G1145" s="94">
        <f>SUM(G1068:G1144)</f>
        <v>0</v>
      </c>
      <c r="H1145" s="94">
        <f>SUM(H1068:H1144)</f>
        <v>0</v>
      </c>
      <c r="I1145" s="94">
        <f>SUM(I1091:I1144)</f>
        <v>0</v>
      </c>
    </row>
    <row r="1146" spans="1:9" ht="12.75" customHeight="1" x14ac:dyDescent="0.2">
      <c r="A1146" s="702" t="s">
        <v>3560</v>
      </c>
      <c r="B1146" s="703"/>
      <c r="C1146" s="703"/>
      <c r="D1146" s="703"/>
      <c r="E1146" s="703"/>
      <c r="F1146" s="704"/>
      <c r="G1146" s="94">
        <f>G1055</f>
        <v>0</v>
      </c>
      <c r="H1146" s="94">
        <f>H1055</f>
        <v>0</v>
      </c>
      <c r="I1146" s="94">
        <f>I1056</f>
        <v>0</v>
      </c>
    </row>
    <row r="1147" spans="1:9" ht="12.75" customHeight="1" thickBot="1" x14ac:dyDescent="0.25">
      <c r="A1147" s="705" t="s">
        <v>3558</v>
      </c>
      <c r="B1147" s="706"/>
      <c r="C1147" s="706"/>
      <c r="D1147" s="706"/>
      <c r="E1147" s="706"/>
      <c r="F1147" s="707"/>
      <c r="G1147" s="93">
        <f>SUM(G1145:G1146)</f>
        <v>0</v>
      </c>
      <c r="H1147" s="93">
        <f>SUM(H1145:H1146)</f>
        <v>0</v>
      </c>
      <c r="I1147" s="93"/>
    </row>
    <row r="1148" spans="1:9" ht="12.75" customHeight="1" x14ac:dyDescent="0.2">
      <c r="G1148" s="46">
        <f>DVUD!H1184</f>
        <v>0</v>
      </c>
      <c r="H1148" s="46"/>
      <c r="I1148" s="46"/>
    </row>
    <row r="1149" spans="1:9" ht="12.75" customHeight="1" x14ac:dyDescent="0.2">
      <c r="G1149" s="46"/>
      <c r="H1149" s="46"/>
      <c r="I1149" s="46"/>
    </row>
    <row r="1150" spans="1:9" ht="12.75" customHeight="1" x14ac:dyDescent="0.2">
      <c r="G1150" s="46"/>
      <c r="H1150" s="46"/>
      <c r="I1150" s="46"/>
    </row>
    <row r="1151" spans="1:9" ht="12.75" customHeight="1" x14ac:dyDescent="0.2">
      <c r="G1151" s="46"/>
      <c r="H1151" s="46"/>
      <c r="I1151" s="46"/>
    </row>
    <row r="1152" spans="1:9" ht="12.75" customHeight="1" x14ac:dyDescent="0.2">
      <c r="G1152" s="46"/>
      <c r="H1152" s="46"/>
      <c r="I1152" s="46"/>
    </row>
    <row r="1153" spans="7:9" ht="12.75" customHeight="1" x14ac:dyDescent="0.2">
      <c r="G1153" s="46"/>
      <c r="H1153" s="46"/>
      <c r="I1153" s="46"/>
    </row>
    <row r="1154" spans="7:9" ht="12.75" customHeight="1" x14ac:dyDescent="0.2">
      <c r="G1154" s="46"/>
      <c r="H1154" s="46"/>
      <c r="I1154" s="46"/>
    </row>
    <row r="1155" spans="7:9" ht="12.75" customHeight="1" x14ac:dyDescent="0.2">
      <c r="G1155" s="46"/>
      <c r="H1155" s="46"/>
      <c r="I1155" s="46"/>
    </row>
    <row r="1156" spans="7:9" ht="12.75" customHeight="1" x14ac:dyDescent="0.2">
      <c r="G1156" s="46"/>
      <c r="H1156" s="46"/>
      <c r="I1156" s="46"/>
    </row>
    <row r="1157" spans="7:9" ht="12.75" customHeight="1" x14ac:dyDescent="0.2">
      <c r="G1157" s="46"/>
      <c r="H1157" s="46"/>
      <c r="I1157" s="46"/>
    </row>
    <row r="1158" spans="7:9" ht="12.75" customHeight="1" x14ac:dyDescent="0.2">
      <c r="G1158" s="46"/>
      <c r="H1158" s="46"/>
      <c r="I1158" s="46"/>
    </row>
    <row r="1159" spans="7:9" ht="12.75" customHeight="1" x14ac:dyDescent="0.2">
      <c r="G1159" s="46"/>
      <c r="H1159" s="46"/>
      <c r="I1159" s="46"/>
    </row>
    <row r="1160" spans="7:9" ht="12.75" customHeight="1" x14ac:dyDescent="0.2">
      <c r="G1160" s="46"/>
      <c r="H1160" s="46"/>
      <c r="I1160" s="46"/>
    </row>
    <row r="1161" spans="7:9" ht="12.75" customHeight="1" x14ac:dyDescent="0.2">
      <c r="G1161" s="46"/>
      <c r="H1161" s="46"/>
      <c r="I1161" s="46"/>
    </row>
    <row r="1162" spans="7:9" ht="12.75" customHeight="1" x14ac:dyDescent="0.2">
      <c r="G1162" s="46"/>
      <c r="H1162" s="46"/>
      <c r="I1162" s="46"/>
    </row>
    <row r="1163" spans="7:9" ht="12.75" customHeight="1" x14ac:dyDescent="0.2">
      <c r="G1163" s="46"/>
      <c r="H1163" s="46"/>
      <c r="I1163" s="46"/>
    </row>
    <row r="1164" spans="7:9" ht="12.75" customHeight="1" x14ac:dyDescent="0.2">
      <c r="G1164" s="46"/>
      <c r="H1164" s="46"/>
      <c r="I1164" s="46"/>
    </row>
    <row r="1165" spans="7:9" ht="12.75" customHeight="1" x14ac:dyDescent="0.2">
      <c r="G1165" s="46"/>
      <c r="H1165" s="46"/>
      <c r="I1165" s="46"/>
    </row>
    <row r="1166" spans="7:9" ht="12.75" customHeight="1" x14ac:dyDescent="0.2">
      <c r="G1166" s="46"/>
      <c r="H1166" s="46"/>
      <c r="I1166" s="46"/>
    </row>
    <row r="1167" spans="7:9" ht="12.75" customHeight="1" x14ac:dyDescent="0.2">
      <c r="G1167" s="46"/>
      <c r="H1167" s="46"/>
      <c r="I1167" s="46"/>
    </row>
    <row r="1168" spans="7:9" ht="12.75" customHeight="1" x14ac:dyDescent="0.2">
      <c r="G1168" s="46"/>
      <c r="H1168" s="46"/>
      <c r="I1168" s="46"/>
    </row>
    <row r="1169" spans="1:9" ht="12.75" customHeight="1" x14ac:dyDescent="0.2">
      <c r="G1169" s="46"/>
      <c r="H1169" s="46"/>
      <c r="I1169" s="46"/>
    </row>
    <row r="1170" spans="1:9" ht="12.75" customHeight="1" x14ac:dyDescent="0.2">
      <c r="G1170" s="46"/>
      <c r="H1170" s="46"/>
      <c r="I1170" s="46"/>
    </row>
    <row r="1171" spans="1:9" ht="12.75" customHeight="1" x14ac:dyDescent="0.2">
      <c r="G1171" s="46"/>
      <c r="H1171" s="46"/>
      <c r="I1171" s="46"/>
    </row>
    <row r="1172" spans="1:9" ht="12.75" customHeight="1" x14ac:dyDescent="0.2">
      <c r="G1172" s="46"/>
      <c r="H1172" s="46"/>
      <c r="I1172" s="46"/>
    </row>
    <row r="1173" spans="1:9" ht="12.75" customHeight="1" x14ac:dyDescent="0.2">
      <c r="G1173" s="46"/>
      <c r="H1173" s="46"/>
      <c r="I1173" s="46"/>
    </row>
    <row r="1174" spans="1:9" ht="12.75" customHeight="1" x14ac:dyDescent="0.2">
      <c r="G1174" s="46"/>
      <c r="H1174" s="46"/>
      <c r="I1174" s="46"/>
    </row>
    <row r="1175" spans="1:9" ht="12.75" customHeight="1" x14ac:dyDescent="0.2">
      <c r="G1175" s="46"/>
      <c r="H1175" s="46"/>
      <c r="I1175" s="46"/>
    </row>
    <row r="1176" spans="1:9" ht="12.75" customHeight="1" x14ac:dyDescent="0.2">
      <c r="A1176" s="9" t="s">
        <v>0</v>
      </c>
      <c r="B1176" s="9"/>
      <c r="C1176" s="9"/>
      <c r="D1176" s="9"/>
      <c r="E1176" s="9"/>
      <c r="F1176" s="9"/>
      <c r="G1176" s="9"/>
      <c r="H1176" s="9"/>
      <c r="I1176" s="9"/>
    </row>
    <row r="1177" spans="1:9" ht="12.75" customHeight="1" x14ac:dyDescent="0.2">
      <c r="A1177" s="9" t="s">
        <v>1</v>
      </c>
      <c r="B1177" s="9"/>
      <c r="C1177" s="9"/>
      <c r="D1177" s="9"/>
      <c r="E1177" s="9"/>
      <c r="F1177" s="9"/>
      <c r="G1177" s="9"/>
      <c r="H1177" s="9"/>
      <c r="I1177" s="9"/>
    </row>
    <row r="1178" spans="1:9" ht="12.75" customHeight="1" x14ac:dyDescent="0.2">
      <c r="A1178" s="9"/>
      <c r="B1178" s="9"/>
      <c r="C1178" s="9"/>
      <c r="D1178" s="9"/>
      <c r="E1178" s="9"/>
      <c r="F1178" s="9"/>
      <c r="G1178" s="9"/>
      <c r="H1178" s="9"/>
      <c r="I1178" s="9"/>
    </row>
    <row r="1179" spans="1:9" ht="12.75" customHeight="1" x14ac:dyDescent="0.2">
      <c r="A1179" s="643" t="s">
        <v>77</v>
      </c>
      <c r="B1179" s="643"/>
      <c r="C1179" s="643"/>
      <c r="D1179" s="643"/>
      <c r="E1179" s="643"/>
      <c r="F1179" s="643"/>
      <c r="G1179" s="643"/>
      <c r="H1179" s="643"/>
      <c r="I1179" s="643"/>
    </row>
    <row r="1180" spans="1:9" ht="12.75" customHeight="1" x14ac:dyDescent="0.2">
      <c r="A1180" s="643" t="s">
        <v>3756</v>
      </c>
      <c r="B1180" s="643"/>
      <c r="C1180" s="643"/>
      <c r="D1180" s="643"/>
      <c r="E1180" s="643"/>
      <c r="F1180" s="643"/>
      <c r="G1180" s="643"/>
      <c r="H1180" s="643"/>
      <c r="I1180" s="643"/>
    </row>
    <row r="1181" spans="1:9" ht="12.75" customHeight="1" x14ac:dyDescent="0.2">
      <c r="A1181" s="240"/>
      <c r="B1181" s="240"/>
      <c r="C1181" s="240"/>
      <c r="D1181" s="240"/>
      <c r="E1181" s="240"/>
      <c r="F1181" s="240"/>
      <c r="G1181" s="240"/>
      <c r="H1181" s="240"/>
      <c r="I1181" s="240"/>
    </row>
    <row r="1182" spans="1:9" ht="12.75" customHeight="1" x14ac:dyDescent="0.2">
      <c r="A1182" s="680" t="s">
        <v>3</v>
      </c>
      <c r="B1182" s="701" t="s">
        <v>4</v>
      </c>
      <c r="C1182" s="701"/>
      <c r="D1182" s="680" t="s">
        <v>5</v>
      </c>
      <c r="E1182" s="662" t="s">
        <v>6</v>
      </c>
      <c r="F1182" s="664"/>
      <c r="G1182" s="310" t="s">
        <v>10</v>
      </c>
      <c r="H1182" s="701" t="s">
        <v>90</v>
      </c>
      <c r="I1182" s="701"/>
    </row>
    <row r="1183" spans="1:9" ht="12.75" customHeight="1" x14ac:dyDescent="0.2">
      <c r="A1183" s="681"/>
      <c r="B1183" s="680" t="s">
        <v>7</v>
      </c>
      <c r="C1183" s="680" t="s">
        <v>3</v>
      </c>
      <c r="D1183" s="681"/>
      <c r="E1183" s="680" t="s">
        <v>8</v>
      </c>
      <c r="F1183" s="680" t="s">
        <v>3</v>
      </c>
      <c r="G1183" s="306" t="s">
        <v>9</v>
      </c>
      <c r="H1183" s="310" t="s">
        <v>11</v>
      </c>
      <c r="I1183" s="310" t="s">
        <v>3342</v>
      </c>
    </row>
    <row r="1184" spans="1:9" ht="12.75" customHeight="1" x14ac:dyDescent="0.2">
      <c r="A1184" s="682"/>
      <c r="B1184" s="682"/>
      <c r="C1184" s="682"/>
      <c r="D1184" s="682"/>
      <c r="E1184" s="682"/>
      <c r="F1184" s="682"/>
      <c r="G1184" s="310" t="s">
        <v>3312</v>
      </c>
      <c r="H1184" s="307" t="s">
        <v>3343</v>
      </c>
      <c r="I1184" s="307" t="s">
        <v>3344</v>
      </c>
    </row>
    <row r="1185" spans="1:9" ht="12.75" customHeight="1" x14ac:dyDescent="0.2">
      <c r="A1185" s="366" t="s">
        <v>4960</v>
      </c>
      <c r="B1185" s="210">
        <v>771</v>
      </c>
      <c r="C1185" s="211" t="str">
        <f t="shared" ref="C1185:C1216" si="58">A1185</f>
        <v>03 Nov</v>
      </c>
      <c r="D1185" s="60" t="s">
        <v>4457</v>
      </c>
      <c r="E1185" s="212"/>
      <c r="F1185" s="60"/>
      <c r="G1185" s="90">
        <f t="shared" ref="G1185:G1232" si="59">H1185</f>
        <v>0</v>
      </c>
      <c r="H1185" s="90">
        <f>DVUD!K1205</f>
        <v>0</v>
      </c>
      <c r="I1185" s="90"/>
    </row>
    <row r="1186" spans="1:9" ht="12.75" customHeight="1" x14ac:dyDescent="0.2">
      <c r="A1186" s="72"/>
      <c r="B1186" s="72">
        <v>772</v>
      </c>
      <c r="C1186" s="38">
        <f t="shared" si="58"/>
        <v>0</v>
      </c>
      <c r="D1186" s="31" t="s">
        <v>4961</v>
      </c>
      <c r="E1186" s="41"/>
      <c r="F1186" s="31"/>
      <c r="G1186" s="107">
        <f t="shared" si="59"/>
        <v>0</v>
      </c>
      <c r="H1186" s="107">
        <f>DVUD!K1206</f>
        <v>0</v>
      </c>
      <c r="I1186" s="107"/>
    </row>
    <row r="1187" spans="1:9" ht="12.75" customHeight="1" x14ac:dyDescent="0.2">
      <c r="A1187" s="72"/>
      <c r="B1187" s="72">
        <v>773</v>
      </c>
      <c r="C1187" s="38">
        <f t="shared" si="58"/>
        <v>0</v>
      </c>
      <c r="D1187" s="31" t="s">
        <v>4962</v>
      </c>
      <c r="E1187" s="41"/>
      <c r="F1187" s="31"/>
      <c r="G1187" s="107">
        <f t="shared" si="59"/>
        <v>0</v>
      </c>
      <c r="H1187" s="107">
        <f>DVUD!K1207</f>
        <v>0</v>
      </c>
      <c r="I1187" s="107"/>
    </row>
    <row r="1188" spans="1:9" ht="12.75" customHeight="1" x14ac:dyDescent="0.2">
      <c r="A1188" s="72"/>
      <c r="B1188" s="72">
        <v>774</v>
      </c>
      <c r="C1188" s="38">
        <f t="shared" si="58"/>
        <v>0</v>
      </c>
      <c r="D1188" s="31" t="s">
        <v>3846</v>
      </c>
      <c r="E1188" s="41"/>
      <c r="F1188" s="31"/>
      <c r="G1188" s="107">
        <f t="shared" si="59"/>
        <v>0</v>
      </c>
      <c r="H1188" s="107">
        <f>DVUD!K1208</f>
        <v>0</v>
      </c>
      <c r="I1188" s="107"/>
    </row>
    <row r="1189" spans="1:9" ht="12.75" customHeight="1" x14ac:dyDescent="0.2">
      <c r="A1189" s="72" t="s">
        <v>4963</v>
      </c>
      <c r="B1189" s="72">
        <v>775</v>
      </c>
      <c r="C1189" s="38" t="str">
        <f t="shared" si="58"/>
        <v>05 Nov</v>
      </c>
      <c r="D1189" s="31" t="s">
        <v>3997</v>
      </c>
      <c r="E1189" s="41"/>
      <c r="F1189" s="31"/>
      <c r="G1189" s="107">
        <f t="shared" si="59"/>
        <v>0</v>
      </c>
      <c r="H1189" s="107">
        <f>DVUD!K1209</f>
        <v>0</v>
      </c>
      <c r="I1189" s="107"/>
    </row>
    <row r="1190" spans="1:9" ht="12.75" customHeight="1" x14ac:dyDescent="0.2">
      <c r="A1190" s="72" t="s">
        <v>4964</v>
      </c>
      <c r="B1190" s="72">
        <v>776</v>
      </c>
      <c r="C1190" s="38" t="str">
        <f t="shared" si="58"/>
        <v>07 Nov</v>
      </c>
      <c r="D1190" s="31" t="s">
        <v>4965</v>
      </c>
      <c r="E1190" s="41"/>
      <c r="F1190" s="31"/>
      <c r="G1190" s="107">
        <f t="shared" si="59"/>
        <v>0</v>
      </c>
      <c r="H1190" s="107">
        <f>DVUD!K1210</f>
        <v>0</v>
      </c>
      <c r="I1190" s="107"/>
    </row>
    <row r="1191" spans="1:9" ht="12.75" customHeight="1" x14ac:dyDescent="0.25">
      <c r="A1191" s="72" t="s">
        <v>4966</v>
      </c>
      <c r="B1191" s="72">
        <v>777</v>
      </c>
      <c r="C1191" s="38" t="str">
        <f t="shared" si="58"/>
        <v>10 Nov</v>
      </c>
      <c r="D1191" s="31" t="s">
        <v>4144</v>
      </c>
      <c r="E1191" s="41"/>
      <c r="F1191" s="348"/>
      <c r="G1191" s="107">
        <f t="shared" si="59"/>
        <v>0</v>
      </c>
      <c r="H1191" s="107">
        <f>DVUD!K1211</f>
        <v>0</v>
      </c>
      <c r="I1191" s="107"/>
    </row>
    <row r="1192" spans="1:9" ht="12.75" customHeight="1" x14ac:dyDescent="0.2">
      <c r="A1192" s="72"/>
      <c r="B1192" s="72">
        <v>778</v>
      </c>
      <c r="C1192" s="38">
        <f t="shared" si="58"/>
        <v>0</v>
      </c>
      <c r="D1192" s="31" t="s">
        <v>4967</v>
      </c>
      <c r="E1192" s="41"/>
      <c r="F1192" s="31"/>
      <c r="G1192" s="107">
        <f t="shared" si="59"/>
        <v>0</v>
      </c>
      <c r="H1192" s="107">
        <f>DVUD!K1212</f>
        <v>0</v>
      </c>
      <c r="I1192" s="107"/>
    </row>
    <row r="1193" spans="1:9" ht="12.75" customHeight="1" x14ac:dyDescent="0.2">
      <c r="A1193" s="263" t="s">
        <v>4969</v>
      </c>
      <c r="B1193" s="72">
        <v>779</v>
      </c>
      <c r="C1193" s="38" t="str">
        <f t="shared" si="58"/>
        <v>11 Nov</v>
      </c>
      <c r="D1193" s="31" t="s">
        <v>3841</v>
      </c>
      <c r="E1193" s="41"/>
      <c r="F1193" s="31"/>
      <c r="G1193" s="107">
        <f t="shared" si="59"/>
        <v>0</v>
      </c>
      <c r="H1193" s="107">
        <f>DVUD!K1213</f>
        <v>0</v>
      </c>
      <c r="I1193" s="107"/>
    </row>
    <row r="1194" spans="1:9" ht="12.75" customHeight="1" x14ac:dyDescent="0.2">
      <c r="A1194" s="72"/>
      <c r="B1194" s="72">
        <v>780</v>
      </c>
      <c r="C1194" s="38">
        <f t="shared" si="58"/>
        <v>0</v>
      </c>
      <c r="D1194" s="31" t="s">
        <v>3842</v>
      </c>
      <c r="E1194" s="41"/>
      <c r="F1194" s="31"/>
      <c r="G1194" s="107">
        <f t="shared" si="59"/>
        <v>0</v>
      </c>
      <c r="H1194" s="107">
        <f>DVUD!K1214</f>
        <v>0</v>
      </c>
      <c r="I1194" s="107"/>
    </row>
    <row r="1195" spans="1:9" ht="12.75" customHeight="1" x14ac:dyDescent="0.2">
      <c r="A1195" s="72"/>
      <c r="B1195" s="72">
        <v>781</v>
      </c>
      <c r="C1195" s="38">
        <f t="shared" si="58"/>
        <v>0</v>
      </c>
      <c r="D1195" s="31" t="s">
        <v>3843</v>
      </c>
      <c r="E1195" s="41"/>
      <c r="F1195" s="31"/>
      <c r="G1195" s="107">
        <f t="shared" si="59"/>
        <v>0</v>
      </c>
      <c r="H1195" s="107">
        <f>DVUD!K1215</f>
        <v>0</v>
      </c>
      <c r="I1195" s="107"/>
    </row>
    <row r="1196" spans="1:9" ht="12.75" customHeight="1" x14ac:dyDescent="0.2">
      <c r="A1196" s="72"/>
      <c r="B1196" s="72">
        <v>782</v>
      </c>
      <c r="C1196" s="38">
        <f t="shared" si="58"/>
        <v>0</v>
      </c>
      <c r="D1196" s="31" t="s">
        <v>3844</v>
      </c>
      <c r="E1196" s="41"/>
      <c r="F1196" s="31"/>
      <c r="G1196" s="107">
        <f t="shared" si="59"/>
        <v>0</v>
      </c>
      <c r="H1196" s="107">
        <f>DVUD!K1216</f>
        <v>0</v>
      </c>
      <c r="I1196" s="107"/>
    </row>
    <row r="1197" spans="1:9" ht="12.75" customHeight="1" x14ac:dyDescent="0.2">
      <c r="A1197" s="72"/>
      <c r="B1197" s="72"/>
      <c r="C1197" s="38">
        <f t="shared" si="58"/>
        <v>0</v>
      </c>
      <c r="D1197" s="31"/>
      <c r="E1197" s="41"/>
      <c r="F1197" s="31"/>
      <c r="G1197" s="107">
        <f t="shared" si="59"/>
        <v>0</v>
      </c>
      <c r="H1197" s="107">
        <f>DVUD!K1217</f>
        <v>0</v>
      </c>
      <c r="I1197" s="107"/>
    </row>
    <row r="1198" spans="1:9" ht="12.75" customHeight="1" x14ac:dyDescent="0.2">
      <c r="A1198" s="72"/>
      <c r="B1198" s="72"/>
      <c r="C1198" s="38">
        <f t="shared" si="58"/>
        <v>0</v>
      </c>
      <c r="D1198" s="31"/>
      <c r="E1198" s="41"/>
      <c r="F1198" s="31"/>
      <c r="G1198" s="107">
        <f t="shared" si="59"/>
        <v>0</v>
      </c>
      <c r="H1198" s="107">
        <f>DVUD!K1218</f>
        <v>0</v>
      </c>
      <c r="I1198" s="107"/>
    </row>
    <row r="1199" spans="1:9" ht="12.75" customHeight="1" x14ac:dyDescent="0.2">
      <c r="A1199" s="72"/>
      <c r="B1199" s="72">
        <v>783</v>
      </c>
      <c r="C1199" s="38">
        <f t="shared" si="58"/>
        <v>0</v>
      </c>
      <c r="D1199" s="31" t="s">
        <v>4970</v>
      </c>
      <c r="E1199" s="41"/>
      <c r="F1199" s="31"/>
      <c r="G1199" s="107">
        <f t="shared" si="59"/>
        <v>0</v>
      </c>
      <c r="H1199" s="107">
        <f>DVUD!K1219</f>
        <v>0</v>
      </c>
      <c r="I1199" s="107"/>
    </row>
    <row r="1200" spans="1:9" ht="12.75" customHeight="1" x14ac:dyDescent="0.2">
      <c r="A1200" s="72"/>
      <c r="B1200" s="72">
        <v>784</v>
      </c>
      <c r="C1200" s="38">
        <f t="shared" si="58"/>
        <v>0</v>
      </c>
      <c r="D1200" s="31" t="s">
        <v>4971</v>
      </c>
      <c r="E1200" s="41"/>
      <c r="F1200" s="31"/>
      <c r="G1200" s="107">
        <f t="shared" si="59"/>
        <v>0</v>
      </c>
      <c r="H1200" s="107">
        <f>DVUD!K1220</f>
        <v>0</v>
      </c>
      <c r="I1200" s="107"/>
    </row>
    <row r="1201" spans="1:9" ht="12.75" customHeight="1" x14ac:dyDescent="0.2">
      <c r="A1201" s="263"/>
      <c r="B1201" s="72">
        <v>785</v>
      </c>
      <c r="C1201" s="38">
        <f t="shared" si="58"/>
        <v>0</v>
      </c>
      <c r="D1201" s="31" t="s">
        <v>4972</v>
      </c>
      <c r="E1201" s="41"/>
      <c r="F1201" s="31"/>
      <c r="G1201" s="107">
        <f t="shared" si="59"/>
        <v>0</v>
      </c>
      <c r="H1201" s="107">
        <f>DVUD!K1221</f>
        <v>0</v>
      </c>
      <c r="I1201" s="107"/>
    </row>
    <row r="1202" spans="1:9" ht="12.75" customHeight="1" x14ac:dyDescent="0.2">
      <c r="A1202" s="72"/>
      <c r="B1202" s="72">
        <v>786</v>
      </c>
      <c r="C1202" s="38">
        <f t="shared" si="58"/>
        <v>0</v>
      </c>
      <c r="D1202" s="31" t="s">
        <v>4973</v>
      </c>
      <c r="E1202" s="41"/>
      <c r="F1202" s="31"/>
      <c r="G1202" s="107">
        <f t="shared" si="59"/>
        <v>0</v>
      </c>
      <c r="H1202" s="107">
        <f>DVUD!K1222</f>
        <v>0</v>
      </c>
      <c r="I1202" s="107"/>
    </row>
    <row r="1203" spans="1:9" ht="12.75" customHeight="1" x14ac:dyDescent="0.2">
      <c r="A1203" s="72"/>
      <c r="B1203" s="72">
        <v>787</v>
      </c>
      <c r="C1203" s="38">
        <f t="shared" si="58"/>
        <v>0</v>
      </c>
      <c r="D1203" s="31" t="s">
        <v>4974</v>
      </c>
      <c r="E1203" s="41"/>
      <c r="F1203" s="31"/>
      <c r="G1203" s="107">
        <f t="shared" si="59"/>
        <v>0</v>
      </c>
      <c r="H1203" s="107">
        <f>DVUD!K1223</f>
        <v>0</v>
      </c>
      <c r="I1203" s="107"/>
    </row>
    <row r="1204" spans="1:9" ht="12.75" customHeight="1" x14ac:dyDescent="0.2">
      <c r="A1204" s="72" t="s">
        <v>4975</v>
      </c>
      <c r="B1204" s="72">
        <v>788</v>
      </c>
      <c r="C1204" s="38" t="str">
        <f t="shared" si="58"/>
        <v>12 Nov</v>
      </c>
      <c r="D1204" s="31" t="s">
        <v>4976</v>
      </c>
      <c r="E1204" s="41"/>
      <c r="F1204" s="31"/>
      <c r="G1204" s="107">
        <f t="shared" si="59"/>
        <v>0</v>
      </c>
      <c r="H1204" s="107">
        <f>DVUD!K1224</f>
        <v>0</v>
      </c>
      <c r="I1204" s="107"/>
    </row>
    <row r="1205" spans="1:9" ht="12.75" customHeight="1" x14ac:dyDescent="0.2">
      <c r="A1205" s="72" t="s">
        <v>4977</v>
      </c>
      <c r="B1205" s="72">
        <v>789</v>
      </c>
      <c r="C1205" s="38" t="str">
        <f t="shared" si="58"/>
        <v>13 Nov</v>
      </c>
      <c r="D1205" s="31" t="s">
        <v>4978</v>
      </c>
      <c r="E1205" s="41"/>
      <c r="F1205" s="31"/>
      <c r="G1205" s="107">
        <f t="shared" si="59"/>
        <v>0</v>
      </c>
      <c r="H1205" s="107">
        <f>DVUD!K1225</f>
        <v>0</v>
      </c>
      <c r="I1205" s="107"/>
    </row>
    <row r="1206" spans="1:9" ht="12.75" customHeight="1" x14ac:dyDescent="0.2">
      <c r="A1206" s="72"/>
      <c r="B1206" s="72">
        <v>790</v>
      </c>
      <c r="C1206" s="38">
        <f t="shared" si="58"/>
        <v>0</v>
      </c>
      <c r="D1206" s="265" t="s">
        <v>4979</v>
      </c>
      <c r="E1206" s="41"/>
      <c r="F1206" s="31"/>
      <c r="G1206" s="107">
        <f t="shared" si="59"/>
        <v>0</v>
      </c>
      <c r="H1206" s="107">
        <f>DVUD!K1226</f>
        <v>0</v>
      </c>
      <c r="I1206" s="107"/>
    </row>
    <row r="1207" spans="1:9" ht="12.75" customHeight="1" x14ac:dyDescent="0.2">
      <c r="A1207" s="72"/>
      <c r="B1207" s="72">
        <v>791</v>
      </c>
      <c r="C1207" s="38">
        <f t="shared" si="58"/>
        <v>0</v>
      </c>
      <c r="D1207" s="265" t="s">
        <v>4980</v>
      </c>
      <c r="E1207" s="41"/>
      <c r="F1207" s="31"/>
      <c r="G1207" s="107">
        <f t="shared" si="59"/>
        <v>0</v>
      </c>
      <c r="H1207" s="107">
        <f>DVUD!K1227</f>
        <v>0</v>
      </c>
      <c r="I1207" s="107"/>
    </row>
    <row r="1208" spans="1:9" ht="12.75" customHeight="1" x14ac:dyDescent="0.2">
      <c r="A1208" s="72" t="s">
        <v>4981</v>
      </c>
      <c r="B1208" s="72">
        <v>792</v>
      </c>
      <c r="C1208" s="38" t="str">
        <f t="shared" si="58"/>
        <v>17 Nov</v>
      </c>
      <c r="D1208" s="265" t="s">
        <v>3845</v>
      </c>
      <c r="E1208" s="41"/>
      <c r="F1208" s="31"/>
      <c r="G1208" s="107">
        <f t="shared" si="59"/>
        <v>0</v>
      </c>
      <c r="H1208" s="107">
        <f>DVUD!K1228</f>
        <v>0</v>
      </c>
      <c r="I1208" s="107"/>
    </row>
    <row r="1209" spans="1:9" ht="12.75" customHeight="1" x14ac:dyDescent="0.2">
      <c r="A1209" s="72"/>
      <c r="B1209" s="72">
        <v>793</v>
      </c>
      <c r="C1209" s="38">
        <f t="shared" si="58"/>
        <v>0</v>
      </c>
      <c r="D1209" s="265" t="s">
        <v>3997</v>
      </c>
      <c r="E1209" s="41"/>
      <c r="F1209" s="31"/>
      <c r="G1209" s="107">
        <f t="shared" si="59"/>
        <v>0</v>
      </c>
      <c r="H1209" s="107">
        <f>DVUD!K1229</f>
        <v>0</v>
      </c>
      <c r="I1209" s="107"/>
    </row>
    <row r="1210" spans="1:9" ht="12.75" customHeight="1" x14ac:dyDescent="0.2">
      <c r="A1210" s="72" t="s">
        <v>4982</v>
      </c>
      <c r="B1210" s="72">
        <v>794</v>
      </c>
      <c r="C1210" s="38" t="str">
        <f t="shared" si="58"/>
        <v>18 Nov</v>
      </c>
      <c r="D1210" s="31" t="s">
        <v>4983</v>
      </c>
      <c r="E1210" s="176"/>
      <c r="F1210" s="173"/>
      <c r="G1210" s="107">
        <f t="shared" ref="G1210:G1214" si="60">H1210</f>
        <v>0</v>
      </c>
      <c r="H1210" s="107">
        <f>DVUD!K1230</f>
        <v>0</v>
      </c>
      <c r="I1210" s="107"/>
    </row>
    <row r="1211" spans="1:9" ht="12.75" customHeight="1" x14ac:dyDescent="0.2">
      <c r="A1211" s="72"/>
      <c r="B1211" s="72">
        <v>795</v>
      </c>
      <c r="C1211" s="38">
        <f t="shared" si="58"/>
        <v>0</v>
      </c>
      <c r="D1211" s="31" t="s">
        <v>3866</v>
      </c>
      <c r="E1211" s="176"/>
      <c r="F1211" s="173"/>
      <c r="G1211" s="107">
        <f t="shared" si="60"/>
        <v>0</v>
      </c>
      <c r="H1211" s="107">
        <f>DVUD!K1231</f>
        <v>0</v>
      </c>
      <c r="I1211" s="107"/>
    </row>
    <row r="1212" spans="1:9" ht="12.75" customHeight="1" x14ac:dyDescent="0.2">
      <c r="A1212" s="72"/>
      <c r="B1212" s="72">
        <v>796</v>
      </c>
      <c r="C1212" s="38">
        <f t="shared" si="58"/>
        <v>0</v>
      </c>
      <c r="D1212" s="31" t="s">
        <v>3257</v>
      </c>
      <c r="E1212" s="176"/>
      <c r="F1212" s="173"/>
      <c r="G1212" s="107">
        <f t="shared" si="60"/>
        <v>0</v>
      </c>
      <c r="H1212" s="107">
        <f>DVUD!K1232</f>
        <v>0</v>
      </c>
      <c r="I1212" s="107"/>
    </row>
    <row r="1213" spans="1:9" ht="12.75" customHeight="1" x14ac:dyDescent="0.2">
      <c r="A1213" s="72"/>
      <c r="B1213" s="72">
        <v>797</v>
      </c>
      <c r="C1213" s="38">
        <f t="shared" si="58"/>
        <v>0</v>
      </c>
      <c r="D1213" s="31" t="s">
        <v>3869</v>
      </c>
      <c r="E1213" s="176"/>
      <c r="F1213" s="173"/>
      <c r="G1213" s="107">
        <f t="shared" si="60"/>
        <v>0</v>
      </c>
      <c r="H1213" s="107">
        <f>DVUD!K1233</f>
        <v>0</v>
      </c>
      <c r="I1213" s="107"/>
    </row>
    <row r="1214" spans="1:9" ht="12.75" customHeight="1" x14ac:dyDescent="0.2">
      <c r="A1214" s="72"/>
      <c r="B1214" s="72">
        <v>798</v>
      </c>
      <c r="C1214" s="38">
        <f t="shared" si="58"/>
        <v>0</v>
      </c>
      <c r="D1214" s="31" t="s">
        <v>4984</v>
      </c>
      <c r="E1214" s="176"/>
      <c r="F1214" s="173"/>
      <c r="G1214" s="107">
        <f t="shared" si="60"/>
        <v>0</v>
      </c>
      <c r="H1214" s="107">
        <f>DVUD!K1234</f>
        <v>0</v>
      </c>
      <c r="I1214" s="107"/>
    </row>
    <row r="1215" spans="1:9" ht="12.75" customHeight="1" x14ac:dyDescent="0.2">
      <c r="A1215" s="72" t="s">
        <v>4985</v>
      </c>
      <c r="B1215" s="72">
        <v>799</v>
      </c>
      <c r="C1215" s="38" t="str">
        <f t="shared" si="58"/>
        <v>19 Nov</v>
      </c>
      <c r="D1215" s="31" t="s">
        <v>4986</v>
      </c>
      <c r="E1215" s="176"/>
      <c r="F1215" s="173"/>
      <c r="G1215" s="107">
        <f t="shared" si="59"/>
        <v>0</v>
      </c>
      <c r="H1215" s="107">
        <f>DVUD!K1235</f>
        <v>0</v>
      </c>
      <c r="I1215" s="107"/>
    </row>
    <row r="1216" spans="1:9" ht="12.75" customHeight="1" x14ac:dyDescent="0.2">
      <c r="A1216" s="72" t="s">
        <v>4987</v>
      </c>
      <c r="B1216" s="72">
        <v>800</v>
      </c>
      <c r="C1216" s="38" t="str">
        <f t="shared" si="58"/>
        <v>20 Nov</v>
      </c>
      <c r="D1216" s="31" t="s">
        <v>4988</v>
      </c>
      <c r="E1216" s="176"/>
      <c r="F1216" s="173"/>
      <c r="G1216" s="107">
        <f t="shared" si="59"/>
        <v>0</v>
      </c>
      <c r="H1216" s="107">
        <f>DVUD!K1236</f>
        <v>0</v>
      </c>
      <c r="I1216" s="107"/>
    </row>
    <row r="1217" spans="1:9" ht="12.75" customHeight="1" x14ac:dyDescent="0.2">
      <c r="A1217" s="72"/>
      <c r="B1217" s="72">
        <v>801</v>
      </c>
      <c r="C1217" s="38">
        <f t="shared" ref="C1217:C1248" si="61">A1217</f>
        <v>0</v>
      </c>
      <c r="D1217" s="31" t="s">
        <v>4989</v>
      </c>
      <c r="E1217" s="176"/>
      <c r="F1217" s="173"/>
      <c r="G1217" s="107">
        <f t="shared" si="59"/>
        <v>0</v>
      </c>
      <c r="H1217" s="107">
        <f>DVUD!K1237</f>
        <v>0</v>
      </c>
      <c r="I1217" s="107"/>
    </row>
    <row r="1218" spans="1:9" ht="12.75" customHeight="1" x14ac:dyDescent="0.2">
      <c r="A1218" s="72"/>
      <c r="B1218" s="72">
        <v>802</v>
      </c>
      <c r="C1218" s="38">
        <f t="shared" si="61"/>
        <v>0</v>
      </c>
      <c r="D1218" s="265" t="s">
        <v>4990</v>
      </c>
      <c r="E1218" s="176"/>
      <c r="F1218" s="173"/>
      <c r="G1218" s="107">
        <f t="shared" si="59"/>
        <v>0</v>
      </c>
      <c r="H1218" s="107">
        <f>DVUD!K1238</f>
        <v>0</v>
      </c>
      <c r="I1218" s="107"/>
    </row>
    <row r="1219" spans="1:9" ht="12.75" customHeight="1" x14ac:dyDescent="0.2">
      <c r="A1219" s="72"/>
      <c r="B1219" s="72">
        <v>803</v>
      </c>
      <c r="C1219" s="38">
        <f t="shared" si="61"/>
        <v>0</v>
      </c>
      <c r="D1219" s="265" t="s">
        <v>4574</v>
      </c>
      <c r="E1219" s="176"/>
      <c r="F1219" s="173"/>
      <c r="G1219" s="107">
        <f t="shared" si="59"/>
        <v>0</v>
      </c>
      <c r="H1219" s="107">
        <f>DVUD!K1239</f>
        <v>0</v>
      </c>
      <c r="I1219" s="107"/>
    </row>
    <row r="1220" spans="1:9" ht="12.75" customHeight="1" x14ac:dyDescent="0.2">
      <c r="A1220" s="72" t="s">
        <v>4991</v>
      </c>
      <c r="B1220" s="72">
        <v>804</v>
      </c>
      <c r="C1220" s="38" t="str">
        <f t="shared" si="61"/>
        <v>21 Nov</v>
      </c>
      <c r="D1220" s="265" t="s">
        <v>4992</v>
      </c>
      <c r="E1220" s="176"/>
      <c r="F1220" s="173"/>
      <c r="G1220" s="107">
        <f t="shared" si="59"/>
        <v>0</v>
      </c>
      <c r="H1220" s="107">
        <f>DVUD!K1240</f>
        <v>0</v>
      </c>
      <c r="I1220" s="107"/>
    </row>
    <row r="1221" spans="1:9" ht="12.75" customHeight="1" x14ac:dyDescent="0.2">
      <c r="A1221" s="72"/>
      <c r="B1221" s="72">
        <v>805</v>
      </c>
      <c r="C1221" s="38">
        <f t="shared" si="61"/>
        <v>0</v>
      </c>
      <c r="D1221" s="265" t="s">
        <v>4427</v>
      </c>
      <c r="E1221" s="176"/>
      <c r="F1221" s="173"/>
      <c r="G1221" s="107">
        <f t="shared" si="59"/>
        <v>0</v>
      </c>
      <c r="H1221" s="107">
        <f>DVUD!K1241</f>
        <v>0</v>
      </c>
      <c r="I1221" s="107"/>
    </row>
    <row r="1222" spans="1:9" ht="12.75" customHeight="1" x14ac:dyDescent="0.2">
      <c r="A1222" s="72" t="s">
        <v>4994</v>
      </c>
      <c r="B1222" s="72">
        <v>806</v>
      </c>
      <c r="C1222" s="38" t="str">
        <f t="shared" si="61"/>
        <v>24 Nov</v>
      </c>
      <c r="D1222" s="31" t="s">
        <v>4995</v>
      </c>
      <c r="E1222" s="176"/>
      <c r="F1222" s="173"/>
      <c r="G1222" s="107">
        <f t="shared" si="59"/>
        <v>0</v>
      </c>
      <c r="H1222" s="107">
        <f>DVUD!K1242</f>
        <v>0</v>
      </c>
      <c r="I1222" s="107"/>
    </row>
    <row r="1223" spans="1:9" ht="12.75" customHeight="1" x14ac:dyDescent="0.2">
      <c r="A1223" s="72" t="s">
        <v>4996</v>
      </c>
      <c r="B1223" s="72">
        <v>807</v>
      </c>
      <c r="C1223" s="38" t="str">
        <f t="shared" si="61"/>
        <v>25 Nov</v>
      </c>
      <c r="D1223" s="31" t="s">
        <v>4060</v>
      </c>
      <c r="E1223" s="176"/>
      <c r="F1223" s="173"/>
      <c r="G1223" s="107">
        <f t="shared" si="59"/>
        <v>0</v>
      </c>
      <c r="H1223" s="107">
        <f>DVUD!K1243</f>
        <v>0</v>
      </c>
      <c r="I1223" s="107"/>
    </row>
    <row r="1224" spans="1:9" ht="12.75" customHeight="1" x14ac:dyDescent="0.2">
      <c r="A1224" s="72" t="s">
        <v>4997</v>
      </c>
      <c r="B1224" s="72">
        <v>808</v>
      </c>
      <c r="C1224" s="38" t="str">
        <f t="shared" si="61"/>
        <v>26 Nov</v>
      </c>
      <c r="D1224" s="31" t="s">
        <v>4998</v>
      </c>
      <c r="E1224" s="176"/>
      <c r="F1224" s="173"/>
      <c r="G1224" s="107">
        <f t="shared" si="59"/>
        <v>0</v>
      </c>
      <c r="H1224" s="107">
        <f>DVUD!K1244</f>
        <v>0</v>
      </c>
      <c r="I1224" s="107"/>
    </row>
    <row r="1225" spans="1:9" ht="12.75" customHeight="1" x14ac:dyDescent="0.2">
      <c r="A1225" s="72" t="s">
        <v>4999</v>
      </c>
      <c r="B1225" s="72">
        <v>809</v>
      </c>
      <c r="C1225" s="38" t="str">
        <f t="shared" si="61"/>
        <v>27 Nov</v>
      </c>
      <c r="D1225" s="31" t="s">
        <v>3900</v>
      </c>
      <c r="E1225" s="176"/>
      <c r="F1225" s="173"/>
      <c r="G1225" s="107">
        <f t="shared" si="59"/>
        <v>0</v>
      </c>
      <c r="H1225" s="107">
        <f>DVUD!K1245</f>
        <v>0</v>
      </c>
      <c r="I1225" s="107"/>
    </row>
    <row r="1226" spans="1:9" ht="12.75" customHeight="1" x14ac:dyDescent="0.2">
      <c r="A1226" s="72"/>
      <c r="B1226" s="72">
        <v>810</v>
      </c>
      <c r="C1226" s="38">
        <f t="shared" si="61"/>
        <v>0</v>
      </c>
      <c r="D1226" s="31" t="s">
        <v>4024</v>
      </c>
      <c r="E1226" s="176"/>
      <c r="F1226" s="173"/>
      <c r="G1226" s="107">
        <f t="shared" si="59"/>
        <v>0</v>
      </c>
      <c r="H1226" s="107">
        <f>DVUD!K1246</f>
        <v>0</v>
      </c>
      <c r="I1226" s="107"/>
    </row>
    <row r="1227" spans="1:9" ht="12.75" customHeight="1" x14ac:dyDescent="0.2">
      <c r="A1227" s="72"/>
      <c r="B1227" s="72">
        <v>811</v>
      </c>
      <c r="C1227" s="38">
        <f t="shared" si="61"/>
        <v>0</v>
      </c>
      <c r="D1227" s="31" t="s">
        <v>4065</v>
      </c>
      <c r="E1227" s="176"/>
      <c r="F1227" s="173"/>
      <c r="G1227" s="107">
        <f t="shared" si="59"/>
        <v>0</v>
      </c>
      <c r="H1227" s="107">
        <f>DVUD!K1247</f>
        <v>0</v>
      </c>
      <c r="I1227" s="107"/>
    </row>
    <row r="1228" spans="1:9" ht="12.75" customHeight="1" x14ac:dyDescent="0.2">
      <c r="A1228" s="72"/>
      <c r="B1228" s="72">
        <v>812</v>
      </c>
      <c r="C1228" s="38">
        <f t="shared" si="61"/>
        <v>0</v>
      </c>
      <c r="D1228" s="31" t="s">
        <v>3904</v>
      </c>
      <c r="E1228" s="176"/>
      <c r="F1228" s="173"/>
      <c r="G1228" s="107">
        <f t="shared" si="59"/>
        <v>0</v>
      </c>
      <c r="H1228" s="107">
        <f>DVUD!K1248</f>
        <v>0</v>
      </c>
      <c r="I1228" s="107"/>
    </row>
    <row r="1229" spans="1:9" ht="12.75" customHeight="1" x14ac:dyDescent="0.2">
      <c r="A1229" s="72"/>
      <c r="B1229" s="72">
        <v>813</v>
      </c>
      <c r="C1229" s="38">
        <f t="shared" si="61"/>
        <v>0</v>
      </c>
      <c r="D1229" s="31" t="s">
        <v>3906</v>
      </c>
      <c r="E1229" s="176"/>
      <c r="F1229" s="173"/>
      <c r="G1229" s="107">
        <f t="shared" si="59"/>
        <v>0</v>
      </c>
      <c r="H1229" s="107">
        <f>DVUD!K1249</f>
        <v>0</v>
      </c>
      <c r="I1229" s="107"/>
    </row>
    <row r="1230" spans="1:9" ht="12.75" customHeight="1" x14ac:dyDescent="0.2">
      <c r="A1230" s="72"/>
      <c r="B1230" s="72">
        <v>814</v>
      </c>
      <c r="C1230" s="38">
        <f t="shared" si="61"/>
        <v>0</v>
      </c>
      <c r="D1230" s="31" t="s">
        <v>5000</v>
      </c>
      <c r="E1230" s="176"/>
      <c r="F1230" s="173"/>
      <c r="G1230" s="107">
        <f t="shared" si="59"/>
        <v>0</v>
      </c>
      <c r="H1230" s="107">
        <f>DVUD!K1250</f>
        <v>0</v>
      </c>
      <c r="I1230" s="107"/>
    </row>
    <row r="1231" spans="1:9" ht="12.75" customHeight="1" x14ac:dyDescent="0.2">
      <c r="A1231" s="72"/>
      <c r="B1231" s="72"/>
      <c r="C1231" s="38">
        <f t="shared" si="61"/>
        <v>0</v>
      </c>
      <c r="D1231" s="31"/>
      <c r="E1231" s="176"/>
      <c r="F1231" s="173"/>
      <c r="G1231" s="107">
        <f t="shared" si="59"/>
        <v>0</v>
      </c>
      <c r="H1231" s="107">
        <f>DVUD!K1251</f>
        <v>0</v>
      </c>
      <c r="I1231" s="107"/>
    </row>
    <row r="1232" spans="1:9" ht="12.75" customHeight="1" x14ac:dyDescent="0.2">
      <c r="A1232" s="72"/>
      <c r="B1232" s="72"/>
      <c r="C1232" s="38">
        <f t="shared" si="61"/>
        <v>0</v>
      </c>
      <c r="D1232" s="31"/>
      <c r="E1232" s="176"/>
      <c r="F1232" s="173"/>
      <c r="G1232" s="107">
        <f t="shared" si="59"/>
        <v>0</v>
      </c>
      <c r="H1232" s="107">
        <f>DVUD!K1252</f>
        <v>0</v>
      </c>
      <c r="I1232" s="107"/>
    </row>
    <row r="1233" spans="1:9" ht="12.75" customHeight="1" x14ac:dyDescent="0.2">
      <c r="A1233" s="72"/>
      <c r="B1233" s="72">
        <v>815</v>
      </c>
      <c r="C1233" s="38">
        <f t="shared" si="61"/>
        <v>0</v>
      </c>
      <c r="D1233" s="31" t="s">
        <v>3895</v>
      </c>
      <c r="E1233" s="176"/>
      <c r="F1233" s="173"/>
      <c r="G1233" s="107">
        <f>H1233</f>
        <v>0</v>
      </c>
      <c r="H1233" s="107">
        <f>DVUD!K1253</f>
        <v>0</v>
      </c>
      <c r="I1233" s="107"/>
    </row>
    <row r="1234" spans="1:9" ht="12.75" customHeight="1" x14ac:dyDescent="0.2">
      <c r="A1234" s="72"/>
      <c r="B1234" s="72">
        <v>816</v>
      </c>
      <c r="C1234" s="38">
        <f t="shared" si="61"/>
        <v>0</v>
      </c>
      <c r="D1234" s="31" t="s">
        <v>4021</v>
      </c>
      <c r="E1234" s="176"/>
      <c r="F1234" s="173"/>
      <c r="G1234" s="107">
        <f t="shared" ref="G1234:G1269" si="62">H1234</f>
        <v>0</v>
      </c>
      <c r="H1234" s="107">
        <f>DVUD!K1254</f>
        <v>0</v>
      </c>
      <c r="I1234" s="107"/>
    </row>
    <row r="1235" spans="1:9" ht="12.75" customHeight="1" x14ac:dyDescent="0.2">
      <c r="A1235" s="72"/>
      <c r="B1235" s="72"/>
      <c r="C1235" s="38">
        <f t="shared" si="61"/>
        <v>0</v>
      </c>
      <c r="D1235" s="31"/>
      <c r="E1235" s="176"/>
      <c r="F1235" s="173"/>
      <c r="G1235" s="107">
        <f t="shared" si="62"/>
        <v>0</v>
      </c>
      <c r="H1235" s="107">
        <f>DVUD!K1255</f>
        <v>0</v>
      </c>
      <c r="I1235" s="107"/>
    </row>
    <row r="1236" spans="1:9" ht="12.75" customHeight="1" x14ac:dyDescent="0.2">
      <c r="A1236" s="72"/>
      <c r="B1236" s="72"/>
      <c r="C1236" s="38">
        <f t="shared" si="61"/>
        <v>0</v>
      </c>
      <c r="D1236" s="31"/>
      <c r="E1236" s="176"/>
      <c r="F1236" s="173"/>
      <c r="G1236" s="107">
        <f t="shared" si="62"/>
        <v>0</v>
      </c>
      <c r="H1236" s="107">
        <f>DVUD!K1256</f>
        <v>0</v>
      </c>
      <c r="I1236" s="107"/>
    </row>
    <row r="1237" spans="1:9" ht="12.75" customHeight="1" x14ac:dyDescent="0.2">
      <c r="A1237" s="72"/>
      <c r="B1237" s="72">
        <v>817</v>
      </c>
      <c r="C1237" s="38">
        <f t="shared" si="61"/>
        <v>0</v>
      </c>
      <c r="D1237" s="31" t="s">
        <v>4744</v>
      </c>
      <c r="E1237" s="176"/>
      <c r="F1237" s="173"/>
      <c r="G1237" s="107">
        <f t="shared" si="62"/>
        <v>0</v>
      </c>
      <c r="H1237" s="107">
        <f>DVUD!K1257</f>
        <v>0</v>
      </c>
      <c r="I1237" s="107"/>
    </row>
    <row r="1238" spans="1:9" ht="12.75" customHeight="1" x14ac:dyDescent="0.2">
      <c r="A1238" s="72"/>
      <c r="B1238" s="72">
        <v>818</v>
      </c>
      <c r="C1238" s="38">
        <f t="shared" si="61"/>
        <v>0</v>
      </c>
      <c r="D1238" s="31" t="s">
        <v>4393</v>
      </c>
      <c r="E1238" s="176"/>
      <c r="F1238" s="173"/>
      <c r="G1238" s="107">
        <f t="shared" si="62"/>
        <v>0</v>
      </c>
      <c r="H1238" s="107">
        <f>DVUD!K1258</f>
        <v>0</v>
      </c>
      <c r="I1238" s="107"/>
    </row>
    <row r="1239" spans="1:9" ht="12.75" customHeight="1" x14ac:dyDescent="0.2">
      <c r="A1239" s="72"/>
      <c r="B1239" s="72">
        <v>819</v>
      </c>
      <c r="C1239" s="38">
        <f t="shared" si="61"/>
        <v>0</v>
      </c>
      <c r="D1239" s="31" t="s">
        <v>5001</v>
      </c>
      <c r="E1239" s="176"/>
      <c r="F1239" s="173"/>
      <c r="G1239" s="107">
        <f t="shared" si="62"/>
        <v>0</v>
      </c>
      <c r="H1239" s="107">
        <f>DVUD!K1259</f>
        <v>0</v>
      </c>
      <c r="I1239" s="107"/>
    </row>
    <row r="1240" spans="1:9" ht="12.75" customHeight="1" x14ac:dyDescent="0.2">
      <c r="A1240" s="72"/>
      <c r="B1240" s="72"/>
      <c r="C1240" s="38">
        <f t="shared" si="61"/>
        <v>0</v>
      </c>
      <c r="D1240" s="31"/>
      <c r="E1240" s="176"/>
      <c r="F1240" s="173"/>
      <c r="G1240" s="107">
        <f t="shared" si="62"/>
        <v>0</v>
      </c>
      <c r="H1240" s="107">
        <f>DVUD!K1260</f>
        <v>0</v>
      </c>
      <c r="I1240" s="107"/>
    </row>
    <row r="1241" spans="1:9" ht="12.75" customHeight="1" x14ac:dyDescent="0.2">
      <c r="A1241" s="72"/>
      <c r="B1241" s="72"/>
      <c r="C1241" s="38">
        <f t="shared" si="61"/>
        <v>0</v>
      </c>
      <c r="D1241" s="31"/>
      <c r="E1241" s="176"/>
      <c r="F1241" s="173"/>
      <c r="G1241" s="107">
        <f t="shared" si="62"/>
        <v>0</v>
      </c>
      <c r="H1241" s="107">
        <f>DVUD!K1261</f>
        <v>0</v>
      </c>
      <c r="I1241" s="107"/>
    </row>
    <row r="1242" spans="1:9" ht="12.75" customHeight="1" x14ac:dyDescent="0.2">
      <c r="A1242" s="72"/>
      <c r="B1242" s="72">
        <v>820</v>
      </c>
      <c r="C1242" s="38">
        <f t="shared" si="61"/>
        <v>0</v>
      </c>
      <c r="D1242" s="31" t="s">
        <v>3908</v>
      </c>
      <c r="E1242" s="176"/>
      <c r="F1242" s="173"/>
      <c r="G1242" s="107">
        <f t="shared" si="62"/>
        <v>0</v>
      </c>
      <c r="H1242" s="107">
        <f>DVUD!K1262</f>
        <v>0</v>
      </c>
      <c r="I1242" s="107"/>
    </row>
    <row r="1243" spans="1:9" ht="12.75" customHeight="1" x14ac:dyDescent="0.2">
      <c r="A1243" s="72"/>
      <c r="B1243" s="72">
        <v>821</v>
      </c>
      <c r="C1243" s="38">
        <f t="shared" si="61"/>
        <v>0</v>
      </c>
      <c r="D1243" s="31" t="s">
        <v>3910</v>
      </c>
      <c r="E1243" s="176"/>
      <c r="F1243" s="173"/>
      <c r="G1243" s="107">
        <f t="shared" si="62"/>
        <v>0</v>
      </c>
      <c r="H1243" s="107">
        <f>DVUD!K1263</f>
        <v>0</v>
      </c>
      <c r="I1243" s="107"/>
    </row>
    <row r="1244" spans="1:9" ht="12.75" customHeight="1" x14ac:dyDescent="0.2">
      <c r="A1244" s="72"/>
      <c r="B1244" s="72">
        <v>822</v>
      </c>
      <c r="C1244" s="38">
        <f t="shared" si="61"/>
        <v>0</v>
      </c>
      <c r="D1244" s="31" t="s">
        <v>3912</v>
      </c>
      <c r="E1244" s="176"/>
      <c r="F1244" s="173"/>
      <c r="G1244" s="107">
        <f t="shared" si="62"/>
        <v>0</v>
      </c>
      <c r="H1244" s="107">
        <f>DVUD!K1264</f>
        <v>0</v>
      </c>
      <c r="I1244" s="107"/>
    </row>
    <row r="1245" spans="1:9" ht="12.75" customHeight="1" x14ac:dyDescent="0.2">
      <c r="A1245" s="72"/>
      <c r="B1245" s="72">
        <v>823</v>
      </c>
      <c r="C1245" s="38">
        <f t="shared" si="61"/>
        <v>0</v>
      </c>
      <c r="D1245" s="31" t="s">
        <v>3914</v>
      </c>
      <c r="E1245" s="176"/>
      <c r="F1245" s="173"/>
      <c r="G1245" s="107">
        <f t="shared" si="62"/>
        <v>0</v>
      </c>
      <c r="H1245" s="107">
        <f>DVUD!K1265</f>
        <v>0</v>
      </c>
      <c r="I1245" s="107"/>
    </row>
    <row r="1246" spans="1:9" ht="12.75" customHeight="1" x14ac:dyDescent="0.2">
      <c r="A1246" s="72"/>
      <c r="B1246" s="72">
        <v>824</v>
      </c>
      <c r="C1246" s="38">
        <f t="shared" si="61"/>
        <v>0</v>
      </c>
      <c r="D1246" s="31" t="s">
        <v>4025</v>
      </c>
      <c r="E1246" s="176"/>
      <c r="F1246" s="173"/>
      <c r="G1246" s="107">
        <f t="shared" si="62"/>
        <v>0</v>
      </c>
      <c r="H1246" s="107">
        <f>DVUD!K1266</f>
        <v>0</v>
      </c>
      <c r="I1246" s="107"/>
    </row>
    <row r="1247" spans="1:9" ht="12.75" customHeight="1" x14ac:dyDescent="0.2">
      <c r="A1247" s="72"/>
      <c r="B1247" s="72">
        <v>825</v>
      </c>
      <c r="C1247" s="38">
        <f t="shared" si="61"/>
        <v>0</v>
      </c>
      <c r="D1247" s="31" t="s">
        <v>4747</v>
      </c>
      <c r="E1247" s="176"/>
      <c r="F1247" s="173"/>
      <c r="G1247" s="107">
        <f t="shared" si="62"/>
        <v>0</v>
      </c>
      <c r="H1247" s="107">
        <f>DVUD!K1267</f>
        <v>0</v>
      </c>
      <c r="I1247" s="107"/>
    </row>
    <row r="1248" spans="1:9" ht="12.75" customHeight="1" x14ac:dyDescent="0.2">
      <c r="A1248" s="72"/>
      <c r="B1248" s="72">
        <v>826</v>
      </c>
      <c r="C1248" s="38">
        <f t="shared" si="61"/>
        <v>0</v>
      </c>
      <c r="D1248" s="31" t="s">
        <v>4749</v>
      </c>
      <c r="E1248" s="176"/>
      <c r="F1248" s="173"/>
      <c r="G1248" s="107">
        <f t="shared" si="62"/>
        <v>0</v>
      </c>
      <c r="H1248" s="107">
        <f>DVUD!K1268</f>
        <v>0</v>
      </c>
      <c r="I1248" s="107"/>
    </row>
    <row r="1249" spans="1:9" ht="12.75" customHeight="1" x14ac:dyDescent="0.2">
      <c r="A1249" s="72"/>
      <c r="B1249" s="72">
        <v>827</v>
      </c>
      <c r="C1249" s="38">
        <f t="shared" ref="C1249:C1257" si="63">A1249</f>
        <v>0</v>
      </c>
      <c r="D1249" s="31" t="s">
        <v>5002</v>
      </c>
      <c r="E1249" s="176"/>
      <c r="F1249" s="173"/>
      <c r="G1249" s="107">
        <f t="shared" si="62"/>
        <v>0</v>
      </c>
      <c r="H1249" s="107">
        <f>DVUD!K1269</f>
        <v>0</v>
      </c>
      <c r="I1249" s="107"/>
    </row>
    <row r="1250" spans="1:9" ht="12.75" customHeight="1" x14ac:dyDescent="0.2">
      <c r="A1250" s="72"/>
      <c r="B1250" s="72">
        <v>828</v>
      </c>
      <c r="C1250" s="38">
        <f t="shared" si="63"/>
        <v>0</v>
      </c>
      <c r="D1250" s="31" t="s">
        <v>3264</v>
      </c>
      <c r="E1250" s="176"/>
      <c r="F1250" s="173"/>
      <c r="G1250" s="107">
        <f t="shared" si="62"/>
        <v>0</v>
      </c>
      <c r="H1250" s="107">
        <f>DVUD!K1270</f>
        <v>0</v>
      </c>
      <c r="I1250" s="107"/>
    </row>
    <row r="1251" spans="1:9" ht="12.75" customHeight="1" x14ac:dyDescent="0.2">
      <c r="A1251" s="72"/>
      <c r="B1251" s="72">
        <v>829</v>
      </c>
      <c r="C1251" s="38">
        <f t="shared" si="63"/>
        <v>0</v>
      </c>
      <c r="D1251" s="31" t="s">
        <v>4069</v>
      </c>
      <c r="E1251" s="176"/>
      <c r="F1251" s="173"/>
      <c r="G1251" s="107">
        <f t="shared" si="62"/>
        <v>0</v>
      </c>
      <c r="H1251" s="107">
        <f>DVUD!K1271</f>
        <v>0</v>
      </c>
      <c r="I1251" s="107"/>
    </row>
    <row r="1252" spans="1:9" ht="12.75" customHeight="1" x14ac:dyDescent="0.2">
      <c r="A1252" s="72"/>
      <c r="B1252" s="72">
        <v>830</v>
      </c>
      <c r="C1252" s="38">
        <f t="shared" si="63"/>
        <v>0</v>
      </c>
      <c r="D1252" s="31" t="s">
        <v>5003</v>
      </c>
      <c r="E1252" s="176"/>
      <c r="F1252" s="173"/>
      <c r="G1252" s="107">
        <f t="shared" si="62"/>
        <v>0</v>
      </c>
      <c r="H1252" s="107">
        <f>DVUD!K1272</f>
        <v>0</v>
      </c>
      <c r="I1252" s="107"/>
    </row>
    <row r="1253" spans="1:9" ht="12.75" customHeight="1" x14ac:dyDescent="0.2">
      <c r="A1253" s="72"/>
      <c r="B1253" s="72">
        <v>831</v>
      </c>
      <c r="C1253" s="38">
        <f t="shared" si="63"/>
        <v>0</v>
      </c>
      <c r="D1253" s="31" t="s">
        <v>3887</v>
      </c>
      <c r="E1253" s="176"/>
      <c r="F1253" s="173"/>
      <c r="G1253" s="107">
        <f t="shared" si="62"/>
        <v>0</v>
      </c>
      <c r="H1253" s="107">
        <f>DVUD!K1273</f>
        <v>0</v>
      </c>
      <c r="I1253" s="107"/>
    </row>
    <row r="1254" spans="1:9" ht="12.75" customHeight="1" x14ac:dyDescent="0.2">
      <c r="A1254" s="72"/>
      <c r="B1254" s="72">
        <v>832</v>
      </c>
      <c r="C1254" s="38">
        <f t="shared" si="63"/>
        <v>0</v>
      </c>
      <c r="D1254" s="31" t="s">
        <v>5005</v>
      </c>
      <c r="E1254" s="176"/>
      <c r="F1254" s="173"/>
      <c r="G1254" s="107">
        <f t="shared" si="62"/>
        <v>0</v>
      </c>
      <c r="H1254" s="107">
        <f>DVUD!K1274</f>
        <v>0</v>
      </c>
      <c r="I1254" s="107"/>
    </row>
    <row r="1255" spans="1:9" ht="12.75" customHeight="1" x14ac:dyDescent="0.2">
      <c r="A1255" s="72"/>
      <c r="B1255" s="72">
        <v>833</v>
      </c>
      <c r="C1255" s="38">
        <f t="shared" si="63"/>
        <v>0</v>
      </c>
      <c r="D1255" s="31" t="s">
        <v>5006</v>
      </c>
      <c r="E1255" s="176"/>
      <c r="F1255" s="173"/>
      <c r="G1255" s="107">
        <f t="shared" si="62"/>
        <v>0</v>
      </c>
      <c r="H1255" s="107">
        <f>DVUD!K1275</f>
        <v>0</v>
      </c>
      <c r="I1255" s="107"/>
    </row>
    <row r="1256" spans="1:9" ht="12.75" customHeight="1" x14ac:dyDescent="0.2">
      <c r="A1256" s="72"/>
      <c r="B1256" s="72">
        <v>834</v>
      </c>
      <c r="C1256" s="38">
        <f t="shared" si="63"/>
        <v>0</v>
      </c>
      <c r="D1256" s="31" t="s">
        <v>5007</v>
      </c>
      <c r="E1256" s="176"/>
      <c r="F1256" s="173"/>
      <c r="G1256" s="107">
        <f t="shared" si="62"/>
        <v>0</v>
      </c>
      <c r="H1256" s="107">
        <f>DVUD!K1276</f>
        <v>0</v>
      </c>
      <c r="I1256" s="107"/>
    </row>
    <row r="1257" spans="1:9" ht="12.75" customHeight="1" x14ac:dyDescent="0.2">
      <c r="A1257" s="72"/>
      <c r="B1257" s="72">
        <v>835</v>
      </c>
      <c r="C1257" s="38">
        <f t="shared" si="63"/>
        <v>0</v>
      </c>
      <c r="D1257" s="31" t="s">
        <v>5008</v>
      </c>
      <c r="E1257" s="176"/>
      <c r="F1257" s="173"/>
      <c r="G1257" s="107">
        <f t="shared" si="62"/>
        <v>0</v>
      </c>
      <c r="H1257" s="107">
        <f>DVUD!K1277</f>
        <v>0</v>
      </c>
      <c r="I1257" s="107"/>
    </row>
    <row r="1258" spans="1:9" ht="12.75" customHeight="1" x14ac:dyDescent="0.2">
      <c r="A1258" s="72"/>
      <c r="B1258" s="72">
        <v>836</v>
      </c>
      <c r="C1258" s="38"/>
      <c r="D1258" s="31" t="s">
        <v>5009</v>
      </c>
      <c r="E1258" s="176"/>
      <c r="F1258" s="173"/>
      <c r="G1258" s="107">
        <f t="shared" si="62"/>
        <v>0</v>
      </c>
      <c r="H1258" s="107">
        <f>DVUD!K1278</f>
        <v>0</v>
      </c>
      <c r="I1258" s="107"/>
    </row>
    <row r="1259" spans="1:9" ht="12.75" customHeight="1" x14ac:dyDescent="0.2">
      <c r="A1259" s="72"/>
      <c r="B1259" s="72">
        <v>837</v>
      </c>
      <c r="C1259" s="38"/>
      <c r="D1259" s="31" t="s">
        <v>3853</v>
      </c>
      <c r="E1259" s="176"/>
      <c r="F1259" s="173"/>
      <c r="G1259" s="107">
        <f t="shared" si="62"/>
        <v>0</v>
      </c>
      <c r="H1259" s="107">
        <f>DVUD!K1279</f>
        <v>0</v>
      </c>
      <c r="I1259" s="107"/>
    </row>
    <row r="1260" spans="1:9" ht="12.75" customHeight="1" x14ac:dyDescent="0.2">
      <c r="A1260" s="72"/>
      <c r="B1260" s="72">
        <v>838</v>
      </c>
      <c r="C1260" s="38"/>
      <c r="D1260" s="31" t="s">
        <v>3920</v>
      </c>
      <c r="E1260" s="176"/>
      <c r="F1260" s="173"/>
      <c r="G1260" s="107">
        <f t="shared" si="62"/>
        <v>0</v>
      </c>
      <c r="H1260" s="107">
        <f>DVUD!K1280</f>
        <v>0</v>
      </c>
      <c r="I1260" s="107"/>
    </row>
    <row r="1261" spans="1:9" ht="12.75" customHeight="1" x14ac:dyDescent="0.2">
      <c r="A1261" s="72"/>
      <c r="B1261" s="72">
        <v>839</v>
      </c>
      <c r="C1261" s="38"/>
      <c r="D1261" s="31" t="s">
        <v>3997</v>
      </c>
      <c r="E1261" s="176"/>
      <c r="F1261" s="173"/>
      <c r="G1261" s="107">
        <f t="shared" si="62"/>
        <v>0</v>
      </c>
      <c r="H1261" s="107">
        <f>DVUD!K1281</f>
        <v>0</v>
      </c>
      <c r="I1261" s="107"/>
    </row>
    <row r="1262" spans="1:9" ht="12.75" customHeight="1" x14ac:dyDescent="0.2">
      <c r="A1262" s="72"/>
      <c r="B1262" s="72">
        <v>840</v>
      </c>
      <c r="C1262" s="38"/>
      <c r="D1262" s="31" t="s">
        <v>4060</v>
      </c>
      <c r="E1262" s="176"/>
      <c r="F1262" s="173"/>
      <c r="G1262" s="107">
        <f t="shared" si="62"/>
        <v>0</v>
      </c>
      <c r="H1262" s="107">
        <f>DVUD!K1282</f>
        <v>0</v>
      </c>
      <c r="I1262" s="107"/>
    </row>
    <row r="1263" spans="1:9" ht="12.75" customHeight="1" x14ac:dyDescent="0.2">
      <c r="A1263" s="72" t="s">
        <v>5010</v>
      </c>
      <c r="B1263" s="72">
        <v>841</v>
      </c>
      <c r="C1263" s="38"/>
      <c r="D1263" s="31" t="s">
        <v>3878</v>
      </c>
      <c r="E1263" s="176"/>
      <c r="F1263" s="173"/>
      <c r="G1263" s="107">
        <f t="shared" si="62"/>
        <v>0</v>
      </c>
      <c r="H1263" s="107">
        <f>DVUD!K1283</f>
        <v>0</v>
      </c>
      <c r="I1263" s="107"/>
    </row>
    <row r="1264" spans="1:9" ht="12.75" customHeight="1" x14ac:dyDescent="0.2">
      <c r="A1264" s="72"/>
      <c r="B1264" s="72">
        <v>842</v>
      </c>
      <c r="C1264" s="38"/>
      <c r="D1264" s="31" t="s">
        <v>4940</v>
      </c>
      <c r="E1264" s="176"/>
      <c r="F1264" s="173"/>
      <c r="G1264" s="107">
        <f t="shared" si="62"/>
        <v>0</v>
      </c>
      <c r="H1264" s="107">
        <f>DVUD!K1284</f>
        <v>0</v>
      </c>
      <c r="I1264" s="107"/>
    </row>
    <row r="1265" spans="1:9" ht="12.75" customHeight="1" x14ac:dyDescent="0.2">
      <c r="A1265" s="72"/>
      <c r="B1265" s="72">
        <v>843</v>
      </c>
      <c r="C1265" s="38"/>
      <c r="D1265" s="31" t="s">
        <v>5011</v>
      </c>
      <c r="E1265" s="176"/>
      <c r="F1265" s="173"/>
      <c r="G1265" s="107">
        <f t="shared" si="62"/>
        <v>0</v>
      </c>
      <c r="H1265" s="107">
        <f>DVUD!K1285</f>
        <v>0</v>
      </c>
      <c r="I1265" s="107"/>
    </row>
    <row r="1266" spans="1:9" ht="12.75" customHeight="1" x14ac:dyDescent="0.2">
      <c r="A1266" s="72"/>
      <c r="B1266" s="72">
        <v>844</v>
      </c>
      <c r="C1266" s="38"/>
      <c r="D1266" s="31" t="s">
        <v>5012</v>
      </c>
      <c r="E1266" s="176"/>
      <c r="F1266" s="173"/>
      <c r="G1266" s="107">
        <f t="shared" si="62"/>
        <v>0</v>
      </c>
      <c r="H1266" s="107">
        <f>DVUD!K1286</f>
        <v>0</v>
      </c>
      <c r="I1266" s="107"/>
    </row>
    <row r="1267" spans="1:9" ht="12.75" customHeight="1" x14ac:dyDescent="0.2">
      <c r="A1267" s="72"/>
      <c r="B1267" s="72">
        <v>845</v>
      </c>
      <c r="C1267" s="38"/>
      <c r="D1267" s="31" t="s">
        <v>5013</v>
      </c>
      <c r="E1267" s="176"/>
      <c r="F1267" s="173"/>
      <c r="G1267" s="107">
        <f t="shared" si="62"/>
        <v>0</v>
      </c>
      <c r="H1267" s="107">
        <f>DVUD!K1287</f>
        <v>0</v>
      </c>
      <c r="I1267" s="107"/>
    </row>
    <row r="1268" spans="1:9" ht="12.75" customHeight="1" x14ac:dyDescent="0.2">
      <c r="A1268" s="72"/>
      <c r="B1268" s="72"/>
      <c r="C1268" s="38"/>
      <c r="D1268" s="31"/>
      <c r="E1268" s="176"/>
      <c r="F1268" s="173"/>
      <c r="G1268" s="107">
        <f t="shared" si="62"/>
        <v>0</v>
      </c>
      <c r="H1268" s="107">
        <f>DVUD!K1288</f>
        <v>0</v>
      </c>
      <c r="I1268" s="107"/>
    </row>
    <row r="1269" spans="1:9" ht="12.75" customHeight="1" x14ac:dyDescent="0.2">
      <c r="A1269" s="72"/>
      <c r="B1269" s="72">
        <v>846</v>
      </c>
      <c r="C1269" s="38"/>
      <c r="D1269" s="31" t="s">
        <v>5015</v>
      </c>
      <c r="E1269" s="176"/>
      <c r="F1269" s="173"/>
      <c r="G1269" s="107">
        <f t="shared" si="62"/>
        <v>0</v>
      </c>
      <c r="H1269" s="107">
        <f>DVUD!K1289</f>
        <v>0</v>
      </c>
      <c r="I1269" s="107"/>
    </row>
    <row r="1270" spans="1:9" ht="12.75" customHeight="1" x14ac:dyDescent="0.2">
      <c r="A1270" s="702" t="s">
        <v>3556</v>
      </c>
      <c r="B1270" s="703"/>
      <c r="C1270" s="703"/>
      <c r="D1270" s="703"/>
      <c r="E1270" s="703"/>
      <c r="F1270" s="704"/>
      <c r="G1270" s="94">
        <f>SUM(G1185:G1269)</f>
        <v>0</v>
      </c>
      <c r="H1270" s="94">
        <f>SUM(H1185:H1269)</f>
        <v>0</v>
      </c>
      <c r="I1270" s="94">
        <f>SUM(I1210:I1269)</f>
        <v>0</v>
      </c>
    </row>
    <row r="1271" spans="1:9" ht="12.75" customHeight="1" x14ac:dyDescent="0.2">
      <c r="A1271" s="702" t="s">
        <v>3560</v>
      </c>
      <c r="B1271" s="703"/>
      <c r="C1271" s="703"/>
      <c r="D1271" s="703"/>
      <c r="E1271" s="703"/>
      <c r="F1271" s="704"/>
      <c r="G1271" s="94">
        <f>G1147</f>
        <v>0</v>
      </c>
      <c r="H1271" s="94">
        <f>H1147</f>
        <v>0</v>
      </c>
      <c r="I1271" s="94">
        <f>I1102</f>
        <v>0</v>
      </c>
    </row>
    <row r="1272" spans="1:9" ht="12.75" customHeight="1" thickBot="1" x14ac:dyDescent="0.25">
      <c r="A1272" s="705" t="s">
        <v>3558</v>
      </c>
      <c r="B1272" s="706"/>
      <c r="C1272" s="706"/>
      <c r="D1272" s="706"/>
      <c r="E1272" s="706"/>
      <c r="F1272" s="707"/>
      <c r="G1272" s="93">
        <f>SUM(G1270:G1271)</f>
        <v>0</v>
      </c>
      <c r="H1272" s="93">
        <f>SUM(H1270:H1271)</f>
        <v>0</v>
      </c>
      <c r="I1272" s="93"/>
    </row>
    <row r="1273" spans="1:9" ht="12.75" customHeight="1" x14ac:dyDescent="0.2">
      <c r="G1273" s="46">
        <f>DVUD!H1290</f>
        <v>0</v>
      </c>
      <c r="H1273" s="46"/>
      <c r="I1273" s="46"/>
    </row>
    <row r="1274" spans="1:9" ht="12.75" customHeight="1" x14ac:dyDescent="0.2">
      <c r="A1274" s="687"/>
      <c r="B1274" s="687"/>
      <c r="C1274" s="687"/>
      <c r="D1274" s="687"/>
      <c r="E1274" s="143"/>
      <c r="F1274" s="143"/>
      <c r="G1274" s="708" t="s">
        <v>3537</v>
      </c>
      <c r="H1274" s="708"/>
      <c r="I1274" s="708"/>
    </row>
    <row r="1275" spans="1:9" ht="12.75" customHeight="1" x14ac:dyDescent="0.2">
      <c r="A1275" s="687"/>
      <c r="B1275" s="687"/>
      <c r="C1275" s="687"/>
      <c r="D1275" s="687"/>
      <c r="E1275" s="143"/>
      <c r="F1275" s="143"/>
      <c r="G1275" s="708" t="s">
        <v>3783</v>
      </c>
      <c r="H1275" s="708"/>
      <c r="I1275" s="708"/>
    </row>
    <row r="1276" spans="1:9" ht="12.75" customHeight="1" x14ac:dyDescent="0.2">
      <c r="A1276" s="305"/>
      <c r="B1276" s="305"/>
      <c r="C1276" s="305"/>
      <c r="D1276" s="305"/>
      <c r="E1276" s="143"/>
      <c r="F1276" s="143"/>
      <c r="G1276" s="308"/>
      <c r="H1276" s="308"/>
      <c r="I1276" s="308"/>
    </row>
    <row r="1277" spans="1:9" ht="12.75" customHeight="1" x14ac:dyDescent="0.2">
      <c r="A1277" s="305"/>
      <c r="B1277" s="305"/>
      <c r="C1277" s="305"/>
      <c r="D1277" s="305"/>
      <c r="E1277" s="143"/>
      <c r="F1277" s="143"/>
      <c r="G1277" s="700" t="s">
        <v>3538</v>
      </c>
      <c r="H1277" s="700"/>
      <c r="I1277" s="700"/>
    </row>
    <row r="1278" spans="1:9" ht="12.75" customHeight="1" x14ac:dyDescent="0.2">
      <c r="A1278" s="305"/>
      <c r="B1278" s="305"/>
      <c r="C1278" s="305"/>
      <c r="D1278" s="305"/>
      <c r="E1278" s="143"/>
      <c r="F1278" s="143"/>
      <c r="G1278" s="309"/>
      <c r="H1278" s="309"/>
      <c r="I1278" s="309"/>
    </row>
    <row r="1279" spans="1:9" ht="12.75" customHeight="1" x14ac:dyDescent="0.2">
      <c r="A1279" s="305"/>
      <c r="B1279" s="305"/>
      <c r="C1279" s="305"/>
      <c r="D1279" s="305"/>
      <c r="E1279" s="143"/>
      <c r="F1279" s="143"/>
      <c r="G1279" s="309"/>
      <c r="H1279" s="309"/>
      <c r="I1279" s="309"/>
    </row>
    <row r="1280" spans="1:9" ht="12.75" customHeight="1" x14ac:dyDescent="0.2">
      <c r="A1280" s="305"/>
      <c r="B1280" s="305"/>
      <c r="C1280" s="305"/>
      <c r="D1280" s="305"/>
      <c r="E1280" s="143"/>
      <c r="F1280" s="143"/>
      <c r="G1280" s="309"/>
      <c r="H1280" s="309"/>
      <c r="I1280" s="309"/>
    </row>
    <row r="1281" spans="1:9" ht="12.75" customHeight="1" x14ac:dyDescent="0.2">
      <c r="A1281" s="305"/>
      <c r="B1281" s="305"/>
      <c r="C1281" s="305"/>
      <c r="D1281" s="305"/>
      <c r="E1281" s="143"/>
      <c r="F1281" s="143"/>
      <c r="G1281" s="309"/>
      <c r="H1281" s="309"/>
      <c r="I1281" s="309"/>
    </row>
    <row r="1282" spans="1:9" ht="12.75" customHeight="1" x14ac:dyDescent="0.2">
      <c r="A1282" s="305"/>
      <c r="B1282" s="305"/>
      <c r="C1282" s="305"/>
      <c r="D1282" s="305"/>
      <c r="E1282" s="143"/>
      <c r="F1282" s="143"/>
      <c r="G1282" s="309"/>
      <c r="H1282" s="309"/>
      <c r="I1282" s="309"/>
    </row>
    <row r="1283" spans="1:9" ht="12.75" customHeight="1" x14ac:dyDescent="0.2">
      <c r="A1283" s="305"/>
      <c r="B1283" s="305"/>
      <c r="C1283" s="305"/>
      <c r="D1283" s="305"/>
      <c r="E1283" s="143"/>
      <c r="F1283" s="143"/>
      <c r="G1283" s="309"/>
      <c r="H1283" s="309"/>
      <c r="I1283" s="309"/>
    </row>
    <row r="1284" spans="1:9" ht="12.75" customHeight="1" x14ac:dyDescent="0.2">
      <c r="A1284" s="305"/>
      <c r="B1284" s="305"/>
      <c r="C1284" s="305"/>
      <c r="D1284" s="305"/>
      <c r="E1284" s="143"/>
      <c r="F1284" s="143"/>
      <c r="G1284" s="309"/>
      <c r="H1284" s="309"/>
      <c r="I1284" s="309"/>
    </row>
    <row r="1285" spans="1:9" ht="12.75" customHeight="1" x14ac:dyDescent="0.2">
      <c r="A1285" s="305"/>
      <c r="B1285" s="305"/>
      <c r="C1285" s="305"/>
      <c r="D1285" s="305"/>
      <c r="E1285" s="143"/>
      <c r="F1285" s="143"/>
      <c r="G1285" s="309"/>
      <c r="H1285" s="309"/>
      <c r="I1285" s="309"/>
    </row>
    <row r="1286" spans="1:9" ht="12.75" customHeight="1" x14ac:dyDescent="0.2">
      <c r="A1286" s="305"/>
      <c r="B1286" s="305"/>
      <c r="C1286" s="305"/>
      <c r="D1286" s="305"/>
      <c r="E1286" s="143"/>
      <c r="F1286" s="143"/>
      <c r="G1286" s="309"/>
      <c r="H1286" s="309"/>
      <c r="I1286" s="309"/>
    </row>
    <row r="1287" spans="1:9" ht="12.75" customHeight="1" x14ac:dyDescent="0.2">
      <c r="A1287" s="305"/>
      <c r="B1287" s="305"/>
      <c r="C1287" s="305"/>
      <c r="D1287" s="305"/>
      <c r="E1287" s="143"/>
      <c r="F1287" s="143"/>
      <c r="G1287" s="309"/>
      <c r="H1287" s="309"/>
      <c r="I1287" s="309"/>
    </row>
    <row r="1288" spans="1:9" ht="12.75" customHeight="1" x14ac:dyDescent="0.2">
      <c r="A1288" s="305"/>
      <c r="B1288" s="305"/>
      <c r="C1288" s="305"/>
      <c r="D1288" s="305"/>
      <c r="E1288" s="143"/>
      <c r="F1288" s="143"/>
      <c r="G1288" s="309"/>
      <c r="H1288" s="309"/>
      <c r="I1288" s="309"/>
    </row>
    <row r="1289" spans="1:9" ht="12.75" customHeight="1" x14ac:dyDescent="0.2">
      <c r="A1289" s="305"/>
      <c r="B1289" s="305"/>
      <c r="C1289" s="305"/>
      <c r="D1289" s="305"/>
      <c r="E1289" s="143"/>
      <c r="F1289" s="143"/>
      <c r="G1289" s="309"/>
      <c r="H1289" s="309"/>
      <c r="I1289" s="309"/>
    </row>
    <row r="1290" spans="1:9" ht="12.75" customHeight="1" x14ac:dyDescent="0.2">
      <c r="A1290" s="305"/>
      <c r="B1290" s="305"/>
      <c r="C1290" s="305"/>
      <c r="D1290" s="305"/>
      <c r="E1290" s="143"/>
      <c r="F1290" s="143"/>
      <c r="G1290" s="309"/>
      <c r="H1290" s="309"/>
      <c r="I1290" s="309"/>
    </row>
    <row r="1291" spans="1:9" ht="12.75" customHeight="1" x14ac:dyDescent="0.2">
      <c r="A1291" s="305"/>
      <c r="B1291" s="305"/>
      <c r="C1291" s="305"/>
      <c r="D1291" s="305"/>
      <c r="E1291" s="143"/>
      <c r="F1291" s="143"/>
      <c r="G1291" s="309"/>
      <c r="H1291" s="309"/>
      <c r="I1291" s="309"/>
    </row>
    <row r="1292" spans="1:9" ht="12.75" customHeight="1" x14ac:dyDescent="0.2">
      <c r="A1292" s="305"/>
      <c r="B1292" s="305"/>
      <c r="C1292" s="305"/>
      <c r="D1292" s="305"/>
      <c r="E1292" s="143"/>
      <c r="F1292" s="143"/>
      <c r="G1292" s="309"/>
      <c r="H1292" s="309"/>
      <c r="I1292" s="309"/>
    </row>
    <row r="1293" spans="1:9" ht="12.75" customHeight="1" x14ac:dyDescent="0.2">
      <c r="A1293" s="305"/>
      <c r="B1293" s="305"/>
      <c r="C1293" s="305"/>
      <c r="D1293" s="305"/>
      <c r="E1293" s="143"/>
      <c r="F1293" s="143"/>
      <c r="G1293" s="309"/>
      <c r="H1293" s="309"/>
      <c r="I1293" s="309"/>
    </row>
    <row r="1294" spans="1:9" ht="12.75" customHeight="1" x14ac:dyDescent="0.2">
      <c r="A1294" s="9" t="s">
        <v>0</v>
      </c>
      <c r="B1294" s="9"/>
      <c r="C1294" s="9"/>
      <c r="D1294" s="9"/>
      <c r="E1294" s="9"/>
      <c r="F1294" s="9"/>
      <c r="G1294" s="9"/>
      <c r="H1294" s="9"/>
      <c r="I1294" s="9"/>
    </row>
    <row r="1295" spans="1:9" ht="12.75" customHeight="1" x14ac:dyDescent="0.2">
      <c r="A1295" s="9" t="s">
        <v>1</v>
      </c>
      <c r="B1295" s="9"/>
      <c r="C1295" s="9"/>
      <c r="D1295" s="9"/>
      <c r="E1295" s="9"/>
      <c r="F1295" s="9"/>
      <c r="G1295" s="9"/>
      <c r="H1295" s="9"/>
      <c r="I1295" s="9"/>
    </row>
    <row r="1296" spans="1:9" ht="12.75" customHeight="1" x14ac:dyDescent="0.2">
      <c r="A1296" s="9"/>
      <c r="B1296" s="9"/>
      <c r="C1296" s="9"/>
      <c r="D1296" s="9"/>
      <c r="E1296" s="9"/>
      <c r="F1296" s="9"/>
      <c r="G1296" s="9"/>
      <c r="H1296" s="9"/>
      <c r="I1296" s="9"/>
    </row>
    <row r="1297" spans="1:9" ht="12.75" customHeight="1" x14ac:dyDescent="0.2">
      <c r="A1297" s="643" t="s">
        <v>77</v>
      </c>
      <c r="B1297" s="643"/>
      <c r="C1297" s="643"/>
      <c r="D1297" s="643"/>
      <c r="E1297" s="643"/>
      <c r="F1297" s="643"/>
      <c r="G1297" s="643"/>
      <c r="H1297" s="643"/>
      <c r="I1297" s="643"/>
    </row>
    <row r="1298" spans="1:9" ht="12.75" customHeight="1" x14ac:dyDescent="0.2">
      <c r="A1298" s="643" t="s">
        <v>3758</v>
      </c>
      <c r="B1298" s="643"/>
      <c r="C1298" s="643"/>
      <c r="D1298" s="643"/>
      <c r="E1298" s="643"/>
      <c r="F1298" s="643"/>
      <c r="G1298" s="643"/>
      <c r="H1298" s="643"/>
      <c r="I1298" s="643"/>
    </row>
    <row r="1299" spans="1:9" ht="12.75" customHeight="1" x14ac:dyDescent="0.2">
      <c r="A1299" s="240"/>
      <c r="B1299" s="240"/>
      <c r="C1299" s="240"/>
      <c r="D1299" s="240"/>
      <c r="E1299" s="240"/>
      <c r="F1299" s="240"/>
      <c r="G1299" s="240"/>
      <c r="H1299" s="240"/>
      <c r="I1299" s="240"/>
    </row>
    <row r="1300" spans="1:9" ht="12.75" customHeight="1" x14ac:dyDescent="0.2">
      <c r="A1300" s="680" t="s">
        <v>3</v>
      </c>
      <c r="B1300" s="701" t="s">
        <v>4</v>
      </c>
      <c r="C1300" s="701"/>
      <c r="D1300" s="680" t="s">
        <v>5</v>
      </c>
      <c r="E1300" s="662" t="s">
        <v>6</v>
      </c>
      <c r="F1300" s="664"/>
      <c r="G1300" s="310" t="s">
        <v>10</v>
      </c>
      <c r="H1300" s="701" t="s">
        <v>90</v>
      </c>
      <c r="I1300" s="701"/>
    </row>
    <row r="1301" spans="1:9" ht="12.75" customHeight="1" x14ac:dyDescent="0.2">
      <c r="A1301" s="681"/>
      <c r="B1301" s="680" t="s">
        <v>7</v>
      </c>
      <c r="C1301" s="680" t="s">
        <v>3</v>
      </c>
      <c r="D1301" s="681"/>
      <c r="E1301" s="680" t="s">
        <v>8</v>
      </c>
      <c r="F1301" s="680" t="s">
        <v>3</v>
      </c>
      <c r="G1301" s="306" t="s">
        <v>9</v>
      </c>
      <c r="H1301" s="310" t="s">
        <v>11</v>
      </c>
      <c r="I1301" s="310" t="s">
        <v>3342</v>
      </c>
    </row>
    <row r="1302" spans="1:9" ht="12.75" customHeight="1" x14ac:dyDescent="0.2">
      <c r="A1302" s="682"/>
      <c r="B1302" s="682"/>
      <c r="C1302" s="682"/>
      <c r="D1302" s="682"/>
      <c r="E1302" s="682"/>
      <c r="F1302" s="682"/>
      <c r="G1302" s="310" t="s">
        <v>3312</v>
      </c>
      <c r="H1302" s="307" t="s">
        <v>3343</v>
      </c>
      <c r="I1302" s="307" t="s">
        <v>3344</v>
      </c>
    </row>
    <row r="1303" spans="1:9" ht="12.75" customHeight="1" x14ac:dyDescent="0.2">
      <c r="A1303" s="210" t="s">
        <v>5155</v>
      </c>
      <c r="B1303" s="210">
        <v>847</v>
      </c>
      <c r="C1303" s="211" t="str">
        <f t="shared" ref="C1303:C1334" si="64">A1303</f>
        <v>02 Des</v>
      </c>
      <c r="D1303" s="60" t="s">
        <v>5156</v>
      </c>
      <c r="E1303" s="212"/>
      <c r="F1303" s="60"/>
      <c r="G1303" s="90">
        <f t="shared" ref="G1303:G1350" si="65">H1303</f>
        <v>0</v>
      </c>
      <c r="H1303" s="90">
        <f>DVUD!K1305</f>
        <v>0</v>
      </c>
      <c r="I1303" s="90"/>
    </row>
    <row r="1304" spans="1:9" ht="12.75" customHeight="1" x14ac:dyDescent="0.2">
      <c r="A1304" s="72" t="s">
        <v>5157</v>
      </c>
      <c r="B1304" s="72">
        <v>848</v>
      </c>
      <c r="C1304" s="38" t="str">
        <f t="shared" si="64"/>
        <v>03 Des</v>
      </c>
      <c r="D1304" s="31" t="s">
        <v>5158</v>
      </c>
      <c r="E1304" s="41"/>
      <c r="F1304" s="31"/>
      <c r="G1304" s="107">
        <f t="shared" si="65"/>
        <v>0</v>
      </c>
      <c r="H1304" s="107">
        <f>DVUD!K1306</f>
        <v>0</v>
      </c>
      <c r="I1304" s="107"/>
    </row>
    <row r="1305" spans="1:9" ht="12.75" customHeight="1" x14ac:dyDescent="0.2">
      <c r="A1305" s="72"/>
      <c r="B1305" s="72">
        <v>849</v>
      </c>
      <c r="C1305" s="38">
        <f t="shared" si="64"/>
        <v>0</v>
      </c>
      <c r="D1305" s="31" t="s">
        <v>5159</v>
      </c>
      <c r="E1305" s="41"/>
      <c r="F1305" s="31"/>
      <c r="G1305" s="107">
        <f t="shared" si="65"/>
        <v>0</v>
      </c>
      <c r="H1305" s="107">
        <f>DVUD!K1307</f>
        <v>0</v>
      </c>
      <c r="I1305" s="107"/>
    </row>
    <row r="1306" spans="1:9" ht="12.75" customHeight="1" x14ac:dyDescent="0.2">
      <c r="A1306" s="72" t="s">
        <v>5160</v>
      </c>
      <c r="B1306" s="72">
        <v>850</v>
      </c>
      <c r="C1306" s="38" t="str">
        <f t="shared" si="64"/>
        <v>04 Des</v>
      </c>
      <c r="D1306" s="31" t="s">
        <v>4060</v>
      </c>
      <c r="E1306" s="41"/>
      <c r="F1306" s="31"/>
      <c r="G1306" s="107">
        <f t="shared" si="65"/>
        <v>0</v>
      </c>
      <c r="H1306" s="107">
        <f>DVUD!K1308</f>
        <v>0</v>
      </c>
      <c r="I1306" s="107"/>
    </row>
    <row r="1307" spans="1:9" ht="12.75" customHeight="1" x14ac:dyDescent="0.2">
      <c r="A1307" s="72"/>
      <c r="B1307" s="72">
        <v>851</v>
      </c>
      <c r="C1307" s="38">
        <f t="shared" si="64"/>
        <v>0</v>
      </c>
      <c r="D1307" s="31" t="s">
        <v>4713</v>
      </c>
      <c r="E1307" s="41"/>
      <c r="F1307" s="31"/>
      <c r="G1307" s="107">
        <f t="shared" si="65"/>
        <v>0</v>
      </c>
      <c r="H1307" s="107">
        <f>DVUD!K1309</f>
        <v>0</v>
      </c>
      <c r="I1307" s="107"/>
    </row>
    <row r="1308" spans="1:9" ht="12.75" customHeight="1" x14ac:dyDescent="0.2">
      <c r="A1308" s="72" t="s">
        <v>5161</v>
      </c>
      <c r="B1308" s="72">
        <v>852</v>
      </c>
      <c r="C1308" s="38" t="str">
        <f t="shared" si="64"/>
        <v>09 Des</v>
      </c>
      <c r="D1308" s="31" t="s">
        <v>3841</v>
      </c>
      <c r="E1308" s="41"/>
      <c r="F1308" s="31"/>
      <c r="G1308" s="107">
        <f t="shared" si="65"/>
        <v>0</v>
      </c>
      <c r="H1308" s="107">
        <f>DVUD!K1310</f>
        <v>0</v>
      </c>
      <c r="I1308" s="107"/>
    </row>
    <row r="1309" spans="1:9" ht="12.75" customHeight="1" x14ac:dyDescent="0.2">
      <c r="A1309" s="72"/>
      <c r="B1309" s="72">
        <v>853</v>
      </c>
      <c r="C1309" s="38">
        <f t="shared" si="64"/>
        <v>0</v>
      </c>
      <c r="D1309" s="31" t="s">
        <v>3842</v>
      </c>
      <c r="E1309" s="41"/>
      <c r="F1309" s="31"/>
      <c r="G1309" s="107">
        <f t="shared" si="65"/>
        <v>0</v>
      </c>
      <c r="H1309" s="107">
        <f>DVUD!K1311</f>
        <v>0</v>
      </c>
      <c r="I1309" s="107"/>
    </row>
    <row r="1310" spans="1:9" ht="12.75" customHeight="1" x14ac:dyDescent="0.2">
      <c r="A1310" s="72"/>
      <c r="B1310" s="72">
        <v>854</v>
      </c>
      <c r="C1310" s="38">
        <f t="shared" si="64"/>
        <v>0</v>
      </c>
      <c r="D1310" s="31" t="s">
        <v>3843</v>
      </c>
      <c r="E1310" s="41"/>
      <c r="F1310" s="31"/>
      <c r="G1310" s="107">
        <f t="shared" si="65"/>
        <v>0</v>
      </c>
      <c r="H1310" s="107">
        <f>DVUD!K1312</f>
        <v>0</v>
      </c>
      <c r="I1310" s="107"/>
    </row>
    <row r="1311" spans="1:9" ht="12.75" customHeight="1" x14ac:dyDescent="0.2">
      <c r="A1311" s="72"/>
      <c r="B1311" s="72">
        <v>855</v>
      </c>
      <c r="C1311" s="38">
        <f t="shared" si="64"/>
        <v>0</v>
      </c>
      <c r="D1311" s="31" t="s">
        <v>5162</v>
      </c>
      <c r="E1311" s="41"/>
      <c r="F1311" s="31"/>
      <c r="G1311" s="107">
        <f t="shared" si="65"/>
        <v>0</v>
      </c>
      <c r="H1311" s="107">
        <f>DVUD!K1313</f>
        <v>0</v>
      </c>
      <c r="I1311" s="107"/>
    </row>
    <row r="1312" spans="1:9" ht="12.75" customHeight="1" x14ac:dyDescent="0.2">
      <c r="A1312" s="72"/>
      <c r="B1312" s="72">
        <v>856</v>
      </c>
      <c r="C1312" s="38">
        <f t="shared" si="64"/>
        <v>0</v>
      </c>
      <c r="D1312" s="31" t="s">
        <v>5163</v>
      </c>
      <c r="E1312" s="41"/>
      <c r="F1312" s="31"/>
      <c r="G1312" s="107">
        <f t="shared" si="65"/>
        <v>0</v>
      </c>
      <c r="H1312" s="107">
        <f>DVUD!K1314</f>
        <v>0</v>
      </c>
      <c r="I1312" s="107"/>
    </row>
    <row r="1313" spans="1:9" ht="12.75" customHeight="1" x14ac:dyDescent="0.2">
      <c r="A1313" s="72"/>
      <c r="B1313" s="72">
        <v>857</v>
      </c>
      <c r="C1313" s="38">
        <f t="shared" si="64"/>
        <v>0</v>
      </c>
      <c r="D1313" s="31" t="s">
        <v>5164</v>
      </c>
      <c r="E1313" s="41"/>
      <c r="F1313" s="31"/>
      <c r="G1313" s="107">
        <f t="shared" si="65"/>
        <v>0</v>
      </c>
      <c r="H1313" s="107">
        <f>DVUD!K1315</f>
        <v>0</v>
      </c>
      <c r="I1313" s="107"/>
    </row>
    <row r="1314" spans="1:9" ht="12.75" customHeight="1" x14ac:dyDescent="0.2">
      <c r="A1314" s="72"/>
      <c r="B1314" s="72">
        <v>858</v>
      </c>
      <c r="C1314" s="38">
        <f t="shared" si="64"/>
        <v>0</v>
      </c>
      <c r="D1314" s="31" t="s">
        <v>5165</v>
      </c>
      <c r="E1314" s="41"/>
      <c r="F1314" s="31"/>
      <c r="G1314" s="107">
        <f t="shared" si="65"/>
        <v>0</v>
      </c>
      <c r="H1314" s="107">
        <f>DVUD!K1316</f>
        <v>0</v>
      </c>
      <c r="I1314" s="107"/>
    </row>
    <row r="1315" spans="1:9" ht="12.75" customHeight="1" x14ac:dyDescent="0.2">
      <c r="A1315" s="72"/>
      <c r="B1315" s="72">
        <v>859</v>
      </c>
      <c r="C1315" s="38">
        <f t="shared" si="64"/>
        <v>0</v>
      </c>
      <c r="D1315" s="31" t="s">
        <v>5166</v>
      </c>
      <c r="E1315" s="41"/>
      <c r="F1315" s="31"/>
      <c r="G1315" s="107">
        <f t="shared" si="65"/>
        <v>0</v>
      </c>
      <c r="H1315" s="107">
        <f>DVUD!K1317</f>
        <v>0</v>
      </c>
      <c r="I1315" s="107"/>
    </row>
    <row r="1316" spans="1:9" ht="12.75" customHeight="1" x14ac:dyDescent="0.2">
      <c r="A1316" s="72"/>
      <c r="B1316" s="72">
        <v>860</v>
      </c>
      <c r="C1316" s="38">
        <f t="shared" si="64"/>
        <v>0</v>
      </c>
      <c r="D1316" s="31" t="s">
        <v>5167</v>
      </c>
      <c r="E1316" s="41"/>
      <c r="F1316" s="31"/>
      <c r="G1316" s="107">
        <f t="shared" si="65"/>
        <v>0</v>
      </c>
      <c r="H1316" s="107">
        <f>DVUD!K1318</f>
        <v>0</v>
      </c>
      <c r="I1316" s="107"/>
    </row>
    <row r="1317" spans="1:9" ht="12.75" customHeight="1" x14ac:dyDescent="0.2">
      <c r="A1317" s="72" t="s">
        <v>5169</v>
      </c>
      <c r="B1317" s="72">
        <v>861</v>
      </c>
      <c r="C1317" s="38" t="str">
        <f t="shared" si="64"/>
        <v>10 Des</v>
      </c>
      <c r="D1317" s="31" t="s">
        <v>5170</v>
      </c>
      <c r="E1317" s="41"/>
      <c r="F1317" s="31"/>
      <c r="G1317" s="107">
        <f t="shared" si="65"/>
        <v>0</v>
      </c>
      <c r="H1317" s="107">
        <f>DVUD!K1319</f>
        <v>0</v>
      </c>
      <c r="I1317" s="107"/>
    </row>
    <row r="1318" spans="1:9" ht="12.75" customHeight="1" x14ac:dyDescent="0.2">
      <c r="A1318" s="72"/>
      <c r="B1318" s="72">
        <v>862</v>
      </c>
      <c r="C1318" s="38">
        <f t="shared" si="64"/>
        <v>0</v>
      </c>
      <c r="D1318" s="31" t="s">
        <v>5171</v>
      </c>
      <c r="E1318" s="41"/>
      <c r="F1318" s="31"/>
      <c r="G1318" s="107">
        <f t="shared" si="65"/>
        <v>0</v>
      </c>
      <c r="H1318" s="107">
        <f>DVUD!K1320</f>
        <v>0</v>
      </c>
      <c r="I1318" s="107"/>
    </row>
    <row r="1319" spans="1:9" ht="12.75" customHeight="1" x14ac:dyDescent="0.2">
      <c r="A1319" s="263"/>
      <c r="B1319" s="72">
        <v>863</v>
      </c>
      <c r="C1319" s="38">
        <f t="shared" si="64"/>
        <v>0</v>
      </c>
      <c r="D1319" s="31" t="s">
        <v>5172</v>
      </c>
      <c r="E1319" s="41"/>
      <c r="F1319" s="31"/>
      <c r="G1319" s="107">
        <f t="shared" si="65"/>
        <v>0</v>
      </c>
      <c r="H1319" s="107">
        <f>DVUD!K1321</f>
        <v>0</v>
      </c>
      <c r="I1319" s="107"/>
    </row>
    <row r="1320" spans="1:9" ht="12.75" customHeight="1" x14ac:dyDescent="0.2">
      <c r="A1320" s="72"/>
      <c r="B1320" s="72">
        <v>864</v>
      </c>
      <c r="C1320" s="38">
        <f t="shared" si="64"/>
        <v>0</v>
      </c>
      <c r="D1320" s="31" t="s">
        <v>5173</v>
      </c>
      <c r="E1320" s="41"/>
      <c r="F1320" s="31"/>
      <c r="G1320" s="107">
        <f t="shared" si="65"/>
        <v>0</v>
      </c>
      <c r="H1320" s="107">
        <f>DVUD!K1322</f>
        <v>0</v>
      </c>
      <c r="I1320" s="107"/>
    </row>
    <row r="1321" spans="1:9" ht="12.75" customHeight="1" x14ac:dyDescent="0.2">
      <c r="A1321" s="72"/>
      <c r="B1321" s="72">
        <v>865</v>
      </c>
      <c r="C1321" s="38">
        <f t="shared" si="64"/>
        <v>0</v>
      </c>
      <c r="D1321" s="31" t="s">
        <v>5174</v>
      </c>
      <c r="E1321" s="41"/>
      <c r="F1321" s="31"/>
      <c r="G1321" s="107">
        <f t="shared" si="65"/>
        <v>0</v>
      </c>
      <c r="H1321" s="107">
        <f>DVUD!K1323</f>
        <v>0</v>
      </c>
      <c r="I1321" s="107"/>
    </row>
    <row r="1322" spans="1:9" ht="12.75" customHeight="1" x14ac:dyDescent="0.2">
      <c r="A1322" s="72"/>
      <c r="B1322" s="72">
        <v>866</v>
      </c>
      <c r="C1322" s="38">
        <f t="shared" si="64"/>
        <v>0</v>
      </c>
      <c r="D1322" s="31" t="s">
        <v>3845</v>
      </c>
      <c r="E1322" s="41"/>
      <c r="F1322" s="31"/>
      <c r="G1322" s="107">
        <f t="shared" si="65"/>
        <v>0</v>
      </c>
      <c r="H1322" s="107">
        <f>DVUD!K1324</f>
        <v>0</v>
      </c>
      <c r="I1322" s="107"/>
    </row>
    <row r="1323" spans="1:9" ht="12.75" customHeight="1" x14ac:dyDescent="0.2">
      <c r="A1323" s="72"/>
      <c r="B1323" s="72">
        <v>867</v>
      </c>
      <c r="C1323" s="38">
        <f t="shared" si="64"/>
        <v>0</v>
      </c>
      <c r="D1323" s="31" t="s">
        <v>5175</v>
      </c>
      <c r="E1323" s="41"/>
      <c r="F1323" s="31"/>
      <c r="G1323" s="107">
        <f t="shared" si="65"/>
        <v>0</v>
      </c>
      <c r="H1323" s="107">
        <f>DVUD!K1325</f>
        <v>0</v>
      </c>
      <c r="I1323" s="107"/>
    </row>
    <row r="1324" spans="1:9" ht="12.75" customHeight="1" x14ac:dyDescent="0.2">
      <c r="A1324" s="72"/>
      <c r="B1324" s="72"/>
      <c r="C1324" s="38">
        <f t="shared" si="64"/>
        <v>0</v>
      </c>
      <c r="D1324" s="31"/>
      <c r="E1324" s="41"/>
      <c r="F1324" s="31"/>
      <c r="G1324" s="107">
        <f t="shared" si="65"/>
        <v>0</v>
      </c>
      <c r="H1324" s="107">
        <f>DVUD!K1326</f>
        <v>0</v>
      </c>
      <c r="I1324" s="107"/>
    </row>
    <row r="1325" spans="1:9" ht="12.75" customHeight="1" x14ac:dyDescent="0.2">
      <c r="A1325" s="72"/>
      <c r="B1325" s="72"/>
      <c r="C1325" s="38">
        <f t="shared" si="64"/>
        <v>0</v>
      </c>
      <c r="D1325" s="31"/>
      <c r="E1325" s="41"/>
      <c r="F1325" s="31"/>
      <c r="G1325" s="107">
        <f t="shared" si="65"/>
        <v>0</v>
      </c>
      <c r="H1325" s="107">
        <f>DVUD!K1327</f>
        <v>0</v>
      </c>
      <c r="I1325" s="107"/>
    </row>
    <row r="1326" spans="1:9" ht="12.75" customHeight="1" x14ac:dyDescent="0.2">
      <c r="A1326" s="72" t="s">
        <v>3757</v>
      </c>
      <c r="B1326" s="72">
        <v>868</v>
      </c>
      <c r="C1326" s="38" t="str">
        <f t="shared" si="64"/>
        <v>11 Des</v>
      </c>
      <c r="D1326" s="265" t="s">
        <v>3844</v>
      </c>
      <c r="E1326" s="41"/>
      <c r="F1326" s="31"/>
      <c r="G1326" s="107">
        <f t="shared" si="65"/>
        <v>0</v>
      </c>
      <c r="H1326" s="107">
        <f>DVUD!K1328</f>
        <v>0</v>
      </c>
      <c r="I1326" s="107"/>
    </row>
    <row r="1327" spans="1:9" ht="12.75" customHeight="1" x14ac:dyDescent="0.2">
      <c r="A1327" s="72"/>
      <c r="B1327" s="72"/>
      <c r="C1327" s="38">
        <f t="shared" si="64"/>
        <v>0</v>
      </c>
      <c r="D1327" s="265"/>
      <c r="E1327" s="41"/>
      <c r="F1327" s="31"/>
      <c r="G1327" s="107">
        <f t="shared" si="65"/>
        <v>0</v>
      </c>
      <c r="H1327" s="107">
        <f>DVUD!K1329</f>
        <v>0</v>
      </c>
      <c r="I1327" s="107"/>
    </row>
    <row r="1328" spans="1:9" ht="12.75" customHeight="1" x14ac:dyDescent="0.2">
      <c r="A1328" s="72"/>
      <c r="B1328" s="72"/>
      <c r="C1328" s="38">
        <f t="shared" si="64"/>
        <v>0</v>
      </c>
      <c r="D1328" s="265"/>
      <c r="E1328" s="176"/>
      <c r="F1328" s="173"/>
      <c r="G1328" s="107">
        <f t="shared" si="65"/>
        <v>0</v>
      </c>
      <c r="H1328" s="107">
        <f>DVUD!K1330</f>
        <v>0</v>
      </c>
      <c r="I1328" s="107"/>
    </row>
    <row r="1329" spans="1:9" ht="12.75" customHeight="1" x14ac:dyDescent="0.2">
      <c r="A1329" s="72"/>
      <c r="B1329" s="72">
        <v>869</v>
      </c>
      <c r="C1329" s="38">
        <f t="shared" si="64"/>
        <v>0</v>
      </c>
      <c r="D1329" s="31" t="s">
        <v>5176</v>
      </c>
      <c r="E1329" s="176"/>
      <c r="F1329" s="173"/>
      <c r="G1329" s="107">
        <f t="shared" si="65"/>
        <v>0</v>
      </c>
      <c r="H1329" s="107">
        <f>DVUD!K1331</f>
        <v>0</v>
      </c>
      <c r="I1329" s="107"/>
    </row>
    <row r="1330" spans="1:9" ht="12.75" customHeight="1" x14ac:dyDescent="0.2">
      <c r="A1330" s="72" t="s">
        <v>5177</v>
      </c>
      <c r="B1330" s="72">
        <v>870</v>
      </c>
      <c r="C1330" s="38" t="str">
        <f t="shared" si="64"/>
        <v>12 Des</v>
      </c>
      <c r="D1330" s="31" t="s">
        <v>5178</v>
      </c>
      <c r="E1330" s="176"/>
      <c r="F1330" s="173"/>
      <c r="G1330" s="107">
        <f t="shared" si="65"/>
        <v>0</v>
      </c>
      <c r="H1330" s="107">
        <f>DVUD!K1332</f>
        <v>0</v>
      </c>
      <c r="I1330" s="107"/>
    </row>
    <row r="1331" spans="1:9" ht="12.75" customHeight="1" x14ac:dyDescent="0.2">
      <c r="A1331" s="72" t="s">
        <v>5179</v>
      </c>
      <c r="B1331" s="72">
        <v>871</v>
      </c>
      <c r="C1331" s="38" t="str">
        <f t="shared" si="64"/>
        <v>15 Des</v>
      </c>
      <c r="D1331" s="31" t="s">
        <v>5180</v>
      </c>
      <c r="E1331" s="176"/>
      <c r="F1331" s="173"/>
      <c r="G1331" s="107">
        <f t="shared" si="65"/>
        <v>0</v>
      </c>
      <c r="H1331" s="107">
        <f>DVUD!K1333</f>
        <v>0</v>
      </c>
      <c r="I1331" s="107"/>
    </row>
    <row r="1332" spans="1:9" ht="12.75" customHeight="1" x14ac:dyDescent="0.2">
      <c r="A1332" s="72"/>
      <c r="B1332" s="72">
        <v>872</v>
      </c>
      <c r="C1332" s="38">
        <f t="shared" si="64"/>
        <v>0</v>
      </c>
      <c r="D1332" s="31" t="s">
        <v>5181</v>
      </c>
      <c r="E1332" s="176"/>
      <c r="F1332" s="173"/>
      <c r="G1332" s="107">
        <f t="shared" si="65"/>
        <v>0</v>
      </c>
      <c r="H1332" s="107">
        <f>DVUD!K1334</f>
        <v>0</v>
      </c>
      <c r="I1332" s="107"/>
    </row>
    <row r="1333" spans="1:9" ht="12.75" customHeight="1" x14ac:dyDescent="0.2">
      <c r="A1333" s="72"/>
      <c r="B1333" s="72">
        <v>873</v>
      </c>
      <c r="C1333" s="38">
        <f t="shared" si="64"/>
        <v>0</v>
      </c>
      <c r="D1333" s="31" t="s">
        <v>5182</v>
      </c>
      <c r="E1333" s="176"/>
      <c r="F1333" s="173"/>
      <c r="G1333" s="107">
        <f t="shared" si="65"/>
        <v>0</v>
      </c>
      <c r="H1333" s="107">
        <f>DVUD!K1335</f>
        <v>0</v>
      </c>
      <c r="I1333" s="107"/>
    </row>
    <row r="1334" spans="1:9" ht="12.75" customHeight="1" x14ac:dyDescent="0.2">
      <c r="A1334" s="72"/>
      <c r="B1334" s="72">
        <v>874</v>
      </c>
      <c r="C1334" s="38">
        <f t="shared" si="64"/>
        <v>0</v>
      </c>
      <c r="D1334" s="31" t="s">
        <v>5184</v>
      </c>
      <c r="E1334" s="176"/>
      <c r="F1334" s="173"/>
      <c r="G1334" s="107">
        <f t="shared" si="65"/>
        <v>0</v>
      </c>
      <c r="H1334" s="107">
        <f>DVUD!K1336</f>
        <v>0</v>
      </c>
      <c r="I1334" s="107"/>
    </row>
    <row r="1335" spans="1:9" ht="12.75" customHeight="1" x14ac:dyDescent="0.2">
      <c r="A1335" s="72"/>
      <c r="B1335" s="72">
        <v>875</v>
      </c>
      <c r="C1335" s="38">
        <f t="shared" ref="C1335:C1366" si="66">A1335</f>
        <v>0</v>
      </c>
      <c r="D1335" s="31" t="s">
        <v>5185</v>
      </c>
      <c r="E1335" s="176"/>
      <c r="F1335" s="173"/>
      <c r="G1335" s="107">
        <f t="shared" si="65"/>
        <v>0</v>
      </c>
      <c r="H1335" s="107">
        <f>DVUD!K1337</f>
        <v>0</v>
      </c>
      <c r="I1335" s="107"/>
    </row>
    <row r="1336" spans="1:9" ht="12.75" customHeight="1" x14ac:dyDescent="0.2">
      <c r="A1336" s="72"/>
      <c r="B1336" s="72"/>
      <c r="C1336" s="38">
        <f t="shared" si="66"/>
        <v>0</v>
      </c>
      <c r="D1336" s="265"/>
      <c r="E1336" s="176"/>
      <c r="F1336" s="173"/>
      <c r="G1336" s="107">
        <f t="shared" si="65"/>
        <v>0</v>
      </c>
      <c r="H1336" s="107">
        <f>DVUD!K1338</f>
        <v>0</v>
      </c>
      <c r="I1336" s="107"/>
    </row>
    <row r="1337" spans="1:9" ht="12.75" customHeight="1" x14ac:dyDescent="0.2">
      <c r="A1337" s="72"/>
      <c r="B1337" s="72"/>
      <c r="C1337" s="38">
        <f t="shared" si="66"/>
        <v>0</v>
      </c>
      <c r="D1337" s="265"/>
      <c r="E1337" s="176"/>
      <c r="F1337" s="173"/>
      <c r="G1337" s="107">
        <f t="shared" si="65"/>
        <v>0</v>
      </c>
      <c r="H1337" s="107">
        <f>DVUD!K1339</f>
        <v>0</v>
      </c>
      <c r="I1337" s="107"/>
    </row>
    <row r="1338" spans="1:9" ht="12.75" customHeight="1" x14ac:dyDescent="0.2">
      <c r="A1338" s="72"/>
      <c r="B1338" s="72">
        <v>876</v>
      </c>
      <c r="C1338" s="38">
        <f t="shared" si="66"/>
        <v>0</v>
      </c>
      <c r="D1338" s="265" t="s">
        <v>5189</v>
      </c>
      <c r="E1338" s="176"/>
      <c r="F1338" s="173"/>
      <c r="G1338" s="107">
        <f t="shared" si="65"/>
        <v>0</v>
      </c>
      <c r="H1338" s="107">
        <f>DVUD!K1340</f>
        <v>0</v>
      </c>
      <c r="I1338" s="107"/>
    </row>
    <row r="1339" spans="1:9" ht="12.75" customHeight="1" x14ac:dyDescent="0.2">
      <c r="A1339" s="72"/>
      <c r="B1339" s="72">
        <v>877</v>
      </c>
      <c r="C1339" s="38">
        <f t="shared" si="66"/>
        <v>0</v>
      </c>
      <c r="D1339" s="265" t="s">
        <v>3996</v>
      </c>
      <c r="E1339" s="176"/>
      <c r="F1339" s="173"/>
      <c r="G1339" s="107">
        <f t="shared" si="65"/>
        <v>0</v>
      </c>
      <c r="H1339" s="107">
        <f>DVUD!K1341</f>
        <v>0</v>
      </c>
      <c r="I1339" s="107"/>
    </row>
    <row r="1340" spans="1:9" ht="12.75" customHeight="1" x14ac:dyDescent="0.2">
      <c r="A1340" s="72"/>
      <c r="B1340" s="72">
        <v>878</v>
      </c>
      <c r="C1340" s="38">
        <f t="shared" si="66"/>
        <v>0</v>
      </c>
      <c r="D1340" s="31" t="s">
        <v>5190</v>
      </c>
      <c r="E1340" s="176"/>
      <c r="F1340" s="173"/>
      <c r="G1340" s="107">
        <f t="shared" si="65"/>
        <v>0</v>
      </c>
      <c r="H1340" s="107">
        <f>DVUD!K1342</f>
        <v>0</v>
      </c>
      <c r="I1340" s="107"/>
    </row>
    <row r="1341" spans="1:9" ht="12.75" customHeight="1" x14ac:dyDescent="0.2">
      <c r="A1341" s="72" t="s">
        <v>5191</v>
      </c>
      <c r="B1341" s="72">
        <v>879</v>
      </c>
      <c r="C1341" s="38" t="str">
        <f t="shared" si="66"/>
        <v>16 Des</v>
      </c>
      <c r="D1341" s="31" t="s">
        <v>5192</v>
      </c>
      <c r="E1341" s="176"/>
      <c r="F1341" s="173"/>
      <c r="G1341" s="107">
        <f t="shared" si="65"/>
        <v>0</v>
      </c>
      <c r="H1341" s="107">
        <f>DVUD!K1343</f>
        <v>0</v>
      </c>
      <c r="I1341" s="107"/>
    </row>
    <row r="1342" spans="1:9" ht="12.75" customHeight="1" x14ac:dyDescent="0.2">
      <c r="A1342" s="72"/>
      <c r="B1342" s="72">
        <v>880</v>
      </c>
      <c r="C1342" s="38">
        <f t="shared" si="66"/>
        <v>0</v>
      </c>
      <c r="D1342" s="31" t="s">
        <v>5193</v>
      </c>
      <c r="E1342" s="176"/>
      <c r="F1342" s="173"/>
      <c r="G1342" s="107">
        <f t="shared" si="65"/>
        <v>0</v>
      </c>
      <c r="H1342" s="107">
        <f>DVUD!K1344</f>
        <v>0</v>
      </c>
      <c r="I1342" s="107"/>
    </row>
    <row r="1343" spans="1:9" ht="12.75" customHeight="1" x14ac:dyDescent="0.2">
      <c r="A1343" s="72"/>
      <c r="B1343" s="72">
        <v>881</v>
      </c>
      <c r="C1343" s="38">
        <f t="shared" si="66"/>
        <v>0</v>
      </c>
      <c r="D1343" s="31" t="s">
        <v>5194</v>
      </c>
      <c r="E1343" s="176"/>
      <c r="F1343" s="173"/>
      <c r="G1343" s="107">
        <f t="shared" si="65"/>
        <v>0</v>
      </c>
      <c r="H1343" s="107">
        <f>DVUD!K1345</f>
        <v>0</v>
      </c>
      <c r="I1343" s="107"/>
    </row>
    <row r="1344" spans="1:9" ht="12.75" customHeight="1" x14ac:dyDescent="0.2">
      <c r="A1344" s="72" t="s">
        <v>5195</v>
      </c>
      <c r="B1344" s="72">
        <v>882</v>
      </c>
      <c r="C1344" s="38" t="str">
        <f t="shared" si="66"/>
        <v>17 Des</v>
      </c>
      <c r="D1344" s="31" t="s">
        <v>5196</v>
      </c>
      <c r="E1344" s="176"/>
      <c r="F1344" s="173"/>
      <c r="G1344" s="107">
        <f t="shared" si="65"/>
        <v>0</v>
      </c>
      <c r="H1344" s="107">
        <f>DVUD!K1346</f>
        <v>0</v>
      </c>
      <c r="I1344" s="107"/>
    </row>
    <row r="1345" spans="1:9" ht="12.75" customHeight="1" x14ac:dyDescent="0.2">
      <c r="A1345" s="72" t="s">
        <v>5197</v>
      </c>
      <c r="B1345" s="72">
        <v>883</v>
      </c>
      <c r="C1345" s="38" t="str">
        <f t="shared" si="66"/>
        <v>18 Des</v>
      </c>
      <c r="D1345" s="31" t="s">
        <v>4033</v>
      </c>
      <c r="E1345" s="176"/>
      <c r="F1345" s="173"/>
      <c r="G1345" s="107">
        <f t="shared" si="65"/>
        <v>0</v>
      </c>
      <c r="H1345" s="107">
        <f>DVUD!K1347</f>
        <v>0</v>
      </c>
      <c r="I1345" s="107"/>
    </row>
    <row r="1346" spans="1:9" ht="12.75" customHeight="1" x14ac:dyDescent="0.2">
      <c r="A1346" s="72"/>
      <c r="B1346" s="72">
        <v>884</v>
      </c>
      <c r="C1346" s="38">
        <f t="shared" si="66"/>
        <v>0</v>
      </c>
      <c r="D1346" s="31" t="s">
        <v>5198</v>
      </c>
      <c r="E1346" s="176"/>
      <c r="F1346" s="173"/>
      <c r="G1346" s="107">
        <f t="shared" si="65"/>
        <v>0</v>
      </c>
      <c r="H1346" s="107">
        <f>DVUD!K1348</f>
        <v>0</v>
      </c>
      <c r="I1346" s="107"/>
    </row>
    <row r="1347" spans="1:9" ht="12.75" customHeight="1" x14ac:dyDescent="0.2">
      <c r="A1347" s="72"/>
      <c r="B1347" s="72"/>
      <c r="C1347" s="38">
        <f t="shared" si="66"/>
        <v>0</v>
      </c>
      <c r="D1347" s="31"/>
      <c r="E1347" s="176"/>
      <c r="F1347" s="173"/>
      <c r="G1347" s="107">
        <f t="shared" si="65"/>
        <v>0</v>
      </c>
      <c r="H1347" s="107">
        <f>DVUD!K1349</f>
        <v>0</v>
      </c>
      <c r="I1347" s="107"/>
    </row>
    <row r="1348" spans="1:9" ht="12.75" customHeight="1" x14ac:dyDescent="0.2">
      <c r="A1348" s="72" t="s">
        <v>5200</v>
      </c>
      <c r="B1348" s="72">
        <v>885</v>
      </c>
      <c r="C1348" s="38" t="str">
        <f t="shared" si="66"/>
        <v>19 Des</v>
      </c>
      <c r="D1348" s="31" t="s">
        <v>5201</v>
      </c>
      <c r="E1348" s="176"/>
      <c r="F1348" s="173"/>
      <c r="G1348" s="107">
        <f t="shared" si="65"/>
        <v>0</v>
      </c>
      <c r="H1348" s="107">
        <f>DVUD!K1350</f>
        <v>0</v>
      </c>
      <c r="I1348" s="107"/>
    </row>
    <row r="1349" spans="1:9" ht="12.75" customHeight="1" x14ac:dyDescent="0.2">
      <c r="A1349" s="72"/>
      <c r="B1349" s="72">
        <v>886</v>
      </c>
      <c r="C1349" s="38">
        <f t="shared" si="66"/>
        <v>0</v>
      </c>
      <c r="D1349" s="31" t="s">
        <v>5202</v>
      </c>
      <c r="E1349" s="176"/>
      <c r="F1349" s="173"/>
      <c r="G1349" s="107">
        <f t="shared" si="65"/>
        <v>0</v>
      </c>
      <c r="H1349" s="107">
        <f>DVUD!K1351</f>
        <v>0</v>
      </c>
      <c r="I1349" s="107"/>
    </row>
    <row r="1350" spans="1:9" ht="12.75" customHeight="1" x14ac:dyDescent="0.2">
      <c r="A1350" s="72"/>
      <c r="B1350" s="72">
        <v>887</v>
      </c>
      <c r="C1350" s="38">
        <f t="shared" si="66"/>
        <v>0</v>
      </c>
      <c r="D1350" s="31" t="s">
        <v>5203</v>
      </c>
      <c r="E1350" s="176"/>
      <c r="F1350" s="173"/>
      <c r="G1350" s="107">
        <f t="shared" si="65"/>
        <v>0</v>
      </c>
      <c r="H1350" s="107">
        <f>DVUD!K1352</f>
        <v>0</v>
      </c>
      <c r="I1350" s="107"/>
    </row>
    <row r="1351" spans="1:9" ht="12.75" customHeight="1" x14ac:dyDescent="0.2">
      <c r="A1351" s="72"/>
      <c r="B1351" s="72">
        <v>888</v>
      </c>
      <c r="C1351" s="38">
        <f t="shared" si="66"/>
        <v>0</v>
      </c>
      <c r="D1351" s="31" t="s">
        <v>5204</v>
      </c>
      <c r="E1351" s="176"/>
      <c r="F1351" s="173"/>
      <c r="G1351" s="107">
        <f>H1351</f>
        <v>0</v>
      </c>
      <c r="H1351" s="107">
        <f>DVUD!K1353</f>
        <v>0</v>
      </c>
      <c r="I1351" s="107"/>
    </row>
    <row r="1352" spans="1:9" ht="12.75" customHeight="1" x14ac:dyDescent="0.2">
      <c r="A1352" s="72"/>
      <c r="B1352" s="72">
        <v>889</v>
      </c>
      <c r="C1352" s="38">
        <f t="shared" si="66"/>
        <v>0</v>
      </c>
      <c r="D1352" s="31" t="s">
        <v>4713</v>
      </c>
      <c r="E1352" s="176"/>
      <c r="F1352" s="173"/>
      <c r="G1352" s="107">
        <f t="shared" ref="G1352:G1394" si="67">H1352</f>
        <v>0</v>
      </c>
      <c r="H1352" s="107">
        <f>DVUD!K1354</f>
        <v>0</v>
      </c>
      <c r="I1352" s="107"/>
    </row>
    <row r="1353" spans="1:9" ht="12.75" customHeight="1" x14ac:dyDescent="0.2">
      <c r="A1353" s="72" t="s">
        <v>5206</v>
      </c>
      <c r="B1353" s="72">
        <v>890</v>
      </c>
      <c r="C1353" s="38" t="str">
        <f t="shared" si="66"/>
        <v>24 Des</v>
      </c>
      <c r="D1353" s="31" t="s">
        <v>3256</v>
      </c>
      <c r="E1353" s="176"/>
      <c r="F1353" s="173"/>
      <c r="G1353" s="107">
        <f t="shared" si="67"/>
        <v>0</v>
      </c>
      <c r="H1353" s="107">
        <f>DVUD!K1355</f>
        <v>0</v>
      </c>
      <c r="I1353" s="107"/>
    </row>
    <row r="1354" spans="1:9" ht="12.75" customHeight="1" x14ac:dyDescent="0.2">
      <c r="A1354" s="72"/>
      <c r="B1354" s="72"/>
      <c r="C1354" s="38">
        <f t="shared" si="66"/>
        <v>0</v>
      </c>
      <c r="D1354" s="31"/>
      <c r="E1354" s="176"/>
      <c r="F1354" s="173"/>
      <c r="G1354" s="107">
        <f t="shared" si="67"/>
        <v>0</v>
      </c>
      <c r="H1354" s="107">
        <f>DVUD!K1356</f>
        <v>0</v>
      </c>
      <c r="I1354" s="107"/>
    </row>
    <row r="1355" spans="1:9" ht="12.75" customHeight="1" x14ac:dyDescent="0.2">
      <c r="A1355" s="72"/>
      <c r="B1355" s="72"/>
      <c r="C1355" s="38">
        <f t="shared" si="66"/>
        <v>0</v>
      </c>
      <c r="D1355" s="31"/>
      <c r="E1355" s="176"/>
      <c r="F1355" s="173"/>
      <c r="G1355" s="107">
        <f t="shared" si="67"/>
        <v>0</v>
      </c>
      <c r="H1355" s="107">
        <f>DVUD!K1357</f>
        <v>0</v>
      </c>
      <c r="I1355" s="107"/>
    </row>
    <row r="1356" spans="1:9" ht="12.75" customHeight="1" x14ac:dyDescent="0.2">
      <c r="A1356" s="72"/>
      <c r="B1356" s="72">
        <v>891</v>
      </c>
      <c r="C1356" s="38">
        <f t="shared" si="66"/>
        <v>0</v>
      </c>
      <c r="D1356" s="31" t="s">
        <v>3895</v>
      </c>
      <c r="E1356" s="176"/>
      <c r="F1356" s="173"/>
      <c r="G1356" s="107">
        <f t="shared" si="67"/>
        <v>0</v>
      </c>
      <c r="H1356" s="107">
        <f>DVUD!K1358</f>
        <v>0</v>
      </c>
      <c r="I1356" s="107"/>
    </row>
    <row r="1357" spans="1:9" ht="12.75" customHeight="1" x14ac:dyDescent="0.2">
      <c r="A1357" s="72"/>
      <c r="B1357" s="72">
        <v>892</v>
      </c>
      <c r="C1357" s="38">
        <f t="shared" si="66"/>
        <v>0</v>
      </c>
      <c r="D1357" s="31" t="s">
        <v>3889</v>
      </c>
      <c r="E1357" s="176"/>
      <c r="F1357" s="173"/>
      <c r="G1357" s="107">
        <f t="shared" si="67"/>
        <v>0</v>
      </c>
      <c r="H1357" s="107">
        <f>DVUD!K1359</f>
        <v>0</v>
      </c>
      <c r="I1357" s="107"/>
    </row>
    <row r="1358" spans="1:9" ht="12.75" customHeight="1" x14ac:dyDescent="0.2">
      <c r="A1358" s="72"/>
      <c r="B1358" s="72"/>
      <c r="C1358" s="38">
        <f t="shared" si="66"/>
        <v>0</v>
      </c>
      <c r="D1358" s="31"/>
      <c r="E1358" s="176"/>
      <c r="F1358" s="173"/>
      <c r="G1358" s="107">
        <f t="shared" si="67"/>
        <v>0</v>
      </c>
      <c r="H1358" s="107">
        <f>DVUD!K1360</f>
        <v>0</v>
      </c>
      <c r="I1358" s="107"/>
    </row>
    <row r="1359" spans="1:9" ht="12.75" customHeight="1" x14ac:dyDescent="0.2">
      <c r="A1359" s="72"/>
      <c r="B1359" s="72"/>
      <c r="C1359" s="38">
        <f t="shared" si="66"/>
        <v>0</v>
      </c>
      <c r="D1359" s="31"/>
      <c r="E1359" s="176"/>
      <c r="F1359" s="173"/>
      <c r="G1359" s="107">
        <f t="shared" si="67"/>
        <v>0</v>
      </c>
      <c r="H1359" s="107">
        <f>DVUD!K1361</f>
        <v>0</v>
      </c>
      <c r="I1359" s="107"/>
    </row>
    <row r="1360" spans="1:9" ht="12.75" customHeight="1" x14ac:dyDescent="0.2">
      <c r="A1360" s="72"/>
      <c r="B1360" s="72">
        <v>893</v>
      </c>
      <c r="C1360" s="38">
        <f t="shared" si="66"/>
        <v>0</v>
      </c>
      <c r="D1360" s="31" t="s">
        <v>5207</v>
      </c>
      <c r="E1360" s="176"/>
      <c r="F1360" s="173"/>
      <c r="G1360" s="107">
        <f t="shared" si="67"/>
        <v>0</v>
      </c>
      <c r="H1360" s="107">
        <f>DVUD!K1362</f>
        <v>0</v>
      </c>
      <c r="I1360" s="107"/>
    </row>
    <row r="1361" spans="1:9" ht="12.75" customHeight="1" x14ac:dyDescent="0.2">
      <c r="A1361" s="72"/>
      <c r="B1361" s="72">
        <v>894</v>
      </c>
      <c r="C1361" s="38">
        <f t="shared" si="66"/>
        <v>0</v>
      </c>
      <c r="D1361" s="31" t="s">
        <v>5208</v>
      </c>
      <c r="E1361" s="176"/>
      <c r="F1361" s="173"/>
      <c r="G1361" s="107">
        <f t="shared" si="67"/>
        <v>0</v>
      </c>
      <c r="H1361" s="107">
        <f>DVUD!K1363</f>
        <v>0</v>
      </c>
      <c r="I1361" s="107"/>
    </row>
    <row r="1362" spans="1:9" ht="12.75" customHeight="1" x14ac:dyDescent="0.2">
      <c r="A1362" s="72" t="s">
        <v>5209</v>
      </c>
      <c r="B1362" s="72">
        <v>895</v>
      </c>
      <c r="C1362" s="38" t="str">
        <f t="shared" si="66"/>
        <v>29 Des</v>
      </c>
      <c r="D1362" s="31" t="s">
        <v>4610</v>
      </c>
      <c r="E1362" s="176"/>
      <c r="F1362" s="173"/>
      <c r="G1362" s="107">
        <f t="shared" si="67"/>
        <v>0</v>
      </c>
      <c r="H1362" s="107">
        <f>DVUD!K1364</f>
        <v>0</v>
      </c>
      <c r="I1362" s="107"/>
    </row>
    <row r="1363" spans="1:9" ht="12.75" customHeight="1" x14ac:dyDescent="0.2">
      <c r="A1363" s="72"/>
      <c r="B1363" s="72">
        <v>896</v>
      </c>
      <c r="C1363" s="38">
        <f t="shared" si="66"/>
        <v>0</v>
      </c>
      <c r="D1363" s="31" t="s">
        <v>4024</v>
      </c>
      <c r="E1363" s="176"/>
      <c r="F1363" s="173"/>
      <c r="G1363" s="107">
        <f t="shared" si="67"/>
        <v>0</v>
      </c>
      <c r="H1363" s="107">
        <f>DVUD!K1365</f>
        <v>0</v>
      </c>
      <c r="I1363" s="107"/>
    </row>
    <row r="1364" spans="1:9" ht="12.75" customHeight="1" x14ac:dyDescent="0.2">
      <c r="A1364" s="72"/>
      <c r="B1364" s="72">
        <v>897</v>
      </c>
      <c r="C1364" s="38">
        <f t="shared" si="66"/>
        <v>0</v>
      </c>
      <c r="D1364" s="31" t="s">
        <v>4065</v>
      </c>
      <c r="E1364" s="176"/>
      <c r="F1364" s="173"/>
      <c r="G1364" s="107">
        <f t="shared" si="67"/>
        <v>0</v>
      </c>
      <c r="H1364" s="107">
        <f>DVUD!K1366</f>
        <v>0</v>
      </c>
      <c r="I1364" s="107"/>
    </row>
    <row r="1365" spans="1:9" ht="12.75" customHeight="1" x14ac:dyDescent="0.2">
      <c r="A1365" s="72"/>
      <c r="B1365" s="72">
        <v>898</v>
      </c>
      <c r="C1365" s="38">
        <f t="shared" si="66"/>
        <v>0</v>
      </c>
      <c r="D1365" s="31" t="s">
        <v>3904</v>
      </c>
      <c r="E1365" s="176"/>
      <c r="F1365" s="173"/>
      <c r="G1365" s="107">
        <f t="shared" si="67"/>
        <v>0</v>
      </c>
      <c r="H1365" s="107">
        <f>DVUD!K1367</f>
        <v>0</v>
      </c>
      <c r="I1365" s="107"/>
    </row>
    <row r="1366" spans="1:9" ht="12.75" customHeight="1" x14ac:dyDescent="0.2">
      <c r="A1366" s="72"/>
      <c r="B1366" s="72">
        <v>899</v>
      </c>
      <c r="C1366" s="38">
        <f t="shared" si="66"/>
        <v>0</v>
      </c>
      <c r="D1366" s="31" t="s">
        <v>3906</v>
      </c>
      <c r="E1366" s="176"/>
      <c r="F1366" s="173"/>
      <c r="G1366" s="107">
        <f t="shared" si="67"/>
        <v>0</v>
      </c>
      <c r="H1366" s="107">
        <f>DVUD!K1368</f>
        <v>0</v>
      </c>
      <c r="I1366" s="107"/>
    </row>
    <row r="1367" spans="1:9" ht="12.75" customHeight="1" x14ac:dyDescent="0.2">
      <c r="A1367" s="72"/>
      <c r="B1367" s="72">
        <v>900</v>
      </c>
      <c r="C1367" s="38">
        <f t="shared" ref="C1367:C1398" si="68">A1367</f>
        <v>0</v>
      </c>
      <c r="D1367" s="31" t="s">
        <v>5210</v>
      </c>
      <c r="E1367" s="176"/>
      <c r="F1367" s="173"/>
      <c r="G1367" s="107">
        <f t="shared" si="67"/>
        <v>0</v>
      </c>
      <c r="H1367" s="107">
        <f>DVUD!K1369</f>
        <v>0</v>
      </c>
      <c r="I1367" s="107"/>
    </row>
    <row r="1368" spans="1:9" ht="12.75" customHeight="1" x14ac:dyDescent="0.2">
      <c r="A1368" s="72"/>
      <c r="B1368" s="72"/>
      <c r="C1368" s="38">
        <f t="shared" si="68"/>
        <v>0</v>
      </c>
      <c r="D1368" s="31"/>
      <c r="E1368" s="176"/>
      <c r="F1368" s="173"/>
      <c r="G1368" s="107">
        <f t="shared" si="67"/>
        <v>0</v>
      </c>
      <c r="H1368" s="107">
        <f>DVUD!K1370</f>
        <v>0</v>
      </c>
      <c r="I1368" s="107"/>
    </row>
    <row r="1369" spans="1:9" ht="12.75" customHeight="1" x14ac:dyDescent="0.2">
      <c r="A1369" s="72"/>
      <c r="B1369" s="72"/>
      <c r="C1369" s="38">
        <f t="shared" si="68"/>
        <v>0</v>
      </c>
      <c r="D1369" s="31"/>
      <c r="E1369" s="176"/>
      <c r="F1369" s="173"/>
      <c r="G1369" s="107">
        <f t="shared" si="67"/>
        <v>0</v>
      </c>
      <c r="H1369" s="107">
        <f>DVUD!K1371</f>
        <v>0</v>
      </c>
      <c r="I1369" s="107"/>
    </row>
    <row r="1370" spans="1:9" ht="12.75" customHeight="1" x14ac:dyDescent="0.2">
      <c r="A1370" s="72"/>
      <c r="B1370" s="72">
        <v>901</v>
      </c>
      <c r="C1370" s="38">
        <f t="shared" si="68"/>
        <v>0</v>
      </c>
      <c r="D1370" s="31" t="s">
        <v>4389</v>
      </c>
      <c r="E1370" s="176"/>
      <c r="F1370" s="173"/>
      <c r="G1370" s="107">
        <f t="shared" si="67"/>
        <v>0</v>
      </c>
      <c r="H1370" s="107">
        <f>DVUD!K1372</f>
        <v>0</v>
      </c>
      <c r="I1370" s="107"/>
    </row>
    <row r="1371" spans="1:9" ht="12.75" customHeight="1" x14ac:dyDescent="0.2">
      <c r="A1371" s="72"/>
      <c r="B1371" s="72">
        <v>902</v>
      </c>
      <c r="C1371" s="38">
        <f t="shared" si="68"/>
        <v>0</v>
      </c>
      <c r="D1371" s="31" t="s">
        <v>4929</v>
      </c>
      <c r="E1371" s="176"/>
      <c r="F1371" s="173"/>
      <c r="G1371" s="107">
        <f t="shared" si="67"/>
        <v>0</v>
      </c>
      <c r="H1371" s="107">
        <f>DVUD!K1373</f>
        <v>0</v>
      </c>
      <c r="I1371" s="107"/>
    </row>
    <row r="1372" spans="1:9" ht="12.75" customHeight="1" x14ac:dyDescent="0.2">
      <c r="A1372" s="72"/>
      <c r="B1372" s="72">
        <v>903</v>
      </c>
      <c r="C1372" s="38">
        <f t="shared" si="68"/>
        <v>0</v>
      </c>
      <c r="D1372" s="31" t="s">
        <v>3908</v>
      </c>
      <c r="E1372" s="176"/>
      <c r="F1372" s="173"/>
      <c r="G1372" s="107">
        <f t="shared" si="67"/>
        <v>0</v>
      </c>
      <c r="H1372" s="107">
        <f>DVUD!K1374</f>
        <v>0</v>
      </c>
      <c r="I1372" s="107"/>
    </row>
    <row r="1373" spans="1:9" ht="12.75" customHeight="1" x14ac:dyDescent="0.2">
      <c r="A1373" s="72"/>
      <c r="B1373" s="72">
        <v>904</v>
      </c>
      <c r="C1373" s="38">
        <f t="shared" si="68"/>
        <v>0</v>
      </c>
      <c r="D1373" s="31" t="s">
        <v>3910</v>
      </c>
      <c r="E1373" s="176"/>
      <c r="F1373" s="173"/>
      <c r="G1373" s="107">
        <f t="shared" si="67"/>
        <v>0</v>
      </c>
      <c r="H1373" s="107">
        <f>DVUD!K1375</f>
        <v>0</v>
      </c>
      <c r="I1373" s="107"/>
    </row>
    <row r="1374" spans="1:9" ht="12.75" customHeight="1" x14ac:dyDescent="0.2">
      <c r="A1374" s="72"/>
      <c r="B1374" s="72">
        <v>905</v>
      </c>
      <c r="C1374" s="38">
        <f t="shared" si="68"/>
        <v>0</v>
      </c>
      <c r="D1374" s="31" t="s">
        <v>3912</v>
      </c>
      <c r="E1374" s="176"/>
      <c r="F1374" s="173"/>
      <c r="G1374" s="107">
        <f t="shared" si="67"/>
        <v>0</v>
      </c>
      <c r="H1374" s="107">
        <f>DVUD!K1376</f>
        <v>0</v>
      </c>
      <c r="I1374" s="107"/>
    </row>
    <row r="1375" spans="1:9" ht="12.75" customHeight="1" x14ac:dyDescent="0.2">
      <c r="A1375" s="72"/>
      <c r="B1375" s="72">
        <v>906</v>
      </c>
      <c r="C1375" s="38">
        <f t="shared" si="68"/>
        <v>0</v>
      </c>
      <c r="D1375" s="31" t="s">
        <v>3914</v>
      </c>
      <c r="E1375" s="176"/>
      <c r="F1375" s="173"/>
      <c r="G1375" s="107">
        <f t="shared" si="67"/>
        <v>0</v>
      </c>
      <c r="H1375" s="107">
        <f>DVUD!K1377</f>
        <v>0</v>
      </c>
      <c r="I1375" s="107"/>
    </row>
    <row r="1376" spans="1:9" ht="12.75" customHeight="1" x14ac:dyDescent="0.2">
      <c r="A1376" s="72"/>
      <c r="B1376" s="72">
        <v>907</v>
      </c>
      <c r="C1376" s="38">
        <f t="shared" si="68"/>
        <v>0</v>
      </c>
      <c r="D1376" s="31" t="s">
        <v>4025</v>
      </c>
      <c r="E1376" s="176"/>
      <c r="F1376" s="173"/>
      <c r="G1376" s="107">
        <f t="shared" si="67"/>
        <v>0</v>
      </c>
      <c r="H1376" s="107">
        <f>DVUD!K1378</f>
        <v>0</v>
      </c>
      <c r="I1376" s="107"/>
    </row>
    <row r="1377" spans="1:9" ht="12.75" customHeight="1" x14ac:dyDescent="0.2">
      <c r="A1377" s="72"/>
      <c r="B1377" s="72">
        <v>908</v>
      </c>
      <c r="C1377" s="38">
        <f t="shared" si="68"/>
        <v>0</v>
      </c>
      <c r="D1377" s="31" t="s">
        <v>5212</v>
      </c>
      <c r="E1377" s="176"/>
      <c r="F1377" s="173"/>
      <c r="G1377" s="107">
        <f t="shared" si="67"/>
        <v>0</v>
      </c>
      <c r="H1377" s="107">
        <f>DVUD!K1379</f>
        <v>0</v>
      </c>
      <c r="I1377" s="107"/>
    </row>
    <row r="1378" spans="1:9" ht="12.75" customHeight="1" x14ac:dyDescent="0.2">
      <c r="A1378" s="72"/>
      <c r="B1378" s="72"/>
      <c r="C1378" s="38">
        <f t="shared" si="68"/>
        <v>0</v>
      </c>
      <c r="D1378" s="31"/>
      <c r="E1378" s="176"/>
      <c r="F1378" s="173"/>
      <c r="G1378" s="107">
        <f t="shared" si="67"/>
        <v>0</v>
      </c>
      <c r="H1378" s="107">
        <f>DVUD!K1380</f>
        <v>0</v>
      </c>
      <c r="I1378" s="107"/>
    </row>
    <row r="1379" spans="1:9" ht="12.75" customHeight="1" x14ac:dyDescent="0.2">
      <c r="A1379" s="72"/>
      <c r="B1379" s="72">
        <v>909</v>
      </c>
      <c r="C1379" s="38">
        <f t="shared" si="68"/>
        <v>0</v>
      </c>
      <c r="D1379" s="31" t="s">
        <v>4747</v>
      </c>
      <c r="E1379" s="176"/>
      <c r="F1379" s="173"/>
      <c r="G1379" s="107">
        <f t="shared" si="67"/>
        <v>0</v>
      </c>
      <c r="H1379" s="107">
        <f>DVUD!K1381</f>
        <v>0</v>
      </c>
      <c r="I1379" s="107"/>
    </row>
    <row r="1380" spans="1:9" ht="12.75" customHeight="1" x14ac:dyDescent="0.2">
      <c r="A1380" s="72"/>
      <c r="B1380" s="72">
        <v>910</v>
      </c>
      <c r="C1380" s="38">
        <f t="shared" si="68"/>
        <v>0</v>
      </c>
      <c r="D1380" s="31" t="s">
        <v>4749</v>
      </c>
      <c r="E1380" s="176"/>
      <c r="F1380" s="173"/>
      <c r="G1380" s="107">
        <f t="shared" si="67"/>
        <v>0</v>
      </c>
      <c r="H1380" s="107">
        <f>DVUD!K1382</f>
        <v>0</v>
      </c>
      <c r="I1380" s="107"/>
    </row>
    <row r="1381" spans="1:9" ht="12.75" customHeight="1" x14ac:dyDescent="0.2">
      <c r="A1381" s="72"/>
      <c r="B1381" s="72">
        <v>911</v>
      </c>
      <c r="C1381" s="38">
        <f t="shared" si="68"/>
        <v>0</v>
      </c>
      <c r="D1381" s="31" t="s">
        <v>5213</v>
      </c>
      <c r="E1381" s="176"/>
      <c r="F1381" s="173"/>
      <c r="G1381" s="107">
        <f t="shared" si="67"/>
        <v>0</v>
      </c>
      <c r="H1381" s="107">
        <f>DVUD!K1383</f>
        <v>0</v>
      </c>
      <c r="I1381" s="107"/>
    </row>
    <row r="1382" spans="1:9" ht="12.75" customHeight="1" x14ac:dyDescent="0.2">
      <c r="A1382" s="72"/>
      <c r="B1382" s="72">
        <v>912</v>
      </c>
      <c r="C1382" s="38">
        <f t="shared" si="68"/>
        <v>0</v>
      </c>
      <c r="D1382" s="31" t="s">
        <v>3264</v>
      </c>
      <c r="E1382" s="176"/>
      <c r="F1382" s="173"/>
      <c r="G1382" s="107">
        <f t="shared" si="67"/>
        <v>0</v>
      </c>
      <c r="H1382" s="107">
        <f>DVUD!K1384</f>
        <v>0</v>
      </c>
      <c r="I1382" s="107"/>
    </row>
    <row r="1383" spans="1:9" ht="12.75" customHeight="1" x14ac:dyDescent="0.2">
      <c r="A1383" s="72"/>
      <c r="B1383" s="72">
        <v>913</v>
      </c>
      <c r="C1383" s="38">
        <f t="shared" si="68"/>
        <v>0</v>
      </c>
      <c r="D1383" s="31" t="s">
        <v>4069</v>
      </c>
      <c r="E1383" s="176"/>
      <c r="F1383" s="173"/>
      <c r="G1383" s="107">
        <f t="shared" si="67"/>
        <v>0</v>
      </c>
      <c r="H1383" s="107">
        <f>DVUD!K1385</f>
        <v>0</v>
      </c>
      <c r="I1383" s="107"/>
    </row>
    <row r="1384" spans="1:9" ht="12.75" customHeight="1" x14ac:dyDescent="0.2">
      <c r="A1384" s="72"/>
      <c r="B1384" s="72">
        <v>914</v>
      </c>
      <c r="C1384" s="38">
        <f t="shared" si="68"/>
        <v>0</v>
      </c>
      <c r="D1384" s="31" t="s">
        <v>3887</v>
      </c>
      <c r="E1384" s="176"/>
      <c r="F1384" s="173"/>
      <c r="G1384" s="107">
        <f t="shared" si="67"/>
        <v>0</v>
      </c>
      <c r="H1384" s="107">
        <f>DVUD!K1386</f>
        <v>0</v>
      </c>
      <c r="I1384" s="107"/>
    </row>
    <row r="1385" spans="1:9" ht="12.75" customHeight="1" x14ac:dyDescent="0.2">
      <c r="A1385" s="72"/>
      <c r="B1385" s="72">
        <v>915</v>
      </c>
      <c r="C1385" s="38">
        <f t="shared" si="68"/>
        <v>0</v>
      </c>
      <c r="D1385" s="31" t="s">
        <v>5006</v>
      </c>
      <c r="E1385" s="176"/>
      <c r="F1385" s="173"/>
      <c r="G1385" s="107">
        <f t="shared" si="67"/>
        <v>0</v>
      </c>
      <c r="H1385" s="107">
        <f>DVUD!K1387</f>
        <v>0</v>
      </c>
      <c r="I1385" s="107"/>
    </row>
    <row r="1386" spans="1:9" ht="12.75" customHeight="1" x14ac:dyDescent="0.2">
      <c r="A1386" s="72"/>
      <c r="B1386" s="72">
        <v>916</v>
      </c>
      <c r="C1386" s="38">
        <f t="shared" si="68"/>
        <v>0</v>
      </c>
      <c r="D1386" s="31" t="s">
        <v>5007</v>
      </c>
      <c r="E1386" s="176"/>
      <c r="F1386" s="173"/>
      <c r="G1386" s="107">
        <f t="shared" si="67"/>
        <v>0</v>
      </c>
      <c r="H1386" s="107">
        <f>DVUD!K1388</f>
        <v>0</v>
      </c>
      <c r="I1386" s="107"/>
    </row>
    <row r="1387" spans="1:9" ht="12.75" customHeight="1" x14ac:dyDescent="0.2">
      <c r="A1387" s="72"/>
      <c r="B1387" s="72">
        <v>917</v>
      </c>
      <c r="C1387" s="38">
        <f t="shared" si="68"/>
        <v>0</v>
      </c>
      <c r="D1387" s="31" t="s">
        <v>5008</v>
      </c>
      <c r="E1387" s="176"/>
      <c r="F1387" s="173"/>
      <c r="G1387" s="107">
        <f t="shared" si="67"/>
        <v>0</v>
      </c>
      <c r="H1387" s="107">
        <f>DVUD!K1389</f>
        <v>0</v>
      </c>
      <c r="I1387" s="107"/>
    </row>
    <row r="1388" spans="1:9" ht="12.75" customHeight="1" x14ac:dyDescent="0.2">
      <c r="A1388" s="72"/>
      <c r="B1388" s="72">
        <v>918</v>
      </c>
      <c r="C1388" s="38">
        <f t="shared" si="68"/>
        <v>0</v>
      </c>
      <c r="D1388" s="31" t="s">
        <v>5009</v>
      </c>
      <c r="E1388" s="176"/>
      <c r="F1388" s="173"/>
      <c r="G1388" s="107">
        <f t="shared" si="67"/>
        <v>0</v>
      </c>
      <c r="H1388" s="107">
        <f>DVUD!K1390</f>
        <v>0</v>
      </c>
      <c r="I1388" s="107"/>
    </row>
    <row r="1389" spans="1:9" ht="12.75" customHeight="1" x14ac:dyDescent="0.2">
      <c r="A1389" s="72"/>
      <c r="B1389" s="72">
        <v>919</v>
      </c>
      <c r="C1389" s="38">
        <f t="shared" si="68"/>
        <v>0</v>
      </c>
      <c r="D1389" s="31" t="s">
        <v>3853</v>
      </c>
      <c r="E1389" s="176"/>
      <c r="F1389" s="173"/>
      <c r="G1389" s="107">
        <f t="shared" si="67"/>
        <v>0</v>
      </c>
      <c r="H1389" s="107">
        <f>DVUD!K1391</f>
        <v>0</v>
      </c>
      <c r="I1389" s="107"/>
    </row>
    <row r="1390" spans="1:9" ht="12.75" customHeight="1" x14ac:dyDescent="0.2">
      <c r="A1390" s="72"/>
      <c r="B1390" s="72">
        <v>920</v>
      </c>
      <c r="C1390" s="38">
        <f t="shared" si="68"/>
        <v>0</v>
      </c>
      <c r="D1390" s="31" t="s">
        <v>3920</v>
      </c>
      <c r="E1390" s="176"/>
      <c r="F1390" s="173"/>
      <c r="G1390" s="107">
        <f t="shared" si="67"/>
        <v>0</v>
      </c>
      <c r="H1390" s="107">
        <f>DVUD!K1392</f>
        <v>0</v>
      </c>
      <c r="I1390" s="107"/>
    </row>
    <row r="1391" spans="1:9" ht="12.75" customHeight="1" x14ac:dyDescent="0.2">
      <c r="A1391" s="72"/>
      <c r="B1391" s="72">
        <v>921</v>
      </c>
      <c r="C1391" s="38">
        <f t="shared" si="68"/>
        <v>0</v>
      </c>
      <c r="D1391" s="31" t="s">
        <v>5214</v>
      </c>
      <c r="E1391" s="176"/>
      <c r="F1391" s="173"/>
      <c r="G1391" s="107">
        <f t="shared" si="67"/>
        <v>0</v>
      </c>
      <c r="H1391" s="107">
        <f>DVUD!K1393</f>
        <v>0</v>
      </c>
      <c r="I1391" s="107"/>
    </row>
    <row r="1392" spans="1:9" ht="12.75" customHeight="1" x14ac:dyDescent="0.2">
      <c r="A1392" s="72"/>
      <c r="B1392" s="72">
        <v>922</v>
      </c>
      <c r="C1392" s="38">
        <f t="shared" si="68"/>
        <v>0</v>
      </c>
      <c r="D1392" s="31" t="s">
        <v>4033</v>
      </c>
      <c r="E1392" s="176"/>
      <c r="F1392" s="173"/>
      <c r="G1392" s="107">
        <f t="shared" si="67"/>
        <v>0</v>
      </c>
      <c r="H1392" s="107">
        <f>DVUD!K1394</f>
        <v>0</v>
      </c>
      <c r="I1392" s="107"/>
    </row>
    <row r="1393" spans="1:9" ht="12.75" customHeight="1" x14ac:dyDescent="0.2">
      <c r="A1393" s="72"/>
      <c r="B1393" s="72">
        <v>923</v>
      </c>
      <c r="C1393" s="38">
        <f t="shared" si="68"/>
        <v>0</v>
      </c>
      <c r="D1393" s="31" t="s">
        <v>5215</v>
      </c>
      <c r="E1393" s="176"/>
      <c r="F1393" s="173"/>
      <c r="G1393" s="107">
        <f t="shared" si="67"/>
        <v>0</v>
      </c>
      <c r="H1393" s="107">
        <f>DVUD!K1395</f>
        <v>0</v>
      </c>
      <c r="I1393" s="107"/>
    </row>
    <row r="1394" spans="1:9" ht="12.75" customHeight="1" x14ac:dyDescent="0.2">
      <c r="A1394" s="72"/>
      <c r="B1394" s="72">
        <v>924</v>
      </c>
      <c r="C1394" s="38">
        <f t="shared" si="68"/>
        <v>0</v>
      </c>
      <c r="D1394" s="31" t="s">
        <v>3257</v>
      </c>
      <c r="E1394" s="176"/>
      <c r="F1394" s="173"/>
      <c r="G1394" s="107">
        <f t="shared" si="67"/>
        <v>0</v>
      </c>
      <c r="H1394" s="107">
        <f>DVUD!K1396</f>
        <v>0</v>
      </c>
      <c r="I1394" s="107"/>
    </row>
    <row r="1395" spans="1:9" ht="12.75" customHeight="1" x14ac:dyDescent="0.2">
      <c r="A1395" s="72"/>
      <c r="B1395" s="72">
        <v>925</v>
      </c>
      <c r="C1395" s="38">
        <f t="shared" si="68"/>
        <v>0</v>
      </c>
      <c r="D1395" s="31" t="s">
        <v>3869</v>
      </c>
      <c r="E1395" s="176"/>
      <c r="F1395" s="173"/>
      <c r="G1395" s="107">
        <f t="shared" ref="G1395:G1417" si="69">H1395</f>
        <v>0</v>
      </c>
      <c r="H1395" s="107">
        <f>DVUD!K1397</f>
        <v>0</v>
      </c>
      <c r="I1395" s="107"/>
    </row>
    <row r="1396" spans="1:9" ht="12.75" customHeight="1" x14ac:dyDescent="0.2">
      <c r="A1396" s="72"/>
      <c r="B1396" s="72">
        <v>926</v>
      </c>
      <c r="C1396" s="38">
        <f t="shared" si="68"/>
        <v>0</v>
      </c>
      <c r="D1396" s="31" t="s">
        <v>5216</v>
      </c>
      <c r="E1396" s="176"/>
      <c r="F1396" s="173"/>
      <c r="G1396" s="107">
        <f t="shared" si="69"/>
        <v>0</v>
      </c>
      <c r="H1396" s="107">
        <f>DVUD!K1398</f>
        <v>0</v>
      </c>
      <c r="I1396" s="107"/>
    </row>
    <row r="1397" spans="1:9" ht="12.75" customHeight="1" x14ac:dyDescent="0.2">
      <c r="A1397" s="72"/>
      <c r="B1397" s="72">
        <v>927</v>
      </c>
      <c r="C1397" s="38">
        <f t="shared" si="68"/>
        <v>0</v>
      </c>
      <c r="D1397" s="31" t="s">
        <v>5217</v>
      </c>
      <c r="E1397" s="176"/>
      <c r="F1397" s="173"/>
      <c r="G1397" s="107">
        <f t="shared" si="69"/>
        <v>0</v>
      </c>
      <c r="H1397" s="107">
        <f>DVUD!K1399</f>
        <v>0</v>
      </c>
      <c r="I1397" s="107"/>
    </row>
    <row r="1398" spans="1:9" ht="12.75" customHeight="1" x14ac:dyDescent="0.2">
      <c r="A1398" s="72"/>
      <c r="B1398" s="72">
        <v>928</v>
      </c>
      <c r="C1398" s="38">
        <f t="shared" si="68"/>
        <v>0</v>
      </c>
      <c r="D1398" s="31" t="s">
        <v>5218</v>
      </c>
      <c r="E1398" s="176"/>
      <c r="F1398" s="173"/>
      <c r="G1398" s="107">
        <f t="shared" si="69"/>
        <v>0</v>
      </c>
      <c r="H1398" s="107">
        <f>DVUD!K1400</f>
        <v>0</v>
      </c>
      <c r="I1398" s="107"/>
    </row>
    <row r="1399" spans="1:9" ht="12.75" customHeight="1" x14ac:dyDescent="0.2">
      <c r="A1399" s="72"/>
      <c r="B1399" s="72">
        <v>929</v>
      </c>
      <c r="C1399" s="38">
        <f t="shared" ref="C1399:C1416" si="70">A1399</f>
        <v>0</v>
      </c>
      <c r="D1399" s="31" t="s">
        <v>3996</v>
      </c>
      <c r="E1399" s="176"/>
      <c r="F1399" s="173"/>
      <c r="G1399" s="107">
        <f t="shared" si="69"/>
        <v>0</v>
      </c>
      <c r="H1399" s="107">
        <f>DVUD!K1401</f>
        <v>0</v>
      </c>
      <c r="I1399" s="107"/>
    </row>
    <row r="1400" spans="1:9" ht="12.75" customHeight="1" x14ac:dyDescent="0.2">
      <c r="A1400" s="72"/>
      <c r="B1400" s="72">
        <v>930</v>
      </c>
      <c r="C1400" s="38">
        <f t="shared" si="70"/>
        <v>0</v>
      </c>
      <c r="D1400" s="31" t="s">
        <v>3878</v>
      </c>
      <c r="E1400" s="176"/>
      <c r="F1400" s="173"/>
      <c r="G1400" s="107">
        <f t="shared" si="69"/>
        <v>0</v>
      </c>
      <c r="H1400" s="107">
        <f>DVUD!K1402</f>
        <v>0</v>
      </c>
      <c r="I1400" s="107"/>
    </row>
    <row r="1401" spans="1:9" ht="12.75" customHeight="1" x14ac:dyDescent="0.2">
      <c r="A1401" s="72"/>
      <c r="B1401" s="72">
        <v>931</v>
      </c>
      <c r="C1401" s="38">
        <f t="shared" si="70"/>
        <v>0</v>
      </c>
      <c r="D1401" s="31" t="s">
        <v>5219</v>
      </c>
      <c r="E1401" s="176"/>
      <c r="F1401" s="173"/>
      <c r="G1401" s="107">
        <f t="shared" si="69"/>
        <v>0</v>
      </c>
      <c r="H1401" s="107">
        <f>DVUD!K1403</f>
        <v>0</v>
      </c>
      <c r="I1401" s="107"/>
    </row>
    <row r="1402" spans="1:9" ht="12.75" customHeight="1" x14ac:dyDescent="0.2">
      <c r="A1402" s="72"/>
      <c r="B1402" s="72">
        <v>932</v>
      </c>
      <c r="C1402" s="38">
        <f t="shared" si="70"/>
        <v>0</v>
      </c>
      <c r="D1402" s="31" t="s">
        <v>5220</v>
      </c>
      <c r="E1402" s="176"/>
      <c r="F1402" s="173"/>
      <c r="G1402" s="107">
        <f t="shared" si="69"/>
        <v>0</v>
      </c>
      <c r="H1402" s="107">
        <f>DVUD!K1404</f>
        <v>0</v>
      </c>
      <c r="I1402" s="107"/>
    </row>
    <row r="1403" spans="1:9" ht="12.75" customHeight="1" x14ac:dyDescent="0.2">
      <c r="A1403" s="72"/>
      <c r="B1403" s="72"/>
      <c r="C1403" s="38">
        <f t="shared" si="70"/>
        <v>0</v>
      </c>
      <c r="D1403" s="31"/>
      <c r="E1403" s="176"/>
      <c r="F1403" s="173"/>
      <c r="G1403" s="107">
        <f t="shared" si="69"/>
        <v>0</v>
      </c>
      <c r="H1403" s="107">
        <f>DVUD!K1405</f>
        <v>0</v>
      </c>
      <c r="I1403" s="107"/>
    </row>
    <row r="1404" spans="1:9" ht="12.75" customHeight="1" x14ac:dyDescent="0.2">
      <c r="A1404" s="72"/>
      <c r="B1404" s="72"/>
      <c r="C1404" s="38">
        <f t="shared" si="70"/>
        <v>0</v>
      </c>
      <c r="D1404" s="31"/>
      <c r="E1404" s="176"/>
      <c r="F1404" s="173"/>
      <c r="G1404" s="107">
        <f t="shared" si="69"/>
        <v>0</v>
      </c>
      <c r="H1404" s="107">
        <f>DVUD!K1406</f>
        <v>0</v>
      </c>
      <c r="I1404" s="107"/>
    </row>
    <row r="1405" spans="1:9" ht="12.75" customHeight="1" x14ac:dyDescent="0.2">
      <c r="A1405" s="72"/>
      <c r="B1405" s="72">
        <v>933</v>
      </c>
      <c r="C1405" s="38">
        <f t="shared" si="70"/>
        <v>0</v>
      </c>
      <c r="D1405" s="31" t="s">
        <v>5222</v>
      </c>
      <c r="E1405" s="176"/>
      <c r="F1405" s="173"/>
      <c r="G1405" s="107">
        <f t="shared" si="69"/>
        <v>0</v>
      </c>
      <c r="H1405" s="107">
        <f>DVUD!K1407</f>
        <v>0</v>
      </c>
      <c r="I1405" s="107"/>
    </row>
    <row r="1406" spans="1:9" ht="12.75" customHeight="1" x14ac:dyDescent="0.2">
      <c r="A1406" s="72"/>
      <c r="B1406" s="72">
        <v>934</v>
      </c>
      <c r="C1406" s="38">
        <f t="shared" si="70"/>
        <v>0</v>
      </c>
      <c r="D1406" s="31" t="s">
        <v>5223</v>
      </c>
      <c r="E1406" s="176"/>
      <c r="F1406" s="173"/>
      <c r="G1406" s="107">
        <f t="shared" si="69"/>
        <v>0</v>
      </c>
      <c r="H1406" s="107">
        <f>DVUD!K1408</f>
        <v>0</v>
      </c>
      <c r="I1406" s="107"/>
    </row>
    <row r="1407" spans="1:9" ht="12.75" customHeight="1" x14ac:dyDescent="0.2">
      <c r="A1407" s="72"/>
      <c r="B1407" s="72">
        <v>935</v>
      </c>
      <c r="C1407" s="38">
        <f t="shared" si="70"/>
        <v>0</v>
      </c>
      <c r="D1407" s="31" t="s">
        <v>5224</v>
      </c>
      <c r="E1407" s="176"/>
      <c r="F1407" s="173"/>
      <c r="G1407" s="107">
        <f t="shared" si="69"/>
        <v>0</v>
      </c>
      <c r="H1407" s="107">
        <f>DVUD!K1409</f>
        <v>0</v>
      </c>
      <c r="I1407" s="107"/>
    </row>
    <row r="1408" spans="1:9" ht="12.75" customHeight="1" x14ac:dyDescent="0.2">
      <c r="A1408" s="72"/>
      <c r="B1408" s="72">
        <v>936</v>
      </c>
      <c r="C1408" s="38">
        <f t="shared" si="70"/>
        <v>0</v>
      </c>
      <c r="D1408" s="31" t="s">
        <v>3846</v>
      </c>
      <c r="E1408" s="176"/>
      <c r="F1408" s="173"/>
      <c r="G1408" s="107">
        <f t="shared" si="69"/>
        <v>0</v>
      </c>
      <c r="H1408" s="107">
        <f>DVUD!K1410</f>
        <v>0</v>
      </c>
      <c r="I1408" s="107"/>
    </row>
    <row r="1409" spans="1:9" ht="12.75" customHeight="1" x14ac:dyDescent="0.2">
      <c r="A1409" s="72" t="s">
        <v>3709</v>
      </c>
      <c r="B1409" s="72">
        <v>937</v>
      </c>
      <c r="C1409" s="38" t="str">
        <f t="shared" si="70"/>
        <v>31 Des</v>
      </c>
      <c r="D1409" s="31" t="s">
        <v>5225</v>
      </c>
      <c r="E1409" s="176"/>
      <c r="F1409" s="173"/>
      <c r="G1409" s="107">
        <f t="shared" si="69"/>
        <v>0</v>
      </c>
      <c r="H1409" s="107">
        <f>DVUD!K1411</f>
        <v>0</v>
      </c>
      <c r="I1409" s="107"/>
    </row>
    <row r="1410" spans="1:9" ht="12.75" customHeight="1" x14ac:dyDescent="0.2">
      <c r="A1410" s="72"/>
      <c r="B1410" s="72">
        <v>938</v>
      </c>
      <c r="C1410" s="38">
        <f t="shared" si="70"/>
        <v>0</v>
      </c>
      <c r="D1410" s="31" t="s">
        <v>5226</v>
      </c>
      <c r="E1410" s="176"/>
      <c r="F1410" s="173"/>
      <c r="G1410" s="107">
        <f t="shared" si="69"/>
        <v>0</v>
      </c>
      <c r="H1410" s="107">
        <f>DVUD!K1415</f>
        <v>0</v>
      </c>
      <c r="I1410" s="107"/>
    </row>
    <row r="1411" spans="1:9" ht="12.75" customHeight="1" x14ac:dyDescent="0.2">
      <c r="A1411" s="72"/>
      <c r="B1411" s="72">
        <v>939</v>
      </c>
      <c r="C1411" s="38">
        <f t="shared" si="70"/>
        <v>0</v>
      </c>
      <c r="D1411" s="31" t="s">
        <v>5227</v>
      </c>
      <c r="E1411" s="176"/>
      <c r="F1411" s="173"/>
      <c r="G1411" s="107">
        <f t="shared" si="69"/>
        <v>0</v>
      </c>
      <c r="H1411" s="107">
        <f>DVUD!K1416</f>
        <v>0</v>
      </c>
      <c r="I1411" s="107"/>
    </row>
    <row r="1412" spans="1:9" ht="12.75" customHeight="1" x14ac:dyDescent="0.2">
      <c r="A1412" s="72"/>
      <c r="B1412" s="72">
        <v>940</v>
      </c>
      <c r="C1412" s="38">
        <f t="shared" si="70"/>
        <v>0</v>
      </c>
      <c r="D1412" s="31" t="s">
        <v>5228</v>
      </c>
      <c r="E1412" s="176"/>
      <c r="F1412" s="173"/>
      <c r="G1412" s="107">
        <f t="shared" si="69"/>
        <v>0</v>
      </c>
      <c r="H1412" s="107">
        <f>DVUD!K1417</f>
        <v>0</v>
      </c>
      <c r="I1412" s="107"/>
    </row>
    <row r="1413" spans="1:9" ht="12.75" customHeight="1" x14ac:dyDescent="0.2">
      <c r="A1413" s="72"/>
      <c r="B1413" s="72">
        <v>941</v>
      </c>
      <c r="C1413" s="38">
        <f t="shared" si="70"/>
        <v>0</v>
      </c>
      <c r="D1413" s="31" t="s">
        <v>5230</v>
      </c>
      <c r="E1413" s="176"/>
      <c r="F1413" s="173"/>
      <c r="G1413" s="107">
        <f t="shared" si="69"/>
        <v>0</v>
      </c>
      <c r="H1413" s="107">
        <f>DVUD!K1418</f>
        <v>0</v>
      </c>
      <c r="I1413" s="107"/>
    </row>
    <row r="1414" spans="1:9" ht="12.75" customHeight="1" x14ac:dyDescent="0.2">
      <c r="A1414" s="72"/>
      <c r="B1414" s="72">
        <v>942</v>
      </c>
      <c r="C1414" s="38">
        <f t="shared" si="70"/>
        <v>0</v>
      </c>
      <c r="D1414" s="31" t="s">
        <v>3997</v>
      </c>
      <c r="E1414" s="176"/>
      <c r="F1414" s="173"/>
      <c r="G1414" s="107">
        <f t="shared" si="69"/>
        <v>0</v>
      </c>
      <c r="H1414" s="107">
        <f>DVUD!K1419</f>
        <v>0</v>
      </c>
      <c r="I1414" s="107"/>
    </row>
    <row r="1415" spans="1:9" ht="12.75" customHeight="1" x14ac:dyDescent="0.2">
      <c r="A1415" s="72"/>
      <c r="B1415" s="72">
        <v>943</v>
      </c>
      <c r="C1415" s="38">
        <f t="shared" si="70"/>
        <v>0</v>
      </c>
      <c r="D1415" s="31" t="s">
        <v>5231</v>
      </c>
      <c r="E1415" s="176"/>
      <c r="F1415" s="173"/>
      <c r="G1415" s="107">
        <f t="shared" si="69"/>
        <v>0</v>
      </c>
      <c r="H1415" s="107">
        <f>DVUD!K1420</f>
        <v>0</v>
      </c>
      <c r="I1415" s="107"/>
    </row>
    <row r="1416" spans="1:9" ht="12.75" customHeight="1" x14ac:dyDescent="0.2">
      <c r="A1416" s="72"/>
      <c r="B1416" s="72">
        <v>944</v>
      </c>
      <c r="C1416" s="38">
        <f t="shared" si="70"/>
        <v>0</v>
      </c>
      <c r="D1416" s="31" t="s">
        <v>5156</v>
      </c>
      <c r="E1416" s="176"/>
      <c r="F1416" s="173"/>
      <c r="G1416" s="107">
        <f t="shared" si="69"/>
        <v>0</v>
      </c>
      <c r="H1416" s="107">
        <f>DVUD!K1421</f>
        <v>0</v>
      </c>
      <c r="I1416" s="107"/>
    </row>
    <row r="1417" spans="1:9" ht="12.75" customHeight="1" x14ac:dyDescent="0.2">
      <c r="A1417" s="187"/>
      <c r="B1417" s="72">
        <v>945</v>
      </c>
      <c r="D1417" s="4" t="s">
        <v>5232</v>
      </c>
      <c r="E1417" s="9"/>
      <c r="F1417" s="176"/>
      <c r="G1417" s="107">
        <f t="shared" si="69"/>
        <v>0</v>
      </c>
      <c r="H1417" s="107">
        <f>DVUD!K1422</f>
        <v>0</v>
      </c>
      <c r="I1417" s="107"/>
    </row>
    <row r="1418" spans="1:9" ht="12.75" customHeight="1" x14ac:dyDescent="0.2">
      <c r="A1418" s="702" t="s">
        <v>3556</v>
      </c>
      <c r="B1418" s="703"/>
      <c r="C1418" s="703"/>
      <c r="D1418" s="703"/>
      <c r="E1418" s="703"/>
      <c r="F1418" s="704"/>
      <c r="G1418" s="94">
        <f>SUM(G1303:G1417)</f>
        <v>0</v>
      </c>
      <c r="H1418" s="94">
        <f>SUM(H1303:H1417)</f>
        <v>0</v>
      </c>
      <c r="I1418" s="94">
        <f>SUM(I1328:I1416)</f>
        <v>0</v>
      </c>
    </row>
    <row r="1419" spans="1:9" ht="12.75" customHeight="1" x14ac:dyDescent="0.2">
      <c r="A1419" s="702" t="s">
        <v>3560</v>
      </c>
      <c r="B1419" s="703"/>
      <c r="C1419" s="703"/>
      <c r="D1419" s="703"/>
      <c r="E1419" s="703"/>
      <c r="F1419" s="704"/>
      <c r="G1419" s="94">
        <f>G1272</f>
        <v>0</v>
      </c>
      <c r="H1419" s="94">
        <f>H1272</f>
        <v>0</v>
      </c>
      <c r="I1419" s="94">
        <f>I1180</f>
        <v>0</v>
      </c>
    </row>
    <row r="1420" spans="1:9" ht="12.75" customHeight="1" thickBot="1" x14ac:dyDescent="0.25">
      <c r="A1420" s="705" t="s">
        <v>3558</v>
      </c>
      <c r="B1420" s="706"/>
      <c r="C1420" s="706"/>
      <c r="D1420" s="706"/>
      <c r="E1420" s="706"/>
      <c r="F1420" s="707"/>
      <c r="G1420" s="93">
        <f>SUM(G1418:G1419)</f>
        <v>0</v>
      </c>
      <c r="H1420" s="93">
        <f>SUM(H1418:H1419)</f>
        <v>0</v>
      </c>
      <c r="I1420" s="93"/>
    </row>
    <row r="1421" spans="1:9" ht="29.25" customHeight="1" x14ac:dyDescent="0.2">
      <c r="G1421" s="523">
        <f>DVUD!H1425</f>
        <v>0</v>
      </c>
      <c r="H1421" s="46"/>
      <c r="I1421" s="46"/>
    </row>
    <row r="1422" spans="1:9" ht="12.75" customHeight="1" x14ac:dyDescent="0.2">
      <c r="A1422" s="687"/>
      <c r="B1422" s="687"/>
      <c r="C1422" s="687"/>
      <c r="D1422" s="687"/>
      <c r="E1422" s="143"/>
      <c r="F1422" s="143"/>
      <c r="G1422" s="708" t="s">
        <v>3537</v>
      </c>
      <c r="H1422" s="708"/>
      <c r="I1422" s="708"/>
    </row>
    <row r="1423" spans="1:9" ht="12.75" customHeight="1" x14ac:dyDescent="0.2">
      <c r="A1423" s="687"/>
      <c r="B1423" s="687"/>
      <c r="C1423" s="687"/>
      <c r="D1423" s="687"/>
      <c r="E1423" s="143"/>
      <c r="F1423" s="143"/>
      <c r="G1423" s="708" t="s">
        <v>3783</v>
      </c>
      <c r="H1423" s="708"/>
      <c r="I1423" s="708"/>
    </row>
    <row r="1424" spans="1:9" ht="12.75" customHeight="1" x14ac:dyDescent="0.2">
      <c r="A1424" s="305"/>
      <c r="B1424" s="305"/>
      <c r="C1424" s="305"/>
      <c r="D1424" s="305"/>
      <c r="E1424" s="143"/>
      <c r="F1424" s="143"/>
      <c r="G1424" s="308"/>
      <c r="H1424" s="308"/>
      <c r="I1424" s="308"/>
    </row>
    <row r="1425" spans="1:9" ht="12.75" customHeight="1" x14ac:dyDescent="0.2">
      <c r="A1425" s="305"/>
      <c r="B1425" s="305"/>
      <c r="C1425" s="305"/>
      <c r="D1425" s="305"/>
      <c r="E1425" s="143"/>
      <c r="F1425" s="143"/>
      <c r="G1425" s="700" t="s">
        <v>3538</v>
      </c>
      <c r="H1425" s="700"/>
      <c r="I1425" s="700"/>
    </row>
  </sheetData>
  <mergeCells count="227">
    <mergeCell ref="A806:F806"/>
    <mergeCell ref="A807:F807"/>
    <mergeCell ref="A808:F808"/>
    <mergeCell ref="A810:D810"/>
    <mergeCell ref="G810:I810"/>
    <mergeCell ref="A811:D811"/>
    <mergeCell ref="G811:I811"/>
    <mergeCell ref="A1179:I1179"/>
    <mergeCell ref="A1180:I1180"/>
    <mergeCell ref="A828:I828"/>
    <mergeCell ref="A829:I829"/>
    <mergeCell ref="A830:A832"/>
    <mergeCell ref="B830:C830"/>
    <mergeCell ref="D830:D832"/>
    <mergeCell ref="E830:F830"/>
    <mergeCell ref="H830:I830"/>
    <mergeCell ref="B831:B832"/>
    <mergeCell ref="C831:C832"/>
    <mergeCell ref="E831:E832"/>
    <mergeCell ref="F831:F832"/>
    <mergeCell ref="A932:D932"/>
    <mergeCell ref="A924:F924"/>
    <mergeCell ref="A925:F925"/>
    <mergeCell ref="A926:F926"/>
    <mergeCell ref="A97:D97"/>
    <mergeCell ref="A98:D98"/>
    <mergeCell ref="A99:D99"/>
    <mergeCell ref="G98:I98"/>
    <mergeCell ref="G99:I99"/>
    <mergeCell ref="A711:I711"/>
    <mergeCell ref="A712:I712"/>
    <mergeCell ref="A713:A715"/>
    <mergeCell ref="B713:C713"/>
    <mergeCell ref="D713:D715"/>
    <mergeCell ref="E713:F713"/>
    <mergeCell ref="H713:I713"/>
    <mergeCell ref="B714:B715"/>
    <mergeCell ref="C714:C715"/>
    <mergeCell ref="E714:E715"/>
    <mergeCell ref="F714:F715"/>
    <mergeCell ref="A307:F307"/>
    <mergeCell ref="A308:F308"/>
    <mergeCell ref="A311:D311"/>
    <mergeCell ref="G311:I311"/>
    <mergeCell ref="A206:F206"/>
    <mergeCell ref="A207:F207"/>
    <mergeCell ref="A208:F208"/>
    <mergeCell ref="A214:I214"/>
    <mergeCell ref="A215:I215"/>
    <mergeCell ref="A216:A218"/>
    <mergeCell ref="A4:I4"/>
    <mergeCell ref="A5:I5"/>
    <mergeCell ref="A6:A8"/>
    <mergeCell ref="B6:C6"/>
    <mergeCell ref="E6:F6"/>
    <mergeCell ref="H6:I6"/>
    <mergeCell ref="B7:B8"/>
    <mergeCell ref="C7:C8"/>
    <mergeCell ref="D6:D8"/>
    <mergeCell ref="F7:F8"/>
    <mergeCell ref="E7:E8"/>
    <mergeCell ref="A92:F92"/>
    <mergeCell ref="G100:I100"/>
    <mergeCell ref="G101:I101"/>
    <mergeCell ref="G94:I94"/>
    <mergeCell ref="G95:I95"/>
    <mergeCell ref="G97:I97"/>
    <mergeCell ref="A100:D100"/>
    <mergeCell ref="A101:D101"/>
    <mergeCell ref="A94:D94"/>
    <mergeCell ref="A95:D95"/>
    <mergeCell ref="A120:I120"/>
    <mergeCell ref="A121:I121"/>
    <mergeCell ref="A122:A124"/>
    <mergeCell ref="B122:C122"/>
    <mergeCell ref="D122:D124"/>
    <mergeCell ref="E122:F122"/>
    <mergeCell ref="H122:I122"/>
    <mergeCell ref="B123:B124"/>
    <mergeCell ref="C123:C124"/>
    <mergeCell ref="E123:E124"/>
    <mergeCell ref="F123:F124"/>
    <mergeCell ref="A316:D316"/>
    <mergeCell ref="G316:I316"/>
    <mergeCell ref="A312:D312"/>
    <mergeCell ref="G312:I312"/>
    <mergeCell ref="A314:D314"/>
    <mergeCell ref="G314:I314"/>
    <mergeCell ref="A315:D315"/>
    <mergeCell ref="G315:I315"/>
    <mergeCell ref="B216:C216"/>
    <mergeCell ref="D216:D218"/>
    <mergeCell ref="A306:F306"/>
    <mergeCell ref="E216:F216"/>
    <mergeCell ref="H216:I216"/>
    <mergeCell ref="B217:B218"/>
    <mergeCell ref="C217:C218"/>
    <mergeCell ref="E217:E218"/>
    <mergeCell ref="F217:F218"/>
    <mergeCell ref="G455:I455"/>
    <mergeCell ref="A452:D452"/>
    <mergeCell ref="G452:I452"/>
    <mergeCell ref="A454:D454"/>
    <mergeCell ref="G454:I454"/>
    <mergeCell ref="A455:D455"/>
    <mergeCell ref="A448:F448"/>
    <mergeCell ref="A451:D451"/>
    <mergeCell ref="G451:I451"/>
    <mergeCell ref="A477:I477"/>
    <mergeCell ref="A478:I478"/>
    <mergeCell ref="A479:A481"/>
    <mergeCell ref="B479:C479"/>
    <mergeCell ref="D479:D481"/>
    <mergeCell ref="E479:F479"/>
    <mergeCell ref="H479:I479"/>
    <mergeCell ref="B480:B481"/>
    <mergeCell ref="C480:C481"/>
    <mergeCell ref="E480:E481"/>
    <mergeCell ref="F480:F481"/>
    <mergeCell ref="G574:I574"/>
    <mergeCell ref="A566:F566"/>
    <mergeCell ref="A567:F567"/>
    <mergeCell ref="A568:F568"/>
    <mergeCell ref="A571:D571"/>
    <mergeCell ref="G571:I571"/>
    <mergeCell ref="A572:D572"/>
    <mergeCell ref="G572:I572"/>
    <mergeCell ref="A574:D574"/>
    <mergeCell ref="A594:I594"/>
    <mergeCell ref="A595:I595"/>
    <mergeCell ref="A596:A598"/>
    <mergeCell ref="B596:C596"/>
    <mergeCell ref="D596:D598"/>
    <mergeCell ref="E596:F596"/>
    <mergeCell ref="H596:I596"/>
    <mergeCell ref="B597:B598"/>
    <mergeCell ref="C597:C598"/>
    <mergeCell ref="E597:E598"/>
    <mergeCell ref="F597:F598"/>
    <mergeCell ref="A698:D698"/>
    <mergeCell ref="G698:I698"/>
    <mergeCell ref="A699:D699"/>
    <mergeCell ref="G699:I699"/>
    <mergeCell ref="A691:F691"/>
    <mergeCell ref="A692:F692"/>
    <mergeCell ref="A693:F693"/>
    <mergeCell ref="A695:D695"/>
    <mergeCell ref="G695:I695"/>
    <mergeCell ref="A696:D696"/>
    <mergeCell ref="G696:I696"/>
    <mergeCell ref="A928:D928"/>
    <mergeCell ref="G928:I928"/>
    <mergeCell ref="A929:D929"/>
    <mergeCell ref="G929:I929"/>
    <mergeCell ref="A931:D931"/>
    <mergeCell ref="G931:I931"/>
    <mergeCell ref="A945:I945"/>
    <mergeCell ref="A946:I946"/>
    <mergeCell ref="G932:I932"/>
    <mergeCell ref="A948:A950"/>
    <mergeCell ref="B948:C948"/>
    <mergeCell ref="D948:D950"/>
    <mergeCell ref="E948:F948"/>
    <mergeCell ref="H948:I948"/>
    <mergeCell ref="B949:B950"/>
    <mergeCell ref="C949:C950"/>
    <mergeCell ref="E949:E950"/>
    <mergeCell ref="F949:F950"/>
    <mergeCell ref="A1053:F1053"/>
    <mergeCell ref="A1054:F1054"/>
    <mergeCell ref="A1055:F1055"/>
    <mergeCell ref="A1057:D1057"/>
    <mergeCell ref="G1057:I1057"/>
    <mergeCell ref="A1058:D1058"/>
    <mergeCell ref="G1058:I1058"/>
    <mergeCell ref="A1062:I1062"/>
    <mergeCell ref="A1063:I1063"/>
    <mergeCell ref="A1065:A1067"/>
    <mergeCell ref="B1065:C1065"/>
    <mergeCell ref="D1065:D1067"/>
    <mergeCell ref="E1065:F1065"/>
    <mergeCell ref="H1065:I1065"/>
    <mergeCell ref="B1066:B1067"/>
    <mergeCell ref="C1066:C1067"/>
    <mergeCell ref="E1066:E1067"/>
    <mergeCell ref="F1066:F1067"/>
    <mergeCell ref="G1277:I1277"/>
    <mergeCell ref="A1270:F1270"/>
    <mergeCell ref="A1271:F1271"/>
    <mergeCell ref="A1272:F1272"/>
    <mergeCell ref="A1274:D1274"/>
    <mergeCell ref="G1274:I1274"/>
    <mergeCell ref="A1275:D1275"/>
    <mergeCell ref="G1275:I1275"/>
    <mergeCell ref="A1182:A1184"/>
    <mergeCell ref="B1182:C1182"/>
    <mergeCell ref="D1182:D1184"/>
    <mergeCell ref="E1182:F1182"/>
    <mergeCell ref="H1182:I1182"/>
    <mergeCell ref="B1183:B1184"/>
    <mergeCell ref="C1183:C1184"/>
    <mergeCell ref="E1183:E1184"/>
    <mergeCell ref="F1183:F1184"/>
    <mergeCell ref="G575:I575"/>
    <mergeCell ref="G576:I576"/>
    <mergeCell ref="G1425:I1425"/>
    <mergeCell ref="A1297:I1297"/>
    <mergeCell ref="A1298:I1298"/>
    <mergeCell ref="A1300:A1302"/>
    <mergeCell ref="B1300:C1300"/>
    <mergeCell ref="D1300:D1302"/>
    <mergeCell ref="E1300:F1300"/>
    <mergeCell ref="H1300:I1300"/>
    <mergeCell ref="B1301:B1302"/>
    <mergeCell ref="C1301:C1302"/>
    <mergeCell ref="E1301:E1302"/>
    <mergeCell ref="F1301:F1302"/>
    <mergeCell ref="A1145:F1145"/>
    <mergeCell ref="A1146:F1146"/>
    <mergeCell ref="A1147:F1147"/>
    <mergeCell ref="A1418:F1418"/>
    <mergeCell ref="A1419:F1419"/>
    <mergeCell ref="A1420:F1420"/>
    <mergeCell ref="A1422:D1422"/>
    <mergeCell ref="G1422:I1422"/>
    <mergeCell ref="A1423:D1423"/>
    <mergeCell ref="G1423:I1423"/>
  </mergeCells>
  <phoneticPr fontId="5" type="noConversion"/>
  <pageMargins left="0.43307086614173229" right="0.43307086614173229" top="0.74803149606299213" bottom="0.74803149606299213" header="0.31496062992125984" footer="0.31496062992125984"/>
  <pageSetup paperSize="9" scale="87" orientation="portrait" horizontalDpi="4294967293" verticalDpi="4294967293" r:id="rId1"/>
  <rowBreaks count="2" manualBreakCount="2">
    <brk id="116" max="8" man="1"/>
    <brk id="211" max="8" man="1"/>
  </rowBreaks>
  <colBreaks count="1" manualBreakCount="1">
    <brk id="8" max="1434" man="1"/>
  </col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L602"/>
  <sheetViews>
    <sheetView showWhiteSpace="0" view="pageLayout" topLeftCell="A573" workbookViewId="0">
      <selection activeCell="I30" sqref="I30"/>
    </sheetView>
  </sheetViews>
  <sheetFormatPr defaultRowHeight="15" x14ac:dyDescent="0.25"/>
  <cols>
    <col min="1" max="1" width="9.140625" customWidth="1"/>
    <col min="2" max="2" width="9.85546875" customWidth="1"/>
    <col min="3" max="3" width="3.28515625" customWidth="1"/>
    <col min="4" max="4" width="31.5703125" customWidth="1"/>
    <col min="5" max="5" width="14" style="89" customWidth="1"/>
    <col min="6" max="6" width="14" style="83" customWidth="1"/>
    <col min="7" max="7" width="14.7109375" style="253" customWidth="1"/>
    <col min="8" max="8" width="12.42578125" customWidth="1"/>
    <col min="9" max="9" width="10.5703125" customWidth="1"/>
    <col min="10" max="10" width="23.85546875" customWidth="1"/>
    <col min="11" max="11" width="18.140625" customWidth="1"/>
  </cols>
  <sheetData>
    <row r="1" spans="1:12" x14ac:dyDescent="0.25">
      <c r="A1" s="50" t="s">
        <v>0</v>
      </c>
      <c r="B1" s="50"/>
      <c r="C1" s="50"/>
      <c r="D1" s="9"/>
      <c r="E1" s="84"/>
      <c r="F1" s="75"/>
      <c r="G1" s="179"/>
      <c r="H1" s="9"/>
      <c r="I1" s="9"/>
      <c r="J1" s="9"/>
      <c r="K1" s="9"/>
      <c r="L1" s="1"/>
    </row>
    <row r="2" spans="1:12" x14ac:dyDescent="0.25">
      <c r="A2" s="50" t="s">
        <v>1</v>
      </c>
      <c r="B2" s="50"/>
      <c r="C2" s="50"/>
      <c r="D2" s="9"/>
      <c r="E2" s="84"/>
      <c r="F2" s="75"/>
      <c r="G2" s="179"/>
      <c r="H2" s="9"/>
      <c r="I2" s="9"/>
      <c r="J2" s="9"/>
      <c r="K2" s="9"/>
      <c r="L2" s="1"/>
    </row>
    <row r="3" spans="1:12" x14ac:dyDescent="0.25">
      <c r="A3" s="50" t="s">
        <v>16</v>
      </c>
      <c r="B3" s="50"/>
      <c r="C3" s="50"/>
      <c r="D3" s="9"/>
      <c r="E3" s="84"/>
      <c r="F3" s="75"/>
      <c r="G3" s="179"/>
      <c r="H3" s="9"/>
      <c r="I3" s="9"/>
      <c r="J3" s="9"/>
      <c r="K3" s="9"/>
      <c r="L3" s="1"/>
    </row>
    <row r="4" spans="1:12" x14ac:dyDescent="0.25">
      <c r="A4" s="643" t="s">
        <v>3547</v>
      </c>
      <c r="B4" s="643"/>
      <c r="C4" s="643"/>
      <c r="D4" s="643"/>
      <c r="E4" s="643"/>
      <c r="F4" s="643"/>
      <c r="G4" s="179"/>
      <c r="H4" s="9"/>
      <c r="I4" s="9"/>
      <c r="J4" s="9"/>
      <c r="K4" s="9"/>
      <c r="L4" s="1"/>
    </row>
    <row r="5" spans="1:12" x14ac:dyDescent="0.25">
      <c r="A5" s="643" t="s">
        <v>3806</v>
      </c>
      <c r="B5" s="643"/>
      <c r="C5" s="643"/>
      <c r="D5" s="643"/>
      <c r="E5" s="643"/>
      <c r="F5" s="643"/>
      <c r="G5" s="179"/>
      <c r="H5" s="9"/>
      <c r="I5" s="9"/>
      <c r="J5" s="9"/>
      <c r="K5" s="9"/>
      <c r="L5" s="1"/>
    </row>
    <row r="6" spans="1:12" ht="15.75" thickBot="1" x14ac:dyDescent="0.3">
      <c r="A6" s="1"/>
      <c r="B6" s="1"/>
      <c r="C6" s="1"/>
      <c r="D6" s="1"/>
      <c r="E6" s="85"/>
      <c r="F6" s="76"/>
      <c r="G6" s="73"/>
      <c r="H6" s="1"/>
      <c r="I6" s="1"/>
      <c r="J6" s="1"/>
      <c r="K6" s="1"/>
      <c r="L6" s="1"/>
    </row>
    <row r="7" spans="1:12" ht="27.75" customHeight="1" x14ac:dyDescent="0.25">
      <c r="A7" s="53" t="s">
        <v>3</v>
      </c>
      <c r="B7" s="184" t="s">
        <v>3278</v>
      </c>
      <c r="C7" s="661" t="s">
        <v>5</v>
      </c>
      <c r="D7" s="661"/>
      <c r="E7" s="86" t="s">
        <v>57</v>
      </c>
      <c r="F7" s="77" t="s">
        <v>58</v>
      </c>
      <c r="G7" s="179"/>
      <c r="H7" s="9"/>
      <c r="I7" s="9"/>
      <c r="J7" s="9"/>
      <c r="K7" s="9"/>
      <c r="L7" s="1"/>
    </row>
    <row r="8" spans="1:12" ht="15" customHeight="1" x14ac:dyDescent="0.25">
      <c r="A8" s="61"/>
      <c r="B8" s="91"/>
      <c r="C8" s="188"/>
      <c r="D8" s="165"/>
      <c r="E8" s="87"/>
      <c r="F8" s="78"/>
      <c r="G8" s="179"/>
      <c r="H8" s="9"/>
      <c r="I8" s="9"/>
      <c r="J8" s="9"/>
      <c r="K8" s="9"/>
      <c r="L8" s="1"/>
    </row>
    <row r="9" spans="1:12" ht="15" customHeight="1" x14ac:dyDescent="0.25">
      <c r="A9" s="61" t="s">
        <v>93</v>
      </c>
      <c r="B9" s="10" t="s">
        <v>3279</v>
      </c>
      <c r="C9" s="43" t="s">
        <v>3281</v>
      </c>
      <c r="D9" s="40"/>
      <c r="E9" s="82"/>
      <c r="F9" s="81"/>
      <c r="G9" s="179"/>
      <c r="H9" s="9"/>
      <c r="I9" s="9"/>
      <c r="J9" s="9"/>
      <c r="K9" s="9"/>
      <c r="L9" s="1"/>
    </row>
    <row r="10" spans="1:12" ht="15" customHeight="1" x14ac:dyDescent="0.25">
      <c r="A10" s="69"/>
      <c r="B10" s="10" t="s">
        <v>3279</v>
      </c>
      <c r="C10" s="43" t="s">
        <v>3671</v>
      </c>
      <c r="D10" s="40"/>
      <c r="E10" s="82"/>
      <c r="F10" s="81"/>
      <c r="G10" s="179"/>
      <c r="H10" s="9"/>
      <c r="I10" s="9"/>
      <c r="J10" s="9"/>
      <c r="K10" s="9"/>
      <c r="L10" s="1"/>
    </row>
    <row r="11" spans="1:12" ht="15" customHeight="1" x14ac:dyDescent="0.25">
      <c r="A11" s="69"/>
      <c r="B11" s="10" t="s">
        <v>3279</v>
      </c>
      <c r="C11" s="43" t="s">
        <v>3672</v>
      </c>
      <c r="D11" s="40"/>
      <c r="E11" s="82"/>
      <c r="F11" s="81"/>
      <c r="G11" s="179"/>
      <c r="H11" s="9"/>
      <c r="I11" s="9"/>
      <c r="J11" s="9"/>
      <c r="K11" s="9"/>
      <c r="L11" s="1"/>
    </row>
    <row r="12" spans="1:12" x14ac:dyDescent="0.25">
      <c r="A12" s="69"/>
      <c r="B12" s="10" t="s">
        <v>3280</v>
      </c>
      <c r="C12" s="43" t="s">
        <v>5556</v>
      </c>
      <c r="D12" s="40"/>
      <c r="E12" s="82"/>
      <c r="F12" s="81"/>
      <c r="I12" s="20"/>
    </row>
    <row r="13" spans="1:12" x14ac:dyDescent="0.25">
      <c r="A13" s="69"/>
      <c r="B13" s="10" t="s">
        <v>3280</v>
      </c>
      <c r="C13" s="43" t="s">
        <v>5557</v>
      </c>
      <c r="D13" s="40"/>
      <c r="E13" s="82"/>
      <c r="F13" s="81"/>
      <c r="I13" s="20"/>
    </row>
    <row r="14" spans="1:12" x14ac:dyDescent="0.25">
      <c r="A14" s="69"/>
      <c r="B14" s="10" t="s">
        <v>3280</v>
      </c>
      <c r="C14" s="43" t="s">
        <v>4135</v>
      </c>
      <c r="D14" s="40"/>
      <c r="E14" s="82"/>
      <c r="F14" s="81"/>
      <c r="I14" s="20"/>
    </row>
    <row r="15" spans="1:12" x14ac:dyDescent="0.25">
      <c r="A15" s="69"/>
      <c r="B15" s="10" t="s">
        <v>3981</v>
      </c>
      <c r="C15" s="51" t="s">
        <v>5558</v>
      </c>
      <c r="D15" s="40"/>
      <c r="E15" s="82"/>
      <c r="F15" s="81"/>
      <c r="I15" s="20"/>
    </row>
    <row r="16" spans="1:12" x14ac:dyDescent="0.25">
      <c r="A16" s="10"/>
      <c r="B16" s="10" t="s">
        <v>3545</v>
      </c>
      <c r="C16" s="37"/>
      <c r="D16" s="44" t="s">
        <v>3544</v>
      </c>
      <c r="E16" s="82"/>
      <c r="F16" s="232">
        <f>SUM(E9:E15)</f>
        <v>0</v>
      </c>
      <c r="G16" s="746"/>
      <c r="H16" s="747"/>
      <c r="I16" s="20"/>
      <c r="J16" s="20"/>
      <c r="K16" s="20"/>
      <c r="L16" s="1"/>
    </row>
    <row r="17" spans="1:12" x14ac:dyDescent="0.25">
      <c r="A17" s="69"/>
      <c r="B17" s="186"/>
      <c r="C17" s="37"/>
      <c r="D17" s="40"/>
      <c r="E17" s="82"/>
      <c r="F17" s="81"/>
      <c r="G17" s="463"/>
      <c r="H17" s="20"/>
      <c r="I17" s="20"/>
      <c r="J17" s="20"/>
      <c r="K17" s="20"/>
      <c r="L17" s="1"/>
    </row>
    <row r="18" spans="1:12" x14ac:dyDescent="0.25">
      <c r="A18" s="168" t="str">
        <f>A9</f>
        <v>31 Jan</v>
      </c>
      <c r="B18" s="187" t="s">
        <v>5563</v>
      </c>
      <c r="C18" s="37" t="s">
        <v>3540</v>
      </c>
      <c r="D18" s="40"/>
      <c r="E18" s="82"/>
      <c r="F18" s="81"/>
      <c r="G18" s="463"/>
      <c r="H18" s="20"/>
      <c r="I18" s="20"/>
      <c r="J18" s="20"/>
      <c r="K18" s="20"/>
      <c r="L18" s="1"/>
    </row>
    <row r="19" spans="1:12" x14ac:dyDescent="0.25">
      <c r="A19" s="10"/>
      <c r="B19" s="187" t="s">
        <v>5563</v>
      </c>
      <c r="C19" s="37" t="s">
        <v>3541</v>
      </c>
      <c r="D19" s="40"/>
      <c r="E19" s="82"/>
      <c r="F19" s="81"/>
      <c r="G19" s="463"/>
      <c r="H19" s="20"/>
      <c r="I19" s="20"/>
      <c r="J19" s="20"/>
      <c r="K19" s="20"/>
      <c r="L19" s="1"/>
    </row>
    <row r="20" spans="1:12" x14ac:dyDescent="0.25">
      <c r="A20" s="10"/>
      <c r="B20" s="187" t="s">
        <v>5563</v>
      </c>
      <c r="C20" s="37" t="s">
        <v>3542</v>
      </c>
      <c r="D20" s="40"/>
      <c r="E20" s="82"/>
      <c r="F20" s="81"/>
      <c r="G20" s="463"/>
      <c r="H20" s="20"/>
      <c r="I20" s="20"/>
      <c r="J20" s="20"/>
      <c r="K20" s="20"/>
      <c r="L20" s="1"/>
    </row>
    <row r="21" spans="1:12" x14ac:dyDescent="0.25">
      <c r="A21" s="10"/>
      <c r="B21" s="187" t="s">
        <v>5563</v>
      </c>
      <c r="C21" s="37" t="s">
        <v>3778</v>
      </c>
      <c r="D21" s="40"/>
      <c r="E21" s="82"/>
      <c r="F21" s="81"/>
      <c r="G21" s="463"/>
      <c r="H21" s="20"/>
      <c r="I21" s="20"/>
      <c r="J21" s="20"/>
      <c r="K21" s="20"/>
      <c r="L21" s="1"/>
    </row>
    <row r="22" spans="1:12" x14ac:dyDescent="0.25">
      <c r="A22" s="69"/>
      <c r="B22" s="186" t="s">
        <v>3353</v>
      </c>
      <c r="C22" s="37"/>
      <c r="D22" s="40" t="s">
        <v>61</v>
      </c>
      <c r="E22" s="82"/>
      <c r="F22" s="81">
        <f>SUM(E18:E21)</f>
        <v>0</v>
      </c>
      <c r="G22" s="463"/>
      <c r="H22" s="20"/>
      <c r="I22" s="20"/>
      <c r="J22" s="20"/>
      <c r="K22" s="20"/>
      <c r="L22" s="1"/>
    </row>
    <row r="23" spans="1:12" x14ac:dyDescent="0.25">
      <c r="A23" s="10"/>
      <c r="B23" s="185"/>
      <c r="C23" s="37"/>
      <c r="D23" s="40"/>
      <c r="E23" s="82"/>
      <c r="F23" s="81"/>
      <c r="G23" s="463"/>
      <c r="H23" s="20"/>
      <c r="I23" s="20"/>
      <c r="J23" s="20"/>
      <c r="K23" s="20"/>
      <c r="L23" s="1"/>
    </row>
    <row r="24" spans="1:12" x14ac:dyDescent="0.25">
      <c r="A24" s="168" t="str">
        <f>A18</f>
        <v>31 Jan</v>
      </c>
      <c r="B24" s="187" t="s">
        <v>5563</v>
      </c>
      <c r="C24" s="37" t="s">
        <v>3540</v>
      </c>
      <c r="D24" s="40"/>
      <c r="E24" s="82"/>
      <c r="F24" s="81"/>
      <c r="G24" s="463"/>
      <c r="H24" s="20"/>
      <c r="I24" s="20"/>
      <c r="J24" s="20"/>
      <c r="K24" s="20"/>
      <c r="L24" s="1"/>
    </row>
    <row r="25" spans="1:12" ht="13.5" customHeight="1" x14ac:dyDescent="0.25">
      <c r="A25" s="10"/>
      <c r="B25" s="187" t="s">
        <v>5563</v>
      </c>
      <c r="C25" s="37" t="s">
        <v>3541</v>
      </c>
      <c r="D25" s="40"/>
      <c r="E25" s="82"/>
      <c r="F25" s="81"/>
      <c r="G25" s="464"/>
      <c r="H25" s="1"/>
      <c r="I25" s="1"/>
      <c r="J25" s="1"/>
      <c r="K25" s="1"/>
      <c r="L25" s="1"/>
    </row>
    <row r="26" spans="1:12" ht="15" customHeight="1" x14ac:dyDescent="0.25">
      <c r="A26" s="10"/>
      <c r="B26" s="187" t="s">
        <v>5563</v>
      </c>
      <c r="C26" s="37" t="s">
        <v>3542</v>
      </c>
      <c r="D26" s="40"/>
      <c r="E26" s="82"/>
      <c r="F26" s="81"/>
      <c r="G26" s="464"/>
      <c r="H26" s="1"/>
      <c r="I26" s="1"/>
      <c r="J26" s="1"/>
      <c r="K26" s="1"/>
      <c r="L26" s="1"/>
    </row>
    <row r="27" spans="1:12" ht="15" customHeight="1" x14ac:dyDescent="0.25">
      <c r="A27" s="10"/>
      <c r="B27" s="187" t="s">
        <v>5563</v>
      </c>
      <c r="C27" s="37" t="s">
        <v>3778</v>
      </c>
      <c r="D27" s="40"/>
      <c r="E27" s="82"/>
      <c r="F27" s="81"/>
      <c r="G27" s="464"/>
      <c r="H27" s="1"/>
      <c r="I27" s="1"/>
      <c r="J27" s="1"/>
      <c r="K27" s="1"/>
      <c r="L27" s="1"/>
    </row>
    <row r="28" spans="1:12" ht="15" customHeight="1" x14ac:dyDescent="0.25">
      <c r="A28" s="69"/>
      <c r="B28" s="186" t="s">
        <v>3353</v>
      </c>
      <c r="C28" s="37"/>
      <c r="D28" s="40" t="s">
        <v>3779</v>
      </c>
      <c r="E28" s="82"/>
      <c r="F28" s="81">
        <f>SUM(E24:E27)</f>
        <v>0</v>
      </c>
      <c r="G28" s="464"/>
      <c r="H28" s="1"/>
      <c r="I28" s="1"/>
      <c r="J28" s="1"/>
      <c r="K28" s="1"/>
      <c r="L28" s="1"/>
    </row>
    <row r="29" spans="1:12" ht="15" customHeight="1" x14ac:dyDescent="0.25">
      <c r="A29" s="10"/>
      <c r="B29" s="185"/>
      <c r="C29" s="37"/>
      <c r="D29" s="40"/>
      <c r="E29" s="82"/>
      <c r="F29" s="81"/>
      <c r="G29" s="464"/>
      <c r="H29" s="1"/>
      <c r="I29" s="1"/>
      <c r="J29" s="1"/>
      <c r="K29" s="1"/>
      <c r="L29" s="1"/>
    </row>
    <row r="30" spans="1:12" ht="15" customHeight="1" x14ac:dyDescent="0.25">
      <c r="A30" s="168" t="str">
        <f>A24</f>
        <v>31 Jan</v>
      </c>
      <c r="B30" s="187" t="s">
        <v>5563</v>
      </c>
      <c r="C30" s="37" t="s">
        <v>3540</v>
      </c>
      <c r="D30" s="40"/>
      <c r="E30" s="82"/>
      <c r="F30" s="81"/>
      <c r="G30" s="464"/>
      <c r="H30" s="1"/>
      <c r="I30" s="1"/>
      <c r="J30" s="1"/>
      <c r="K30" s="1"/>
      <c r="L30" s="1"/>
    </row>
    <row r="31" spans="1:12" ht="15" customHeight="1" x14ac:dyDescent="0.25">
      <c r="A31" s="10"/>
      <c r="B31" s="187" t="s">
        <v>5563</v>
      </c>
      <c r="C31" s="37" t="s">
        <v>3541</v>
      </c>
      <c r="D31" s="40"/>
      <c r="E31" s="82"/>
      <c r="F31" s="81"/>
      <c r="G31" s="464"/>
      <c r="H31" s="1"/>
      <c r="I31" s="1"/>
      <c r="J31" s="1"/>
      <c r="K31" s="1"/>
      <c r="L31" s="1"/>
    </row>
    <row r="32" spans="1:12" ht="15" customHeight="1" x14ac:dyDescent="0.25">
      <c r="A32" s="10"/>
      <c r="B32" s="187" t="s">
        <v>5563</v>
      </c>
      <c r="C32" s="37" t="s">
        <v>3542</v>
      </c>
      <c r="D32" s="40"/>
      <c r="E32" s="82"/>
      <c r="F32" s="81"/>
      <c r="G32" s="464"/>
      <c r="H32" s="1"/>
      <c r="I32" s="1"/>
      <c r="J32" s="1"/>
      <c r="K32" s="1"/>
      <c r="L32" s="1"/>
    </row>
    <row r="33" spans="1:12" ht="15" customHeight="1" x14ac:dyDescent="0.25">
      <c r="A33" s="10"/>
      <c r="B33" s="187" t="s">
        <v>5563</v>
      </c>
      <c r="C33" s="37" t="s">
        <v>3778</v>
      </c>
      <c r="D33" s="40"/>
      <c r="E33" s="82"/>
      <c r="F33" s="81"/>
      <c r="G33" s="464"/>
      <c r="H33" s="1"/>
      <c r="I33" s="1"/>
      <c r="J33" s="1"/>
      <c r="K33" s="1"/>
      <c r="L33" s="1"/>
    </row>
    <row r="34" spans="1:12" ht="15" customHeight="1" x14ac:dyDescent="0.25">
      <c r="A34" s="69"/>
      <c r="B34" s="186" t="s">
        <v>3353</v>
      </c>
      <c r="C34" s="37"/>
      <c r="D34" s="40" t="s">
        <v>3681</v>
      </c>
      <c r="E34" s="82"/>
      <c r="F34" s="81">
        <f>SUM(E30:E33)</f>
        <v>0</v>
      </c>
      <c r="G34" s="464"/>
      <c r="H34" s="1"/>
      <c r="I34" s="1"/>
      <c r="J34" s="1"/>
      <c r="K34" s="1"/>
      <c r="L34" s="1"/>
    </row>
    <row r="35" spans="1:12" ht="15" customHeight="1" x14ac:dyDescent="0.25">
      <c r="A35" s="10"/>
      <c r="B35" s="185"/>
      <c r="C35" s="37"/>
      <c r="D35" s="40"/>
      <c r="E35" s="82"/>
      <c r="F35" s="81"/>
      <c r="G35" s="464"/>
      <c r="H35" s="1"/>
      <c r="I35" s="1"/>
      <c r="J35" s="1"/>
      <c r="K35" s="1"/>
      <c r="L35" s="1"/>
    </row>
    <row r="36" spans="1:12" ht="15" customHeight="1" x14ac:dyDescent="0.25">
      <c r="A36" s="10" t="str">
        <f>A18</f>
        <v>31 Jan</v>
      </c>
      <c r="B36" s="185" t="s">
        <v>3337</v>
      </c>
      <c r="C36" s="37" t="s">
        <v>3546</v>
      </c>
      <c r="D36" s="40"/>
      <c r="E36" s="82"/>
      <c r="F36" s="81"/>
      <c r="G36" s="464"/>
      <c r="H36" s="1"/>
      <c r="I36" s="1"/>
      <c r="J36" s="1"/>
      <c r="K36" s="1"/>
      <c r="L36" s="1"/>
    </row>
    <row r="37" spans="1:12" ht="15" customHeight="1" x14ac:dyDescent="0.25">
      <c r="A37" s="10"/>
      <c r="B37" s="185" t="s">
        <v>3336</v>
      </c>
      <c r="C37" s="37"/>
      <c r="D37" s="40" t="s">
        <v>3335</v>
      </c>
      <c r="E37" s="82"/>
      <c r="F37" s="81">
        <f>E36</f>
        <v>0</v>
      </c>
      <c r="G37" s="464"/>
      <c r="H37" s="1"/>
      <c r="I37" s="1"/>
      <c r="J37" s="1"/>
      <c r="K37" s="1"/>
      <c r="L37" s="1"/>
    </row>
    <row r="38" spans="1:12" ht="15" customHeight="1" x14ac:dyDescent="0.25">
      <c r="A38" s="10"/>
      <c r="B38" s="185"/>
      <c r="C38" s="37"/>
      <c r="D38" s="40"/>
      <c r="E38" s="82"/>
      <c r="F38" s="81"/>
      <c r="G38" s="464"/>
      <c r="H38" s="1"/>
      <c r="I38" s="1"/>
      <c r="J38" s="1"/>
      <c r="K38" s="1"/>
      <c r="L38" s="1"/>
    </row>
    <row r="39" spans="1:12" ht="15" customHeight="1" x14ac:dyDescent="0.25">
      <c r="A39" s="10"/>
      <c r="B39" s="19"/>
      <c r="C39" s="214"/>
      <c r="D39" s="40"/>
      <c r="E39" s="82"/>
      <c r="F39" s="104"/>
      <c r="G39" s="464"/>
      <c r="H39" s="1"/>
      <c r="I39" s="1"/>
      <c r="J39" s="1"/>
      <c r="K39" s="1"/>
      <c r="L39" s="1"/>
    </row>
    <row r="40" spans="1:12" ht="15" customHeight="1" thickBot="1" x14ac:dyDescent="0.3">
      <c r="A40" s="655"/>
      <c r="B40" s="655"/>
      <c r="C40" s="655"/>
      <c r="D40" s="655"/>
      <c r="E40" s="105">
        <f>SUM(E8:E38)</f>
        <v>0</v>
      </c>
      <c r="F40" s="106">
        <f>SUM(F8:F38)</f>
        <v>0</v>
      </c>
      <c r="G40" s="464"/>
      <c r="H40" s="1"/>
      <c r="I40" s="1"/>
      <c r="J40" s="1"/>
      <c r="K40" s="1"/>
      <c r="L40" s="1"/>
    </row>
    <row r="41" spans="1:12" ht="15" customHeight="1" x14ac:dyDescent="0.25">
      <c r="A41" s="96"/>
      <c r="B41" s="96"/>
      <c r="C41" s="96"/>
      <c r="D41" s="96"/>
      <c r="E41" s="97"/>
      <c r="F41" s="97"/>
      <c r="G41" s="464"/>
      <c r="H41" s="1"/>
      <c r="I41" s="1"/>
      <c r="J41" s="1"/>
      <c r="K41" s="1"/>
      <c r="L41" s="1"/>
    </row>
    <row r="42" spans="1:12" ht="15" customHeight="1" x14ac:dyDescent="0.25">
      <c r="A42" s="96"/>
      <c r="B42" s="96"/>
      <c r="C42" s="96"/>
      <c r="D42" s="96"/>
      <c r="E42" s="97"/>
      <c r="F42" s="97"/>
      <c r="G42" s="464"/>
      <c r="H42" s="1"/>
      <c r="I42" s="1"/>
      <c r="J42" s="1"/>
      <c r="K42" s="1"/>
      <c r="L42" s="1"/>
    </row>
    <row r="43" spans="1:12" ht="15" customHeight="1" x14ac:dyDescent="0.25">
      <c r="A43" s="96"/>
      <c r="B43" s="96"/>
      <c r="C43" s="96"/>
      <c r="D43" s="96"/>
      <c r="E43" s="97"/>
      <c r="F43" s="97"/>
      <c r="G43" s="464"/>
      <c r="H43" s="1"/>
      <c r="I43" s="1"/>
      <c r="J43" s="1"/>
      <c r="K43" s="1"/>
      <c r="L43" s="1"/>
    </row>
    <row r="44" spans="1:12" ht="15" customHeight="1" x14ac:dyDescent="0.25">
      <c r="A44" s="96"/>
      <c r="B44" s="96"/>
      <c r="C44" s="96"/>
      <c r="D44" s="96"/>
      <c r="E44" s="97"/>
      <c r="F44" s="97"/>
      <c r="G44" s="464"/>
      <c r="H44" s="1"/>
      <c r="I44" s="1"/>
      <c r="J44" s="1"/>
      <c r="K44" s="1"/>
      <c r="L44" s="1"/>
    </row>
    <row r="45" spans="1:12" ht="15" customHeight="1" x14ac:dyDescent="0.25">
      <c r="A45" s="96"/>
      <c r="B45" s="96"/>
      <c r="C45" s="96"/>
      <c r="D45" s="96"/>
      <c r="E45" s="97"/>
      <c r="F45" s="97"/>
      <c r="G45" s="464"/>
      <c r="H45" s="1"/>
      <c r="I45" s="1"/>
      <c r="J45" s="1"/>
      <c r="K45" s="1"/>
      <c r="L45" s="1"/>
    </row>
    <row r="46" spans="1:12" ht="15" customHeight="1" x14ac:dyDescent="0.25">
      <c r="A46" s="96"/>
      <c r="B46" s="96"/>
      <c r="C46" s="96"/>
      <c r="D46" s="96"/>
      <c r="E46" s="97"/>
      <c r="F46" s="97"/>
      <c r="G46" s="464"/>
      <c r="H46" s="1"/>
      <c r="I46" s="1"/>
      <c r="J46" s="1"/>
      <c r="K46" s="1"/>
      <c r="L46" s="1"/>
    </row>
    <row r="47" spans="1:12" ht="15" customHeight="1" x14ac:dyDescent="0.25">
      <c r="A47" s="96"/>
      <c r="B47" s="96"/>
      <c r="C47" s="96"/>
      <c r="D47" s="96"/>
      <c r="E47" s="97"/>
      <c r="F47" s="97"/>
      <c r="G47" s="464"/>
      <c r="H47" s="1"/>
      <c r="I47" s="1"/>
      <c r="J47" s="1"/>
      <c r="K47" s="1"/>
      <c r="L47" s="1"/>
    </row>
    <row r="48" spans="1:12" ht="15" customHeight="1" x14ac:dyDescent="0.25">
      <c r="A48" s="96"/>
      <c r="B48" s="96"/>
      <c r="C48" s="96"/>
      <c r="D48" s="96"/>
      <c r="E48" s="97"/>
      <c r="F48" s="97"/>
      <c r="G48" s="464"/>
      <c r="H48" s="1"/>
      <c r="I48" s="1"/>
      <c r="J48" s="1"/>
      <c r="K48" s="1"/>
      <c r="L48" s="1"/>
    </row>
    <row r="49" spans="1:12" ht="15" customHeight="1" x14ac:dyDescent="0.25">
      <c r="A49" s="96"/>
      <c r="B49" s="96"/>
      <c r="C49" s="96"/>
      <c r="D49" s="96"/>
      <c r="E49" s="97"/>
      <c r="F49" s="97"/>
      <c r="G49" s="464"/>
      <c r="H49" s="1"/>
      <c r="I49" s="1"/>
      <c r="J49" s="1"/>
      <c r="K49" s="1"/>
      <c r="L49" s="1"/>
    </row>
    <row r="50" spans="1:12" ht="15" customHeight="1" x14ac:dyDescent="0.25">
      <c r="A50" s="96"/>
      <c r="B50" s="96"/>
      <c r="C50" s="96"/>
      <c r="D50" s="96"/>
      <c r="E50" s="97"/>
      <c r="F50" s="97"/>
      <c r="G50" s="464"/>
      <c r="H50" s="1"/>
      <c r="I50" s="1"/>
      <c r="J50" s="1"/>
      <c r="K50" s="1"/>
      <c r="L50" s="1"/>
    </row>
    <row r="51" spans="1:12" ht="15" customHeight="1" x14ac:dyDescent="0.25">
      <c r="A51" s="50" t="s">
        <v>0</v>
      </c>
      <c r="B51" s="50"/>
      <c r="C51" s="50"/>
      <c r="D51" s="9"/>
      <c r="E51" s="84"/>
      <c r="F51" s="75"/>
      <c r="G51" s="464"/>
      <c r="H51" s="1"/>
      <c r="I51" s="1"/>
      <c r="J51" s="1"/>
      <c r="K51" s="1"/>
      <c r="L51" s="1"/>
    </row>
    <row r="52" spans="1:12" ht="15" customHeight="1" x14ac:dyDescent="0.25">
      <c r="A52" s="50" t="s">
        <v>1</v>
      </c>
      <c r="B52" s="50"/>
      <c r="C52" s="50"/>
      <c r="D52" s="9"/>
      <c r="E52" s="84"/>
      <c r="F52" s="75"/>
      <c r="G52" s="464"/>
      <c r="H52" s="1"/>
      <c r="I52" s="1"/>
      <c r="J52" s="1"/>
      <c r="K52" s="1"/>
      <c r="L52" s="1"/>
    </row>
    <row r="53" spans="1:12" ht="15" customHeight="1" x14ac:dyDescent="0.25">
      <c r="A53" s="50" t="s">
        <v>16</v>
      </c>
      <c r="B53" s="50"/>
      <c r="C53" s="50"/>
      <c r="D53" s="9"/>
      <c r="E53" s="84"/>
      <c r="F53" s="75"/>
      <c r="G53" s="464"/>
      <c r="H53" s="1"/>
      <c r="I53" s="1"/>
      <c r="J53" s="1"/>
      <c r="K53" s="1"/>
      <c r="L53" s="1"/>
    </row>
    <row r="54" spans="1:12" ht="15" customHeight="1" x14ac:dyDescent="0.25">
      <c r="A54" s="643" t="s">
        <v>3547</v>
      </c>
      <c r="B54" s="643"/>
      <c r="C54" s="643"/>
      <c r="D54" s="643"/>
      <c r="E54" s="643"/>
      <c r="F54" s="643"/>
      <c r="G54" s="464"/>
      <c r="H54" s="1"/>
      <c r="I54" s="1"/>
      <c r="J54" s="1"/>
      <c r="K54" s="1"/>
      <c r="L54" s="1"/>
    </row>
    <row r="55" spans="1:12" ht="15" customHeight="1" x14ac:dyDescent="0.25">
      <c r="A55" s="643" t="s">
        <v>3807</v>
      </c>
      <c r="B55" s="643"/>
      <c r="C55" s="643"/>
      <c r="D55" s="643"/>
      <c r="E55" s="643"/>
      <c r="F55" s="643"/>
      <c r="G55" s="464"/>
      <c r="H55" s="1"/>
      <c r="I55" s="1"/>
      <c r="J55" s="1"/>
      <c r="K55" s="1"/>
      <c r="L55" s="1"/>
    </row>
    <row r="56" spans="1:12" ht="15" customHeight="1" thickBot="1" x14ac:dyDescent="0.3">
      <c r="A56" s="1"/>
      <c r="B56" s="1"/>
      <c r="C56" s="1"/>
      <c r="D56" s="1"/>
      <c r="E56" s="85"/>
      <c r="F56" s="76"/>
      <c r="G56" s="464"/>
      <c r="H56" s="1"/>
      <c r="I56" s="1"/>
      <c r="J56" s="1"/>
      <c r="K56" s="1"/>
      <c r="L56" s="1"/>
    </row>
    <row r="57" spans="1:12" ht="24" customHeight="1" x14ac:dyDescent="0.25">
      <c r="A57" s="53" t="s">
        <v>3</v>
      </c>
      <c r="B57" s="184" t="s">
        <v>3278</v>
      </c>
      <c r="C57" s="661" t="s">
        <v>5</v>
      </c>
      <c r="D57" s="661"/>
      <c r="E57" s="86" t="s">
        <v>57</v>
      </c>
      <c r="F57" s="77" t="s">
        <v>58</v>
      </c>
      <c r="G57" s="464"/>
      <c r="H57" s="1"/>
      <c r="I57" s="1"/>
      <c r="J57" s="1"/>
      <c r="K57" s="1"/>
      <c r="L57" s="1"/>
    </row>
    <row r="58" spans="1:12" ht="15" customHeight="1" x14ac:dyDescent="0.25">
      <c r="A58" s="61"/>
      <c r="B58" s="91"/>
      <c r="C58" s="188"/>
      <c r="D58" s="165"/>
      <c r="E58" s="87"/>
      <c r="F58" s="78"/>
      <c r="G58" s="464"/>
      <c r="H58" s="1"/>
      <c r="I58" s="1"/>
      <c r="J58" s="1"/>
      <c r="K58" s="1"/>
      <c r="L58" s="1"/>
    </row>
    <row r="59" spans="1:12" ht="15" customHeight="1" x14ac:dyDescent="0.25">
      <c r="A59" s="61" t="s">
        <v>3722</v>
      </c>
      <c r="B59" s="10" t="s">
        <v>3279</v>
      </c>
      <c r="C59" s="43" t="s">
        <v>3281</v>
      </c>
      <c r="D59" s="40"/>
      <c r="E59" s="82"/>
      <c r="F59" s="81"/>
      <c r="G59" s="464"/>
      <c r="H59" s="1"/>
      <c r="I59" s="1"/>
      <c r="J59" s="1"/>
      <c r="K59" s="1"/>
      <c r="L59" s="1"/>
    </row>
    <row r="60" spans="1:12" ht="15" customHeight="1" x14ac:dyDescent="0.25">
      <c r="A60" s="69"/>
      <c r="B60" s="10" t="s">
        <v>3279</v>
      </c>
      <c r="C60" s="43" t="s">
        <v>3671</v>
      </c>
      <c r="D60" s="40"/>
      <c r="E60" s="82"/>
      <c r="F60" s="81"/>
      <c r="G60" s="464"/>
      <c r="H60" s="1"/>
      <c r="I60" s="1"/>
      <c r="J60" s="1"/>
      <c r="K60" s="1"/>
      <c r="L60" s="1"/>
    </row>
    <row r="61" spans="1:12" ht="15" customHeight="1" x14ac:dyDescent="0.25">
      <c r="A61" s="69"/>
      <c r="B61" s="10" t="s">
        <v>3279</v>
      </c>
      <c r="C61" s="43" t="s">
        <v>3672</v>
      </c>
      <c r="D61" s="40"/>
      <c r="E61" s="82"/>
      <c r="F61" s="81"/>
      <c r="G61" s="464"/>
      <c r="H61" s="1"/>
      <c r="I61" s="1"/>
      <c r="J61" s="1"/>
      <c r="K61" s="1"/>
      <c r="L61" s="1"/>
    </row>
    <row r="62" spans="1:12" ht="15" customHeight="1" x14ac:dyDescent="0.25">
      <c r="A62" s="69"/>
      <c r="B62" s="10" t="s">
        <v>3280</v>
      </c>
      <c r="C62" s="43" t="s">
        <v>5559</v>
      </c>
      <c r="D62" s="40"/>
      <c r="E62" s="82"/>
      <c r="F62" s="81"/>
      <c r="G62" s="464"/>
      <c r="H62" s="1"/>
      <c r="I62" s="1"/>
      <c r="J62" s="1"/>
      <c r="K62" s="1"/>
      <c r="L62" s="1"/>
    </row>
    <row r="63" spans="1:12" ht="15" customHeight="1" x14ac:dyDescent="0.25">
      <c r="A63" s="69"/>
      <c r="B63" s="10" t="s">
        <v>3280</v>
      </c>
      <c r="C63" s="43" t="s">
        <v>5560</v>
      </c>
      <c r="D63" s="40"/>
      <c r="E63" s="82"/>
      <c r="F63" s="81"/>
      <c r="G63" s="464"/>
      <c r="H63" s="1"/>
      <c r="I63" s="1"/>
      <c r="J63" s="1"/>
      <c r="K63" s="1"/>
      <c r="L63" s="1"/>
    </row>
    <row r="64" spans="1:12" ht="15" customHeight="1" x14ac:dyDescent="0.25">
      <c r="A64" s="69"/>
      <c r="B64" s="10" t="s">
        <v>3280</v>
      </c>
      <c r="C64" s="43" t="s">
        <v>4135</v>
      </c>
      <c r="D64" s="40"/>
      <c r="E64" s="82"/>
      <c r="F64" s="81"/>
      <c r="G64" s="464"/>
      <c r="H64" s="1"/>
      <c r="I64" s="1"/>
      <c r="J64" s="1"/>
      <c r="K64" s="1"/>
      <c r="L64" s="1"/>
    </row>
    <row r="65" spans="1:12" ht="15" customHeight="1" x14ac:dyDescent="0.25">
      <c r="A65" s="69"/>
      <c r="B65" s="10" t="s">
        <v>3981</v>
      </c>
      <c r="C65" s="51" t="s">
        <v>5561</v>
      </c>
      <c r="D65" s="40"/>
      <c r="E65" s="82"/>
      <c r="F65" s="81"/>
      <c r="G65" s="464"/>
      <c r="H65" s="1"/>
      <c r="I65" s="1"/>
      <c r="J65" s="1"/>
      <c r="K65" s="1"/>
      <c r="L65" s="1"/>
    </row>
    <row r="66" spans="1:12" ht="15" customHeight="1" x14ac:dyDescent="0.25">
      <c r="A66" s="10"/>
      <c r="B66" s="10" t="s">
        <v>3545</v>
      </c>
      <c r="C66" s="37"/>
      <c r="D66" s="44" t="s">
        <v>3544</v>
      </c>
      <c r="E66" s="82"/>
      <c r="F66" s="232">
        <f>SUM(E59:E65)</f>
        <v>0</v>
      </c>
      <c r="G66" s="464"/>
      <c r="H66" s="1"/>
      <c r="I66" s="1"/>
      <c r="J66" s="1"/>
      <c r="K66" s="1"/>
      <c r="L66" s="1"/>
    </row>
    <row r="67" spans="1:12" ht="15" customHeight="1" x14ac:dyDescent="0.25">
      <c r="A67" s="69"/>
      <c r="B67" s="186"/>
      <c r="C67" s="37"/>
      <c r="D67" s="40"/>
      <c r="E67" s="82"/>
      <c r="F67" s="81"/>
      <c r="G67" s="464"/>
      <c r="H67" s="1"/>
      <c r="I67" s="1"/>
      <c r="J67" s="1"/>
      <c r="K67" s="1"/>
      <c r="L67" s="1"/>
    </row>
    <row r="68" spans="1:12" ht="15" customHeight="1" x14ac:dyDescent="0.25">
      <c r="A68" s="168" t="str">
        <f>A59</f>
        <v>28 Feb</v>
      </c>
      <c r="B68" s="187" t="s">
        <v>5563</v>
      </c>
      <c r="C68" s="37" t="s">
        <v>3540</v>
      </c>
      <c r="D68" s="40"/>
      <c r="E68" s="82"/>
      <c r="F68" s="81"/>
      <c r="G68" s="464"/>
      <c r="H68" s="1"/>
      <c r="I68" s="1"/>
      <c r="J68" s="1"/>
      <c r="K68" s="1"/>
      <c r="L68" s="1"/>
    </row>
    <row r="69" spans="1:12" ht="15" customHeight="1" x14ac:dyDescent="0.25">
      <c r="A69" s="10"/>
      <c r="B69" s="187" t="s">
        <v>5563</v>
      </c>
      <c r="C69" s="37" t="s">
        <v>3541</v>
      </c>
      <c r="D69" s="40"/>
      <c r="E69" s="82"/>
      <c r="F69" s="81"/>
      <c r="G69" s="464"/>
      <c r="H69" s="1"/>
      <c r="I69" s="1"/>
      <c r="J69" s="1"/>
      <c r="K69" s="1"/>
      <c r="L69" s="1"/>
    </row>
    <row r="70" spans="1:12" ht="15" customHeight="1" x14ac:dyDescent="0.25">
      <c r="A70" s="10"/>
      <c r="B70" s="187" t="s">
        <v>5563</v>
      </c>
      <c r="C70" s="37" t="s">
        <v>3542</v>
      </c>
      <c r="D70" s="40"/>
      <c r="E70" s="82"/>
      <c r="F70" s="81"/>
      <c r="G70" s="464"/>
      <c r="H70" s="1"/>
      <c r="I70" s="1"/>
      <c r="J70" s="1"/>
      <c r="K70" s="1"/>
      <c r="L70" s="1"/>
    </row>
    <row r="71" spans="1:12" ht="15" customHeight="1" x14ac:dyDescent="0.25">
      <c r="A71" s="10"/>
      <c r="B71" s="187" t="s">
        <v>5563</v>
      </c>
      <c r="C71" s="37" t="s">
        <v>3778</v>
      </c>
      <c r="D71" s="40"/>
      <c r="E71" s="82"/>
      <c r="F71" s="81"/>
      <c r="G71" s="464"/>
      <c r="H71" s="1"/>
      <c r="I71" s="1"/>
      <c r="J71" s="1"/>
      <c r="K71" s="1"/>
      <c r="L71" s="1"/>
    </row>
    <row r="72" spans="1:12" x14ac:dyDescent="0.25">
      <c r="A72" s="69"/>
      <c r="B72" s="186" t="s">
        <v>3353</v>
      </c>
      <c r="C72" s="37"/>
      <c r="D72" s="40" t="s">
        <v>61</v>
      </c>
      <c r="E72" s="82"/>
      <c r="F72" s="81">
        <f>SUM(E68:E71)</f>
        <v>0</v>
      </c>
      <c r="G72" s="464"/>
    </row>
    <row r="73" spans="1:12" x14ac:dyDescent="0.25">
      <c r="A73" s="10"/>
      <c r="B73" s="185"/>
      <c r="C73" s="37"/>
      <c r="D73" s="40"/>
      <c r="E73" s="82"/>
      <c r="F73" s="81"/>
      <c r="G73" s="464"/>
    </row>
    <row r="74" spans="1:12" x14ac:dyDescent="0.25">
      <c r="A74" s="168" t="str">
        <f>A68</f>
        <v>28 Feb</v>
      </c>
      <c r="B74" s="187" t="s">
        <v>5563</v>
      </c>
      <c r="C74" s="37" t="s">
        <v>3540</v>
      </c>
      <c r="D74" s="40"/>
      <c r="E74" s="82"/>
      <c r="F74" s="81"/>
      <c r="G74" s="464"/>
    </row>
    <row r="75" spans="1:12" x14ac:dyDescent="0.25">
      <c r="A75" s="10"/>
      <c r="B75" s="187" t="s">
        <v>5563</v>
      </c>
      <c r="C75" s="37" t="s">
        <v>3541</v>
      </c>
      <c r="D75" s="40"/>
      <c r="E75" s="82"/>
      <c r="F75" s="81"/>
      <c r="G75" s="464"/>
    </row>
    <row r="76" spans="1:12" x14ac:dyDescent="0.25">
      <c r="A76" s="10"/>
      <c r="B76" s="187" t="s">
        <v>5563</v>
      </c>
      <c r="C76" s="37" t="s">
        <v>3542</v>
      </c>
      <c r="D76" s="40"/>
      <c r="E76" s="82"/>
      <c r="F76" s="81"/>
      <c r="G76" s="464"/>
    </row>
    <row r="77" spans="1:12" x14ac:dyDescent="0.25">
      <c r="A77" s="10"/>
      <c r="B77" s="187" t="s">
        <v>5563</v>
      </c>
      <c r="C77" s="37" t="s">
        <v>3778</v>
      </c>
      <c r="D77" s="40"/>
      <c r="E77" s="82"/>
      <c r="F77" s="81"/>
      <c r="G77" s="464"/>
    </row>
    <row r="78" spans="1:12" x14ac:dyDescent="0.25">
      <c r="A78" s="69"/>
      <c r="B78" s="186" t="s">
        <v>3353</v>
      </c>
      <c r="C78" s="37"/>
      <c r="D78" s="40" t="s">
        <v>3680</v>
      </c>
      <c r="E78" s="82"/>
      <c r="F78" s="81">
        <f>SUM(E74:E77)</f>
        <v>0</v>
      </c>
    </row>
    <row r="79" spans="1:12" x14ac:dyDescent="0.25">
      <c r="A79" s="10"/>
      <c r="B79" s="185"/>
      <c r="C79" s="37"/>
      <c r="D79" s="40"/>
      <c r="E79" s="82"/>
      <c r="F79" s="81"/>
    </row>
    <row r="80" spans="1:12" x14ac:dyDescent="0.25">
      <c r="A80" s="168" t="str">
        <f>A74</f>
        <v>28 Feb</v>
      </c>
      <c r="B80" s="187" t="s">
        <v>5563</v>
      </c>
      <c r="C80" s="37" t="s">
        <v>3540</v>
      </c>
      <c r="D80" s="40"/>
      <c r="E80" s="82"/>
      <c r="F80" s="81"/>
    </row>
    <row r="81" spans="1:6" x14ac:dyDescent="0.25">
      <c r="A81" s="10"/>
      <c r="B81" s="187" t="s">
        <v>5563</v>
      </c>
      <c r="C81" s="37" t="s">
        <v>3541</v>
      </c>
      <c r="D81" s="40"/>
      <c r="E81" s="82"/>
      <c r="F81" s="81"/>
    </row>
    <row r="82" spans="1:6" x14ac:dyDescent="0.25">
      <c r="A82" s="10"/>
      <c r="B82" s="187" t="s">
        <v>5563</v>
      </c>
      <c r="C82" s="37" t="s">
        <v>3542</v>
      </c>
      <c r="D82" s="40"/>
      <c r="E82" s="82"/>
      <c r="F82" s="81"/>
    </row>
    <row r="83" spans="1:6" x14ac:dyDescent="0.25">
      <c r="A83" s="10"/>
      <c r="B83" s="187" t="s">
        <v>5563</v>
      </c>
      <c r="C83" s="37" t="s">
        <v>3778</v>
      </c>
      <c r="D83" s="40"/>
      <c r="E83" s="82"/>
      <c r="F83" s="81"/>
    </row>
    <row r="84" spans="1:6" x14ac:dyDescent="0.25">
      <c r="A84" s="69"/>
      <c r="B84" s="186" t="s">
        <v>3353</v>
      </c>
      <c r="C84" s="37"/>
      <c r="D84" s="40" t="s">
        <v>3681</v>
      </c>
      <c r="E84" s="82"/>
      <c r="F84" s="81">
        <f>SUM(E80:E83)</f>
        <v>0</v>
      </c>
    </row>
    <row r="85" spans="1:6" x14ac:dyDescent="0.25">
      <c r="A85" s="10"/>
      <c r="B85" s="185"/>
      <c r="C85" s="37"/>
      <c r="D85" s="40"/>
      <c r="E85" s="82"/>
      <c r="F85" s="81"/>
    </row>
    <row r="86" spans="1:6" x14ac:dyDescent="0.25">
      <c r="A86" s="10" t="str">
        <f>A68</f>
        <v>28 Feb</v>
      </c>
      <c r="B86" s="185" t="s">
        <v>3337</v>
      </c>
      <c r="C86" s="37" t="s">
        <v>3546</v>
      </c>
      <c r="D86" s="40"/>
      <c r="E86" s="82"/>
      <c r="F86" s="81"/>
    </row>
    <row r="87" spans="1:6" x14ac:dyDescent="0.25">
      <c r="A87" s="10"/>
      <c r="B87" s="185" t="s">
        <v>3336</v>
      </c>
      <c r="C87" s="37"/>
      <c r="D87" s="40" t="s">
        <v>3335</v>
      </c>
      <c r="E87" s="82"/>
      <c r="F87" s="81">
        <f>E86</f>
        <v>0</v>
      </c>
    </row>
    <row r="88" spans="1:6" x14ac:dyDescent="0.25">
      <c r="A88" s="10"/>
      <c r="B88" s="185"/>
      <c r="C88" s="37"/>
      <c r="D88" s="40"/>
      <c r="E88" s="82"/>
      <c r="F88" s="81"/>
    </row>
    <row r="89" spans="1:6" x14ac:dyDescent="0.25">
      <c r="A89" s="10"/>
      <c r="B89" s="19"/>
      <c r="C89" s="214"/>
      <c r="D89" s="40"/>
      <c r="E89" s="82"/>
      <c r="F89" s="104"/>
    </row>
    <row r="90" spans="1:6" ht="15.75" thickBot="1" x14ac:dyDescent="0.3">
      <c r="A90" s="655"/>
      <c r="B90" s="655"/>
      <c r="C90" s="655"/>
      <c r="D90" s="655"/>
      <c r="E90" s="105">
        <f>SUM(E58:E88)</f>
        <v>0</v>
      </c>
      <c r="F90" s="106">
        <f>SUM(F58:F88)</f>
        <v>0</v>
      </c>
    </row>
    <row r="91" spans="1:6" x14ac:dyDescent="0.25">
      <c r="A91" s="96"/>
      <c r="B91" s="96"/>
      <c r="C91" s="96"/>
      <c r="D91" s="96"/>
      <c r="E91" s="97"/>
      <c r="F91" s="97"/>
    </row>
    <row r="92" spans="1:6" x14ac:dyDescent="0.25">
      <c r="A92" s="96"/>
      <c r="B92" s="96"/>
      <c r="C92" s="96"/>
      <c r="D92" s="96"/>
      <c r="E92" s="97"/>
      <c r="F92" s="97"/>
    </row>
    <row r="93" spans="1:6" x14ac:dyDescent="0.25">
      <c r="A93" s="96"/>
      <c r="B93" s="96"/>
      <c r="C93" s="96"/>
      <c r="D93" s="96"/>
      <c r="E93" s="97"/>
      <c r="F93" s="97"/>
    </row>
    <row r="94" spans="1:6" x14ac:dyDescent="0.25">
      <c r="A94" s="96"/>
      <c r="B94" s="96"/>
      <c r="C94" s="96"/>
      <c r="D94" s="96"/>
      <c r="E94" s="97"/>
      <c r="F94" s="97"/>
    </row>
    <row r="95" spans="1:6" x14ac:dyDescent="0.25">
      <c r="A95" s="96"/>
      <c r="B95" s="96"/>
      <c r="C95" s="96"/>
      <c r="D95" s="96"/>
      <c r="E95" s="97"/>
      <c r="F95" s="97"/>
    </row>
    <row r="96" spans="1:6" x14ac:dyDescent="0.25">
      <c r="A96" s="96"/>
      <c r="B96" s="96"/>
      <c r="C96" s="96"/>
      <c r="D96" s="96"/>
      <c r="E96" s="97"/>
      <c r="F96" s="97"/>
    </row>
    <row r="97" spans="1:6" x14ac:dyDescent="0.25">
      <c r="A97" s="96"/>
      <c r="B97" s="96"/>
      <c r="C97" s="96"/>
      <c r="D97" s="96"/>
      <c r="E97" s="97"/>
      <c r="F97" s="97"/>
    </row>
    <row r="101" spans="1:6" x14ac:dyDescent="0.25">
      <c r="A101" s="50" t="s">
        <v>0</v>
      </c>
      <c r="B101" s="50"/>
      <c r="C101" s="50"/>
      <c r="D101" s="9"/>
      <c r="E101" s="84"/>
      <c r="F101" s="75"/>
    </row>
    <row r="102" spans="1:6" x14ac:dyDescent="0.25">
      <c r="A102" s="50" t="s">
        <v>1</v>
      </c>
      <c r="B102" s="50"/>
      <c r="C102" s="50"/>
      <c r="D102" s="9"/>
      <c r="E102" s="84"/>
      <c r="F102" s="75"/>
    </row>
    <row r="103" spans="1:6" x14ac:dyDescent="0.25">
      <c r="A103" s="50" t="s">
        <v>16</v>
      </c>
      <c r="B103" s="50"/>
      <c r="C103" s="50"/>
      <c r="D103" s="9"/>
      <c r="E103" s="84"/>
      <c r="F103" s="75"/>
    </row>
    <row r="104" spans="1:6" x14ac:dyDescent="0.25">
      <c r="A104" s="643" t="s">
        <v>3547</v>
      </c>
      <c r="B104" s="643"/>
      <c r="C104" s="643"/>
      <c r="D104" s="643"/>
      <c r="E104" s="643"/>
      <c r="F104" s="643"/>
    </row>
    <row r="105" spans="1:6" x14ac:dyDescent="0.25">
      <c r="A105" s="643" t="s">
        <v>3564</v>
      </c>
      <c r="B105" s="643"/>
      <c r="C105" s="643"/>
      <c r="D105" s="643"/>
      <c r="E105" s="643"/>
      <c r="F105" s="643"/>
    </row>
    <row r="106" spans="1:6" ht="15.75" thickBot="1" x14ac:dyDescent="0.3">
      <c r="A106" s="1"/>
      <c r="B106" s="1"/>
      <c r="C106" s="1"/>
      <c r="D106" s="1"/>
      <c r="E106" s="85"/>
      <c r="F106" s="76"/>
    </row>
    <row r="107" spans="1:6" ht="22.5" x14ac:dyDescent="0.25">
      <c r="A107" s="53" t="s">
        <v>3</v>
      </c>
      <c r="B107" s="184" t="s">
        <v>3278</v>
      </c>
      <c r="C107" s="661" t="s">
        <v>5</v>
      </c>
      <c r="D107" s="661"/>
      <c r="E107" s="86" t="s">
        <v>57</v>
      </c>
      <c r="F107" s="77" t="s">
        <v>58</v>
      </c>
    </row>
    <row r="108" spans="1:6" x14ac:dyDescent="0.25">
      <c r="A108" s="61"/>
      <c r="B108" s="91"/>
      <c r="C108" s="188"/>
      <c r="D108" s="165"/>
      <c r="E108" s="87"/>
      <c r="F108" s="78"/>
    </row>
    <row r="109" spans="1:6" x14ac:dyDescent="0.25">
      <c r="A109" s="61" t="s">
        <v>3563</v>
      </c>
      <c r="B109" s="10" t="s">
        <v>3279</v>
      </c>
      <c r="C109" s="43" t="s">
        <v>3281</v>
      </c>
      <c r="D109" s="40"/>
      <c r="E109" s="82"/>
      <c r="F109" s="81"/>
    </row>
    <row r="110" spans="1:6" x14ac:dyDescent="0.25">
      <c r="A110" s="168"/>
      <c r="B110" s="10" t="s">
        <v>3279</v>
      </c>
      <c r="C110" s="43" t="s">
        <v>3671</v>
      </c>
      <c r="D110" s="40"/>
      <c r="E110" s="82"/>
      <c r="F110" s="81"/>
    </row>
    <row r="111" spans="1:6" x14ac:dyDescent="0.25">
      <c r="A111" s="69"/>
      <c r="B111" s="10" t="s">
        <v>3279</v>
      </c>
      <c r="C111" s="43" t="s">
        <v>3672</v>
      </c>
      <c r="D111" s="40"/>
      <c r="E111" s="82"/>
      <c r="F111" s="81"/>
    </row>
    <row r="112" spans="1:6" x14ac:dyDescent="0.25">
      <c r="A112" s="69"/>
      <c r="B112" s="10" t="s">
        <v>3280</v>
      </c>
      <c r="C112" s="43" t="s">
        <v>5653</v>
      </c>
      <c r="D112" s="40"/>
      <c r="E112" s="82"/>
      <c r="F112" s="81"/>
    </row>
    <row r="113" spans="1:8" x14ac:dyDescent="0.25">
      <c r="A113" s="69"/>
      <c r="B113" s="10" t="s">
        <v>3280</v>
      </c>
      <c r="C113" s="43" t="s">
        <v>5648</v>
      </c>
      <c r="D113" s="40"/>
      <c r="E113" s="82"/>
      <c r="F113" s="81"/>
    </row>
    <row r="114" spans="1:8" x14ac:dyDescent="0.25">
      <c r="A114" s="69"/>
      <c r="B114" s="10" t="s">
        <v>3280</v>
      </c>
      <c r="C114" s="43" t="s">
        <v>4135</v>
      </c>
      <c r="D114" s="40"/>
      <c r="E114" s="82"/>
      <c r="F114" s="81"/>
    </row>
    <row r="115" spans="1:8" x14ac:dyDescent="0.25">
      <c r="A115" s="69"/>
      <c r="B115" s="10" t="s">
        <v>3981</v>
      </c>
      <c r="C115" s="51" t="s">
        <v>5654</v>
      </c>
      <c r="D115" s="40"/>
      <c r="E115" s="82"/>
      <c r="F115" s="81"/>
    </row>
    <row r="116" spans="1:8" x14ac:dyDescent="0.25">
      <c r="A116" s="10"/>
      <c r="B116" s="10" t="s">
        <v>3545</v>
      </c>
      <c r="C116" s="37"/>
      <c r="D116" s="44" t="s">
        <v>3544</v>
      </c>
      <c r="E116" s="82"/>
      <c r="F116" s="232">
        <f>SUM(E109:E115)</f>
        <v>0</v>
      </c>
      <c r="H116" s="89"/>
    </row>
    <row r="117" spans="1:8" x14ac:dyDescent="0.25">
      <c r="A117" s="69"/>
      <c r="B117" s="186"/>
      <c r="C117" s="37"/>
      <c r="D117" s="40"/>
      <c r="E117" s="82"/>
      <c r="F117" s="81"/>
    </row>
    <row r="118" spans="1:8" x14ac:dyDescent="0.25">
      <c r="A118" s="168" t="str">
        <f>A109</f>
        <v>31 Mar</v>
      </c>
      <c r="B118" s="187" t="s">
        <v>5563</v>
      </c>
      <c r="C118" s="37" t="s">
        <v>3540</v>
      </c>
      <c r="D118" s="40"/>
      <c r="E118" s="82"/>
      <c r="F118" s="81"/>
    </row>
    <row r="119" spans="1:8" x14ac:dyDescent="0.25">
      <c r="A119" s="10"/>
      <c r="B119" s="187" t="s">
        <v>5563</v>
      </c>
      <c r="C119" s="37" t="s">
        <v>3541</v>
      </c>
      <c r="D119" s="40"/>
      <c r="E119" s="82"/>
      <c r="F119" s="81"/>
    </row>
    <row r="120" spans="1:8" x14ac:dyDescent="0.25">
      <c r="A120" s="10"/>
      <c r="B120" s="187" t="s">
        <v>5563</v>
      </c>
      <c r="C120" s="37" t="s">
        <v>3542</v>
      </c>
      <c r="D120" s="40"/>
      <c r="E120" s="82"/>
      <c r="F120" s="81"/>
    </row>
    <row r="121" spans="1:8" x14ac:dyDescent="0.25">
      <c r="A121" s="10"/>
      <c r="B121" s="187" t="s">
        <v>5563</v>
      </c>
      <c r="C121" s="37" t="s">
        <v>3778</v>
      </c>
      <c r="D121" s="40"/>
      <c r="E121" s="82"/>
      <c r="F121" s="81"/>
    </row>
    <row r="122" spans="1:8" x14ac:dyDescent="0.25">
      <c r="A122" s="69"/>
      <c r="B122" s="186" t="s">
        <v>3353</v>
      </c>
      <c r="C122" s="37"/>
      <c r="D122" s="40" t="s">
        <v>61</v>
      </c>
      <c r="E122" s="82"/>
      <c r="F122" s="81">
        <f>SUM(E118:E121)</f>
        <v>0</v>
      </c>
    </row>
    <row r="123" spans="1:8" x14ac:dyDescent="0.25">
      <c r="A123" s="10"/>
      <c r="B123" s="185"/>
      <c r="C123" s="37"/>
      <c r="D123" s="40"/>
      <c r="E123" s="82"/>
      <c r="F123" s="81"/>
    </row>
    <row r="124" spans="1:8" x14ac:dyDescent="0.25">
      <c r="A124" s="168" t="str">
        <f>A118</f>
        <v>31 Mar</v>
      </c>
      <c r="B124" s="187" t="s">
        <v>5563</v>
      </c>
      <c r="C124" s="37" t="s">
        <v>3540</v>
      </c>
      <c r="D124" s="40"/>
      <c r="E124" s="82"/>
      <c r="F124" s="81"/>
    </row>
    <row r="125" spans="1:8" x14ac:dyDescent="0.25">
      <c r="A125" s="10"/>
      <c r="B125" s="187" t="s">
        <v>5563</v>
      </c>
      <c r="C125" s="37" t="s">
        <v>3541</v>
      </c>
      <c r="D125" s="40"/>
      <c r="E125" s="82"/>
      <c r="F125" s="81"/>
    </row>
    <row r="126" spans="1:8" x14ac:dyDescent="0.25">
      <c r="A126" s="10"/>
      <c r="B126" s="187" t="s">
        <v>5563</v>
      </c>
      <c r="C126" s="37" t="s">
        <v>3542</v>
      </c>
      <c r="D126" s="40"/>
      <c r="E126" s="82"/>
      <c r="F126" s="81"/>
    </row>
    <row r="127" spans="1:8" x14ac:dyDescent="0.25">
      <c r="A127" s="10"/>
      <c r="B127" s="187" t="s">
        <v>5563</v>
      </c>
      <c r="C127" s="37" t="s">
        <v>3778</v>
      </c>
      <c r="D127" s="40"/>
      <c r="E127" s="82"/>
      <c r="F127" s="81"/>
    </row>
    <row r="128" spans="1:8" x14ac:dyDescent="0.25">
      <c r="A128" s="69"/>
      <c r="B128" s="186" t="s">
        <v>3353</v>
      </c>
      <c r="C128" s="37"/>
      <c r="D128" s="40" t="s">
        <v>3680</v>
      </c>
      <c r="E128" s="82"/>
      <c r="F128" s="81">
        <f>SUM(E124:E127)</f>
        <v>0</v>
      </c>
    </row>
    <row r="129" spans="1:6" x14ac:dyDescent="0.25">
      <c r="A129" s="10"/>
      <c r="B129" s="185"/>
      <c r="C129" s="37"/>
      <c r="D129" s="40"/>
      <c r="E129" s="82"/>
      <c r="F129" s="81"/>
    </row>
    <row r="130" spans="1:6" x14ac:dyDescent="0.25">
      <c r="A130" s="168" t="str">
        <f>A124</f>
        <v>31 Mar</v>
      </c>
      <c r="B130" s="187" t="s">
        <v>5563</v>
      </c>
      <c r="C130" s="37" t="s">
        <v>3540</v>
      </c>
      <c r="D130" s="40"/>
      <c r="E130" s="82"/>
      <c r="F130" s="81"/>
    </row>
    <row r="131" spans="1:6" x14ac:dyDescent="0.25">
      <c r="A131" s="10"/>
      <c r="B131" s="187" t="s">
        <v>5563</v>
      </c>
      <c r="C131" s="37" t="s">
        <v>3541</v>
      </c>
      <c r="D131" s="40"/>
      <c r="E131" s="82"/>
      <c r="F131" s="81"/>
    </row>
    <row r="132" spans="1:6" x14ac:dyDescent="0.25">
      <c r="A132" s="10"/>
      <c r="B132" s="187" t="s">
        <v>5563</v>
      </c>
      <c r="C132" s="37" t="s">
        <v>3542</v>
      </c>
      <c r="D132" s="40"/>
      <c r="E132" s="82"/>
      <c r="F132" s="81"/>
    </row>
    <row r="133" spans="1:6" x14ac:dyDescent="0.25">
      <c r="A133" s="10"/>
      <c r="B133" s="187" t="s">
        <v>5563</v>
      </c>
      <c r="C133" s="37" t="s">
        <v>3778</v>
      </c>
      <c r="D133" s="40"/>
      <c r="E133" s="82"/>
      <c r="F133" s="81"/>
    </row>
    <row r="134" spans="1:6" x14ac:dyDescent="0.25">
      <c r="A134" s="69"/>
      <c r="B134" s="186" t="s">
        <v>3353</v>
      </c>
      <c r="C134" s="37"/>
      <c r="D134" s="40" t="s">
        <v>3681</v>
      </c>
      <c r="E134" s="82"/>
      <c r="F134" s="81">
        <f>SUM(E130:E133)</f>
        <v>0</v>
      </c>
    </row>
    <row r="135" spans="1:6" x14ac:dyDescent="0.25">
      <c r="A135" s="10"/>
      <c r="B135" s="185"/>
      <c r="C135" s="37"/>
      <c r="D135" s="40"/>
      <c r="E135" s="82"/>
      <c r="F135" s="81"/>
    </row>
    <row r="136" spans="1:6" x14ac:dyDescent="0.25">
      <c r="A136" s="10" t="str">
        <f>A118</f>
        <v>31 Mar</v>
      </c>
      <c r="B136" s="185" t="s">
        <v>3337</v>
      </c>
      <c r="C136" s="37" t="s">
        <v>3546</v>
      </c>
      <c r="D136" s="40"/>
      <c r="E136" s="82"/>
      <c r="F136" s="81"/>
    </row>
    <row r="137" spans="1:6" x14ac:dyDescent="0.25">
      <c r="A137" s="10"/>
      <c r="B137" s="185" t="s">
        <v>3336</v>
      </c>
      <c r="C137" s="37"/>
      <c r="D137" s="40" t="s">
        <v>3335</v>
      </c>
      <c r="E137" s="82"/>
      <c r="F137" s="81">
        <f>E136</f>
        <v>0</v>
      </c>
    </row>
    <row r="138" spans="1:6" x14ac:dyDescent="0.25">
      <c r="A138" s="10"/>
      <c r="B138" s="185"/>
      <c r="C138" s="37"/>
      <c r="D138" s="40"/>
      <c r="E138" s="82"/>
      <c r="F138" s="81"/>
    </row>
    <row r="139" spans="1:6" x14ac:dyDescent="0.25">
      <c r="A139" s="10"/>
      <c r="B139" s="19"/>
      <c r="C139" s="214"/>
      <c r="D139" s="40"/>
      <c r="E139" s="82"/>
      <c r="F139" s="104"/>
    </row>
    <row r="140" spans="1:6" ht="15.75" thickBot="1" x14ac:dyDescent="0.3">
      <c r="A140" s="655"/>
      <c r="B140" s="655"/>
      <c r="C140" s="655"/>
      <c r="D140" s="655"/>
      <c r="E140" s="105">
        <f>SUM(E108:E138)</f>
        <v>0</v>
      </c>
      <c r="F140" s="106">
        <f>SUM(F108:F138)</f>
        <v>0</v>
      </c>
    </row>
    <row r="141" spans="1:6" x14ac:dyDescent="0.25">
      <c r="A141" s="96"/>
      <c r="B141" s="96"/>
      <c r="C141" s="96"/>
      <c r="D141" s="96"/>
      <c r="E141" s="97"/>
      <c r="F141" s="97"/>
    </row>
    <row r="142" spans="1:6" x14ac:dyDescent="0.25">
      <c r="A142" s="96"/>
      <c r="B142" s="96"/>
      <c r="C142" s="96"/>
      <c r="D142" s="96"/>
      <c r="E142" s="97"/>
      <c r="F142" s="97"/>
    </row>
    <row r="143" spans="1:6" x14ac:dyDescent="0.25">
      <c r="A143" s="96"/>
      <c r="B143" s="96"/>
      <c r="C143" s="96"/>
      <c r="D143" s="96"/>
      <c r="E143" s="97"/>
      <c r="F143" s="97"/>
    </row>
    <row r="144" spans="1:6" x14ac:dyDescent="0.25">
      <c r="A144" s="96"/>
      <c r="B144" s="96"/>
      <c r="C144" s="96"/>
      <c r="D144" s="96"/>
      <c r="E144" s="97"/>
      <c r="F144" s="97"/>
    </row>
    <row r="145" spans="1:6" x14ac:dyDescent="0.25">
      <c r="A145" s="96"/>
      <c r="B145" s="96"/>
      <c r="C145" s="96"/>
      <c r="D145" s="96"/>
      <c r="E145" s="97"/>
      <c r="F145" s="97"/>
    </row>
    <row r="146" spans="1:6" x14ac:dyDescent="0.25">
      <c r="A146" s="96"/>
      <c r="B146" s="96"/>
      <c r="C146" s="96"/>
      <c r="D146" s="96"/>
      <c r="E146" s="97"/>
      <c r="F146" s="97"/>
    </row>
    <row r="147" spans="1:6" x14ac:dyDescent="0.25">
      <c r="A147" s="96"/>
      <c r="B147" s="96"/>
      <c r="C147" s="96"/>
      <c r="D147" s="96"/>
      <c r="E147" s="97"/>
      <c r="F147" s="97"/>
    </row>
    <row r="148" spans="1:6" x14ac:dyDescent="0.25">
      <c r="A148" s="96"/>
      <c r="B148" s="96"/>
      <c r="C148" s="96"/>
      <c r="D148" s="96"/>
      <c r="E148" s="97"/>
      <c r="F148" s="97"/>
    </row>
    <row r="149" spans="1:6" x14ac:dyDescent="0.25">
      <c r="A149" s="96"/>
      <c r="B149" s="96"/>
      <c r="C149" s="96"/>
      <c r="D149" s="96"/>
      <c r="E149" s="97"/>
      <c r="F149" s="97"/>
    </row>
    <row r="150" spans="1:6" x14ac:dyDescent="0.25">
      <c r="A150" s="96"/>
      <c r="B150" s="96"/>
      <c r="C150" s="96"/>
      <c r="D150" s="96"/>
      <c r="E150" s="97"/>
      <c r="F150" s="97"/>
    </row>
    <row r="151" spans="1:6" x14ac:dyDescent="0.25">
      <c r="A151" s="50" t="s">
        <v>0</v>
      </c>
      <c r="B151" s="50"/>
      <c r="C151" s="50"/>
      <c r="D151" s="9"/>
      <c r="E151" s="84"/>
      <c r="F151" s="75"/>
    </row>
    <row r="152" spans="1:6" x14ac:dyDescent="0.25">
      <c r="A152" s="50" t="s">
        <v>1</v>
      </c>
      <c r="B152" s="50"/>
      <c r="C152" s="50"/>
      <c r="D152" s="9"/>
      <c r="E152" s="84"/>
      <c r="F152" s="75"/>
    </row>
    <row r="153" spans="1:6" x14ac:dyDescent="0.25">
      <c r="A153" s="50" t="s">
        <v>16</v>
      </c>
      <c r="B153" s="50"/>
      <c r="C153" s="50"/>
      <c r="D153" s="9"/>
      <c r="E153" s="84"/>
      <c r="F153" s="75"/>
    </row>
    <row r="154" spans="1:6" x14ac:dyDescent="0.25">
      <c r="A154" s="643" t="s">
        <v>3547</v>
      </c>
      <c r="B154" s="643"/>
      <c r="C154" s="643"/>
      <c r="D154" s="643"/>
      <c r="E154" s="643"/>
      <c r="F154" s="643"/>
    </row>
    <row r="155" spans="1:6" x14ac:dyDescent="0.25">
      <c r="A155" s="643" t="s">
        <v>3808</v>
      </c>
      <c r="B155" s="643"/>
      <c r="C155" s="643"/>
      <c r="D155" s="643"/>
      <c r="E155" s="643"/>
      <c r="F155" s="643"/>
    </row>
    <row r="156" spans="1:6" ht="15.75" thickBot="1" x14ac:dyDescent="0.3">
      <c r="A156" s="1"/>
      <c r="B156" s="1"/>
      <c r="C156" s="1"/>
      <c r="D156" s="1"/>
      <c r="E156" s="85"/>
      <c r="F156" s="76"/>
    </row>
    <row r="157" spans="1:6" ht="22.5" x14ac:dyDescent="0.25">
      <c r="A157" s="53" t="s">
        <v>3</v>
      </c>
      <c r="B157" s="184" t="s">
        <v>3278</v>
      </c>
      <c r="C157" s="661" t="s">
        <v>5</v>
      </c>
      <c r="D157" s="661"/>
      <c r="E157" s="86" t="s">
        <v>57</v>
      </c>
      <c r="F157" s="77" t="s">
        <v>58</v>
      </c>
    </row>
    <row r="158" spans="1:6" x14ac:dyDescent="0.25">
      <c r="A158" s="158"/>
      <c r="B158" s="91"/>
      <c r="C158" s="65"/>
      <c r="D158" s="63"/>
      <c r="E158" s="87"/>
      <c r="F158" s="181"/>
    </row>
    <row r="159" spans="1:6" x14ac:dyDescent="0.25">
      <c r="A159" s="92" t="s">
        <v>3567</v>
      </c>
      <c r="B159" s="10" t="s">
        <v>3279</v>
      </c>
      <c r="C159" s="43" t="s">
        <v>3281</v>
      </c>
      <c r="D159" s="40"/>
      <c r="E159" s="82"/>
      <c r="F159" s="81"/>
    </row>
    <row r="160" spans="1:6" x14ac:dyDescent="0.25">
      <c r="A160" s="363"/>
      <c r="B160" s="10" t="s">
        <v>3279</v>
      </c>
      <c r="C160" s="43" t="s">
        <v>3671</v>
      </c>
      <c r="D160" s="40"/>
      <c r="E160" s="82"/>
      <c r="F160" s="81"/>
    </row>
    <row r="161" spans="1:8" x14ac:dyDescent="0.25">
      <c r="A161" s="168"/>
      <c r="B161" s="10" t="s">
        <v>3279</v>
      </c>
      <c r="C161" s="43" t="s">
        <v>3672</v>
      </c>
      <c r="D161" s="40"/>
      <c r="E161" s="82"/>
      <c r="F161" s="81"/>
    </row>
    <row r="162" spans="1:8" x14ac:dyDescent="0.25">
      <c r="A162" s="69"/>
      <c r="B162" s="10" t="s">
        <v>3280</v>
      </c>
      <c r="C162" s="43" t="s">
        <v>5239</v>
      </c>
      <c r="D162" s="40"/>
      <c r="E162" s="82"/>
      <c r="F162" s="81"/>
    </row>
    <row r="163" spans="1:8" x14ac:dyDescent="0.25">
      <c r="A163" s="69"/>
      <c r="B163" s="10" t="s">
        <v>3280</v>
      </c>
      <c r="C163" s="43" t="s">
        <v>3782</v>
      </c>
      <c r="D163" s="40"/>
      <c r="E163" s="82"/>
      <c r="F163" s="81"/>
    </row>
    <row r="164" spans="1:8" x14ac:dyDescent="0.25">
      <c r="A164" s="69"/>
      <c r="B164" s="10" t="s">
        <v>3280</v>
      </c>
      <c r="C164" s="43" t="s">
        <v>5665</v>
      </c>
      <c r="D164" s="40"/>
      <c r="E164" s="82"/>
      <c r="F164" s="81"/>
    </row>
    <row r="165" spans="1:8" x14ac:dyDescent="0.25">
      <c r="A165" s="69"/>
      <c r="B165" s="10" t="s">
        <v>3981</v>
      </c>
      <c r="C165" s="51" t="s">
        <v>4835</v>
      </c>
      <c r="D165" s="40"/>
      <c r="E165" s="82"/>
      <c r="F165" s="81"/>
    </row>
    <row r="166" spans="1:8" x14ac:dyDescent="0.25">
      <c r="A166" s="69"/>
      <c r="B166" s="10" t="s">
        <v>3545</v>
      </c>
      <c r="C166" s="37"/>
      <c r="D166" s="44" t="s">
        <v>3544</v>
      </c>
      <c r="E166" s="82"/>
      <c r="F166" s="232">
        <f>SUM(E159:E165)</f>
        <v>0</v>
      </c>
      <c r="H166" s="506"/>
    </row>
    <row r="167" spans="1:8" x14ac:dyDescent="0.25">
      <c r="A167" s="10"/>
      <c r="B167" s="10"/>
      <c r="C167" s="37"/>
      <c r="D167" s="44"/>
      <c r="E167" s="82"/>
      <c r="F167" s="78"/>
    </row>
    <row r="168" spans="1:8" x14ac:dyDescent="0.25">
      <c r="A168" s="69"/>
      <c r="B168" s="186"/>
      <c r="C168" s="37"/>
      <c r="D168" s="40"/>
      <c r="E168" s="82"/>
      <c r="F168" s="78"/>
    </row>
    <row r="169" spans="1:8" x14ac:dyDescent="0.25">
      <c r="A169" s="168" t="str">
        <f>A159</f>
        <v>30 April</v>
      </c>
      <c r="B169" s="187" t="s">
        <v>5563</v>
      </c>
      <c r="C169" s="37" t="s">
        <v>3540</v>
      </c>
      <c r="D169" s="40"/>
      <c r="E169" s="82"/>
      <c r="F169" s="78"/>
    </row>
    <row r="170" spans="1:8" x14ac:dyDescent="0.25">
      <c r="A170" s="10"/>
      <c r="B170" s="187" t="s">
        <v>5563</v>
      </c>
      <c r="C170" s="37" t="s">
        <v>3541</v>
      </c>
      <c r="D170" s="40"/>
      <c r="E170" s="82"/>
      <c r="F170" s="78"/>
    </row>
    <row r="171" spans="1:8" x14ac:dyDescent="0.25">
      <c r="A171" s="10"/>
      <c r="B171" s="187" t="s">
        <v>5563</v>
      </c>
      <c r="C171" s="37" t="s">
        <v>3542</v>
      </c>
      <c r="D171" s="40"/>
      <c r="E171" s="82"/>
      <c r="F171" s="78"/>
    </row>
    <row r="172" spans="1:8" x14ac:dyDescent="0.25">
      <c r="A172" s="10"/>
      <c r="B172" s="187" t="s">
        <v>5563</v>
      </c>
      <c r="C172" s="37" t="s">
        <v>3778</v>
      </c>
      <c r="D172" s="40"/>
      <c r="E172" s="82"/>
      <c r="F172" s="78"/>
    </row>
    <row r="173" spans="1:8" x14ac:dyDescent="0.25">
      <c r="A173" s="69"/>
      <c r="B173" s="186" t="s">
        <v>3353</v>
      </c>
      <c r="C173" s="37"/>
      <c r="D173" s="40" t="s">
        <v>61</v>
      </c>
      <c r="E173" s="82"/>
      <c r="F173" s="78">
        <f>SUM(E169:E172)</f>
        <v>0</v>
      </c>
    </row>
    <row r="174" spans="1:8" x14ac:dyDescent="0.25">
      <c r="A174" s="10"/>
      <c r="B174" s="185"/>
      <c r="C174" s="37"/>
      <c r="D174" s="40"/>
      <c r="E174" s="82"/>
      <c r="F174" s="78"/>
    </row>
    <row r="175" spans="1:8" x14ac:dyDescent="0.25">
      <c r="A175" s="168" t="str">
        <f>A169</f>
        <v>30 April</v>
      </c>
      <c r="B175" s="187" t="s">
        <v>5563</v>
      </c>
      <c r="C175" s="37" t="s">
        <v>3540</v>
      </c>
      <c r="D175" s="40"/>
      <c r="E175" s="82"/>
      <c r="F175" s="78"/>
    </row>
    <row r="176" spans="1:8" x14ac:dyDescent="0.25">
      <c r="A176" s="10"/>
      <c r="B176" s="187" t="s">
        <v>5563</v>
      </c>
      <c r="C176" s="37" t="s">
        <v>3541</v>
      </c>
      <c r="D176" s="40"/>
      <c r="E176" s="82"/>
      <c r="F176" s="78"/>
    </row>
    <row r="177" spans="1:6" x14ac:dyDescent="0.25">
      <c r="A177" s="10"/>
      <c r="B177" s="187" t="s">
        <v>5563</v>
      </c>
      <c r="C177" s="37" t="s">
        <v>3542</v>
      </c>
      <c r="D177" s="40"/>
      <c r="E177" s="82"/>
      <c r="F177" s="78"/>
    </row>
    <row r="178" spans="1:6" x14ac:dyDescent="0.25">
      <c r="A178" s="10"/>
      <c r="B178" s="187" t="s">
        <v>5563</v>
      </c>
      <c r="C178" s="37" t="s">
        <v>3778</v>
      </c>
      <c r="D178" s="40"/>
      <c r="E178" s="82"/>
      <c r="F178" s="78"/>
    </row>
    <row r="179" spans="1:6" x14ac:dyDescent="0.25">
      <c r="A179" s="69"/>
      <c r="B179" s="186" t="s">
        <v>3353</v>
      </c>
      <c r="C179" s="37"/>
      <c r="D179" s="40" t="s">
        <v>3682</v>
      </c>
      <c r="E179" s="82"/>
      <c r="F179" s="78">
        <f>SUM(E175:E178)</f>
        <v>0</v>
      </c>
    </row>
    <row r="180" spans="1:6" x14ac:dyDescent="0.25">
      <c r="A180" s="10"/>
      <c r="B180" s="185"/>
      <c r="C180" s="37"/>
      <c r="D180" s="40"/>
      <c r="E180" s="82"/>
      <c r="F180" s="81"/>
    </row>
    <row r="181" spans="1:6" x14ac:dyDescent="0.25">
      <c r="A181" s="168" t="str">
        <f>A175</f>
        <v>30 April</v>
      </c>
      <c r="B181" s="187" t="s">
        <v>5563</v>
      </c>
      <c r="C181" s="37" t="s">
        <v>3540</v>
      </c>
      <c r="D181" s="40"/>
      <c r="E181" s="82"/>
      <c r="F181" s="81"/>
    </row>
    <row r="182" spans="1:6" x14ac:dyDescent="0.25">
      <c r="A182" s="10"/>
      <c r="B182" s="187" t="s">
        <v>5563</v>
      </c>
      <c r="C182" s="37" t="s">
        <v>3541</v>
      </c>
      <c r="D182" s="40"/>
      <c r="E182" s="82"/>
      <c r="F182" s="232"/>
    </row>
    <row r="183" spans="1:6" x14ac:dyDescent="0.25">
      <c r="A183" s="10"/>
      <c r="B183" s="187" t="s">
        <v>5563</v>
      </c>
      <c r="C183" s="37" t="s">
        <v>3542</v>
      </c>
      <c r="D183" s="40"/>
      <c r="E183" s="82"/>
      <c r="F183" s="81"/>
    </row>
    <row r="184" spans="1:6" x14ac:dyDescent="0.25">
      <c r="A184" s="10"/>
      <c r="B184" s="187" t="s">
        <v>5563</v>
      </c>
      <c r="C184" s="37" t="s">
        <v>3778</v>
      </c>
      <c r="D184" s="40"/>
      <c r="E184" s="82"/>
      <c r="F184" s="81"/>
    </row>
    <row r="185" spans="1:6" x14ac:dyDescent="0.25">
      <c r="A185" s="69"/>
      <c r="B185" s="186" t="s">
        <v>3353</v>
      </c>
      <c r="C185" s="37"/>
      <c r="D185" s="40" t="s">
        <v>3683</v>
      </c>
      <c r="E185" s="82"/>
      <c r="F185" s="78">
        <f>SUM(E181:E184)</f>
        <v>0</v>
      </c>
    </row>
    <row r="186" spans="1:6" x14ac:dyDescent="0.25">
      <c r="A186" s="10"/>
      <c r="B186" s="185"/>
      <c r="C186" s="37"/>
      <c r="D186" s="40"/>
      <c r="E186" s="82"/>
      <c r="F186" s="81"/>
    </row>
    <row r="187" spans="1:6" x14ac:dyDescent="0.25">
      <c r="A187" s="10" t="str">
        <f>A169</f>
        <v>30 April</v>
      </c>
      <c r="B187" s="185" t="s">
        <v>3337</v>
      </c>
      <c r="C187" s="37" t="s">
        <v>3546</v>
      </c>
      <c r="D187" s="40"/>
      <c r="E187" s="82"/>
      <c r="F187" s="81"/>
    </row>
    <row r="188" spans="1:6" x14ac:dyDescent="0.25">
      <c r="A188" s="10"/>
      <c r="B188" s="185" t="s">
        <v>3336</v>
      </c>
      <c r="C188" s="37"/>
      <c r="D188" s="40" t="s">
        <v>3335</v>
      </c>
      <c r="E188" s="82"/>
      <c r="F188" s="81">
        <f>E187</f>
        <v>0</v>
      </c>
    </row>
    <row r="189" spans="1:6" x14ac:dyDescent="0.25">
      <c r="A189" s="10"/>
      <c r="B189" s="185"/>
      <c r="C189" s="37"/>
      <c r="D189" s="40"/>
      <c r="E189" s="82"/>
      <c r="F189" s="81"/>
    </row>
    <row r="190" spans="1:6" x14ac:dyDescent="0.25">
      <c r="A190" s="10"/>
      <c r="B190" s="19"/>
      <c r="C190" s="214"/>
      <c r="D190" s="40"/>
      <c r="E190" s="82"/>
      <c r="F190" s="104"/>
    </row>
    <row r="191" spans="1:6" ht="15.75" thickBot="1" x14ac:dyDescent="0.3">
      <c r="A191" s="655"/>
      <c r="B191" s="655"/>
      <c r="C191" s="655"/>
      <c r="D191" s="655"/>
      <c r="E191" s="105">
        <f>SUM(E161:E189)</f>
        <v>0</v>
      </c>
      <c r="F191" s="106">
        <f>SUM(F161:F189)</f>
        <v>0</v>
      </c>
    </row>
    <row r="192" spans="1:6" x14ac:dyDescent="0.25">
      <c r="A192" s="96"/>
      <c r="B192" s="96"/>
      <c r="C192" s="96"/>
      <c r="D192" s="96"/>
      <c r="E192" s="97"/>
      <c r="F192" s="97"/>
    </row>
    <row r="193" spans="1:6" x14ac:dyDescent="0.25">
      <c r="A193" s="96"/>
      <c r="B193" s="96"/>
      <c r="C193" s="96"/>
      <c r="D193" s="96"/>
      <c r="E193" s="97"/>
      <c r="F193" s="97"/>
    </row>
    <row r="194" spans="1:6" x14ac:dyDescent="0.25">
      <c r="A194" s="96"/>
      <c r="B194" s="96"/>
      <c r="C194" s="96"/>
      <c r="D194" s="96"/>
      <c r="E194" s="97"/>
      <c r="F194" s="97"/>
    </row>
    <row r="207" spans="1:6" x14ac:dyDescent="0.25">
      <c r="A207" s="50" t="s">
        <v>0</v>
      </c>
      <c r="B207" s="50"/>
      <c r="C207" s="50"/>
      <c r="D207" s="9"/>
      <c r="E207" s="84"/>
      <c r="F207" s="75"/>
    </row>
    <row r="208" spans="1:6" x14ac:dyDescent="0.25">
      <c r="A208" s="50" t="s">
        <v>1</v>
      </c>
      <c r="B208" s="50"/>
      <c r="C208" s="50"/>
      <c r="D208" s="9"/>
      <c r="E208" s="84"/>
      <c r="F208" s="75"/>
    </row>
    <row r="209" spans="1:6" x14ac:dyDescent="0.25">
      <c r="A209" s="50" t="s">
        <v>16</v>
      </c>
      <c r="B209" s="50"/>
      <c r="C209" s="50"/>
      <c r="D209" s="9"/>
      <c r="E209" s="84"/>
      <c r="F209" s="75"/>
    </row>
    <row r="210" spans="1:6" x14ac:dyDescent="0.25">
      <c r="A210" s="643" t="s">
        <v>3547</v>
      </c>
      <c r="B210" s="643"/>
      <c r="C210" s="643"/>
      <c r="D210" s="643"/>
      <c r="E210" s="643"/>
      <c r="F210" s="643"/>
    </row>
    <row r="211" spans="1:6" x14ac:dyDescent="0.25">
      <c r="A211" s="643" t="s">
        <v>3574</v>
      </c>
      <c r="B211" s="643"/>
      <c r="C211" s="643"/>
      <c r="D211" s="643"/>
      <c r="E211" s="643"/>
      <c r="F211" s="643"/>
    </row>
    <row r="212" spans="1:6" ht="15.75" thickBot="1" x14ac:dyDescent="0.3">
      <c r="A212" s="1"/>
      <c r="B212" s="1"/>
      <c r="C212" s="1"/>
      <c r="D212" s="1"/>
      <c r="E212" s="85"/>
      <c r="F212" s="76"/>
    </row>
    <row r="213" spans="1:6" ht="22.5" x14ac:dyDescent="0.25">
      <c r="A213" s="53" t="s">
        <v>3</v>
      </c>
      <c r="B213" s="184" t="s">
        <v>3278</v>
      </c>
      <c r="C213" s="661" t="s">
        <v>5</v>
      </c>
      <c r="D213" s="661"/>
      <c r="E213" s="86" t="s">
        <v>57</v>
      </c>
      <c r="F213" s="77" t="s">
        <v>58</v>
      </c>
    </row>
    <row r="214" spans="1:6" x14ac:dyDescent="0.25">
      <c r="A214" s="56"/>
      <c r="B214" s="91"/>
      <c r="C214" s="65"/>
      <c r="D214" s="63"/>
      <c r="E214" s="87"/>
      <c r="F214" s="181"/>
    </row>
    <row r="215" spans="1:6" x14ac:dyDescent="0.25">
      <c r="A215" s="72" t="s">
        <v>3787</v>
      </c>
      <c r="B215" s="10" t="s">
        <v>3279</v>
      </c>
      <c r="C215" s="43" t="s">
        <v>3281</v>
      </c>
      <c r="D215" s="40"/>
      <c r="E215" s="82"/>
      <c r="F215" s="81"/>
    </row>
    <row r="216" spans="1:6" x14ac:dyDescent="0.25">
      <c r="A216" s="168" t="s">
        <v>3691</v>
      </c>
      <c r="B216" s="10" t="s">
        <v>3279</v>
      </c>
      <c r="C216" s="43" t="s">
        <v>3671</v>
      </c>
      <c r="D216" s="40"/>
      <c r="E216" s="82"/>
      <c r="F216" s="81"/>
    </row>
    <row r="217" spans="1:6" x14ac:dyDescent="0.25">
      <c r="A217" s="69"/>
      <c r="B217" s="10" t="s">
        <v>3279</v>
      </c>
      <c r="C217" s="43" t="s">
        <v>3672</v>
      </c>
      <c r="D217" s="40"/>
      <c r="E217" s="82"/>
      <c r="F217" s="81"/>
    </row>
    <row r="218" spans="1:6" x14ac:dyDescent="0.25">
      <c r="A218" s="69"/>
      <c r="B218" s="10" t="s">
        <v>3280</v>
      </c>
      <c r="C218" s="43" t="s">
        <v>4275</v>
      </c>
      <c r="D218" s="40"/>
      <c r="E218" s="82"/>
      <c r="F218" s="81"/>
    </row>
    <row r="219" spans="1:6" x14ac:dyDescent="0.25">
      <c r="A219" s="69"/>
      <c r="B219" s="10" t="s">
        <v>3280</v>
      </c>
      <c r="C219" s="43" t="s">
        <v>3782</v>
      </c>
      <c r="D219" s="40"/>
      <c r="E219" s="82"/>
      <c r="F219" s="81"/>
    </row>
    <row r="220" spans="1:6" x14ac:dyDescent="0.25">
      <c r="A220" s="69"/>
      <c r="B220" s="10" t="s">
        <v>3280</v>
      </c>
      <c r="C220" s="43" t="s">
        <v>4276</v>
      </c>
      <c r="D220" s="40"/>
      <c r="E220" s="82"/>
      <c r="F220" s="81"/>
    </row>
    <row r="221" spans="1:6" x14ac:dyDescent="0.25">
      <c r="A221" s="69"/>
      <c r="B221" s="10" t="s">
        <v>3981</v>
      </c>
      <c r="C221" s="51" t="s">
        <v>4134</v>
      </c>
      <c r="D221" s="40"/>
      <c r="E221" s="82"/>
      <c r="F221" s="81"/>
    </row>
    <row r="222" spans="1:6" x14ac:dyDescent="0.25">
      <c r="A222" s="10"/>
      <c r="B222" s="10" t="s">
        <v>3545</v>
      </c>
      <c r="C222" s="37"/>
      <c r="D222" s="44" t="s">
        <v>3544</v>
      </c>
      <c r="E222" s="82"/>
      <c r="F222" s="232">
        <f>SUM(E215:E221)</f>
        <v>0</v>
      </c>
    </row>
    <row r="223" spans="1:6" x14ac:dyDescent="0.25">
      <c r="A223" s="69"/>
      <c r="B223" s="186"/>
      <c r="C223" s="37"/>
      <c r="D223" s="40"/>
      <c r="E223" s="82"/>
      <c r="F223" s="78"/>
    </row>
    <row r="224" spans="1:6" x14ac:dyDescent="0.25">
      <c r="A224" s="168" t="str">
        <f>A216</f>
        <v>30 MEI</v>
      </c>
      <c r="B224" s="187" t="s">
        <v>3543</v>
      </c>
      <c r="C224" s="37" t="s">
        <v>3540</v>
      </c>
      <c r="D224" s="40"/>
      <c r="E224" s="82"/>
      <c r="F224" s="78"/>
    </row>
    <row r="225" spans="1:6" x14ac:dyDescent="0.25">
      <c r="A225" s="10"/>
      <c r="B225" s="187" t="s">
        <v>3543</v>
      </c>
      <c r="C225" s="37" t="s">
        <v>3541</v>
      </c>
      <c r="D225" s="40"/>
      <c r="E225" s="82"/>
      <c r="F225" s="78"/>
    </row>
    <row r="226" spans="1:6" x14ac:dyDescent="0.25">
      <c r="A226" s="10"/>
      <c r="B226" s="187" t="s">
        <v>3543</v>
      </c>
      <c r="C226" s="37" t="s">
        <v>3542</v>
      </c>
      <c r="D226" s="40"/>
      <c r="E226" s="82"/>
      <c r="F226" s="78"/>
    </row>
    <row r="227" spans="1:6" x14ac:dyDescent="0.25">
      <c r="A227" s="10"/>
      <c r="B227" s="187" t="s">
        <v>3543</v>
      </c>
      <c r="C227" s="37" t="s">
        <v>3778</v>
      </c>
      <c r="D227" s="40"/>
      <c r="E227" s="82"/>
      <c r="F227" s="78"/>
    </row>
    <row r="228" spans="1:6" x14ac:dyDescent="0.25">
      <c r="A228" s="69"/>
      <c r="B228" s="186" t="s">
        <v>3353</v>
      </c>
      <c r="C228" s="37"/>
      <c r="D228" s="40" t="s">
        <v>61</v>
      </c>
      <c r="E228" s="82"/>
      <c r="F228" s="78">
        <f>SUM(E224:E227)</f>
        <v>0</v>
      </c>
    </row>
    <row r="229" spans="1:6" x14ac:dyDescent="0.25">
      <c r="A229" s="10"/>
      <c r="B229" s="185"/>
      <c r="C229" s="37"/>
      <c r="D229" s="40"/>
      <c r="E229" s="82"/>
      <c r="F229" s="78"/>
    </row>
    <row r="230" spans="1:6" x14ac:dyDescent="0.25">
      <c r="A230" s="168" t="str">
        <f>A224</f>
        <v>30 MEI</v>
      </c>
      <c r="B230" s="187" t="s">
        <v>3543</v>
      </c>
      <c r="C230" s="37" t="s">
        <v>3540</v>
      </c>
      <c r="D230" s="40"/>
      <c r="E230" s="82"/>
      <c r="F230" s="78"/>
    </row>
    <row r="231" spans="1:6" x14ac:dyDescent="0.25">
      <c r="A231" s="10"/>
      <c r="B231" s="187" t="s">
        <v>3543</v>
      </c>
      <c r="C231" s="37" t="s">
        <v>3541</v>
      </c>
      <c r="D231" s="40"/>
      <c r="E231" s="82"/>
      <c r="F231" s="78"/>
    </row>
    <row r="232" spans="1:6" x14ac:dyDescent="0.25">
      <c r="A232" s="10"/>
      <c r="B232" s="187" t="s">
        <v>3543</v>
      </c>
      <c r="C232" s="37" t="s">
        <v>3542</v>
      </c>
      <c r="D232" s="40"/>
      <c r="E232" s="82"/>
      <c r="F232" s="78"/>
    </row>
    <row r="233" spans="1:6" x14ac:dyDescent="0.25">
      <c r="A233" s="10"/>
      <c r="B233" s="187" t="s">
        <v>3543</v>
      </c>
      <c r="C233" s="37" t="s">
        <v>3778</v>
      </c>
      <c r="D233" s="40"/>
      <c r="E233" s="82"/>
      <c r="F233" s="78"/>
    </row>
    <row r="234" spans="1:6" x14ac:dyDescent="0.25">
      <c r="A234" s="69"/>
      <c r="B234" s="186" t="s">
        <v>3353</v>
      </c>
      <c r="C234" s="37"/>
      <c r="D234" s="40" t="s">
        <v>3682</v>
      </c>
      <c r="E234" s="82"/>
      <c r="F234" s="78">
        <f>SUM(E230:E233)</f>
        <v>0</v>
      </c>
    </row>
    <row r="235" spans="1:6" x14ac:dyDescent="0.25">
      <c r="A235" s="10"/>
      <c r="B235" s="185"/>
      <c r="C235" s="37"/>
      <c r="D235" s="40"/>
      <c r="E235" s="82"/>
      <c r="F235" s="81"/>
    </row>
    <row r="236" spans="1:6" x14ac:dyDescent="0.25">
      <c r="A236" s="168" t="str">
        <f>A230</f>
        <v>30 MEI</v>
      </c>
      <c r="B236" s="187" t="s">
        <v>3543</v>
      </c>
      <c r="C236" s="37" t="s">
        <v>3540</v>
      </c>
      <c r="D236" s="40"/>
      <c r="E236" s="82"/>
      <c r="F236" s="81"/>
    </row>
    <row r="237" spans="1:6" x14ac:dyDescent="0.25">
      <c r="A237" s="10"/>
      <c r="B237" s="187" t="s">
        <v>3543</v>
      </c>
      <c r="C237" s="37" t="s">
        <v>3541</v>
      </c>
      <c r="D237" s="40"/>
      <c r="E237" s="82"/>
      <c r="F237" s="232"/>
    </row>
    <row r="238" spans="1:6" x14ac:dyDescent="0.25">
      <c r="A238" s="10"/>
      <c r="B238" s="187" t="s">
        <v>3543</v>
      </c>
      <c r="C238" s="37" t="s">
        <v>3542</v>
      </c>
      <c r="D238" s="40"/>
      <c r="E238" s="82"/>
      <c r="F238" s="81"/>
    </row>
    <row r="239" spans="1:6" x14ac:dyDescent="0.25">
      <c r="A239" s="10"/>
      <c r="B239" s="187" t="s">
        <v>3543</v>
      </c>
      <c r="C239" s="37" t="s">
        <v>3778</v>
      </c>
      <c r="D239" s="40"/>
      <c r="E239" s="82"/>
      <c r="F239" s="81"/>
    </row>
    <row r="240" spans="1:6" x14ac:dyDescent="0.25">
      <c r="A240" s="69"/>
      <c r="B240" s="186" t="s">
        <v>3353</v>
      </c>
      <c r="C240" s="37"/>
      <c r="D240" s="40" t="s">
        <v>3683</v>
      </c>
      <c r="E240" s="82"/>
      <c r="F240" s="81">
        <f>SUM(E236:E239)</f>
        <v>0</v>
      </c>
    </row>
    <row r="241" spans="1:6" x14ac:dyDescent="0.25">
      <c r="A241" s="10"/>
      <c r="B241" s="185"/>
      <c r="C241" s="37"/>
      <c r="D241" s="40"/>
      <c r="E241" s="82"/>
      <c r="F241" s="81"/>
    </row>
    <row r="242" spans="1:6" x14ac:dyDescent="0.25">
      <c r="A242" s="10" t="str">
        <f>A224</f>
        <v>30 MEI</v>
      </c>
      <c r="B242" s="185" t="s">
        <v>3337</v>
      </c>
      <c r="C242" s="37" t="s">
        <v>3546</v>
      </c>
      <c r="D242" s="40"/>
      <c r="E242" s="82"/>
      <c r="F242" s="81"/>
    </row>
    <row r="243" spans="1:6" x14ac:dyDescent="0.25">
      <c r="A243" s="10"/>
      <c r="B243" s="185" t="s">
        <v>3336</v>
      </c>
      <c r="C243" s="37"/>
      <c r="D243" s="40" t="s">
        <v>3335</v>
      </c>
      <c r="E243" s="82"/>
      <c r="F243" s="81">
        <f>E242</f>
        <v>0</v>
      </c>
    </row>
    <row r="244" spans="1:6" x14ac:dyDescent="0.25">
      <c r="A244" s="10"/>
      <c r="B244" s="185"/>
      <c r="C244" s="37"/>
      <c r="D244" s="40"/>
      <c r="E244" s="82"/>
      <c r="F244" s="81"/>
    </row>
    <row r="245" spans="1:6" x14ac:dyDescent="0.25">
      <c r="A245" s="10"/>
      <c r="B245" s="19"/>
      <c r="C245" s="214"/>
      <c r="D245" s="40"/>
      <c r="E245" s="82"/>
      <c r="F245" s="104"/>
    </row>
    <row r="246" spans="1:6" ht="15.75" thickBot="1" x14ac:dyDescent="0.3">
      <c r="A246" s="655"/>
      <c r="B246" s="655"/>
      <c r="C246" s="655"/>
      <c r="D246" s="655"/>
      <c r="E246" s="105">
        <f>SUM(E216:E244)</f>
        <v>0</v>
      </c>
      <c r="F246" s="106">
        <f>SUM(F216:F244)</f>
        <v>0</v>
      </c>
    </row>
    <row r="257" spans="1:6" x14ac:dyDescent="0.25">
      <c r="A257" s="50" t="s">
        <v>0</v>
      </c>
      <c r="B257" s="50"/>
      <c r="C257" s="50"/>
      <c r="D257" s="9"/>
      <c r="E257" s="84"/>
      <c r="F257" s="75"/>
    </row>
    <row r="258" spans="1:6" x14ac:dyDescent="0.25">
      <c r="A258" s="50" t="s">
        <v>1</v>
      </c>
      <c r="B258" s="50"/>
      <c r="C258" s="50"/>
      <c r="D258" s="9"/>
      <c r="E258" s="84"/>
      <c r="F258" s="75"/>
    </row>
    <row r="259" spans="1:6" x14ac:dyDescent="0.25">
      <c r="A259" s="50" t="s">
        <v>16</v>
      </c>
      <c r="B259" s="50"/>
      <c r="C259" s="50"/>
      <c r="D259" s="9"/>
      <c r="E259" s="84"/>
      <c r="F259" s="75"/>
    </row>
    <row r="260" spans="1:6" x14ac:dyDescent="0.25">
      <c r="A260" s="643" t="s">
        <v>3547</v>
      </c>
      <c r="B260" s="643"/>
      <c r="C260" s="643"/>
      <c r="D260" s="643"/>
      <c r="E260" s="643"/>
      <c r="F260" s="643"/>
    </row>
    <row r="261" spans="1:6" x14ac:dyDescent="0.25">
      <c r="A261" s="643" t="s">
        <v>3809</v>
      </c>
      <c r="B261" s="643"/>
      <c r="C261" s="643"/>
      <c r="D261" s="643"/>
      <c r="E261" s="643"/>
      <c r="F261" s="643"/>
    </row>
    <row r="262" spans="1:6" ht="15.75" thickBot="1" x14ac:dyDescent="0.3">
      <c r="A262" s="1"/>
      <c r="B262" s="1"/>
      <c r="C262" s="1"/>
      <c r="D262" s="1"/>
      <c r="E262" s="85"/>
      <c r="F262" s="76"/>
    </row>
    <row r="263" spans="1:6" ht="22.5" x14ac:dyDescent="0.25">
      <c r="A263" s="53" t="s">
        <v>3</v>
      </c>
      <c r="B263" s="184" t="s">
        <v>3278</v>
      </c>
      <c r="C263" s="661" t="s">
        <v>5</v>
      </c>
      <c r="D263" s="661"/>
      <c r="E263" s="86" t="s">
        <v>57</v>
      </c>
      <c r="F263" s="77" t="s">
        <v>58</v>
      </c>
    </row>
    <row r="264" spans="1:6" x14ac:dyDescent="0.25">
      <c r="A264" s="231" t="s">
        <v>3686</v>
      </c>
      <c r="B264" s="10" t="s">
        <v>3279</v>
      </c>
      <c r="C264" s="43" t="s">
        <v>3281</v>
      </c>
      <c r="D264" s="40"/>
      <c r="E264" s="82"/>
      <c r="F264" s="81"/>
    </row>
    <row r="265" spans="1:6" x14ac:dyDescent="0.25">
      <c r="A265" s="168" t="s">
        <v>3686</v>
      </c>
      <c r="B265" s="10" t="s">
        <v>3279</v>
      </c>
      <c r="C265" s="43" t="s">
        <v>3671</v>
      </c>
      <c r="D265" s="40"/>
      <c r="E265" s="82"/>
      <c r="F265" s="81"/>
    </row>
    <row r="266" spans="1:6" x14ac:dyDescent="0.25">
      <c r="A266" s="69"/>
      <c r="B266" s="10" t="s">
        <v>3279</v>
      </c>
      <c r="C266" s="43" t="s">
        <v>3672</v>
      </c>
      <c r="D266" s="40"/>
      <c r="E266" s="82"/>
      <c r="F266" s="81"/>
    </row>
    <row r="267" spans="1:6" x14ac:dyDescent="0.25">
      <c r="A267" s="69"/>
      <c r="B267" s="10" t="s">
        <v>3280</v>
      </c>
      <c r="C267" s="43" t="s">
        <v>4342</v>
      </c>
      <c r="D267" s="40"/>
      <c r="E267" s="82"/>
      <c r="F267" s="81"/>
    </row>
    <row r="268" spans="1:6" x14ac:dyDescent="0.25">
      <c r="A268" s="69"/>
      <c r="B268" s="10" t="s">
        <v>3280</v>
      </c>
      <c r="C268" s="43" t="s">
        <v>4340</v>
      </c>
      <c r="D268" s="40"/>
      <c r="E268" s="82"/>
      <c r="F268" s="81"/>
    </row>
    <row r="269" spans="1:6" x14ac:dyDescent="0.25">
      <c r="A269" s="69"/>
      <c r="B269" s="10" t="s">
        <v>3280</v>
      </c>
      <c r="C269" s="43" t="s">
        <v>4341</v>
      </c>
      <c r="D269" s="40"/>
      <c r="E269" s="82"/>
      <c r="F269" s="81"/>
    </row>
    <row r="270" spans="1:6" x14ac:dyDescent="0.25">
      <c r="A270" s="69"/>
      <c r="B270" s="10" t="s">
        <v>3981</v>
      </c>
      <c r="C270" s="51" t="s">
        <v>4041</v>
      </c>
      <c r="D270" s="40"/>
      <c r="E270" s="82"/>
      <c r="F270" s="81"/>
    </row>
    <row r="271" spans="1:6" x14ac:dyDescent="0.25">
      <c r="A271" s="69"/>
      <c r="B271" s="10" t="s">
        <v>3545</v>
      </c>
      <c r="C271" s="37"/>
      <c r="D271" s="44" t="s">
        <v>3544</v>
      </c>
      <c r="E271" s="82"/>
      <c r="F271" s="232">
        <f>SUM(E264:E270)</f>
        <v>0</v>
      </c>
    </row>
    <row r="272" spans="1:6" x14ac:dyDescent="0.25">
      <c r="A272" s="69"/>
      <c r="B272" s="186"/>
      <c r="C272" s="37"/>
      <c r="D272" s="40"/>
      <c r="E272" s="82"/>
      <c r="F272" s="78"/>
    </row>
    <row r="273" spans="1:10" x14ac:dyDescent="0.25">
      <c r="A273" s="168" t="str">
        <f>A265</f>
        <v>30 JUNI</v>
      </c>
      <c r="B273" s="187" t="s">
        <v>3543</v>
      </c>
      <c r="C273" s="37" t="s">
        <v>3540</v>
      </c>
      <c r="D273" s="40"/>
      <c r="E273" s="82"/>
      <c r="F273" s="78"/>
    </row>
    <row r="274" spans="1:10" x14ac:dyDescent="0.25">
      <c r="A274" s="10"/>
      <c r="B274" s="187" t="s">
        <v>3543</v>
      </c>
      <c r="C274" s="37" t="s">
        <v>3541</v>
      </c>
      <c r="D274" s="40"/>
      <c r="E274" s="82"/>
      <c r="F274" s="78"/>
      <c r="J274" s="253"/>
    </row>
    <row r="275" spans="1:10" x14ac:dyDescent="0.25">
      <c r="A275" s="10"/>
      <c r="B275" s="187" t="s">
        <v>3543</v>
      </c>
      <c r="C275" s="37" t="s">
        <v>3542</v>
      </c>
      <c r="D275" s="40"/>
      <c r="E275" s="82"/>
      <c r="F275" s="78"/>
    </row>
    <row r="276" spans="1:10" x14ac:dyDescent="0.25">
      <c r="A276" s="10"/>
      <c r="B276" s="187" t="s">
        <v>3543</v>
      </c>
      <c r="C276" s="37" t="s">
        <v>3778</v>
      </c>
      <c r="D276" s="40"/>
      <c r="E276" s="82"/>
      <c r="F276" s="78"/>
    </row>
    <row r="277" spans="1:10" x14ac:dyDescent="0.25">
      <c r="A277" s="69"/>
      <c r="B277" s="186" t="s">
        <v>3353</v>
      </c>
      <c r="C277" s="37"/>
      <c r="D277" s="40" t="s">
        <v>61</v>
      </c>
      <c r="E277" s="82"/>
      <c r="F277" s="78">
        <f>SUM(E273:E276)</f>
        <v>0</v>
      </c>
    </row>
    <row r="278" spans="1:10" x14ac:dyDescent="0.25">
      <c r="A278" s="10"/>
      <c r="B278" s="185"/>
      <c r="C278" s="37"/>
      <c r="D278" s="40"/>
      <c r="E278" s="82"/>
      <c r="F278" s="78"/>
    </row>
    <row r="279" spans="1:10" x14ac:dyDescent="0.25">
      <c r="A279" s="168" t="str">
        <f>A273</f>
        <v>30 JUNI</v>
      </c>
      <c r="B279" s="187" t="s">
        <v>3543</v>
      </c>
      <c r="C279" s="37" t="s">
        <v>3540</v>
      </c>
      <c r="D279" s="40"/>
      <c r="E279" s="82"/>
      <c r="F279" s="78"/>
    </row>
    <row r="280" spans="1:10" x14ac:dyDescent="0.25">
      <c r="A280" s="10"/>
      <c r="B280" s="187" t="s">
        <v>3543</v>
      </c>
      <c r="C280" s="37" t="s">
        <v>3541</v>
      </c>
      <c r="D280" s="40"/>
      <c r="E280" s="82"/>
      <c r="F280" s="78"/>
    </row>
    <row r="281" spans="1:10" x14ac:dyDescent="0.25">
      <c r="A281" s="10"/>
      <c r="B281" s="187" t="s">
        <v>3543</v>
      </c>
      <c r="C281" s="37" t="s">
        <v>3542</v>
      </c>
      <c r="D281" s="40"/>
      <c r="E281" s="82"/>
      <c r="F281" s="78"/>
    </row>
    <row r="282" spans="1:10" x14ac:dyDescent="0.25">
      <c r="A282" s="10"/>
      <c r="B282" s="187" t="s">
        <v>3543</v>
      </c>
      <c r="C282" s="37" t="s">
        <v>3778</v>
      </c>
      <c r="D282" s="40"/>
      <c r="E282" s="82"/>
      <c r="F282" s="78"/>
    </row>
    <row r="283" spans="1:10" x14ac:dyDescent="0.25">
      <c r="A283" s="69"/>
      <c r="B283" s="186" t="s">
        <v>3353</v>
      </c>
      <c r="C283" s="37"/>
      <c r="D283" s="40" t="s">
        <v>3682</v>
      </c>
      <c r="E283" s="82"/>
      <c r="F283" s="78">
        <f>SUM(E279:E282)</f>
        <v>0</v>
      </c>
    </row>
    <row r="284" spans="1:10" x14ac:dyDescent="0.25">
      <c r="A284" s="10"/>
      <c r="B284" s="185"/>
      <c r="C284" s="37"/>
      <c r="D284" s="40"/>
      <c r="E284" s="82"/>
      <c r="F284" s="81"/>
    </row>
    <row r="285" spans="1:10" x14ac:dyDescent="0.25">
      <c r="A285" s="168" t="str">
        <f>A279</f>
        <v>30 JUNI</v>
      </c>
      <c r="B285" s="187" t="s">
        <v>3543</v>
      </c>
      <c r="C285" s="37" t="s">
        <v>3540</v>
      </c>
      <c r="D285" s="40"/>
      <c r="E285" s="82"/>
      <c r="F285" s="81"/>
    </row>
    <row r="286" spans="1:10" x14ac:dyDescent="0.25">
      <c r="A286" s="10"/>
      <c r="B286" s="187" t="s">
        <v>3543</v>
      </c>
      <c r="C286" s="37" t="s">
        <v>3541</v>
      </c>
      <c r="D286" s="40"/>
      <c r="E286" s="82"/>
      <c r="F286" s="232"/>
    </row>
    <row r="287" spans="1:10" x14ac:dyDescent="0.25">
      <c r="A287" s="10"/>
      <c r="B287" s="187" t="s">
        <v>3543</v>
      </c>
      <c r="C287" s="37" t="s">
        <v>3542</v>
      </c>
      <c r="D287" s="40"/>
      <c r="E287" s="82"/>
      <c r="F287" s="81"/>
    </row>
    <row r="288" spans="1:10" x14ac:dyDescent="0.25">
      <c r="A288" s="10"/>
      <c r="B288" s="187" t="s">
        <v>3543</v>
      </c>
      <c r="C288" s="37" t="s">
        <v>3778</v>
      </c>
      <c r="D288" s="40"/>
      <c r="E288" s="82"/>
      <c r="F288" s="81"/>
    </row>
    <row r="289" spans="1:6" x14ac:dyDescent="0.25">
      <c r="A289" s="69"/>
      <c r="B289" s="186" t="s">
        <v>3353</v>
      </c>
      <c r="C289" s="37"/>
      <c r="D289" s="40" t="s">
        <v>3683</v>
      </c>
      <c r="E289" s="82"/>
      <c r="F289" s="81">
        <f>SUM(E285:E288)</f>
        <v>0</v>
      </c>
    </row>
    <row r="290" spans="1:6" x14ac:dyDescent="0.25">
      <c r="A290" s="10"/>
      <c r="B290" s="185"/>
      <c r="C290" s="37"/>
      <c r="D290" s="40"/>
      <c r="E290" s="82"/>
      <c r="F290" s="81"/>
    </row>
    <row r="291" spans="1:6" x14ac:dyDescent="0.25">
      <c r="A291" s="10" t="str">
        <f>A273</f>
        <v>30 JUNI</v>
      </c>
      <c r="B291" s="185" t="s">
        <v>3337</v>
      </c>
      <c r="C291" s="37" t="s">
        <v>3546</v>
      </c>
      <c r="D291" s="40"/>
      <c r="E291" s="82"/>
      <c r="F291" s="81"/>
    </row>
    <row r="292" spans="1:6" x14ac:dyDescent="0.25">
      <c r="A292" s="10"/>
      <c r="B292" s="185" t="s">
        <v>3336</v>
      </c>
      <c r="C292" s="37"/>
      <c r="D292" s="40" t="s">
        <v>3335</v>
      </c>
      <c r="E292" s="82"/>
      <c r="F292" s="81">
        <f>E291</f>
        <v>0</v>
      </c>
    </row>
    <row r="293" spans="1:6" x14ac:dyDescent="0.25">
      <c r="A293" s="10"/>
      <c r="B293" s="185"/>
      <c r="C293" s="37"/>
      <c r="D293" s="40"/>
      <c r="E293" s="82"/>
      <c r="F293" s="81"/>
    </row>
    <row r="294" spans="1:6" x14ac:dyDescent="0.25">
      <c r="A294" s="10"/>
      <c r="B294" s="19"/>
      <c r="C294" s="214"/>
      <c r="D294" s="40"/>
      <c r="E294" s="82"/>
      <c r="F294" s="104"/>
    </row>
    <row r="295" spans="1:6" ht="15.75" thickBot="1" x14ac:dyDescent="0.3">
      <c r="A295" s="655"/>
      <c r="B295" s="655"/>
      <c r="C295" s="655"/>
      <c r="D295" s="655"/>
      <c r="E295" s="105">
        <f>SUM(E266:E293)</f>
        <v>0</v>
      </c>
      <c r="F295" s="106">
        <f>SUM(F266:F293)</f>
        <v>0</v>
      </c>
    </row>
    <row r="307" spans="1:6" x14ac:dyDescent="0.25">
      <c r="A307" s="50" t="s">
        <v>0</v>
      </c>
      <c r="B307" s="50"/>
      <c r="C307" s="50"/>
      <c r="D307" s="9"/>
      <c r="E307" s="84"/>
      <c r="F307" s="75"/>
    </row>
    <row r="308" spans="1:6" x14ac:dyDescent="0.25">
      <c r="A308" s="50" t="s">
        <v>1</v>
      </c>
      <c r="B308" s="50"/>
      <c r="C308" s="50"/>
      <c r="D308" s="9"/>
      <c r="E308" s="84"/>
      <c r="F308" s="75"/>
    </row>
    <row r="309" spans="1:6" x14ac:dyDescent="0.25">
      <c r="A309" s="50" t="s">
        <v>16</v>
      </c>
      <c r="B309" s="50"/>
      <c r="C309" s="50"/>
      <c r="D309" s="9"/>
      <c r="E309" s="84"/>
      <c r="F309" s="75"/>
    </row>
    <row r="310" spans="1:6" x14ac:dyDescent="0.25">
      <c r="A310" s="643" t="s">
        <v>3547</v>
      </c>
      <c r="B310" s="643"/>
      <c r="C310" s="643"/>
      <c r="D310" s="643"/>
      <c r="E310" s="643"/>
      <c r="F310" s="643"/>
    </row>
    <row r="311" spans="1:6" x14ac:dyDescent="0.25">
      <c r="A311" s="643" t="s">
        <v>3576</v>
      </c>
      <c r="B311" s="643"/>
      <c r="C311" s="643"/>
      <c r="D311" s="643"/>
      <c r="E311" s="643"/>
      <c r="F311" s="643"/>
    </row>
    <row r="312" spans="1:6" ht="15.75" thickBot="1" x14ac:dyDescent="0.3">
      <c r="A312" s="1"/>
      <c r="B312" s="1"/>
      <c r="C312" s="1"/>
      <c r="D312" s="1"/>
      <c r="E312" s="85"/>
      <c r="F312" s="76"/>
    </row>
    <row r="313" spans="1:6" ht="22.5" x14ac:dyDescent="0.25">
      <c r="A313" s="53" t="s">
        <v>3</v>
      </c>
      <c r="B313" s="184" t="s">
        <v>3278</v>
      </c>
      <c r="C313" s="661" t="s">
        <v>5</v>
      </c>
      <c r="D313" s="716"/>
      <c r="E313" s="86" t="s">
        <v>57</v>
      </c>
      <c r="F313" s="77" t="s">
        <v>58</v>
      </c>
    </row>
    <row r="314" spans="1:6" x14ac:dyDescent="0.25">
      <c r="A314" s="168"/>
      <c r="B314" s="91"/>
      <c r="C314" s="65"/>
      <c r="D314" s="165"/>
      <c r="E314" s="87"/>
      <c r="F314" s="181"/>
    </row>
    <row r="315" spans="1:6" x14ac:dyDescent="0.25">
      <c r="A315" s="168" t="s">
        <v>3693</v>
      </c>
      <c r="B315" s="91" t="s">
        <v>3559</v>
      </c>
      <c r="C315" s="65" t="s">
        <v>4421</v>
      </c>
      <c r="D315" s="63"/>
      <c r="E315" s="87"/>
      <c r="F315" s="181"/>
    </row>
    <row r="316" spans="1:6" x14ac:dyDescent="0.25">
      <c r="A316" s="168"/>
      <c r="B316" s="10" t="s">
        <v>3279</v>
      </c>
      <c r="C316" s="43" t="s">
        <v>3281</v>
      </c>
      <c r="D316" s="40"/>
      <c r="E316" s="87"/>
      <c r="F316" s="81"/>
    </row>
    <row r="317" spans="1:6" x14ac:dyDescent="0.25">
      <c r="A317" s="168"/>
      <c r="B317" s="10" t="s">
        <v>3279</v>
      </c>
      <c r="C317" s="43" t="s">
        <v>3671</v>
      </c>
      <c r="D317" s="40"/>
      <c r="E317" s="87"/>
      <c r="F317" s="81"/>
    </row>
    <row r="318" spans="1:6" x14ac:dyDescent="0.25">
      <c r="A318" s="69"/>
      <c r="B318" s="10" t="s">
        <v>3279</v>
      </c>
      <c r="C318" s="43" t="s">
        <v>3672</v>
      </c>
      <c r="D318" s="40"/>
      <c r="E318" s="87"/>
      <c r="F318" s="81"/>
    </row>
    <row r="319" spans="1:6" x14ac:dyDescent="0.25">
      <c r="A319" s="69"/>
      <c r="B319" s="10" t="s">
        <v>3280</v>
      </c>
      <c r="C319" s="43" t="s">
        <v>4424</v>
      </c>
      <c r="D319" s="40"/>
      <c r="E319" s="87"/>
      <c r="F319" s="81"/>
    </row>
    <row r="320" spans="1:6" x14ac:dyDescent="0.25">
      <c r="A320" s="69"/>
      <c r="B320" s="10" t="s">
        <v>3280</v>
      </c>
      <c r="C320" s="43" t="s">
        <v>4422</v>
      </c>
      <c r="D320" s="40"/>
      <c r="E320" s="87"/>
      <c r="F320" s="81"/>
    </row>
    <row r="321" spans="1:6" x14ac:dyDescent="0.25">
      <c r="A321" s="69"/>
      <c r="B321" s="10" t="s">
        <v>3280</v>
      </c>
      <c r="C321" s="43" t="s">
        <v>4067</v>
      </c>
      <c r="D321" s="40"/>
      <c r="E321" s="87"/>
      <c r="F321" s="81"/>
    </row>
    <row r="322" spans="1:6" x14ac:dyDescent="0.25">
      <c r="A322" s="69"/>
      <c r="B322" s="10" t="s">
        <v>3981</v>
      </c>
      <c r="C322" s="51" t="s">
        <v>4423</v>
      </c>
      <c r="D322" s="40"/>
      <c r="E322" s="87"/>
      <c r="F322" s="81"/>
    </row>
    <row r="323" spans="1:6" x14ac:dyDescent="0.25">
      <c r="A323" s="10"/>
      <c r="B323" s="10" t="s">
        <v>3545</v>
      </c>
      <c r="C323" s="37"/>
      <c r="D323" s="44" t="s">
        <v>3544</v>
      </c>
      <c r="E323" s="82"/>
      <c r="F323" s="232">
        <f>SUM(E315:E322)</f>
        <v>0</v>
      </c>
    </row>
    <row r="324" spans="1:6" x14ac:dyDescent="0.25">
      <c r="A324" s="69"/>
      <c r="B324" s="186"/>
      <c r="C324" s="37"/>
      <c r="D324" s="40"/>
      <c r="E324" s="87"/>
      <c r="F324" s="78"/>
    </row>
    <row r="325" spans="1:6" x14ac:dyDescent="0.25">
      <c r="A325" s="168" t="str">
        <f>A315</f>
        <v>31 Juli</v>
      </c>
      <c r="B325" s="187" t="s">
        <v>3543</v>
      </c>
      <c r="C325" s="37" t="s">
        <v>3540</v>
      </c>
      <c r="D325" s="40"/>
      <c r="E325" s="87"/>
      <c r="F325" s="78"/>
    </row>
    <row r="326" spans="1:6" x14ac:dyDescent="0.25">
      <c r="A326" s="10"/>
      <c r="B326" s="187" t="s">
        <v>3543</v>
      </c>
      <c r="C326" s="37" t="s">
        <v>3541</v>
      </c>
      <c r="D326" s="40"/>
      <c r="E326" s="87"/>
      <c r="F326" s="78"/>
    </row>
    <row r="327" spans="1:6" x14ac:dyDescent="0.25">
      <c r="A327" s="10"/>
      <c r="B327" s="187" t="s">
        <v>3543</v>
      </c>
      <c r="C327" s="37" t="s">
        <v>3542</v>
      </c>
      <c r="D327" s="40"/>
      <c r="E327" s="87"/>
      <c r="F327" s="78"/>
    </row>
    <row r="328" spans="1:6" x14ac:dyDescent="0.25">
      <c r="A328" s="10"/>
      <c r="B328" s="187" t="s">
        <v>3543</v>
      </c>
      <c r="C328" s="37" t="s">
        <v>3778</v>
      </c>
      <c r="D328" s="40"/>
      <c r="E328" s="87"/>
      <c r="F328" s="78"/>
    </row>
    <row r="329" spans="1:6" x14ac:dyDescent="0.25">
      <c r="A329" s="69"/>
      <c r="B329" s="186" t="s">
        <v>3353</v>
      </c>
      <c r="C329" s="37"/>
      <c r="D329" s="40" t="s">
        <v>61</v>
      </c>
      <c r="E329" s="87"/>
      <c r="F329" s="78">
        <f>SUM(E325:E328)</f>
        <v>0</v>
      </c>
    </row>
    <row r="330" spans="1:6" x14ac:dyDescent="0.25">
      <c r="A330" s="10"/>
      <c r="B330" s="185"/>
      <c r="C330" s="37"/>
      <c r="D330" s="40"/>
      <c r="E330" s="87"/>
      <c r="F330" s="78"/>
    </row>
    <row r="331" spans="1:6" x14ac:dyDescent="0.25">
      <c r="A331" s="168" t="str">
        <f>A325</f>
        <v>31 Juli</v>
      </c>
      <c r="B331" s="187" t="s">
        <v>3543</v>
      </c>
      <c r="C331" s="37" t="s">
        <v>3540</v>
      </c>
      <c r="D331" s="40"/>
      <c r="E331" s="87"/>
      <c r="F331" s="78"/>
    </row>
    <row r="332" spans="1:6" x14ac:dyDescent="0.25">
      <c r="A332" s="10"/>
      <c r="B332" s="187" t="s">
        <v>3543</v>
      </c>
      <c r="C332" s="37" t="s">
        <v>3541</v>
      </c>
      <c r="D332" s="40"/>
      <c r="E332" s="87"/>
      <c r="F332" s="78"/>
    </row>
    <row r="333" spans="1:6" x14ac:dyDescent="0.25">
      <c r="A333" s="10"/>
      <c r="B333" s="187" t="s">
        <v>3543</v>
      </c>
      <c r="C333" s="37" t="s">
        <v>3542</v>
      </c>
      <c r="D333" s="40"/>
      <c r="E333" s="87"/>
      <c r="F333" s="78"/>
    </row>
    <row r="334" spans="1:6" x14ac:dyDescent="0.25">
      <c r="A334" s="10"/>
      <c r="B334" s="187" t="s">
        <v>3543</v>
      </c>
      <c r="C334" s="37" t="s">
        <v>3778</v>
      </c>
      <c r="D334" s="40"/>
      <c r="E334" s="87"/>
      <c r="F334" s="78"/>
    </row>
    <row r="335" spans="1:6" x14ac:dyDescent="0.25">
      <c r="A335" s="69"/>
      <c r="B335" s="186" t="s">
        <v>3353</v>
      </c>
      <c r="C335" s="37"/>
      <c r="D335" s="40" t="s">
        <v>3682</v>
      </c>
      <c r="E335" s="87"/>
      <c r="F335" s="78">
        <f>SUM(E331:E334)</f>
        <v>0</v>
      </c>
    </row>
    <row r="336" spans="1:6" x14ac:dyDescent="0.25">
      <c r="A336" s="10"/>
      <c r="B336" s="185"/>
      <c r="C336" s="37"/>
      <c r="D336" s="40"/>
      <c r="E336" s="87"/>
      <c r="F336" s="81"/>
    </row>
    <row r="337" spans="1:6" x14ac:dyDescent="0.25">
      <c r="A337" s="168" t="str">
        <f>A331</f>
        <v>31 Juli</v>
      </c>
      <c r="B337" s="187" t="s">
        <v>3543</v>
      </c>
      <c r="C337" s="37" t="s">
        <v>3540</v>
      </c>
      <c r="D337" s="40"/>
      <c r="E337" s="87"/>
      <c r="F337" s="81"/>
    </row>
    <row r="338" spans="1:6" x14ac:dyDescent="0.25">
      <c r="A338" s="10"/>
      <c r="B338" s="187" t="s">
        <v>3543</v>
      </c>
      <c r="C338" s="37" t="s">
        <v>3541</v>
      </c>
      <c r="D338" s="40"/>
      <c r="E338" s="87"/>
      <c r="F338" s="232"/>
    </row>
    <row r="339" spans="1:6" x14ac:dyDescent="0.25">
      <c r="A339" s="10"/>
      <c r="B339" s="187" t="s">
        <v>3543</v>
      </c>
      <c r="C339" s="37" t="s">
        <v>3542</v>
      </c>
      <c r="D339" s="40"/>
      <c r="E339" s="87"/>
      <c r="F339" s="81"/>
    </row>
    <row r="340" spans="1:6" x14ac:dyDescent="0.25">
      <c r="A340" s="10"/>
      <c r="B340" s="187" t="s">
        <v>3543</v>
      </c>
      <c r="C340" s="37" t="s">
        <v>3778</v>
      </c>
      <c r="D340" s="40"/>
      <c r="E340" s="87"/>
      <c r="F340" s="78"/>
    </row>
    <row r="341" spans="1:6" x14ac:dyDescent="0.25">
      <c r="A341" s="69"/>
      <c r="B341" s="186" t="s">
        <v>3353</v>
      </c>
      <c r="C341" s="37"/>
      <c r="D341" s="40" t="s">
        <v>3683</v>
      </c>
      <c r="E341" s="87"/>
      <c r="F341" s="78">
        <f>SUM(E337:E340)</f>
        <v>0</v>
      </c>
    </row>
    <row r="342" spans="1:6" x14ac:dyDescent="0.25">
      <c r="A342" s="10"/>
      <c r="B342" s="185"/>
      <c r="C342" s="37"/>
      <c r="D342" s="40"/>
      <c r="E342" s="82"/>
      <c r="F342" s="81"/>
    </row>
    <row r="343" spans="1:6" x14ac:dyDescent="0.25">
      <c r="A343" s="10" t="str">
        <f>A325</f>
        <v>31 Juli</v>
      </c>
      <c r="B343" s="185" t="s">
        <v>3337</v>
      </c>
      <c r="C343" s="37" t="s">
        <v>3546</v>
      </c>
      <c r="D343" s="40"/>
      <c r="E343" s="82"/>
      <c r="F343" s="81"/>
    </row>
    <row r="344" spans="1:6" x14ac:dyDescent="0.25">
      <c r="A344" s="10"/>
      <c r="B344" s="185" t="s">
        <v>3336</v>
      </c>
      <c r="C344" s="37"/>
      <c r="D344" s="40" t="s">
        <v>3335</v>
      </c>
      <c r="E344" s="82"/>
      <c r="F344" s="81">
        <f>E343</f>
        <v>0</v>
      </c>
    </row>
    <row r="345" spans="1:6" x14ac:dyDescent="0.25">
      <c r="A345" s="10"/>
      <c r="B345" s="185"/>
      <c r="C345" s="37"/>
      <c r="D345" s="40"/>
      <c r="E345" s="82"/>
      <c r="F345" s="81"/>
    </row>
    <row r="346" spans="1:6" x14ac:dyDescent="0.25">
      <c r="A346" s="10"/>
      <c r="B346" s="19"/>
      <c r="C346" s="214"/>
      <c r="D346" s="40"/>
      <c r="E346" s="82"/>
      <c r="F346" s="104"/>
    </row>
    <row r="347" spans="1:6" ht="15.75" thickBot="1" x14ac:dyDescent="0.3">
      <c r="A347" s="655"/>
      <c r="B347" s="655"/>
      <c r="C347" s="655"/>
      <c r="D347" s="655"/>
      <c r="E347" s="105">
        <f>SUM(E317:E345)</f>
        <v>0</v>
      </c>
      <c r="F347" s="106">
        <f>SUM(F317:F345)</f>
        <v>0</v>
      </c>
    </row>
    <row r="358" spans="1:6" x14ac:dyDescent="0.25">
      <c r="A358" s="50" t="s">
        <v>0</v>
      </c>
      <c r="B358" s="50"/>
      <c r="C358" s="50"/>
      <c r="D358" s="9"/>
      <c r="E358" s="84"/>
      <c r="F358" s="75"/>
    </row>
    <row r="359" spans="1:6" x14ac:dyDescent="0.25">
      <c r="A359" s="50" t="s">
        <v>1</v>
      </c>
      <c r="B359" s="50"/>
      <c r="C359" s="50"/>
      <c r="D359" s="9"/>
      <c r="E359" s="84"/>
      <c r="F359" s="75"/>
    </row>
    <row r="360" spans="1:6" x14ac:dyDescent="0.25">
      <c r="A360" s="50" t="s">
        <v>16</v>
      </c>
      <c r="B360" s="50"/>
      <c r="C360" s="50"/>
      <c r="D360" s="9"/>
      <c r="E360" s="84"/>
      <c r="F360" s="75"/>
    </row>
    <row r="361" spans="1:6" x14ac:dyDescent="0.25">
      <c r="A361" s="643" t="s">
        <v>3547</v>
      </c>
      <c r="B361" s="643"/>
      <c r="C361" s="643"/>
      <c r="D361" s="643"/>
      <c r="E361" s="643"/>
      <c r="F361" s="643"/>
    </row>
    <row r="362" spans="1:6" x14ac:dyDescent="0.25">
      <c r="A362" s="643" t="s">
        <v>3577</v>
      </c>
      <c r="B362" s="643"/>
      <c r="C362" s="643"/>
      <c r="D362" s="643"/>
      <c r="E362" s="643"/>
      <c r="F362" s="643"/>
    </row>
    <row r="363" spans="1:6" ht="15.75" thickBot="1" x14ac:dyDescent="0.3">
      <c r="A363" s="1"/>
      <c r="B363" s="1"/>
      <c r="C363" s="1"/>
      <c r="D363" s="1"/>
      <c r="E363" s="85"/>
      <c r="F363" s="76"/>
    </row>
    <row r="364" spans="1:6" ht="22.5" x14ac:dyDescent="0.25">
      <c r="A364" s="53" t="s">
        <v>3</v>
      </c>
      <c r="B364" s="184" t="s">
        <v>3278</v>
      </c>
      <c r="C364" s="661" t="s">
        <v>5</v>
      </c>
      <c r="D364" s="661"/>
      <c r="E364" s="86" t="s">
        <v>57</v>
      </c>
      <c r="F364" s="77" t="s">
        <v>58</v>
      </c>
    </row>
    <row r="365" spans="1:6" x14ac:dyDescent="0.25">
      <c r="A365" s="168" t="s">
        <v>3736</v>
      </c>
      <c r="B365" s="10" t="s">
        <v>3279</v>
      </c>
      <c r="C365" s="43" t="s">
        <v>3281</v>
      </c>
      <c r="D365" s="40"/>
      <c r="E365" s="82"/>
      <c r="F365" s="81"/>
    </row>
    <row r="366" spans="1:6" x14ac:dyDescent="0.25">
      <c r="A366" s="168"/>
      <c r="B366" s="10" t="s">
        <v>3279</v>
      </c>
      <c r="C366" s="43" t="s">
        <v>3671</v>
      </c>
      <c r="D366" s="40"/>
      <c r="E366" s="82"/>
      <c r="F366" s="81"/>
    </row>
    <row r="367" spans="1:6" x14ac:dyDescent="0.25">
      <c r="A367" s="69"/>
      <c r="B367" s="10" t="s">
        <v>3279</v>
      </c>
      <c r="C367" s="43" t="s">
        <v>3672</v>
      </c>
      <c r="D367" s="40"/>
      <c r="E367" s="82"/>
      <c r="F367" s="81"/>
    </row>
    <row r="368" spans="1:6" x14ac:dyDescent="0.25">
      <c r="A368" s="69"/>
      <c r="B368" s="10" t="s">
        <v>3280</v>
      </c>
      <c r="C368" s="43" t="s">
        <v>4136</v>
      </c>
      <c r="D368" s="40"/>
      <c r="E368" s="82"/>
      <c r="F368" s="81"/>
    </row>
    <row r="369" spans="1:6" x14ac:dyDescent="0.25">
      <c r="A369" s="69"/>
      <c r="B369" s="10" t="s">
        <v>3280</v>
      </c>
      <c r="C369" s="43" t="s">
        <v>4699</v>
      </c>
      <c r="D369" s="40"/>
      <c r="E369" s="82"/>
      <c r="F369" s="81"/>
    </row>
    <row r="370" spans="1:6" x14ac:dyDescent="0.25">
      <c r="A370" s="69"/>
      <c r="B370" s="10" t="s">
        <v>3280</v>
      </c>
      <c r="C370" s="43" t="s">
        <v>3980</v>
      </c>
      <c r="D370" s="40"/>
      <c r="E370" s="82"/>
      <c r="F370" s="81"/>
    </row>
    <row r="371" spans="1:6" x14ac:dyDescent="0.25">
      <c r="A371" s="69"/>
      <c r="B371" s="10" t="s">
        <v>3981</v>
      </c>
      <c r="C371" s="51" t="s">
        <v>4698</v>
      </c>
      <c r="D371" s="40"/>
      <c r="E371" s="82"/>
      <c r="F371" s="81"/>
    </row>
    <row r="372" spans="1:6" x14ac:dyDescent="0.25">
      <c r="A372" s="10"/>
      <c r="B372" s="10" t="s">
        <v>3545</v>
      </c>
      <c r="C372" s="37"/>
      <c r="D372" s="44" t="s">
        <v>3544</v>
      </c>
      <c r="E372" s="82"/>
      <c r="F372" s="232">
        <f>SUM(E365:E371)</f>
        <v>0</v>
      </c>
    </row>
    <row r="373" spans="1:6" x14ac:dyDescent="0.25">
      <c r="A373" s="69"/>
      <c r="B373" s="186"/>
      <c r="C373" s="37"/>
      <c r="D373" s="40"/>
      <c r="E373" s="82"/>
      <c r="F373" s="78"/>
    </row>
    <row r="374" spans="1:6" x14ac:dyDescent="0.25">
      <c r="A374" s="168" t="str">
        <f>A365</f>
        <v>31 Agustus</v>
      </c>
      <c r="B374" s="187" t="s">
        <v>3543</v>
      </c>
      <c r="C374" s="37" t="s">
        <v>3540</v>
      </c>
      <c r="D374" s="40"/>
      <c r="E374" s="82"/>
      <c r="F374" s="78"/>
    </row>
    <row r="375" spans="1:6" x14ac:dyDescent="0.25">
      <c r="A375" s="10"/>
      <c r="B375" s="187" t="s">
        <v>3543</v>
      </c>
      <c r="C375" s="37" t="s">
        <v>3541</v>
      </c>
      <c r="D375" s="40"/>
      <c r="E375" s="82"/>
      <c r="F375" s="78"/>
    </row>
    <row r="376" spans="1:6" x14ac:dyDescent="0.25">
      <c r="A376" s="10"/>
      <c r="B376" s="187" t="s">
        <v>3543</v>
      </c>
      <c r="C376" s="37" t="s">
        <v>3542</v>
      </c>
      <c r="D376" s="40"/>
      <c r="E376" s="82"/>
      <c r="F376" s="78"/>
    </row>
    <row r="377" spans="1:6" x14ac:dyDescent="0.25">
      <c r="A377" s="10"/>
      <c r="B377" s="187" t="s">
        <v>3543</v>
      </c>
      <c r="C377" s="37" t="s">
        <v>3778</v>
      </c>
      <c r="D377" s="40"/>
      <c r="E377" s="82"/>
      <c r="F377" s="78"/>
    </row>
    <row r="378" spans="1:6" x14ac:dyDescent="0.25">
      <c r="A378" s="69"/>
      <c r="B378" s="186" t="s">
        <v>3353</v>
      </c>
      <c r="C378" s="37"/>
      <c r="D378" s="40" t="s">
        <v>61</v>
      </c>
      <c r="E378" s="82"/>
      <c r="F378" s="78">
        <f>SUM(E374:E377)</f>
        <v>0</v>
      </c>
    </row>
    <row r="379" spans="1:6" x14ac:dyDescent="0.25">
      <c r="A379" s="10"/>
      <c r="B379" s="185"/>
      <c r="C379" s="37"/>
      <c r="D379" s="40"/>
      <c r="E379" s="82"/>
      <c r="F379" s="78"/>
    </row>
    <row r="380" spans="1:6" x14ac:dyDescent="0.25">
      <c r="A380" s="168" t="str">
        <f>A374</f>
        <v>31 Agustus</v>
      </c>
      <c r="B380" s="187" t="s">
        <v>3543</v>
      </c>
      <c r="C380" s="37" t="s">
        <v>3540</v>
      </c>
      <c r="D380" s="40"/>
      <c r="E380" s="82"/>
      <c r="F380" s="78"/>
    </row>
    <row r="381" spans="1:6" x14ac:dyDescent="0.25">
      <c r="A381" s="10"/>
      <c r="B381" s="187" t="s">
        <v>3543</v>
      </c>
      <c r="C381" s="37" t="s">
        <v>3541</v>
      </c>
      <c r="D381" s="40"/>
      <c r="E381" s="82"/>
      <c r="F381" s="78"/>
    </row>
    <row r="382" spans="1:6" x14ac:dyDescent="0.25">
      <c r="A382" s="10"/>
      <c r="B382" s="187" t="s">
        <v>3543</v>
      </c>
      <c r="C382" s="37" t="s">
        <v>3542</v>
      </c>
      <c r="D382" s="40"/>
      <c r="E382" s="82"/>
      <c r="F382" s="78"/>
    </row>
    <row r="383" spans="1:6" x14ac:dyDescent="0.25">
      <c r="A383" s="10"/>
      <c r="B383" s="187" t="s">
        <v>3543</v>
      </c>
      <c r="C383" s="37" t="s">
        <v>3778</v>
      </c>
      <c r="D383" s="40"/>
      <c r="E383" s="82"/>
      <c r="F383" s="78"/>
    </row>
    <row r="384" spans="1:6" x14ac:dyDescent="0.25">
      <c r="A384" s="69"/>
      <c r="B384" s="186" t="s">
        <v>3353</v>
      </c>
      <c r="C384" s="37"/>
      <c r="D384" s="40" t="s">
        <v>3682</v>
      </c>
      <c r="E384" s="82"/>
      <c r="F384" s="78">
        <f>SUM(E380:E383)</f>
        <v>0</v>
      </c>
    </row>
    <row r="385" spans="1:6" x14ac:dyDescent="0.25">
      <c r="A385" s="10"/>
      <c r="B385" s="185"/>
      <c r="C385" s="37"/>
      <c r="D385" s="40"/>
      <c r="E385" s="82"/>
      <c r="F385" s="81"/>
    </row>
    <row r="386" spans="1:6" x14ac:dyDescent="0.25">
      <c r="A386" s="168" t="str">
        <f>A380</f>
        <v>31 Agustus</v>
      </c>
      <c r="B386" s="187" t="s">
        <v>3543</v>
      </c>
      <c r="C386" s="37" t="s">
        <v>3540</v>
      </c>
      <c r="D386" s="40"/>
      <c r="E386" s="82"/>
      <c r="F386" s="81"/>
    </row>
    <row r="387" spans="1:6" x14ac:dyDescent="0.25">
      <c r="A387" s="10"/>
      <c r="B387" s="187" t="s">
        <v>3543</v>
      </c>
      <c r="C387" s="37" t="s">
        <v>3541</v>
      </c>
      <c r="D387" s="40"/>
      <c r="E387" s="82"/>
      <c r="F387" s="232"/>
    </row>
    <row r="388" spans="1:6" x14ac:dyDescent="0.25">
      <c r="A388" s="10"/>
      <c r="B388" s="187" t="s">
        <v>3543</v>
      </c>
      <c r="C388" s="37" t="s">
        <v>3542</v>
      </c>
      <c r="D388" s="40"/>
      <c r="E388" s="82"/>
      <c r="F388" s="81"/>
    </row>
    <row r="389" spans="1:6" x14ac:dyDescent="0.25">
      <c r="A389" s="10"/>
      <c r="B389" s="187" t="s">
        <v>3543</v>
      </c>
      <c r="C389" s="37" t="s">
        <v>3778</v>
      </c>
      <c r="D389" s="40"/>
      <c r="E389" s="82"/>
      <c r="F389" s="78"/>
    </row>
    <row r="390" spans="1:6" x14ac:dyDescent="0.25">
      <c r="A390" s="69"/>
      <c r="B390" s="186" t="s">
        <v>3353</v>
      </c>
      <c r="C390" s="37"/>
      <c r="D390" s="40" t="s">
        <v>3683</v>
      </c>
      <c r="E390" s="82"/>
      <c r="F390" s="78">
        <f>SUM(E386:E389)</f>
        <v>0</v>
      </c>
    </row>
    <row r="391" spans="1:6" x14ac:dyDescent="0.25">
      <c r="A391" s="10"/>
      <c r="B391" s="185"/>
      <c r="C391" s="37"/>
      <c r="D391" s="40"/>
      <c r="E391" s="82"/>
      <c r="F391" s="81"/>
    </row>
    <row r="392" spans="1:6" x14ac:dyDescent="0.25">
      <c r="A392" s="69" t="str">
        <f>A386</f>
        <v>31 Agustus</v>
      </c>
      <c r="B392" s="185" t="s">
        <v>3337</v>
      </c>
      <c r="C392" s="37" t="s">
        <v>3546</v>
      </c>
      <c r="D392" s="40"/>
      <c r="E392" s="82"/>
      <c r="F392" s="81"/>
    </row>
    <row r="393" spans="1:6" x14ac:dyDescent="0.25">
      <c r="A393" s="10"/>
      <c r="B393" s="185" t="s">
        <v>3336</v>
      </c>
      <c r="C393" s="37"/>
      <c r="D393" s="40" t="s">
        <v>3335</v>
      </c>
      <c r="E393" s="82"/>
      <c r="F393" s="81">
        <f>E392</f>
        <v>0</v>
      </c>
    </row>
    <row r="394" spans="1:6" x14ac:dyDescent="0.25">
      <c r="A394" s="10"/>
      <c r="B394" s="185"/>
      <c r="C394" s="37"/>
      <c r="D394" s="40"/>
      <c r="E394" s="82"/>
      <c r="F394" s="81"/>
    </row>
    <row r="395" spans="1:6" x14ac:dyDescent="0.25">
      <c r="A395" s="10"/>
      <c r="B395" s="19"/>
      <c r="C395" s="214"/>
      <c r="D395" s="40"/>
      <c r="E395" s="82"/>
      <c r="F395" s="104"/>
    </row>
    <row r="396" spans="1:6" ht="15.75" thickBot="1" x14ac:dyDescent="0.3">
      <c r="A396" s="655"/>
      <c r="B396" s="655"/>
      <c r="C396" s="655"/>
      <c r="D396" s="655"/>
      <c r="E396" s="105">
        <f>SUM(E366:E394)</f>
        <v>0</v>
      </c>
      <c r="F396" s="106">
        <f>SUM(F366:F394)</f>
        <v>0</v>
      </c>
    </row>
    <row r="408" spans="1:6" x14ac:dyDescent="0.25">
      <c r="A408" s="50" t="s">
        <v>0</v>
      </c>
      <c r="B408" s="50"/>
      <c r="C408" s="50"/>
      <c r="D408" s="9"/>
      <c r="E408" s="84"/>
      <c r="F408" s="75"/>
    </row>
    <row r="409" spans="1:6" x14ac:dyDescent="0.25">
      <c r="A409" s="50" t="s">
        <v>1</v>
      </c>
      <c r="B409" s="50"/>
      <c r="C409" s="50"/>
      <c r="D409" s="9"/>
      <c r="E409" s="84"/>
      <c r="F409" s="75"/>
    </row>
    <row r="410" spans="1:6" x14ac:dyDescent="0.25">
      <c r="A410" s="50" t="s">
        <v>16</v>
      </c>
      <c r="B410" s="50"/>
      <c r="C410" s="50"/>
      <c r="D410" s="9"/>
      <c r="E410" s="84"/>
      <c r="F410" s="75"/>
    </row>
    <row r="411" spans="1:6" x14ac:dyDescent="0.25">
      <c r="A411" s="643" t="s">
        <v>3547</v>
      </c>
      <c r="B411" s="643"/>
      <c r="C411" s="643"/>
      <c r="D411" s="643"/>
      <c r="E411" s="643"/>
      <c r="F411" s="643"/>
    </row>
    <row r="412" spans="1:6" x14ac:dyDescent="0.25">
      <c r="A412" s="643" t="s">
        <v>3582</v>
      </c>
      <c r="B412" s="643"/>
      <c r="C412" s="643"/>
      <c r="D412" s="643"/>
      <c r="E412" s="643"/>
      <c r="F412" s="643"/>
    </row>
    <row r="413" spans="1:6" ht="15.75" thickBot="1" x14ac:dyDescent="0.3">
      <c r="A413" s="1"/>
      <c r="B413" s="1"/>
      <c r="C413" s="1"/>
      <c r="D413" s="1"/>
      <c r="E413" s="85"/>
      <c r="F413" s="76"/>
    </row>
    <row r="414" spans="1:6" ht="22.5" x14ac:dyDescent="0.25">
      <c r="A414" s="53" t="s">
        <v>3</v>
      </c>
      <c r="B414" s="184" t="s">
        <v>3278</v>
      </c>
      <c r="C414" s="661" t="s">
        <v>5</v>
      </c>
      <c r="D414" s="661"/>
      <c r="E414" s="86" t="s">
        <v>57</v>
      </c>
      <c r="F414" s="77" t="s">
        <v>58</v>
      </c>
    </row>
    <row r="415" spans="1:6" x14ac:dyDescent="0.25">
      <c r="A415" s="168" t="s">
        <v>3261</v>
      </c>
      <c r="B415" s="10" t="s">
        <v>3279</v>
      </c>
      <c r="C415" s="43" t="s">
        <v>3281</v>
      </c>
      <c r="D415" s="40"/>
      <c r="E415" s="82"/>
      <c r="F415" s="81"/>
    </row>
    <row r="416" spans="1:6" x14ac:dyDescent="0.25">
      <c r="A416" s="168"/>
      <c r="B416" s="10" t="s">
        <v>3279</v>
      </c>
      <c r="C416" s="43" t="s">
        <v>3671</v>
      </c>
      <c r="D416" s="40"/>
      <c r="E416" s="82"/>
      <c r="F416" s="81"/>
    </row>
    <row r="417" spans="1:7" x14ac:dyDescent="0.25">
      <c r="A417" s="69"/>
      <c r="B417" s="10" t="s">
        <v>3279</v>
      </c>
      <c r="C417" s="43" t="s">
        <v>3672</v>
      </c>
      <c r="D417" s="40"/>
      <c r="E417" s="82"/>
      <c r="F417" s="81"/>
    </row>
    <row r="418" spans="1:7" x14ac:dyDescent="0.25">
      <c r="A418" s="69"/>
      <c r="B418" s="10" t="s">
        <v>3280</v>
      </c>
      <c r="C418" s="43" t="s">
        <v>4700</v>
      </c>
      <c r="D418" s="40"/>
      <c r="E418" s="82"/>
      <c r="F418" s="81"/>
    </row>
    <row r="419" spans="1:7" x14ac:dyDescent="0.25">
      <c r="A419" s="69"/>
      <c r="B419" s="10" t="s">
        <v>3280</v>
      </c>
      <c r="C419" s="43" t="s">
        <v>4834</v>
      </c>
      <c r="D419" s="40"/>
      <c r="E419" s="82"/>
      <c r="F419" s="81"/>
    </row>
    <row r="420" spans="1:7" x14ac:dyDescent="0.25">
      <c r="A420" s="69"/>
      <c r="B420" s="10" t="s">
        <v>3280</v>
      </c>
      <c r="C420" s="43" t="s">
        <v>4341</v>
      </c>
      <c r="D420" s="40"/>
      <c r="E420" s="82"/>
      <c r="F420" s="81"/>
    </row>
    <row r="421" spans="1:7" x14ac:dyDescent="0.25">
      <c r="A421" s="69"/>
      <c r="B421" s="10" t="s">
        <v>3981</v>
      </c>
      <c r="C421" s="51" t="s">
        <v>4835</v>
      </c>
      <c r="D421" s="40"/>
      <c r="E421" s="82"/>
      <c r="F421" s="81"/>
    </row>
    <row r="422" spans="1:7" x14ac:dyDescent="0.25">
      <c r="A422" s="10"/>
      <c r="B422" s="10" t="s">
        <v>3545</v>
      </c>
      <c r="C422" s="37"/>
      <c r="D422" s="44" t="s">
        <v>3544</v>
      </c>
      <c r="E422" s="82"/>
      <c r="F422" s="232">
        <f>SUM(E415:E421)</f>
        <v>0</v>
      </c>
      <c r="G422" s="504"/>
    </row>
    <row r="423" spans="1:7" x14ac:dyDescent="0.25">
      <c r="A423" s="69"/>
      <c r="B423" s="186"/>
      <c r="C423" s="37"/>
      <c r="D423" s="40"/>
      <c r="E423" s="82"/>
      <c r="F423" s="78"/>
    </row>
    <row r="424" spans="1:7" x14ac:dyDescent="0.25">
      <c r="A424" s="168" t="str">
        <f>A415</f>
        <v>30 Sept</v>
      </c>
      <c r="B424" s="187" t="s">
        <v>3543</v>
      </c>
      <c r="C424" s="37" t="s">
        <v>3540</v>
      </c>
      <c r="D424" s="40"/>
      <c r="E424" s="82"/>
      <c r="F424" s="78"/>
    </row>
    <row r="425" spans="1:7" x14ac:dyDescent="0.25">
      <c r="A425" s="10"/>
      <c r="B425" s="187" t="s">
        <v>3543</v>
      </c>
      <c r="C425" s="37" t="s">
        <v>3541</v>
      </c>
      <c r="D425" s="40"/>
      <c r="E425" s="82"/>
      <c r="F425" s="78"/>
    </row>
    <row r="426" spans="1:7" x14ac:dyDescent="0.25">
      <c r="A426" s="10"/>
      <c r="B426" s="187" t="s">
        <v>3543</v>
      </c>
      <c r="C426" s="37" t="s">
        <v>3542</v>
      </c>
      <c r="D426" s="40"/>
      <c r="E426" s="82"/>
      <c r="F426" s="78"/>
    </row>
    <row r="427" spans="1:7" x14ac:dyDescent="0.25">
      <c r="A427" s="69"/>
      <c r="B427" s="187" t="s">
        <v>3543</v>
      </c>
      <c r="C427" s="37" t="s">
        <v>3778</v>
      </c>
      <c r="D427" s="40"/>
      <c r="E427" s="82"/>
      <c r="F427" s="78"/>
    </row>
    <row r="428" spans="1:7" x14ac:dyDescent="0.25">
      <c r="A428" s="10"/>
      <c r="B428" s="186" t="s">
        <v>3353</v>
      </c>
      <c r="C428" s="37"/>
      <c r="D428" s="40" t="s">
        <v>61</v>
      </c>
      <c r="E428" s="82"/>
      <c r="F428" s="78">
        <f>SUM(E424:E427)</f>
        <v>0</v>
      </c>
    </row>
    <row r="429" spans="1:7" x14ac:dyDescent="0.25">
      <c r="A429" s="168"/>
      <c r="B429" s="185"/>
      <c r="C429" s="37"/>
      <c r="D429" s="40"/>
      <c r="E429" s="82"/>
      <c r="F429" s="78"/>
    </row>
    <row r="430" spans="1:7" x14ac:dyDescent="0.25">
      <c r="A430" s="69" t="str">
        <f>A424</f>
        <v>30 Sept</v>
      </c>
      <c r="B430" s="187" t="s">
        <v>3543</v>
      </c>
      <c r="C430" s="37" t="s">
        <v>3540</v>
      </c>
      <c r="D430" s="40"/>
      <c r="E430" s="82"/>
      <c r="F430" s="78"/>
    </row>
    <row r="431" spans="1:7" x14ac:dyDescent="0.25">
      <c r="A431" s="10"/>
      <c r="B431" s="187" t="s">
        <v>3543</v>
      </c>
      <c r="C431" s="37" t="s">
        <v>3541</v>
      </c>
      <c r="D431" s="40"/>
      <c r="E431" s="82"/>
      <c r="F431" s="78"/>
    </row>
    <row r="432" spans="1:7" x14ac:dyDescent="0.25">
      <c r="A432" s="69"/>
      <c r="B432" s="187" t="s">
        <v>3543</v>
      </c>
      <c r="C432" s="37" t="s">
        <v>3542</v>
      </c>
      <c r="D432" s="40"/>
      <c r="E432" s="82"/>
      <c r="F432" s="78"/>
    </row>
    <row r="433" spans="1:6" x14ac:dyDescent="0.25">
      <c r="A433" s="10"/>
      <c r="B433" s="187" t="s">
        <v>3543</v>
      </c>
      <c r="C433" s="37" t="s">
        <v>3778</v>
      </c>
      <c r="D433" s="40"/>
      <c r="E433" s="82"/>
      <c r="F433" s="78"/>
    </row>
    <row r="434" spans="1:6" x14ac:dyDescent="0.25">
      <c r="A434" s="168"/>
      <c r="B434" s="186" t="s">
        <v>3353</v>
      </c>
      <c r="C434" s="37"/>
      <c r="D434" s="40" t="s">
        <v>3682</v>
      </c>
      <c r="E434" s="82"/>
      <c r="F434" s="78">
        <f>SUM(E430:E433)</f>
        <v>0</v>
      </c>
    </row>
    <row r="435" spans="1:6" x14ac:dyDescent="0.25">
      <c r="A435" s="10"/>
      <c r="B435" s="185"/>
      <c r="C435" s="37"/>
      <c r="D435" s="40"/>
      <c r="E435" s="82"/>
      <c r="F435" s="81"/>
    </row>
    <row r="436" spans="1:6" x14ac:dyDescent="0.25">
      <c r="A436" s="69" t="str">
        <f>A424</f>
        <v>30 Sept</v>
      </c>
      <c r="B436" s="187" t="s">
        <v>3543</v>
      </c>
      <c r="C436" s="37" t="s">
        <v>3540</v>
      </c>
      <c r="D436" s="40"/>
      <c r="E436" s="82"/>
      <c r="F436" s="81"/>
    </row>
    <row r="437" spans="1:6" x14ac:dyDescent="0.25">
      <c r="A437" s="69"/>
      <c r="B437" s="187" t="s">
        <v>3543</v>
      </c>
      <c r="C437" s="37" t="s">
        <v>3541</v>
      </c>
      <c r="D437" s="40"/>
      <c r="E437" s="82"/>
      <c r="F437" s="232"/>
    </row>
    <row r="438" spans="1:6" x14ac:dyDescent="0.25">
      <c r="A438" s="10"/>
      <c r="B438" s="187" t="s">
        <v>3543</v>
      </c>
      <c r="C438" s="37" t="s">
        <v>3542</v>
      </c>
      <c r="D438" s="40"/>
      <c r="E438" s="82"/>
      <c r="F438" s="81"/>
    </row>
    <row r="439" spans="1:6" x14ac:dyDescent="0.25">
      <c r="A439" s="10"/>
      <c r="B439" s="187" t="s">
        <v>3543</v>
      </c>
      <c r="C439" s="37" t="s">
        <v>3778</v>
      </c>
      <c r="D439" s="40"/>
      <c r="E439" s="82"/>
      <c r="F439" s="78"/>
    </row>
    <row r="440" spans="1:6" x14ac:dyDescent="0.25">
      <c r="A440" s="10"/>
      <c r="B440" s="186" t="s">
        <v>3353</v>
      </c>
      <c r="C440" s="37"/>
      <c r="D440" s="40" t="s">
        <v>3683</v>
      </c>
      <c r="E440" s="82"/>
      <c r="F440" s="78">
        <f>SUM(E436:E439)</f>
        <v>0</v>
      </c>
    </row>
    <row r="441" spans="1:6" x14ac:dyDescent="0.25">
      <c r="A441" s="10"/>
      <c r="B441" s="185"/>
      <c r="C441" s="37"/>
      <c r="D441" s="40"/>
      <c r="E441" s="82"/>
      <c r="F441" s="81"/>
    </row>
    <row r="442" spans="1:6" x14ac:dyDescent="0.25">
      <c r="A442" s="69" t="str">
        <f>A424</f>
        <v>30 Sept</v>
      </c>
      <c r="B442" s="185" t="s">
        <v>3337</v>
      </c>
      <c r="C442" s="37" t="s">
        <v>3546</v>
      </c>
      <c r="D442" s="40"/>
      <c r="E442" s="82"/>
      <c r="F442" s="81"/>
    </row>
    <row r="443" spans="1:6" x14ac:dyDescent="0.25">
      <c r="A443" s="10"/>
      <c r="B443" s="185" t="s">
        <v>3336</v>
      </c>
      <c r="C443" s="37"/>
      <c r="D443" s="40" t="s">
        <v>3335</v>
      </c>
      <c r="E443" s="82"/>
      <c r="F443" s="81">
        <f>E442</f>
        <v>0</v>
      </c>
    </row>
    <row r="444" spans="1:6" x14ac:dyDescent="0.25">
      <c r="A444" s="10"/>
      <c r="B444" s="185"/>
      <c r="C444" s="37"/>
      <c r="D444" s="40"/>
      <c r="E444" s="82"/>
      <c r="F444" s="81"/>
    </row>
    <row r="445" spans="1:6" ht="15.75" thickBot="1" x14ac:dyDescent="0.3">
      <c r="A445" s="655"/>
      <c r="B445" s="655"/>
      <c r="C445" s="655"/>
      <c r="D445" s="655"/>
      <c r="E445" s="105">
        <f>SUM(E415:E444)</f>
        <v>0</v>
      </c>
      <c r="F445" s="105">
        <f>SUM(F415:F444)</f>
        <v>0</v>
      </c>
    </row>
    <row r="458" spans="1:6" x14ac:dyDescent="0.25">
      <c r="A458" s="50" t="s">
        <v>0</v>
      </c>
      <c r="B458" s="50"/>
      <c r="C458" s="50"/>
      <c r="D458" s="9"/>
      <c r="E458" s="84"/>
      <c r="F458" s="75"/>
    </row>
    <row r="459" spans="1:6" x14ac:dyDescent="0.25">
      <c r="A459" s="50" t="s">
        <v>1</v>
      </c>
      <c r="B459" s="50"/>
      <c r="C459" s="50"/>
      <c r="D459" s="9"/>
      <c r="E459" s="84"/>
      <c r="F459" s="75"/>
    </row>
    <row r="460" spans="1:6" x14ac:dyDescent="0.25">
      <c r="A460" s="50" t="s">
        <v>16</v>
      </c>
      <c r="B460" s="50"/>
      <c r="C460" s="50"/>
      <c r="D460" s="9"/>
      <c r="E460" s="84"/>
      <c r="F460" s="75"/>
    </row>
    <row r="461" spans="1:6" x14ac:dyDescent="0.25">
      <c r="A461" s="643" t="s">
        <v>3547</v>
      </c>
      <c r="B461" s="643"/>
      <c r="C461" s="643"/>
      <c r="D461" s="643"/>
      <c r="E461" s="643"/>
      <c r="F461" s="643"/>
    </row>
    <row r="462" spans="1:6" x14ac:dyDescent="0.25">
      <c r="A462" s="643" t="s">
        <v>3583</v>
      </c>
      <c r="B462" s="643"/>
      <c r="C462" s="643"/>
      <c r="D462" s="643"/>
      <c r="E462" s="643"/>
      <c r="F462" s="643"/>
    </row>
    <row r="463" spans="1:6" ht="15.75" thickBot="1" x14ac:dyDescent="0.3">
      <c r="A463" s="1"/>
      <c r="B463" s="1"/>
      <c r="C463" s="1"/>
      <c r="D463" s="1"/>
      <c r="E463" s="85"/>
      <c r="F463" s="76"/>
    </row>
    <row r="464" spans="1:6" ht="22.5" x14ac:dyDescent="0.25">
      <c r="A464" s="53" t="s">
        <v>3</v>
      </c>
      <c r="B464" s="184" t="s">
        <v>3278</v>
      </c>
      <c r="C464" s="661" t="s">
        <v>5</v>
      </c>
      <c r="D464" s="661"/>
      <c r="E464" s="86" t="s">
        <v>57</v>
      </c>
      <c r="F464" s="77" t="s">
        <v>58</v>
      </c>
    </row>
    <row r="465" spans="1:6" x14ac:dyDescent="0.25">
      <c r="A465" s="168" t="s">
        <v>3701</v>
      </c>
      <c r="B465" s="10" t="s">
        <v>3279</v>
      </c>
      <c r="C465" s="43" t="s">
        <v>3281</v>
      </c>
      <c r="D465" s="40"/>
      <c r="E465" s="82"/>
      <c r="F465" s="181"/>
    </row>
    <row r="466" spans="1:6" x14ac:dyDescent="0.25">
      <c r="A466" s="168"/>
      <c r="B466" s="10" t="s">
        <v>3279</v>
      </c>
      <c r="C466" s="43" t="s">
        <v>3671</v>
      </c>
      <c r="D466" s="40"/>
      <c r="E466" s="82"/>
      <c r="F466" s="78"/>
    </row>
    <row r="467" spans="1:6" x14ac:dyDescent="0.25">
      <c r="A467" s="69"/>
      <c r="B467" s="10" t="s">
        <v>3279</v>
      </c>
      <c r="C467" s="43" t="s">
        <v>3672</v>
      </c>
      <c r="D467" s="40"/>
      <c r="E467" s="82"/>
      <c r="F467" s="78"/>
    </row>
    <row r="468" spans="1:6" x14ac:dyDescent="0.25">
      <c r="A468" s="69"/>
      <c r="B468" s="10" t="s">
        <v>3280</v>
      </c>
      <c r="C468" s="43" t="s">
        <v>4957</v>
      </c>
      <c r="D468" s="40"/>
      <c r="E468" s="82"/>
      <c r="F468" s="78"/>
    </row>
    <row r="469" spans="1:6" x14ac:dyDescent="0.25">
      <c r="A469" s="69"/>
      <c r="B469" s="10" t="s">
        <v>3280</v>
      </c>
      <c r="C469" s="43" t="s">
        <v>4340</v>
      </c>
      <c r="D469" s="40"/>
      <c r="E469" s="82"/>
      <c r="F469" s="78"/>
    </row>
    <row r="470" spans="1:6" x14ac:dyDescent="0.25">
      <c r="A470" s="69"/>
      <c r="B470" s="10" t="s">
        <v>3280</v>
      </c>
      <c r="C470" s="43" t="s">
        <v>4958</v>
      </c>
      <c r="D470" s="40"/>
      <c r="E470" s="82"/>
      <c r="F470" s="78"/>
    </row>
    <row r="471" spans="1:6" x14ac:dyDescent="0.25">
      <c r="A471" s="69"/>
      <c r="B471" s="10" t="s">
        <v>3981</v>
      </c>
      <c r="C471" s="51" t="s">
        <v>3982</v>
      </c>
      <c r="D471" s="40"/>
      <c r="E471" s="82"/>
      <c r="F471" s="78"/>
    </row>
    <row r="472" spans="1:6" x14ac:dyDescent="0.25">
      <c r="A472" s="10"/>
      <c r="B472" s="10" t="s">
        <v>3545</v>
      </c>
      <c r="C472" s="37"/>
      <c r="D472" s="44" t="s">
        <v>3544</v>
      </c>
      <c r="E472" s="82"/>
      <c r="F472" s="78">
        <f>SUM(E465:E471)</f>
        <v>0</v>
      </c>
    </row>
    <row r="473" spans="1:6" x14ac:dyDescent="0.25">
      <c r="A473" s="69"/>
      <c r="B473" s="186"/>
      <c r="C473" s="37"/>
      <c r="D473" s="40"/>
      <c r="E473" s="82"/>
      <c r="F473" s="78"/>
    </row>
    <row r="474" spans="1:6" x14ac:dyDescent="0.25">
      <c r="A474" s="168" t="str">
        <f>A465</f>
        <v>31 Okt</v>
      </c>
      <c r="B474" s="187" t="s">
        <v>3543</v>
      </c>
      <c r="C474" s="37" t="s">
        <v>3540</v>
      </c>
      <c r="D474" s="40"/>
      <c r="E474" s="82"/>
      <c r="F474" s="78"/>
    </row>
    <row r="475" spans="1:6" x14ac:dyDescent="0.25">
      <c r="A475" s="10"/>
      <c r="B475" s="187" t="s">
        <v>3543</v>
      </c>
      <c r="C475" s="37" t="s">
        <v>3541</v>
      </c>
      <c r="D475" s="40"/>
      <c r="E475" s="82"/>
      <c r="F475" s="78"/>
    </row>
    <row r="476" spans="1:6" x14ac:dyDescent="0.25">
      <c r="A476" s="10"/>
      <c r="B476" s="187" t="s">
        <v>3543</v>
      </c>
      <c r="C476" s="37" t="s">
        <v>3542</v>
      </c>
      <c r="D476" s="40"/>
      <c r="E476" s="82"/>
      <c r="F476" s="78"/>
    </row>
    <row r="477" spans="1:6" x14ac:dyDescent="0.25">
      <c r="A477" s="69"/>
      <c r="B477" s="187" t="s">
        <v>3543</v>
      </c>
      <c r="C477" s="37" t="s">
        <v>3778</v>
      </c>
      <c r="D477" s="40"/>
      <c r="E477" s="82"/>
      <c r="F477" s="78"/>
    </row>
    <row r="478" spans="1:6" x14ac:dyDescent="0.25">
      <c r="A478" s="10"/>
      <c r="B478" s="186" t="s">
        <v>3353</v>
      </c>
      <c r="C478" s="37"/>
      <c r="D478" s="40" t="s">
        <v>61</v>
      </c>
      <c r="E478" s="82"/>
      <c r="F478" s="78">
        <f>SUM(E474:E477)</f>
        <v>0</v>
      </c>
    </row>
    <row r="479" spans="1:6" x14ac:dyDescent="0.25">
      <c r="A479" s="168" t="str">
        <f>A474</f>
        <v>31 Okt</v>
      </c>
      <c r="B479" s="185"/>
      <c r="C479" s="37"/>
      <c r="D479" s="40"/>
      <c r="E479" s="82"/>
      <c r="F479" s="78"/>
    </row>
    <row r="480" spans="1:6" x14ac:dyDescent="0.25">
      <c r="A480" s="10"/>
      <c r="B480" s="187" t="s">
        <v>3543</v>
      </c>
      <c r="C480" s="37" t="s">
        <v>3540</v>
      </c>
      <c r="D480" s="40"/>
      <c r="E480" s="82"/>
      <c r="F480" s="78"/>
    </row>
    <row r="481" spans="1:6" x14ac:dyDescent="0.25">
      <c r="A481" s="10"/>
      <c r="B481" s="187" t="s">
        <v>3543</v>
      </c>
      <c r="C481" s="37" t="s">
        <v>3541</v>
      </c>
      <c r="D481" s="40"/>
      <c r="E481" s="82"/>
      <c r="F481" s="78"/>
    </row>
    <row r="482" spans="1:6" x14ac:dyDescent="0.25">
      <c r="A482" s="69"/>
      <c r="B482" s="187" t="s">
        <v>3543</v>
      </c>
      <c r="C482" s="37" t="s">
        <v>3542</v>
      </c>
      <c r="D482" s="40"/>
      <c r="E482" s="82"/>
      <c r="F482" s="78"/>
    </row>
    <row r="483" spans="1:6" x14ac:dyDescent="0.25">
      <c r="A483" s="10"/>
      <c r="B483" s="187" t="s">
        <v>3543</v>
      </c>
      <c r="C483" s="37" t="s">
        <v>3778</v>
      </c>
      <c r="D483" s="40"/>
      <c r="E483" s="82"/>
      <c r="F483" s="78"/>
    </row>
    <row r="484" spans="1:6" x14ac:dyDescent="0.25">
      <c r="A484" s="168" t="str">
        <f>A479</f>
        <v>31 Okt</v>
      </c>
      <c r="B484" s="186" t="s">
        <v>3353</v>
      </c>
      <c r="C484" s="37"/>
      <c r="D484" s="40" t="s">
        <v>3682</v>
      </c>
      <c r="E484" s="82"/>
      <c r="F484" s="78">
        <f>SUM(E480:E483)</f>
        <v>0</v>
      </c>
    </row>
    <row r="485" spans="1:6" x14ac:dyDescent="0.25">
      <c r="A485" s="10"/>
      <c r="B485" s="185"/>
      <c r="C485" s="37"/>
      <c r="D485" s="40"/>
      <c r="E485" s="82"/>
      <c r="F485" s="81"/>
    </row>
    <row r="486" spans="1:6" x14ac:dyDescent="0.25">
      <c r="A486" s="10"/>
      <c r="B486" s="187" t="s">
        <v>3543</v>
      </c>
      <c r="C486" s="37" t="s">
        <v>3540</v>
      </c>
      <c r="D486" s="40"/>
      <c r="E486" s="82"/>
      <c r="F486" s="81"/>
    </row>
    <row r="487" spans="1:6" x14ac:dyDescent="0.25">
      <c r="A487" s="69"/>
      <c r="B487" s="187" t="s">
        <v>3543</v>
      </c>
      <c r="C487" s="37" t="s">
        <v>3541</v>
      </c>
      <c r="D487" s="40"/>
      <c r="E487" s="82"/>
      <c r="F487" s="232"/>
    </row>
    <row r="488" spans="1:6" x14ac:dyDescent="0.25">
      <c r="A488" s="10"/>
      <c r="B488" s="187" t="s">
        <v>3543</v>
      </c>
      <c r="C488" s="37" t="s">
        <v>3542</v>
      </c>
      <c r="D488" s="40"/>
      <c r="E488" s="82"/>
      <c r="F488" s="81"/>
    </row>
    <row r="489" spans="1:6" x14ac:dyDescent="0.25">
      <c r="A489" s="10" t="str">
        <f>A474</f>
        <v>31 Okt</v>
      </c>
      <c r="B489" s="187" t="s">
        <v>3543</v>
      </c>
      <c r="C489" s="37" t="s">
        <v>3778</v>
      </c>
      <c r="D489" s="40"/>
      <c r="E489" s="82"/>
      <c r="F489" s="78"/>
    </row>
    <row r="490" spans="1:6" x14ac:dyDescent="0.25">
      <c r="A490" s="10"/>
      <c r="B490" s="186" t="s">
        <v>3353</v>
      </c>
      <c r="C490" s="37"/>
      <c r="D490" s="40" t="s">
        <v>3683</v>
      </c>
      <c r="E490" s="87"/>
      <c r="F490" s="78">
        <f>SUM(E486:E489)</f>
        <v>0</v>
      </c>
    </row>
    <row r="491" spans="1:6" x14ac:dyDescent="0.25">
      <c r="A491" s="10"/>
      <c r="B491" s="185"/>
      <c r="C491" s="37"/>
      <c r="D491" s="40"/>
      <c r="E491" s="82"/>
      <c r="F491" s="81"/>
    </row>
    <row r="492" spans="1:6" x14ac:dyDescent="0.25">
      <c r="A492" s="10"/>
      <c r="B492" s="185" t="s">
        <v>3337</v>
      </c>
      <c r="C492" s="37" t="s">
        <v>3546</v>
      </c>
      <c r="D492" s="40"/>
      <c r="E492" s="82"/>
      <c r="F492" s="81"/>
    </row>
    <row r="493" spans="1:6" x14ac:dyDescent="0.25">
      <c r="A493" s="10"/>
      <c r="B493" s="185" t="s">
        <v>3336</v>
      </c>
      <c r="C493" s="37"/>
      <c r="D493" s="40" t="s">
        <v>3335</v>
      </c>
      <c r="E493" s="82"/>
      <c r="F493" s="81">
        <f>E492</f>
        <v>0</v>
      </c>
    </row>
    <row r="494" spans="1:6" x14ac:dyDescent="0.25">
      <c r="A494" s="10"/>
      <c r="B494" s="185"/>
      <c r="C494" s="37"/>
      <c r="D494" s="40"/>
      <c r="E494" s="82"/>
      <c r="F494" s="81"/>
    </row>
    <row r="495" spans="1:6" ht="15.75" thickBot="1" x14ac:dyDescent="0.3">
      <c r="A495" s="655"/>
      <c r="B495" s="655"/>
      <c r="C495" s="655"/>
      <c r="D495" s="655"/>
      <c r="E495" s="105">
        <f>SUM(E466:E494)</f>
        <v>0</v>
      </c>
      <c r="F495" s="106">
        <f>SUM(F466:F494)</f>
        <v>0</v>
      </c>
    </row>
    <row r="508" spans="1:6" x14ac:dyDescent="0.25">
      <c r="A508" s="50"/>
      <c r="B508" s="50"/>
      <c r="C508" s="50"/>
      <c r="D508" s="9"/>
      <c r="E508" s="84"/>
      <c r="F508" s="75"/>
    </row>
    <row r="509" spans="1:6" x14ac:dyDescent="0.25">
      <c r="A509" s="50" t="s">
        <v>0</v>
      </c>
      <c r="B509" s="50"/>
      <c r="C509" s="50"/>
      <c r="D509" s="9"/>
      <c r="E509" s="84"/>
      <c r="F509" s="75"/>
    </row>
    <row r="510" spans="1:6" x14ac:dyDescent="0.25">
      <c r="A510" s="50" t="s">
        <v>1</v>
      </c>
      <c r="B510" s="50"/>
      <c r="C510" s="50"/>
      <c r="D510" s="9"/>
      <c r="E510" s="84"/>
      <c r="F510" s="75"/>
    </row>
    <row r="511" spans="1:6" x14ac:dyDescent="0.25">
      <c r="A511" s="50" t="s">
        <v>16</v>
      </c>
      <c r="B511" s="50"/>
      <c r="C511" s="50"/>
      <c r="D511" s="9"/>
      <c r="E511" s="84"/>
      <c r="F511" s="75"/>
    </row>
    <row r="512" spans="1:6" x14ac:dyDescent="0.25">
      <c r="A512" s="643" t="s">
        <v>3547</v>
      </c>
      <c r="B512" s="643"/>
      <c r="C512" s="643"/>
      <c r="D512" s="643"/>
      <c r="E512" s="643"/>
      <c r="F512" s="643"/>
    </row>
    <row r="513" spans="1:6" x14ac:dyDescent="0.25">
      <c r="A513" s="643" t="s">
        <v>3810</v>
      </c>
      <c r="B513" s="643"/>
      <c r="C513" s="643"/>
      <c r="D513" s="643"/>
      <c r="E513" s="643"/>
      <c r="F513" s="643"/>
    </row>
    <row r="514" spans="1:6" ht="15.75" thickBot="1" x14ac:dyDescent="0.3">
      <c r="A514" s="1"/>
      <c r="B514" s="1"/>
      <c r="C514" s="1"/>
      <c r="D514" s="1"/>
      <c r="E514" s="85"/>
      <c r="F514" s="76"/>
    </row>
    <row r="515" spans="1:6" ht="22.5" x14ac:dyDescent="0.25">
      <c r="A515" s="53" t="s">
        <v>3</v>
      </c>
      <c r="B515" s="184" t="s">
        <v>3278</v>
      </c>
      <c r="C515" s="661" t="s">
        <v>5</v>
      </c>
      <c r="D515" s="661"/>
      <c r="E515" s="86" t="s">
        <v>57</v>
      </c>
      <c r="F515" s="77" t="s">
        <v>58</v>
      </c>
    </row>
    <row r="516" spans="1:6" x14ac:dyDescent="0.25">
      <c r="A516" s="61" t="s">
        <v>3740</v>
      </c>
      <c r="B516" s="10" t="s">
        <v>3279</v>
      </c>
      <c r="C516" s="43" t="s">
        <v>3281</v>
      </c>
      <c r="D516" s="40"/>
      <c r="E516" s="82"/>
      <c r="F516" s="181"/>
    </row>
    <row r="517" spans="1:6" x14ac:dyDescent="0.25">
      <c r="A517" s="168"/>
      <c r="B517" s="10" t="s">
        <v>3279</v>
      </c>
      <c r="C517" s="43" t="s">
        <v>3671</v>
      </c>
      <c r="D517" s="40"/>
      <c r="E517" s="82"/>
      <c r="F517" s="78"/>
    </row>
    <row r="518" spans="1:6" x14ac:dyDescent="0.25">
      <c r="A518" s="69"/>
      <c r="B518" s="10" t="s">
        <v>3279</v>
      </c>
      <c r="C518" s="43" t="s">
        <v>3672</v>
      </c>
      <c r="D518" s="40"/>
      <c r="E518" s="82"/>
      <c r="F518" s="78"/>
    </row>
    <row r="519" spans="1:6" x14ac:dyDescent="0.25">
      <c r="A519" s="69"/>
      <c r="B519" s="10" t="s">
        <v>3280</v>
      </c>
      <c r="C519" s="43" t="s">
        <v>4959</v>
      </c>
      <c r="D519" s="40"/>
      <c r="E519" s="82"/>
      <c r="F519" s="78"/>
    </row>
    <row r="520" spans="1:6" x14ac:dyDescent="0.25">
      <c r="A520" s="69"/>
      <c r="B520" s="10" t="s">
        <v>3280</v>
      </c>
      <c r="C520" s="43" t="s">
        <v>3782</v>
      </c>
      <c r="D520" s="40"/>
      <c r="E520" s="82"/>
      <c r="F520" s="78"/>
    </row>
    <row r="521" spans="1:6" x14ac:dyDescent="0.25">
      <c r="A521" s="69"/>
      <c r="B521" s="10" t="s">
        <v>3280</v>
      </c>
      <c r="C521" s="43" t="s">
        <v>4135</v>
      </c>
      <c r="D521" s="40"/>
      <c r="E521" s="82"/>
      <c r="F521" s="78"/>
    </row>
    <row r="522" spans="1:6" x14ac:dyDescent="0.25">
      <c r="A522" s="69"/>
      <c r="B522" s="10" t="s">
        <v>3981</v>
      </c>
      <c r="C522" s="51" t="s">
        <v>3982</v>
      </c>
      <c r="D522" s="40"/>
      <c r="E522" s="82"/>
      <c r="F522" s="78"/>
    </row>
    <row r="523" spans="1:6" x14ac:dyDescent="0.25">
      <c r="A523" s="10"/>
      <c r="B523" s="10" t="s">
        <v>3545</v>
      </c>
      <c r="C523" s="37"/>
      <c r="D523" s="44" t="s">
        <v>3544</v>
      </c>
      <c r="E523" s="82"/>
      <c r="F523" s="78">
        <f>SUM(E516:E522)</f>
        <v>0</v>
      </c>
    </row>
    <row r="524" spans="1:6" x14ac:dyDescent="0.25">
      <c r="A524" s="69"/>
      <c r="B524" s="186"/>
      <c r="C524" s="37"/>
      <c r="D524" s="40"/>
      <c r="E524" s="82"/>
      <c r="F524" s="78"/>
    </row>
    <row r="525" spans="1:6" x14ac:dyDescent="0.25">
      <c r="A525" s="168" t="str">
        <f>A516</f>
        <v>30 Nov</v>
      </c>
      <c r="B525" s="187" t="s">
        <v>3543</v>
      </c>
      <c r="C525" s="37" t="s">
        <v>3540</v>
      </c>
      <c r="D525" s="40"/>
      <c r="E525" s="82"/>
      <c r="F525" s="78"/>
    </row>
    <row r="526" spans="1:6" x14ac:dyDescent="0.25">
      <c r="A526" s="10"/>
      <c r="B526" s="187" t="s">
        <v>3543</v>
      </c>
      <c r="C526" s="37" t="s">
        <v>3541</v>
      </c>
      <c r="D526" s="40"/>
      <c r="E526" s="82"/>
      <c r="F526" s="78"/>
    </row>
    <row r="527" spans="1:6" x14ac:dyDescent="0.25">
      <c r="A527" s="10"/>
      <c r="B527" s="187" t="s">
        <v>3543</v>
      </c>
      <c r="C527" s="37" t="s">
        <v>3542</v>
      </c>
      <c r="D527" s="40"/>
      <c r="E527" s="82"/>
      <c r="F527" s="78"/>
    </row>
    <row r="528" spans="1:6" x14ac:dyDescent="0.25">
      <c r="A528" s="69"/>
      <c r="B528" s="187" t="s">
        <v>3543</v>
      </c>
      <c r="C528" s="37" t="s">
        <v>3778</v>
      </c>
      <c r="D528" s="40"/>
      <c r="E528" s="82"/>
      <c r="F528" s="78"/>
    </row>
    <row r="529" spans="1:6" x14ac:dyDescent="0.25">
      <c r="A529" s="10"/>
      <c r="B529" s="186" t="s">
        <v>3353</v>
      </c>
      <c r="C529" s="37"/>
      <c r="D529" s="40" t="s">
        <v>61</v>
      </c>
      <c r="E529" s="82"/>
      <c r="F529" s="78">
        <f>SUM(E525:E528)</f>
        <v>0</v>
      </c>
    </row>
    <row r="530" spans="1:6" x14ac:dyDescent="0.25">
      <c r="A530" s="363"/>
      <c r="B530" s="185"/>
      <c r="C530" s="37"/>
      <c r="D530" s="40"/>
      <c r="E530" s="82"/>
      <c r="F530" s="78"/>
    </row>
    <row r="531" spans="1:6" x14ac:dyDescent="0.25">
      <c r="A531" s="168" t="str">
        <f>A525</f>
        <v>30 Nov</v>
      </c>
      <c r="B531" s="187" t="s">
        <v>3543</v>
      </c>
      <c r="C531" s="37" t="s">
        <v>3540</v>
      </c>
      <c r="D531" s="40"/>
      <c r="E531" s="82"/>
      <c r="F531" s="78"/>
    </row>
    <row r="532" spans="1:6" x14ac:dyDescent="0.25">
      <c r="A532" s="10"/>
      <c r="B532" s="187" t="s">
        <v>3543</v>
      </c>
      <c r="C532" s="37" t="s">
        <v>3541</v>
      </c>
      <c r="D532" s="40"/>
      <c r="E532" s="82"/>
      <c r="F532" s="78"/>
    </row>
    <row r="533" spans="1:6" x14ac:dyDescent="0.25">
      <c r="A533" s="69"/>
      <c r="B533" s="187" t="s">
        <v>3543</v>
      </c>
      <c r="C533" s="37" t="s">
        <v>3542</v>
      </c>
      <c r="D533" s="40"/>
      <c r="E533" s="82"/>
      <c r="F533" s="78"/>
    </row>
    <row r="534" spans="1:6" x14ac:dyDescent="0.25">
      <c r="A534" s="10"/>
      <c r="B534" s="187" t="s">
        <v>3543</v>
      </c>
      <c r="C534" s="37" t="s">
        <v>3778</v>
      </c>
      <c r="D534" s="40"/>
      <c r="E534" s="82"/>
      <c r="F534" s="78"/>
    </row>
    <row r="535" spans="1:6" x14ac:dyDescent="0.25">
      <c r="A535" s="363"/>
      <c r="B535" s="186" t="s">
        <v>3353</v>
      </c>
      <c r="C535" s="37"/>
      <c r="D535" s="40" t="s">
        <v>3682</v>
      </c>
      <c r="E535" s="82"/>
      <c r="F535" s="78">
        <f>SUM(E531:E534)</f>
        <v>0</v>
      </c>
    </row>
    <row r="536" spans="1:6" x14ac:dyDescent="0.25">
      <c r="A536" s="10"/>
      <c r="B536" s="185"/>
      <c r="C536" s="37"/>
      <c r="D536" s="40"/>
      <c r="E536" s="82"/>
      <c r="F536" s="81"/>
    </row>
    <row r="537" spans="1:6" x14ac:dyDescent="0.25">
      <c r="A537" s="168" t="str">
        <f>A531</f>
        <v>30 Nov</v>
      </c>
      <c r="B537" s="187" t="s">
        <v>3543</v>
      </c>
      <c r="C537" s="37" t="s">
        <v>3540</v>
      </c>
      <c r="D537" s="40"/>
      <c r="E537" s="82"/>
      <c r="F537" s="81"/>
    </row>
    <row r="538" spans="1:6" x14ac:dyDescent="0.25">
      <c r="A538" s="69"/>
      <c r="B538" s="187" t="s">
        <v>3543</v>
      </c>
      <c r="C538" s="37" t="s">
        <v>3541</v>
      </c>
      <c r="D538" s="40"/>
      <c r="E538" s="82"/>
      <c r="F538" s="232"/>
    </row>
    <row r="539" spans="1:6" x14ac:dyDescent="0.25">
      <c r="A539" s="10"/>
      <c r="B539" s="187" t="s">
        <v>3543</v>
      </c>
      <c r="C539" s="37" t="s">
        <v>3542</v>
      </c>
      <c r="D539" s="40"/>
      <c r="E539" s="82"/>
      <c r="F539" s="81"/>
    </row>
    <row r="540" spans="1:6" x14ac:dyDescent="0.25">
      <c r="A540" s="363"/>
      <c r="B540" s="187" t="s">
        <v>3543</v>
      </c>
      <c r="C540" s="37" t="s">
        <v>3778</v>
      </c>
      <c r="D540" s="40"/>
      <c r="E540" s="82"/>
      <c r="F540" s="78"/>
    </row>
    <row r="541" spans="1:6" x14ac:dyDescent="0.25">
      <c r="A541" s="10"/>
      <c r="B541" s="186" t="s">
        <v>3353</v>
      </c>
      <c r="C541" s="37"/>
      <c r="D541" s="40" t="s">
        <v>3683</v>
      </c>
      <c r="E541" s="87"/>
      <c r="F541" s="78">
        <f>SUM(E537:E540)</f>
        <v>0</v>
      </c>
    </row>
    <row r="542" spans="1:6" x14ac:dyDescent="0.25">
      <c r="A542" s="10"/>
      <c r="B542" s="185"/>
      <c r="C542" s="37"/>
      <c r="D542" s="40"/>
      <c r="E542" s="82"/>
      <c r="F542" s="81"/>
    </row>
    <row r="543" spans="1:6" x14ac:dyDescent="0.25">
      <c r="A543" s="10" t="str">
        <f>A525</f>
        <v>30 Nov</v>
      </c>
      <c r="B543" s="185" t="s">
        <v>3337</v>
      </c>
      <c r="C543" s="37" t="s">
        <v>3546</v>
      </c>
      <c r="D543" s="40"/>
      <c r="E543" s="82"/>
      <c r="F543" s="81"/>
    </row>
    <row r="544" spans="1:6" x14ac:dyDescent="0.25">
      <c r="A544" s="10"/>
      <c r="B544" s="185" t="s">
        <v>3336</v>
      </c>
      <c r="C544" s="37"/>
      <c r="D544" s="40" t="s">
        <v>3335</v>
      </c>
      <c r="E544" s="82"/>
      <c r="F544" s="81">
        <f>E543</f>
        <v>0</v>
      </c>
    </row>
    <row r="545" spans="1:6" x14ac:dyDescent="0.25">
      <c r="A545" s="10"/>
      <c r="B545" s="19"/>
      <c r="C545" s="37"/>
      <c r="D545" s="40"/>
      <c r="E545" s="82"/>
      <c r="F545" s="104"/>
    </row>
    <row r="546" spans="1:6" x14ac:dyDescent="0.25">
      <c r="A546" s="10"/>
      <c r="B546" s="19"/>
      <c r="C546" s="214"/>
      <c r="D546" s="40"/>
      <c r="E546" s="82"/>
      <c r="F546" s="104"/>
    </row>
    <row r="547" spans="1:6" ht="15.75" thickBot="1" x14ac:dyDescent="0.3">
      <c r="A547" s="655"/>
      <c r="B547" s="655"/>
      <c r="C547" s="655"/>
      <c r="D547" s="655"/>
      <c r="E547" s="105">
        <f>SUM(E517:E542)</f>
        <v>0</v>
      </c>
      <c r="F547" s="106">
        <f>SUM(F517:F542)</f>
        <v>0</v>
      </c>
    </row>
    <row r="558" spans="1:6" x14ac:dyDescent="0.25">
      <c r="A558" s="50" t="s">
        <v>0</v>
      </c>
      <c r="B558" s="50"/>
      <c r="C558" s="50"/>
      <c r="D558" s="9"/>
      <c r="E558" s="84"/>
      <c r="F558" s="75"/>
    </row>
    <row r="559" spans="1:6" x14ac:dyDescent="0.25">
      <c r="A559" s="50" t="s">
        <v>1</v>
      </c>
      <c r="B559" s="50"/>
      <c r="C559" s="50"/>
      <c r="D559" s="9"/>
      <c r="E559" s="84"/>
      <c r="F559" s="75"/>
    </row>
    <row r="560" spans="1:6" x14ac:dyDescent="0.25">
      <c r="A560" s="50" t="s">
        <v>16</v>
      </c>
      <c r="B560" s="50"/>
      <c r="C560" s="50"/>
      <c r="D560" s="9"/>
      <c r="E560" s="84"/>
      <c r="F560" s="75"/>
    </row>
    <row r="561" spans="1:6" x14ac:dyDescent="0.25">
      <c r="A561" s="643" t="s">
        <v>3547</v>
      </c>
      <c r="B561" s="643"/>
      <c r="C561" s="643"/>
      <c r="D561" s="643"/>
      <c r="E561" s="643"/>
      <c r="F561" s="643"/>
    </row>
    <row r="562" spans="1:6" x14ac:dyDescent="0.25">
      <c r="A562" s="643" t="s">
        <v>3758</v>
      </c>
      <c r="B562" s="643"/>
      <c r="C562" s="643"/>
      <c r="D562" s="643"/>
      <c r="E562" s="643"/>
      <c r="F562" s="643"/>
    </row>
    <row r="563" spans="1:6" ht="15.75" thickBot="1" x14ac:dyDescent="0.3">
      <c r="A563" s="1"/>
      <c r="B563" s="1"/>
      <c r="C563" s="1"/>
      <c r="D563" s="1"/>
      <c r="E563" s="85"/>
      <c r="F563" s="76"/>
    </row>
    <row r="564" spans="1:6" ht="22.5" x14ac:dyDescent="0.25">
      <c r="A564" s="53" t="s">
        <v>3</v>
      </c>
      <c r="B564" s="184" t="s">
        <v>3278</v>
      </c>
      <c r="C564" s="661" t="s">
        <v>5</v>
      </c>
      <c r="D564" s="661"/>
      <c r="E564" s="86" t="s">
        <v>57</v>
      </c>
      <c r="F564" s="77" t="s">
        <v>58</v>
      </c>
    </row>
    <row r="565" spans="1:6" x14ac:dyDescent="0.25">
      <c r="A565" s="168" t="s">
        <v>3709</v>
      </c>
      <c r="B565" s="91" t="s">
        <v>3559</v>
      </c>
      <c r="C565" s="65" t="s">
        <v>5237</v>
      </c>
      <c r="D565" s="165"/>
      <c r="E565" s="87"/>
      <c r="F565" s="181"/>
    </row>
    <row r="566" spans="1:6" x14ac:dyDescent="0.25">
      <c r="A566" s="168"/>
      <c r="B566" s="10" t="s">
        <v>3279</v>
      </c>
      <c r="C566" s="43" t="s">
        <v>3281</v>
      </c>
      <c r="D566" s="40"/>
      <c r="E566" s="82"/>
      <c r="F566" s="181"/>
    </row>
    <row r="567" spans="1:6" x14ac:dyDescent="0.25">
      <c r="A567" s="168"/>
      <c r="B567" s="10" t="s">
        <v>3279</v>
      </c>
      <c r="C567" s="43" t="s">
        <v>3671</v>
      </c>
      <c r="D567" s="40"/>
      <c r="E567" s="82"/>
      <c r="F567" s="78"/>
    </row>
    <row r="568" spans="1:6" x14ac:dyDescent="0.25">
      <c r="A568" s="69"/>
      <c r="B568" s="10" t="s">
        <v>3279</v>
      </c>
      <c r="C568" s="43" t="s">
        <v>3672</v>
      </c>
      <c r="D568" s="40"/>
      <c r="E568" s="82"/>
      <c r="F568" s="78"/>
    </row>
    <row r="569" spans="1:6" x14ac:dyDescent="0.25">
      <c r="A569" s="69"/>
      <c r="B569" s="10" t="s">
        <v>3280</v>
      </c>
      <c r="C569" s="43" t="s">
        <v>5239</v>
      </c>
      <c r="D569" s="40"/>
      <c r="E569" s="82"/>
      <c r="F569" s="78"/>
    </row>
    <row r="570" spans="1:6" x14ac:dyDescent="0.25">
      <c r="A570" s="69"/>
      <c r="B570" s="10" t="s">
        <v>3280</v>
      </c>
      <c r="C570" s="43" t="s">
        <v>4422</v>
      </c>
      <c r="D570" s="40"/>
      <c r="E570" s="82"/>
      <c r="F570" s="78"/>
    </row>
    <row r="571" spans="1:6" x14ac:dyDescent="0.25">
      <c r="A571" s="69"/>
      <c r="B571" s="10" t="s">
        <v>3280</v>
      </c>
      <c r="C571" s="43" t="s">
        <v>5240</v>
      </c>
      <c r="D571" s="40"/>
      <c r="E571" s="82"/>
      <c r="F571" s="78"/>
    </row>
    <row r="572" spans="1:6" x14ac:dyDescent="0.25">
      <c r="A572" s="69"/>
      <c r="B572" s="10" t="s">
        <v>3981</v>
      </c>
      <c r="C572" s="51" t="s">
        <v>5238</v>
      </c>
      <c r="D572" s="40"/>
      <c r="E572" s="82"/>
      <c r="F572" s="78"/>
    </row>
    <row r="573" spans="1:6" x14ac:dyDescent="0.25">
      <c r="A573" s="69"/>
      <c r="B573" s="10" t="s">
        <v>3545</v>
      </c>
      <c r="C573" s="37"/>
      <c r="D573" s="44" t="s">
        <v>3544</v>
      </c>
      <c r="E573" s="82"/>
      <c r="F573" s="78">
        <f>SUM(E565:E572)</f>
        <v>0</v>
      </c>
    </row>
    <row r="574" spans="1:6" x14ac:dyDescent="0.25">
      <c r="A574" s="69"/>
      <c r="B574" s="186"/>
      <c r="C574" s="37"/>
      <c r="D574" s="40"/>
      <c r="E574" s="82"/>
      <c r="F574" s="78"/>
    </row>
    <row r="575" spans="1:6" x14ac:dyDescent="0.25">
      <c r="A575" s="168" t="str">
        <f>A565</f>
        <v>31 Des</v>
      </c>
      <c r="B575" s="187" t="s">
        <v>3543</v>
      </c>
      <c r="C575" s="37" t="s">
        <v>3540</v>
      </c>
      <c r="D575" s="40"/>
      <c r="E575" s="82"/>
      <c r="F575" s="78"/>
    </row>
    <row r="576" spans="1:6" x14ac:dyDescent="0.25">
      <c r="A576" s="10"/>
      <c r="B576" s="187" t="s">
        <v>3543</v>
      </c>
      <c r="C576" s="37" t="s">
        <v>3541</v>
      </c>
      <c r="D576" s="40"/>
      <c r="E576" s="82"/>
      <c r="F576" s="78"/>
    </row>
    <row r="577" spans="1:6" x14ac:dyDescent="0.25">
      <c r="A577" s="10"/>
      <c r="B577" s="187" t="s">
        <v>3543</v>
      </c>
      <c r="C577" s="37" t="s">
        <v>3542</v>
      </c>
      <c r="D577" s="40"/>
      <c r="E577" s="82"/>
      <c r="F577" s="78"/>
    </row>
    <row r="578" spans="1:6" x14ac:dyDescent="0.25">
      <c r="A578" s="69"/>
      <c r="B578" s="187" t="s">
        <v>3543</v>
      </c>
      <c r="C578" s="37" t="s">
        <v>3778</v>
      </c>
      <c r="D578" s="40"/>
      <c r="E578" s="82"/>
      <c r="F578" s="78"/>
    </row>
    <row r="579" spans="1:6" x14ac:dyDescent="0.25">
      <c r="A579" s="10"/>
      <c r="B579" s="186" t="s">
        <v>3353</v>
      </c>
      <c r="C579" s="37"/>
      <c r="D579" s="40" t="s">
        <v>61</v>
      </c>
      <c r="E579" s="82"/>
      <c r="F579" s="78">
        <f>SUM(E575:E578)</f>
        <v>0</v>
      </c>
    </row>
    <row r="580" spans="1:6" x14ac:dyDescent="0.25">
      <c r="A580" s="168"/>
      <c r="B580" s="185"/>
      <c r="C580" s="37"/>
      <c r="D580" s="40"/>
      <c r="E580" s="82"/>
      <c r="F580" s="78"/>
    </row>
    <row r="581" spans="1:6" x14ac:dyDescent="0.25">
      <c r="A581" s="69" t="str">
        <f>A575</f>
        <v>31 Des</v>
      </c>
      <c r="B581" s="187" t="s">
        <v>3543</v>
      </c>
      <c r="C581" s="37" t="s">
        <v>3540</v>
      </c>
      <c r="D581" s="40"/>
      <c r="E581" s="82"/>
      <c r="F581" s="78"/>
    </row>
    <row r="582" spans="1:6" x14ac:dyDescent="0.25">
      <c r="A582" s="10"/>
      <c r="B582" s="187" t="s">
        <v>3543</v>
      </c>
      <c r="C582" s="37" t="s">
        <v>3541</v>
      </c>
      <c r="D582" s="40"/>
      <c r="E582" s="82"/>
      <c r="F582" s="78"/>
    </row>
    <row r="583" spans="1:6" x14ac:dyDescent="0.25">
      <c r="A583" s="69"/>
      <c r="B583" s="187" t="s">
        <v>3543</v>
      </c>
      <c r="C583" s="37" t="s">
        <v>3542</v>
      </c>
      <c r="D583" s="40"/>
      <c r="E583" s="82"/>
      <c r="F583" s="78"/>
    </row>
    <row r="584" spans="1:6" x14ac:dyDescent="0.25">
      <c r="A584" s="10"/>
      <c r="B584" s="187" t="s">
        <v>3543</v>
      </c>
      <c r="C584" s="37" t="s">
        <v>3778</v>
      </c>
      <c r="D584" s="40"/>
      <c r="E584" s="82"/>
      <c r="F584" s="78"/>
    </row>
    <row r="585" spans="1:6" x14ac:dyDescent="0.25">
      <c r="A585" s="168"/>
      <c r="B585" s="186" t="s">
        <v>3353</v>
      </c>
      <c r="C585" s="37"/>
      <c r="D585" s="40" t="s">
        <v>3682</v>
      </c>
      <c r="E585" s="82"/>
      <c r="F585" s="78">
        <f>SUM(E581:E584)</f>
        <v>0</v>
      </c>
    </row>
    <row r="586" spans="1:6" x14ac:dyDescent="0.25">
      <c r="A586" s="10"/>
      <c r="B586" s="185"/>
      <c r="C586" s="37"/>
      <c r="D586" s="40"/>
      <c r="E586" s="82"/>
      <c r="F586" s="81"/>
    </row>
    <row r="587" spans="1:6" x14ac:dyDescent="0.25">
      <c r="A587" s="69" t="str">
        <f>A575</f>
        <v>31 Des</v>
      </c>
      <c r="B587" s="187" t="s">
        <v>3543</v>
      </c>
      <c r="C587" s="37" t="s">
        <v>3540</v>
      </c>
      <c r="D587" s="40"/>
      <c r="E587" s="82"/>
      <c r="F587" s="81"/>
    </row>
    <row r="588" spans="1:6" x14ac:dyDescent="0.25">
      <c r="A588" s="69"/>
      <c r="B588" s="187" t="s">
        <v>3543</v>
      </c>
      <c r="C588" s="37" t="s">
        <v>3541</v>
      </c>
      <c r="D588" s="40"/>
      <c r="E588" s="82"/>
      <c r="F588" s="232"/>
    </row>
    <row r="589" spans="1:6" x14ac:dyDescent="0.25">
      <c r="A589" s="10"/>
      <c r="B589" s="187" t="s">
        <v>3543</v>
      </c>
      <c r="C589" s="37" t="s">
        <v>3542</v>
      </c>
      <c r="D589" s="40"/>
      <c r="E589" s="82"/>
      <c r="F589" s="81"/>
    </row>
    <row r="590" spans="1:6" x14ac:dyDescent="0.25">
      <c r="A590" s="10"/>
      <c r="B590" s="187" t="s">
        <v>3543</v>
      </c>
      <c r="C590" s="37" t="s">
        <v>3778</v>
      </c>
      <c r="D590" s="40"/>
      <c r="E590" s="82"/>
      <c r="F590" s="78"/>
    </row>
    <row r="591" spans="1:6" x14ac:dyDescent="0.25">
      <c r="A591" s="10"/>
      <c r="B591" s="186" t="s">
        <v>3353</v>
      </c>
      <c r="C591" s="37"/>
      <c r="D591" s="40" t="s">
        <v>3683</v>
      </c>
      <c r="E591" s="82"/>
      <c r="F591" s="78">
        <f>SUM(E587:E590)</f>
        <v>0</v>
      </c>
    </row>
    <row r="592" spans="1:6" x14ac:dyDescent="0.25">
      <c r="A592" s="10"/>
      <c r="B592" s="185"/>
      <c r="C592" s="37"/>
      <c r="D592" s="40"/>
      <c r="E592" s="82"/>
      <c r="F592" s="81"/>
    </row>
    <row r="593" spans="1:6" x14ac:dyDescent="0.25">
      <c r="A593" s="69" t="str">
        <f>A575</f>
        <v>31 Des</v>
      </c>
      <c r="B593" s="185" t="s">
        <v>3337</v>
      </c>
      <c r="C593" s="37" t="s">
        <v>3546</v>
      </c>
      <c r="D593" s="40"/>
      <c r="E593" s="82"/>
      <c r="F593" s="81"/>
    </row>
    <row r="594" spans="1:6" x14ac:dyDescent="0.25">
      <c r="A594" s="10"/>
      <c r="B594" s="185" t="s">
        <v>3336</v>
      </c>
      <c r="C594" s="37"/>
      <c r="D594" s="40" t="s">
        <v>3335</v>
      </c>
      <c r="E594" s="82"/>
      <c r="F594" s="81">
        <f>E593</f>
        <v>0</v>
      </c>
    </row>
    <row r="595" spans="1:6" x14ac:dyDescent="0.25">
      <c r="A595" s="10"/>
      <c r="B595" s="19"/>
      <c r="C595" s="37"/>
      <c r="D595" s="40"/>
      <c r="E595" s="82"/>
      <c r="F595" s="104"/>
    </row>
    <row r="596" spans="1:6" x14ac:dyDescent="0.25">
      <c r="A596" s="10"/>
      <c r="B596" s="19"/>
      <c r="C596" s="37"/>
      <c r="D596" s="40"/>
      <c r="E596" s="82"/>
      <c r="F596" s="104"/>
    </row>
    <row r="597" spans="1:6" x14ac:dyDescent="0.25">
      <c r="A597" s="10"/>
      <c r="B597" s="19"/>
      <c r="C597" s="37"/>
      <c r="D597" s="40"/>
      <c r="E597" s="82"/>
      <c r="F597" s="104"/>
    </row>
    <row r="598" spans="1:6" x14ac:dyDescent="0.25">
      <c r="A598" s="10"/>
      <c r="B598" s="19"/>
      <c r="C598" s="37"/>
      <c r="D598" s="40"/>
      <c r="E598" s="82"/>
      <c r="F598" s="104"/>
    </row>
    <row r="599" spans="1:6" x14ac:dyDescent="0.25">
      <c r="A599" s="10"/>
      <c r="B599" s="19"/>
      <c r="C599" s="37"/>
      <c r="D599" s="40"/>
      <c r="E599" s="82"/>
      <c r="F599" s="104"/>
    </row>
    <row r="600" spans="1:6" x14ac:dyDescent="0.25">
      <c r="A600" s="10"/>
      <c r="B600" s="19"/>
      <c r="C600" s="37"/>
      <c r="D600" s="40"/>
      <c r="E600" s="82"/>
      <c r="F600" s="104"/>
    </row>
    <row r="601" spans="1:6" x14ac:dyDescent="0.25">
      <c r="A601" s="10"/>
      <c r="B601" s="19"/>
      <c r="C601" s="214"/>
      <c r="D601" s="40"/>
      <c r="E601" s="82"/>
      <c r="F601" s="104"/>
    </row>
    <row r="602" spans="1:6" ht="15.75" thickBot="1" x14ac:dyDescent="0.3">
      <c r="A602" s="655"/>
      <c r="B602" s="655"/>
      <c r="C602" s="655"/>
      <c r="D602" s="655"/>
      <c r="E602" s="105">
        <f>SUM(E567:E592)</f>
        <v>0</v>
      </c>
      <c r="F602" s="106">
        <f>SUM(F567:F592)</f>
        <v>0</v>
      </c>
    </row>
  </sheetData>
  <mergeCells count="48">
    <mergeCell ref="A547:D547"/>
    <mergeCell ref="A561:F561"/>
    <mergeCell ref="A562:F562"/>
    <mergeCell ref="C564:D564"/>
    <mergeCell ref="A602:D602"/>
    <mergeCell ref="A512:F512"/>
    <mergeCell ref="A461:F461"/>
    <mergeCell ref="A462:F462"/>
    <mergeCell ref="C464:D464"/>
    <mergeCell ref="A495:D495"/>
    <mergeCell ref="A513:F513"/>
    <mergeCell ref="C515:D515"/>
    <mergeCell ref="C313:D313"/>
    <mergeCell ref="A261:F261"/>
    <mergeCell ref="C263:D263"/>
    <mergeCell ref="A310:F310"/>
    <mergeCell ref="A311:F311"/>
    <mergeCell ref="A295:D295"/>
    <mergeCell ref="A445:D445"/>
    <mergeCell ref="A347:D347"/>
    <mergeCell ref="A361:F361"/>
    <mergeCell ref="A362:F362"/>
    <mergeCell ref="C364:D364"/>
    <mergeCell ref="A411:F411"/>
    <mergeCell ref="A396:D396"/>
    <mergeCell ref="A412:F412"/>
    <mergeCell ref="A55:F55"/>
    <mergeCell ref="C57:D57"/>
    <mergeCell ref="A154:F154"/>
    <mergeCell ref="A155:F155"/>
    <mergeCell ref="A104:F104"/>
    <mergeCell ref="A105:F105"/>
    <mergeCell ref="C107:D107"/>
    <mergeCell ref="A140:D140"/>
    <mergeCell ref="A90:D90"/>
    <mergeCell ref="A4:F4"/>
    <mergeCell ref="A5:F5"/>
    <mergeCell ref="C7:D7"/>
    <mergeCell ref="A54:F54"/>
    <mergeCell ref="A40:D40"/>
    <mergeCell ref="C414:D414"/>
    <mergeCell ref="C157:D157"/>
    <mergeCell ref="A191:D191"/>
    <mergeCell ref="A260:F260"/>
    <mergeCell ref="A210:F210"/>
    <mergeCell ref="A211:F211"/>
    <mergeCell ref="C213:D213"/>
    <mergeCell ref="A246:D246"/>
  </mergeCells>
  <phoneticPr fontId="5" type="noConversion"/>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H90"/>
  <sheetViews>
    <sheetView showWhiteSpace="0" view="pageLayout" topLeftCell="A25" workbookViewId="0">
      <selection activeCell="H73" sqref="H73"/>
    </sheetView>
  </sheetViews>
  <sheetFormatPr defaultColWidth="9.140625" defaultRowHeight="12" x14ac:dyDescent="0.2"/>
  <cols>
    <col min="1" max="1" width="6.140625" style="304" customWidth="1"/>
    <col min="2" max="2" width="12" style="304" customWidth="1"/>
    <col min="3" max="3" width="3.140625" style="260" customWidth="1"/>
    <col min="4" max="4" width="22.85546875" style="260" customWidth="1"/>
    <col min="5" max="5" width="10.5703125" style="333" customWidth="1"/>
    <col min="6" max="7" width="15" style="260" customWidth="1"/>
    <col min="8" max="8" width="14.7109375" style="260" customWidth="1"/>
    <col min="9" max="9" width="11.140625" style="260" customWidth="1"/>
    <col min="10" max="10" width="10.5703125" style="260" customWidth="1"/>
    <col min="11" max="11" width="23.85546875" style="260" customWidth="1"/>
    <col min="12" max="12" width="18.140625" style="260" customWidth="1"/>
    <col min="13" max="16384" width="9.140625" style="260"/>
  </cols>
  <sheetData>
    <row r="1" spans="1:7" x14ac:dyDescent="0.2">
      <c r="A1" s="49" t="s">
        <v>0</v>
      </c>
      <c r="B1" s="329"/>
      <c r="C1" s="49"/>
      <c r="D1" s="331"/>
      <c r="E1" s="332"/>
      <c r="F1" s="331"/>
      <c r="G1" s="331"/>
    </row>
    <row r="2" spans="1:7" x14ac:dyDescent="0.2">
      <c r="A2" s="49" t="s">
        <v>1</v>
      </c>
      <c r="B2" s="329"/>
      <c r="C2" s="49"/>
      <c r="D2" s="331"/>
      <c r="E2" s="332"/>
      <c r="F2" s="331"/>
      <c r="G2" s="331"/>
    </row>
    <row r="3" spans="1:7" x14ac:dyDescent="0.2">
      <c r="A3" s="49" t="s">
        <v>16</v>
      </c>
      <c r="B3" s="329"/>
      <c r="C3" s="49"/>
      <c r="D3" s="331"/>
      <c r="E3" s="332"/>
      <c r="F3" s="331"/>
      <c r="G3" s="331"/>
    </row>
    <row r="4" spans="1:7" x14ac:dyDescent="0.2">
      <c r="A4" s="329"/>
      <c r="B4" s="329"/>
      <c r="C4" s="331"/>
      <c r="D4" s="331"/>
      <c r="E4" s="332"/>
      <c r="F4" s="331"/>
      <c r="G4" s="331"/>
    </row>
    <row r="5" spans="1:7" x14ac:dyDescent="0.2">
      <c r="A5" s="656" t="s">
        <v>65</v>
      </c>
      <c r="B5" s="656"/>
      <c r="C5" s="656"/>
      <c r="D5" s="656"/>
      <c r="E5" s="656"/>
      <c r="F5" s="656"/>
      <c r="G5" s="656"/>
    </row>
    <row r="6" spans="1:7" x14ac:dyDescent="0.2">
      <c r="A6" s="656" t="s">
        <v>5248</v>
      </c>
      <c r="B6" s="656"/>
      <c r="C6" s="656"/>
      <c r="D6" s="656"/>
      <c r="E6" s="656"/>
      <c r="F6" s="656"/>
      <c r="G6" s="656"/>
    </row>
    <row r="7" spans="1:7" ht="12.75" thickBot="1" x14ac:dyDescent="0.25"/>
    <row r="8" spans="1:7" ht="15" customHeight="1" x14ac:dyDescent="0.2">
      <c r="A8" s="339" t="s">
        <v>12</v>
      </c>
      <c r="B8" s="339" t="s">
        <v>3285</v>
      </c>
      <c r="C8" s="717" t="s">
        <v>3282</v>
      </c>
      <c r="D8" s="718"/>
      <c r="E8" s="719"/>
      <c r="F8" s="340" t="s">
        <v>90</v>
      </c>
      <c r="G8" s="341" t="s">
        <v>10</v>
      </c>
    </row>
    <row r="9" spans="1:7" x14ac:dyDescent="0.2">
      <c r="A9" s="334"/>
      <c r="B9" s="357"/>
      <c r="C9" s="336"/>
      <c r="D9" s="337"/>
      <c r="E9" s="342"/>
      <c r="F9" s="335"/>
      <c r="G9" s="338"/>
    </row>
    <row r="10" spans="1:7" x14ac:dyDescent="0.2">
      <c r="A10" s="560">
        <v>46081</v>
      </c>
      <c r="B10" s="330" t="s">
        <v>3745</v>
      </c>
      <c r="C10" s="323" t="s">
        <v>3744</v>
      </c>
      <c r="D10" s="351"/>
      <c r="E10" s="328"/>
      <c r="F10" s="358"/>
      <c r="G10" s="325"/>
    </row>
    <row r="11" spans="1:7" x14ac:dyDescent="0.2">
      <c r="A11" s="326"/>
      <c r="B11" s="330" t="s">
        <v>3743</v>
      </c>
      <c r="C11" s="323"/>
      <c r="D11" s="324" t="s">
        <v>4040</v>
      </c>
      <c r="E11" s="328"/>
      <c r="F11" s="327"/>
      <c r="G11" s="325"/>
    </row>
    <row r="12" spans="1:7" ht="42" customHeight="1" x14ac:dyDescent="0.2">
      <c r="A12" s="326"/>
      <c r="B12" s="330"/>
      <c r="C12" s="725" t="s">
        <v>5652</v>
      </c>
      <c r="D12" s="726"/>
      <c r="E12" s="727"/>
      <c r="F12" s="327"/>
      <c r="G12" s="325"/>
    </row>
    <row r="13" spans="1:7" ht="12" customHeight="1" x14ac:dyDescent="0.2">
      <c r="A13" s="559"/>
      <c r="B13" s="330"/>
      <c r="C13" s="359"/>
      <c r="D13" s="360"/>
      <c r="E13" s="360"/>
      <c r="F13" s="327"/>
      <c r="G13" s="325"/>
    </row>
    <row r="14" spans="1:7" x14ac:dyDescent="0.2">
      <c r="A14" s="322" t="s">
        <v>3722</v>
      </c>
      <c r="B14" s="330" t="s">
        <v>3745</v>
      </c>
      <c r="C14" s="323" t="s">
        <v>3744</v>
      </c>
      <c r="D14" s="351"/>
      <c r="E14" s="328"/>
      <c r="F14" s="566"/>
      <c r="G14" s="325"/>
    </row>
    <row r="15" spans="1:7" x14ac:dyDescent="0.2">
      <c r="A15" s="326"/>
      <c r="B15" s="330" t="s">
        <v>4001</v>
      </c>
      <c r="C15" s="323"/>
      <c r="D15" s="324" t="s">
        <v>5153</v>
      </c>
      <c r="E15" s="328"/>
      <c r="F15" s="327"/>
      <c r="G15" s="325"/>
    </row>
    <row r="16" spans="1:7" ht="36.75" customHeight="1" x14ac:dyDescent="0.2">
      <c r="A16" s="326"/>
      <c r="B16" s="330"/>
      <c r="C16" s="728" t="s">
        <v>5651</v>
      </c>
      <c r="D16" s="729"/>
      <c r="E16" s="730"/>
      <c r="F16" s="327"/>
      <c r="G16" s="325"/>
    </row>
    <row r="17" spans="1:7" ht="12.75" thickBot="1" x14ac:dyDescent="0.25">
      <c r="A17" s="561"/>
      <c r="B17" s="562"/>
      <c r="C17" s="563"/>
      <c r="D17" s="564"/>
      <c r="E17" s="344"/>
      <c r="F17" s="345"/>
      <c r="G17" s="565"/>
    </row>
    <row r="18" spans="1:7" ht="12.75" thickBot="1" x14ac:dyDescent="0.25">
      <c r="A18" s="723" t="s">
        <v>15</v>
      </c>
      <c r="B18" s="724"/>
      <c r="C18" s="724"/>
      <c r="D18" s="724"/>
      <c r="E18" s="321"/>
      <c r="F18" s="48">
        <f>SUM(F10:F15)</f>
        <v>0</v>
      </c>
      <c r="G18" s="48">
        <f>SUM(G10:G15)</f>
        <v>0</v>
      </c>
    </row>
    <row r="20" spans="1:7" x14ac:dyDescent="0.2">
      <c r="F20" s="495"/>
    </row>
    <row r="64" spans="1:7" x14ac:dyDescent="0.2">
      <c r="A64" s="49" t="s">
        <v>0</v>
      </c>
      <c r="B64" s="329"/>
      <c r="C64" s="49"/>
      <c r="D64" s="331"/>
      <c r="E64" s="332"/>
      <c r="F64" s="331"/>
      <c r="G64" s="331"/>
    </row>
    <row r="65" spans="1:8" x14ac:dyDescent="0.2">
      <c r="A65" s="49" t="s">
        <v>1</v>
      </c>
      <c r="B65" s="329"/>
      <c r="C65" s="49"/>
      <c r="D65" s="331"/>
      <c r="E65" s="332"/>
      <c r="F65" s="331"/>
      <c r="G65" s="331"/>
    </row>
    <row r="66" spans="1:8" x14ac:dyDescent="0.2">
      <c r="A66" s="49" t="s">
        <v>16</v>
      </c>
      <c r="B66" s="329"/>
      <c r="C66" s="49"/>
      <c r="D66" s="331"/>
      <c r="E66" s="332"/>
      <c r="F66" s="331"/>
      <c r="G66" s="331"/>
    </row>
    <row r="67" spans="1:8" x14ac:dyDescent="0.2">
      <c r="A67" s="329"/>
      <c r="B67" s="329"/>
      <c r="C67" s="331"/>
      <c r="D67" s="331"/>
      <c r="E67" s="332"/>
      <c r="F67" s="331"/>
      <c r="G67" s="331"/>
    </row>
    <row r="68" spans="1:8" x14ac:dyDescent="0.2">
      <c r="A68" s="656" t="s">
        <v>65</v>
      </c>
      <c r="B68" s="656"/>
      <c r="C68" s="656"/>
      <c r="D68" s="656"/>
      <c r="E68" s="656"/>
      <c r="F68" s="656"/>
      <c r="G68" s="656"/>
    </row>
    <row r="69" spans="1:8" x14ac:dyDescent="0.2">
      <c r="A69" s="656" t="s">
        <v>3803</v>
      </c>
      <c r="B69" s="656"/>
      <c r="C69" s="656"/>
      <c r="D69" s="656"/>
      <c r="E69" s="656"/>
      <c r="F69" s="656"/>
      <c r="G69" s="656"/>
    </row>
    <row r="70" spans="1:8" ht="12.75" thickBot="1" x14ac:dyDescent="0.25"/>
    <row r="71" spans="1:8" x14ac:dyDescent="0.2">
      <c r="A71" s="339" t="s">
        <v>12</v>
      </c>
      <c r="B71" s="339" t="s">
        <v>3285</v>
      </c>
      <c r="C71" s="717" t="s">
        <v>3282</v>
      </c>
      <c r="D71" s="718"/>
      <c r="E71" s="719"/>
      <c r="F71" s="340" t="s">
        <v>90</v>
      </c>
      <c r="G71" s="341" t="s">
        <v>10</v>
      </c>
    </row>
    <row r="72" spans="1:8" x14ac:dyDescent="0.2">
      <c r="A72" s="334"/>
      <c r="B72" s="357"/>
      <c r="C72" s="336"/>
      <c r="D72" s="337"/>
      <c r="E72" s="342"/>
      <c r="F72" s="335"/>
      <c r="G72" s="338"/>
    </row>
    <row r="73" spans="1:8" x14ac:dyDescent="0.2">
      <c r="A73" s="322" t="s">
        <v>3709</v>
      </c>
      <c r="B73" s="330" t="s">
        <v>4001</v>
      </c>
      <c r="C73" s="323" t="s">
        <v>3741</v>
      </c>
      <c r="D73" s="351"/>
      <c r="E73" s="328"/>
      <c r="F73" s="358"/>
      <c r="G73" s="325"/>
      <c r="H73" s="333"/>
    </row>
    <row r="74" spans="1:8" x14ac:dyDescent="0.2">
      <c r="A74" s="326"/>
      <c r="B74" s="330" t="s">
        <v>3925</v>
      </c>
      <c r="C74" s="323"/>
      <c r="D74" s="324" t="s">
        <v>5244</v>
      </c>
      <c r="E74" s="328"/>
      <c r="F74" s="327"/>
      <c r="G74" s="325">
        <f>F73</f>
        <v>0</v>
      </c>
    </row>
    <row r="75" spans="1:8" ht="41.25" customHeight="1" x14ac:dyDescent="0.2">
      <c r="A75" s="326"/>
      <c r="B75" s="330"/>
      <c r="C75" s="720" t="s">
        <v>5243</v>
      </c>
      <c r="D75" s="721"/>
      <c r="E75" s="722"/>
      <c r="F75" s="327"/>
      <c r="G75" s="325"/>
    </row>
    <row r="76" spans="1:8" x14ac:dyDescent="0.2">
      <c r="A76" s="326"/>
      <c r="B76" s="330"/>
      <c r="C76" s="359"/>
      <c r="D76" s="360"/>
      <c r="E76" s="360"/>
      <c r="F76" s="327"/>
      <c r="G76" s="325"/>
    </row>
    <row r="77" spans="1:8" x14ac:dyDescent="0.2">
      <c r="A77" s="326"/>
      <c r="B77" s="330"/>
      <c r="C77" s="343"/>
      <c r="D77" s="351"/>
      <c r="E77" s="328"/>
      <c r="F77" s="327"/>
      <c r="G77" s="325"/>
    </row>
    <row r="78" spans="1:8" ht="12.75" thickBot="1" x14ac:dyDescent="0.25">
      <c r="A78" s="326"/>
      <c r="B78" s="330"/>
      <c r="C78" s="323"/>
      <c r="D78" s="324"/>
      <c r="E78" s="344"/>
      <c r="F78" s="345"/>
      <c r="G78" s="325"/>
    </row>
    <row r="79" spans="1:8" ht="12.75" thickBot="1" x14ac:dyDescent="0.25">
      <c r="A79" s="723" t="s">
        <v>15</v>
      </c>
      <c r="B79" s="724"/>
      <c r="C79" s="724"/>
      <c r="D79" s="724"/>
      <c r="E79" s="321"/>
      <c r="F79" s="48">
        <f>SUM(F73:F78)</f>
        <v>0</v>
      </c>
      <c r="G79" s="48">
        <f>SUM(G73:G78)</f>
        <v>0</v>
      </c>
    </row>
    <row r="89" spans="2:5" x14ac:dyDescent="0.2">
      <c r="B89" s="530"/>
      <c r="C89" s="531"/>
      <c r="D89" s="532"/>
      <c r="E89" s="532"/>
    </row>
    <row r="90" spans="2:5" x14ac:dyDescent="0.2">
      <c r="E90" s="533"/>
    </row>
  </sheetData>
  <mergeCells count="11">
    <mergeCell ref="A5:G5"/>
    <mergeCell ref="A6:G6"/>
    <mergeCell ref="A18:D18"/>
    <mergeCell ref="C8:E8"/>
    <mergeCell ref="C12:E12"/>
    <mergeCell ref="C16:E16"/>
    <mergeCell ref="A68:G68"/>
    <mergeCell ref="A69:G69"/>
    <mergeCell ref="C71:E71"/>
    <mergeCell ref="C75:E75"/>
    <mergeCell ref="A79:D79"/>
  </mergeCells>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M606"/>
  <sheetViews>
    <sheetView showWhiteSpace="0" view="pageLayout" workbookViewId="0">
      <selection activeCell="B15" sqref="B15:E16"/>
    </sheetView>
  </sheetViews>
  <sheetFormatPr defaultRowHeight="15" x14ac:dyDescent="0.25"/>
  <cols>
    <col min="1" max="1" width="5.7109375" style="3" customWidth="1"/>
    <col min="2" max="2" width="9.85546875" customWidth="1"/>
    <col min="3" max="3" width="4.85546875" customWidth="1"/>
    <col min="4" max="4" width="26.5703125" customWidth="1"/>
    <col min="5" max="5" width="6.42578125" customWidth="1"/>
    <col min="6" max="6" width="14.5703125" customWidth="1"/>
    <col min="7" max="7" width="15.28515625" customWidth="1"/>
    <col min="8" max="8" width="14.7109375" customWidth="1"/>
    <col min="9" max="9" width="11.140625" customWidth="1"/>
    <col min="10" max="10" width="10.5703125" customWidth="1"/>
    <col min="11" max="11" width="23.85546875" customWidth="1"/>
    <col min="12" max="12" width="18.140625" customWidth="1"/>
  </cols>
  <sheetData>
    <row r="1" spans="1:13" x14ac:dyDescent="0.25">
      <c r="A1" s="50" t="s">
        <v>0</v>
      </c>
      <c r="B1" s="50"/>
      <c r="C1" s="50"/>
      <c r="D1" s="9"/>
      <c r="E1" s="9"/>
      <c r="F1" s="9"/>
      <c r="G1" s="9"/>
      <c r="H1" s="9"/>
      <c r="I1" s="9"/>
      <c r="J1" s="9"/>
      <c r="K1" s="9"/>
      <c r="L1" s="9"/>
      <c r="M1" s="1"/>
    </row>
    <row r="2" spans="1:13" x14ac:dyDescent="0.25">
      <c r="A2" s="50" t="s">
        <v>1</v>
      </c>
      <c r="B2" s="50"/>
      <c r="C2" s="50"/>
      <c r="D2" s="9"/>
      <c r="E2" s="9"/>
      <c r="F2" s="9"/>
      <c r="G2" s="9"/>
      <c r="H2" s="9"/>
      <c r="I2" s="9"/>
      <c r="J2" s="9"/>
      <c r="K2" s="9"/>
      <c r="L2" s="9"/>
      <c r="M2" s="1"/>
    </row>
    <row r="3" spans="1:13" x14ac:dyDescent="0.25">
      <c r="A3" s="50" t="s">
        <v>16</v>
      </c>
      <c r="B3" s="50"/>
      <c r="C3" s="50"/>
      <c r="D3" s="9"/>
      <c r="E3" s="9"/>
      <c r="F3" s="9"/>
      <c r="G3" s="9"/>
      <c r="H3" s="9"/>
      <c r="I3" s="9"/>
      <c r="J3" s="9"/>
      <c r="K3" s="9"/>
      <c r="L3" s="9"/>
      <c r="M3" s="1"/>
    </row>
    <row r="4" spans="1:13" x14ac:dyDescent="0.25">
      <c r="A4" s="18"/>
      <c r="B4" s="9"/>
      <c r="C4" s="9"/>
      <c r="D4" s="9"/>
      <c r="E4" s="9"/>
      <c r="F4" s="9"/>
      <c r="G4" s="9"/>
      <c r="H4" s="9"/>
      <c r="I4" s="9"/>
      <c r="J4" s="9"/>
      <c r="K4" s="9"/>
      <c r="L4" s="9"/>
      <c r="M4" s="1"/>
    </row>
    <row r="5" spans="1:13" x14ac:dyDescent="0.25">
      <c r="A5" s="643" t="s">
        <v>60</v>
      </c>
      <c r="B5" s="643"/>
      <c r="C5" s="643"/>
      <c r="D5" s="643"/>
      <c r="E5" s="643"/>
      <c r="F5" s="643"/>
      <c r="G5" s="643"/>
      <c r="H5" s="9"/>
      <c r="I5" s="9"/>
      <c r="J5" s="9"/>
      <c r="K5" s="9"/>
      <c r="L5" s="9"/>
      <c r="M5" s="1"/>
    </row>
    <row r="6" spans="1:13" x14ac:dyDescent="0.25">
      <c r="A6" s="643" t="s">
        <v>3235</v>
      </c>
      <c r="B6" s="643"/>
      <c r="C6" s="643"/>
      <c r="D6" s="643"/>
      <c r="E6" s="643"/>
      <c r="F6" s="643"/>
      <c r="G6" s="643"/>
      <c r="H6" s="9"/>
      <c r="I6" s="9"/>
      <c r="J6" s="9"/>
      <c r="K6" s="9"/>
      <c r="L6" s="9"/>
      <c r="M6" s="1"/>
    </row>
    <row r="7" spans="1:13" ht="15.75" thickBot="1" x14ac:dyDescent="0.3">
      <c r="A7" s="19"/>
      <c r="B7" s="1"/>
      <c r="C7" s="1"/>
      <c r="D7" s="1"/>
      <c r="E7" s="1"/>
      <c r="F7" s="1"/>
      <c r="G7" s="1"/>
      <c r="H7" s="1"/>
      <c r="I7" s="1"/>
      <c r="J7" s="1"/>
      <c r="K7" s="1"/>
      <c r="L7" s="1"/>
      <c r="M7" s="1"/>
    </row>
    <row r="8" spans="1:13" ht="27.75" customHeight="1" x14ac:dyDescent="0.25">
      <c r="A8" s="33" t="s">
        <v>55</v>
      </c>
      <c r="B8" s="53" t="s">
        <v>3</v>
      </c>
      <c r="C8" s="661" t="s">
        <v>5</v>
      </c>
      <c r="D8" s="661"/>
      <c r="E8" s="34" t="s">
        <v>56</v>
      </c>
      <c r="F8" s="34" t="s">
        <v>57</v>
      </c>
      <c r="G8" s="35" t="s">
        <v>58</v>
      </c>
      <c r="H8" s="9"/>
      <c r="I8" s="9"/>
      <c r="J8" s="9"/>
      <c r="K8" s="9"/>
      <c r="L8" s="9"/>
      <c r="M8" s="1"/>
    </row>
    <row r="9" spans="1:13" x14ac:dyDescent="0.25">
      <c r="A9" s="42"/>
      <c r="B9" s="24"/>
      <c r="C9" s="36"/>
      <c r="D9" s="39"/>
      <c r="E9" s="24"/>
      <c r="F9" s="24"/>
      <c r="G9" s="25"/>
      <c r="H9" s="9"/>
      <c r="I9" s="9"/>
      <c r="J9" s="9"/>
      <c r="K9" s="9"/>
      <c r="L9" s="2"/>
      <c r="M9" s="1"/>
    </row>
    <row r="10" spans="1:13" x14ac:dyDescent="0.25">
      <c r="A10" s="42">
        <v>1</v>
      </c>
      <c r="B10" s="58" t="s">
        <v>3252</v>
      </c>
      <c r="C10" s="51" t="s">
        <v>62</v>
      </c>
      <c r="D10" s="52"/>
      <c r="E10" s="56" t="s">
        <v>3254</v>
      </c>
      <c r="F10" s="71">
        <v>107317500</v>
      </c>
      <c r="G10" s="25"/>
      <c r="H10" s="9"/>
      <c r="I10" s="9"/>
      <c r="J10" s="9"/>
      <c r="K10" s="9"/>
      <c r="L10" s="2"/>
      <c r="M10" s="1"/>
    </row>
    <row r="11" spans="1:13" x14ac:dyDescent="0.25">
      <c r="A11" s="42"/>
      <c r="B11" s="54"/>
      <c r="C11" s="51" t="s">
        <v>63</v>
      </c>
      <c r="D11" s="52"/>
      <c r="E11" s="56" t="str">
        <f>E10</f>
        <v>JP '18</v>
      </c>
      <c r="F11" s="71">
        <v>7112000</v>
      </c>
      <c r="G11" s="25"/>
      <c r="H11" s="9"/>
      <c r="I11" s="9"/>
      <c r="J11" s="9"/>
      <c r="K11" s="9"/>
      <c r="L11" s="2"/>
      <c r="M11" s="1"/>
    </row>
    <row r="12" spans="1:13" x14ac:dyDescent="0.25">
      <c r="A12" s="42"/>
      <c r="B12" s="54"/>
      <c r="C12" s="51" t="s">
        <v>64</v>
      </c>
      <c r="D12" s="52"/>
      <c r="E12" s="56" t="str">
        <f>E11</f>
        <v>JP '18</v>
      </c>
      <c r="F12" s="71">
        <v>44280000</v>
      </c>
      <c r="G12" s="25"/>
      <c r="H12" s="9"/>
      <c r="I12" s="9"/>
      <c r="J12" s="9"/>
      <c r="K12" s="9"/>
      <c r="L12" s="2"/>
      <c r="M12" s="1"/>
    </row>
    <row r="13" spans="1:13" x14ac:dyDescent="0.25">
      <c r="A13" s="42"/>
      <c r="B13" s="24"/>
      <c r="C13" s="51"/>
      <c r="D13" s="55" t="s">
        <v>61</v>
      </c>
      <c r="E13" s="56" t="str">
        <f>E12</f>
        <v>JP '18</v>
      </c>
      <c r="F13" s="71"/>
      <c r="G13" s="57">
        <f>SUM(F10:F12)</f>
        <v>158709500</v>
      </c>
      <c r="H13" s="18"/>
      <c r="I13" s="18"/>
      <c r="J13" s="23"/>
      <c r="K13" s="23"/>
      <c r="L13" s="2"/>
      <c r="M13" s="1"/>
    </row>
    <row r="14" spans="1:13" x14ac:dyDescent="0.25">
      <c r="A14" s="42"/>
      <c r="B14" s="24"/>
      <c r="C14" s="51"/>
      <c r="D14" s="52"/>
      <c r="E14" s="56"/>
      <c r="F14" s="28"/>
      <c r="G14" s="25"/>
      <c r="H14" s="18"/>
      <c r="I14" s="18"/>
      <c r="J14" s="23"/>
      <c r="K14" s="23"/>
      <c r="L14" s="2"/>
      <c r="M14" s="1"/>
    </row>
    <row r="15" spans="1:13" x14ac:dyDescent="0.25">
      <c r="A15" s="26"/>
      <c r="B15" s="72" t="s">
        <v>3253</v>
      </c>
      <c r="C15" s="51" t="s">
        <v>78</v>
      </c>
      <c r="D15" s="40"/>
      <c r="E15" s="56" t="str">
        <f>E13</f>
        <v>JP '18</v>
      </c>
      <c r="F15" s="28">
        <v>681000</v>
      </c>
      <c r="G15" s="29"/>
      <c r="H15" s="21"/>
      <c r="I15" s="20"/>
      <c r="J15" s="22"/>
      <c r="K15" s="21"/>
      <c r="L15" s="20"/>
      <c r="M15" s="1"/>
    </row>
    <row r="16" spans="1:13" x14ac:dyDescent="0.25">
      <c r="A16" s="30"/>
      <c r="B16" s="31"/>
      <c r="C16" s="38"/>
      <c r="D16" s="41" t="s">
        <v>82</v>
      </c>
      <c r="E16" s="56" t="str">
        <f>E15</f>
        <v>JP '18</v>
      </c>
      <c r="F16" s="31"/>
      <c r="G16" s="45">
        <f>F15</f>
        <v>681000</v>
      </c>
      <c r="H16" s="17"/>
      <c r="I16" s="1"/>
      <c r="J16" s="1"/>
      <c r="K16" s="1"/>
      <c r="L16" s="1"/>
      <c r="M16" s="1"/>
    </row>
    <row r="17" spans="1:13" ht="15.75" thickBot="1" x14ac:dyDescent="0.3">
      <c r="A17" s="30"/>
      <c r="B17" s="31"/>
      <c r="C17" s="38"/>
      <c r="D17" s="41"/>
      <c r="E17" s="31"/>
      <c r="F17" s="31"/>
      <c r="G17" s="32"/>
      <c r="H17" s="17"/>
      <c r="I17" s="1"/>
      <c r="J17" s="1"/>
      <c r="K17" s="1"/>
      <c r="L17" s="1"/>
      <c r="M17" s="1"/>
    </row>
    <row r="18" spans="1:13" ht="20.25" customHeight="1" thickBot="1" x14ac:dyDescent="0.3">
      <c r="A18" s="723" t="s">
        <v>15</v>
      </c>
      <c r="B18" s="724"/>
      <c r="C18" s="724"/>
      <c r="D18" s="724"/>
      <c r="E18" s="724"/>
      <c r="F18" s="48">
        <f>SUM(F10:F17)</f>
        <v>159390500</v>
      </c>
      <c r="G18" s="48">
        <f>SUM(G10:G17)</f>
        <v>159390500</v>
      </c>
      <c r="H18" s="49"/>
      <c r="I18" s="1"/>
      <c r="J18" s="1"/>
      <c r="K18" s="1"/>
      <c r="L18" s="1"/>
      <c r="M18" s="1"/>
    </row>
    <row r="19" spans="1:13" x14ac:dyDescent="0.25">
      <c r="A19" s="19"/>
      <c r="B19" s="1"/>
      <c r="C19" s="1"/>
      <c r="D19" s="1"/>
      <c r="E19" s="1"/>
      <c r="F19" s="1"/>
      <c r="G19" s="1"/>
      <c r="H19" s="17"/>
      <c r="I19" s="1"/>
      <c r="J19" s="1"/>
      <c r="K19" s="1"/>
      <c r="L19" s="1"/>
      <c r="M19" s="1"/>
    </row>
    <row r="20" spans="1:13" x14ac:dyDescent="0.25">
      <c r="A20" s="19"/>
      <c r="B20" s="1"/>
      <c r="C20" s="1"/>
      <c r="D20" s="1"/>
      <c r="E20" s="1"/>
      <c r="F20" s="1"/>
      <c r="G20" s="1"/>
      <c r="H20" s="17"/>
      <c r="I20" s="1"/>
      <c r="J20" s="1"/>
      <c r="K20" s="1"/>
      <c r="L20" s="1"/>
      <c r="M20" s="1"/>
    </row>
    <row r="21" spans="1:13" x14ac:dyDescent="0.25">
      <c r="A21" s="19"/>
      <c r="B21" s="1"/>
      <c r="C21" s="1"/>
      <c r="D21" s="1"/>
      <c r="E21" s="1"/>
      <c r="F21" s="1"/>
      <c r="G21" s="1"/>
      <c r="H21" s="17"/>
      <c r="I21" s="1"/>
      <c r="J21" s="1"/>
      <c r="K21" s="1"/>
      <c r="L21" s="1"/>
      <c r="M21" s="1"/>
    </row>
    <row r="22" spans="1:13" x14ac:dyDescent="0.25">
      <c r="A22" s="19"/>
      <c r="B22" s="1"/>
      <c r="C22" s="1"/>
      <c r="D22" s="1"/>
      <c r="E22" s="1"/>
      <c r="F22" s="1"/>
      <c r="G22" s="1"/>
      <c r="J22" s="1"/>
      <c r="K22" s="1"/>
      <c r="L22" s="1"/>
      <c r="M22" s="1"/>
    </row>
    <row r="23" spans="1:13" x14ac:dyDescent="0.25">
      <c r="A23" s="19"/>
      <c r="B23" s="1"/>
      <c r="C23" s="1"/>
      <c r="D23" s="1"/>
      <c r="E23" s="1"/>
      <c r="F23" s="1"/>
      <c r="G23" s="1"/>
      <c r="J23" s="1"/>
      <c r="K23" s="1"/>
      <c r="L23" s="1"/>
      <c r="M23" s="1"/>
    </row>
    <row r="24" spans="1:13" x14ac:dyDescent="0.25">
      <c r="A24" s="19"/>
      <c r="B24" s="1"/>
      <c r="C24" s="1"/>
      <c r="D24" s="1"/>
      <c r="E24" s="1"/>
      <c r="F24" s="1"/>
      <c r="G24" s="1"/>
      <c r="J24" s="1"/>
      <c r="K24" s="1"/>
      <c r="L24" s="1"/>
      <c r="M24" s="1"/>
    </row>
    <row r="25" spans="1:13" x14ac:dyDescent="0.25">
      <c r="A25" s="19"/>
      <c r="B25" s="1"/>
      <c r="C25" s="1"/>
      <c r="D25" s="1"/>
      <c r="E25" s="1"/>
      <c r="F25" s="1"/>
      <c r="G25" s="1"/>
      <c r="J25" s="1"/>
      <c r="K25" s="1"/>
      <c r="L25" s="1"/>
      <c r="M25" s="1"/>
    </row>
    <row r="26" spans="1:13" x14ac:dyDescent="0.25">
      <c r="A26" s="19"/>
      <c r="B26" s="1"/>
      <c r="C26" s="1"/>
      <c r="D26" s="1"/>
      <c r="E26" s="1"/>
      <c r="F26" s="1"/>
      <c r="G26" s="1"/>
      <c r="J26" s="1"/>
      <c r="K26" s="1"/>
      <c r="L26" s="1"/>
      <c r="M26" s="1"/>
    </row>
    <row r="27" spans="1:13" x14ac:dyDescent="0.25">
      <c r="A27" s="19"/>
      <c r="B27" s="1"/>
      <c r="C27" s="1"/>
      <c r="D27" s="1"/>
      <c r="E27" s="1"/>
      <c r="F27" s="1"/>
      <c r="G27" s="1"/>
      <c r="H27" s="17"/>
      <c r="I27" s="1"/>
      <c r="J27" s="1"/>
      <c r="K27" s="1"/>
      <c r="L27" s="1"/>
      <c r="M27" s="1"/>
    </row>
    <row r="28" spans="1:13" x14ac:dyDescent="0.25">
      <c r="A28" s="19"/>
      <c r="B28" s="1"/>
      <c r="C28" s="1"/>
      <c r="D28" s="1"/>
      <c r="E28" s="1"/>
      <c r="F28" s="1"/>
      <c r="G28" s="1"/>
      <c r="J28" s="1"/>
      <c r="K28" s="1"/>
      <c r="L28" s="1"/>
      <c r="M28" s="1"/>
    </row>
    <row r="29" spans="1:13" x14ac:dyDescent="0.25">
      <c r="A29" s="19"/>
      <c r="B29" s="1"/>
      <c r="C29" s="1"/>
      <c r="D29" s="1"/>
      <c r="E29" s="1"/>
      <c r="F29" s="1"/>
      <c r="G29" s="1"/>
      <c r="J29" s="1"/>
      <c r="K29" s="1"/>
      <c r="L29" s="1"/>
      <c r="M29" s="1"/>
    </row>
    <row r="30" spans="1:13" x14ac:dyDescent="0.25">
      <c r="A30" s="19"/>
      <c r="B30" s="1"/>
      <c r="C30" s="1"/>
      <c r="D30" s="1"/>
      <c r="E30" s="1"/>
      <c r="F30" s="1"/>
      <c r="G30" s="1"/>
      <c r="J30" s="1"/>
      <c r="K30" s="1"/>
      <c r="L30" s="1"/>
      <c r="M30" s="1"/>
    </row>
    <row r="31" spans="1:13" x14ac:dyDescent="0.25">
      <c r="A31" s="19"/>
      <c r="B31" s="1"/>
      <c r="C31" s="1"/>
      <c r="D31" s="1"/>
      <c r="E31" s="1"/>
      <c r="F31" s="1"/>
      <c r="G31" s="1"/>
      <c r="J31" s="1"/>
      <c r="K31" s="1"/>
      <c r="L31" s="1"/>
      <c r="M31" s="1"/>
    </row>
    <row r="32" spans="1:13" x14ac:dyDescent="0.25">
      <c r="A32" s="19"/>
      <c r="B32" s="1"/>
      <c r="C32" s="1"/>
      <c r="D32" s="1"/>
      <c r="E32" s="1"/>
      <c r="F32" s="1"/>
      <c r="G32" s="1"/>
      <c r="J32" s="1"/>
      <c r="K32" s="1"/>
      <c r="L32" s="1"/>
      <c r="M32" s="1"/>
    </row>
    <row r="33" spans="1:13" x14ac:dyDescent="0.25">
      <c r="A33" s="19"/>
      <c r="B33" s="1"/>
      <c r="C33" s="1"/>
      <c r="D33" s="1"/>
      <c r="E33" s="1"/>
      <c r="F33" s="1"/>
      <c r="G33" s="1"/>
      <c r="H33" s="17"/>
      <c r="I33" s="1"/>
      <c r="J33" s="1"/>
      <c r="K33" s="1"/>
      <c r="L33" s="1"/>
      <c r="M33" s="1"/>
    </row>
    <row r="34" spans="1:13" x14ac:dyDescent="0.25">
      <c r="A34" s="19"/>
      <c r="B34" s="1"/>
      <c r="C34" s="1"/>
      <c r="D34" s="1"/>
      <c r="E34" s="1"/>
      <c r="F34" s="1"/>
      <c r="G34" s="1"/>
      <c r="H34" s="17"/>
      <c r="I34" s="1"/>
      <c r="J34" s="1"/>
      <c r="K34" s="1"/>
      <c r="L34" s="1"/>
      <c r="M34" s="1"/>
    </row>
    <row r="35" spans="1:13" x14ac:dyDescent="0.25">
      <c r="A35" s="19"/>
      <c r="B35" s="1"/>
      <c r="C35" s="1"/>
      <c r="D35" s="1"/>
      <c r="E35" s="1"/>
      <c r="F35" s="1"/>
      <c r="G35" s="1"/>
      <c r="H35" s="17"/>
      <c r="I35" s="1"/>
      <c r="J35" s="1"/>
      <c r="K35" s="1"/>
      <c r="L35" s="1"/>
      <c r="M35" s="1"/>
    </row>
    <row r="36" spans="1:13" x14ac:dyDescent="0.25">
      <c r="A36" s="19"/>
      <c r="B36" s="1"/>
      <c r="C36" s="1"/>
      <c r="D36" s="1"/>
      <c r="E36" s="1"/>
      <c r="F36" s="1"/>
      <c r="G36" s="1"/>
      <c r="H36" s="17"/>
      <c r="I36" s="1"/>
      <c r="J36" s="1"/>
      <c r="K36" s="1"/>
      <c r="L36" s="1"/>
      <c r="M36" s="1"/>
    </row>
    <row r="37" spans="1:13" x14ac:dyDescent="0.25">
      <c r="A37" s="19"/>
      <c r="B37" s="1"/>
      <c r="C37" s="1"/>
      <c r="D37" s="1"/>
      <c r="E37" s="1"/>
      <c r="F37" s="1"/>
      <c r="G37" s="1"/>
      <c r="H37" s="17"/>
      <c r="I37" s="1"/>
      <c r="J37" s="1"/>
      <c r="K37" s="1"/>
      <c r="L37" s="1"/>
      <c r="M37" s="1"/>
    </row>
    <row r="38" spans="1:13" x14ac:dyDescent="0.25">
      <c r="A38" s="19"/>
      <c r="B38" s="1"/>
      <c r="C38" s="1"/>
      <c r="D38" s="1"/>
      <c r="E38" s="1"/>
      <c r="F38" s="1"/>
      <c r="G38" s="1"/>
      <c r="H38" s="17"/>
      <c r="I38" s="1"/>
      <c r="J38" s="1"/>
      <c r="K38" s="1"/>
      <c r="L38" s="1"/>
      <c r="M38" s="1"/>
    </row>
    <row r="39" spans="1:13" x14ac:dyDescent="0.25">
      <c r="A39" s="19"/>
      <c r="B39" s="1"/>
      <c r="C39" s="1"/>
      <c r="D39" s="1"/>
      <c r="E39" s="1"/>
      <c r="F39" s="1"/>
      <c r="G39" s="1"/>
      <c r="H39" s="17"/>
      <c r="I39" s="1"/>
      <c r="J39" s="1"/>
      <c r="K39" s="1"/>
      <c r="L39" s="1"/>
      <c r="M39" s="1"/>
    </row>
    <row r="40" spans="1:13" x14ac:dyDescent="0.25">
      <c r="A40" s="19"/>
      <c r="B40" s="1"/>
      <c r="C40" s="1"/>
      <c r="D40" s="1"/>
      <c r="E40" s="1"/>
      <c r="F40" s="1"/>
      <c r="G40" s="1"/>
      <c r="H40" s="17"/>
      <c r="I40" s="1"/>
      <c r="J40" s="1"/>
      <c r="K40" s="1"/>
      <c r="L40" s="1"/>
      <c r="M40" s="1"/>
    </row>
    <row r="41" spans="1:13" x14ac:dyDescent="0.25">
      <c r="A41" s="19"/>
      <c r="B41" s="1"/>
      <c r="C41" s="1"/>
      <c r="D41" s="1"/>
      <c r="E41" s="1"/>
      <c r="F41" s="1"/>
      <c r="G41" s="1"/>
      <c r="H41" s="17"/>
      <c r="I41" s="1"/>
      <c r="J41" s="1"/>
      <c r="K41" s="1"/>
      <c r="L41" s="1"/>
      <c r="M41" s="1"/>
    </row>
    <row r="42" spans="1:13" x14ac:dyDescent="0.25">
      <c r="A42" s="19"/>
      <c r="B42" s="1"/>
      <c r="C42" s="1"/>
      <c r="D42" s="1"/>
      <c r="E42" s="1"/>
      <c r="F42" s="1"/>
      <c r="G42" s="1"/>
      <c r="H42" s="17"/>
      <c r="I42" s="1"/>
      <c r="J42" s="1"/>
      <c r="K42" s="1"/>
      <c r="L42" s="1"/>
      <c r="M42" s="1"/>
    </row>
    <row r="43" spans="1:13" x14ac:dyDescent="0.25">
      <c r="A43" s="19"/>
      <c r="B43" s="1"/>
      <c r="C43" s="1"/>
      <c r="D43" s="1"/>
      <c r="E43" s="1"/>
      <c r="F43" s="1"/>
      <c r="G43" s="1"/>
      <c r="H43" s="17"/>
      <c r="I43" s="1"/>
      <c r="J43" s="1"/>
      <c r="K43" s="1"/>
      <c r="L43" s="1"/>
      <c r="M43" s="1"/>
    </row>
    <row r="44" spans="1:13" x14ac:dyDescent="0.25">
      <c r="A44" s="19"/>
      <c r="B44" s="1"/>
      <c r="C44" s="1"/>
      <c r="D44" s="1"/>
      <c r="E44" s="1"/>
      <c r="F44" s="1"/>
      <c r="G44" s="1"/>
      <c r="H44" s="17"/>
      <c r="I44" s="1"/>
      <c r="J44" s="1"/>
      <c r="K44" s="1"/>
      <c r="L44" s="1"/>
      <c r="M44" s="1"/>
    </row>
    <row r="45" spans="1:13" x14ac:dyDescent="0.25">
      <c r="A45" s="19"/>
      <c r="B45" s="1"/>
      <c r="C45" s="1"/>
      <c r="D45" s="1"/>
      <c r="E45" s="1"/>
      <c r="F45" s="1"/>
      <c r="G45" s="1"/>
      <c r="H45" s="17"/>
      <c r="I45" s="1"/>
      <c r="J45" s="1"/>
      <c r="K45" s="1"/>
      <c r="L45" s="1"/>
      <c r="M45" s="1"/>
    </row>
    <row r="46" spans="1:13" x14ac:dyDescent="0.25">
      <c r="A46" s="19"/>
      <c r="B46" s="1"/>
      <c r="C46" s="1"/>
      <c r="D46" s="1"/>
      <c r="E46" s="1"/>
      <c r="F46" s="1"/>
      <c r="G46" s="1"/>
      <c r="H46" s="17"/>
      <c r="I46" s="1"/>
      <c r="J46" s="1"/>
      <c r="K46" s="1"/>
      <c r="L46" s="1"/>
      <c r="M46" s="1"/>
    </row>
    <row r="47" spans="1:13" x14ac:dyDescent="0.25">
      <c r="A47" s="19"/>
      <c r="B47" s="1"/>
      <c r="C47" s="1"/>
      <c r="D47" s="1"/>
      <c r="E47" s="1"/>
      <c r="F47" s="1"/>
      <c r="G47" s="1"/>
      <c r="H47" s="17"/>
      <c r="I47" s="1"/>
      <c r="J47" s="1"/>
      <c r="K47" s="1"/>
      <c r="L47" s="1"/>
      <c r="M47" s="1"/>
    </row>
    <row r="48" spans="1:13" x14ac:dyDescent="0.25">
      <c r="A48" s="19"/>
      <c r="B48" s="1"/>
      <c r="C48" s="1"/>
      <c r="D48" s="1"/>
      <c r="E48" s="1"/>
      <c r="F48" s="1"/>
      <c r="G48" s="1"/>
      <c r="H48" s="17"/>
      <c r="I48" s="1"/>
      <c r="J48" s="1"/>
      <c r="K48" s="1"/>
      <c r="L48" s="1"/>
      <c r="M48" s="1"/>
    </row>
    <row r="49" spans="1:13" x14ac:dyDescent="0.25">
      <c r="A49" s="19"/>
      <c r="B49" s="1"/>
      <c r="C49" s="1"/>
      <c r="D49" s="1"/>
      <c r="E49" s="1"/>
      <c r="F49" s="1"/>
      <c r="G49" s="1"/>
      <c r="H49" s="17"/>
      <c r="I49" s="1"/>
      <c r="J49" s="1"/>
      <c r="K49" s="1"/>
      <c r="L49" s="1"/>
      <c r="M49" s="1"/>
    </row>
    <row r="50" spans="1:13" x14ac:dyDescent="0.25">
      <c r="A50" s="50" t="s">
        <v>0</v>
      </c>
      <c r="B50" s="50"/>
      <c r="C50" s="50"/>
      <c r="D50" s="9"/>
      <c r="E50" s="9"/>
      <c r="F50" s="9"/>
      <c r="G50" s="9"/>
      <c r="H50" s="17"/>
      <c r="I50" s="1"/>
      <c r="J50" s="1"/>
      <c r="K50" s="1"/>
      <c r="L50" s="1"/>
      <c r="M50" s="1"/>
    </row>
    <row r="51" spans="1:13" x14ac:dyDescent="0.25">
      <c r="A51" s="50" t="s">
        <v>1</v>
      </c>
      <c r="B51" s="50"/>
      <c r="C51" s="50"/>
      <c r="D51" s="9"/>
      <c r="E51" s="9"/>
      <c r="F51" s="9"/>
      <c r="G51" s="9"/>
      <c r="H51" s="17"/>
      <c r="I51" s="1"/>
      <c r="J51" s="1"/>
      <c r="K51" s="1"/>
      <c r="L51" s="1"/>
      <c r="M51" s="1"/>
    </row>
    <row r="52" spans="1:13" x14ac:dyDescent="0.25">
      <c r="A52" s="50" t="s">
        <v>16</v>
      </c>
      <c r="B52" s="50"/>
      <c r="C52" s="50"/>
      <c r="D52" s="9"/>
      <c r="E52" s="9"/>
      <c r="F52" s="9"/>
      <c r="G52" s="9"/>
      <c r="H52" s="17"/>
      <c r="I52" s="1"/>
      <c r="J52" s="1"/>
      <c r="K52" s="1"/>
      <c r="L52" s="1"/>
      <c r="M52" s="1"/>
    </row>
    <row r="53" spans="1:13" x14ac:dyDescent="0.25">
      <c r="A53" s="18"/>
      <c r="B53" s="9"/>
      <c r="C53" s="9"/>
      <c r="D53" s="9"/>
      <c r="E53" s="9"/>
      <c r="F53" s="9"/>
      <c r="G53" s="9"/>
      <c r="H53" s="17"/>
      <c r="I53" s="1"/>
      <c r="J53" s="1"/>
      <c r="K53" s="1"/>
      <c r="L53" s="1"/>
      <c r="M53" s="1"/>
    </row>
    <row r="54" spans="1:13" x14ac:dyDescent="0.25">
      <c r="A54" s="643" t="s">
        <v>60</v>
      </c>
      <c r="B54" s="643"/>
      <c r="C54" s="643"/>
      <c r="D54" s="643"/>
      <c r="E54" s="643"/>
      <c r="F54" s="643"/>
      <c r="G54" s="643"/>
      <c r="H54" s="17"/>
      <c r="I54" s="1"/>
      <c r="J54" s="1"/>
      <c r="K54" s="1"/>
      <c r="L54" s="1"/>
      <c r="M54" s="1"/>
    </row>
    <row r="55" spans="1:13" x14ac:dyDescent="0.25">
      <c r="A55" s="643" t="s">
        <v>3246</v>
      </c>
      <c r="B55" s="643"/>
      <c r="C55" s="643"/>
      <c r="D55" s="643"/>
      <c r="E55" s="643"/>
      <c r="F55" s="643"/>
      <c r="G55" s="643"/>
      <c r="H55" s="17"/>
      <c r="I55" s="1"/>
      <c r="J55" s="1"/>
      <c r="K55" s="1"/>
      <c r="L55" s="1"/>
      <c r="M55" s="1"/>
    </row>
    <row r="56" spans="1:13" ht="15.75" thickBot="1" x14ac:dyDescent="0.3">
      <c r="A56" s="19"/>
      <c r="B56" s="1"/>
      <c r="C56" s="1"/>
      <c r="D56" s="1"/>
      <c r="E56" s="1"/>
      <c r="F56" s="1"/>
      <c r="G56" s="1"/>
      <c r="H56" s="17"/>
      <c r="I56" s="1"/>
      <c r="J56" s="1"/>
      <c r="K56" s="1"/>
      <c r="L56" s="1"/>
      <c r="M56" s="1"/>
    </row>
    <row r="57" spans="1:13" x14ac:dyDescent="0.25">
      <c r="A57" s="33" t="s">
        <v>55</v>
      </c>
      <c r="B57" s="53" t="s">
        <v>3</v>
      </c>
      <c r="C57" s="661" t="s">
        <v>5</v>
      </c>
      <c r="D57" s="661"/>
      <c r="E57" s="34" t="s">
        <v>56</v>
      </c>
      <c r="F57" s="34" t="s">
        <v>57</v>
      </c>
      <c r="G57" s="35" t="s">
        <v>58</v>
      </c>
      <c r="H57" s="17"/>
      <c r="I57" s="1"/>
      <c r="J57" s="1"/>
      <c r="K57" s="1"/>
      <c r="L57" s="1"/>
      <c r="M57" s="1"/>
    </row>
    <row r="58" spans="1:13" x14ac:dyDescent="0.25">
      <c r="A58" s="42"/>
      <c r="B58" s="24"/>
      <c r="C58" s="36"/>
      <c r="D58" s="39"/>
      <c r="E58" s="24"/>
      <c r="F58" s="24"/>
      <c r="G58" s="25"/>
      <c r="H58" s="17"/>
      <c r="I58" s="1"/>
      <c r="J58" s="1"/>
      <c r="K58" s="1"/>
      <c r="L58" s="1"/>
      <c r="M58" s="1"/>
    </row>
    <row r="59" spans="1:13" x14ac:dyDescent="0.25">
      <c r="A59" s="42">
        <v>1</v>
      </c>
      <c r="B59" s="58" t="s">
        <v>3251</v>
      </c>
      <c r="C59" s="51" t="s">
        <v>62</v>
      </c>
      <c r="D59" s="52"/>
      <c r="E59" s="56" t="s">
        <v>66</v>
      </c>
      <c r="F59" s="28" t="e">
        <f>JP!#REF!</f>
        <v>#REF!</v>
      </c>
      <c r="G59" s="25"/>
      <c r="H59" s="17"/>
      <c r="I59" s="1"/>
      <c r="J59" s="1"/>
      <c r="K59" s="1"/>
      <c r="L59" s="1"/>
      <c r="M59" s="1"/>
    </row>
    <row r="60" spans="1:13" x14ac:dyDescent="0.25">
      <c r="A60" s="42"/>
      <c r="B60" s="54"/>
      <c r="C60" s="51" t="s">
        <v>63</v>
      </c>
      <c r="D60" s="52"/>
      <c r="E60" s="56" t="s">
        <v>66</v>
      </c>
      <c r="F60" s="28" t="e">
        <f>JP!#REF!</f>
        <v>#REF!</v>
      </c>
      <c r="G60" s="25"/>
      <c r="H60" s="17"/>
      <c r="I60" s="1"/>
      <c r="J60" s="1"/>
      <c r="K60" s="1"/>
      <c r="L60" s="1"/>
      <c r="M60" s="1"/>
    </row>
    <row r="61" spans="1:13" x14ac:dyDescent="0.25">
      <c r="A61" s="42"/>
      <c r="B61" s="54"/>
      <c r="C61" s="51" t="s">
        <v>64</v>
      </c>
      <c r="D61" s="52"/>
      <c r="E61" s="56" t="s">
        <v>66</v>
      </c>
      <c r="F61" s="28" t="e">
        <f>JP!#REF!</f>
        <v>#REF!</v>
      </c>
      <c r="G61" s="25"/>
      <c r="H61" s="17"/>
      <c r="I61" s="1"/>
      <c r="J61" s="1"/>
      <c r="K61" s="1"/>
      <c r="L61" s="1"/>
      <c r="M61" s="1"/>
    </row>
    <row r="62" spans="1:13" x14ac:dyDescent="0.25">
      <c r="A62" s="42"/>
      <c r="B62" s="24"/>
      <c r="C62" s="51"/>
      <c r="D62" s="55" t="s">
        <v>61</v>
      </c>
      <c r="E62" s="56" t="s">
        <v>66</v>
      </c>
      <c r="F62" s="28"/>
      <c r="G62" s="57" t="e">
        <f>JP!#REF!</f>
        <v>#REF!</v>
      </c>
      <c r="H62" s="17"/>
      <c r="I62" s="1"/>
      <c r="J62" s="1"/>
      <c r="K62" s="1"/>
      <c r="L62" s="1"/>
      <c r="M62" s="1"/>
    </row>
    <row r="63" spans="1:13" x14ac:dyDescent="0.25">
      <c r="A63" s="42"/>
      <c r="B63" s="24"/>
      <c r="C63" s="51"/>
      <c r="D63" s="52"/>
      <c r="E63" s="56"/>
      <c r="F63" s="28"/>
      <c r="G63" s="25"/>
      <c r="H63" s="17"/>
      <c r="I63" s="1"/>
      <c r="J63" s="1"/>
      <c r="K63" s="1"/>
      <c r="L63" s="1"/>
      <c r="M63" s="1"/>
    </row>
    <row r="64" spans="1:13" x14ac:dyDescent="0.25">
      <c r="A64" s="30"/>
      <c r="B64" s="31"/>
      <c r="C64" s="38"/>
      <c r="D64" s="41"/>
      <c r="E64" s="31"/>
      <c r="F64" s="31"/>
      <c r="G64" s="45"/>
      <c r="H64" s="17"/>
      <c r="I64" s="1"/>
      <c r="J64" s="1"/>
      <c r="K64" s="1"/>
      <c r="L64" s="1"/>
      <c r="M64" s="1"/>
    </row>
    <row r="65" spans="1:13" ht="15.75" thickBot="1" x14ac:dyDescent="0.3">
      <c r="A65" s="30"/>
      <c r="B65" s="31"/>
      <c r="C65" s="38"/>
      <c r="D65" s="41"/>
      <c r="E65" s="31"/>
      <c r="F65" s="31"/>
      <c r="G65" s="32"/>
      <c r="H65" s="17"/>
      <c r="I65" s="1"/>
      <c r="J65" s="1"/>
      <c r="K65" s="1"/>
      <c r="L65" s="1"/>
      <c r="M65" s="1"/>
    </row>
    <row r="66" spans="1:13" ht="15.75" thickBot="1" x14ac:dyDescent="0.3">
      <c r="A66" s="723" t="s">
        <v>15</v>
      </c>
      <c r="B66" s="724"/>
      <c r="C66" s="724"/>
      <c r="D66" s="724"/>
      <c r="E66" s="724"/>
      <c r="F66" s="48" t="e">
        <f>SUM(F59:F65)</f>
        <v>#REF!</v>
      </c>
      <c r="G66" s="48" t="e">
        <f>SUM(G59:G65)</f>
        <v>#REF!</v>
      </c>
      <c r="H66" s="17"/>
      <c r="I66" s="1"/>
      <c r="J66" s="1"/>
      <c r="K66" s="1"/>
      <c r="L66" s="1"/>
      <c r="M66" s="1"/>
    </row>
    <row r="67" spans="1:13" x14ac:dyDescent="0.25">
      <c r="A67" s="19"/>
      <c r="B67" s="1"/>
      <c r="C67" s="1"/>
      <c r="D67" s="1"/>
      <c r="E67" s="1"/>
      <c r="F67" s="1"/>
      <c r="G67" s="1"/>
      <c r="H67" s="17"/>
      <c r="I67" s="1"/>
      <c r="J67" s="1"/>
      <c r="K67" s="1"/>
      <c r="L67" s="1"/>
      <c r="M67" s="1"/>
    </row>
    <row r="68" spans="1:13" x14ac:dyDescent="0.25">
      <c r="A68" s="19"/>
      <c r="B68" s="1"/>
      <c r="C68" s="1"/>
      <c r="D68" s="1"/>
      <c r="E68" s="1"/>
      <c r="F68" s="1"/>
      <c r="G68" s="1"/>
      <c r="H68" s="17"/>
      <c r="I68" s="1"/>
      <c r="J68" s="1"/>
      <c r="K68" s="1"/>
      <c r="L68" s="1"/>
      <c r="M68" s="1"/>
    </row>
    <row r="69" spans="1:13" x14ac:dyDescent="0.25">
      <c r="A69" s="19"/>
      <c r="B69" s="1"/>
      <c r="C69" s="1"/>
      <c r="D69" s="1"/>
      <c r="E69" s="1"/>
      <c r="F69" s="1"/>
      <c r="G69" s="1"/>
      <c r="H69" s="17"/>
      <c r="I69" s="1"/>
      <c r="J69" s="1"/>
      <c r="K69" s="1"/>
      <c r="L69" s="1"/>
      <c r="M69" s="1"/>
    </row>
    <row r="70" spans="1:13" x14ac:dyDescent="0.25">
      <c r="A70" s="19"/>
      <c r="B70" s="1"/>
      <c r="C70" s="1"/>
      <c r="D70" s="1"/>
      <c r="E70" s="1"/>
      <c r="F70" s="1"/>
      <c r="G70" s="1"/>
      <c r="H70" s="17"/>
      <c r="I70" s="1"/>
      <c r="J70" s="1"/>
      <c r="K70" s="1"/>
      <c r="L70" s="1"/>
      <c r="M70" s="1"/>
    </row>
    <row r="71" spans="1:13" x14ac:dyDescent="0.25">
      <c r="A71" s="19"/>
      <c r="B71" s="1"/>
      <c r="C71" s="1"/>
      <c r="D71" s="1"/>
      <c r="E71" s="1"/>
      <c r="F71" s="1"/>
      <c r="G71" s="1"/>
      <c r="H71" s="17"/>
      <c r="I71" s="1"/>
      <c r="J71" s="1"/>
      <c r="K71" s="1"/>
      <c r="L71" s="1"/>
      <c r="M71" s="1"/>
    </row>
    <row r="72" spans="1:13" x14ac:dyDescent="0.25">
      <c r="A72" s="19"/>
      <c r="B72" s="1"/>
      <c r="C72" s="1"/>
      <c r="D72" s="1"/>
      <c r="E72" s="1"/>
      <c r="F72" s="1"/>
      <c r="G72" s="1"/>
      <c r="H72" s="17"/>
      <c r="I72" s="1"/>
      <c r="J72" s="1"/>
      <c r="K72" s="1"/>
      <c r="L72" s="1"/>
      <c r="M72" s="1"/>
    </row>
    <row r="73" spans="1:13" x14ac:dyDescent="0.25">
      <c r="A73" s="19"/>
      <c r="B73" s="1"/>
      <c r="C73" s="1"/>
      <c r="D73" s="1"/>
      <c r="E73" s="1"/>
      <c r="F73" s="1"/>
      <c r="G73" s="1"/>
      <c r="H73" s="17"/>
      <c r="I73" s="1"/>
      <c r="J73" s="1"/>
      <c r="K73" s="1"/>
      <c r="L73" s="1"/>
      <c r="M73" s="1"/>
    </row>
    <row r="74" spans="1:13" x14ac:dyDescent="0.25">
      <c r="A74" s="19"/>
      <c r="B74" s="1"/>
      <c r="C74" s="1"/>
      <c r="D74" s="1"/>
      <c r="E74" s="1"/>
      <c r="F74" s="1"/>
      <c r="G74" s="1"/>
      <c r="H74" s="17"/>
      <c r="I74" s="1"/>
      <c r="J74" s="1"/>
      <c r="K74" s="1"/>
      <c r="L74" s="1"/>
      <c r="M74" s="1"/>
    </row>
    <row r="75" spans="1:13" x14ac:dyDescent="0.25">
      <c r="A75" s="19"/>
      <c r="B75" s="1"/>
      <c r="C75" s="1"/>
      <c r="D75" s="1"/>
      <c r="E75" s="1"/>
      <c r="F75" s="1"/>
      <c r="G75" s="1"/>
      <c r="H75" s="17"/>
      <c r="I75" s="1"/>
      <c r="J75" s="1"/>
      <c r="K75" s="1"/>
      <c r="L75" s="1"/>
      <c r="M75" s="1"/>
    </row>
    <row r="76" spans="1:13" x14ac:dyDescent="0.25">
      <c r="A76" s="19"/>
      <c r="B76" s="1"/>
      <c r="C76" s="1"/>
      <c r="D76" s="1"/>
      <c r="E76" s="1"/>
      <c r="F76" s="1"/>
      <c r="G76" s="1"/>
      <c r="H76" s="17"/>
      <c r="I76" s="1"/>
      <c r="J76" s="1"/>
      <c r="K76" s="1"/>
      <c r="L76" s="1"/>
      <c r="M76" s="1"/>
    </row>
    <row r="77" spans="1:13" x14ac:dyDescent="0.25">
      <c r="A77" s="19"/>
      <c r="B77" s="1"/>
      <c r="C77" s="1"/>
      <c r="D77" s="1"/>
      <c r="E77" s="1"/>
      <c r="F77" s="1"/>
      <c r="G77" s="1"/>
      <c r="H77" s="17"/>
      <c r="I77" s="1"/>
      <c r="J77" s="1"/>
      <c r="K77" s="1"/>
      <c r="L77" s="1"/>
      <c r="M77" s="1"/>
    </row>
    <row r="78" spans="1:13" x14ac:dyDescent="0.25">
      <c r="A78" s="19"/>
      <c r="B78" s="1"/>
      <c r="C78" s="1"/>
      <c r="D78" s="1"/>
      <c r="E78" s="1"/>
      <c r="F78" s="1"/>
      <c r="G78" s="1"/>
      <c r="H78" s="17"/>
      <c r="I78" s="1"/>
      <c r="J78" s="1"/>
      <c r="K78" s="1"/>
      <c r="L78" s="1"/>
      <c r="M78" s="1"/>
    </row>
    <row r="79" spans="1:13" x14ac:dyDescent="0.25">
      <c r="A79" s="19"/>
      <c r="B79" s="1"/>
      <c r="C79" s="1"/>
      <c r="D79" s="1"/>
      <c r="E79" s="1"/>
      <c r="F79" s="1"/>
      <c r="G79" s="1"/>
      <c r="H79" s="17"/>
      <c r="I79" s="1"/>
      <c r="J79" s="1"/>
      <c r="K79" s="1"/>
      <c r="L79" s="1"/>
      <c r="M79" s="1"/>
    </row>
    <row r="80" spans="1:13" x14ac:dyDescent="0.25">
      <c r="A80" s="19"/>
      <c r="B80" s="1"/>
      <c r="C80" s="1"/>
      <c r="D80" s="1"/>
      <c r="E80" s="1"/>
      <c r="F80" s="1"/>
      <c r="G80" s="1"/>
      <c r="H80" s="17"/>
      <c r="I80" s="1"/>
      <c r="J80" s="1"/>
      <c r="K80" s="1"/>
      <c r="L80" s="1"/>
      <c r="M80" s="1"/>
    </row>
    <row r="81" spans="1:13" x14ac:dyDescent="0.25">
      <c r="A81" s="19"/>
      <c r="B81" s="1"/>
      <c r="C81" s="1"/>
      <c r="D81" s="1"/>
      <c r="E81" s="1"/>
      <c r="F81" s="1"/>
      <c r="G81" s="1"/>
      <c r="H81" s="17"/>
      <c r="I81" s="1"/>
      <c r="J81" s="1"/>
      <c r="K81" s="1"/>
      <c r="L81" s="1"/>
      <c r="M81" s="1"/>
    </row>
    <row r="82" spans="1:13" x14ac:dyDescent="0.25">
      <c r="A82" s="19"/>
      <c r="B82" s="1"/>
      <c r="C82" s="1"/>
      <c r="D82" s="1"/>
      <c r="E82" s="1"/>
      <c r="F82" s="1"/>
      <c r="G82" s="1"/>
      <c r="H82" s="17"/>
      <c r="I82" s="1"/>
      <c r="J82" s="1"/>
      <c r="K82" s="1"/>
      <c r="L82" s="1"/>
      <c r="M82" s="1"/>
    </row>
    <row r="83" spans="1:13" x14ac:dyDescent="0.25">
      <c r="A83" s="19"/>
      <c r="B83" s="1"/>
      <c r="C83" s="1"/>
      <c r="D83" s="1"/>
      <c r="E83" s="1"/>
      <c r="F83" s="1"/>
      <c r="G83" s="1"/>
      <c r="H83" s="17"/>
      <c r="I83" s="1"/>
      <c r="J83" s="1"/>
      <c r="K83" s="1"/>
      <c r="L83" s="1"/>
      <c r="M83" s="1"/>
    </row>
    <row r="84" spans="1:13" x14ac:dyDescent="0.25">
      <c r="A84" s="19"/>
      <c r="B84" s="1"/>
      <c r="C84" s="1"/>
      <c r="D84" s="1"/>
      <c r="E84" s="1"/>
      <c r="F84" s="1"/>
      <c r="G84" s="1"/>
      <c r="H84" s="17"/>
      <c r="I84" s="1"/>
      <c r="J84" s="1"/>
      <c r="K84" s="1"/>
      <c r="L84" s="1"/>
      <c r="M84" s="1"/>
    </row>
    <row r="85" spans="1:13" x14ac:dyDescent="0.25">
      <c r="A85" s="19"/>
      <c r="B85" s="1"/>
      <c r="C85" s="1"/>
      <c r="D85" s="1"/>
      <c r="E85" s="1"/>
      <c r="F85" s="1"/>
      <c r="G85" s="1"/>
      <c r="H85" s="17"/>
      <c r="I85" s="1"/>
      <c r="J85" s="1"/>
      <c r="K85" s="1"/>
      <c r="L85" s="1"/>
      <c r="M85" s="1"/>
    </row>
    <row r="86" spans="1:13" x14ac:dyDescent="0.25">
      <c r="A86" s="19"/>
      <c r="B86" s="1"/>
      <c r="C86" s="1"/>
      <c r="D86" s="1"/>
      <c r="E86" s="1"/>
      <c r="F86" s="1"/>
      <c r="G86" s="1"/>
      <c r="H86" s="17"/>
      <c r="I86" s="1"/>
      <c r="J86" s="1"/>
      <c r="K86" s="1"/>
      <c r="L86" s="1"/>
      <c r="M86" s="1"/>
    </row>
    <row r="87" spans="1:13" x14ac:dyDescent="0.25">
      <c r="A87" s="19"/>
      <c r="B87" s="1"/>
      <c r="C87" s="1"/>
      <c r="D87" s="1"/>
      <c r="E87" s="1"/>
      <c r="F87" s="1"/>
      <c r="G87" s="1"/>
      <c r="H87" s="17"/>
      <c r="I87" s="1"/>
      <c r="J87" s="1"/>
      <c r="K87" s="1"/>
      <c r="L87" s="1"/>
      <c r="M87" s="1"/>
    </row>
    <row r="88" spans="1:13" x14ac:dyDescent="0.25">
      <c r="A88" s="19"/>
      <c r="B88" s="1"/>
      <c r="C88" s="1"/>
      <c r="D88" s="1"/>
      <c r="E88" s="1"/>
      <c r="F88" s="1"/>
      <c r="G88" s="1"/>
      <c r="H88" s="17"/>
      <c r="I88" s="1"/>
      <c r="J88" s="1"/>
      <c r="K88" s="1"/>
      <c r="L88" s="1"/>
      <c r="M88" s="1"/>
    </row>
    <row r="89" spans="1:13" x14ac:dyDescent="0.25">
      <c r="A89" s="19"/>
      <c r="B89" s="1"/>
      <c r="C89" s="1"/>
      <c r="D89" s="1"/>
      <c r="E89" s="1"/>
      <c r="F89" s="1"/>
      <c r="G89" s="1"/>
      <c r="H89" s="17"/>
      <c r="I89" s="1"/>
      <c r="J89" s="1"/>
      <c r="K89" s="1"/>
      <c r="L89" s="1"/>
      <c r="M89" s="1"/>
    </row>
    <row r="90" spans="1:13" x14ac:dyDescent="0.25">
      <c r="A90" s="19"/>
      <c r="B90" s="1"/>
      <c r="C90" s="1"/>
      <c r="D90" s="1"/>
      <c r="E90" s="1"/>
      <c r="F90" s="1"/>
      <c r="G90" s="1"/>
      <c r="H90" s="17"/>
      <c r="I90" s="1"/>
      <c r="J90" s="1"/>
      <c r="K90" s="1"/>
      <c r="L90" s="1"/>
      <c r="M90" s="1"/>
    </row>
    <row r="91" spans="1:13" x14ac:dyDescent="0.25">
      <c r="A91" s="19"/>
      <c r="B91" s="1"/>
      <c r="C91" s="1"/>
      <c r="D91" s="1"/>
      <c r="E91" s="1"/>
      <c r="F91" s="1"/>
      <c r="G91" s="1"/>
      <c r="H91" s="17"/>
      <c r="I91" s="1"/>
      <c r="J91" s="1"/>
      <c r="K91" s="1"/>
      <c r="L91" s="1"/>
      <c r="M91" s="1"/>
    </row>
    <row r="92" spans="1:13" x14ac:dyDescent="0.25">
      <c r="A92" s="19"/>
      <c r="B92" s="1"/>
      <c r="C92" s="1"/>
      <c r="D92" s="1"/>
      <c r="E92" s="1"/>
      <c r="F92" s="1"/>
      <c r="G92" s="1"/>
      <c r="H92" s="17"/>
      <c r="I92" s="1"/>
      <c r="J92" s="1"/>
      <c r="K92" s="1"/>
      <c r="L92" s="1"/>
      <c r="M92" s="1"/>
    </row>
    <row r="93" spans="1:13" x14ac:dyDescent="0.25">
      <c r="A93" s="19"/>
      <c r="B93" s="1"/>
      <c r="C93" s="1"/>
      <c r="D93" s="1"/>
      <c r="E93" s="1"/>
      <c r="F93" s="1"/>
      <c r="G93" s="1"/>
      <c r="H93" s="17"/>
      <c r="I93" s="1"/>
      <c r="J93" s="1"/>
      <c r="K93" s="1"/>
      <c r="L93" s="1"/>
      <c r="M93" s="1"/>
    </row>
    <row r="94" spans="1:13" x14ac:dyDescent="0.25">
      <c r="A94" s="19"/>
      <c r="B94" s="1"/>
      <c r="C94" s="1"/>
      <c r="D94" s="1"/>
      <c r="E94" s="1"/>
      <c r="F94" s="1"/>
      <c r="G94" s="1"/>
      <c r="H94" s="17"/>
      <c r="I94" s="1"/>
      <c r="J94" s="1"/>
      <c r="K94" s="1"/>
      <c r="L94" s="1"/>
      <c r="M94" s="1"/>
    </row>
    <row r="95" spans="1:13" x14ac:dyDescent="0.25">
      <c r="A95" s="19"/>
      <c r="B95" s="1"/>
      <c r="C95" s="1"/>
      <c r="D95" s="1"/>
      <c r="E95" s="1"/>
      <c r="F95" s="1"/>
      <c r="G95" s="1"/>
      <c r="H95" s="17"/>
      <c r="I95" s="1"/>
      <c r="J95" s="1"/>
      <c r="K95" s="1"/>
      <c r="L95" s="1"/>
      <c r="M95" s="1"/>
    </row>
    <row r="96" spans="1:13" x14ac:dyDescent="0.25">
      <c r="A96" s="19"/>
      <c r="B96" s="1"/>
      <c r="C96" s="1"/>
      <c r="D96" s="1"/>
      <c r="E96" s="1"/>
      <c r="F96" s="1"/>
      <c r="G96" s="1"/>
      <c r="H96" s="17"/>
      <c r="I96" s="1"/>
      <c r="J96" s="1"/>
      <c r="K96" s="1"/>
      <c r="L96" s="1"/>
      <c r="M96" s="1"/>
    </row>
    <row r="97" spans="1:13" x14ac:dyDescent="0.25">
      <c r="A97" s="19"/>
      <c r="B97" s="1"/>
      <c r="C97" s="1"/>
      <c r="D97" s="1"/>
      <c r="E97" s="1"/>
      <c r="F97" s="1"/>
      <c r="G97" s="1"/>
      <c r="H97" s="17"/>
      <c r="I97" s="1"/>
      <c r="J97" s="1"/>
      <c r="K97" s="1"/>
      <c r="L97" s="1"/>
      <c r="M97" s="1"/>
    </row>
    <row r="98" spans="1:13" x14ac:dyDescent="0.25">
      <c r="A98" s="19"/>
      <c r="B98" s="1"/>
      <c r="C98" s="1"/>
      <c r="D98" s="1"/>
      <c r="E98" s="1"/>
      <c r="F98" s="1"/>
      <c r="G98" s="1"/>
      <c r="H98" s="17"/>
      <c r="I98" s="1"/>
      <c r="J98" s="1"/>
      <c r="K98" s="1"/>
      <c r="L98" s="1"/>
      <c r="M98" s="1"/>
    </row>
    <row r="99" spans="1:13" x14ac:dyDescent="0.25">
      <c r="A99" s="19"/>
      <c r="B99" s="1"/>
      <c r="C99" s="1"/>
      <c r="D99" s="1"/>
      <c r="E99" s="1"/>
      <c r="F99" s="1"/>
      <c r="G99" s="1"/>
      <c r="H99" s="17"/>
      <c r="I99" s="1"/>
      <c r="J99" s="1"/>
      <c r="K99" s="1"/>
      <c r="L99" s="1"/>
      <c r="M99" s="1"/>
    </row>
    <row r="100" spans="1:13" x14ac:dyDescent="0.25">
      <c r="A100" s="50" t="s">
        <v>0</v>
      </c>
      <c r="B100" s="50"/>
      <c r="C100" s="50"/>
      <c r="D100" s="9"/>
      <c r="E100" s="9"/>
      <c r="F100" s="9"/>
      <c r="G100" s="9"/>
      <c r="H100" s="17"/>
      <c r="I100" s="1"/>
      <c r="J100" s="1"/>
      <c r="K100" s="1"/>
      <c r="L100" s="1"/>
      <c r="M100" s="1"/>
    </row>
    <row r="101" spans="1:13" x14ac:dyDescent="0.25">
      <c r="A101" s="50" t="s">
        <v>1</v>
      </c>
      <c r="B101" s="50"/>
      <c r="C101" s="50"/>
      <c r="D101" s="9"/>
      <c r="E101" s="9"/>
      <c r="F101" s="9"/>
      <c r="G101" s="9"/>
      <c r="H101" s="17"/>
      <c r="I101" s="1"/>
      <c r="J101" s="1"/>
      <c r="K101" s="1"/>
      <c r="L101" s="1"/>
      <c r="M101" s="1"/>
    </row>
    <row r="102" spans="1:13" x14ac:dyDescent="0.25">
      <c r="A102" s="50" t="s">
        <v>16</v>
      </c>
      <c r="B102" s="50"/>
      <c r="C102" s="50"/>
      <c r="D102" s="9"/>
      <c r="E102" s="9"/>
      <c r="F102" s="9"/>
      <c r="G102" s="9"/>
      <c r="H102" s="17"/>
      <c r="I102" s="1"/>
      <c r="J102" s="1"/>
      <c r="K102" s="1"/>
      <c r="L102" s="1"/>
      <c r="M102" s="1"/>
    </row>
    <row r="103" spans="1:13" x14ac:dyDescent="0.25">
      <c r="A103" s="18"/>
      <c r="B103" s="9"/>
      <c r="C103" s="9"/>
      <c r="D103" s="9"/>
      <c r="E103" s="9"/>
      <c r="F103" s="9"/>
      <c r="G103" s="9"/>
      <c r="H103" s="17"/>
      <c r="I103" s="1"/>
      <c r="J103" s="1"/>
      <c r="K103" s="1"/>
      <c r="L103" s="1"/>
      <c r="M103" s="1"/>
    </row>
    <row r="104" spans="1:13" x14ac:dyDescent="0.25">
      <c r="A104" s="643" t="s">
        <v>60</v>
      </c>
      <c r="B104" s="643"/>
      <c r="C104" s="643"/>
      <c r="D104" s="643"/>
      <c r="E104" s="643"/>
      <c r="F104" s="643"/>
      <c r="G104" s="643"/>
      <c r="H104" s="17"/>
      <c r="I104" s="1"/>
      <c r="J104" s="1"/>
      <c r="K104" s="1"/>
      <c r="L104" s="1"/>
      <c r="M104" s="1"/>
    </row>
    <row r="105" spans="1:13" x14ac:dyDescent="0.25">
      <c r="A105" s="643" t="s">
        <v>3245</v>
      </c>
      <c r="B105" s="643"/>
      <c r="C105" s="643"/>
      <c r="D105" s="643"/>
      <c r="E105" s="643"/>
      <c r="F105" s="643"/>
      <c r="G105" s="643"/>
      <c r="H105" s="17"/>
      <c r="I105" s="1"/>
      <c r="J105" s="1"/>
      <c r="K105" s="1"/>
      <c r="L105" s="1"/>
      <c r="M105" s="1"/>
    </row>
    <row r="106" spans="1:13" ht="15.75" thickBot="1" x14ac:dyDescent="0.3">
      <c r="A106" s="19"/>
      <c r="B106" s="1"/>
      <c r="C106" s="1"/>
      <c r="D106" s="1"/>
      <c r="E106" s="1"/>
      <c r="F106" s="1"/>
      <c r="G106" s="1"/>
      <c r="H106" s="17"/>
      <c r="I106" s="1"/>
      <c r="J106" s="1"/>
      <c r="K106" s="1"/>
      <c r="L106" s="1"/>
      <c r="M106" s="1"/>
    </row>
    <row r="107" spans="1:13" x14ac:dyDescent="0.25">
      <c r="A107" s="33" t="s">
        <v>55</v>
      </c>
      <c r="B107" s="53" t="s">
        <v>3</v>
      </c>
      <c r="C107" s="661" t="s">
        <v>5</v>
      </c>
      <c r="D107" s="661"/>
      <c r="E107" s="34" t="s">
        <v>56</v>
      </c>
      <c r="F107" s="34" t="s">
        <v>57</v>
      </c>
      <c r="G107" s="35" t="s">
        <v>58</v>
      </c>
      <c r="H107" s="17"/>
      <c r="I107" s="1"/>
      <c r="J107" s="1"/>
      <c r="K107" s="1"/>
      <c r="L107" s="1"/>
      <c r="M107" s="1"/>
    </row>
    <row r="108" spans="1:13" x14ac:dyDescent="0.25">
      <c r="A108" s="42"/>
      <c r="B108" s="24"/>
      <c r="C108" s="36"/>
      <c r="D108" s="39"/>
      <c r="E108" s="24"/>
      <c r="F108" s="24"/>
      <c r="G108" s="25"/>
      <c r="H108" s="17"/>
      <c r="I108" s="1"/>
      <c r="J108" s="1"/>
      <c r="K108" s="1"/>
      <c r="L108" s="1"/>
      <c r="M108" s="1"/>
    </row>
    <row r="109" spans="1:13" x14ac:dyDescent="0.25">
      <c r="A109" s="42">
        <v>1</v>
      </c>
      <c r="B109" s="58" t="s">
        <v>3250</v>
      </c>
      <c r="C109" s="51" t="s">
        <v>62</v>
      </c>
      <c r="D109" s="52"/>
      <c r="E109" s="56" t="s">
        <v>67</v>
      </c>
      <c r="F109" s="28" t="e">
        <f>JP!#REF!</f>
        <v>#REF!</v>
      </c>
      <c r="G109" s="25"/>
      <c r="H109" s="17"/>
      <c r="I109" s="1"/>
      <c r="J109" s="1"/>
      <c r="K109" s="1"/>
      <c r="L109" s="1"/>
      <c r="M109" s="1"/>
    </row>
    <row r="110" spans="1:13" x14ac:dyDescent="0.25">
      <c r="A110" s="42"/>
      <c r="B110" s="54"/>
      <c r="C110" s="51" t="s">
        <v>63</v>
      </c>
      <c r="D110" s="52"/>
      <c r="E110" s="56" t="s">
        <v>67</v>
      </c>
      <c r="F110" s="28" t="e">
        <f>JP!#REF!</f>
        <v>#REF!</v>
      </c>
      <c r="G110" s="25"/>
      <c r="H110" s="17"/>
      <c r="I110" s="1"/>
      <c r="J110" s="1"/>
      <c r="K110" s="1"/>
      <c r="L110" s="1"/>
      <c r="M110" s="1"/>
    </row>
    <row r="111" spans="1:13" x14ac:dyDescent="0.25">
      <c r="A111" s="42"/>
      <c r="B111" s="54"/>
      <c r="C111" s="51" t="s">
        <v>64</v>
      </c>
      <c r="D111" s="52"/>
      <c r="E111" s="56" t="s">
        <v>67</v>
      </c>
      <c r="F111" s="28" t="e">
        <f>JP!#REF!</f>
        <v>#REF!</v>
      </c>
      <c r="G111" s="25"/>
      <c r="H111" s="17"/>
      <c r="I111" s="1"/>
      <c r="J111" s="1"/>
      <c r="K111" s="1"/>
      <c r="L111" s="1"/>
      <c r="M111" s="1"/>
    </row>
    <row r="112" spans="1:13" x14ac:dyDescent="0.25">
      <c r="A112" s="42"/>
      <c r="B112" s="24"/>
      <c r="C112" s="51"/>
      <c r="D112" s="55" t="s">
        <v>61</v>
      </c>
      <c r="E112" s="56" t="s">
        <v>67</v>
      </c>
      <c r="F112" s="28"/>
      <c r="G112" s="57" t="e">
        <f>JP!#REF!</f>
        <v>#REF!</v>
      </c>
      <c r="H112" s="17"/>
      <c r="I112" s="1"/>
      <c r="J112" s="1"/>
      <c r="K112" s="1"/>
      <c r="L112" s="1"/>
      <c r="M112" s="1"/>
    </row>
    <row r="113" spans="1:13" x14ac:dyDescent="0.25">
      <c r="A113" s="42"/>
      <c r="B113" s="24"/>
      <c r="C113" s="51"/>
      <c r="D113" s="52"/>
      <c r="E113" s="56"/>
      <c r="F113" s="28"/>
      <c r="G113" s="25"/>
      <c r="H113" s="17"/>
      <c r="I113" s="1"/>
      <c r="J113" s="1"/>
      <c r="K113" s="1"/>
      <c r="L113" s="1"/>
      <c r="M113" s="1"/>
    </row>
    <row r="114" spans="1:13" x14ac:dyDescent="0.25">
      <c r="A114" s="26"/>
      <c r="B114" s="10"/>
      <c r="C114" s="51"/>
      <c r="D114" s="40"/>
      <c r="E114" s="56"/>
      <c r="F114" s="28"/>
      <c r="G114" s="29"/>
      <c r="H114" s="17"/>
      <c r="I114" s="1"/>
      <c r="J114" s="1"/>
      <c r="K114" s="1"/>
      <c r="L114" s="1"/>
      <c r="M114" s="1"/>
    </row>
    <row r="115" spans="1:13" x14ac:dyDescent="0.25">
      <c r="A115" s="30"/>
      <c r="B115" s="31"/>
      <c r="C115" s="38"/>
      <c r="D115" s="41"/>
      <c r="E115" s="31"/>
      <c r="F115" s="31"/>
      <c r="G115" s="45"/>
      <c r="H115" s="17"/>
      <c r="I115" s="1"/>
      <c r="J115" s="1"/>
      <c r="K115" s="1"/>
      <c r="L115" s="1"/>
      <c r="M115" s="1"/>
    </row>
    <row r="116" spans="1:13" ht="15.75" thickBot="1" x14ac:dyDescent="0.3">
      <c r="A116" s="30"/>
      <c r="B116" s="31"/>
      <c r="C116" s="38"/>
      <c r="D116" s="41"/>
      <c r="E116" s="31"/>
      <c r="F116" s="31"/>
      <c r="G116" s="32"/>
      <c r="H116" s="17"/>
      <c r="I116" s="1"/>
      <c r="J116" s="1"/>
      <c r="K116" s="1"/>
      <c r="L116" s="1"/>
      <c r="M116" s="1"/>
    </row>
    <row r="117" spans="1:13" ht="15.75" thickBot="1" x14ac:dyDescent="0.3">
      <c r="A117" s="723" t="s">
        <v>15</v>
      </c>
      <c r="B117" s="724"/>
      <c r="C117" s="724"/>
      <c r="D117" s="724"/>
      <c r="E117" s="724"/>
      <c r="F117" s="48" t="e">
        <f>SUM(F109:F116)</f>
        <v>#REF!</v>
      </c>
      <c r="G117" s="48" t="e">
        <f>SUM(G109:G116)</f>
        <v>#REF!</v>
      </c>
      <c r="H117" s="17"/>
      <c r="I117" s="1"/>
      <c r="J117" s="1"/>
      <c r="K117" s="1"/>
      <c r="L117" s="1"/>
      <c r="M117" s="1"/>
    </row>
    <row r="118" spans="1:13" x14ac:dyDescent="0.25">
      <c r="A118" s="19"/>
      <c r="B118" s="1"/>
      <c r="C118" s="1"/>
      <c r="D118" s="1"/>
      <c r="E118" s="1"/>
      <c r="F118" s="1"/>
      <c r="G118" s="1"/>
      <c r="H118" s="17"/>
      <c r="I118" s="1"/>
      <c r="J118" s="1"/>
      <c r="K118" s="1"/>
      <c r="L118" s="1"/>
      <c r="M118" s="1"/>
    </row>
    <row r="119" spans="1:13" x14ac:dyDescent="0.25">
      <c r="A119" s="19"/>
      <c r="B119" s="1"/>
      <c r="C119" s="1"/>
      <c r="D119" s="1"/>
      <c r="E119" s="1"/>
      <c r="F119" s="1"/>
      <c r="G119" s="1"/>
      <c r="H119" s="17"/>
      <c r="I119" s="1"/>
      <c r="J119" s="1"/>
      <c r="K119" s="1"/>
      <c r="L119" s="1"/>
      <c r="M119" s="1"/>
    </row>
    <row r="120" spans="1:13" x14ac:dyDescent="0.25">
      <c r="A120" s="19"/>
      <c r="B120" s="1"/>
      <c r="C120" s="1"/>
      <c r="D120" s="1"/>
      <c r="E120" s="1"/>
      <c r="F120" s="1"/>
      <c r="G120" s="1"/>
      <c r="H120" s="17"/>
      <c r="I120" s="1"/>
      <c r="J120" s="1"/>
      <c r="K120" s="1"/>
      <c r="L120" s="1"/>
      <c r="M120" s="1"/>
    </row>
    <row r="121" spans="1:13" x14ac:dyDescent="0.25">
      <c r="A121" s="19"/>
      <c r="B121" s="1"/>
      <c r="C121" s="1"/>
      <c r="D121" s="1"/>
      <c r="E121" s="1"/>
      <c r="F121" s="1"/>
      <c r="G121" s="1"/>
      <c r="H121" s="17"/>
      <c r="I121" s="1"/>
      <c r="J121" s="1"/>
      <c r="K121" s="1"/>
      <c r="L121" s="1"/>
      <c r="M121" s="1"/>
    </row>
    <row r="122" spans="1:13" x14ac:dyDescent="0.25">
      <c r="A122" s="19"/>
      <c r="B122" s="1"/>
      <c r="C122" s="1"/>
      <c r="D122" s="1"/>
      <c r="E122" s="1"/>
      <c r="F122" s="1"/>
      <c r="G122" s="1"/>
      <c r="H122" s="17"/>
      <c r="I122" s="1"/>
      <c r="J122" s="1"/>
      <c r="K122" s="1"/>
      <c r="L122" s="1"/>
      <c r="M122" s="1"/>
    </row>
    <row r="123" spans="1:13" x14ac:dyDescent="0.25">
      <c r="A123" s="19"/>
      <c r="B123" s="1"/>
      <c r="C123" s="1"/>
      <c r="D123" s="1"/>
      <c r="E123" s="1"/>
      <c r="F123" s="1"/>
      <c r="G123" s="1"/>
      <c r="H123" s="17"/>
      <c r="I123" s="1"/>
      <c r="J123" s="1"/>
      <c r="K123" s="1"/>
      <c r="L123" s="1"/>
      <c r="M123" s="1"/>
    </row>
    <row r="124" spans="1:13" x14ac:dyDescent="0.25">
      <c r="A124" s="19"/>
      <c r="B124" s="1"/>
      <c r="C124" s="1"/>
      <c r="D124" s="1"/>
      <c r="E124" s="1"/>
      <c r="F124" s="1"/>
      <c r="G124" s="1"/>
      <c r="H124" s="17"/>
      <c r="I124" s="1"/>
      <c r="J124" s="1"/>
      <c r="K124" s="1"/>
      <c r="L124" s="1"/>
      <c r="M124" s="1"/>
    </row>
    <row r="125" spans="1:13" x14ac:dyDescent="0.25">
      <c r="A125" s="19"/>
      <c r="B125" s="1"/>
      <c r="C125" s="1"/>
      <c r="D125" s="1"/>
      <c r="E125" s="1"/>
      <c r="F125" s="1"/>
      <c r="G125" s="1"/>
      <c r="H125" s="17"/>
      <c r="I125" s="1"/>
      <c r="J125" s="1"/>
      <c r="K125" s="1"/>
      <c r="L125" s="1"/>
      <c r="M125" s="1"/>
    </row>
    <row r="126" spans="1:13" x14ac:dyDescent="0.25">
      <c r="A126" s="19"/>
      <c r="B126" s="1"/>
      <c r="C126" s="1"/>
      <c r="D126" s="1"/>
      <c r="E126" s="1"/>
      <c r="F126" s="1"/>
      <c r="G126" s="1"/>
      <c r="H126" s="17"/>
      <c r="I126" s="1"/>
      <c r="J126" s="1"/>
      <c r="K126" s="1"/>
      <c r="L126" s="1"/>
      <c r="M126" s="1"/>
    </row>
    <row r="127" spans="1:13" x14ac:dyDescent="0.25">
      <c r="A127" s="19"/>
      <c r="B127" s="1"/>
      <c r="C127" s="1"/>
      <c r="D127" s="1"/>
      <c r="E127" s="1"/>
      <c r="F127" s="1"/>
      <c r="G127" s="1"/>
      <c r="H127" s="17"/>
      <c r="I127" s="1"/>
      <c r="J127" s="1"/>
      <c r="K127" s="1"/>
      <c r="L127" s="1"/>
      <c r="M127" s="1"/>
    </row>
    <row r="128" spans="1:13" x14ac:dyDescent="0.25">
      <c r="A128" s="19"/>
      <c r="B128" s="1"/>
      <c r="C128" s="1"/>
      <c r="D128" s="1"/>
      <c r="E128" s="1"/>
      <c r="F128" s="1"/>
      <c r="G128" s="1"/>
      <c r="H128" s="17"/>
      <c r="I128" s="1"/>
      <c r="J128" s="1"/>
      <c r="K128" s="1"/>
      <c r="L128" s="1"/>
      <c r="M128" s="1"/>
    </row>
    <row r="129" spans="1:13" x14ac:dyDescent="0.25">
      <c r="A129" s="19"/>
      <c r="B129" s="1"/>
      <c r="C129" s="1"/>
      <c r="D129" s="1"/>
      <c r="E129" s="1"/>
      <c r="F129" s="1"/>
      <c r="G129" s="1"/>
      <c r="H129" s="17"/>
      <c r="I129" s="1"/>
      <c r="J129" s="1"/>
      <c r="K129" s="1"/>
      <c r="L129" s="1"/>
      <c r="M129" s="1"/>
    </row>
    <row r="130" spans="1:13" x14ac:dyDescent="0.25">
      <c r="A130" s="19"/>
      <c r="B130" s="1"/>
      <c r="C130" s="1"/>
      <c r="D130" s="1"/>
      <c r="E130" s="1"/>
      <c r="F130" s="1"/>
      <c r="G130" s="1"/>
      <c r="H130" s="17"/>
      <c r="I130" s="1"/>
      <c r="J130" s="1"/>
      <c r="K130" s="1"/>
      <c r="L130" s="1"/>
      <c r="M130" s="1"/>
    </row>
    <row r="131" spans="1:13" x14ac:dyDescent="0.25">
      <c r="A131" s="19"/>
      <c r="B131" s="1"/>
      <c r="C131" s="1"/>
      <c r="D131" s="1"/>
      <c r="E131" s="1"/>
      <c r="F131" s="1"/>
      <c r="G131" s="1"/>
      <c r="H131" s="17"/>
      <c r="I131" s="1"/>
      <c r="J131" s="1"/>
      <c r="K131" s="1"/>
      <c r="L131" s="1"/>
      <c r="M131" s="1"/>
    </row>
    <row r="132" spans="1:13" x14ac:dyDescent="0.25">
      <c r="A132" s="19"/>
      <c r="B132" s="1"/>
      <c r="C132" s="1"/>
      <c r="D132" s="1"/>
      <c r="E132" s="1"/>
      <c r="F132" s="1"/>
      <c r="G132" s="1"/>
      <c r="H132" s="1"/>
      <c r="I132" s="1"/>
      <c r="J132" s="1"/>
      <c r="K132" s="1"/>
      <c r="L132" s="1"/>
      <c r="M132" s="1"/>
    </row>
    <row r="133" spans="1:13" x14ac:dyDescent="0.25">
      <c r="A133" s="19"/>
      <c r="B133" s="1"/>
      <c r="C133" s="1"/>
      <c r="D133" s="1"/>
      <c r="E133" s="1"/>
      <c r="F133" s="1"/>
      <c r="G133" s="1"/>
      <c r="H133" s="1"/>
      <c r="I133" s="1"/>
      <c r="J133" s="1"/>
      <c r="K133" s="1"/>
      <c r="L133" s="1"/>
      <c r="M133" s="1"/>
    </row>
    <row r="134" spans="1:13" x14ac:dyDescent="0.25">
      <c r="A134" s="19"/>
      <c r="B134" s="1"/>
      <c r="C134" s="1"/>
      <c r="D134" s="1"/>
      <c r="E134" s="1"/>
      <c r="F134" s="1"/>
      <c r="G134" s="1"/>
      <c r="H134" s="1"/>
      <c r="I134" s="1"/>
      <c r="J134" s="1"/>
      <c r="K134" s="1"/>
      <c r="L134" s="1"/>
      <c r="M134" s="1"/>
    </row>
    <row r="135" spans="1:13" x14ac:dyDescent="0.25">
      <c r="A135" s="19"/>
      <c r="B135" s="1"/>
      <c r="C135" s="1"/>
      <c r="D135" s="1"/>
      <c r="E135" s="1"/>
      <c r="F135" s="1"/>
      <c r="G135" s="1"/>
      <c r="H135" s="1"/>
      <c r="I135" s="1"/>
      <c r="J135" s="1"/>
      <c r="K135" s="1"/>
      <c r="L135" s="1"/>
      <c r="M135" s="1"/>
    </row>
    <row r="136" spans="1:13" x14ac:dyDescent="0.25">
      <c r="A136" s="19"/>
      <c r="B136" s="1"/>
      <c r="C136" s="1"/>
      <c r="D136" s="1"/>
      <c r="E136" s="1"/>
      <c r="F136" s="1"/>
      <c r="G136" s="1"/>
      <c r="H136" s="1"/>
      <c r="I136" s="1"/>
      <c r="J136" s="1"/>
      <c r="K136" s="1"/>
      <c r="L136" s="1"/>
      <c r="M136" s="1"/>
    </row>
    <row r="137" spans="1:13" x14ac:dyDescent="0.25">
      <c r="A137" s="19"/>
      <c r="B137" s="1"/>
      <c r="C137" s="1"/>
      <c r="D137" s="1"/>
      <c r="E137" s="1"/>
      <c r="F137" s="1"/>
      <c r="G137" s="1"/>
      <c r="H137" s="1"/>
      <c r="I137" s="1"/>
      <c r="J137" s="1"/>
      <c r="K137" s="1"/>
      <c r="L137" s="1"/>
      <c r="M137" s="1"/>
    </row>
    <row r="138" spans="1:13" x14ac:dyDescent="0.25">
      <c r="A138" s="19"/>
      <c r="B138" s="1"/>
      <c r="C138" s="1"/>
      <c r="D138" s="1"/>
      <c r="E138" s="1"/>
      <c r="F138" s="1"/>
      <c r="G138" s="1"/>
      <c r="H138" s="1"/>
      <c r="I138" s="1"/>
      <c r="J138" s="1"/>
      <c r="K138" s="1"/>
      <c r="L138" s="1"/>
      <c r="M138" s="1"/>
    </row>
    <row r="139" spans="1:13" x14ac:dyDescent="0.25">
      <c r="A139" s="19"/>
      <c r="B139" s="1"/>
      <c r="C139" s="1"/>
      <c r="D139" s="1"/>
      <c r="E139" s="1"/>
      <c r="F139" s="1"/>
      <c r="G139" s="1"/>
      <c r="H139" s="1"/>
      <c r="I139" s="1"/>
      <c r="J139" s="1"/>
      <c r="K139" s="1"/>
      <c r="L139" s="1"/>
      <c r="M139" s="1"/>
    </row>
    <row r="140" spans="1:13" x14ac:dyDescent="0.25">
      <c r="A140" s="19"/>
      <c r="B140" s="1"/>
      <c r="C140" s="1"/>
      <c r="D140" s="1"/>
      <c r="E140" s="1"/>
      <c r="F140" s="1"/>
      <c r="G140" s="1"/>
      <c r="H140" s="1"/>
      <c r="I140" s="1"/>
      <c r="J140" s="1"/>
      <c r="K140" s="1"/>
      <c r="L140" s="1"/>
      <c r="M140" s="1"/>
    </row>
    <row r="141" spans="1:13" x14ac:dyDescent="0.25">
      <c r="A141" s="19"/>
      <c r="B141" s="1"/>
      <c r="C141" s="1"/>
      <c r="D141" s="1"/>
      <c r="E141" s="1"/>
      <c r="F141" s="1"/>
      <c r="G141" s="1"/>
      <c r="H141" s="1"/>
      <c r="I141" s="1"/>
      <c r="J141" s="1"/>
      <c r="K141" s="1"/>
      <c r="L141" s="1"/>
      <c r="M141" s="1"/>
    </row>
    <row r="142" spans="1:13" x14ac:dyDescent="0.25">
      <c r="A142" s="19"/>
      <c r="B142" s="1"/>
      <c r="C142" s="1"/>
      <c r="D142" s="1"/>
      <c r="E142" s="1"/>
      <c r="F142" s="1"/>
      <c r="G142" s="1"/>
      <c r="H142" s="1"/>
      <c r="I142" s="1"/>
      <c r="J142" s="1"/>
      <c r="K142" s="1"/>
      <c r="L142" s="1"/>
      <c r="M142" s="1"/>
    </row>
    <row r="143" spans="1:13" x14ac:dyDescent="0.25">
      <c r="A143" s="19"/>
      <c r="B143" s="1"/>
      <c r="C143" s="1"/>
      <c r="D143" s="1"/>
      <c r="E143" s="1"/>
      <c r="F143" s="1"/>
      <c r="G143" s="1"/>
      <c r="H143" s="1"/>
      <c r="I143" s="1"/>
      <c r="J143" s="1"/>
      <c r="K143" s="1"/>
      <c r="L143" s="1"/>
      <c r="M143" s="1"/>
    </row>
    <row r="144" spans="1:13" x14ac:dyDescent="0.25">
      <c r="A144" s="19"/>
      <c r="B144" s="1"/>
      <c r="C144" s="1"/>
      <c r="D144" s="1"/>
      <c r="E144" s="1"/>
      <c r="F144" s="1"/>
      <c r="G144" s="1"/>
      <c r="H144" s="1"/>
      <c r="I144" s="1"/>
      <c r="J144" s="1"/>
      <c r="K144" s="1"/>
      <c r="L144" s="1"/>
      <c r="M144" s="1"/>
    </row>
    <row r="145" spans="1:13" x14ac:dyDescent="0.25">
      <c r="A145" s="19"/>
      <c r="B145" s="1"/>
      <c r="C145" s="1"/>
      <c r="D145" s="1"/>
      <c r="E145" s="1"/>
      <c r="F145" s="1"/>
      <c r="G145" s="1"/>
      <c r="H145" s="1"/>
      <c r="I145" s="1"/>
      <c r="J145" s="1"/>
      <c r="K145" s="1"/>
      <c r="L145" s="1"/>
      <c r="M145" s="1"/>
    </row>
    <row r="146" spans="1:13" x14ac:dyDescent="0.25">
      <c r="A146" s="19"/>
      <c r="B146" s="1"/>
      <c r="C146" s="1"/>
      <c r="D146" s="1"/>
      <c r="E146" s="1"/>
      <c r="F146" s="1"/>
      <c r="G146" s="1"/>
      <c r="H146" s="1"/>
      <c r="I146" s="1"/>
      <c r="J146" s="1"/>
      <c r="K146" s="1"/>
      <c r="L146" s="1"/>
      <c r="M146" s="1"/>
    </row>
    <row r="147" spans="1:13" x14ac:dyDescent="0.25">
      <c r="A147" s="19"/>
      <c r="B147" s="1"/>
      <c r="C147" s="1"/>
      <c r="D147" s="1"/>
      <c r="E147" s="1"/>
      <c r="F147" s="1"/>
      <c r="G147" s="1"/>
      <c r="H147" s="1"/>
      <c r="I147" s="1"/>
      <c r="J147" s="1"/>
      <c r="K147" s="1"/>
      <c r="L147" s="1"/>
      <c r="M147" s="1"/>
    </row>
    <row r="148" spans="1:13" x14ac:dyDescent="0.25">
      <c r="A148" s="19"/>
      <c r="B148" s="1"/>
      <c r="C148" s="1"/>
      <c r="D148" s="1"/>
      <c r="E148" s="1"/>
      <c r="F148" s="1"/>
      <c r="G148" s="1"/>
      <c r="H148" s="1"/>
      <c r="I148" s="1"/>
      <c r="J148" s="1"/>
      <c r="K148" s="1"/>
      <c r="L148" s="1"/>
      <c r="M148" s="1"/>
    </row>
    <row r="149" spans="1:13" x14ac:dyDescent="0.25">
      <c r="A149" s="19"/>
      <c r="B149" s="1"/>
      <c r="C149" s="1"/>
      <c r="D149" s="1"/>
      <c r="E149" s="1"/>
      <c r="F149" s="1"/>
      <c r="G149" s="1"/>
      <c r="H149" s="1"/>
      <c r="I149" s="1"/>
      <c r="J149" s="1"/>
      <c r="K149" s="1"/>
      <c r="L149" s="1"/>
      <c r="M149" s="1"/>
    </row>
    <row r="150" spans="1:13" x14ac:dyDescent="0.25">
      <c r="A150" s="50" t="s">
        <v>0</v>
      </c>
      <c r="B150" s="50"/>
      <c r="C150" s="50"/>
      <c r="D150" s="9"/>
      <c r="E150" s="9"/>
      <c r="F150" s="9"/>
      <c r="G150" s="9"/>
      <c r="H150" s="1"/>
      <c r="I150" s="1"/>
      <c r="J150" s="1"/>
      <c r="K150" s="1"/>
      <c r="L150" s="1"/>
      <c r="M150" s="1"/>
    </row>
    <row r="151" spans="1:13" x14ac:dyDescent="0.25">
      <c r="A151" s="50" t="s">
        <v>1</v>
      </c>
      <c r="B151" s="50"/>
      <c r="C151" s="50"/>
      <c r="D151" s="9"/>
      <c r="E151" s="9"/>
      <c r="F151" s="9"/>
      <c r="G151" s="9"/>
      <c r="H151" s="1"/>
      <c r="I151" s="1"/>
      <c r="J151" s="1"/>
      <c r="K151" s="1"/>
      <c r="L151" s="1"/>
      <c r="M151" s="1"/>
    </row>
    <row r="152" spans="1:13" x14ac:dyDescent="0.25">
      <c r="A152" s="50" t="s">
        <v>16</v>
      </c>
      <c r="B152" s="50"/>
      <c r="C152" s="50"/>
      <c r="D152" s="9"/>
      <c r="E152" s="9"/>
      <c r="F152" s="9"/>
      <c r="G152" s="9"/>
      <c r="H152" s="1"/>
      <c r="I152" s="1"/>
      <c r="J152" s="1"/>
      <c r="K152" s="1"/>
      <c r="L152" s="1"/>
      <c r="M152" s="1"/>
    </row>
    <row r="153" spans="1:13" x14ac:dyDescent="0.25">
      <c r="A153" s="18"/>
      <c r="B153" s="9"/>
      <c r="C153" s="9"/>
      <c r="D153" s="9"/>
      <c r="E153" s="9"/>
      <c r="F153" s="9"/>
      <c r="G153" s="9"/>
      <c r="H153" s="1"/>
      <c r="I153" s="1"/>
      <c r="J153" s="1"/>
      <c r="K153" s="1"/>
      <c r="L153" s="1"/>
      <c r="M153" s="1"/>
    </row>
    <row r="154" spans="1:13" x14ac:dyDescent="0.25">
      <c r="A154" s="643" t="s">
        <v>60</v>
      </c>
      <c r="B154" s="643"/>
      <c r="C154" s="643"/>
      <c r="D154" s="643"/>
      <c r="E154" s="643"/>
      <c r="F154" s="643"/>
      <c r="G154" s="643"/>
      <c r="H154" s="1"/>
      <c r="I154" s="1"/>
      <c r="J154" s="1"/>
      <c r="K154" s="1"/>
      <c r="L154" s="1"/>
      <c r="M154" s="1"/>
    </row>
    <row r="155" spans="1:13" x14ac:dyDescent="0.25">
      <c r="A155" s="643" t="s">
        <v>3244</v>
      </c>
      <c r="B155" s="643"/>
      <c r="C155" s="643"/>
      <c r="D155" s="643"/>
      <c r="E155" s="643"/>
      <c r="F155" s="643"/>
      <c r="G155" s="643"/>
      <c r="H155" s="1"/>
      <c r="I155" s="1"/>
      <c r="J155" s="1"/>
      <c r="K155" s="1"/>
      <c r="L155" s="1"/>
      <c r="M155" s="1"/>
    </row>
    <row r="156" spans="1:13" ht="15.75" thickBot="1" x14ac:dyDescent="0.3">
      <c r="A156" s="19"/>
      <c r="B156" s="1"/>
      <c r="C156" s="1"/>
      <c r="D156" s="1"/>
      <c r="E156" s="1"/>
      <c r="F156" s="1"/>
      <c r="G156" s="1"/>
      <c r="H156" s="1"/>
      <c r="I156" s="1"/>
      <c r="J156" s="1"/>
      <c r="K156" s="1"/>
      <c r="L156" s="1"/>
      <c r="M156" s="1"/>
    </row>
    <row r="157" spans="1:13" x14ac:dyDescent="0.25">
      <c r="A157" s="33" t="s">
        <v>55</v>
      </c>
      <c r="B157" s="53" t="s">
        <v>3</v>
      </c>
      <c r="C157" s="661" t="s">
        <v>5</v>
      </c>
      <c r="D157" s="661"/>
      <c r="E157" s="34" t="s">
        <v>56</v>
      </c>
      <c r="F157" s="34" t="s">
        <v>57</v>
      </c>
      <c r="G157" s="35" t="s">
        <v>58</v>
      </c>
      <c r="H157" s="1"/>
      <c r="I157" s="1"/>
      <c r="J157" s="1"/>
      <c r="K157" s="1"/>
      <c r="L157" s="1"/>
      <c r="M157" s="1"/>
    </row>
    <row r="158" spans="1:13" x14ac:dyDescent="0.25">
      <c r="A158" s="42"/>
      <c r="B158" s="24"/>
      <c r="C158" s="36"/>
      <c r="D158" s="39"/>
      <c r="E158" s="24"/>
      <c r="F158" s="24"/>
      <c r="G158" s="25"/>
      <c r="H158" s="1"/>
      <c r="I158" s="1"/>
      <c r="J158" s="1"/>
      <c r="K158" s="1"/>
      <c r="L158" s="1"/>
      <c r="M158" s="1"/>
    </row>
    <row r="159" spans="1:13" x14ac:dyDescent="0.25">
      <c r="A159" s="42">
        <v>1</v>
      </c>
      <c r="B159" s="58" t="s">
        <v>3249</v>
      </c>
      <c r="C159" s="51" t="s">
        <v>62</v>
      </c>
      <c r="D159" s="52"/>
      <c r="E159" s="56" t="s">
        <v>68</v>
      </c>
      <c r="F159" s="28" t="e">
        <f>JP!#REF!</f>
        <v>#REF!</v>
      </c>
      <c r="G159" s="25"/>
      <c r="H159" s="1"/>
      <c r="I159" s="1"/>
      <c r="J159" s="1"/>
      <c r="K159" s="1"/>
      <c r="L159" s="1"/>
      <c r="M159" s="1"/>
    </row>
    <row r="160" spans="1:13" x14ac:dyDescent="0.25">
      <c r="A160" s="42"/>
      <c r="B160" s="54"/>
      <c r="C160" s="51" t="s">
        <v>63</v>
      </c>
      <c r="D160" s="52"/>
      <c r="E160" s="56" t="s">
        <v>68</v>
      </c>
      <c r="F160" s="28" t="e">
        <f>JP!#REF!</f>
        <v>#REF!</v>
      </c>
      <c r="G160" s="25"/>
      <c r="H160" s="1"/>
      <c r="I160" s="1"/>
      <c r="J160" s="1"/>
      <c r="K160" s="1"/>
      <c r="L160" s="1"/>
      <c r="M160" s="1"/>
    </row>
    <row r="161" spans="1:13" x14ac:dyDescent="0.25">
      <c r="A161" s="42"/>
      <c r="B161" s="54"/>
      <c r="C161" s="51" t="s">
        <v>64</v>
      </c>
      <c r="D161" s="52"/>
      <c r="E161" s="56" t="s">
        <v>68</v>
      </c>
      <c r="F161" s="28" t="e">
        <f>JP!#REF!</f>
        <v>#REF!</v>
      </c>
      <c r="G161" s="25"/>
      <c r="H161" s="1"/>
      <c r="I161" s="1"/>
      <c r="J161" s="1"/>
      <c r="K161" s="1"/>
      <c r="L161" s="1"/>
      <c r="M161" s="1"/>
    </row>
    <row r="162" spans="1:13" x14ac:dyDescent="0.25">
      <c r="A162" s="42"/>
      <c r="B162" s="24"/>
      <c r="C162" s="51"/>
      <c r="D162" s="55" t="s">
        <v>61</v>
      </c>
      <c r="E162" s="56" t="s">
        <v>68</v>
      </c>
      <c r="G162" s="28" t="e">
        <f>SUM(F159:F161)</f>
        <v>#REF!</v>
      </c>
      <c r="H162" s="1"/>
      <c r="I162" s="1"/>
      <c r="J162" s="1"/>
      <c r="K162" s="1"/>
      <c r="L162" s="1"/>
      <c r="M162" s="1"/>
    </row>
    <row r="163" spans="1:13" x14ac:dyDescent="0.25">
      <c r="A163" s="42"/>
      <c r="B163" s="24"/>
      <c r="C163" s="51"/>
      <c r="D163" s="52"/>
      <c r="E163" s="56"/>
      <c r="F163" s="28"/>
      <c r="G163" s="25"/>
      <c r="H163" s="1"/>
      <c r="I163" s="1"/>
      <c r="J163" s="1"/>
      <c r="K163" s="1"/>
      <c r="L163" s="1"/>
      <c r="M163" s="1"/>
    </row>
    <row r="164" spans="1:13" x14ac:dyDescent="0.25">
      <c r="A164" s="30"/>
      <c r="B164" s="31"/>
      <c r="C164" s="38"/>
      <c r="D164" s="41"/>
      <c r="E164" s="31"/>
      <c r="F164" s="31"/>
      <c r="G164" s="45"/>
      <c r="H164" s="1"/>
      <c r="I164" s="1"/>
      <c r="J164" s="1"/>
      <c r="K164" s="1"/>
      <c r="L164" s="1"/>
      <c r="M164" s="1"/>
    </row>
    <row r="165" spans="1:13" ht="15.75" thickBot="1" x14ac:dyDescent="0.3">
      <c r="A165" s="30"/>
      <c r="B165" s="31"/>
      <c r="C165" s="38"/>
      <c r="D165" s="41"/>
      <c r="E165" s="31"/>
      <c r="F165" s="31"/>
      <c r="G165" s="32"/>
      <c r="H165" s="1"/>
      <c r="I165" s="1"/>
      <c r="J165" s="1"/>
      <c r="K165" s="1"/>
      <c r="L165" s="1"/>
      <c r="M165" s="1"/>
    </row>
    <row r="166" spans="1:13" ht="15.75" thickBot="1" x14ac:dyDescent="0.3">
      <c r="A166" s="723" t="s">
        <v>15</v>
      </c>
      <c r="B166" s="724"/>
      <c r="C166" s="724"/>
      <c r="D166" s="724"/>
      <c r="E166" s="724"/>
      <c r="F166" s="48" t="e">
        <f>SUM(F159:F165)</f>
        <v>#REF!</v>
      </c>
      <c r="G166" s="48" t="e">
        <f>SUM(G159:G165)</f>
        <v>#REF!</v>
      </c>
      <c r="H166" s="1"/>
      <c r="I166" s="1"/>
      <c r="J166" s="1"/>
      <c r="K166" s="1"/>
      <c r="L166" s="1"/>
      <c r="M166" s="1"/>
    </row>
    <row r="167" spans="1:13" x14ac:dyDescent="0.25">
      <c r="A167" s="19"/>
      <c r="B167" s="1"/>
      <c r="C167" s="1"/>
      <c r="D167" s="1"/>
      <c r="E167" s="1"/>
      <c r="F167" s="1"/>
      <c r="G167" s="1"/>
      <c r="H167" s="1"/>
      <c r="I167" s="1"/>
      <c r="J167" s="1"/>
      <c r="K167" s="1"/>
      <c r="L167" s="1"/>
      <c r="M167" s="1"/>
    </row>
    <row r="168" spans="1:13" x14ac:dyDescent="0.25">
      <c r="A168" s="19"/>
      <c r="B168" s="1"/>
      <c r="C168" s="1"/>
      <c r="D168" s="1"/>
      <c r="E168" s="1"/>
      <c r="F168" s="1"/>
      <c r="G168" s="1"/>
      <c r="H168" s="1"/>
      <c r="I168" s="1"/>
      <c r="J168" s="1"/>
      <c r="K168" s="1"/>
      <c r="L168" s="1"/>
      <c r="M168" s="1"/>
    </row>
    <row r="169" spans="1:13" x14ac:dyDescent="0.25">
      <c r="A169" s="19"/>
      <c r="B169" s="1"/>
      <c r="C169" s="1"/>
      <c r="D169" s="1"/>
      <c r="E169" s="1"/>
      <c r="F169" s="1"/>
      <c r="G169" s="1"/>
      <c r="H169" s="1"/>
      <c r="I169" s="1"/>
      <c r="J169" s="1"/>
      <c r="K169" s="1"/>
      <c r="L169" s="1"/>
      <c r="M169" s="1"/>
    </row>
    <row r="170" spans="1:13" x14ac:dyDescent="0.25">
      <c r="A170" s="19"/>
      <c r="B170" s="1"/>
      <c r="C170" s="1"/>
      <c r="D170" s="1"/>
      <c r="E170" s="1"/>
      <c r="F170" s="1"/>
      <c r="G170" s="1"/>
      <c r="H170" s="1"/>
      <c r="I170" s="1"/>
      <c r="J170" s="1"/>
      <c r="K170" s="1"/>
      <c r="L170" s="1"/>
      <c r="M170" s="1"/>
    </row>
    <row r="171" spans="1:13" x14ac:dyDescent="0.25">
      <c r="A171" s="19"/>
      <c r="B171" s="1"/>
      <c r="C171" s="1"/>
      <c r="D171" s="1"/>
      <c r="E171" s="1"/>
      <c r="F171" s="1"/>
      <c r="G171" s="1"/>
      <c r="H171" s="1"/>
      <c r="I171" s="1"/>
      <c r="J171" s="1"/>
      <c r="K171" s="1"/>
      <c r="L171" s="1"/>
      <c r="M171" s="1"/>
    </row>
    <row r="172" spans="1:13" x14ac:dyDescent="0.25">
      <c r="A172" s="19"/>
      <c r="B172" s="1"/>
      <c r="C172" s="1"/>
      <c r="D172" s="1"/>
      <c r="E172" s="1"/>
      <c r="F172" s="1"/>
      <c r="G172" s="1"/>
      <c r="H172" s="1"/>
      <c r="I172" s="1"/>
      <c r="J172" s="1"/>
      <c r="K172" s="1"/>
      <c r="L172" s="1"/>
      <c r="M172" s="1"/>
    </row>
    <row r="173" spans="1:13" x14ac:dyDescent="0.25">
      <c r="A173" s="19"/>
      <c r="B173" s="1"/>
      <c r="C173" s="1"/>
      <c r="D173" s="1"/>
      <c r="E173" s="1"/>
      <c r="F173" s="1"/>
      <c r="G173" s="1"/>
      <c r="H173" s="1"/>
      <c r="I173" s="1"/>
      <c r="J173" s="1"/>
      <c r="K173" s="1"/>
      <c r="L173" s="1"/>
      <c r="M173" s="1"/>
    </row>
    <row r="174" spans="1:13" x14ac:dyDescent="0.25">
      <c r="A174" s="19"/>
      <c r="B174" s="1"/>
      <c r="C174" s="1"/>
      <c r="D174" s="1"/>
      <c r="E174" s="1"/>
      <c r="F174" s="1"/>
      <c r="G174" s="1"/>
      <c r="H174" s="1"/>
      <c r="I174" s="1"/>
      <c r="J174" s="1"/>
      <c r="K174" s="1"/>
      <c r="L174" s="1"/>
      <c r="M174" s="1"/>
    </row>
    <row r="175" spans="1:13" x14ac:dyDescent="0.25">
      <c r="A175" s="19"/>
      <c r="B175" s="1"/>
      <c r="C175" s="1"/>
      <c r="D175" s="1"/>
      <c r="E175" s="1"/>
      <c r="F175" s="1"/>
      <c r="G175" s="1"/>
      <c r="H175" s="1"/>
      <c r="I175" s="1"/>
      <c r="J175" s="1"/>
      <c r="K175" s="1"/>
      <c r="L175" s="1"/>
      <c r="M175" s="1"/>
    </row>
    <row r="176" spans="1:13" x14ac:dyDescent="0.25">
      <c r="A176" s="19"/>
      <c r="B176" s="1"/>
      <c r="C176" s="1"/>
      <c r="D176" s="1"/>
      <c r="E176" s="1"/>
      <c r="F176" s="1"/>
      <c r="G176" s="1"/>
      <c r="H176" s="1"/>
      <c r="I176" s="1"/>
      <c r="J176" s="1"/>
      <c r="K176" s="1"/>
      <c r="L176" s="1"/>
      <c r="M176" s="1"/>
    </row>
    <row r="177" spans="1:13" x14ac:dyDescent="0.25">
      <c r="A177" s="19"/>
      <c r="B177" s="1"/>
      <c r="C177" s="1"/>
      <c r="D177" s="1"/>
      <c r="E177" s="1"/>
      <c r="F177" s="1"/>
      <c r="G177" s="1"/>
      <c r="H177" s="1"/>
      <c r="I177" s="1"/>
      <c r="J177" s="1"/>
      <c r="K177" s="1"/>
      <c r="L177" s="1"/>
      <c r="M177" s="1"/>
    </row>
    <row r="178" spans="1:13" x14ac:dyDescent="0.25">
      <c r="A178" s="19"/>
      <c r="B178" s="1"/>
      <c r="C178" s="1"/>
      <c r="D178" s="1"/>
      <c r="E178" s="1"/>
      <c r="F178" s="1"/>
      <c r="G178" s="1"/>
      <c r="H178" s="1"/>
      <c r="I178" s="1"/>
      <c r="J178" s="1"/>
      <c r="K178" s="1"/>
      <c r="L178" s="1"/>
      <c r="M178" s="1"/>
    </row>
    <row r="179" spans="1:13" x14ac:dyDescent="0.25">
      <c r="A179" s="19"/>
      <c r="B179" s="1"/>
      <c r="C179" s="1"/>
      <c r="D179" s="1"/>
      <c r="E179" s="1"/>
      <c r="F179" s="1"/>
      <c r="G179" s="1"/>
      <c r="H179" s="1"/>
      <c r="I179" s="1"/>
      <c r="J179" s="1"/>
      <c r="K179" s="1"/>
      <c r="L179" s="1"/>
      <c r="M179" s="1"/>
    </row>
    <row r="180" spans="1:13" x14ac:dyDescent="0.25">
      <c r="A180" s="19"/>
      <c r="B180" s="1"/>
      <c r="C180" s="1"/>
      <c r="D180" s="1"/>
      <c r="E180" s="1"/>
      <c r="F180" s="1"/>
      <c r="G180" s="1"/>
      <c r="H180" s="1"/>
      <c r="I180" s="1"/>
      <c r="J180" s="1"/>
      <c r="K180" s="1"/>
      <c r="L180" s="1"/>
      <c r="M180" s="1"/>
    </row>
    <row r="181" spans="1:13" x14ac:dyDescent="0.25">
      <c r="A181" s="19"/>
      <c r="B181" s="1"/>
      <c r="C181" s="1"/>
      <c r="D181" s="1"/>
      <c r="E181" s="1"/>
      <c r="F181" s="1"/>
      <c r="G181" s="1"/>
      <c r="H181" s="1"/>
      <c r="I181" s="1"/>
      <c r="J181" s="1"/>
      <c r="K181" s="1"/>
      <c r="L181" s="1"/>
      <c r="M181" s="1"/>
    </row>
    <row r="182" spans="1:13" x14ac:dyDescent="0.25">
      <c r="A182" s="19"/>
      <c r="B182" s="1"/>
      <c r="C182" s="1"/>
      <c r="D182" s="1"/>
      <c r="E182" s="1"/>
      <c r="F182" s="1"/>
      <c r="G182" s="1"/>
      <c r="H182" s="1"/>
      <c r="I182" s="1"/>
      <c r="J182" s="1"/>
      <c r="K182" s="1"/>
      <c r="L182" s="1"/>
      <c r="M182" s="1"/>
    </row>
    <row r="183" spans="1:13" x14ac:dyDescent="0.25">
      <c r="A183" s="19"/>
      <c r="B183" s="1"/>
      <c r="C183" s="1"/>
      <c r="D183" s="1"/>
      <c r="E183" s="1"/>
      <c r="F183" s="1"/>
      <c r="G183" s="1"/>
      <c r="H183" s="1"/>
      <c r="I183" s="1"/>
      <c r="J183" s="1"/>
      <c r="K183" s="1"/>
      <c r="L183" s="1"/>
      <c r="M183" s="1"/>
    </row>
    <row r="184" spans="1:13" x14ac:dyDescent="0.25">
      <c r="A184" s="19"/>
      <c r="B184" s="1"/>
      <c r="C184" s="1"/>
      <c r="D184" s="1"/>
      <c r="E184" s="1"/>
      <c r="F184" s="1"/>
      <c r="G184" s="1"/>
      <c r="H184" s="1"/>
      <c r="I184" s="1"/>
      <c r="J184" s="1"/>
      <c r="K184" s="1"/>
      <c r="L184" s="1"/>
      <c r="M184" s="1"/>
    </row>
    <row r="185" spans="1:13" x14ac:dyDescent="0.25">
      <c r="A185" s="19"/>
      <c r="B185" s="1"/>
      <c r="C185" s="1"/>
      <c r="D185" s="1"/>
      <c r="E185" s="1"/>
      <c r="F185" s="1"/>
      <c r="G185" s="1"/>
      <c r="H185" s="1"/>
      <c r="I185" s="1"/>
      <c r="J185" s="1"/>
      <c r="K185" s="1"/>
      <c r="L185" s="1"/>
      <c r="M185" s="1"/>
    </row>
    <row r="186" spans="1:13" x14ac:dyDescent="0.25">
      <c r="A186" s="19"/>
      <c r="B186" s="1"/>
      <c r="C186" s="1"/>
      <c r="D186" s="1"/>
      <c r="E186" s="1"/>
      <c r="F186" s="1"/>
      <c r="G186" s="1"/>
      <c r="H186" s="1"/>
      <c r="I186" s="1"/>
      <c r="J186" s="1"/>
      <c r="K186" s="1"/>
      <c r="L186" s="1"/>
      <c r="M186" s="1"/>
    </row>
    <row r="187" spans="1:13" x14ac:dyDescent="0.25">
      <c r="A187" s="19"/>
      <c r="B187" s="1"/>
      <c r="C187" s="1"/>
      <c r="D187" s="1"/>
      <c r="E187" s="1"/>
      <c r="F187" s="1"/>
      <c r="G187" s="1"/>
      <c r="H187" s="1"/>
      <c r="I187" s="1"/>
      <c r="J187" s="1"/>
      <c r="K187" s="1"/>
      <c r="L187" s="1"/>
      <c r="M187" s="1"/>
    </row>
    <row r="188" spans="1:13" x14ac:dyDescent="0.25">
      <c r="A188" s="19"/>
      <c r="B188" s="1"/>
      <c r="C188" s="1"/>
      <c r="D188" s="1"/>
      <c r="E188" s="1"/>
      <c r="F188" s="1"/>
      <c r="G188" s="1"/>
      <c r="H188" s="1"/>
      <c r="I188" s="1"/>
      <c r="J188" s="1"/>
      <c r="K188" s="1"/>
      <c r="L188" s="1"/>
      <c r="M188" s="1"/>
    </row>
    <row r="189" spans="1:13" x14ac:dyDescent="0.25">
      <c r="A189" s="19"/>
      <c r="B189" s="1"/>
      <c r="C189" s="1"/>
      <c r="D189" s="1"/>
      <c r="E189" s="1"/>
      <c r="F189" s="1"/>
      <c r="G189" s="1"/>
      <c r="H189" s="1"/>
      <c r="I189" s="1"/>
      <c r="J189" s="1"/>
      <c r="K189" s="1"/>
      <c r="L189" s="1"/>
      <c r="M189" s="1"/>
    </row>
    <row r="190" spans="1:13" x14ac:dyDescent="0.25">
      <c r="A190" s="19"/>
      <c r="B190" s="1"/>
      <c r="C190" s="1"/>
      <c r="D190" s="1"/>
      <c r="E190" s="1"/>
      <c r="F190" s="1"/>
      <c r="G190" s="1"/>
      <c r="H190" s="1"/>
      <c r="I190" s="1"/>
      <c r="J190" s="1"/>
      <c r="K190" s="1"/>
      <c r="L190" s="1"/>
      <c r="M190" s="1"/>
    </row>
    <row r="191" spans="1:13" x14ac:dyDescent="0.25">
      <c r="A191" s="19"/>
      <c r="B191" s="1"/>
      <c r="C191" s="1"/>
      <c r="D191" s="1"/>
      <c r="E191" s="1"/>
      <c r="F191" s="1"/>
      <c r="G191" s="1"/>
      <c r="H191" s="1"/>
      <c r="I191" s="1"/>
      <c r="J191" s="1"/>
      <c r="K191" s="1"/>
      <c r="L191" s="1"/>
      <c r="M191" s="1"/>
    </row>
    <row r="192" spans="1:13" x14ac:dyDescent="0.25">
      <c r="A192" s="19"/>
      <c r="B192" s="1"/>
      <c r="C192" s="1"/>
      <c r="D192" s="1"/>
      <c r="E192" s="1"/>
      <c r="F192" s="1"/>
      <c r="G192" s="1"/>
      <c r="H192" s="1"/>
      <c r="I192" s="1"/>
      <c r="J192" s="1"/>
      <c r="K192" s="1"/>
      <c r="L192" s="1"/>
      <c r="M192" s="1"/>
    </row>
    <row r="193" spans="1:13" x14ac:dyDescent="0.25">
      <c r="A193" s="19"/>
      <c r="B193" s="1"/>
      <c r="C193" s="1"/>
      <c r="D193" s="1"/>
      <c r="E193" s="1"/>
      <c r="F193" s="1"/>
      <c r="G193" s="1"/>
      <c r="H193" s="1"/>
      <c r="I193" s="1"/>
      <c r="J193" s="1"/>
      <c r="K193" s="1"/>
      <c r="L193" s="1"/>
      <c r="M193" s="1"/>
    </row>
    <row r="194" spans="1:13" x14ac:dyDescent="0.25">
      <c r="A194" s="19"/>
      <c r="B194" s="1"/>
      <c r="C194" s="1"/>
      <c r="D194" s="1"/>
      <c r="E194" s="1"/>
      <c r="F194" s="1"/>
      <c r="G194" s="1"/>
      <c r="H194" s="1"/>
      <c r="I194" s="1"/>
      <c r="J194" s="1"/>
      <c r="K194" s="1"/>
      <c r="L194" s="1"/>
      <c r="M194" s="1"/>
    </row>
    <row r="195" spans="1:13" x14ac:dyDescent="0.25">
      <c r="A195" s="19"/>
      <c r="B195" s="1"/>
      <c r="C195" s="1"/>
      <c r="D195" s="1"/>
      <c r="E195" s="1"/>
      <c r="F195" s="1"/>
      <c r="G195" s="1"/>
      <c r="H195" s="1"/>
      <c r="I195" s="1"/>
      <c r="J195" s="1"/>
      <c r="K195" s="1"/>
      <c r="L195" s="1"/>
      <c r="M195" s="1"/>
    </row>
    <row r="196" spans="1:13" x14ac:dyDescent="0.25">
      <c r="A196" s="19"/>
      <c r="B196" s="1"/>
      <c r="C196" s="1"/>
      <c r="D196" s="1"/>
      <c r="E196" s="1"/>
      <c r="F196" s="1"/>
      <c r="G196" s="1"/>
      <c r="H196" s="1"/>
      <c r="I196" s="1"/>
      <c r="J196" s="1"/>
      <c r="K196" s="1"/>
      <c r="L196" s="1"/>
      <c r="M196" s="1"/>
    </row>
    <row r="197" spans="1:13" x14ac:dyDescent="0.25">
      <c r="A197" s="19"/>
      <c r="B197" s="1"/>
      <c r="C197" s="1"/>
      <c r="D197" s="1"/>
      <c r="E197" s="1"/>
      <c r="F197" s="1"/>
      <c r="G197" s="1"/>
      <c r="H197" s="1"/>
      <c r="I197" s="1"/>
      <c r="J197" s="1"/>
      <c r="K197" s="1"/>
      <c r="L197" s="1"/>
      <c r="M197" s="1"/>
    </row>
    <row r="198" spans="1:13" x14ac:dyDescent="0.25">
      <c r="A198" s="19"/>
      <c r="B198" s="1"/>
      <c r="C198" s="1"/>
      <c r="D198" s="1"/>
      <c r="E198" s="1"/>
      <c r="F198" s="1"/>
      <c r="G198" s="1"/>
      <c r="H198" s="1"/>
      <c r="I198" s="1"/>
      <c r="J198" s="1"/>
      <c r="K198" s="1"/>
      <c r="L198" s="1"/>
      <c r="M198" s="1"/>
    </row>
    <row r="199" spans="1:13" x14ac:dyDescent="0.25">
      <c r="A199" s="19"/>
      <c r="B199" s="1"/>
      <c r="C199" s="1"/>
      <c r="D199" s="1"/>
      <c r="E199" s="1"/>
      <c r="F199" s="1"/>
      <c r="G199" s="1"/>
      <c r="H199" s="1"/>
      <c r="I199" s="1"/>
      <c r="J199" s="1"/>
      <c r="K199" s="1"/>
      <c r="L199" s="1"/>
      <c r="M199" s="1"/>
    </row>
    <row r="200" spans="1:13" x14ac:dyDescent="0.25">
      <c r="A200" s="50" t="s">
        <v>0</v>
      </c>
      <c r="B200" s="50"/>
      <c r="C200" s="50"/>
      <c r="D200" s="9"/>
      <c r="E200" s="9"/>
      <c r="F200" s="9"/>
      <c r="G200" s="9"/>
      <c r="H200" s="1"/>
      <c r="I200" s="1"/>
      <c r="J200" s="1"/>
      <c r="K200" s="1"/>
      <c r="L200" s="1"/>
      <c r="M200" s="1"/>
    </row>
    <row r="201" spans="1:13" x14ac:dyDescent="0.25">
      <c r="A201" s="50" t="s">
        <v>1</v>
      </c>
      <c r="B201" s="50"/>
      <c r="C201" s="50"/>
      <c r="D201" s="9"/>
      <c r="E201" s="9"/>
      <c r="F201" s="9"/>
      <c r="G201" s="9"/>
      <c r="H201" s="1"/>
      <c r="I201" s="1"/>
      <c r="J201" s="1"/>
      <c r="K201" s="1"/>
      <c r="L201" s="1"/>
      <c r="M201" s="1"/>
    </row>
    <row r="202" spans="1:13" x14ac:dyDescent="0.25">
      <c r="A202" s="50" t="s">
        <v>16</v>
      </c>
      <c r="B202" s="50"/>
      <c r="C202" s="50"/>
      <c r="D202" s="9"/>
      <c r="E202" s="9"/>
      <c r="F202" s="9"/>
      <c r="G202" s="9"/>
      <c r="H202" s="1"/>
      <c r="I202" s="1"/>
      <c r="J202" s="1"/>
      <c r="K202" s="1"/>
      <c r="L202" s="1"/>
      <c r="M202" s="1"/>
    </row>
    <row r="203" spans="1:13" x14ac:dyDescent="0.25">
      <c r="A203" s="18"/>
      <c r="B203" s="9"/>
      <c r="C203" s="9"/>
      <c r="D203" s="9"/>
      <c r="E203" s="9"/>
      <c r="F203" s="9"/>
      <c r="G203" s="9"/>
      <c r="H203" s="1"/>
      <c r="I203" s="1"/>
      <c r="J203" s="1"/>
      <c r="K203" s="1"/>
      <c r="L203" s="1"/>
      <c r="M203" s="1"/>
    </row>
    <row r="204" spans="1:13" x14ac:dyDescent="0.25">
      <c r="A204" s="643" t="s">
        <v>60</v>
      </c>
      <c r="B204" s="643"/>
      <c r="C204" s="643"/>
      <c r="D204" s="643"/>
      <c r="E204" s="643"/>
      <c r="F204" s="643"/>
      <c r="G204" s="643"/>
      <c r="H204" s="1"/>
      <c r="I204" s="1"/>
      <c r="J204" s="1"/>
      <c r="K204" s="1"/>
      <c r="L204" s="1"/>
      <c r="M204" s="1"/>
    </row>
    <row r="205" spans="1:13" x14ac:dyDescent="0.25">
      <c r="A205" s="643" t="s">
        <v>3243</v>
      </c>
      <c r="B205" s="643"/>
      <c r="C205" s="643"/>
      <c r="D205" s="643"/>
      <c r="E205" s="643"/>
      <c r="F205" s="643"/>
      <c r="G205" s="643"/>
      <c r="H205" s="1"/>
      <c r="I205" s="1"/>
      <c r="J205" s="1"/>
      <c r="K205" s="1"/>
      <c r="L205" s="1"/>
      <c r="M205" s="1"/>
    </row>
    <row r="206" spans="1:13" ht="15.75" thickBot="1" x14ac:dyDescent="0.3">
      <c r="A206" s="19"/>
      <c r="B206" s="1"/>
      <c r="C206" s="1"/>
      <c r="D206" s="1"/>
      <c r="E206" s="1"/>
      <c r="F206" s="1"/>
      <c r="G206" s="1"/>
      <c r="H206" s="1"/>
      <c r="I206" s="1"/>
      <c r="J206" s="1"/>
      <c r="K206" s="1"/>
      <c r="L206" s="1"/>
      <c r="M206" s="1"/>
    </row>
    <row r="207" spans="1:13" x14ac:dyDescent="0.25">
      <c r="A207" s="33" t="s">
        <v>55</v>
      </c>
      <c r="B207" s="53" t="s">
        <v>3</v>
      </c>
      <c r="C207" s="661" t="s">
        <v>5</v>
      </c>
      <c r="D207" s="661"/>
      <c r="E207" s="34" t="s">
        <v>56</v>
      </c>
      <c r="F207" s="34" t="s">
        <v>57</v>
      </c>
      <c r="G207" s="35" t="s">
        <v>58</v>
      </c>
      <c r="H207" s="1"/>
      <c r="I207" s="1"/>
      <c r="J207" s="1"/>
      <c r="K207" s="1"/>
      <c r="L207" s="1"/>
      <c r="M207" s="1"/>
    </row>
    <row r="208" spans="1:13" x14ac:dyDescent="0.25">
      <c r="A208" s="42"/>
      <c r="B208" s="24"/>
      <c r="C208" s="36"/>
      <c r="D208" s="39"/>
      <c r="E208" s="24"/>
      <c r="F208" s="24"/>
      <c r="G208" s="25"/>
      <c r="H208" s="1"/>
      <c r="I208" s="1"/>
      <c r="J208" s="1"/>
      <c r="K208" s="1"/>
      <c r="L208" s="1"/>
      <c r="M208" s="1"/>
    </row>
    <row r="209" spans="1:13" x14ac:dyDescent="0.25">
      <c r="A209" s="42">
        <v>1</v>
      </c>
      <c r="B209" s="58" t="s">
        <v>3248</v>
      </c>
      <c r="C209" s="51" t="s">
        <v>62</v>
      </c>
      <c r="D209" s="52"/>
      <c r="E209" s="56" t="s">
        <v>69</v>
      </c>
      <c r="F209" s="28" t="e">
        <f>JP!#REF!</f>
        <v>#REF!</v>
      </c>
      <c r="G209" s="25"/>
      <c r="H209" s="1"/>
      <c r="I209" s="1"/>
      <c r="J209" s="1"/>
      <c r="K209" s="1"/>
      <c r="L209" s="1"/>
      <c r="M209" s="1"/>
    </row>
    <row r="210" spans="1:13" x14ac:dyDescent="0.25">
      <c r="A210" s="42"/>
      <c r="B210" s="54"/>
      <c r="C210" s="51" t="s">
        <v>63</v>
      </c>
      <c r="D210" s="52"/>
      <c r="E210" s="56" t="s">
        <v>69</v>
      </c>
      <c r="F210" s="28" t="e">
        <f>JP!#REF!</f>
        <v>#REF!</v>
      </c>
      <c r="G210" s="25"/>
      <c r="H210" s="1"/>
      <c r="I210" s="1"/>
      <c r="J210" s="1"/>
      <c r="K210" s="1"/>
      <c r="L210" s="1"/>
      <c r="M210" s="1"/>
    </row>
    <row r="211" spans="1:13" x14ac:dyDescent="0.25">
      <c r="A211" s="42"/>
      <c r="B211" s="54"/>
      <c r="C211" s="51" t="s">
        <v>64</v>
      </c>
      <c r="D211" s="52"/>
      <c r="E211" s="56" t="s">
        <v>69</v>
      </c>
      <c r="F211" s="28" t="e">
        <f>JP!#REF!</f>
        <v>#REF!</v>
      </c>
      <c r="G211" s="25"/>
      <c r="H211" s="1"/>
      <c r="I211" s="1"/>
      <c r="J211" s="1"/>
      <c r="K211" s="1"/>
      <c r="L211" s="1"/>
      <c r="M211" s="1"/>
    </row>
    <row r="212" spans="1:13" x14ac:dyDescent="0.25">
      <c r="A212" s="42"/>
      <c r="B212" s="24"/>
      <c r="C212" s="51"/>
      <c r="D212" s="55" t="s">
        <v>61</v>
      </c>
      <c r="E212" s="56" t="s">
        <v>69</v>
      </c>
      <c r="G212" s="28" t="e">
        <f>SUM(F209:F211)</f>
        <v>#REF!</v>
      </c>
      <c r="H212" s="1"/>
      <c r="I212" s="1"/>
      <c r="J212" s="1"/>
      <c r="K212" s="1"/>
      <c r="L212" s="1"/>
      <c r="M212" s="1"/>
    </row>
    <row r="213" spans="1:13" x14ac:dyDescent="0.25">
      <c r="A213" s="42"/>
      <c r="B213" s="24"/>
      <c r="C213" s="51"/>
      <c r="D213" s="52"/>
      <c r="E213" s="56"/>
      <c r="F213" s="28"/>
      <c r="G213" s="25"/>
      <c r="H213" s="1"/>
      <c r="I213" s="1"/>
      <c r="J213" s="1"/>
      <c r="K213" s="1"/>
      <c r="L213" s="1"/>
      <c r="M213" s="1"/>
    </row>
    <row r="214" spans="1:13" x14ac:dyDescent="0.25">
      <c r="A214" s="30"/>
      <c r="B214" s="31"/>
      <c r="C214" s="38"/>
      <c r="D214" s="41"/>
      <c r="E214" s="31"/>
      <c r="F214" s="31"/>
      <c r="G214" s="45"/>
      <c r="H214" s="1"/>
      <c r="I214" s="1"/>
      <c r="J214" s="1"/>
      <c r="K214" s="1"/>
      <c r="L214" s="1"/>
      <c r="M214" s="1"/>
    </row>
    <row r="215" spans="1:13" ht="15.75" thickBot="1" x14ac:dyDescent="0.3">
      <c r="A215" s="30"/>
      <c r="B215" s="31"/>
      <c r="C215" s="38"/>
      <c r="D215" s="41"/>
      <c r="E215" s="31"/>
      <c r="F215" s="31"/>
      <c r="G215" s="32"/>
      <c r="H215" s="1"/>
      <c r="I215" s="1"/>
      <c r="J215" s="1"/>
      <c r="K215" s="1"/>
      <c r="L215" s="1"/>
      <c r="M215" s="1"/>
    </row>
    <row r="216" spans="1:13" ht="15.75" thickBot="1" x14ac:dyDescent="0.3">
      <c r="A216" s="723" t="s">
        <v>15</v>
      </c>
      <c r="B216" s="724"/>
      <c r="C216" s="724"/>
      <c r="D216" s="724"/>
      <c r="E216" s="724"/>
      <c r="F216" s="48" t="e">
        <f>SUM(F209:F215)</f>
        <v>#REF!</v>
      </c>
      <c r="G216" s="48" t="e">
        <f>SUM(G209:G215)</f>
        <v>#REF!</v>
      </c>
      <c r="H216" s="1"/>
      <c r="I216" s="1"/>
      <c r="J216" s="1"/>
      <c r="K216" s="1"/>
      <c r="L216" s="1"/>
      <c r="M216" s="1"/>
    </row>
    <row r="217" spans="1:13" x14ac:dyDescent="0.25">
      <c r="A217" s="19"/>
      <c r="B217" s="1"/>
      <c r="C217" s="1"/>
      <c r="D217" s="1"/>
      <c r="E217" s="1"/>
      <c r="F217" s="1"/>
      <c r="G217" s="1"/>
      <c r="H217" s="1"/>
      <c r="I217" s="1"/>
      <c r="J217" s="1"/>
      <c r="K217" s="1"/>
      <c r="L217" s="1"/>
      <c r="M217" s="1"/>
    </row>
    <row r="218" spans="1:13" x14ac:dyDescent="0.25">
      <c r="A218" s="19"/>
      <c r="B218" s="1"/>
      <c r="C218" s="1"/>
      <c r="D218" s="1"/>
      <c r="E218" s="1"/>
      <c r="F218" s="1"/>
      <c r="G218" s="1"/>
      <c r="H218" s="1"/>
      <c r="I218" s="1"/>
      <c r="J218" s="1"/>
      <c r="K218" s="1"/>
      <c r="L218" s="1"/>
      <c r="M218" s="1"/>
    </row>
    <row r="219" spans="1:13" x14ac:dyDescent="0.25">
      <c r="A219" s="19"/>
      <c r="B219" s="1"/>
      <c r="C219" s="1"/>
      <c r="D219" s="1"/>
      <c r="E219" s="1"/>
      <c r="F219" s="1"/>
      <c r="G219" s="1"/>
      <c r="H219" s="1"/>
      <c r="I219" s="1"/>
      <c r="J219" s="1"/>
      <c r="K219" s="1"/>
      <c r="L219" s="1"/>
      <c r="M219" s="1"/>
    </row>
    <row r="220" spans="1:13" x14ac:dyDescent="0.25">
      <c r="A220" s="19"/>
      <c r="B220" s="1"/>
      <c r="C220" s="1"/>
      <c r="D220" s="1"/>
      <c r="E220" s="1"/>
      <c r="F220" s="1"/>
      <c r="G220" s="1"/>
      <c r="H220" s="1"/>
      <c r="I220" s="1"/>
      <c r="J220" s="1"/>
      <c r="K220" s="1"/>
      <c r="L220" s="1"/>
      <c r="M220" s="1"/>
    </row>
    <row r="221" spans="1:13" x14ac:dyDescent="0.25">
      <c r="A221" s="19"/>
      <c r="B221" s="1"/>
      <c r="C221" s="1"/>
      <c r="D221" s="1"/>
      <c r="E221" s="1"/>
      <c r="F221" s="1"/>
      <c r="G221" s="1"/>
      <c r="H221" s="1"/>
      <c r="I221" s="1"/>
      <c r="J221" s="1"/>
      <c r="K221" s="1"/>
      <c r="L221" s="1"/>
      <c r="M221" s="1"/>
    </row>
    <row r="222" spans="1:13" x14ac:dyDescent="0.25">
      <c r="A222" s="19"/>
      <c r="B222" s="1"/>
      <c r="C222" s="1"/>
      <c r="D222" s="1"/>
      <c r="E222" s="1"/>
      <c r="F222" s="1"/>
      <c r="G222" s="1"/>
      <c r="H222" s="1"/>
      <c r="I222" s="1"/>
      <c r="J222" s="1"/>
      <c r="K222" s="1"/>
      <c r="L222" s="1"/>
      <c r="M222" s="1"/>
    </row>
    <row r="223" spans="1:13" x14ac:dyDescent="0.25">
      <c r="A223" s="19"/>
      <c r="B223" s="1"/>
      <c r="C223" s="1"/>
      <c r="D223" s="1"/>
      <c r="E223" s="1"/>
      <c r="F223" s="1"/>
      <c r="G223" s="1"/>
      <c r="H223" s="1"/>
      <c r="I223" s="1"/>
      <c r="J223" s="1"/>
      <c r="K223" s="1"/>
      <c r="L223" s="1"/>
      <c r="M223" s="1"/>
    </row>
    <row r="224" spans="1:13" x14ac:dyDescent="0.25">
      <c r="A224" s="19"/>
      <c r="B224" s="1"/>
      <c r="C224" s="1"/>
      <c r="D224" s="1"/>
      <c r="E224" s="1"/>
      <c r="F224" s="1"/>
      <c r="G224" s="1"/>
      <c r="H224" s="1"/>
      <c r="I224" s="1"/>
      <c r="J224" s="1"/>
      <c r="K224" s="1"/>
      <c r="L224" s="1"/>
      <c r="M224" s="1"/>
    </row>
    <row r="225" spans="1:13" x14ac:dyDescent="0.25">
      <c r="A225" s="19"/>
      <c r="B225" s="1"/>
      <c r="C225" s="1"/>
      <c r="D225" s="1"/>
      <c r="E225" s="1"/>
      <c r="F225" s="1"/>
      <c r="G225" s="1"/>
      <c r="H225" s="1"/>
      <c r="I225" s="1"/>
      <c r="J225" s="1"/>
      <c r="K225" s="1"/>
      <c r="L225" s="1"/>
      <c r="M225" s="1"/>
    </row>
    <row r="226" spans="1:13" x14ac:dyDescent="0.25">
      <c r="A226" s="19"/>
      <c r="B226" s="1"/>
      <c r="C226" s="1"/>
      <c r="D226" s="1"/>
      <c r="E226" s="1"/>
      <c r="F226" s="1"/>
      <c r="G226" s="1"/>
      <c r="H226" s="1"/>
      <c r="I226" s="1"/>
      <c r="J226" s="1"/>
      <c r="K226" s="1"/>
      <c r="L226" s="1"/>
      <c r="M226" s="1"/>
    </row>
    <row r="227" spans="1:13" x14ac:dyDescent="0.25">
      <c r="A227" s="19"/>
      <c r="B227" s="1"/>
      <c r="C227" s="1"/>
      <c r="D227" s="1"/>
      <c r="E227" s="1"/>
      <c r="F227" s="1"/>
      <c r="G227" s="1"/>
      <c r="H227" s="1"/>
      <c r="I227" s="1"/>
      <c r="J227" s="1"/>
      <c r="K227" s="1"/>
      <c r="L227" s="1"/>
      <c r="M227" s="1"/>
    </row>
    <row r="228" spans="1:13" x14ac:dyDescent="0.25">
      <c r="A228" s="19"/>
      <c r="B228" s="1"/>
      <c r="C228" s="1"/>
      <c r="D228" s="1"/>
      <c r="E228" s="1"/>
      <c r="F228" s="1"/>
      <c r="G228" s="1"/>
      <c r="H228" s="1"/>
      <c r="I228" s="1"/>
      <c r="J228" s="1"/>
      <c r="K228" s="1"/>
      <c r="L228" s="1"/>
      <c r="M228" s="1"/>
    </row>
    <row r="229" spans="1:13" x14ac:dyDescent="0.25">
      <c r="A229" s="19"/>
      <c r="B229" s="1"/>
      <c r="C229" s="1"/>
      <c r="D229" s="1"/>
      <c r="E229" s="1"/>
      <c r="F229" s="1"/>
      <c r="G229" s="1"/>
      <c r="H229" s="1"/>
      <c r="I229" s="1"/>
      <c r="J229" s="1"/>
      <c r="K229" s="1"/>
      <c r="L229" s="1"/>
      <c r="M229" s="1"/>
    </row>
    <row r="230" spans="1:13" x14ac:dyDescent="0.25">
      <c r="A230" s="19"/>
      <c r="B230" s="1"/>
      <c r="C230" s="1"/>
      <c r="D230" s="1"/>
      <c r="E230" s="1"/>
      <c r="F230" s="1"/>
      <c r="G230" s="1"/>
      <c r="H230" s="1"/>
      <c r="I230" s="1"/>
      <c r="J230" s="1"/>
      <c r="K230" s="1"/>
      <c r="L230" s="1"/>
      <c r="M230" s="1"/>
    </row>
    <row r="231" spans="1:13" x14ac:dyDescent="0.25">
      <c r="A231" s="19"/>
      <c r="B231" s="1"/>
      <c r="C231" s="1"/>
      <c r="D231" s="1"/>
      <c r="E231" s="1"/>
      <c r="F231" s="1"/>
      <c r="G231" s="1"/>
      <c r="H231" s="1"/>
      <c r="I231" s="1"/>
      <c r="J231" s="1"/>
      <c r="K231" s="1"/>
      <c r="L231" s="1"/>
      <c r="M231" s="1"/>
    </row>
    <row r="232" spans="1:13" x14ac:dyDescent="0.25">
      <c r="A232" s="19"/>
      <c r="B232" s="1"/>
      <c r="C232" s="1"/>
      <c r="D232" s="1"/>
      <c r="E232" s="1"/>
      <c r="F232" s="1"/>
      <c r="G232" s="1"/>
      <c r="H232" s="1"/>
      <c r="I232" s="1"/>
      <c r="J232" s="1"/>
      <c r="K232" s="1"/>
      <c r="L232" s="1"/>
      <c r="M232" s="1"/>
    </row>
    <row r="233" spans="1:13" x14ac:dyDescent="0.25">
      <c r="A233" s="19"/>
      <c r="B233" s="1"/>
      <c r="C233" s="1"/>
      <c r="D233" s="1"/>
      <c r="E233" s="1"/>
      <c r="F233" s="1"/>
      <c r="G233" s="1"/>
      <c r="H233" s="1"/>
      <c r="I233" s="1"/>
      <c r="J233" s="1"/>
      <c r="K233" s="1"/>
      <c r="L233" s="1"/>
      <c r="M233" s="1"/>
    </row>
    <row r="234" spans="1:13" x14ac:dyDescent="0.25">
      <c r="A234" s="19"/>
      <c r="B234" s="1"/>
      <c r="C234" s="1"/>
      <c r="D234" s="1"/>
      <c r="E234" s="1"/>
      <c r="F234" s="1"/>
      <c r="G234" s="1"/>
      <c r="H234" s="1"/>
      <c r="I234" s="1"/>
      <c r="J234" s="1"/>
      <c r="K234" s="1"/>
      <c r="L234" s="1"/>
      <c r="M234" s="1"/>
    </row>
    <row r="235" spans="1:13" x14ac:dyDescent="0.25">
      <c r="A235" s="19"/>
      <c r="B235" s="1"/>
      <c r="C235" s="1"/>
      <c r="D235" s="1"/>
      <c r="E235" s="1"/>
      <c r="F235" s="1"/>
      <c r="G235" s="1"/>
      <c r="H235" s="1"/>
      <c r="I235" s="1"/>
      <c r="J235" s="1"/>
      <c r="K235" s="1"/>
      <c r="L235" s="1"/>
      <c r="M235" s="1"/>
    </row>
    <row r="236" spans="1:13" x14ac:dyDescent="0.25">
      <c r="A236" s="19"/>
      <c r="B236" s="1"/>
      <c r="C236" s="1"/>
      <c r="D236" s="1"/>
      <c r="E236" s="1"/>
      <c r="F236" s="1"/>
      <c r="G236" s="1"/>
      <c r="H236" s="1"/>
      <c r="I236" s="1"/>
      <c r="J236" s="1"/>
      <c r="K236" s="1"/>
      <c r="L236" s="1"/>
      <c r="M236" s="1"/>
    </row>
    <row r="237" spans="1:13" x14ac:dyDescent="0.25">
      <c r="A237" s="19"/>
      <c r="B237" s="1"/>
      <c r="C237" s="1"/>
      <c r="D237" s="1"/>
      <c r="E237" s="1"/>
      <c r="F237" s="1"/>
      <c r="G237" s="1"/>
      <c r="H237" s="1"/>
      <c r="I237" s="1"/>
      <c r="J237" s="1"/>
      <c r="K237" s="1"/>
      <c r="L237" s="1"/>
      <c r="M237" s="1"/>
    </row>
    <row r="238" spans="1:13" x14ac:dyDescent="0.25">
      <c r="A238" s="19"/>
      <c r="B238" s="1"/>
      <c r="C238" s="1"/>
      <c r="D238" s="1"/>
      <c r="E238" s="1"/>
      <c r="F238" s="1"/>
      <c r="G238" s="1"/>
      <c r="H238" s="1"/>
      <c r="I238" s="1"/>
      <c r="J238" s="1"/>
      <c r="K238" s="1"/>
      <c r="L238" s="1"/>
      <c r="M238" s="1"/>
    </row>
    <row r="239" spans="1:13" x14ac:dyDescent="0.25">
      <c r="A239" s="19"/>
      <c r="B239" s="1"/>
      <c r="C239" s="1"/>
      <c r="D239" s="1"/>
      <c r="E239" s="1"/>
      <c r="F239" s="1"/>
      <c r="G239" s="1"/>
      <c r="H239" s="1"/>
      <c r="I239" s="1"/>
      <c r="J239" s="1"/>
      <c r="K239" s="1"/>
      <c r="L239" s="1"/>
      <c r="M239" s="1"/>
    </row>
    <row r="240" spans="1:13" x14ac:dyDescent="0.25">
      <c r="A240" s="19"/>
      <c r="B240" s="1"/>
      <c r="C240" s="1"/>
      <c r="D240" s="1"/>
      <c r="E240" s="1"/>
      <c r="F240" s="1"/>
      <c r="G240" s="1"/>
      <c r="H240" s="1"/>
      <c r="I240" s="1"/>
      <c r="J240" s="1"/>
      <c r="K240" s="1"/>
      <c r="L240" s="1"/>
      <c r="M240" s="1"/>
    </row>
    <row r="241" spans="1:13" x14ac:dyDescent="0.25">
      <c r="A241" s="19"/>
      <c r="B241" s="1"/>
      <c r="C241" s="1"/>
      <c r="D241" s="1"/>
      <c r="E241" s="1"/>
      <c r="F241" s="1"/>
      <c r="G241" s="1"/>
      <c r="H241" s="1"/>
      <c r="I241" s="1"/>
      <c r="J241" s="1"/>
      <c r="K241" s="1"/>
      <c r="L241" s="1"/>
      <c r="M241" s="1"/>
    </row>
    <row r="242" spans="1:13" x14ac:dyDescent="0.25">
      <c r="A242" s="19"/>
      <c r="B242" s="1"/>
      <c r="C242" s="1"/>
      <c r="D242" s="1"/>
      <c r="E242" s="1"/>
      <c r="F242" s="1"/>
      <c r="G242" s="1"/>
      <c r="H242" s="1"/>
      <c r="I242" s="1"/>
      <c r="J242" s="1"/>
      <c r="K242" s="1"/>
      <c r="L242" s="1"/>
      <c r="M242" s="1"/>
    </row>
    <row r="243" spans="1:13" x14ac:dyDescent="0.25">
      <c r="A243" s="19"/>
      <c r="B243" s="1"/>
      <c r="C243" s="1"/>
      <c r="D243" s="1"/>
      <c r="E243" s="1"/>
      <c r="F243" s="1"/>
      <c r="G243" s="1"/>
      <c r="H243" s="1"/>
      <c r="I243" s="1"/>
      <c r="J243" s="1"/>
      <c r="K243" s="1"/>
      <c r="L243" s="1"/>
      <c r="M243" s="1"/>
    </row>
    <row r="244" spans="1:13" x14ac:dyDescent="0.25">
      <c r="A244" s="19"/>
      <c r="B244" s="1"/>
      <c r="C244" s="1"/>
      <c r="D244" s="1"/>
      <c r="E244" s="1"/>
      <c r="F244" s="1"/>
      <c r="G244" s="1"/>
      <c r="H244" s="1"/>
      <c r="I244" s="1"/>
      <c r="J244" s="1"/>
      <c r="K244" s="1"/>
      <c r="L244" s="1"/>
      <c r="M244" s="1"/>
    </row>
    <row r="245" spans="1:13" x14ac:dyDescent="0.25">
      <c r="A245" s="19"/>
      <c r="B245" s="1"/>
      <c r="C245" s="1"/>
      <c r="D245" s="1"/>
      <c r="E245" s="1"/>
      <c r="F245" s="1"/>
      <c r="G245" s="1"/>
      <c r="H245" s="1"/>
      <c r="I245" s="1"/>
      <c r="J245" s="1"/>
      <c r="K245" s="1"/>
      <c r="L245" s="1"/>
      <c r="M245" s="1"/>
    </row>
    <row r="246" spans="1:13" x14ac:dyDescent="0.25">
      <c r="A246" s="19"/>
      <c r="B246" s="1"/>
      <c r="C246" s="1"/>
      <c r="D246" s="1"/>
      <c r="E246" s="1"/>
      <c r="F246" s="1"/>
      <c r="G246" s="1"/>
      <c r="H246" s="1"/>
      <c r="I246" s="1"/>
      <c r="J246" s="1"/>
      <c r="K246" s="1"/>
      <c r="L246" s="1"/>
      <c r="M246" s="1"/>
    </row>
    <row r="247" spans="1:13" x14ac:dyDescent="0.25">
      <c r="A247" s="19"/>
      <c r="B247" s="1"/>
      <c r="C247" s="1"/>
      <c r="D247" s="1"/>
      <c r="E247" s="1"/>
      <c r="F247" s="1"/>
      <c r="G247" s="1"/>
      <c r="H247" s="1"/>
      <c r="I247" s="1"/>
      <c r="J247" s="1"/>
      <c r="K247" s="1"/>
      <c r="L247" s="1"/>
      <c r="M247" s="1"/>
    </row>
    <row r="248" spans="1:13" x14ac:dyDescent="0.25">
      <c r="A248" s="19"/>
      <c r="B248" s="1"/>
      <c r="C248" s="1"/>
      <c r="D248" s="1"/>
      <c r="E248" s="1"/>
      <c r="F248" s="1"/>
      <c r="G248" s="1"/>
      <c r="H248" s="1"/>
      <c r="I248" s="1"/>
      <c r="J248" s="1"/>
      <c r="K248" s="1"/>
      <c r="L248" s="1"/>
      <c r="M248" s="1"/>
    </row>
    <row r="249" spans="1:13" x14ac:dyDescent="0.25">
      <c r="A249" s="19"/>
      <c r="B249" s="1"/>
      <c r="C249" s="1"/>
      <c r="D249" s="1"/>
      <c r="E249" s="1"/>
      <c r="F249" s="1"/>
      <c r="G249" s="1"/>
      <c r="H249" s="1"/>
      <c r="I249" s="1"/>
      <c r="J249" s="1"/>
      <c r="K249" s="1"/>
      <c r="L249" s="1"/>
      <c r="M249" s="1"/>
    </row>
    <row r="250" spans="1:13" x14ac:dyDescent="0.25">
      <c r="A250" s="50" t="s">
        <v>0</v>
      </c>
      <c r="B250" s="50"/>
      <c r="C250" s="50"/>
      <c r="D250" s="9"/>
      <c r="E250" s="9"/>
      <c r="F250" s="9"/>
      <c r="G250" s="9"/>
      <c r="H250" s="1"/>
      <c r="I250" s="1"/>
      <c r="J250" s="1"/>
      <c r="K250" s="1"/>
      <c r="L250" s="1"/>
      <c r="M250" s="1"/>
    </row>
    <row r="251" spans="1:13" x14ac:dyDescent="0.25">
      <c r="A251" s="50" t="s">
        <v>1</v>
      </c>
      <c r="B251" s="50"/>
      <c r="C251" s="50"/>
      <c r="D251" s="9"/>
      <c r="E251" s="9"/>
      <c r="F251" s="9"/>
      <c r="G251" s="9"/>
      <c r="H251" s="1"/>
      <c r="I251" s="1"/>
      <c r="J251" s="1"/>
      <c r="K251" s="1"/>
      <c r="L251" s="1"/>
      <c r="M251" s="1"/>
    </row>
    <row r="252" spans="1:13" x14ac:dyDescent="0.25">
      <c r="A252" s="50" t="s">
        <v>16</v>
      </c>
      <c r="B252" s="50"/>
      <c r="C252" s="50"/>
      <c r="D252" s="9"/>
      <c r="E252" s="9"/>
      <c r="F252" s="9"/>
      <c r="G252" s="9"/>
      <c r="H252" s="1"/>
      <c r="I252" s="1"/>
      <c r="J252" s="1"/>
      <c r="K252" s="1"/>
      <c r="L252" s="1"/>
      <c r="M252" s="1"/>
    </row>
    <row r="253" spans="1:13" x14ac:dyDescent="0.25">
      <c r="A253" s="18"/>
      <c r="B253" s="9"/>
      <c r="C253" s="9"/>
      <c r="D253" s="9"/>
      <c r="E253" s="9"/>
      <c r="F253" s="9"/>
      <c r="G253" s="9"/>
      <c r="H253" s="1"/>
      <c r="I253" s="1"/>
      <c r="J253" s="1"/>
      <c r="K253" s="1"/>
      <c r="L253" s="1"/>
      <c r="M253" s="1"/>
    </row>
    <row r="254" spans="1:13" x14ac:dyDescent="0.25">
      <c r="A254" s="643" t="s">
        <v>60</v>
      </c>
      <c r="B254" s="643"/>
      <c r="C254" s="643"/>
      <c r="D254" s="643"/>
      <c r="E254" s="643"/>
      <c r="F254" s="643"/>
      <c r="G254" s="643"/>
      <c r="H254" s="1"/>
      <c r="I254" s="1"/>
      <c r="J254" s="1"/>
      <c r="K254" s="1"/>
      <c r="L254" s="1"/>
      <c r="M254" s="1"/>
    </row>
    <row r="255" spans="1:13" x14ac:dyDescent="0.25">
      <c r="A255" s="643" t="s">
        <v>3242</v>
      </c>
      <c r="B255" s="643"/>
      <c r="C255" s="643"/>
      <c r="D255" s="643"/>
      <c r="E255" s="643"/>
      <c r="F255" s="643"/>
      <c r="G255" s="643"/>
      <c r="H255" s="1"/>
      <c r="I255" s="1"/>
      <c r="J255" s="1"/>
      <c r="K255" s="1"/>
      <c r="L255" s="1"/>
      <c r="M255" s="1"/>
    </row>
    <row r="256" spans="1:13" ht="15.75" thickBot="1" x14ac:dyDescent="0.3">
      <c r="A256" s="19"/>
      <c r="B256" s="1"/>
      <c r="C256" s="1"/>
      <c r="D256" s="1"/>
      <c r="E256" s="1"/>
      <c r="F256" s="1"/>
      <c r="G256" s="1"/>
      <c r="H256" s="1"/>
      <c r="I256" s="1"/>
      <c r="J256" s="1"/>
      <c r="K256" s="1"/>
      <c r="L256" s="1"/>
      <c r="M256" s="1"/>
    </row>
    <row r="257" spans="1:13" x14ac:dyDescent="0.25">
      <c r="A257" s="33" t="s">
        <v>55</v>
      </c>
      <c r="B257" s="53" t="s">
        <v>3</v>
      </c>
      <c r="C257" s="661" t="s">
        <v>5</v>
      </c>
      <c r="D257" s="661"/>
      <c r="E257" s="34" t="s">
        <v>56</v>
      </c>
      <c r="F257" s="34" t="s">
        <v>57</v>
      </c>
      <c r="G257" s="35" t="s">
        <v>58</v>
      </c>
      <c r="H257" s="1"/>
      <c r="I257" s="1"/>
      <c r="J257" s="1"/>
      <c r="K257" s="1"/>
      <c r="L257" s="1"/>
      <c r="M257" s="1"/>
    </row>
    <row r="258" spans="1:13" x14ac:dyDescent="0.25">
      <c r="A258" s="42"/>
      <c r="B258" s="24"/>
      <c r="C258" s="36"/>
      <c r="D258" s="39"/>
      <c r="E258" s="24"/>
      <c r="F258" s="24"/>
      <c r="G258" s="25"/>
      <c r="H258" s="1"/>
      <c r="I258" s="1"/>
      <c r="J258" s="1"/>
      <c r="K258" s="1"/>
      <c r="L258" s="1"/>
      <c r="M258" s="1"/>
    </row>
    <row r="259" spans="1:13" x14ac:dyDescent="0.25">
      <c r="A259" s="42">
        <v>1</v>
      </c>
      <c r="B259" s="58" t="s">
        <v>3247</v>
      </c>
      <c r="C259" s="51" t="s">
        <v>62</v>
      </c>
      <c r="D259" s="52"/>
      <c r="E259" s="56" t="s">
        <v>70</v>
      </c>
      <c r="F259" s="28" t="e">
        <f>JP!#REF!</f>
        <v>#REF!</v>
      </c>
      <c r="G259" s="25"/>
      <c r="H259" s="1"/>
      <c r="I259" s="1"/>
      <c r="J259" s="1"/>
      <c r="K259" s="1"/>
      <c r="L259" s="1"/>
      <c r="M259" s="1"/>
    </row>
    <row r="260" spans="1:13" x14ac:dyDescent="0.25">
      <c r="A260" s="42"/>
      <c r="B260" s="54"/>
      <c r="C260" s="51" t="s">
        <v>63</v>
      </c>
      <c r="D260" s="52"/>
      <c r="E260" s="56" t="s">
        <v>70</v>
      </c>
      <c r="F260" s="28" t="e">
        <f>JP!#REF!</f>
        <v>#REF!</v>
      </c>
      <c r="G260" s="25"/>
      <c r="H260" s="1"/>
      <c r="I260" s="1"/>
      <c r="J260" s="1"/>
      <c r="K260" s="1"/>
      <c r="L260" s="1"/>
      <c r="M260" s="1"/>
    </row>
    <row r="261" spans="1:13" x14ac:dyDescent="0.25">
      <c r="A261" s="42"/>
      <c r="B261" s="54"/>
      <c r="C261" s="51" t="s">
        <v>64</v>
      </c>
      <c r="D261" s="52"/>
      <c r="E261" s="56" t="s">
        <v>70</v>
      </c>
      <c r="F261" s="28" t="e">
        <f>JP!#REF!</f>
        <v>#REF!</v>
      </c>
      <c r="G261" s="25"/>
      <c r="H261" s="1"/>
      <c r="I261" s="1"/>
      <c r="J261" s="1"/>
      <c r="K261" s="1"/>
      <c r="L261" s="1"/>
      <c r="M261" s="1"/>
    </row>
    <row r="262" spans="1:13" x14ac:dyDescent="0.25">
      <c r="A262" s="42"/>
      <c r="B262" s="24"/>
      <c r="C262" s="51"/>
      <c r="D262" s="55" t="s">
        <v>61</v>
      </c>
      <c r="E262" s="56" t="s">
        <v>70</v>
      </c>
      <c r="G262" s="28" t="e">
        <f>SUM(F259:F261)</f>
        <v>#REF!</v>
      </c>
      <c r="H262" s="1"/>
      <c r="I262" s="1"/>
      <c r="J262" s="1"/>
      <c r="K262" s="1"/>
      <c r="L262" s="1"/>
      <c r="M262" s="1"/>
    </row>
    <row r="263" spans="1:13" x14ac:dyDescent="0.25">
      <c r="A263" s="42"/>
      <c r="B263" s="24"/>
      <c r="C263" s="51"/>
      <c r="D263" s="52"/>
      <c r="E263" s="56"/>
      <c r="F263" s="28"/>
      <c r="G263" s="25"/>
      <c r="H263" s="1"/>
      <c r="I263" s="1"/>
      <c r="J263" s="1"/>
      <c r="K263" s="1"/>
      <c r="L263" s="1"/>
      <c r="M263" s="1"/>
    </row>
    <row r="264" spans="1:13" x14ac:dyDescent="0.25">
      <c r="A264" s="30"/>
      <c r="B264" s="31"/>
      <c r="C264" s="38"/>
      <c r="D264" s="41"/>
      <c r="E264" s="31"/>
      <c r="F264" s="31"/>
      <c r="G264" s="45"/>
      <c r="H264" s="1"/>
      <c r="I264" s="1"/>
      <c r="J264" s="1"/>
      <c r="K264" s="1"/>
      <c r="L264" s="1"/>
      <c r="M264" s="1"/>
    </row>
    <row r="265" spans="1:13" ht="15.75" thickBot="1" x14ac:dyDescent="0.3">
      <c r="A265" s="30"/>
      <c r="B265" s="31"/>
      <c r="C265" s="38"/>
      <c r="D265" s="41"/>
      <c r="E265" s="31"/>
      <c r="F265" s="31"/>
      <c r="G265" s="32"/>
      <c r="H265" s="1"/>
      <c r="I265" s="1"/>
      <c r="J265" s="1"/>
      <c r="K265" s="1"/>
      <c r="L265" s="1"/>
      <c r="M265" s="1"/>
    </row>
    <row r="266" spans="1:13" ht="15.75" thickBot="1" x14ac:dyDescent="0.3">
      <c r="A266" s="723" t="s">
        <v>15</v>
      </c>
      <c r="B266" s="724"/>
      <c r="C266" s="724"/>
      <c r="D266" s="724"/>
      <c r="E266" s="724"/>
      <c r="F266" s="48" t="e">
        <f>SUM(F259:F265)</f>
        <v>#REF!</v>
      </c>
      <c r="G266" s="48" t="e">
        <f>SUM(G259:G265)</f>
        <v>#REF!</v>
      </c>
      <c r="H266" s="1"/>
      <c r="I266" s="1"/>
      <c r="J266" s="1"/>
      <c r="K266" s="1"/>
      <c r="L266" s="1"/>
      <c r="M266" s="1"/>
    </row>
    <row r="267" spans="1:13" x14ac:dyDescent="0.25">
      <c r="A267" s="19"/>
      <c r="B267" s="1"/>
      <c r="C267" s="1"/>
      <c r="D267" s="1"/>
      <c r="E267" s="1"/>
      <c r="F267" s="1"/>
      <c r="G267" s="1"/>
      <c r="H267" s="1"/>
      <c r="I267" s="1"/>
      <c r="J267" s="1"/>
      <c r="K267" s="1"/>
      <c r="L267" s="1"/>
      <c r="M267" s="1"/>
    </row>
    <row r="268" spans="1:13" x14ac:dyDescent="0.25">
      <c r="A268" s="19"/>
      <c r="B268" s="1"/>
      <c r="C268" s="1"/>
      <c r="D268" s="1"/>
      <c r="E268" s="1"/>
      <c r="F268" s="1"/>
      <c r="G268" s="1"/>
      <c r="H268" s="1"/>
      <c r="I268" s="1"/>
      <c r="J268" s="1"/>
      <c r="K268" s="1"/>
      <c r="L268" s="1"/>
      <c r="M268" s="1"/>
    </row>
    <row r="269" spans="1:13" x14ac:dyDescent="0.25">
      <c r="A269" s="19"/>
      <c r="B269" s="1"/>
      <c r="C269" s="1"/>
      <c r="D269" s="1"/>
      <c r="E269" s="1"/>
      <c r="F269" s="1"/>
      <c r="G269" s="1"/>
      <c r="H269" s="1"/>
      <c r="I269" s="1"/>
      <c r="J269" s="1"/>
      <c r="K269" s="1"/>
      <c r="L269" s="1"/>
      <c r="M269" s="1"/>
    </row>
    <row r="270" spans="1:13" x14ac:dyDescent="0.25">
      <c r="A270" s="19"/>
      <c r="B270" s="1"/>
      <c r="C270" s="1"/>
      <c r="D270" s="1"/>
      <c r="E270" s="1"/>
      <c r="F270" s="1"/>
      <c r="G270" s="1"/>
      <c r="H270" s="1"/>
      <c r="I270" s="1"/>
      <c r="J270" s="1"/>
      <c r="K270" s="1"/>
      <c r="L270" s="1"/>
      <c r="M270" s="1"/>
    </row>
    <row r="271" spans="1:13" x14ac:dyDescent="0.25">
      <c r="A271" s="19"/>
      <c r="B271" s="1"/>
      <c r="C271" s="1"/>
      <c r="D271" s="1"/>
      <c r="E271" s="1"/>
      <c r="F271" s="1"/>
      <c r="G271" s="1"/>
      <c r="H271" s="1"/>
      <c r="I271" s="1"/>
      <c r="J271" s="1"/>
      <c r="K271" s="1"/>
      <c r="L271" s="1"/>
      <c r="M271" s="1"/>
    </row>
    <row r="272" spans="1:13" x14ac:dyDescent="0.25">
      <c r="A272" s="19"/>
      <c r="B272" s="1"/>
      <c r="C272" s="1"/>
      <c r="D272" s="1"/>
      <c r="E272" s="1"/>
      <c r="F272" s="1"/>
      <c r="G272" s="1"/>
      <c r="H272" s="1"/>
      <c r="I272" s="1"/>
      <c r="J272" s="1"/>
      <c r="K272" s="1"/>
      <c r="L272" s="1"/>
      <c r="M272" s="1"/>
    </row>
    <row r="273" spans="1:13" x14ac:dyDescent="0.25">
      <c r="A273" s="19"/>
      <c r="B273" s="1"/>
      <c r="C273" s="1"/>
      <c r="D273" s="1"/>
      <c r="E273" s="1"/>
      <c r="F273" s="1"/>
      <c r="G273" s="1"/>
      <c r="H273" s="1"/>
      <c r="I273" s="1"/>
      <c r="J273" s="1"/>
      <c r="K273" s="1"/>
      <c r="L273" s="1"/>
      <c r="M273" s="1"/>
    </row>
    <row r="274" spans="1:13" x14ac:dyDescent="0.25">
      <c r="A274" s="19"/>
      <c r="B274" s="1"/>
      <c r="C274" s="1"/>
      <c r="D274" s="1"/>
      <c r="E274" s="1"/>
      <c r="F274" s="1"/>
      <c r="G274" s="1"/>
      <c r="H274" s="1"/>
      <c r="I274" s="1"/>
      <c r="J274" s="1"/>
      <c r="K274" s="1"/>
      <c r="L274" s="1"/>
      <c r="M274" s="1"/>
    </row>
    <row r="275" spans="1:13" x14ac:dyDescent="0.25">
      <c r="A275" s="19"/>
      <c r="B275" s="1"/>
      <c r="C275" s="1"/>
      <c r="D275" s="1"/>
      <c r="E275" s="1"/>
      <c r="F275" s="1"/>
      <c r="G275" s="1"/>
      <c r="H275" s="1"/>
      <c r="I275" s="1"/>
      <c r="J275" s="1"/>
      <c r="K275" s="1"/>
      <c r="L275" s="1"/>
      <c r="M275" s="1"/>
    </row>
    <row r="276" spans="1:13" x14ac:dyDescent="0.25">
      <c r="A276" s="19"/>
      <c r="B276" s="1"/>
      <c r="C276" s="1"/>
      <c r="D276" s="1"/>
      <c r="E276" s="1"/>
      <c r="F276" s="1"/>
      <c r="G276" s="1"/>
      <c r="H276" s="1"/>
      <c r="I276" s="1"/>
      <c r="J276" s="1"/>
      <c r="K276" s="1"/>
      <c r="L276" s="1"/>
      <c r="M276" s="1"/>
    </row>
    <row r="277" spans="1:13" x14ac:dyDescent="0.25">
      <c r="A277" s="19"/>
      <c r="B277" s="1"/>
      <c r="C277" s="1"/>
      <c r="D277" s="1"/>
      <c r="E277" s="1"/>
      <c r="F277" s="1"/>
      <c r="G277" s="1"/>
      <c r="H277" s="1"/>
      <c r="I277" s="1"/>
      <c r="J277" s="1"/>
      <c r="K277" s="1"/>
      <c r="L277" s="1"/>
      <c r="M277" s="1"/>
    </row>
    <row r="278" spans="1:13" x14ac:dyDescent="0.25">
      <c r="A278" s="19"/>
      <c r="B278" s="1"/>
      <c r="C278" s="1"/>
      <c r="D278" s="1"/>
      <c r="E278" s="1"/>
      <c r="F278" s="1"/>
      <c r="G278" s="1"/>
      <c r="H278" s="1"/>
      <c r="I278" s="1"/>
      <c r="J278" s="1"/>
      <c r="K278" s="1"/>
      <c r="L278" s="1"/>
      <c r="M278" s="1"/>
    </row>
    <row r="279" spans="1:13" x14ac:dyDescent="0.25">
      <c r="A279" s="19"/>
      <c r="B279" s="1"/>
      <c r="C279" s="1"/>
      <c r="D279" s="1"/>
      <c r="E279" s="1"/>
      <c r="F279" s="1"/>
      <c r="G279" s="1"/>
      <c r="H279" s="1"/>
      <c r="I279" s="1"/>
      <c r="J279" s="1"/>
      <c r="K279" s="1"/>
      <c r="L279" s="1"/>
      <c r="M279" s="1"/>
    </row>
    <row r="280" spans="1:13" x14ac:dyDescent="0.25">
      <c r="A280" s="19"/>
      <c r="B280" s="1"/>
      <c r="C280" s="1"/>
      <c r="D280" s="1"/>
      <c r="E280" s="1"/>
      <c r="F280" s="1"/>
      <c r="G280" s="1"/>
      <c r="H280" s="1"/>
      <c r="I280" s="1"/>
      <c r="J280" s="1"/>
      <c r="K280" s="1"/>
      <c r="L280" s="1"/>
      <c r="M280" s="1"/>
    </row>
    <row r="281" spans="1:13" x14ac:dyDescent="0.25">
      <c r="A281" s="19"/>
      <c r="B281" s="1"/>
      <c r="C281" s="1"/>
      <c r="D281" s="1"/>
      <c r="E281" s="1"/>
      <c r="F281" s="1"/>
      <c r="G281" s="1"/>
      <c r="H281" s="1"/>
      <c r="I281" s="1"/>
      <c r="J281" s="1"/>
      <c r="K281" s="1"/>
      <c r="L281" s="1"/>
      <c r="M281" s="1"/>
    </row>
    <row r="282" spans="1:13" x14ac:dyDescent="0.25">
      <c r="A282" s="19"/>
      <c r="B282" s="1"/>
      <c r="C282" s="1"/>
      <c r="D282" s="1"/>
      <c r="E282" s="1"/>
      <c r="F282" s="1"/>
      <c r="G282" s="1"/>
      <c r="H282" s="1"/>
      <c r="I282" s="1"/>
      <c r="J282" s="1"/>
      <c r="K282" s="1"/>
      <c r="L282" s="1"/>
      <c r="M282" s="1"/>
    </row>
    <row r="283" spans="1:13" x14ac:dyDescent="0.25">
      <c r="A283" s="19"/>
      <c r="B283" s="1"/>
      <c r="C283" s="1"/>
      <c r="D283" s="1"/>
      <c r="E283" s="1"/>
      <c r="F283" s="1"/>
      <c r="G283" s="1"/>
      <c r="H283" s="1"/>
      <c r="I283" s="1"/>
      <c r="J283" s="1"/>
      <c r="K283" s="1"/>
      <c r="L283" s="1"/>
      <c r="M283" s="1"/>
    </row>
    <row r="284" spans="1:13" x14ac:dyDescent="0.25">
      <c r="A284" s="19"/>
      <c r="B284" s="1"/>
      <c r="C284" s="1"/>
      <c r="D284" s="1"/>
      <c r="E284" s="1"/>
      <c r="F284" s="1"/>
      <c r="G284" s="1"/>
      <c r="H284" s="1"/>
      <c r="I284" s="1"/>
      <c r="J284" s="1"/>
      <c r="K284" s="1"/>
      <c r="L284" s="1"/>
      <c r="M284" s="1"/>
    </row>
    <row r="285" spans="1:13" x14ac:dyDescent="0.25">
      <c r="A285" s="19"/>
      <c r="B285" s="1"/>
      <c r="C285" s="1"/>
      <c r="D285" s="1"/>
      <c r="E285" s="1"/>
      <c r="F285" s="1"/>
      <c r="G285" s="1"/>
      <c r="H285" s="1"/>
      <c r="I285" s="1"/>
      <c r="J285" s="1"/>
      <c r="K285" s="1"/>
      <c r="L285" s="1"/>
      <c r="M285" s="1"/>
    </row>
    <row r="286" spans="1:13" x14ac:dyDescent="0.25">
      <c r="A286" s="19"/>
      <c r="B286" s="1"/>
      <c r="C286" s="1"/>
      <c r="D286" s="1"/>
      <c r="E286" s="1"/>
      <c r="F286" s="1"/>
      <c r="G286" s="1"/>
      <c r="H286" s="1"/>
      <c r="I286" s="1"/>
      <c r="J286" s="1"/>
      <c r="K286" s="1"/>
      <c r="L286" s="1"/>
      <c r="M286" s="1"/>
    </row>
    <row r="287" spans="1:13" x14ac:dyDescent="0.25">
      <c r="A287" s="19"/>
      <c r="B287" s="1"/>
      <c r="C287" s="1"/>
      <c r="D287" s="1"/>
      <c r="E287" s="1"/>
      <c r="F287" s="1"/>
      <c r="G287" s="1"/>
      <c r="H287" s="1"/>
      <c r="I287" s="1"/>
      <c r="J287" s="1"/>
      <c r="K287" s="1"/>
      <c r="L287" s="1"/>
      <c r="M287" s="1"/>
    </row>
    <row r="288" spans="1:13" x14ac:dyDescent="0.25">
      <c r="A288" s="19"/>
      <c r="B288" s="1"/>
      <c r="C288" s="1"/>
      <c r="D288" s="1"/>
      <c r="E288" s="1"/>
      <c r="F288" s="1"/>
      <c r="G288" s="1"/>
      <c r="H288" s="1"/>
      <c r="I288" s="1"/>
      <c r="J288" s="1"/>
      <c r="K288" s="1"/>
      <c r="L288" s="1"/>
      <c r="M288" s="1"/>
    </row>
    <row r="289" spans="1:13" x14ac:dyDescent="0.25">
      <c r="A289" s="19"/>
      <c r="B289" s="1"/>
      <c r="C289" s="1"/>
      <c r="D289" s="1"/>
      <c r="E289" s="1"/>
      <c r="F289" s="1"/>
      <c r="G289" s="1"/>
      <c r="H289" s="1"/>
      <c r="I289" s="1"/>
      <c r="J289" s="1"/>
      <c r="K289" s="1"/>
      <c r="L289" s="1"/>
      <c r="M289" s="1"/>
    </row>
    <row r="290" spans="1:13" x14ac:dyDescent="0.25">
      <c r="A290" s="19"/>
      <c r="B290" s="1"/>
      <c r="C290" s="1"/>
      <c r="D290" s="1"/>
      <c r="E290" s="1"/>
      <c r="F290" s="1"/>
      <c r="G290" s="1"/>
      <c r="H290" s="1"/>
      <c r="I290" s="1"/>
      <c r="J290" s="1"/>
      <c r="K290" s="1"/>
      <c r="L290" s="1"/>
      <c r="M290" s="1"/>
    </row>
    <row r="291" spans="1:13" x14ac:dyDescent="0.25">
      <c r="A291" s="19"/>
      <c r="B291" s="1"/>
      <c r="C291" s="1"/>
      <c r="D291" s="1"/>
      <c r="E291" s="1"/>
      <c r="F291" s="1"/>
      <c r="G291" s="1"/>
      <c r="H291" s="1"/>
      <c r="I291" s="1"/>
      <c r="J291" s="1"/>
      <c r="K291" s="1"/>
      <c r="L291" s="1"/>
      <c r="M291" s="1"/>
    </row>
    <row r="292" spans="1:13" x14ac:dyDescent="0.25">
      <c r="A292" s="19"/>
      <c r="B292" s="1"/>
      <c r="C292" s="1"/>
      <c r="D292" s="1"/>
      <c r="E292" s="1"/>
      <c r="F292" s="1"/>
      <c r="G292" s="1"/>
      <c r="H292" s="1"/>
      <c r="I292" s="1"/>
      <c r="J292" s="1"/>
      <c r="K292" s="1"/>
      <c r="L292" s="1"/>
      <c r="M292" s="1"/>
    </row>
    <row r="293" spans="1:13" x14ac:dyDescent="0.25">
      <c r="A293" s="19"/>
      <c r="B293" s="1"/>
      <c r="C293" s="1"/>
      <c r="D293" s="1"/>
      <c r="E293" s="1"/>
      <c r="F293" s="1"/>
      <c r="G293" s="1"/>
      <c r="H293" s="1"/>
      <c r="I293" s="1"/>
      <c r="J293" s="1"/>
      <c r="K293" s="1"/>
      <c r="L293" s="1"/>
      <c r="M293" s="1"/>
    </row>
    <row r="294" spans="1:13" x14ac:dyDescent="0.25">
      <c r="A294" s="19"/>
      <c r="B294" s="1"/>
      <c r="C294" s="1"/>
      <c r="D294" s="1"/>
      <c r="E294" s="1"/>
      <c r="F294" s="1"/>
      <c r="G294" s="1"/>
      <c r="H294" s="1"/>
      <c r="I294" s="1"/>
      <c r="J294" s="1"/>
      <c r="K294" s="1"/>
      <c r="L294" s="1"/>
      <c r="M294" s="1"/>
    </row>
    <row r="295" spans="1:13" x14ac:dyDescent="0.25">
      <c r="A295" s="19"/>
      <c r="B295" s="1"/>
      <c r="C295" s="1"/>
      <c r="D295" s="1"/>
      <c r="E295" s="1"/>
      <c r="F295" s="1"/>
      <c r="G295" s="1"/>
      <c r="H295" s="1"/>
      <c r="I295" s="1"/>
      <c r="J295" s="1"/>
      <c r="K295" s="1"/>
      <c r="L295" s="1"/>
      <c r="M295" s="1"/>
    </row>
    <row r="296" spans="1:13" x14ac:dyDescent="0.25">
      <c r="A296" s="19"/>
      <c r="B296" s="1"/>
      <c r="C296" s="1"/>
      <c r="D296" s="1"/>
      <c r="E296" s="1"/>
      <c r="F296" s="1"/>
      <c r="G296" s="1"/>
      <c r="H296" s="1"/>
      <c r="I296" s="1"/>
      <c r="J296" s="1"/>
      <c r="K296" s="1"/>
      <c r="L296" s="1"/>
      <c r="M296" s="1"/>
    </row>
    <row r="297" spans="1:13" x14ac:dyDescent="0.25">
      <c r="A297" s="19"/>
      <c r="B297" s="1"/>
      <c r="C297" s="1"/>
      <c r="D297" s="1"/>
      <c r="E297" s="1"/>
      <c r="F297" s="1"/>
      <c r="G297" s="1"/>
      <c r="H297" s="1"/>
      <c r="I297" s="1"/>
      <c r="J297" s="1"/>
      <c r="K297" s="1"/>
      <c r="L297" s="1"/>
      <c r="M297" s="1"/>
    </row>
    <row r="298" spans="1:13" x14ac:dyDescent="0.25">
      <c r="A298" s="19"/>
      <c r="B298" s="1"/>
      <c r="C298" s="1"/>
      <c r="D298" s="1"/>
      <c r="E298" s="1"/>
      <c r="F298" s="1"/>
      <c r="G298" s="1"/>
      <c r="H298" s="1"/>
      <c r="I298" s="1"/>
      <c r="J298" s="1"/>
      <c r="K298" s="1"/>
      <c r="L298" s="1"/>
      <c r="M298" s="1"/>
    </row>
    <row r="299" spans="1:13" x14ac:dyDescent="0.25">
      <c r="A299" s="19"/>
      <c r="B299" s="1"/>
      <c r="C299" s="1"/>
      <c r="D299" s="1"/>
      <c r="E299" s="1"/>
      <c r="F299" s="1"/>
      <c r="G299" s="1"/>
      <c r="H299" s="1"/>
      <c r="I299" s="1"/>
      <c r="J299" s="1"/>
      <c r="K299" s="1"/>
      <c r="L299" s="1"/>
      <c r="M299" s="1"/>
    </row>
    <row r="300" spans="1:13" x14ac:dyDescent="0.25">
      <c r="A300" s="50" t="s">
        <v>0</v>
      </c>
      <c r="B300" s="50"/>
      <c r="C300" s="50"/>
      <c r="D300" s="9"/>
      <c r="E300" s="9"/>
      <c r="F300" s="9"/>
      <c r="G300" s="9"/>
      <c r="H300" s="1"/>
      <c r="I300" s="1"/>
      <c r="J300" s="1"/>
      <c r="K300" s="1"/>
      <c r="L300" s="1"/>
      <c r="M300" s="1"/>
    </row>
    <row r="301" spans="1:13" x14ac:dyDescent="0.25">
      <c r="A301" s="50" t="s">
        <v>1</v>
      </c>
      <c r="B301" s="50"/>
      <c r="C301" s="50"/>
      <c r="D301" s="9"/>
      <c r="E301" s="9"/>
      <c r="F301" s="9"/>
      <c r="G301" s="9"/>
      <c r="H301" s="1"/>
      <c r="I301" s="1"/>
      <c r="J301" s="1"/>
      <c r="K301" s="1"/>
      <c r="L301" s="1"/>
      <c r="M301" s="1"/>
    </row>
    <row r="302" spans="1:13" x14ac:dyDescent="0.25">
      <c r="A302" s="50" t="s">
        <v>16</v>
      </c>
      <c r="B302" s="50"/>
      <c r="C302" s="50"/>
      <c r="D302" s="9"/>
      <c r="E302" s="9"/>
      <c r="F302" s="9"/>
      <c r="G302" s="9"/>
      <c r="H302" s="1"/>
      <c r="I302" s="1"/>
      <c r="J302" s="1"/>
      <c r="K302" s="1"/>
      <c r="L302" s="1"/>
      <c r="M302" s="1"/>
    </row>
    <row r="303" spans="1:13" x14ac:dyDescent="0.25">
      <c r="A303" s="18"/>
      <c r="B303" s="9"/>
      <c r="C303" s="9"/>
      <c r="D303" s="9"/>
      <c r="E303" s="9"/>
      <c r="F303" s="9"/>
      <c r="G303" s="9"/>
      <c r="H303" s="1"/>
      <c r="I303" s="1"/>
      <c r="J303" s="1"/>
      <c r="K303" s="1"/>
      <c r="L303" s="1"/>
      <c r="M303" s="1"/>
    </row>
    <row r="304" spans="1:13" x14ac:dyDescent="0.25">
      <c r="A304" s="643" t="s">
        <v>60</v>
      </c>
      <c r="B304" s="643"/>
      <c r="C304" s="643"/>
      <c r="D304" s="643"/>
      <c r="E304" s="643"/>
      <c r="F304" s="643"/>
      <c r="G304" s="643"/>
      <c r="H304" s="1"/>
      <c r="I304" s="1"/>
      <c r="J304" s="1"/>
      <c r="K304" s="1"/>
      <c r="L304" s="1"/>
      <c r="M304" s="1"/>
    </row>
    <row r="305" spans="1:13" x14ac:dyDescent="0.25">
      <c r="A305" s="643" t="s">
        <v>3241</v>
      </c>
      <c r="B305" s="643"/>
      <c r="C305" s="643"/>
      <c r="D305" s="643"/>
      <c r="E305" s="643"/>
      <c r="F305" s="643"/>
      <c r="G305" s="643"/>
      <c r="H305" s="1"/>
      <c r="I305" s="1"/>
      <c r="J305" s="1"/>
      <c r="K305" s="1"/>
      <c r="L305" s="1"/>
      <c r="M305" s="1"/>
    </row>
    <row r="306" spans="1:13" ht="15.75" thickBot="1" x14ac:dyDescent="0.3">
      <c r="A306" s="19"/>
      <c r="B306" s="1"/>
      <c r="C306" s="1"/>
      <c r="D306" s="1"/>
      <c r="E306" s="1"/>
      <c r="F306" s="1"/>
      <c r="G306" s="1"/>
      <c r="H306" s="1"/>
      <c r="I306" s="1"/>
      <c r="J306" s="1"/>
      <c r="K306" s="1"/>
      <c r="L306" s="1"/>
      <c r="M306" s="1"/>
    </row>
    <row r="307" spans="1:13" x14ac:dyDescent="0.25">
      <c r="A307" s="33" t="s">
        <v>55</v>
      </c>
      <c r="B307" s="53" t="s">
        <v>3</v>
      </c>
      <c r="C307" s="661" t="s">
        <v>5</v>
      </c>
      <c r="D307" s="661"/>
      <c r="E307" s="34" t="s">
        <v>56</v>
      </c>
      <c r="F307" s="34" t="s">
        <v>57</v>
      </c>
      <c r="G307" s="35" t="s">
        <v>58</v>
      </c>
      <c r="H307" s="1"/>
      <c r="I307" s="1"/>
      <c r="J307" s="1"/>
      <c r="K307" s="1"/>
      <c r="L307" s="1"/>
      <c r="M307" s="1"/>
    </row>
    <row r="308" spans="1:13" x14ac:dyDescent="0.25">
      <c r="A308" s="42"/>
      <c r="B308" s="24"/>
      <c r="C308" s="36"/>
      <c r="D308" s="39"/>
      <c r="E308" s="24"/>
      <c r="F308" s="24"/>
      <c r="G308" s="25"/>
      <c r="H308" s="1"/>
      <c r="I308" s="1"/>
      <c r="J308" s="1"/>
      <c r="K308" s="1"/>
      <c r="L308" s="1"/>
      <c r="M308" s="1"/>
    </row>
    <row r="309" spans="1:13" x14ac:dyDescent="0.25">
      <c r="A309" s="42">
        <v>1</v>
      </c>
      <c r="B309" s="58" t="s">
        <v>83</v>
      </c>
      <c r="C309" s="51" t="s">
        <v>62</v>
      </c>
      <c r="D309" s="52"/>
      <c r="E309" s="56" t="s">
        <v>71</v>
      </c>
      <c r="F309" s="28" t="e">
        <f>JP!#REF!</f>
        <v>#REF!</v>
      </c>
      <c r="G309" s="25"/>
      <c r="H309" s="1"/>
      <c r="I309" s="1"/>
      <c r="J309" s="1"/>
      <c r="K309" s="1"/>
      <c r="L309" s="1"/>
      <c r="M309" s="1"/>
    </row>
    <row r="310" spans="1:13" x14ac:dyDescent="0.25">
      <c r="A310" s="42"/>
      <c r="B310" s="54"/>
      <c r="C310" s="51" t="s">
        <v>63</v>
      </c>
      <c r="D310" s="52"/>
      <c r="E310" s="56" t="s">
        <v>71</v>
      </c>
      <c r="F310" s="28" t="e">
        <f>JP!#REF!</f>
        <v>#REF!</v>
      </c>
      <c r="G310" s="25"/>
      <c r="H310" s="1"/>
      <c r="I310" s="1"/>
      <c r="J310" s="1"/>
      <c r="K310" s="1"/>
      <c r="L310" s="1"/>
      <c r="M310" s="1"/>
    </row>
    <row r="311" spans="1:13" x14ac:dyDescent="0.25">
      <c r="A311" s="42"/>
      <c r="B311" s="54"/>
      <c r="C311" s="51" t="s">
        <v>64</v>
      </c>
      <c r="D311" s="52"/>
      <c r="E311" s="56" t="s">
        <v>71</v>
      </c>
      <c r="F311" s="28" t="e">
        <f>JP!#REF!</f>
        <v>#REF!</v>
      </c>
      <c r="G311" s="25"/>
      <c r="H311" s="1"/>
      <c r="I311" s="1"/>
      <c r="J311" s="1"/>
      <c r="K311" s="1"/>
      <c r="L311" s="1"/>
      <c r="M311" s="1"/>
    </row>
    <row r="312" spans="1:13" x14ac:dyDescent="0.25">
      <c r="A312" s="42"/>
      <c r="B312" s="24"/>
      <c r="C312" s="51"/>
      <c r="D312" s="55" t="s">
        <v>61</v>
      </c>
      <c r="E312" s="56" t="s">
        <v>71</v>
      </c>
      <c r="G312" s="28" t="e">
        <f>SUM(F309:F311)</f>
        <v>#REF!</v>
      </c>
      <c r="H312" s="1"/>
      <c r="I312" s="1"/>
      <c r="J312" s="1"/>
      <c r="K312" s="1"/>
      <c r="L312" s="1"/>
      <c r="M312" s="1"/>
    </row>
    <row r="313" spans="1:13" x14ac:dyDescent="0.25">
      <c r="A313" s="42"/>
      <c r="B313" s="24"/>
      <c r="C313" s="51"/>
      <c r="D313" s="52"/>
      <c r="E313" s="56"/>
      <c r="F313" s="28"/>
      <c r="G313" s="25"/>
      <c r="H313" s="1"/>
      <c r="I313" s="1"/>
      <c r="J313" s="1"/>
      <c r="K313" s="1"/>
      <c r="L313" s="1"/>
      <c r="M313" s="1"/>
    </row>
    <row r="314" spans="1:13" x14ac:dyDescent="0.25">
      <c r="A314" s="26"/>
      <c r="B314" s="10"/>
      <c r="C314" s="51"/>
      <c r="D314" s="40"/>
      <c r="E314" s="56"/>
      <c r="F314" s="28"/>
      <c r="G314" s="29"/>
      <c r="H314" s="1"/>
      <c r="I314" s="1"/>
      <c r="J314" s="1"/>
      <c r="K314" s="1"/>
      <c r="L314" s="1"/>
      <c r="M314" s="1"/>
    </row>
    <row r="315" spans="1:13" ht="15.75" thickBot="1" x14ac:dyDescent="0.3">
      <c r="A315" s="30"/>
      <c r="B315" s="31"/>
      <c r="C315" s="38"/>
      <c r="D315" s="41"/>
      <c r="E315" s="31"/>
      <c r="F315" s="31"/>
      <c r="G315" s="32"/>
      <c r="H315" s="1"/>
      <c r="I315" s="1"/>
      <c r="J315" s="1"/>
      <c r="K315" s="1"/>
      <c r="L315" s="1"/>
      <c r="M315" s="1"/>
    </row>
    <row r="316" spans="1:13" ht="15.75" thickBot="1" x14ac:dyDescent="0.3">
      <c r="A316" s="723" t="s">
        <v>15</v>
      </c>
      <c r="B316" s="724"/>
      <c r="C316" s="724"/>
      <c r="D316" s="724"/>
      <c r="E316" s="724"/>
      <c r="F316" s="48" t="e">
        <f>SUM(F309:F315)</f>
        <v>#REF!</v>
      </c>
      <c r="G316" s="48" t="e">
        <f>SUM(G309:G315)</f>
        <v>#REF!</v>
      </c>
      <c r="H316" s="1"/>
      <c r="I316" s="1"/>
      <c r="J316" s="1"/>
      <c r="K316" s="1"/>
      <c r="L316" s="1"/>
      <c r="M316" s="1"/>
    </row>
    <row r="317" spans="1:13" x14ac:dyDescent="0.25">
      <c r="A317" s="19"/>
      <c r="B317" s="1"/>
      <c r="C317" s="1"/>
      <c r="D317" s="1"/>
      <c r="E317" s="1"/>
      <c r="F317" s="1"/>
      <c r="G317" s="1"/>
      <c r="H317" s="1"/>
      <c r="I317" s="1"/>
      <c r="J317" s="1"/>
      <c r="K317" s="1"/>
      <c r="L317" s="1"/>
      <c r="M317" s="1"/>
    </row>
    <row r="318" spans="1:13" x14ac:dyDescent="0.25">
      <c r="A318" s="19"/>
      <c r="B318" s="1"/>
      <c r="C318" s="1"/>
      <c r="D318" s="1"/>
      <c r="E318" s="1"/>
      <c r="F318" s="1"/>
      <c r="G318" s="1"/>
      <c r="H318" s="1"/>
      <c r="I318" s="1"/>
      <c r="J318" s="1"/>
      <c r="K318" s="1"/>
      <c r="L318" s="1"/>
      <c r="M318" s="1"/>
    </row>
    <row r="319" spans="1:13" x14ac:dyDescent="0.25">
      <c r="A319" s="19"/>
      <c r="B319" s="1"/>
      <c r="C319" s="1"/>
      <c r="D319" s="1"/>
      <c r="E319" s="1"/>
      <c r="F319" s="1"/>
      <c r="G319" s="1"/>
      <c r="H319" s="1"/>
      <c r="I319" s="1"/>
      <c r="J319" s="1"/>
      <c r="K319" s="1"/>
      <c r="L319" s="1"/>
      <c r="M319" s="1"/>
    </row>
    <row r="320" spans="1:13" x14ac:dyDescent="0.25">
      <c r="A320" s="19"/>
      <c r="B320" s="1"/>
      <c r="C320" s="1"/>
      <c r="D320" s="1"/>
      <c r="E320" s="1"/>
      <c r="F320" s="1"/>
      <c r="G320" s="1"/>
      <c r="H320" s="1"/>
      <c r="I320" s="1"/>
      <c r="J320" s="1"/>
      <c r="K320" s="1"/>
      <c r="L320" s="1"/>
      <c r="M320" s="1"/>
    </row>
    <row r="321" spans="1:13" x14ac:dyDescent="0.25">
      <c r="A321" s="19"/>
      <c r="B321" s="1"/>
      <c r="C321" s="1"/>
      <c r="D321" s="1"/>
      <c r="E321" s="1"/>
      <c r="F321" s="1"/>
      <c r="G321" s="1"/>
      <c r="H321" s="1"/>
      <c r="I321" s="1"/>
      <c r="J321" s="1"/>
      <c r="K321" s="1"/>
      <c r="L321" s="1"/>
      <c r="M321" s="1"/>
    </row>
    <row r="322" spans="1:13" x14ac:dyDescent="0.25">
      <c r="A322" s="19"/>
      <c r="B322" s="1"/>
      <c r="C322" s="1"/>
      <c r="D322" s="1"/>
      <c r="E322" s="1"/>
      <c r="F322" s="1"/>
      <c r="G322" s="1"/>
      <c r="H322" s="1"/>
      <c r="I322" s="1"/>
      <c r="J322" s="1"/>
      <c r="K322" s="1"/>
      <c r="L322" s="1"/>
      <c r="M322" s="1"/>
    </row>
    <row r="323" spans="1:13" x14ac:dyDescent="0.25">
      <c r="A323" s="19"/>
      <c r="B323" s="1"/>
      <c r="C323" s="1"/>
      <c r="D323" s="1"/>
      <c r="E323" s="1"/>
      <c r="F323" s="1"/>
      <c r="G323" s="1"/>
      <c r="H323" s="1"/>
      <c r="I323" s="1"/>
      <c r="J323" s="1"/>
      <c r="K323" s="1"/>
      <c r="L323" s="1"/>
      <c r="M323" s="1"/>
    </row>
    <row r="324" spans="1:13" x14ac:dyDescent="0.25">
      <c r="A324" s="19"/>
      <c r="B324" s="1"/>
      <c r="C324" s="1"/>
      <c r="D324" s="1"/>
      <c r="E324" s="1"/>
      <c r="F324" s="1"/>
      <c r="G324" s="1"/>
      <c r="H324" s="1"/>
      <c r="I324" s="1"/>
      <c r="J324" s="1"/>
      <c r="K324" s="1"/>
      <c r="L324" s="1"/>
      <c r="M324" s="1"/>
    </row>
    <row r="325" spans="1:13" x14ac:dyDescent="0.25">
      <c r="A325" s="19"/>
      <c r="B325" s="1"/>
      <c r="C325" s="1"/>
      <c r="D325" s="1"/>
      <c r="E325" s="1"/>
      <c r="F325" s="1"/>
      <c r="G325" s="1"/>
      <c r="H325" s="1"/>
      <c r="I325" s="1"/>
      <c r="J325" s="1"/>
      <c r="K325" s="1"/>
      <c r="L325" s="1"/>
      <c r="M325" s="1"/>
    </row>
    <row r="326" spans="1:13" x14ac:dyDescent="0.25">
      <c r="A326" s="19"/>
      <c r="B326" s="1"/>
      <c r="C326" s="1"/>
      <c r="D326" s="1"/>
      <c r="E326" s="1"/>
      <c r="F326" s="1"/>
      <c r="G326" s="1"/>
      <c r="H326" s="1"/>
      <c r="I326" s="1"/>
      <c r="J326" s="1"/>
      <c r="K326" s="1"/>
      <c r="L326" s="1"/>
      <c r="M326" s="1"/>
    </row>
    <row r="327" spans="1:13" x14ac:dyDescent="0.25">
      <c r="A327" s="19"/>
      <c r="B327" s="1"/>
      <c r="C327" s="1"/>
      <c r="D327" s="1"/>
      <c r="E327" s="1"/>
      <c r="F327" s="1"/>
      <c r="G327" s="1"/>
      <c r="H327" s="1"/>
      <c r="I327" s="1"/>
      <c r="J327" s="1"/>
      <c r="K327" s="1"/>
      <c r="L327" s="1"/>
      <c r="M327" s="1"/>
    </row>
    <row r="328" spans="1:13" x14ac:dyDescent="0.25">
      <c r="A328" s="19"/>
      <c r="B328" s="1"/>
      <c r="C328" s="1"/>
      <c r="D328" s="1"/>
      <c r="E328" s="1"/>
      <c r="F328" s="1"/>
      <c r="G328" s="1"/>
      <c r="H328" s="1"/>
      <c r="I328" s="1"/>
      <c r="J328" s="1"/>
      <c r="K328" s="1"/>
      <c r="L328" s="1"/>
      <c r="M328" s="1"/>
    </row>
    <row r="329" spans="1:13" x14ac:dyDescent="0.25">
      <c r="A329" s="19"/>
      <c r="B329" s="1"/>
      <c r="C329" s="1"/>
      <c r="D329" s="1"/>
      <c r="E329" s="1"/>
      <c r="F329" s="1"/>
      <c r="G329" s="1"/>
      <c r="H329" s="1"/>
      <c r="I329" s="1"/>
      <c r="J329" s="1"/>
      <c r="K329" s="1"/>
      <c r="L329" s="1"/>
      <c r="M329" s="1"/>
    </row>
    <row r="330" spans="1:13" x14ac:dyDescent="0.25">
      <c r="A330" s="19"/>
      <c r="B330" s="1"/>
      <c r="C330" s="1"/>
      <c r="D330" s="1"/>
      <c r="E330" s="1"/>
      <c r="F330" s="1"/>
      <c r="G330" s="1"/>
      <c r="H330" s="1"/>
      <c r="I330" s="1"/>
      <c r="J330" s="1"/>
      <c r="K330" s="1"/>
      <c r="L330" s="1"/>
      <c r="M330" s="1"/>
    </row>
    <row r="331" spans="1:13" x14ac:dyDescent="0.25">
      <c r="A331" s="19"/>
      <c r="B331" s="1"/>
      <c r="C331" s="1"/>
      <c r="D331" s="1"/>
      <c r="E331" s="1"/>
      <c r="F331" s="1"/>
      <c r="G331" s="1"/>
      <c r="H331" s="1"/>
      <c r="I331" s="1"/>
      <c r="J331" s="1"/>
      <c r="K331" s="1"/>
      <c r="L331" s="1"/>
      <c r="M331" s="1"/>
    </row>
    <row r="332" spans="1:13" x14ac:dyDescent="0.25">
      <c r="A332" s="19"/>
      <c r="B332" s="1"/>
      <c r="C332" s="1"/>
      <c r="D332" s="1"/>
      <c r="E332" s="1"/>
      <c r="F332" s="1"/>
      <c r="G332" s="1"/>
      <c r="H332" s="1"/>
      <c r="I332" s="1"/>
      <c r="J332" s="1"/>
      <c r="K332" s="1"/>
      <c r="L332" s="1"/>
      <c r="M332" s="1"/>
    </row>
    <row r="333" spans="1:13" x14ac:dyDescent="0.25">
      <c r="A333" s="19"/>
      <c r="B333" s="1"/>
      <c r="C333" s="1"/>
      <c r="D333" s="1"/>
      <c r="E333" s="1"/>
      <c r="F333" s="1"/>
      <c r="G333" s="1"/>
      <c r="H333" s="1"/>
      <c r="I333" s="1"/>
      <c r="J333" s="1"/>
      <c r="K333" s="1"/>
      <c r="L333" s="1"/>
      <c r="M333" s="1"/>
    </row>
    <row r="334" spans="1:13" x14ac:dyDescent="0.25">
      <c r="A334" s="19"/>
      <c r="B334" s="1"/>
      <c r="C334" s="1"/>
      <c r="D334" s="1"/>
      <c r="E334" s="1"/>
      <c r="F334" s="1"/>
      <c r="G334" s="1"/>
      <c r="H334" s="1"/>
      <c r="I334" s="1"/>
      <c r="J334" s="1"/>
      <c r="K334" s="1"/>
      <c r="L334" s="1"/>
      <c r="M334" s="1"/>
    </row>
    <row r="335" spans="1:13" x14ac:dyDescent="0.25">
      <c r="A335" s="19"/>
      <c r="B335" s="1"/>
      <c r="C335" s="1"/>
      <c r="D335" s="1"/>
      <c r="E335" s="1"/>
      <c r="F335" s="1"/>
      <c r="G335" s="1"/>
      <c r="H335" s="1"/>
      <c r="I335" s="1"/>
      <c r="J335" s="1"/>
      <c r="K335" s="1"/>
      <c r="L335" s="1"/>
      <c r="M335" s="1"/>
    </row>
    <row r="336" spans="1:13" x14ac:dyDescent="0.25">
      <c r="A336" s="19"/>
      <c r="B336" s="1"/>
      <c r="C336" s="1"/>
      <c r="D336" s="1"/>
      <c r="E336" s="1"/>
      <c r="F336" s="1"/>
      <c r="G336" s="1"/>
      <c r="H336" s="1"/>
      <c r="I336" s="1"/>
      <c r="J336" s="1"/>
      <c r="K336" s="1"/>
      <c r="L336" s="1"/>
      <c r="M336" s="1"/>
    </row>
    <row r="337" spans="1:13" x14ac:dyDescent="0.25">
      <c r="A337" s="19"/>
      <c r="B337" s="1"/>
      <c r="C337" s="1"/>
      <c r="D337" s="1"/>
      <c r="E337" s="1"/>
      <c r="F337" s="1"/>
      <c r="G337" s="1"/>
      <c r="H337" s="1"/>
      <c r="I337" s="1"/>
      <c r="J337" s="1"/>
      <c r="K337" s="1"/>
      <c r="L337" s="1"/>
      <c r="M337" s="1"/>
    </row>
    <row r="338" spans="1:13" x14ac:dyDescent="0.25">
      <c r="A338" s="19"/>
      <c r="B338" s="1"/>
      <c r="C338" s="1"/>
      <c r="D338" s="1"/>
      <c r="E338" s="1"/>
      <c r="F338" s="1"/>
      <c r="G338" s="1"/>
      <c r="H338" s="1"/>
      <c r="I338" s="1"/>
      <c r="J338" s="1"/>
      <c r="K338" s="1"/>
      <c r="L338" s="1"/>
      <c r="M338" s="1"/>
    </row>
    <row r="339" spans="1:13" x14ac:dyDescent="0.25">
      <c r="A339" s="19"/>
      <c r="B339" s="1"/>
      <c r="C339" s="1"/>
      <c r="D339" s="1"/>
      <c r="E339" s="1"/>
      <c r="F339" s="1"/>
      <c r="G339" s="1"/>
      <c r="H339" s="1"/>
      <c r="I339" s="1"/>
      <c r="J339" s="1"/>
      <c r="K339" s="1"/>
      <c r="L339" s="1"/>
      <c r="M339" s="1"/>
    </row>
    <row r="340" spans="1:13" x14ac:dyDescent="0.25">
      <c r="A340" s="19"/>
      <c r="B340" s="1"/>
      <c r="C340" s="1"/>
      <c r="D340" s="1"/>
      <c r="E340" s="1"/>
      <c r="F340" s="1"/>
      <c r="G340" s="1"/>
      <c r="H340" s="1"/>
      <c r="I340" s="1"/>
      <c r="J340" s="1"/>
      <c r="K340" s="1"/>
      <c r="L340" s="1"/>
      <c r="M340" s="1"/>
    </row>
    <row r="341" spans="1:13" x14ac:dyDescent="0.25">
      <c r="A341" s="19"/>
      <c r="B341" s="1"/>
      <c r="C341" s="1"/>
      <c r="D341" s="1"/>
      <c r="E341" s="1"/>
      <c r="F341" s="1"/>
      <c r="G341" s="1"/>
      <c r="H341" s="1"/>
      <c r="I341" s="1"/>
      <c r="J341" s="1"/>
      <c r="K341" s="1"/>
      <c r="L341" s="1"/>
      <c r="M341" s="1"/>
    </row>
    <row r="342" spans="1:13" x14ac:dyDescent="0.25">
      <c r="A342" s="19"/>
      <c r="B342" s="1"/>
      <c r="C342" s="1"/>
      <c r="D342" s="1"/>
      <c r="E342" s="1"/>
      <c r="F342" s="1"/>
      <c r="G342" s="1"/>
      <c r="H342" s="1"/>
      <c r="I342" s="1"/>
      <c r="J342" s="1"/>
      <c r="K342" s="1"/>
      <c r="L342" s="1"/>
      <c r="M342" s="1"/>
    </row>
    <row r="343" spans="1:13" x14ac:dyDescent="0.25">
      <c r="A343" s="19"/>
      <c r="B343" s="1"/>
      <c r="C343" s="1"/>
      <c r="D343" s="1"/>
      <c r="E343" s="1"/>
      <c r="F343" s="1"/>
      <c r="G343" s="1"/>
      <c r="H343" s="1"/>
      <c r="I343" s="1"/>
      <c r="J343" s="1"/>
      <c r="K343" s="1"/>
      <c r="L343" s="1"/>
      <c r="M343" s="1"/>
    </row>
    <row r="344" spans="1:13" x14ac:dyDescent="0.25">
      <c r="A344" s="19"/>
      <c r="B344" s="1"/>
      <c r="C344" s="1"/>
      <c r="D344" s="1"/>
      <c r="E344" s="1"/>
      <c r="F344" s="1"/>
      <c r="G344" s="1"/>
      <c r="H344" s="1"/>
      <c r="I344" s="1"/>
      <c r="J344" s="1"/>
      <c r="K344" s="1"/>
      <c r="L344" s="1"/>
      <c r="M344" s="1"/>
    </row>
    <row r="345" spans="1:13" x14ac:dyDescent="0.25">
      <c r="A345" s="19"/>
      <c r="B345" s="1"/>
      <c r="C345" s="1"/>
      <c r="D345" s="1"/>
      <c r="E345" s="1"/>
      <c r="F345" s="1"/>
      <c r="G345" s="1"/>
      <c r="H345" s="1"/>
      <c r="I345" s="1"/>
      <c r="J345" s="1"/>
      <c r="K345" s="1"/>
      <c r="L345" s="1"/>
      <c r="M345" s="1"/>
    </row>
    <row r="346" spans="1:13" x14ac:dyDescent="0.25">
      <c r="A346" s="19"/>
      <c r="B346" s="1"/>
      <c r="C346" s="1"/>
      <c r="D346" s="1"/>
      <c r="E346" s="1"/>
      <c r="F346" s="1"/>
      <c r="G346" s="1"/>
      <c r="H346" s="1"/>
      <c r="I346" s="1"/>
      <c r="J346" s="1"/>
      <c r="K346" s="1"/>
      <c r="L346" s="1"/>
      <c r="M346" s="1"/>
    </row>
    <row r="347" spans="1:13" x14ac:dyDescent="0.25">
      <c r="A347" s="19"/>
      <c r="B347" s="1"/>
      <c r="C347" s="1"/>
      <c r="D347" s="1"/>
      <c r="E347" s="1"/>
      <c r="F347" s="1"/>
      <c r="G347" s="1"/>
      <c r="H347" s="1"/>
      <c r="I347" s="1"/>
      <c r="J347" s="1"/>
      <c r="K347" s="1"/>
      <c r="L347" s="1"/>
      <c r="M347" s="1"/>
    </row>
    <row r="348" spans="1:13" x14ac:dyDescent="0.25">
      <c r="A348" s="19"/>
      <c r="B348" s="1"/>
      <c r="C348" s="1"/>
      <c r="D348" s="1"/>
      <c r="E348" s="1"/>
      <c r="F348" s="1"/>
      <c r="G348" s="1"/>
      <c r="H348" s="1"/>
      <c r="I348" s="1"/>
      <c r="J348" s="1"/>
      <c r="K348" s="1"/>
      <c r="L348" s="1"/>
      <c r="M348" s="1"/>
    </row>
    <row r="349" spans="1:13" x14ac:dyDescent="0.25">
      <c r="A349" s="19"/>
      <c r="B349" s="1"/>
      <c r="C349" s="1"/>
      <c r="D349" s="1"/>
      <c r="E349" s="1"/>
      <c r="F349" s="1"/>
      <c r="G349" s="1"/>
      <c r="H349" s="1"/>
      <c r="I349" s="1"/>
      <c r="J349" s="1"/>
      <c r="K349" s="1"/>
      <c r="L349" s="1"/>
      <c r="M349" s="1"/>
    </row>
    <row r="350" spans="1:13" x14ac:dyDescent="0.25">
      <c r="A350" s="50" t="s">
        <v>0</v>
      </c>
      <c r="B350" s="50"/>
      <c r="C350" s="50"/>
      <c r="D350" s="9"/>
      <c r="E350" s="9"/>
      <c r="F350" s="9"/>
      <c r="G350" s="9"/>
      <c r="H350" s="1"/>
      <c r="I350" s="1"/>
      <c r="J350" s="1"/>
      <c r="K350" s="1"/>
      <c r="L350" s="1"/>
      <c r="M350" s="1"/>
    </row>
    <row r="351" spans="1:13" x14ac:dyDescent="0.25">
      <c r="A351" s="50" t="s">
        <v>1</v>
      </c>
      <c r="B351" s="50"/>
      <c r="C351" s="50"/>
      <c r="D351" s="9"/>
      <c r="E351" s="9"/>
      <c r="F351" s="9"/>
      <c r="G351" s="9"/>
      <c r="H351" s="1"/>
      <c r="I351" s="1"/>
      <c r="J351" s="1"/>
      <c r="K351" s="1"/>
      <c r="L351" s="1"/>
      <c r="M351" s="1"/>
    </row>
    <row r="352" spans="1:13" x14ac:dyDescent="0.25">
      <c r="A352" s="50" t="s">
        <v>16</v>
      </c>
      <c r="B352" s="50"/>
      <c r="C352" s="50"/>
      <c r="D352" s="9"/>
      <c r="E352" s="9"/>
      <c r="F352" s="9"/>
      <c r="G352" s="9"/>
      <c r="H352" s="1"/>
      <c r="I352" s="1"/>
      <c r="J352" s="1"/>
      <c r="K352" s="1"/>
      <c r="L352" s="1"/>
      <c r="M352" s="1"/>
    </row>
    <row r="353" spans="1:13" x14ac:dyDescent="0.25">
      <c r="A353" s="18"/>
      <c r="B353" s="9"/>
      <c r="C353" s="9"/>
      <c r="D353" s="9"/>
      <c r="E353" s="9"/>
      <c r="F353" s="9"/>
      <c r="G353" s="9"/>
      <c r="H353" s="1"/>
      <c r="I353" s="1"/>
      <c r="J353" s="1"/>
      <c r="K353" s="1"/>
      <c r="L353" s="1"/>
      <c r="M353" s="1"/>
    </row>
    <row r="354" spans="1:13" x14ac:dyDescent="0.25">
      <c r="A354" s="643" t="s">
        <v>60</v>
      </c>
      <c r="B354" s="643"/>
      <c r="C354" s="643"/>
      <c r="D354" s="643"/>
      <c r="E354" s="643"/>
      <c r="F354" s="643"/>
      <c r="G354" s="643"/>
      <c r="H354" s="1"/>
      <c r="I354" s="1"/>
      <c r="J354" s="1"/>
      <c r="K354" s="1"/>
      <c r="L354" s="1"/>
      <c r="M354" s="1"/>
    </row>
    <row r="355" spans="1:13" x14ac:dyDescent="0.25">
      <c r="A355" s="643" t="s">
        <v>3240</v>
      </c>
      <c r="B355" s="643"/>
      <c r="C355" s="643"/>
      <c r="D355" s="643"/>
      <c r="E355" s="643"/>
      <c r="F355" s="643"/>
      <c r="G355" s="643"/>
      <c r="H355" s="1"/>
      <c r="I355" s="1"/>
      <c r="J355" s="1"/>
      <c r="K355" s="1"/>
      <c r="L355" s="1"/>
      <c r="M355" s="1"/>
    </row>
    <row r="356" spans="1:13" ht="15.75" thickBot="1" x14ac:dyDescent="0.3">
      <c r="A356" s="19"/>
      <c r="B356" s="1"/>
      <c r="C356" s="1"/>
      <c r="D356" s="1"/>
      <c r="E356" s="1"/>
      <c r="F356" s="1"/>
      <c r="G356" s="1"/>
      <c r="H356" s="1"/>
      <c r="I356" s="1"/>
      <c r="J356" s="1"/>
      <c r="K356" s="1"/>
      <c r="L356" s="1"/>
      <c r="M356" s="1"/>
    </row>
    <row r="357" spans="1:13" x14ac:dyDescent="0.25">
      <c r="A357" s="33" t="s">
        <v>55</v>
      </c>
      <c r="B357" s="53" t="s">
        <v>3</v>
      </c>
      <c r="C357" s="661" t="s">
        <v>5</v>
      </c>
      <c r="D357" s="661"/>
      <c r="E357" s="34" t="s">
        <v>56</v>
      </c>
      <c r="F357" s="34" t="s">
        <v>57</v>
      </c>
      <c r="G357" s="35" t="s">
        <v>58</v>
      </c>
      <c r="H357" s="1"/>
      <c r="I357" s="1"/>
      <c r="J357" s="1"/>
      <c r="K357" s="1"/>
      <c r="L357" s="1"/>
      <c r="M357" s="1"/>
    </row>
    <row r="358" spans="1:13" x14ac:dyDescent="0.25">
      <c r="A358" s="42"/>
      <c r="B358" s="24"/>
      <c r="C358" s="36"/>
      <c r="D358" s="39"/>
      <c r="E358" s="24"/>
      <c r="F358" s="24"/>
      <c r="G358" s="25"/>
      <c r="H358" s="1"/>
      <c r="I358" s="1"/>
      <c r="J358" s="1"/>
      <c r="K358" s="1"/>
      <c r="L358" s="1"/>
      <c r="M358" s="1"/>
    </row>
    <row r="359" spans="1:13" x14ac:dyDescent="0.25">
      <c r="A359" s="42">
        <v>1</v>
      </c>
      <c r="B359" s="58" t="s">
        <v>84</v>
      </c>
      <c r="C359" s="51" t="s">
        <v>62</v>
      </c>
      <c r="D359" s="52"/>
      <c r="E359" s="56" t="s">
        <v>72</v>
      </c>
      <c r="F359" s="28" t="e">
        <f>JP!#REF!</f>
        <v>#REF!</v>
      </c>
      <c r="G359" s="25"/>
      <c r="H359" s="1"/>
      <c r="I359" s="1"/>
      <c r="J359" s="1"/>
      <c r="K359" s="1"/>
      <c r="L359" s="1"/>
      <c r="M359" s="1"/>
    </row>
    <row r="360" spans="1:13" x14ac:dyDescent="0.25">
      <c r="A360" s="42"/>
      <c r="B360" s="54"/>
      <c r="C360" s="51" t="s">
        <v>63</v>
      </c>
      <c r="D360" s="52"/>
      <c r="E360" s="56" t="s">
        <v>72</v>
      </c>
      <c r="F360" s="28" t="e">
        <f>JP!#REF!</f>
        <v>#REF!</v>
      </c>
      <c r="G360" s="25"/>
      <c r="H360" s="1"/>
      <c r="I360" s="1"/>
      <c r="J360" s="1"/>
      <c r="K360" s="1"/>
      <c r="L360" s="1"/>
      <c r="M360" s="1"/>
    </row>
    <row r="361" spans="1:13" x14ac:dyDescent="0.25">
      <c r="A361" s="42"/>
      <c r="B361" s="54"/>
      <c r="C361" s="51" t="s">
        <v>64</v>
      </c>
      <c r="D361" s="52"/>
      <c r="E361" s="56" t="s">
        <v>72</v>
      </c>
      <c r="F361" s="28" t="e">
        <f>JP!#REF!</f>
        <v>#REF!</v>
      </c>
      <c r="G361" s="25"/>
      <c r="H361" s="1"/>
      <c r="I361" s="1"/>
      <c r="J361" s="1"/>
      <c r="K361" s="1"/>
      <c r="L361" s="1"/>
      <c r="M361" s="1"/>
    </row>
    <row r="362" spans="1:13" x14ac:dyDescent="0.25">
      <c r="A362" s="42"/>
      <c r="B362" s="24"/>
      <c r="C362" s="51"/>
      <c r="D362" s="55" t="s">
        <v>61</v>
      </c>
      <c r="E362" s="56" t="s">
        <v>72</v>
      </c>
      <c r="G362" s="28" t="e">
        <f>SUM(F359:F361)</f>
        <v>#REF!</v>
      </c>
      <c r="H362" s="1"/>
      <c r="I362" s="1"/>
      <c r="J362" s="1"/>
      <c r="K362" s="1"/>
      <c r="L362" s="1"/>
      <c r="M362" s="1"/>
    </row>
    <row r="363" spans="1:13" x14ac:dyDescent="0.25">
      <c r="A363" s="42"/>
      <c r="B363" s="24"/>
      <c r="C363" s="51"/>
      <c r="D363" s="52"/>
      <c r="E363" s="56"/>
      <c r="F363" s="28"/>
      <c r="G363" s="25"/>
      <c r="H363" s="1"/>
      <c r="I363" s="1"/>
      <c r="J363" s="1"/>
      <c r="K363" s="1"/>
      <c r="L363" s="1"/>
      <c r="M363" s="1"/>
    </row>
    <row r="364" spans="1:13" ht="15.75" thickBot="1" x14ac:dyDescent="0.3">
      <c r="A364" s="30"/>
      <c r="B364" s="31"/>
      <c r="C364" s="38"/>
      <c r="D364" s="41"/>
      <c r="E364" s="31"/>
      <c r="F364" s="31"/>
      <c r="G364" s="32"/>
      <c r="H364" s="1"/>
      <c r="I364" s="1"/>
      <c r="J364" s="1"/>
      <c r="K364" s="1"/>
      <c r="L364" s="1"/>
      <c r="M364" s="1"/>
    </row>
    <row r="365" spans="1:13" ht="15.75" thickBot="1" x14ac:dyDescent="0.3">
      <c r="A365" s="723" t="s">
        <v>15</v>
      </c>
      <c r="B365" s="724"/>
      <c r="C365" s="724"/>
      <c r="D365" s="724"/>
      <c r="E365" s="724"/>
      <c r="F365" s="48" t="e">
        <f>SUM(F359:F364)</f>
        <v>#REF!</v>
      </c>
      <c r="G365" s="48" t="e">
        <f>SUM(G359:G364)</f>
        <v>#REF!</v>
      </c>
      <c r="H365" s="1"/>
      <c r="I365" s="1"/>
      <c r="J365" s="1"/>
      <c r="K365" s="1"/>
      <c r="L365" s="1"/>
      <c r="M365" s="1"/>
    </row>
    <row r="366" spans="1:13" x14ac:dyDescent="0.25">
      <c r="A366" s="19"/>
      <c r="B366" s="1"/>
      <c r="C366" s="1"/>
      <c r="D366" s="1"/>
      <c r="E366" s="1"/>
      <c r="F366" s="1"/>
      <c r="G366" s="1"/>
      <c r="H366" s="1"/>
      <c r="I366" s="1"/>
      <c r="J366" s="1"/>
      <c r="K366" s="1"/>
      <c r="L366" s="1"/>
      <c r="M366" s="1"/>
    </row>
    <row r="367" spans="1:13" x14ac:dyDescent="0.25">
      <c r="A367" s="19"/>
      <c r="B367" s="1"/>
      <c r="C367" s="1"/>
      <c r="D367" s="1"/>
      <c r="E367" s="1"/>
      <c r="F367" s="1"/>
      <c r="G367" s="1"/>
      <c r="H367" s="1"/>
      <c r="I367" s="1"/>
      <c r="J367" s="1"/>
      <c r="K367" s="1"/>
      <c r="L367" s="1"/>
      <c r="M367" s="1"/>
    </row>
    <row r="368" spans="1:13" x14ac:dyDescent="0.25">
      <c r="A368" s="19"/>
      <c r="B368" s="1"/>
      <c r="C368" s="1"/>
      <c r="D368" s="1"/>
      <c r="E368" s="1"/>
      <c r="F368" s="1"/>
      <c r="G368" s="1"/>
      <c r="H368" s="1"/>
      <c r="I368" s="1"/>
      <c r="J368" s="1"/>
      <c r="K368" s="1"/>
      <c r="L368" s="1"/>
      <c r="M368" s="1"/>
    </row>
    <row r="369" spans="1:13" x14ac:dyDescent="0.25">
      <c r="A369" s="19"/>
      <c r="B369" s="1"/>
      <c r="C369" s="1"/>
      <c r="D369" s="1"/>
      <c r="E369" s="1"/>
      <c r="F369" s="1"/>
      <c r="G369" s="1"/>
      <c r="H369" s="1"/>
      <c r="I369" s="1"/>
      <c r="J369" s="1"/>
      <c r="K369" s="1"/>
      <c r="L369" s="1"/>
      <c r="M369" s="1"/>
    </row>
    <row r="370" spans="1:13" x14ac:dyDescent="0.25">
      <c r="A370" s="19"/>
      <c r="B370" s="1"/>
      <c r="C370" s="1"/>
      <c r="D370" s="1"/>
      <c r="E370" s="1"/>
      <c r="F370" s="1"/>
      <c r="G370" s="1"/>
      <c r="H370" s="1"/>
      <c r="I370" s="1"/>
      <c r="J370" s="1"/>
      <c r="K370" s="1"/>
      <c r="L370" s="1"/>
      <c r="M370" s="1"/>
    </row>
    <row r="371" spans="1:13" x14ac:dyDescent="0.25">
      <c r="A371" s="19"/>
      <c r="B371" s="1"/>
      <c r="C371" s="1"/>
      <c r="D371" s="1"/>
      <c r="E371" s="1"/>
      <c r="F371" s="1"/>
      <c r="G371" s="1"/>
      <c r="H371" s="1"/>
      <c r="I371" s="1"/>
      <c r="J371" s="1"/>
      <c r="K371" s="1"/>
      <c r="L371" s="1"/>
      <c r="M371" s="1"/>
    </row>
    <row r="372" spans="1:13" x14ac:dyDescent="0.25">
      <c r="A372" s="19"/>
      <c r="B372" s="1"/>
      <c r="C372" s="1"/>
      <c r="D372" s="1"/>
      <c r="E372" s="1"/>
      <c r="F372" s="1"/>
      <c r="G372" s="1"/>
      <c r="H372" s="1"/>
      <c r="I372" s="1"/>
      <c r="J372" s="1"/>
      <c r="K372" s="1"/>
      <c r="L372" s="1"/>
      <c r="M372" s="1"/>
    </row>
    <row r="373" spans="1:13" x14ac:dyDescent="0.25">
      <c r="A373" s="19"/>
      <c r="B373" s="1"/>
      <c r="C373" s="1"/>
      <c r="D373" s="1"/>
      <c r="E373" s="1"/>
      <c r="F373" s="1"/>
      <c r="G373" s="1"/>
      <c r="H373" s="1"/>
      <c r="I373" s="1"/>
      <c r="J373" s="1"/>
      <c r="K373" s="1"/>
      <c r="L373" s="1"/>
      <c r="M373" s="1"/>
    </row>
    <row r="374" spans="1:13" x14ac:dyDescent="0.25">
      <c r="A374" s="19"/>
      <c r="B374" s="1"/>
      <c r="C374" s="1"/>
      <c r="D374" s="1"/>
      <c r="E374" s="1"/>
      <c r="F374" s="1"/>
      <c r="G374" s="1"/>
      <c r="H374" s="1"/>
      <c r="I374" s="1"/>
      <c r="J374" s="1"/>
      <c r="K374" s="1"/>
      <c r="L374" s="1"/>
      <c r="M374" s="1"/>
    </row>
    <row r="375" spans="1:13" x14ac:dyDescent="0.25">
      <c r="A375" s="19"/>
      <c r="B375" s="1"/>
      <c r="C375" s="1"/>
      <c r="D375" s="1"/>
      <c r="E375" s="1"/>
      <c r="F375" s="1"/>
      <c r="G375" s="1"/>
      <c r="H375" s="1"/>
      <c r="I375" s="1"/>
      <c r="J375" s="1"/>
      <c r="K375" s="1"/>
      <c r="L375" s="1"/>
      <c r="M375" s="1"/>
    </row>
    <row r="376" spans="1:13" x14ac:dyDescent="0.25">
      <c r="A376" s="19"/>
      <c r="B376" s="1"/>
      <c r="C376" s="1"/>
      <c r="D376" s="1"/>
      <c r="E376" s="1"/>
      <c r="F376" s="1"/>
      <c r="G376" s="1"/>
      <c r="H376" s="1"/>
      <c r="I376" s="1"/>
      <c r="J376" s="1"/>
      <c r="K376" s="1"/>
      <c r="L376" s="1"/>
      <c r="M376" s="1"/>
    </row>
    <row r="377" spans="1:13" x14ac:dyDescent="0.25">
      <c r="A377" s="19"/>
      <c r="B377" s="1"/>
      <c r="C377" s="1"/>
      <c r="D377" s="1"/>
      <c r="E377" s="1"/>
      <c r="F377" s="1"/>
      <c r="G377" s="1"/>
      <c r="H377" s="1"/>
      <c r="I377" s="1"/>
      <c r="J377" s="1"/>
      <c r="K377" s="1"/>
      <c r="L377" s="1"/>
      <c r="M377" s="1"/>
    </row>
    <row r="378" spans="1:13" x14ac:dyDescent="0.25">
      <c r="A378" s="19"/>
      <c r="B378" s="1"/>
      <c r="C378" s="1"/>
      <c r="D378" s="1"/>
      <c r="E378" s="1"/>
      <c r="F378" s="1"/>
      <c r="G378" s="1"/>
      <c r="H378" s="1"/>
      <c r="I378" s="1"/>
      <c r="J378" s="1"/>
      <c r="K378" s="1"/>
      <c r="L378" s="1"/>
      <c r="M378" s="1"/>
    </row>
    <row r="379" spans="1:13" x14ac:dyDescent="0.25">
      <c r="A379" s="19"/>
      <c r="B379" s="1"/>
      <c r="C379" s="1"/>
      <c r="D379" s="1"/>
      <c r="E379" s="1"/>
      <c r="F379" s="1"/>
      <c r="G379" s="1"/>
      <c r="H379" s="1"/>
      <c r="I379" s="1"/>
      <c r="J379" s="1"/>
      <c r="K379" s="1"/>
      <c r="L379" s="1"/>
      <c r="M379" s="1"/>
    </row>
    <row r="380" spans="1:13" x14ac:dyDescent="0.25">
      <c r="A380" s="19"/>
      <c r="B380" s="1"/>
      <c r="C380" s="1"/>
      <c r="D380" s="1"/>
      <c r="E380" s="1"/>
      <c r="F380" s="1"/>
      <c r="G380" s="1"/>
      <c r="H380" s="1"/>
      <c r="I380" s="1"/>
      <c r="J380" s="1"/>
      <c r="K380" s="1"/>
      <c r="L380" s="1"/>
      <c r="M380" s="1"/>
    </row>
    <row r="381" spans="1:13" x14ac:dyDescent="0.25">
      <c r="A381" s="19"/>
      <c r="B381" s="1"/>
      <c r="C381" s="1"/>
      <c r="D381" s="1"/>
      <c r="E381" s="1"/>
      <c r="F381" s="1"/>
      <c r="G381" s="1"/>
      <c r="H381" s="1"/>
      <c r="I381" s="1"/>
      <c r="J381" s="1"/>
      <c r="K381" s="1"/>
      <c r="L381" s="1"/>
      <c r="M381" s="1"/>
    </row>
    <row r="382" spans="1:13" x14ac:dyDescent="0.25">
      <c r="A382" s="19"/>
      <c r="B382" s="1"/>
      <c r="C382" s="1"/>
      <c r="D382" s="1"/>
      <c r="E382" s="1"/>
      <c r="F382" s="1"/>
      <c r="G382" s="1"/>
      <c r="H382" s="1"/>
      <c r="I382" s="1"/>
      <c r="J382" s="1"/>
      <c r="K382" s="1"/>
      <c r="L382" s="1"/>
      <c r="M382" s="1"/>
    </row>
    <row r="383" spans="1:13" x14ac:dyDescent="0.25">
      <c r="A383" s="19"/>
      <c r="B383" s="1"/>
      <c r="C383" s="1"/>
      <c r="D383" s="1"/>
      <c r="E383" s="1"/>
      <c r="F383" s="1"/>
      <c r="G383" s="1"/>
      <c r="H383" s="1"/>
      <c r="I383" s="1"/>
      <c r="J383" s="1"/>
      <c r="K383" s="1"/>
      <c r="L383" s="1"/>
      <c r="M383" s="1"/>
    </row>
    <row r="384" spans="1:13" x14ac:dyDescent="0.25">
      <c r="A384" s="19"/>
      <c r="B384" s="1"/>
      <c r="C384" s="1"/>
      <c r="D384" s="1"/>
      <c r="E384" s="1"/>
      <c r="F384" s="1"/>
      <c r="G384" s="1"/>
      <c r="H384" s="1"/>
      <c r="I384" s="1"/>
      <c r="J384" s="1"/>
      <c r="K384" s="1"/>
      <c r="L384" s="1"/>
      <c r="M384" s="1"/>
    </row>
    <row r="385" spans="1:13" x14ac:dyDescent="0.25">
      <c r="A385" s="19"/>
      <c r="B385" s="1"/>
      <c r="C385" s="1"/>
      <c r="D385" s="1"/>
      <c r="E385" s="1"/>
      <c r="F385" s="1"/>
      <c r="G385" s="1"/>
      <c r="H385" s="1"/>
      <c r="I385" s="1"/>
      <c r="J385" s="1"/>
      <c r="K385" s="1"/>
      <c r="L385" s="1"/>
      <c r="M385" s="1"/>
    </row>
    <row r="386" spans="1:13" x14ac:dyDescent="0.25">
      <c r="A386" s="19"/>
      <c r="B386" s="1"/>
      <c r="C386" s="1"/>
      <c r="D386" s="1"/>
      <c r="E386" s="1"/>
      <c r="F386" s="1"/>
      <c r="G386" s="1"/>
      <c r="H386" s="1"/>
      <c r="I386" s="1"/>
      <c r="J386" s="1"/>
      <c r="K386" s="1"/>
      <c r="L386" s="1"/>
      <c r="M386" s="1"/>
    </row>
    <row r="387" spans="1:13" x14ac:dyDescent="0.25">
      <c r="A387" s="19"/>
      <c r="B387" s="1"/>
      <c r="C387" s="1"/>
      <c r="D387" s="1"/>
      <c r="E387" s="1"/>
      <c r="F387" s="1"/>
      <c r="G387" s="1"/>
      <c r="H387" s="1"/>
      <c r="I387" s="1"/>
      <c r="J387" s="1"/>
      <c r="K387" s="1"/>
      <c r="L387" s="1"/>
      <c r="M387" s="1"/>
    </row>
    <row r="388" spans="1:13" x14ac:dyDescent="0.25">
      <c r="A388" s="19"/>
      <c r="B388" s="1"/>
      <c r="C388" s="1"/>
      <c r="D388" s="1"/>
      <c r="E388" s="1"/>
      <c r="F388" s="1"/>
      <c r="G388" s="1"/>
      <c r="H388" s="1"/>
      <c r="I388" s="1"/>
      <c r="J388" s="1"/>
      <c r="K388" s="1"/>
      <c r="L388" s="1"/>
      <c r="M388" s="1"/>
    </row>
    <row r="389" spans="1:13" x14ac:dyDescent="0.25">
      <c r="A389" s="19"/>
      <c r="B389" s="1"/>
      <c r="C389" s="1"/>
      <c r="D389" s="1"/>
      <c r="E389" s="1"/>
      <c r="F389" s="1"/>
      <c r="G389" s="1"/>
      <c r="H389" s="1"/>
      <c r="I389" s="1"/>
      <c r="J389" s="1"/>
      <c r="K389" s="1"/>
      <c r="L389" s="1"/>
      <c r="M389" s="1"/>
    </row>
    <row r="390" spans="1:13" x14ac:dyDescent="0.25">
      <c r="A390" s="19"/>
      <c r="B390" s="1"/>
      <c r="C390" s="1"/>
      <c r="D390" s="1"/>
      <c r="E390" s="1"/>
      <c r="F390" s="1"/>
      <c r="G390" s="1"/>
      <c r="H390" s="1"/>
      <c r="I390" s="1"/>
      <c r="J390" s="1"/>
      <c r="K390" s="1"/>
      <c r="L390" s="1"/>
      <c r="M390" s="1"/>
    </row>
    <row r="391" spans="1:13" x14ac:dyDescent="0.25">
      <c r="A391" s="19"/>
      <c r="B391" s="1"/>
      <c r="C391" s="1"/>
      <c r="D391" s="1"/>
      <c r="E391" s="1"/>
      <c r="F391" s="1"/>
      <c r="G391" s="1"/>
      <c r="H391" s="1"/>
      <c r="I391" s="1"/>
      <c r="J391" s="1"/>
      <c r="K391" s="1"/>
      <c r="L391" s="1"/>
      <c r="M391" s="1"/>
    </row>
    <row r="392" spans="1:13" x14ac:dyDescent="0.25">
      <c r="A392" s="19"/>
      <c r="B392" s="1"/>
      <c r="C392" s="1"/>
      <c r="D392" s="1"/>
      <c r="E392" s="1"/>
      <c r="F392" s="1"/>
      <c r="G392" s="1"/>
      <c r="H392" s="1"/>
      <c r="I392" s="1"/>
      <c r="J392" s="1"/>
      <c r="K392" s="1"/>
      <c r="L392" s="1"/>
      <c r="M392" s="1"/>
    </row>
    <row r="393" spans="1:13" x14ac:dyDescent="0.25">
      <c r="A393" s="19"/>
      <c r="B393" s="1"/>
      <c r="C393" s="1"/>
      <c r="D393" s="1"/>
      <c r="E393" s="1"/>
      <c r="F393" s="1"/>
      <c r="G393" s="1"/>
      <c r="H393" s="1"/>
      <c r="I393" s="1"/>
      <c r="J393" s="1"/>
      <c r="K393" s="1"/>
      <c r="L393" s="1"/>
      <c r="M393" s="1"/>
    </row>
    <row r="394" spans="1:13" x14ac:dyDescent="0.25">
      <c r="A394" s="19"/>
      <c r="B394" s="1"/>
      <c r="C394" s="1"/>
      <c r="D394" s="1"/>
      <c r="E394" s="1"/>
      <c r="F394" s="1"/>
      <c r="G394" s="1"/>
      <c r="H394" s="1"/>
      <c r="I394" s="1"/>
      <c r="J394" s="1"/>
      <c r="K394" s="1"/>
      <c r="L394" s="1"/>
      <c r="M394" s="1"/>
    </row>
    <row r="395" spans="1:13" x14ac:dyDescent="0.25">
      <c r="A395" s="19"/>
      <c r="B395" s="1"/>
      <c r="C395" s="1"/>
      <c r="D395" s="1"/>
      <c r="E395" s="1"/>
      <c r="F395" s="1"/>
      <c r="G395" s="1"/>
      <c r="H395" s="1"/>
      <c r="I395" s="1"/>
      <c r="J395" s="1"/>
      <c r="K395" s="1"/>
      <c r="L395" s="1"/>
      <c r="M395" s="1"/>
    </row>
    <row r="396" spans="1:13" x14ac:dyDescent="0.25">
      <c r="A396" s="19"/>
      <c r="B396" s="1"/>
      <c r="C396" s="1"/>
      <c r="D396" s="1"/>
      <c r="E396" s="1"/>
      <c r="F396" s="1"/>
      <c r="G396" s="1"/>
      <c r="H396" s="1"/>
      <c r="I396" s="1"/>
      <c r="J396" s="1"/>
      <c r="K396" s="1"/>
      <c r="L396" s="1"/>
      <c r="M396" s="1"/>
    </row>
    <row r="397" spans="1:13" x14ac:dyDescent="0.25">
      <c r="A397" s="19"/>
      <c r="B397" s="1"/>
      <c r="C397" s="1"/>
      <c r="D397" s="1"/>
      <c r="E397" s="1"/>
      <c r="F397" s="1"/>
      <c r="G397" s="1"/>
      <c r="H397" s="1"/>
      <c r="I397" s="1"/>
      <c r="J397" s="1"/>
      <c r="K397" s="1"/>
      <c r="L397" s="1"/>
      <c r="M397" s="1"/>
    </row>
    <row r="398" spans="1:13" x14ac:dyDescent="0.25">
      <c r="A398" s="19"/>
      <c r="B398" s="1"/>
      <c r="C398" s="1"/>
      <c r="D398" s="1"/>
      <c r="E398" s="1"/>
      <c r="F398" s="1"/>
      <c r="G398" s="1"/>
      <c r="H398" s="1"/>
      <c r="I398" s="1"/>
      <c r="J398" s="1"/>
      <c r="K398" s="1"/>
      <c r="L398" s="1"/>
      <c r="M398" s="1"/>
    </row>
    <row r="399" spans="1:13" x14ac:dyDescent="0.25">
      <c r="A399" s="19"/>
      <c r="B399" s="1"/>
      <c r="C399" s="1"/>
      <c r="D399" s="1"/>
      <c r="E399" s="1"/>
      <c r="F399" s="1"/>
      <c r="G399" s="1"/>
      <c r="H399" s="1"/>
      <c r="I399" s="1"/>
      <c r="J399" s="1"/>
      <c r="K399" s="1"/>
      <c r="L399" s="1"/>
      <c r="M399" s="1"/>
    </row>
    <row r="400" spans="1:13" x14ac:dyDescent="0.25">
      <c r="A400" s="50" t="s">
        <v>0</v>
      </c>
      <c r="B400" s="50"/>
      <c r="C400" s="50"/>
      <c r="D400" s="9"/>
      <c r="E400" s="9"/>
      <c r="F400" s="9"/>
      <c r="G400" s="9"/>
      <c r="H400" s="1"/>
      <c r="I400" s="1"/>
      <c r="J400" s="1"/>
      <c r="K400" s="1"/>
      <c r="L400" s="1"/>
      <c r="M400" s="1"/>
    </row>
    <row r="401" spans="1:13" x14ac:dyDescent="0.25">
      <c r="A401" s="50" t="s">
        <v>1</v>
      </c>
      <c r="B401" s="50"/>
      <c r="C401" s="50"/>
      <c r="D401" s="9"/>
      <c r="E401" s="9"/>
      <c r="F401" s="9"/>
      <c r="G401" s="9"/>
      <c r="H401" s="1"/>
      <c r="I401" s="1"/>
      <c r="J401" s="1"/>
      <c r="K401" s="1"/>
      <c r="L401" s="1"/>
      <c r="M401" s="1"/>
    </row>
    <row r="402" spans="1:13" x14ac:dyDescent="0.25">
      <c r="A402" s="50" t="s">
        <v>16</v>
      </c>
      <c r="B402" s="50"/>
      <c r="C402" s="50"/>
      <c r="D402" s="9"/>
      <c r="E402" s="9"/>
      <c r="F402" s="9"/>
      <c r="G402" s="9"/>
      <c r="H402" s="1"/>
      <c r="I402" s="1"/>
      <c r="J402" s="1"/>
      <c r="K402" s="1"/>
      <c r="L402" s="1"/>
      <c r="M402" s="1"/>
    </row>
    <row r="403" spans="1:13" x14ac:dyDescent="0.25">
      <c r="A403" s="18"/>
      <c r="B403" s="9"/>
      <c r="C403" s="9"/>
      <c r="D403" s="9"/>
      <c r="E403" s="9"/>
      <c r="F403" s="9"/>
      <c r="G403" s="9"/>
      <c r="H403" s="1"/>
      <c r="I403" s="1"/>
      <c r="J403" s="1"/>
      <c r="K403" s="1"/>
      <c r="L403" s="1"/>
      <c r="M403" s="1"/>
    </row>
    <row r="404" spans="1:13" x14ac:dyDescent="0.25">
      <c r="A404" s="643" t="s">
        <v>60</v>
      </c>
      <c r="B404" s="643"/>
      <c r="C404" s="643"/>
      <c r="D404" s="643"/>
      <c r="E404" s="643"/>
      <c r="F404" s="643"/>
      <c r="G404" s="643"/>
      <c r="H404" s="1"/>
      <c r="I404" s="1"/>
      <c r="J404" s="1"/>
      <c r="K404" s="1"/>
      <c r="L404" s="1"/>
      <c r="M404" s="1"/>
    </row>
    <row r="405" spans="1:13" x14ac:dyDescent="0.25">
      <c r="A405" s="643" t="s">
        <v>3239</v>
      </c>
      <c r="B405" s="643"/>
      <c r="C405" s="643"/>
      <c r="D405" s="643"/>
      <c r="E405" s="643"/>
      <c r="F405" s="643"/>
      <c r="G405" s="643"/>
      <c r="H405" s="1"/>
      <c r="I405" s="1"/>
      <c r="J405" s="1"/>
      <c r="K405" s="1"/>
      <c r="L405" s="1"/>
      <c r="M405" s="1"/>
    </row>
    <row r="406" spans="1:13" ht="15.75" thickBot="1" x14ac:dyDescent="0.3">
      <c r="A406" s="19"/>
      <c r="B406" s="1"/>
      <c r="C406" s="1"/>
      <c r="D406" s="1"/>
      <c r="E406" s="1"/>
      <c r="F406" s="1"/>
      <c r="G406" s="1"/>
      <c r="H406" s="1"/>
      <c r="I406" s="1"/>
      <c r="J406" s="1"/>
      <c r="K406" s="1"/>
      <c r="L406" s="1"/>
      <c r="M406" s="1"/>
    </row>
    <row r="407" spans="1:13" x14ac:dyDescent="0.25">
      <c r="A407" s="33" t="s">
        <v>55</v>
      </c>
      <c r="B407" s="53" t="s">
        <v>3</v>
      </c>
      <c r="C407" s="661" t="s">
        <v>5</v>
      </c>
      <c r="D407" s="661"/>
      <c r="E407" s="34" t="s">
        <v>56</v>
      </c>
      <c r="F407" s="34" t="s">
        <v>57</v>
      </c>
      <c r="G407" s="35" t="s">
        <v>58</v>
      </c>
      <c r="H407" s="1"/>
      <c r="I407" s="1"/>
      <c r="J407" s="1"/>
      <c r="K407" s="1"/>
      <c r="L407" s="1"/>
      <c r="M407" s="1"/>
    </row>
    <row r="408" spans="1:13" x14ac:dyDescent="0.25">
      <c r="A408" s="42"/>
      <c r="B408" s="24"/>
      <c r="C408" s="36"/>
      <c r="D408" s="39"/>
      <c r="E408" s="24"/>
      <c r="F408" s="24"/>
      <c r="G408" s="25"/>
      <c r="H408" s="1"/>
      <c r="I408" s="1"/>
      <c r="J408" s="1"/>
      <c r="K408" s="1"/>
      <c r="L408" s="1"/>
      <c r="M408" s="1"/>
    </row>
    <row r="409" spans="1:13" x14ac:dyDescent="0.25">
      <c r="A409" s="42">
        <v>1</v>
      </c>
      <c r="B409" s="59" t="s">
        <v>85</v>
      </c>
      <c r="C409" s="51" t="s">
        <v>62</v>
      </c>
      <c r="D409" s="52"/>
      <c r="E409" s="56" t="s">
        <v>73</v>
      </c>
      <c r="F409" s="28" t="e">
        <f>JP!#REF!</f>
        <v>#REF!</v>
      </c>
      <c r="G409" s="25"/>
      <c r="H409" s="1"/>
      <c r="I409" s="1"/>
      <c r="J409" s="1"/>
      <c r="K409" s="1"/>
      <c r="L409" s="1"/>
      <c r="M409" s="1"/>
    </row>
    <row r="410" spans="1:13" x14ac:dyDescent="0.25">
      <c r="A410" s="42"/>
      <c r="B410" s="54"/>
      <c r="C410" s="51" t="s">
        <v>63</v>
      </c>
      <c r="D410" s="52"/>
      <c r="E410" s="56" t="s">
        <v>73</v>
      </c>
      <c r="F410" s="28" t="e">
        <f>JP!#REF!</f>
        <v>#REF!</v>
      </c>
      <c r="G410" s="25"/>
      <c r="H410" s="1"/>
      <c r="I410" s="1"/>
      <c r="J410" s="1"/>
      <c r="K410" s="1"/>
      <c r="L410" s="1"/>
      <c r="M410" s="1"/>
    </row>
    <row r="411" spans="1:13" x14ac:dyDescent="0.25">
      <c r="A411" s="42"/>
      <c r="B411" s="54"/>
      <c r="C411" s="51" t="s">
        <v>64</v>
      </c>
      <c r="D411" s="52"/>
      <c r="E411" s="56" t="s">
        <v>73</v>
      </c>
      <c r="F411" s="28" t="e">
        <f>JP!#REF!</f>
        <v>#REF!</v>
      </c>
      <c r="G411" s="25"/>
      <c r="H411" s="1"/>
      <c r="I411" s="1"/>
      <c r="J411" s="1"/>
      <c r="K411" s="1"/>
      <c r="L411" s="1"/>
      <c r="M411" s="1"/>
    </row>
    <row r="412" spans="1:13" x14ac:dyDescent="0.25">
      <c r="A412" s="42"/>
      <c r="B412" s="24"/>
      <c r="C412" s="51"/>
      <c r="D412" s="55" t="s">
        <v>61</v>
      </c>
      <c r="E412" s="56" t="s">
        <v>73</v>
      </c>
      <c r="G412" s="28" t="e">
        <f>SUM(F409:F411)</f>
        <v>#REF!</v>
      </c>
      <c r="H412" s="1"/>
      <c r="I412" s="1"/>
      <c r="J412" s="1"/>
      <c r="K412" s="1"/>
      <c r="L412" s="1"/>
      <c r="M412" s="1"/>
    </row>
    <row r="413" spans="1:13" x14ac:dyDescent="0.25">
      <c r="A413" s="42"/>
      <c r="B413" s="24"/>
      <c r="C413" s="51"/>
      <c r="D413" s="52"/>
      <c r="E413" s="56"/>
      <c r="F413" s="28"/>
      <c r="G413" s="25"/>
      <c r="H413" s="1"/>
      <c r="I413" s="1"/>
      <c r="J413" s="1"/>
      <c r="K413" s="1"/>
      <c r="L413" s="1"/>
      <c r="M413" s="1"/>
    </row>
    <row r="414" spans="1:13" x14ac:dyDescent="0.25">
      <c r="A414" s="30"/>
      <c r="B414" s="31"/>
      <c r="C414" s="38"/>
      <c r="D414" s="41"/>
      <c r="E414" s="31"/>
      <c r="F414" s="31"/>
      <c r="G414" s="45"/>
      <c r="H414" s="1"/>
      <c r="I414" s="1"/>
      <c r="J414" s="1"/>
      <c r="K414" s="1"/>
      <c r="L414" s="1"/>
      <c r="M414" s="1"/>
    </row>
    <row r="415" spans="1:13" x14ac:dyDescent="0.25">
      <c r="A415" s="30"/>
      <c r="B415" s="31"/>
      <c r="C415" s="38"/>
      <c r="D415" s="41"/>
      <c r="E415" s="31"/>
      <c r="F415" s="31"/>
      <c r="G415" s="45"/>
      <c r="H415" s="1"/>
      <c r="I415" s="1"/>
      <c r="J415" s="1"/>
      <c r="K415" s="1"/>
      <c r="L415" s="1"/>
      <c r="M415" s="1"/>
    </row>
    <row r="416" spans="1:13" ht="15.75" thickBot="1" x14ac:dyDescent="0.3">
      <c r="A416" s="30"/>
      <c r="B416" s="31"/>
      <c r="C416" s="38"/>
      <c r="D416" s="41"/>
      <c r="E416" s="31"/>
      <c r="F416" s="31"/>
      <c r="G416" s="32"/>
      <c r="H416" s="1"/>
      <c r="I416" s="1"/>
      <c r="J416" s="1"/>
      <c r="K416" s="1"/>
      <c r="L416" s="1"/>
      <c r="M416" s="1"/>
    </row>
    <row r="417" spans="1:13" ht="15.75" thickBot="1" x14ac:dyDescent="0.3">
      <c r="A417" s="723" t="s">
        <v>15</v>
      </c>
      <c r="B417" s="724"/>
      <c r="C417" s="724"/>
      <c r="D417" s="724"/>
      <c r="E417" s="724"/>
      <c r="F417" s="48" t="e">
        <f>SUM(F409:F416)</f>
        <v>#REF!</v>
      </c>
      <c r="G417" s="48" t="e">
        <f>SUM(G409:G416)</f>
        <v>#REF!</v>
      </c>
      <c r="H417" s="1"/>
      <c r="I417" s="1"/>
      <c r="J417" s="1"/>
      <c r="K417" s="1"/>
      <c r="L417" s="1"/>
      <c r="M417" s="1"/>
    </row>
    <row r="418" spans="1:13" x14ac:dyDescent="0.25">
      <c r="A418" s="19"/>
      <c r="B418" s="1"/>
      <c r="C418" s="1"/>
      <c r="D418" s="1"/>
      <c r="E418" s="1"/>
      <c r="F418" s="1"/>
      <c r="G418" s="1"/>
      <c r="H418" s="1"/>
      <c r="I418" s="1"/>
      <c r="J418" s="1"/>
      <c r="K418" s="1"/>
      <c r="L418" s="1"/>
      <c r="M418" s="1"/>
    </row>
    <row r="419" spans="1:13" x14ac:dyDescent="0.25">
      <c r="A419" s="19"/>
      <c r="B419" s="1"/>
      <c r="C419" s="1"/>
      <c r="D419" s="1"/>
      <c r="E419" s="1"/>
      <c r="F419" s="1"/>
      <c r="G419" s="1"/>
      <c r="H419" s="1"/>
      <c r="I419" s="1"/>
      <c r="J419" s="1"/>
      <c r="K419" s="1"/>
      <c r="L419" s="1"/>
      <c r="M419" s="1"/>
    </row>
    <row r="420" spans="1:13" x14ac:dyDescent="0.25">
      <c r="A420" s="19"/>
      <c r="B420" s="1"/>
      <c r="C420" s="1"/>
      <c r="D420" s="1"/>
      <c r="E420" s="1"/>
      <c r="F420" s="1"/>
      <c r="G420" s="1"/>
      <c r="H420" s="1"/>
      <c r="I420" s="1"/>
      <c r="J420" s="1"/>
      <c r="K420" s="1"/>
      <c r="L420" s="1"/>
      <c r="M420" s="1"/>
    </row>
    <row r="421" spans="1:13" x14ac:dyDescent="0.25">
      <c r="A421" s="19"/>
      <c r="B421" s="1"/>
      <c r="C421" s="1"/>
      <c r="D421" s="1"/>
      <c r="E421" s="1"/>
      <c r="F421" s="1"/>
      <c r="G421" s="1"/>
      <c r="H421" s="1"/>
      <c r="I421" s="1"/>
      <c r="J421" s="1"/>
      <c r="K421" s="1"/>
      <c r="L421" s="1"/>
      <c r="M421" s="1"/>
    </row>
    <row r="422" spans="1:13" x14ac:dyDescent="0.25">
      <c r="A422" s="19"/>
      <c r="B422" s="1"/>
      <c r="C422" s="1"/>
      <c r="D422" s="1"/>
      <c r="E422" s="1"/>
      <c r="F422" s="1"/>
      <c r="G422" s="1"/>
      <c r="H422" s="1"/>
      <c r="I422" s="1"/>
      <c r="J422" s="1"/>
      <c r="K422" s="1"/>
      <c r="L422" s="1"/>
      <c r="M422" s="1"/>
    </row>
    <row r="423" spans="1:13" x14ac:dyDescent="0.25">
      <c r="A423" s="19"/>
      <c r="B423" s="1"/>
      <c r="C423" s="1"/>
      <c r="D423" s="1"/>
      <c r="E423" s="1"/>
      <c r="F423" s="1"/>
      <c r="G423" s="1"/>
      <c r="H423" s="1"/>
      <c r="I423" s="1"/>
      <c r="J423" s="1"/>
      <c r="K423" s="1"/>
      <c r="L423" s="1"/>
      <c r="M423" s="1"/>
    </row>
    <row r="424" spans="1:13" x14ac:dyDescent="0.25">
      <c r="A424" s="19"/>
      <c r="B424" s="1"/>
      <c r="C424" s="1"/>
      <c r="D424" s="1"/>
      <c r="E424" s="1"/>
      <c r="F424" s="1"/>
      <c r="G424" s="1"/>
      <c r="H424" s="1"/>
      <c r="I424" s="1"/>
      <c r="J424" s="1"/>
      <c r="K424" s="1"/>
      <c r="L424" s="1"/>
      <c r="M424" s="1"/>
    </row>
    <row r="425" spans="1:13" x14ac:dyDescent="0.25">
      <c r="A425" s="19"/>
      <c r="B425" s="1"/>
      <c r="C425" s="1"/>
      <c r="D425" s="1"/>
      <c r="E425" s="1"/>
      <c r="F425" s="1"/>
      <c r="G425" s="1"/>
      <c r="H425" s="1"/>
      <c r="I425" s="1"/>
      <c r="J425" s="1"/>
      <c r="K425" s="1"/>
      <c r="L425" s="1"/>
      <c r="M425" s="1"/>
    </row>
    <row r="426" spans="1:13" x14ac:dyDescent="0.25">
      <c r="A426" s="19"/>
      <c r="B426" s="1"/>
      <c r="C426" s="1"/>
      <c r="D426" s="1"/>
      <c r="E426" s="1"/>
      <c r="F426" s="1"/>
      <c r="G426" s="1"/>
      <c r="H426" s="1"/>
      <c r="I426" s="1"/>
      <c r="J426" s="1"/>
      <c r="K426" s="1"/>
      <c r="L426" s="1"/>
      <c r="M426" s="1"/>
    </row>
    <row r="427" spans="1:13" x14ac:dyDescent="0.25">
      <c r="A427" s="19"/>
      <c r="B427" s="1"/>
      <c r="C427" s="1"/>
      <c r="D427" s="1"/>
      <c r="E427" s="1"/>
      <c r="F427" s="1"/>
      <c r="G427" s="1"/>
      <c r="H427" s="1"/>
      <c r="I427" s="1"/>
      <c r="J427" s="1"/>
      <c r="K427" s="1"/>
      <c r="L427" s="1"/>
      <c r="M427" s="1"/>
    </row>
    <row r="428" spans="1:13" x14ac:dyDescent="0.25">
      <c r="A428" s="19"/>
      <c r="B428" s="1"/>
      <c r="C428" s="1"/>
      <c r="D428" s="1"/>
      <c r="E428" s="1"/>
      <c r="F428" s="1"/>
      <c r="G428" s="1"/>
      <c r="H428" s="1"/>
      <c r="I428" s="1"/>
      <c r="J428" s="1"/>
      <c r="K428" s="1"/>
      <c r="L428" s="1"/>
      <c r="M428" s="1"/>
    </row>
    <row r="429" spans="1:13" x14ac:dyDescent="0.25">
      <c r="A429" s="19"/>
      <c r="B429" s="1"/>
      <c r="C429" s="1"/>
      <c r="D429" s="1"/>
      <c r="E429" s="1"/>
      <c r="F429" s="1"/>
      <c r="G429" s="1"/>
      <c r="H429" s="1"/>
      <c r="I429" s="1"/>
      <c r="J429" s="1"/>
      <c r="K429" s="1"/>
      <c r="L429" s="1"/>
      <c r="M429" s="1"/>
    </row>
    <row r="430" spans="1:13" x14ac:dyDescent="0.25">
      <c r="A430" s="19"/>
      <c r="B430" s="1"/>
      <c r="C430" s="1"/>
      <c r="D430" s="1"/>
      <c r="E430" s="1"/>
      <c r="F430" s="1"/>
      <c r="G430" s="1"/>
      <c r="H430" s="1"/>
      <c r="I430" s="1"/>
      <c r="J430" s="1"/>
      <c r="K430" s="1"/>
      <c r="L430" s="1"/>
      <c r="M430" s="1"/>
    </row>
    <row r="431" spans="1:13" x14ac:dyDescent="0.25">
      <c r="A431" s="19"/>
      <c r="B431" s="1"/>
      <c r="C431" s="1"/>
      <c r="D431" s="1"/>
      <c r="E431" s="1"/>
      <c r="F431" s="1"/>
      <c r="G431" s="1"/>
      <c r="H431" s="1"/>
      <c r="I431" s="1"/>
      <c r="J431" s="1"/>
      <c r="K431" s="1"/>
      <c r="L431" s="1"/>
      <c r="M431" s="1"/>
    </row>
    <row r="432" spans="1:13" x14ac:dyDescent="0.25">
      <c r="A432" s="19"/>
      <c r="B432" s="1"/>
      <c r="C432" s="1"/>
      <c r="D432" s="1"/>
      <c r="E432" s="1"/>
      <c r="F432" s="1"/>
      <c r="G432" s="1"/>
      <c r="H432" s="1"/>
      <c r="I432" s="1"/>
      <c r="J432" s="1"/>
      <c r="K432" s="1"/>
      <c r="L432" s="1"/>
      <c r="M432" s="1"/>
    </row>
    <row r="433" spans="1:13" x14ac:dyDescent="0.25">
      <c r="A433" s="19"/>
      <c r="B433" s="1"/>
      <c r="C433" s="1"/>
      <c r="D433" s="1"/>
      <c r="E433" s="1"/>
      <c r="F433" s="1"/>
      <c r="G433" s="1"/>
      <c r="H433" s="1"/>
      <c r="I433" s="1"/>
      <c r="J433" s="1"/>
      <c r="K433" s="1"/>
      <c r="L433" s="1"/>
      <c r="M433" s="1"/>
    </row>
    <row r="434" spans="1:13" x14ac:dyDescent="0.25">
      <c r="A434" s="19"/>
      <c r="B434" s="1"/>
      <c r="C434" s="1"/>
      <c r="D434" s="1"/>
      <c r="E434" s="1"/>
      <c r="F434" s="1"/>
      <c r="G434" s="1"/>
      <c r="H434" s="1"/>
      <c r="I434" s="1"/>
      <c r="J434" s="1"/>
      <c r="K434" s="1"/>
      <c r="L434" s="1"/>
      <c r="M434" s="1"/>
    </row>
    <row r="435" spans="1:13" x14ac:dyDescent="0.25">
      <c r="A435" s="19"/>
      <c r="B435" s="1"/>
      <c r="C435" s="1"/>
      <c r="D435" s="1"/>
      <c r="E435" s="1"/>
      <c r="F435" s="1"/>
      <c r="G435" s="1"/>
      <c r="H435" s="1"/>
      <c r="I435" s="1"/>
      <c r="J435" s="1"/>
      <c r="K435" s="1"/>
      <c r="L435" s="1"/>
      <c r="M435" s="1"/>
    </row>
    <row r="436" spans="1:13" x14ac:dyDescent="0.25">
      <c r="A436" s="19"/>
      <c r="B436" s="1"/>
      <c r="C436" s="1"/>
      <c r="D436" s="1"/>
      <c r="E436" s="1"/>
      <c r="F436" s="1"/>
      <c r="G436" s="1"/>
      <c r="H436" s="1"/>
      <c r="I436" s="1"/>
      <c r="J436" s="1"/>
      <c r="K436" s="1"/>
      <c r="L436" s="1"/>
      <c r="M436" s="1"/>
    </row>
    <row r="437" spans="1:13" x14ac:dyDescent="0.25">
      <c r="A437" s="19"/>
      <c r="B437" s="1"/>
      <c r="C437" s="1"/>
      <c r="D437" s="1"/>
      <c r="E437" s="1"/>
      <c r="F437" s="1"/>
      <c r="G437" s="1"/>
      <c r="H437" s="1"/>
      <c r="I437" s="1"/>
      <c r="J437" s="1"/>
      <c r="K437" s="1"/>
      <c r="L437" s="1"/>
      <c r="M437" s="1"/>
    </row>
    <row r="438" spans="1:13" x14ac:dyDescent="0.25">
      <c r="A438" s="19"/>
      <c r="B438" s="1"/>
      <c r="C438" s="1"/>
      <c r="D438" s="1"/>
      <c r="E438" s="1"/>
      <c r="F438" s="1"/>
      <c r="G438" s="1"/>
      <c r="H438" s="1"/>
      <c r="I438" s="1"/>
      <c r="J438" s="1"/>
      <c r="K438" s="1"/>
      <c r="L438" s="1"/>
      <c r="M438" s="1"/>
    </row>
    <row r="439" spans="1:13" x14ac:dyDescent="0.25">
      <c r="A439" s="19"/>
      <c r="B439" s="1"/>
      <c r="C439" s="1"/>
      <c r="D439" s="1"/>
      <c r="E439" s="1"/>
      <c r="F439" s="1"/>
      <c r="G439" s="1"/>
      <c r="H439" s="1"/>
      <c r="I439" s="1"/>
      <c r="J439" s="1"/>
      <c r="K439" s="1"/>
      <c r="L439" s="1"/>
      <c r="M439" s="1"/>
    </row>
    <row r="440" spans="1:13" x14ac:dyDescent="0.25">
      <c r="A440" s="19"/>
      <c r="B440" s="1"/>
      <c r="C440" s="1"/>
      <c r="D440" s="1"/>
      <c r="E440" s="1"/>
      <c r="F440" s="1"/>
      <c r="G440" s="1"/>
      <c r="H440" s="1"/>
      <c r="I440" s="1"/>
      <c r="J440" s="1"/>
      <c r="K440" s="1"/>
      <c r="L440" s="1"/>
      <c r="M440" s="1"/>
    </row>
    <row r="441" spans="1:13" x14ac:dyDescent="0.25">
      <c r="A441" s="19"/>
      <c r="B441" s="1"/>
      <c r="C441" s="1"/>
      <c r="D441" s="1"/>
      <c r="E441" s="1"/>
      <c r="F441" s="1"/>
      <c r="G441" s="1"/>
      <c r="H441" s="1"/>
      <c r="I441" s="1"/>
      <c r="J441" s="1"/>
      <c r="K441" s="1"/>
      <c r="L441" s="1"/>
      <c r="M441" s="1"/>
    </row>
    <row r="442" spans="1:13" x14ac:dyDescent="0.25">
      <c r="A442" s="19"/>
      <c r="B442" s="1"/>
      <c r="C442" s="1"/>
      <c r="D442" s="1"/>
      <c r="E442" s="1"/>
      <c r="F442" s="1"/>
      <c r="G442" s="1"/>
      <c r="H442" s="1"/>
      <c r="I442" s="1"/>
      <c r="J442" s="1"/>
      <c r="K442" s="1"/>
      <c r="L442" s="1"/>
      <c r="M442" s="1"/>
    </row>
    <row r="443" spans="1:13" x14ac:dyDescent="0.25">
      <c r="A443" s="19"/>
      <c r="B443" s="1"/>
      <c r="C443" s="1"/>
      <c r="D443" s="1"/>
      <c r="E443" s="1"/>
      <c r="F443" s="1"/>
      <c r="G443" s="1"/>
      <c r="H443" s="1"/>
      <c r="I443" s="1"/>
      <c r="J443" s="1"/>
      <c r="K443" s="1"/>
      <c r="L443" s="1"/>
      <c r="M443" s="1"/>
    </row>
    <row r="444" spans="1:13" x14ac:dyDescent="0.25">
      <c r="A444" s="19"/>
      <c r="B444" s="1"/>
      <c r="C444" s="1"/>
      <c r="D444" s="1"/>
      <c r="E444" s="1"/>
      <c r="F444" s="1"/>
      <c r="G444" s="1"/>
      <c r="H444" s="1"/>
      <c r="I444" s="1"/>
      <c r="J444" s="1"/>
      <c r="K444" s="1"/>
      <c r="L444" s="1"/>
      <c r="M444" s="1"/>
    </row>
    <row r="445" spans="1:13" x14ac:dyDescent="0.25">
      <c r="A445" s="19"/>
      <c r="B445" s="1"/>
      <c r="C445" s="1"/>
      <c r="D445" s="1"/>
      <c r="E445" s="1"/>
      <c r="F445" s="1"/>
      <c r="G445" s="1"/>
      <c r="H445" s="1"/>
      <c r="I445" s="1"/>
      <c r="J445" s="1"/>
      <c r="K445" s="1"/>
      <c r="L445" s="1"/>
      <c r="M445" s="1"/>
    </row>
    <row r="446" spans="1:13" x14ac:dyDescent="0.25">
      <c r="A446" s="19"/>
      <c r="B446" s="1"/>
      <c r="C446" s="1"/>
      <c r="D446" s="1"/>
      <c r="E446" s="1"/>
      <c r="F446" s="1"/>
      <c r="G446" s="1"/>
      <c r="H446" s="1"/>
      <c r="I446" s="1"/>
      <c r="J446" s="1"/>
      <c r="K446" s="1"/>
      <c r="L446" s="1"/>
      <c r="M446" s="1"/>
    </row>
    <row r="447" spans="1:13" x14ac:dyDescent="0.25">
      <c r="A447" s="19"/>
      <c r="B447" s="1"/>
      <c r="C447" s="1"/>
      <c r="D447" s="1"/>
      <c r="E447" s="1"/>
      <c r="F447" s="1"/>
      <c r="G447" s="1"/>
      <c r="H447" s="1"/>
      <c r="I447" s="1"/>
      <c r="J447" s="1"/>
      <c r="K447" s="1"/>
      <c r="L447" s="1"/>
      <c r="M447" s="1"/>
    </row>
    <row r="448" spans="1:13" x14ac:dyDescent="0.25">
      <c r="A448" s="19"/>
      <c r="B448" s="1"/>
      <c r="C448" s="1"/>
      <c r="D448" s="1"/>
      <c r="E448" s="1"/>
      <c r="F448" s="1"/>
      <c r="G448" s="1"/>
      <c r="H448" s="1"/>
      <c r="I448" s="1"/>
      <c r="J448" s="1"/>
      <c r="K448" s="1"/>
      <c r="L448" s="1"/>
      <c r="M448" s="1"/>
    </row>
    <row r="449" spans="1:13" x14ac:dyDescent="0.25">
      <c r="A449" s="19"/>
      <c r="B449" s="1"/>
      <c r="C449" s="1"/>
      <c r="D449" s="1"/>
      <c r="E449" s="1"/>
      <c r="F449" s="1"/>
      <c r="G449" s="1"/>
      <c r="H449" s="1"/>
      <c r="I449" s="1"/>
      <c r="J449" s="1"/>
      <c r="K449" s="1"/>
      <c r="L449" s="1"/>
      <c r="M449" s="1"/>
    </row>
    <row r="450" spans="1:13" x14ac:dyDescent="0.25">
      <c r="A450" s="50" t="s">
        <v>0</v>
      </c>
      <c r="B450" s="50"/>
      <c r="C450" s="50"/>
      <c r="D450" s="9"/>
      <c r="E450" s="9"/>
      <c r="F450" s="9"/>
      <c r="G450" s="9"/>
      <c r="H450" s="1"/>
      <c r="I450" s="1"/>
      <c r="J450" s="1"/>
      <c r="K450" s="1"/>
      <c r="L450" s="1"/>
      <c r="M450" s="1"/>
    </row>
    <row r="451" spans="1:13" x14ac:dyDescent="0.25">
      <c r="A451" s="50" t="s">
        <v>1</v>
      </c>
      <c r="B451" s="50"/>
      <c r="C451" s="50"/>
      <c r="D451" s="9"/>
      <c r="E451" s="9"/>
      <c r="F451" s="9"/>
      <c r="G451" s="9"/>
      <c r="H451" s="1"/>
      <c r="I451" s="1"/>
      <c r="J451" s="1"/>
      <c r="K451" s="1"/>
      <c r="L451" s="1"/>
      <c r="M451" s="1"/>
    </row>
    <row r="452" spans="1:13" x14ac:dyDescent="0.25">
      <c r="A452" s="50" t="s">
        <v>16</v>
      </c>
      <c r="B452" s="50"/>
      <c r="C452" s="50"/>
      <c r="D452" s="9"/>
      <c r="E452" s="9"/>
      <c r="F452" s="9"/>
      <c r="G452" s="9"/>
      <c r="H452" s="1"/>
      <c r="I452" s="1"/>
      <c r="J452" s="1"/>
      <c r="K452" s="1"/>
      <c r="L452" s="1"/>
      <c r="M452" s="1"/>
    </row>
    <row r="453" spans="1:13" x14ac:dyDescent="0.25">
      <c r="A453" s="18"/>
      <c r="B453" s="9"/>
      <c r="C453" s="9"/>
      <c r="D453" s="9"/>
      <c r="E453" s="9"/>
      <c r="F453" s="9"/>
      <c r="G453" s="9"/>
      <c r="H453" s="1"/>
      <c r="I453" s="1"/>
      <c r="J453" s="1"/>
      <c r="K453" s="1"/>
      <c r="L453" s="1"/>
      <c r="M453" s="1"/>
    </row>
    <row r="454" spans="1:13" x14ac:dyDescent="0.25">
      <c r="A454" s="643" t="s">
        <v>60</v>
      </c>
      <c r="B454" s="643"/>
      <c r="C454" s="643"/>
      <c r="D454" s="643"/>
      <c r="E454" s="643"/>
      <c r="F454" s="643"/>
      <c r="G454" s="643"/>
      <c r="H454" s="1"/>
      <c r="I454" s="1"/>
      <c r="J454" s="1"/>
      <c r="K454" s="1"/>
      <c r="L454" s="1"/>
      <c r="M454" s="1"/>
    </row>
    <row r="455" spans="1:13" x14ac:dyDescent="0.25">
      <c r="A455" s="643" t="s">
        <v>3238</v>
      </c>
      <c r="B455" s="643"/>
      <c r="C455" s="643"/>
      <c r="D455" s="643"/>
      <c r="E455" s="643"/>
      <c r="F455" s="643"/>
      <c r="G455" s="643"/>
      <c r="H455" s="1"/>
      <c r="I455" s="1"/>
      <c r="J455" s="1"/>
      <c r="K455" s="1"/>
      <c r="L455" s="1"/>
      <c r="M455" s="1"/>
    </row>
    <row r="456" spans="1:13" ht="15.75" thickBot="1" x14ac:dyDescent="0.3">
      <c r="A456" s="19"/>
      <c r="B456" s="1"/>
      <c r="C456" s="1"/>
      <c r="D456" s="1"/>
      <c r="E456" s="1"/>
      <c r="F456" s="1"/>
      <c r="G456" s="1"/>
      <c r="H456" s="1"/>
      <c r="I456" s="1"/>
      <c r="J456" s="1"/>
      <c r="K456" s="1"/>
      <c r="L456" s="1"/>
      <c r="M456" s="1"/>
    </row>
    <row r="457" spans="1:13" x14ac:dyDescent="0.25">
      <c r="A457" s="33" t="s">
        <v>55</v>
      </c>
      <c r="B457" s="53" t="s">
        <v>3</v>
      </c>
      <c r="C457" s="661" t="s">
        <v>5</v>
      </c>
      <c r="D457" s="661"/>
      <c r="E457" s="34" t="s">
        <v>56</v>
      </c>
      <c r="F457" s="34" t="s">
        <v>57</v>
      </c>
      <c r="G457" s="35" t="s">
        <v>58</v>
      </c>
      <c r="H457" s="1"/>
      <c r="I457" s="1"/>
      <c r="J457" s="1"/>
      <c r="K457" s="1"/>
      <c r="L457" s="1"/>
      <c r="M457" s="1"/>
    </row>
    <row r="458" spans="1:13" x14ac:dyDescent="0.25">
      <c r="A458" s="42"/>
      <c r="B458" s="24"/>
      <c r="C458" s="36"/>
      <c r="D458" s="39"/>
      <c r="E458" s="24"/>
      <c r="F458" s="24"/>
      <c r="G458" s="25"/>
      <c r="H458" s="1"/>
      <c r="I458" s="1"/>
      <c r="J458" s="1"/>
      <c r="K458" s="1"/>
      <c r="L458" s="1"/>
      <c r="M458" s="1"/>
    </row>
    <row r="459" spans="1:13" x14ac:dyDescent="0.25">
      <c r="A459" s="42">
        <v>1</v>
      </c>
      <c r="B459" s="59" t="s">
        <v>86</v>
      </c>
      <c r="C459" s="51" t="s">
        <v>62</v>
      </c>
      <c r="D459" s="52"/>
      <c r="E459" s="56" t="s">
        <v>74</v>
      </c>
      <c r="F459" s="28" t="e">
        <f>JP!#REF!</f>
        <v>#REF!</v>
      </c>
      <c r="G459" s="25"/>
      <c r="H459" s="1"/>
      <c r="I459" s="1"/>
      <c r="J459" s="1"/>
      <c r="K459" s="1"/>
      <c r="L459" s="1"/>
      <c r="M459" s="1"/>
    </row>
    <row r="460" spans="1:13" x14ac:dyDescent="0.25">
      <c r="A460" s="42"/>
      <c r="B460" s="54"/>
      <c r="C460" s="51" t="s">
        <v>63</v>
      </c>
      <c r="D460" s="52"/>
      <c r="E460" s="56" t="s">
        <v>74</v>
      </c>
      <c r="F460" s="28" t="e">
        <f>JP!#REF!</f>
        <v>#REF!</v>
      </c>
      <c r="G460" s="25"/>
      <c r="H460" s="1"/>
      <c r="I460" s="1"/>
      <c r="J460" s="1"/>
      <c r="K460" s="1"/>
      <c r="L460" s="1"/>
      <c r="M460" s="1"/>
    </row>
    <row r="461" spans="1:13" x14ac:dyDescent="0.25">
      <c r="A461" s="42"/>
      <c r="B461" s="54"/>
      <c r="C461" s="51" t="s">
        <v>64</v>
      </c>
      <c r="D461" s="52"/>
      <c r="E461" s="56" t="s">
        <v>74</v>
      </c>
      <c r="F461" s="28" t="e">
        <f>JP!#REF!</f>
        <v>#REF!</v>
      </c>
      <c r="G461" s="25"/>
      <c r="H461" s="1"/>
      <c r="I461" s="1"/>
      <c r="J461" s="1"/>
      <c r="K461" s="1"/>
      <c r="L461" s="1"/>
      <c r="M461" s="1"/>
    </row>
    <row r="462" spans="1:13" x14ac:dyDescent="0.25">
      <c r="A462" s="42"/>
      <c r="B462" s="24"/>
      <c r="C462" s="51"/>
      <c r="D462" s="55" t="s">
        <v>61</v>
      </c>
      <c r="E462" s="56" t="s">
        <v>74</v>
      </c>
      <c r="G462" s="28" t="e">
        <f>SUM(F459:F461)</f>
        <v>#REF!</v>
      </c>
      <c r="H462" s="1"/>
      <c r="I462" s="1"/>
      <c r="J462" s="1"/>
      <c r="K462" s="1"/>
      <c r="L462" s="1"/>
      <c r="M462" s="1"/>
    </row>
    <row r="463" spans="1:13" x14ac:dyDescent="0.25">
      <c r="A463" s="42"/>
      <c r="B463" s="24"/>
      <c r="C463" s="51"/>
      <c r="D463" s="52"/>
      <c r="E463" s="56"/>
      <c r="F463" s="28"/>
      <c r="G463" s="25"/>
      <c r="H463" s="1"/>
      <c r="I463" s="1"/>
      <c r="J463" s="1"/>
      <c r="K463" s="1"/>
      <c r="L463" s="1"/>
      <c r="M463" s="1"/>
    </row>
    <row r="464" spans="1:13" x14ac:dyDescent="0.25">
      <c r="A464" s="26"/>
      <c r="B464" s="10"/>
      <c r="C464" s="51"/>
      <c r="D464" s="40"/>
      <c r="E464" s="56"/>
      <c r="F464" s="28"/>
      <c r="G464" s="29"/>
      <c r="H464" s="1"/>
      <c r="I464" s="1"/>
      <c r="J464" s="1"/>
      <c r="K464" s="1"/>
      <c r="L464" s="1"/>
      <c r="M464" s="1"/>
    </row>
    <row r="465" spans="1:13" x14ac:dyDescent="0.25">
      <c r="A465" s="30"/>
      <c r="B465" s="31"/>
      <c r="C465" s="38"/>
      <c r="D465" s="41"/>
      <c r="E465" s="31"/>
      <c r="F465" s="31"/>
      <c r="G465" s="45"/>
      <c r="H465" s="1"/>
      <c r="I465" s="1"/>
      <c r="J465" s="1"/>
      <c r="K465" s="1"/>
      <c r="L465" s="1"/>
      <c r="M465" s="1"/>
    </row>
    <row r="466" spans="1:13" ht="15.75" thickBot="1" x14ac:dyDescent="0.3">
      <c r="A466" s="30"/>
      <c r="B466" s="31"/>
      <c r="C466" s="38"/>
      <c r="D466" s="41"/>
      <c r="E466" s="31"/>
      <c r="F466" s="31"/>
      <c r="G466" s="32"/>
      <c r="H466" s="1"/>
      <c r="I466" s="1"/>
      <c r="J466" s="1"/>
      <c r="K466" s="1"/>
      <c r="L466" s="1"/>
      <c r="M466" s="1"/>
    </row>
    <row r="467" spans="1:13" ht="15.75" thickBot="1" x14ac:dyDescent="0.3">
      <c r="A467" s="723" t="s">
        <v>15</v>
      </c>
      <c r="B467" s="724"/>
      <c r="C467" s="724"/>
      <c r="D467" s="724"/>
      <c r="E467" s="724"/>
      <c r="F467" s="48" t="e">
        <f>SUM(F459:F466)</f>
        <v>#REF!</v>
      </c>
      <c r="G467" s="48" t="e">
        <f>SUM(G459:G466)</f>
        <v>#REF!</v>
      </c>
      <c r="H467" s="1"/>
      <c r="I467" s="1"/>
      <c r="J467" s="1"/>
      <c r="K467" s="1"/>
      <c r="L467" s="1"/>
      <c r="M467" s="1"/>
    </row>
    <row r="468" spans="1:13" x14ac:dyDescent="0.25">
      <c r="A468" s="19"/>
      <c r="B468" s="1"/>
      <c r="C468" s="1"/>
      <c r="D468" s="1"/>
      <c r="E468" s="1"/>
      <c r="F468" s="1"/>
      <c r="G468" s="1"/>
      <c r="H468" s="1"/>
      <c r="I468" s="1"/>
      <c r="J468" s="1"/>
      <c r="K468" s="1"/>
      <c r="L468" s="1"/>
      <c r="M468" s="1"/>
    </row>
    <row r="469" spans="1:13" x14ac:dyDescent="0.25">
      <c r="A469" s="19"/>
      <c r="B469" s="1"/>
      <c r="C469" s="1"/>
      <c r="D469" s="1"/>
      <c r="E469" s="1"/>
      <c r="F469" s="1"/>
      <c r="G469" s="1"/>
      <c r="H469" s="1"/>
      <c r="I469" s="1"/>
      <c r="J469" s="1"/>
      <c r="K469" s="1"/>
      <c r="L469" s="1"/>
      <c r="M469" s="1"/>
    </row>
    <row r="470" spans="1:13" x14ac:dyDescent="0.25">
      <c r="A470" s="19"/>
      <c r="B470" s="1"/>
      <c r="C470" s="1"/>
      <c r="D470" s="1"/>
      <c r="E470" s="1"/>
      <c r="F470" s="1"/>
      <c r="G470" s="1"/>
      <c r="H470" s="1"/>
      <c r="I470" s="1"/>
      <c r="J470" s="1"/>
      <c r="K470" s="1"/>
      <c r="L470" s="1"/>
      <c r="M470" s="1"/>
    </row>
    <row r="471" spans="1:13" x14ac:dyDescent="0.25">
      <c r="A471" s="19"/>
      <c r="B471" s="1"/>
      <c r="C471" s="1"/>
      <c r="D471" s="1"/>
      <c r="E471" s="1"/>
      <c r="F471" s="1"/>
      <c r="G471" s="1"/>
      <c r="H471" s="1"/>
      <c r="I471" s="1"/>
      <c r="J471" s="1"/>
      <c r="K471" s="1"/>
      <c r="L471" s="1"/>
      <c r="M471" s="1"/>
    </row>
    <row r="472" spans="1:13" x14ac:dyDescent="0.25">
      <c r="A472" s="19"/>
      <c r="B472" s="1"/>
      <c r="C472" s="1"/>
      <c r="D472" s="1"/>
      <c r="E472" s="1"/>
      <c r="F472" s="1"/>
      <c r="G472" s="1"/>
      <c r="H472" s="1"/>
      <c r="I472" s="1"/>
      <c r="J472" s="1"/>
      <c r="K472" s="1"/>
      <c r="L472" s="1"/>
      <c r="M472" s="1"/>
    </row>
    <row r="473" spans="1:13" x14ac:dyDescent="0.25">
      <c r="A473" s="19"/>
      <c r="B473" s="1"/>
      <c r="C473" s="1"/>
      <c r="D473" s="1"/>
      <c r="E473" s="1"/>
      <c r="F473" s="1"/>
      <c r="G473" s="1"/>
      <c r="H473" s="1"/>
      <c r="I473" s="1"/>
      <c r="J473" s="1"/>
      <c r="K473" s="1"/>
      <c r="L473" s="1"/>
      <c r="M473" s="1"/>
    </row>
    <row r="474" spans="1:13" x14ac:dyDescent="0.25">
      <c r="A474" s="19"/>
      <c r="B474" s="1"/>
      <c r="C474" s="1"/>
      <c r="D474" s="1"/>
      <c r="E474" s="1"/>
      <c r="F474" s="1"/>
      <c r="G474" s="1"/>
      <c r="H474" s="1"/>
      <c r="I474" s="1"/>
      <c r="J474" s="1"/>
      <c r="K474" s="1"/>
      <c r="L474" s="1"/>
      <c r="M474" s="1"/>
    </row>
    <row r="475" spans="1:13" x14ac:dyDescent="0.25">
      <c r="A475" s="19"/>
      <c r="B475" s="1"/>
      <c r="C475" s="1"/>
      <c r="D475" s="1"/>
      <c r="E475" s="1"/>
      <c r="F475" s="1"/>
      <c r="G475" s="1"/>
      <c r="H475" s="1"/>
      <c r="I475" s="1"/>
      <c r="J475" s="1"/>
      <c r="K475" s="1"/>
      <c r="L475" s="1"/>
      <c r="M475" s="1"/>
    </row>
    <row r="476" spans="1:13" x14ac:dyDescent="0.25">
      <c r="A476" s="19"/>
      <c r="B476" s="1"/>
      <c r="C476" s="1"/>
      <c r="D476" s="1"/>
      <c r="E476" s="1"/>
      <c r="F476" s="1"/>
      <c r="G476" s="1"/>
      <c r="H476" s="1"/>
      <c r="I476" s="1"/>
      <c r="J476" s="1"/>
      <c r="K476" s="1"/>
      <c r="L476" s="1"/>
      <c r="M476" s="1"/>
    </row>
    <row r="477" spans="1:13" x14ac:dyDescent="0.25">
      <c r="A477" s="19"/>
      <c r="B477" s="1"/>
      <c r="C477" s="1"/>
      <c r="D477" s="1"/>
      <c r="E477" s="1"/>
      <c r="F477" s="1"/>
      <c r="G477" s="1"/>
      <c r="H477" s="1"/>
      <c r="I477" s="1"/>
      <c r="J477" s="1"/>
      <c r="K477" s="1"/>
      <c r="L477" s="1"/>
      <c r="M477" s="1"/>
    </row>
    <row r="478" spans="1:13" x14ac:dyDescent="0.25">
      <c r="A478" s="19"/>
      <c r="B478" s="1"/>
      <c r="C478" s="1"/>
      <c r="D478" s="1"/>
      <c r="E478" s="1"/>
      <c r="F478" s="1"/>
      <c r="G478" s="1"/>
      <c r="H478" s="1"/>
      <c r="I478" s="1"/>
      <c r="J478" s="1"/>
      <c r="K478" s="1"/>
      <c r="L478" s="1"/>
      <c r="M478" s="1"/>
    </row>
    <row r="479" spans="1:13" x14ac:dyDescent="0.25">
      <c r="A479" s="19"/>
      <c r="B479" s="1"/>
      <c r="C479" s="1"/>
      <c r="D479" s="1"/>
      <c r="E479" s="1"/>
      <c r="F479" s="1"/>
      <c r="G479" s="1"/>
      <c r="H479" s="1"/>
      <c r="I479" s="1"/>
      <c r="J479" s="1"/>
      <c r="K479" s="1"/>
      <c r="L479" s="1"/>
      <c r="M479" s="1"/>
    </row>
    <row r="480" spans="1:13" x14ac:dyDescent="0.25">
      <c r="A480" s="19"/>
      <c r="B480" s="1"/>
      <c r="C480" s="1"/>
      <c r="D480" s="1"/>
      <c r="E480" s="1"/>
      <c r="F480" s="1"/>
      <c r="G480" s="1"/>
      <c r="H480" s="1"/>
      <c r="I480" s="1"/>
      <c r="J480" s="1"/>
      <c r="K480" s="1"/>
      <c r="L480" s="1"/>
      <c r="M480" s="1"/>
    </row>
    <row r="481" spans="1:13" x14ac:dyDescent="0.25">
      <c r="A481" s="19"/>
      <c r="B481" s="1"/>
      <c r="C481" s="1"/>
      <c r="D481" s="1"/>
      <c r="E481" s="1"/>
      <c r="F481" s="1"/>
      <c r="G481" s="1"/>
      <c r="H481" s="1"/>
      <c r="I481" s="1"/>
      <c r="J481" s="1"/>
      <c r="K481" s="1"/>
      <c r="L481" s="1"/>
      <c r="M481" s="1"/>
    </row>
    <row r="482" spans="1:13" x14ac:dyDescent="0.25">
      <c r="A482" s="19"/>
      <c r="B482" s="1"/>
      <c r="C482" s="1"/>
      <c r="D482" s="1"/>
      <c r="E482" s="1"/>
      <c r="F482" s="1"/>
      <c r="G482" s="1"/>
      <c r="H482" s="1"/>
      <c r="I482" s="1"/>
      <c r="J482" s="1"/>
      <c r="K482" s="1"/>
      <c r="L482" s="1"/>
      <c r="M482" s="1"/>
    </row>
    <row r="483" spans="1:13" x14ac:dyDescent="0.25">
      <c r="A483" s="19"/>
      <c r="B483" s="1"/>
      <c r="C483" s="1"/>
      <c r="D483" s="1"/>
      <c r="E483" s="1"/>
      <c r="F483" s="1"/>
      <c r="G483" s="1"/>
      <c r="H483" s="1"/>
      <c r="I483" s="1"/>
      <c r="J483" s="1"/>
      <c r="K483" s="1"/>
      <c r="L483" s="1"/>
      <c r="M483" s="1"/>
    </row>
    <row r="484" spans="1:13" x14ac:dyDescent="0.25">
      <c r="A484" s="19"/>
      <c r="B484" s="1"/>
      <c r="C484" s="1"/>
      <c r="D484" s="1"/>
      <c r="E484" s="1"/>
      <c r="F484" s="1"/>
      <c r="G484" s="1"/>
      <c r="H484" s="1"/>
      <c r="I484" s="1"/>
      <c r="J484" s="1"/>
      <c r="K484" s="1"/>
      <c r="L484" s="1"/>
      <c r="M484" s="1"/>
    </row>
    <row r="485" spans="1:13" x14ac:dyDescent="0.25">
      <c r="A485" s="19"/>
      <c r="B485" s="1"/>
      <c r="C485" s="1"/>
      <c r="D485" s="1"/>
      <c r="E485" s="1"/>
      <c r="F485" s="1"/>
      <c r="G485" s="1"/>
      <c r="H485" s="1"/>
      <c r="I485" s="1"/>
      <c r="J485" s="1"/>
      <c r="K485" s="1"/>
      <c r="L485" s="1"/>
      <c r="M485" s="1"/>
    </row>
    <row r="486" spans="1:13" x14ac:dyDescent="0.25">
      <c r="A486" s="19"/>
      <c r="B486" s="1"/>
      <c r="C486" s="1"/>
      <c r="D486" s="1"/>
      <c r="E486" s="1"/>
      <c r="F486" s="1"/>
      <c r="G486" s="1"/>
      <c r="H486" s="1"/>
      <c r="I486" s="1"/>
      <c r="J486" s="1"/>
      <c r="K486" s="1"/>
      <c r="L486" s="1"/>
      <c r="M486" s="1"/>
    </row>
    <row r="487" spans="1:13" x14ac:dyDescent="0.25">
      <c r="A487" s="19"/>
      <c r="B487" s="1"/>
      <c r="C487" s="1"/>
      <c r="D487" s="1"/>
      <c r="E487" s="1"/>
      <c r="F487" s="1"/>
      <c r="G487" s="1"/>
      <c r="H487" s="1"/>
      <c r="I487" s="1"/>
      <c r="J487" s="1"/>
      <c r="K487" s="1"/>
      <c r="L487" s="1"/>
      <c r="M487" s="1"/>
    </row>
    <row r="488" spans="1:13" x14ac:dyDescent="0.25">
      <c r="A488" s="19"/>
      <c r="B488" s="1"/>
      <c r="C488" s="1"/>
      <c r="D488" s="1"/>
      <c r="E488" s="1"/>
      <c r="F488" s="1"/>
      <c r="G488" s="1"/>
      <c r="H488" s="1"/>
      <c r="I488" s="1"/>
      <c r="J488" s="1"/>
      <c r="K488" s="1"/>
      <c r="L488" s="1"/>
      <c r="M488" s="1"/>
    </row>
    <row r="489" spans="1:13" x14ac:dyDescent="0.25">
      <c r="A489" s="19"/>
      <c r="B489" s="1"/>
      <c r="C489" s="1"/>
      <c r="D489" s="1"/>
      <c r="E489" s="1"/>
      <c r="F489" s="1"/>
      <c r="G489" s="1"/>
      <c r="H489" s="1"/>
      <c r="I489" s="1"/>
      <c r="J489" s="1"/>
      <c r="K489" s="1"/>
      <c r="L489" s="1"/>
      <c r="M489" s="1"/>
    </row>
    <row r="490" spans="1:13" x14ac:dyDescent="0.25">
      <c r="A490" s="19"/>
      <c r="B490" s="1"/>
      <c r="C490" s="1"/>
      <c r="D490" s="1"/>
      <c r="E490" s="1"/>
      <c r="F490" s="1"/>
      <c r="G490" s="1"/>
      <c r="H490" s="1"/>
      <c r="I490" s="1"/>
      <c r="J490" s="1"/>
      <c r="K490" s="1"/>
      <c r="L490" s="1"/>
      <c r="M490" s="1"/>
    </row>
    <row r="491" spans="1:13" x14ac:dyDescent="0.25">
      <c r="A491" s="19"/>
      <c r="B491" s="1"/>
      <c r="C491" s="1"/>
      <c r="D491" s="1"/>
      <c r="E491" s="1"/>
      <c r="F491" s="1"/>
      <c r="G491" s="1"/>
      <c r="H491" s="1"/>
      <c r="I491" s="1"/>
      <c r="J491" s="1"/>
      <c r="K491" s="1"/>
      <c r="L491" s="1"/>
      <c r="M491" s="1"/>
    </row>
    <row r="492" spans="1:13" x14ac:dyDescent="0.25">
      <c r="A492" s="19"/>
      <c r="B492" s="1"/>
      <c r="C492" s="1"/>
      <c r="D492" s="1"/>
      <c r="E492" s="1"/>
      <c r="F492" s="1"/>
      <c r="G492" s="1"/>
      <c r="H492" s="1"/>
      <c r="I492" s="1"/>
      <c r="J492" s="1"/>
      <c r="K492" s="1"/>
      <c r="L492" s="1"/>
      <c r="M492" s="1"/>
    </row>
    <row r="493" spans="1:13" x14ac:dyDescent="0.25">
      <c r="A493" s="19"/>
      <c r="B493" s="1"/>
      <c r="C493" s="1"/>
      <c r="D493" s="1"/>
      <c r="E493" s="1"/>
      <c r="F493" s="1"/>
      <c r="G493" s="1"/>
      <c r="H493" s="1"/>
      <c r="I493" s="1"/>
      <c r="J493" s="1"/>
      <c r="K493" s="1"/>
      <c r="L493" s="1"/>
      <c r="M493" s="1"/>
    </row>
    <row r="494" spans="1:13" x14ac:dyDescent="0.25">
      <c r="A494" s="19"/>
      <c r="B494" s="1"/>
      <c r="C494" s="1"/>
      <c r="D494" s="1"/>
      <c r="E494" s="1"/>
      <c r="F494" s="1"/>
      <c r="G494" s="1"/>
      <c r="H494" s="1"/>
      <c r="I494" s="1"/>
      <c r="J494" s="1"/>
      <c r="K494" s="1"/>
      <c r="L494" s="1"/>
      <c r="M494" s="1"/>
    </row>
    <row r="495" spans="1:13" x14ac:dyDescent="0.25">
      <c r="A495" s="19"/>
      <c r="B495" s="1"/>
      <c r="C495" s="1"/>
      <c r="D495" s="1"/>
      <c r="E495" s="1"/>
      <c r="F495" s="1"/>
      <c r="G495" s="1"/>
      <c r="H495" s="1"/>
      <c r="I495" s="1"/>
      <c r="J495" s="1"/>
      <c r="K495" s="1"/>
      <c r="L495" s="1"/>
      <c r="M495" s="1"/>
    </row>
    <row r="496" spans="1:13" x14ac:dyDescent="0.25">
      <c r="A496" s="19"/>
      <c r="B496" s="1"/>
      <c r="C496" s="1"/>
      <c r="D496" s="1"/>
      <c r="E496" s="1"/>
      <c r="F496" s="1"/>
      <c r="G496" s="1"/>
      <c r="H496" s="1"/>
      <c r="I496" s="1"/>
      <c r="J496" s="1"/>
      <c r="K496" s="1"/>
      <c r="L496" s="1"/>
      <c r="M496" s="1"/>
    </row>
    <row r="497" spans="1:13" x14ac:dyDescent="0.25">
      <c r="A497" s="19"/>
      <c r="B497" s="1"/>
      <c r="C497" s="1"/>
      <c r="D497" s="1"/>
      <c r="E497" s="1"/>
      <c r="F497" s="1"/>
      <c r="G497" s="1"/>
      <c r="H497" s="1"/>
      <c r="I497" s="1"/>
      <c r="J497" s="1"/>
      <c r="K497" s="1"/>
      <c r="L497" s="1"/>
      <c r="M497" s="1"/>
    </row>
    <row r="498" spans="1:13" x14ac:dyDescent="0.25">
      <c r="A498" s="19"/>
      <c r="B498" s="1"/>
      <c r="C498" s="1"/>
      <c r="D498" s="1"/>
      <c r="E498" s="1"/>
      <c r="F498" s="1"/>
      <c r="G498" s="1"/>
      <c r="H498" s="1"/>
      <c r="I498" s="1"/>
      <c r="J498" s="1"/>
      <c r="K498" s="1"/>
      <c r="L498" s="1"/>
      <c r="M498" s="1"/>
    </row>
    <row r="499" spans="1:13" x14ac:dyDescent="0.25">
      <c r="A499" s="19"/>
      <c r="B499" s="1"/>
      <c r="C499" s="1"/>
      <c r="D499" s="1"/>
      <c r="E499" s="1"/>
      <c r="F499" s="1"/>
      <c r="G499" s="1"/>
      <c r="H499" s="1"/>
      <c r="I499" s="1"/>
      <c r="J499" s="1"/>
      <c r="K499" s="1"/>
      <c r="L499" s="1"/>
      <c r="M499" s="1"/>
    </row>
    <row r="500" spans="1:13" x14ac:dyDescent="0.25">
      <c r="A500" s="50" t="s">
        <v>0</v>
      </c>
      <c r="B500" s="50"/>
      <c r="C500" s="50"/>
      <c r="D500" s="9"/>
      <c r="E500" s="9"/>
      <c r="F500" s="9"/>
      <c r="G500" s="9"/>
      <c r="H500" s="1"/>
      <c r="I500" s="1"/>
      <c r="J500" s="1"/>
      <c r="K500" s="1"/>
      <c r="L500" s="1"/>
      <c r="M500" s="1"/>
    </row>
    <row r="501" spans="1:13" x14ac:dyDescent="0.25">
      <c r="A501" s="50" t="s">
        <v>1</v>
      </c>
      <c r="B501" s="50"/>
      <c r="C501" s="50"/>
      <c r="D501" s="9"/>
      <c r="E501" s="9"/>
      <c r="F501" s="9"/>
      <c r="G501" s="9"/>
      <c r="H501" s="1"/>
      <c r="I501" s="1"/>
      <c r="J501" s="1"/>
      <c r="K501" s="1"/>
      <c r="L501" s="1"/>
      <c r="M501" s="1"/>
    </row>
    <row r="502" spans="1:13" x14ac:dyDescent="0.25">
      <c r="A502" s="50" t="s">
        <v>16</v>
      </c>
      <c r="B502" s="50"/>
      <c r="C502" s="50"/>
      <c r="D502" s="9"/>
      <c r="E502" s="9"/>
      <c r="F502" s="9"/>
      <c r="G502" s="9"/>
      <c r="H502" s="1"/>
      <c r="I502" s="1"/>
      <c r="J502" s="1"/>
      <c r="K502" s="1"/>
      <c r="L502" s="1"/>
      <c r="M502" s="1"/>
    </row>
    <row r="503" spans="1:13" x14ac:dyDescent="0.25">
      <c r="A503" s="18"/>
      <c r="B503" s="9"/>
      <c r="C503" s="9"/>
      <c r="D503" s="9"/>
      <c r="E503" s="9"/>
      <c r="F503" s="9"/>
      <c r="G503" s="9"/>
      <c r="H503" s="1"/>
      <c r="I503" s="1"/>
      <c r="J503" s="1"/>
      <c r="K503" s="1"/>
      <c r="L503" s="1"/>
      <c r="M503" s="1"/>
    </row>
    <row r="504" spans="1:13" x14ac:dyDescent="0.25">
      <c r="A504" s="643" t="s">
        <v>60</v>
      </c>
      <c r="B504" s="643"/>
      <c r="C504" s="643"/>
      <c r="D504" s="643"/>
      <c r="E504" s="643"/>
      <c r="F504" s="643"/>
      <c r="G504" s="643"/>
      <c r="H504" s="1"/>
      <c r="I504" s="1"/>
      <c r="J504" s="1"/>
      <c r="K504" s="1"/>
      <c r="L504" s="1"/>
      <c r="M504" s="1"/>
    </row>
    <row r="505" spans="1:13" x14ac:dyDescent="0.25">
      <c r="A505" s="643" t="s">
        <v>3237</v>
      </c>
      <c r="B505" s="643"/>
      <c r="C505" s="643"/>
      <c r="D505" s="643"/>
      <c r="E505" s="643"/>
      <c r="F505" s="643"/>
      <c r="G505" s="643"/>
      <c r="H505" s="1"/>
      <c r="I505" s="1"/>
      <c r="J505" s="1"/>
      <c r="K505" s="1"/>
      <c r="L505" s="1"/>
      <c r="M505" s="1"/>
    </row>
    <row r="506" spans="1:13" ht="15.75" thickBot="1" x14ac:dyDescent="0.3">
      <c r="A506" s="19"/>
      <c r="B506" s="1"/>
      <c r="C506" s="1"/>
      <c r="D506" s="1"/>
      <c r="E506" s="1"/>
      <c r="F506" s="1"/>
      <c r="G506" s="1"/>
      <c r="H506" s="1"/>
      <c r="I506" s="1"/>
      <c r="J506" s="1"/>
      <c r="K506" s="1"/>
      <c r="L506" s="1"/>
      <c r="M506" s="1"/>
    </row>
    <row r="507" spans="1:13" x14ac:dyDescent="0.25">
      <c r="A507" s="33" t="s">
        <v>55</v>
      </c>
      <c r="B507" s="53" t="s">
        <v>3</v>
      </c>
      <c r="C507" s="661" t="s">
        <v>5</v>
      </c>
      <c r="D507" s="661"/>
      <c r="E507" s="34" t="s">
        <v>56</v>
      </c>
      <c r="F507" s="34" t="s">
        <v>57</v>
      </c>
      <c r="G507" s="35" t="s">
        <v>58</v>
      </c>
      <c r="H507" s="1"/>
      <c r="I507" s="1"/>
      <c r="J507" s="1"/>
      <c r="K507" s="1"/>
      <c r="L507" s="1"/>
      <c r="M507" s="1"/>
    </row>
    <row r="508" spans="1:13" x14ac:dyDescent="0.25">
      <c r="A508" s="42"/>
      <c r="B508" s="24"/>
      <c r="C508" s="36"/>
      <c r="D508" s="39"/>
      <c r="E508" s="24"/>
      <c r="F508" s="24"/>
      <c r="G508" s="25"/>
      <c r="H508" s="1"/>
      <c r="I508" s="1"/>
      <c r="J508" s="1"/>
      <c r="K508" s="1"/>
      <c r="L508" s="1"/>
      <c r="M508" s="1"/>
    </row>
    <row r="509" spans="1:13" x14ac:dyDescent="0.25">
      <c r="A509" s="42">
        <v>1</v>
      </c>
      <c r="B509" s="59" t="s">
        <v>87</v>
      </c>
      <c r="C509" s="51" t="s">
        <v>62</v>
      </c>
      <c r="D509" s="52"/>
      <c r="E509" s="56" t="s">
        <v>75</v>
      </c>
      <c r="F509" s="28" t="e">
        <f>JP!#REF!</f>
        <v>#REF!</v>
      </c>
      <c r="G509" s="25"/>
      <c r="H509" s="1"/>
      <c r="I509" s="1"/>
      <c r="J509" s="1"/>
      <c r="K509" s="1"/>
      <c r="L509" s="1"/>
      <c r="M509" s="1"/>
    </row>
    <row r="510" spans="1:13" x14ac:dyDescent="0.25">
      <c r="A510" s="42"/>
      <c r="B510" s="54"/>
      <c r="C510" s="51" t="s">
        <v>63</v>
      </c>
      <c r="D510" s="52"/>
      <c r="E510" s="56" t="s">
        <v>75</v>
      </c>
      <c r="F510" s="28" t="e">
        <f>JP!#REF!</f>
        <v>#REF!</v>
      </c>
      <c r="G510" s="25"/>
      <c r="H510" s="1"/>
      <c r="I510" s="1"/>
      <c r="J510" s="1"/>
      <c r="K510" s="1"/>
      <c r="L510" s="1"/>
      <c r="M510" s="1"/>
    </row>
    <row r="511" spans="1:13" x14ac:dyDescent="0.25">
      <c r="A511" s="42"/>
      <c r="B511" s="54"/>
      <c r="C511" s="51" t="s">
        <v>64</v>
      </c>
      <c r="D511" s="52"/>
      <c r="E511" s="56" t="s">
        <v>75</v>
      </c>
      <c r="F511" s="28" t="e">
        <f>JP!#REF!</f>
        <v>#REF!</v>
      </c>
      <c r="G511" s="25"/>
      <c r="H511" s="1"/>
      <c r="I511" s="1"/>
      <c r="J511" s="1"/>
      <c r="K511" s="1"/>
      <c r="L511" s="1"/>
      <c r="M511" s="1"/>
    </row>
    <row r="512" spans="1:13" x14ac:dyDescent="0.25">
      <c r="A512" s="42"/>
      <c r="B512" s="24"/>
      <c r="C512" s="51"/>
      <c r="D512" s="55" t="s">
        <v>61</v>
      </c>
      <c r="E512" s="56" t="s">
        <v>75</v>
      </c>
      <c r="G512" s="28" t="e">
        <f>SUM(F509:F511)</f>
        <v>#REF!</v>
      </c>
      <c r="H512" s="1"/>
      <c r="I512" s="1"/>
      <c r="J512" s="1"/>
      <c r="K512" s="1"/>
      <c r="L512" s="1"/>
      <c r="M512" s="1"/>
    </row>
    <row r="513" spans="1:13" ht="15.75" thickBot="1" x14ac:dyDescent="0.3">
      <c r="A513" s="30"/>
      <c r="B513" s="31"/>
      <c r="C513" s="38"/>
      <c r="D513" s="41"/>
      <c r="E513" s="31"/>
      <c r="F513" s="31"/>
      <c r="G513" s="32"/>
      <c r="H513" s="1"/>
      <c r="I513" s="1"/>
      <c r="J513" s="1"/>
      <c r="K513" s="1"/>
      <c r="L513" s="1"/>
      <c r="M513" s="1"/>
    </row>
    <row r="514" spans="1:13" ht="15.75" thickBot="1" x14ac:dyDescent="0.3">
      <c r="A514" s="723" t="s">
        <v>15</v>
      </c>
      <c r="B514" s="724"/>
      <c r="C514" s="724"/>
      <c r="D514" s="724"/>
      <c r="E514" s="724"/>
      <c r="F514" s="48" t="e">
        <f>SUM(F509:F513)</f>
        <v>#REF!</v>
      </c>
      <c r="G514" s="48" t="e">
        <f>SUM(G509:G513)</f>
        <v>#REF!</v>
      </c>
      <c r="H514" s="1"/>
      <c r="I514" s="1"/>
      <c r="J514" s="1"/>
      <c r="K514" s="1"/>
      <c r="L514" s="1"/>
      <c r="M514" s="1"/>
    </row>
    <row r="515" spans="1:13" x14ac:dyDescent="0.25">
      <c r="A515" s="19"/>
      <c r="B515" s="1"/>
      <c r="C515" s="1"/>
      <c r="D515" s="1"/>
      <c r="E515" s="1"/>
      <c r="F515" s="1"/>
      <c r="G515" s="1"/>
      <c r="H515" s="1"/>
      <c r="I515" s="1"/>
      <c r="J515" s="1"/>
      <c r="K515" s="1"/>
      <c r="L515" s="1"/>
      <c r="M515" s="1"/>
    </row>
    <row r="516" spans="1:13" x14ac:dyDescent="0.25">
      <c r="A516" s="19"/>
      <c r="B516" s="1"/>
      <c r="C516" s="1"/>
      <c r="D516" s="1"/>
      <c r="E516" s="1"/>
      <c r="F516" s="1"/>
      <c r="G516" s="1"/>
      <c r="H516" s="1"/>
      <c r="I516" s="1"/>
      <c r="J516" s="1"/>
      <c r="K516" s="1"/>
      <c r="L516" s="1"/>
      <c r="M516" s="1"/>
    </row>
    <row r="517" spans="1:13" x14ac:dyDescent="0.25">
      <c r="A517" s="19"/>
      <c r="B517" s="1"/>
      <c r="C517" s="1"/>
      <c r="D517" s="1"/>
      <c r="E517" s="1"/>
      <c r="F517" s="1"/>
      <c r="G517" s="1"/>
      <c r="H517" s="1"/>
      <c r="I517" s="1"/>
      <c r="J517" s="1"/>
      <c r="K517" s="1"/>
      <c r="L517" s="1"/>
      <c r="M517" s="1"/>
    </row>
    <row r="518" spans="1:13" x14ac:dyDescent="0.25">
      <c r="A518" s="19"/>
      <c r="B518" s="1"/>
      <c r="C518" s="1"/>
      <c r="D518" s="1"/>
      <c r="E518" s="1"/>
      <c r="F518" s="1"/>
      <c r="G518" s="1"/>
      <c r="H518" s="1"/>
      <c r="I518" s="1"/>
      <c r="J518" s="1"/>
      <c r="K518" s="1"/>
      <c r="L518" s="1"/>
      <c r="M518" s="1"/>
    </row>
    <row r="519" spans="1:13" x14ac:dyDescent="0.25">
      <c r="A519" s="19"/>
      <c r="B519" s="1"/>
      <c r="C519" s="1"/>
      <c r="D519" s="1"/>
      <c r="E519" s="1"/>
      <c r="F519" s="1"/>
      <c r="G519" s="1"/>
      <c r="H519" s="1"/>
      <c r="I519" s="1"/>
      <c r="J519" s="1"/>
      <c r="K519" s="1"/>
      <c r="L519" s="1"/>
      <c r="M519" s="1"/>
    </row>
    <row r="520" spans="1:13" x14ac:dyDescent="0.25">
      <c r="A520" s="19"/>
      <c r="B520" s="1"/>
      <c r="C520" s="1"/>
      <c r="D520" s="1"/>
      <c r="E520" s="1"/>
      <c r="F520" s="1"/>
      <c r="G520" s="1"/>
      <c r="H520" s="1"/>
      <c r="I520" s="1"/>
      <c r="J520" s="1"/>
      <c r="K520" s="1"/>
      <c r="L520" s="1"/>
      <c r="M520" s="1"/>
    </row>
    <row r="521" spans="1:13" x14ac:dyDescent="0.25">
      <c r="A521" s="19"/>
      <c r="B521" s="1"/>
      <c r="C521" s="1"/>
      <c r="D521" s="1"/>
      <c r="E521" s="1"/>
      <c r="F521" s="1"/>
      <c r="G521" s="1"/>
      <c r="H521" s="1"/>
      <c r="I521" s="1"/>
      <c r="J521" s="1"/>
      <c r="K521" s="1"/>
      <c r="L521" s="1"/>
      <c r="M521" s="1"/>
    </row>
    <row r="522" spans="1:13" x14ac:dyDescent="0.25">
      <c r="A522" s="19"/>
      <c r="B522" s="1"/>
      <c r="C522" s="1"/>
      <c r="D522" s="1"/>
      <c r="E522" s="1"/>
      <c r="F522" s="1"/>
      <c r="G522" s="1"/>
      <c r="H522" s="1"/>
      <c r="I522" s="1"/>
      <c r="J522" s="1"/>
      <c r="K522" s="1"/>
      <c r="L522" s="1"/>
      <c r="M522" s="1"/>
    </row>
    <row r="523" spans="1:13" x14ac:dyDescent="0.25">
      <c r="A523" s="19"/>
      <c r="B523" s="1"/>
      <c r="C523" s="1"/>
      <c r="D523" s="1"/>
      <c r="E523" s="1"/>
      <c r="F523" s="1"/>
      <c r="G523" s="1"/>
      <c r="H523" s="1"/>
      <c r="I523" s="1"/>
      <c r="J523" s="1"/>
      <c r="K523" s="1"/>
      <c r="L523" s="1"/>
      <c r="M523" s="1"/>
    </row>
    <row r="524" spans="1:13" x14ac:dyDescent="0.25">
      <c r="A524" s="19"/>
      <c r="B524" s="1"/>
      <c r="C524" s="1"/>
      <c r="D524" s="1"/>
      <c r="E524" s="1"/>
      <c r="F524" s="1"/>
      <c r="G524" s="1"/>
      <c r="H524" s="1"/>
      <c r="I524" s="1"/>
      <c r="J524" s="1"/>
      <c r="K524" s="1"/>
      <c r="L524" s="1"/>
      <c r="M524" s="1"/>
    </row>
    <row r="525" spans="1:13" x14ac:dyDescent="0.25">
      <c r="A525" s="19"/>
      <c r="B525" s="1"/>
      <c r="C525" s="1"/>
      <c r="D525" s="1"/>
      <c r="E525" s="1"/>
      <c r="F525" s="1"/>
      <c r="G525" s="1"/>
      <c r="H525" s="1"/>
      <c r="I525" s="1"/>
      <c r="J525" s="1"/>
      <c r="K525" s="1"/>
      <c r="L525" s="1"/>
      <c r="M525" s="1"/>
    </row>
    <row r="526" spans="1:13" x14ac:dyDescent="0.25">
      <c r="A526" s="19"/>
      <c r="B526" s="1"/>
      <c r="C526" s="1"/>
      <c r="D526" s="1"/>
      <c r="E526" s="1"/>
      <c r="F526" s="1"/>
      <c r="G526" s="1"/>
      <c r="H526" s="1"/>
      <c r="I526" s="1"/>
      <c r="J526" s="1"/>
      <c r="K526" s="1"/>
      <c r="L526" s="1"/>
      <c r="M526" s="1"/>
    </row>
    <row r="527" spans="1:13" x14ac:dyDescent="0.25">
      <c r="A527" s="19"/>
      <c r="B527" s="1"/>
      <c r="C527" s="1"/>
      <c r="D527" s="1"/>
      <c r="E527" s="1"/>
      <c r="F527" s="1"/>
      <c r="G527" s="1"/>
      <c r="H527" s="1"/>
      <c r="I527" s="1"/>
      <c r="J527" s="1"/>
      <c r="K527" s="1"/>
      <c r="L527" s="1"/>
      <c r="M527" s="1"/>
    </row>
    <row r="528" spans="1:13" x14ac:dyDescent="0.25">
      <c r="A528" s="19"/>
      <c r="B528" s="1"/>
      <c r="C528" s="1"/>
      <c r="D528" s="1"/>
      <c r="E528" s="1"/>
      <c r="F528" s="1"/>
      <c r="G528" s="1"/>
      <c r="H528" s="1"/>
      <c r="I528" s="1"/>
      <c r="J528" s="1"/>
      <c r="K528" s="1"/>
      <c r="L528" s="1"/>
      <c r="M528" s="1"/>
    </row>
    <row r="529" spans="1:13" x14ac:dyDescent="0.25">
      <c r="A529" s="19"/>
      <c r="B529" s="1"/>
      <c r="C529" s="1"/>
      <c r="D529" s="1"/>
      <c r="E529" s="1"/>
      <c r="F529" s="1"/>
      <c r="G529" s="1"/>
      <c r="H529" s="1"/>
      <c r="I529" s="1"/>
      <c r="J529" s="1"/>
      <c r="K529" s="1"/>
      <c r="L529" s="1"/>
      <c r="M529" s="1"/>
    </row>
    <row r="530" spans="1:13" x14ac:dyDescent="0.25">
      <c r="A530" s="19"/>
      <c r="B530" s="1"/>
      <c r="C530" s="1"/>
      <c r="D530" s="1"/>
      <c r="E530" s="1"/>
      <c r="F530" s="1"/>
      <c r="G530" s="1"/>
      <c r="H530" s="1"/>
      <c r="I530" s="1"/>
      <c r="J530" s="1"/>
      <c r="K530" s="1"/>
      <c r="L530" s="1"/>
      <c r="M530" s="1"/>
    </row>
    <row r="531" spans="1:13" x14ac:dyDescent="0.25">
      <c r="A531" s="19"/>
      <c r="B531" s="1"/>
      <c r="C531" s="1"/>
      <c r="D531" s="1"/>
      <c r="E531" s="1"/>
      <c r="F531" s="1"/>
      <c r="G531" s="1"/>
      <c r="H531" s="1"/>
      <c r="I531" s="1"/>
      <c r="J531" s="1"/>
      <c r="K531" s="1"/>
      <c r="L531" s="1"/>
      <c r="M531" s="1"/>
    </row>
    <row r="532" spans="1:13" x14ac:dyDescent="0.25">
      <c r="A532" s="19"/>
      <c r="B532" s="1"/>
      <c r="C532" s="1"/>
      <c r="D532" s="1"/>
      <c r="E532" s="1"/>
      <c r="F532" s="1"/>
      <c r="G532" s="1"/>
      <c r="H532" s="1"/>
      <c r="I532" s="1"/>
      <c r="J532" s="1"/>
      <c r="K532" s="1"/>
      <c r="L532" s="1"/>
      <c r="M532" s="1"/>
    </row>
    <row r="533" spans="1:13" x14ac:dyDescent="0.25">
      <c r="A533" s="19"/>
      <c r="B533" s="1"/>
      <c r="C533" s="1"/>
      <c r="D533" s="1"/>
      <c r="E533" s="1"/>
      <c r="F533" s="1"/>
      <c r="G533" s="1"/>
      <c r="H533" s="1"/>
      <c r="I533" s="1"/>
      <c r="J533" s="1"/>
      <c r="K533" s="1"/>
      <c r="L533" s="1"/>
      <c r="M533" s="1"/>
    </row>
    <row r="534" spans="1:13" x14ac:dyDescent="0.25">
      <c r="A534" s="19"/>
      <c r="B534" s="1"/>
      <c r="C534" s="1"/>
      <c r="D534" s="1"/>
      <c r="E534" s="1"/>
      <c r="F534" s="1"/>
      <c r="G534" s="1"/>
      <c r="H534" s="1"/>
      <c r="I534" s="1"/>
      <c r="J534" s="1"/>
      <c r="K534" s="1"/>
      <c r="L534" s="1"/>
      <c r="M534" s="1"/>
    </row>
    <row r="535" spans="1:13" x14ac:dyDescent="0.25">
      <c r="A535" s="19"/>
      <c r="B535" s="1"/>
      <c r="C535" s="1"/>
      <c r="D535" s="1"/>
      <c r="E535" s="1"/>
      <c r="F535" s="1"/>
      <c r="G535" s="1"/>
      <c r="H535" s="1"/>
      <c r="I535" s="1"/>
      <c r="J535" s="1"/>
      <c r="K535" s="1"/>
      <c r="L535" s="1"/>
      <c r="M535" s="1"/>
    </row>
    <row r="536" spans="1:13" x14ac:dyDescent="0.25">
      <c r="A536" s="19"/>
      <c r="B536" s="1"/>
      <c r="C536" s="1"/>
      <c r="D536" s="1"/>
      <c r="E536" s="1"/>
      <c r="F536" s="1"/>
      <c r="G536" s="1"/>
      <c r="H536" s="1"/>
      <c r="I536" s="1"/>
      <c r="J536" s="1"/>
      <c r="K536" s="1"/>
      <c r="L536" s="1"/>
      <c r="M536" s="1"/>
    </row>
    <row r="537" spans="1:13" x14ac:dyDescent="0.25">
      <c r="A537" s="19"/>
      <c r="B537" s="1"/>
      <c r="C537" s="1"/>
      <c r="D537" s="1"/>
      <c r="E537" s="1"/>
      <c r="F537" s="1"/>
      <c r="G537" s="1"/>
      <c r="H537" s="1"/>
      <c r="I537" s="1"/>
      <c r="J537" s="1"/>
      <c r="K537" s="1"/>
      <c r="L537" s="1"/>
      <c r="M537" s="1"/>
    </row>
    <row r="538" spans="1:13" x14ac:dyDescent="0.25">
      <c r="A538" s="19"/>
      <c r="B538" s="1"/>
      <c r="C538" s="1"/>
      <c r="D538" s="1"/>
      <c r="E538" s="1"/>
      <c r="F538" s="1"/>
      <c r="G538" s="1"/>
      <c r="H538" s="1"/>
      <c r="I538" s="1"/>
      <c r="J538" s="1"/>
      <c r="K538" s="1"/>
      <c r="L538" s="1"/>
      <c r="M538" s="1"/>
    </row>
    <row r="539" spans="1:13" x14ac:dyDescent="0.25">
      <c r="A539" s="19"/>
      <c r="B539" s="1"/>
      <c r="C539" s="1"/>
      <c r="D539" s="1"/>
      <c r="E539" s="1"/>
      <c r="F539" s="1"/>
      <c r="G539" s="1"/>
      <c r="H539" s="1"/>
      <c r="I539" s="1"/>
      <c r="J539" s="1"/>
      <c r="K539" s="1"/>
      <c r="L539" s="1"/>
      <c r="M539" s="1"/>
    </row>
    <row r="540" spans="1:13" x14ac:dyDescent="0.25">
      <c r="A540" s="19"/>
      <c r="B540" s="1"/>
      <c r="C540" s="1"/>
      <c r="D540" s="1"/>
      <c r="E540" s="1"/>
      <c r="F540" s="1"/>
      <c r="G540" s="1"/>
      <c r="H540" s="1"/>
      <c r="I540" s="1"/>
      <c r="J540" s="1"/>
      <c r="K540" s="1"/>
      <c r="L540" s="1"/>
      <c r="M540" s="1"/>
    </row>
    <row r="541" spans="1:13" x14ac:dyDescent="0.25">
      <c r="A541" s="19"/>
      <c r="B541" s="1"/>
      <c r="C541" s="1"/>
      <c r="D541" s="1"/>
      <c r="E541" s="1"/>
      <c r="F541" s="1"/>
      <c r="G541" s="1"/>
      <c r="H541" s="1"/>
      <c r="I541" s="1"/>
      <c r="J541" s="1"/>
      <c r="K541" s="1"/>
      <c r="L541" s="1"/>
      <c r="M541" s="1"/>
    </row>
    <row r="542" spans="1:13" x14ac:dyDescent="0.25">
      <c r="A542" s="19"/>
      <c r="B542" s="1"/>
      <c r="C542" s="1"/>
      <c r="D542" s="1"/>
      <c r="E542" s="1"/>
      <c r="F542" s="1"/>
      <c r="G542" s="1"/>
      <c r="H542" s="1"/>
      <c r="I542" s="1"/>
      <c r="J542" s="1"/>
      <c r="K542" s="1"/>
      <c r="L542" s="1"/>
      <c r="M542" s="1"/>
    </row>
    <row r="543" spans="1:13" x14ac:dyDescent="0.25">
      <c r="A543" s="19"/>
      <c r="B543" s="1"/>
      <c r="C543" s="1"/>
      <c r="D543" s="1"/>
      <c r="E543" s="1"/>
      <c r="F543" s="1"/>
      <c r="G543" s="1"/>
      <c r="H543" s="1"/>
      <c r="I543" s="1"/>
      <c r="J543" s="1"/>
      <c r="K543" s="1"/>
      <c r="L543" s="1"/>
      <c r="M543" s="1"/>
    </row>
    <row r="544" spans="1:13" x14ac:dyDescent="0.25">
      <c r="A544" s="19"/>
      <c r="B544" s="1"/>
      <c r="C544" s="1"/>
      <c r="D544" s="1"/>
      <c r="E544" s="1"/>
      <c r="F544" s="1"/>
      <c r="G544" s="1"/>
      <c r="H544" s="1"/>
      <c r="I544" s="1"/>
      <c r="J544" s="1"/>
      <c r="K544" s="1"/>
      <c r="L544" s="1"/>
      <c r="M544" s="1"/>
    </row>
    <row r="545" spans="1:13" x14ac:dyDescent="0.25">
      <c r="A545" s="19"/>
      <c r="B545" s="1"/>
      <c r="C545" s="1"/>
      <c r="D545" s="1"/>
      <c r="E545" s="1"/>
      <c r="F545" s="1"/>
      <c r="G545" s="1"/>
      <c r="H545" s="1"/>
      <c r="I545" s="1"/>
      <c r="J545" s="1"/>
      <c r="K545" s="1"/>
      <c r="L545" s="1"/>
      <c r="M545" s="1"/>
    </row>
    <row r="546" spans="1:13" x14ac:dyDescent="0.25">
      <c r="A546" s="19"/>
      <c r="B546" s="1"/>
      <c r="C546" s="1"/>
      <c r="D546" s="1"/>
      <c r="E546" s="1"/>
      <c r="F546" s="1"/>
      <c r="G546" s="1"/>
      <c r="H546" s="1"/>
      <c r="I546" s="1"/>
      <c r="J546" s="1"/>
      <c r="K546" s="1"/>
      <c r="L546" s="1"/>
      <c r="M546" s="1"/>
    </row>
    <row r="547" spans="1:13" x14ac:dyDescent="0.25">
      <c r="A547" s="19"/>
      <c r="B547" s="1"/>
      <c r="C547" s="1"/>
      <c r="D547" s="1"/>
      <c r="E547" s="1"/>
      <c r="F547" s="1"/>
      <c r="G547" s="1"/>
      <c r="H547" s="1"/>
      <c r="I547" s="1"/>
      <c r="J547" s="1"/>
      <c r="K547" s="1"/>
      <c r="L547" s="1"/>
      <c r="M547" s="1"/>
    </row>
    <row r="548" spans="1:13" x14ac:dyDescent="0.25">
      <c r="A548" s="19"/>
      <c r="B548" s="1"/>
      <c r="C548" s="1"/>
      <c r="D548" s="1"/>
      <c r="E548" s="1"/>
      <c r="F548" s="1"/>
      <c r="G548" s="1"/>
      <c r="H548" s="1"/>
      <c r="I548" s="1"/>
      <c r="J548" s="1"/>
      <c r="K548" s="1"/>
      <c r="L548" s="1"/>
      <c r="M548" s="1"/>
    </row>
    <row r="549" spans="1:13" x14ac:dyDescent="0.25">
      <c r="A549" s="19"/>
      <c r="B549" s="1"/>
      <c r="C549" s="1"/>
      <c r="D549" s="1"/>
      <c r="E549" s="1"/>
      <c r="F549" s="1"/>
      <c r="G549" s="1"/>
      <c r="H549" s="1"/>
      <c r="I549" s="1"/>
      <c r="J549" s="1"/>
      <c r="K549" s="1"/>
      <c r="L549" s="1"/>
      <c r="M549" s="1"/>
    </row>
    <row r="550" spans="1:13" x14ac:dyDescent="0.25">
      <c r="A550" s="50" t="s">
        <v>0</v>
      </c>
      <c r="B550" s="50"/>
      <c r="C550" s="50"/>
      <c r="D550" s="9"/>
      <c r="E550" s="9"/>
      <c r="F550" s="9"/>
      <c r="G550" s="9"/>
      <c r="H550" s="1"/>
      <c r="I550" s="1"/>
      <c r="J550" s="1"/>
      <c r="K550" s="1"/>
      <c r="L550" s="1"/>
      <c r="M550" s="1"/>
    </row>
    <row r="551" spans="1:13" x14ac:dyDescent="0.25">
      <c r="A551" s="50" t="s">
        <v>1</v>
      </c>
      <c r="B551" s="50"/>
      <c r="C551" s="50"/>
      <c r="D551" s="9"/>
      <c r="E551" s="9"/>
      <c r="F551" s="9"/>
      <c r="G551" s="9"/>
      <c r="H551" s="1"/>
      <c r="I551" s="1"/>
      <c r="J551" s="1"/>
      <c r="K551" s="1"/>
      <c r="L551" s="1"/>
      <c r="M551" s="1"/>
    </row>
    <row r="552" spans="1:13" x14ac:dyDescent="0.25">
      <c r="A552" s="50" t="s">
        <v>16</v>
      </c>
      <c r="B552" s="50"/>
      <c r="C552" s="50"/>
      <c r="D552" s="9"/>
      <c r="E552" s="9"/>
      <c r="F552" s="9"/>
      <c r="G552" s="9"/>
      <c r="H552" s="1"/>
      <c r="I552" s="1"/>
      <c r="J552" s="1"/>
      <c r="K552" s="1"/>
      <c r="L552" s="1"/>
      <c r="M552" s="1"/>
    </row>
    <row r="553" spans="1:13" x14ac:dyDescent="0.25">
      <c r="A553" s="18"/>
      <c r="B553" s="9"/>
      <c r="C553" s="9"/>
      <c r="D553" s="9"/>
      <c r="E553" s="9"/>
      <c r="F553" s="9"/>
      <c r="G553" s="9"/>
      <c r="H553" s="1"/>
      <c r="I553" s="1"/>
      <c r="J553" s="1"/>
      <c r="K553" s="1"/>
      <c r="L553" s="1"/>
      <c r="M553" s="1"/>
    </row>
    <row r="554" spans="1:13" x14ac:dyDescent="0.25">
      <c r="A554" s="643" t="s">
        <v>60</v>
      </c>
      <c r="B554" s="643"/>
      <c r="C554" s="643"/>
      <c r="D554" s="643"/>
      <c r="E554" s="643"/>
      <c r="F554" s="643"/>
      <c r="G554" s="643"/>
      <c r="H554" s="1"/>
      <c r="I554" s="1"/>
      <c r="J554" s="1"/>
      <c r="K554" s="1"/>
      <c r="L554" s="1"/>
      <c r="M554" s="1"/>
    </row>
    <row r="555" spans="1:13" x14ac:dyDescent="0.25">
      <c r="A555" s="643" t="s">
        <v>3236</v>
      </c>
      <c r="B555" s="643"/>
      <c r="C555" s="643"/>
      <c r="D555" s="643"/>
      <c r="E555" s="643"/>
      <c r="F555" s="643"/>
      <c r="G555" s="643"/>
      <c r="H555" s="1"/>
      <c r="I555" s="1"/>
      <c r="J555" s="1"/>
      <c r="K555" s="1"/>
      <c r="L555" s="1"/>
      <c r="M555" s="1"/>
    </row>
    <row r="556" spans="1:13" ht="15.75" thickBot="1" x14ac:dyDescent="0.3">
      <c r="A556" s="19"/>
      <c r="B556" s="1"/>
      <c r="C556" s="1"/>
      <c r="D556" s="1"/>
      <c r="E556" s="1"/>
      <c r="F556" s="1"/>
      <c r="G556" s="1"/>
      <c r="H556" s="1"/>
      <c r="I556" s="1"/>
      <c r="J556" s="1"/>
      <c r="K556" s="1"/>
      <c r="L556" s="1"/>
      <c r="M556" s="1"/>
    </row>
    <row r="557" spans="1:13" x14ac:dyDescent="0.25">
      <c r="A557" s="33" t="s">
        <v>55</v>
      </c>
      <c r="B557" s="53" t="s">
        <v>3</v>
      </c>
      <c r="C557" s="661" t="s">
        <v>5</v>
      </c>
      <c r="D557" s="661"/>
      <c r="E557" s="34" t="s">
        <v>56</v>
      </c>
      <c r="F557" s="34" t="s">
        <v>57</v>
      </c>
      <c r="G557" s="35" t="s">
        <v>58</v>
      </c>
      <c r="H557" s="1"/>
      <c r="I557" s="1"/>
      <c r="J557" s="1"/>
      <c r="K557" s="1"/>
      <c r="L557" s="1"/>
      <c r="M557" s="1"/>
    </row>
    <row r="558" spans="1:13" x14ac:dyDescent="0.25">
      <c r="A558" s="42"/>
      <c r="B558" s="24"/>
      <c r="C558" s="36"/>
      <c r="D558" s="39"/>
      <c r="E558" s="24"/>
      <c r="F558" s="24"/>
      <c r="G558" s="25"/>
      <c r="H558" s="1"/>
      <c r="I558" s="1"/>
      <c r="J558" s="1"/>
      <c r="K558" s="1"/>
      <c r="L558" s="1"/>
      <c r="M558" s="1"/>
    </row>
    <row r="559" spans="1:13" x14ac:dyDescent="0.25">
      <c r="A559" s="42">
        <v>1</v>
      </c>
      <c r="B559" s="59" t="s">
        <v>88</v>
      </c>
      <c r="C559" s="51" t="s">
        <v>62</v>
      </c>
      <c r="D559" s="52"/>
      <c r="E559" s="56" t="s">
        <v>76</v>
      </c>
      <c r="F559" s="28" t="e">
        <f>JP!#REF!</f>
        <v>#REF!</v>
      </c>
      <c r="G559" s="25"/>
      <c r="H559" s="1"/>
      <c r="I559" s="1"/>
      <c r="J559" s="1"/>
      <c r="K559" s="1"/>
      <c r="L559" s="1"/>
      <c r="M559" s="1"/>
    </row>
    <row r="560" spans="1:13" x14ac:dyDescent="0.25">
      <c r="A560" s="42"/>
      <c r="B560" s="54"/>
      <c r="C560" s="51" t="s">
        <v>63</v>
      </c>
      <c r="D560" s="52"/>
      <c r="E560" s="56" t="s">
        <v>76</v>
      </c>
      <c r="F560" s="28" t="e">
        <f>JP!#REF!</f>
        <v>#REF!</v>
      </c>
      <c r="G560" s="25"/>
      <c r="H560" s="1"/>
      <c r="I560" s="1"/>
      <c r="J560" s="1"/>
      <c r="K560" s="1"/>
      <c r="L560" s="1"/>
      <c r="M560" s="1"/>
    </row>
    <row r="561" spans="1:13" x14ac:dyDescent="0.25">
      <c r="A561" s="42"/>
      <c r="B561" s="54"/>
      <c r="C561" s="51" t="s">
        <v>64</v>
      </c>
      <c r="D561" s="52"/>
      <c r="E561" s="56" t="s">
        <v>76</v>
      </c>
      <c r="F561" s="28" t="e">
        <f>JP!#REF!</f>
        <v>#REF!</v>
      </c>
      <c r="G561" s="25"/>
      <c r="H561" s="1"/>
      <c r="I561" s="1"/>
      <c r="J561" s="1"/>
      <c r="K561" s="1"/>
      <c r="L561" s="1"/>
      <c r="M561" s="1"/>
    </row>
    <row r="562" spans="1:13" x14ac:dyDescent="0.25">
      <c r="A562" s="42"/>
      <c r="B562" s="24"/>
      <c r="C562" s="51"/>
      <c r="D562" s="55" t="s">
        <v>61</v>
      </c>
      <c r="E562" s="56" t="s">
        <v>76</v>
      </c>
      <c r="G562" s="28" t="e">
        <f>SUM(F559:F561)</f>
        <v>#REF!</v>
      </c>
      <c r="H562" s="1"/>
      <c r="I562" s="1"/>
      <c r="J562" s="1"/>
      <c r="K562" s="1"/>
      <c r="L562" s="1"/>
      <c r="M562" s="1"/>
    </row>
    <row r="563" spans="1:13" ht="15.75" thickBot="1" x14ac:dyDescent="0.3">
      <c r="A563" s="30"/>
      <c r="B563" s="31"/>
      <c r="C563" s="38"/>
      <c r="D563" s="41"/>
      <c r="E563" s="31"/>
      <c r="F563" s="31"/>
      <c r="G563" s="32"/>
      <c r="H563" s="1"/>
      <c r="I563" s="1"/>
      <c r="J563" s="1"/>
      <c r="K563" s="1"/>
      <c r="L563" s="1"/>
      <c r="M563" s="1"/>
    </row>
    <row r="564" spans="1:13" ht="15.75" thickBot="1" x14ac:dyDescent="0.3">
      <c r="A564" s="723" t="s">
        <v>15</v>
      </c>
      <c r="B564" s="724"/>
      <c r="C564" s="724"/>
      <c r="D564" s="724"/>
      <c r="E564" s="724"/>
      <c r="F564" s="48" t="e">
        <f>SUM(F559:F563)</f>
        <v>#REF!</v>
      </c>
      <c r="G564" s="48" t="e">
        <f>SUM(G559:G563)</f>
        <v>#REF!</v>
      </c>
      <c r="H564" s="1"/>
      <c r="I564" s="1"/>
      <c r="J564" s="1"/>
      <c r="K564" s="1"/>
      <c r="L564" s="1"/>
      <c r="M564" s="1"/>
    </row>
    <row r="565" spans="1:13" x14ac:dyDescent="0.25">
      <c r="A565" s="19"/>
      <c r="B565" s="1"/>
      <c r="C565" s="1"/>
      <c r="D565" s="1"/>
      <c r="E565" s="1"/>
      <c r="F565" s="1"/>
      <c r="G565" s="1"/>
      <c r="H565" s="1"/>
      <c r="I565" s="1"/>
      <c r="J565" s="1"/>
      <c r="K565" s="1"/>
      <c r="L565" s="1"/>
      <c r="M565" s="1"/>
    </row>
    <row r="566" spans="1:13" x14ac:dyDescent="0.25">
      <c r="A566" s="19"/>
      <c r="B566" s="1"/>
      <c r="C566" s="1"/>
      <c r="D566" s="1"/>
      <c r="E566" s="1"/>
      <c r="F566" s="1"/>
      <c r="G566" s="1"/>
      <c r="H566" s="1"/>
      <c r="I566" s="1"/>
      <c r="J566" s="1"/>
      <c r="K566" s="1"/>
      <c r="L566" s="1"/>
      <c r="M566" s="1"/>
    </row>
    <row r="567" spans="1:13" x14ac:dyDescent="0.25">
      <c r="A567" s="19"/>
      <c r="B567" s="1"/>
      <c r="C567" s="1"/>
      <c r="D567" s="1"/>
      <c r="E567" s="1"/>
      <c r="F567" s="1"/>
      <c r="G567" s="1"/>
      <c r="H567" s="1"/>
      <c r="I567" s="1"/>
      <c r="J567" s="1"/>
      <c r="K567" s="1"/>
      <c r="L567" s="1"/>
      <c r="M567" s="1"/>
    </row>
    <row r="568" spans="1:13" x14ac:dyDescent="0.25">
      <c r="A568" s="19"/>
      <c r="B568" s="1"/>
      <c r="C568" s="1"/>
      <c r="D568" s="1"/>
      <c r="E568" s="1"/>
      <c r="F568" s="1"/>
      <c r="G568" s="1"/>
      <c r="H568" s="1"/>
      <c r="I568" s="1"/>
      <c r="J568" s="1"/>
      <c r="K568" s="1"/>
      <c r="L568" s="1"/>
      <c r="M568" s="1"/>
    </row>
    <row r="569" spans="1:13" x14ac:dyDescent="0.25">
      <c r="A569" s="19"/>
      <c r="B569" s="1"/>
      <c r="C569" s="1"/>
      <c r="D569" s="1"/>
      <c r="E569" s="1"/>
      <c r="F569" s="1"/>
      <c r="G569" s="1"/>
      <c r="H569" s="1"/>
      <c r="I569" s="1"/>
      <c r="J569" s="1"/>
      <c r="K569" s="1"/>
      <c r="L569" s="1"/>
      <c r="M569" s="1"/>
    </row>
    <row r="570" spans="1:13" x14ac:dyDescent="0.25">
      <c r="A570" s="19"/>
      <c r="B570" s="1"/>
      <c r="C570" s="1"/>
      <c r="D570" s="1"/>
      <c r="E570" s="1"/>
      <c r="F570" s="1"/>
      <c r="G570" s="1"/>
      <c r="H570" s="1"/>
      <c r="I570" s="1"/>
      <c r="J570" s="1"/>
      <c r="K570" s="1"/>
      <c r="L570" s="1"/>
      <c r="M570" s="1"/>
    </row>
    <row r="571" spans="1:13" x14ac:dyDescent="0.25">
      <c r="A571" s="19"/>
      <c r="B571" s="1"/>
      <c r="C571" s="1"/>
      <c r="D571" s="1"/>
      <c r="E571" s="1"/>
      <c r="F571" s="1"/>
      <c r="G571" s="1"/>
      <c r="H571" s="1"/>
      <c r="I571" s="1"/>
      <c r="J571" s="1"/>
      <c r="K571" s="1"/>
      <c r="L571" s="1"/>
      <c r="M571" s="1"/>
    </row>
    <row r="572" spans="1:13" x14ac:dyDescent="0.25">
      <c r="A572" s="19"/>
      <c r="B572" s="1"/>
      <c r="C572" s="1"/>
      <c r="D572" s="1"/>
      <c r="E572" s="1"/>
      <c r="F572" s="1"/>
      <c r="G572" s="1"/>
      <c r="H572" s="1"/>
      <c r="I572" s="1"/>
      <c r="J572" s="1"/>
      <c r="K572" s="1"/>
      <c r="L572" s="1"/>
      <c r="M572" s="1"/>
    </row>
    <row r="573" spans="1:13" x14ac:dyDescent="0.25">
      <c r="A573" s="19"/>
      <c r="B573" s="1"/>
      <c r="C573" s="1"/>
      <c r="D573" s="1"/>
      <c r="E573" s="1"/>
      <c r="F573" s="1"/>
      <c r="G573" s="1"/>
      <c r="H573" s="1"/>
      <c r="I573" s="1"/>
      <c r="J573" s="1"/>
      <c r="K573" s="1"/>
      <c r="L573" s="1"/>
      <c r="M573" s="1"/>
    </row>
    <row r="574" spans="1:13" x14ac:dyDescent="0.25">
      <c r="A574" s="19"/>
      <c r="B574" s="1"/>
      <c r="C574" s="1"/>
      <c r="D574" s="1"/>
      <c r="E574" s="1"/>
      <c r="F574" s="1"/>
      <c r="G574" s="1"/>
      <c r="H574" s="1"/>
      <c r="I574" s="1"/>
      <c r="J574" s="1"/>
      <c r="K574" s="1"/>
      <c r="L574" s="1"/>
      <c r="M574" s="1"/>
    </row>
    <row r="575" spans="1:13" x14ac:dyDescent="0.25">
      <c r="A575" s="19"/>
      <c r="B575" s="1"/>
      <c r="C575" s="1"/>
      <c r="D575" s="1"/>
      <c r="E575" s="1"/>
      <c r="F575" s="1"/>
      <c r="G575" s="1"/>
      <c r="H575" s="1"/>
      <c r="I575" s="1"/>
      <c r="J575" s="1"/>
      <c r="K575" s="1"/>
      <c r="L575" s="1"/>
      <c r="M575" s="1"/>
    </row>
    <row r="576" spans="1:13" x14ac:dyDescent="0.25">
      <c r="A576" s="19"/>
      <c r="B576" s="1"/>
      <c r="C576" s="1"/>
      <c r="D576" s="1"/>
      <c r="E576" s="1"/>
      <c r="F576" s="1"/>
      <c r="G576" s="1"/>
      <c r="H576" s="1"/>
      <c r="I576" s="1"/>
      <c r="J576" s="1"/>
      <c r="K576" s="1"/>
      <c r="L576" s="1"/>
      <c r="M576" s="1"/>
    </row>
    <row r="577" spans="1:13" x14ac:dyDescent="0.25">
      <c r="A577" s="19"/>
      <c r="B577" s="1"/>
      <c r="C577" s="1"/>
      <c r="D577" s="1"/>
      <c r="E577" s="1"/>
      <c r="F577" s="1"/>
      <c r="G577" s="1"/>
      <c r="H577" s="1"/>
      <c r="I577" s="1"/>
      <c r="J577" s="1"/>
      <c r="K577" s="1"/>
      <c r="L577" s="1"/>
      <c r="M577" s="1"/>
    </row>
    <row r="578" spans="1:13" x14ac:dyDescent="0.25">
      <c r="A578" s="19"/>
      <c r="B578" s="1"/>
      <c r="C578" s="1"/>
      <c r="D578" s="1"/>
      <c r="E578" s="1"/>
      <c r="F578" s="1"/>
      <c r="G578" s="1"/>
      <c r="H578" s="1"/>
      <c r="I578" s="1"/>
      <c r="J578" s="1"/>
      <c r="K578" s="1"/>
      <c r="L578" s="1"/>
      <c r="M578" s="1"/>
    </row>
    <row r="579" spans="1:13" x14ac:dyDescent="0.25">
      <c r="A579" s="19"/>
      <c r="B579" s="1"/>
      <c r="C579" s="1"/>
      <c r="D579" s="1"/>
      <c r="E579" s="1"/>
      <c r="F579" s="1"/>
      <c r="G579" s="1"/>
      <c r="H579" s="1"/>
      <c r="I579" s="1"/>
      <c r="J579" s="1"/>
      <c r="K579" s="1"/>
      <c r="L579" s="1"/>
      <c r="M579" s="1"/>
    </row>
    <row r="580" spans="1:13" x14ac:dyDescent="0.25">
      <c r="A580" s="19"/>
      <c r="B580" s="1"/>
      <c r="C580" s="1"/>
      <c r="D580" s="1"/>
      <c r="E580" s="1"/>
      <c r="F580" s="1"/>
      <c r="G580" s="1"/>
      <c r="H580" s="1"/>
      <c r="I580" s="1"/>
      <c r="J580" s="1"/>
      <c r="K580" s="1"/>
      <c r="L580" s="1"/>
      <c r="M580" s="1"/>
    </row>
    <row r="581" spans="1:13" x14ac:dyDescent="0.25">
      <c r="A581" s="19"/>
      <c r="B581" s="1"/>
      <c r="C581" s="1"/>
      <c r="D581" s="1"/>
      <c r="E581" s="1"/>
      <c r="F581" s="1"/>
      <c r="G581" s="1"/>
      <c r="H581" s="1"/>
      <c r="I581" s="1"/>
      <c r="J581" s="1"/>
      <c r="K581" s="1"/>
      <c r="L581" s="1"/>
      <c r="M581" s="1"/>
    </row>
    <row r="582" spans="1:13" x14ac:dyDescent="0.25">
      <c r="A582" s="19"/>
      <c r="B582" s="1"/>
      <c r="C582" s="1"/>
      <c r="D582" s="1"/>
      <c r="E582" s="1"/>
      <c r="F582" s="1"/>
      <c r="G582" s="1"/>
      <c r="H582" s="1"/>
      <c r="I582" s="1"/>
      <c r="J582" s="1"/>
      <c r="K582" s="1"/>
      <c r="L582" s="1"/>
      <c r="M582" s="1"/>
    </row>
    <row r="583" spans="1:13" x14ac:dyDescent="0.25">
      <c r="A583" s="19"/>
      <c r="B583" s="1"/>
      <c r="C583" s="1"/>
      <c r="D583" s="1"/>
      <c r="E583" s="1"/>
      <c r="F583" s="1"/>
      <c r="G583" s="1"/>
      <c r="H583" s="1"/>
      <c r="I583" s="1"/>
      <c r="J583" s="1"/>
      <c r="K583" s="1"/>
      <c r="L583" s="1"/>
      <c r="M583" s="1"/>
    </row>
    <row r="584" spans="1:13" x14ac:dyDescent="0.25">
      <c r="A584" s="19"/>
      <c r="B584" s="1"/>
      <c r="C584" s="1"/>
      <c r="D584" s="1"/>
      <c r="E584" s="1"/>
      <c r="F584" s="1"/>
      <c r="G584" s="1"/>
      <c r="H584" s="1"/>
      <c r="I584" s="1"/>
      <c r="J584" s="1"/>
      <c r="K584" s="1"/>
      <c r="L584" s="1"/>
      <c r="M584" s="1"/>
    </row>
    <row r="585" spans="1:13" x14ac:dyDescent="0.25">
      <c r="A585" s="19"/>
      <c r="B585" s="1"/>
      <c r="C585" s="1"/>
      <c r="D585" s="1"/>
      <c r="E585" s="1"/>
      <c r="F585" s="1"/>
      <c r="G585" s="1"/>
      <c r="H585" s="1"/>
      <c r="I585" s="1"/>
      <c r="J585" s="1"/>
      <c r="K585" s="1"/>
      <c r="L585" s="1"/>
      <c r="M585" s="1"/>
    </row>
    <row r="586" spans="1:13" x14ac:dyDescent="0.25">
      <c r="A586" s="19"/>
      <c r="B586" s="1"/>
      <c r="C586" s="1"/>
      <c r="D586" s="1"/>
      <c r="E586" s="1"/>
      <c r="F586" s="1"/>
      <c r="G586" s="1"/>
      <c r="H586" s="1"/>
      <c r="I586" s="1"/>
      <c r="J586" s="1"/>
      <c r="K586" s="1"/>
      <c r="L586" s="1"/>
      <c r="M586" s="1"/>
    </row>
    <row r="587" spans="1:13" x14ac:dyDescent="0.25">
      <c r="A587" s="19"/>
      <c r="B587" s="1"/>
      <c r="C587" s="1"/>
      <c r="D587" s="1"/>
      <c r="E587" s="1"/>
      <c r="F587" s="1"/>
      <c r="G587" s="1"/>
      <c r="H587" s="1"/>
      <c r="I587" s="1"/>
      <c r="J587" s="1"/>
      <c r="K587" s="1"/>
      <c r="L587" s="1"/>
      <c r="M587" s="1"/>
    </row>
    <row r="588" spans="1:13" x14ac:dyDescent="0.25">
      <c r="A588" s="19"/>
      <c r="B588" s="1"/>
      <c r="C588" s="1"/>
      <c r="D588" s="1"/>
      <c r="E588" s="1"/>
      <c r="F588" s="1"/>
      <c r="G588" s="1"/>
      <c r="H588" s="1"/>
      <c r="I588" s="1"/>
      <c r="J588" s="1"/>
      <c r="K588" s="1"/>
      <c r="L588" s="1"/>
      <c r="M588" s="1"/>
    </row>
    <row r="589" spans="1:13" x14ac:dyDescent="0.25">
      <c r="A589" s="19"/>
      <c r="B589" s="1"/>
      <c r="C589" s="1"/>
      <c r="D589" s="1"/>
      <c r="E589" s="1"/>
      <c r="F589" s="1"/>
      <c r="G589" s="1"/>
      <c r="H589" s="1"/>
      <c r="I589" s="1"/>
      <c r="J589" s="1"/>
      <c r="K589" s="1"/>
      <c r="L589" s="1"/>
      <c r="M589" s="1"/>
    </row>
    <row r="590" spans="1:13" x14ac:dyDescent="0.25">
      <c r="A590" s="19"/>
      <c r="B590" s="1"/>
      <c r="C590" s="1"/>
      <c r="D590" s="1"/>
      <c r="E590" s="1"/>
      <c r="F590" s="1"/>
      <c r="G590" s="1"/>
      <c r="H590" s="1"/>
      <c r="I590" s="1"/>
      <c r="J590" s="1"/>
      <c r="K590" s="1"/>
      <c r="L590" s="1"/>
      <c r="M590" s="1"/>
    </row>
    <row r="591" spans="1:13" x14ac:dyDescent="0.25">
      <c r="A591" s="19"/>
      <c r="B591" s="1"/>
      <c r="C591" s="1"/>
      <c r="D591" s="1"/>
      <c r="E591" s="1"/>
      <c r="F591" s="1"/>
      <c r="G591" s="1"/>
      <c r="H591" s="1"/>
      <c r="I591" s="1"/>
      <c r="J591" s="1"/>
      <c r="K591" s="1"/>
      <c r="L591" s="1"/>
      <c r="M591" s="1"/>
    </row>
    <row r="592" spans="1:13" x14ac:dyDescent="0.25">
      <c r="A592" s="19"/>
      <c r="B592" s="1"/>
      <c r="C592" s="1"/>
      <c r="D592" s="1"/>
      <c r="E592" s="1"/>
      <c r="F592" s="1"/>
      <c r="G592" s="1"/>
      <c r="H592" s="1"/>
      <c r="I592" s="1"/>
      <c r="J592" s="1"/>
      <c r="K592" s="1"/>
      <c r="L592" s="1"/>
      <c r="M592" s="1"/>
    </row>
    <row r="593" spans="1:13" x14ac:dyDescent="0.25">
      <c r="A593" s="19"/>
      <c r="B593" s="1"/>
      <c r="C593" s="1"/>
      <c r="D593" s="1"/>
      <c r="E593" s="1"/>
      <c r="F593" s="1"/>
      <c r="G593" s="1"/>
      <c r="H593" s="1"/>
      <c r="I593" s="1"/>
      <c r="J593" s="1"/>
      <c r="K593" s="1"/>
      <c r="L593" s="1"/>
      <c r="M593" s="1"/>
    </row>
    <row r="594" spans="1:13" x14ac:dyDescent="0.25">
      <c r="A594" s="19"/>
      <c r="B594" s="1"/>
      <c r="C594" s="1"/>
      <c r="D594" s="1"/>
      <c r="E594" s="1"/>
      <c r="F594" s="1"/>
      <c r="G594" s="1"/>
      <c r="H594" s="1"/>
      <c r="I594" s="1"/>
      <c r="J594" s="1"/>
      <c r="K594" s="1"/>
      <c r="L594" s="1"/>
      <c r="M594" s="1"/>
    </row>
    <row r="595" spans="1:13" x14ac:dyDescent="0.25">
      <c r="A595" s="19"/>
      <c r="B595" s="1"/>
      <c r="C595" s="1"/>
      <c r="D595" s="1"/>
      <c r="E595" s="1"/>
      <c r="F595" s="1"/>
      <c r="G595" s="1"/>
      <c r="H595" s="1"/>
      <c r="I595" s="1"/>
      <c r="J595" s="1"/>
      <c r="K595" s="1"/>
      <c r="L595" s="1"/>
      <c r="M595" s="1"/>
    </row>
    <row r="596" spans="1:13" x14ac:dyDescent="0.25">
      <c r="A596" s="19"/>
      <c r="B596" s="1"/>
      <c r="C596" s="1"/>
      <c r="D596" s="1"/>
      <c r="E596" s="1"/>
      <c r="F596" s="1"/>
      <c r="G596" s="1"/>
      <c r="H596" s="1"/>
      <c r="I596" s="1"/>
      <c r="J596" s="1"/>
      <c r="K596" s="1"/>
      <c r="L596" s="1"/>
      <c r="M596" s="1"/>
    </row>
    <row r="597" spans="1:13" x14ac:dyDescent="0.25">
      <c r="A597" s="19"/>
      <c r="B597" s="1"/>
      <c r="C597" s="1"/>
      <c r="D597" s="1"/>
      <c r="E597" s="1"/>
      <c r="F597" s="1"/>
      <c r="G597" s="1"/>
      <c r="H597" s="1"/>
      <c r="I597" s="1"/>
      <c r="J597" s="1"/>
      <c r="K597" s="1"/>
      <c r="L597" s="1"/>
      <c r="M597" s="1"/>
    </row>
    <row r="598" spans="1:13" x14ac:dyDescent="0.25">
      <c r="A598" s="19"/>
      <c r="B598" s="1"/>
      <c r="C598" s="1"/>
      <c r="D598" s="1"/>
      <c r="E598" s="1"/>
      <c r="F598" s="1"/>
      <c r="G598" s="1"/>
      <c r="H598" s="1"/>
      <c r="I598" s="1"/>
      <c r="J598" s="1"/>
      <c r="K598" s="1"/>
      <c r="L598" s="1"/>
      <c r="M598" s="1"/>
    </row>
    <row r="599" spans="1:13" x14ac:dyDescent="0.25">
      <c r="A599" s="19"/>
      <c r="B599" s="1"/>
      <c r="C599" s="1"/>
      <c r="D599" s="1"/>
      <c r="E599" s="1"/>
      <c r="F599" s="1"/>
      <c r="G599" s="1"/>
      <c r="H599" s="1"/>
      <c r="I599" s="1"/>
      <c r="J599" s="1"/>
      <c r="K599" s="1"/>
      <c r="L599" s="1"/>
      <c r="M599" s="1"/>
    </row>
    <row r="600" spans="1:13" x14ac:dyDescent="0.25">
      <c r="A600" s="19"/>
      <c r="B600" s="1"/>
      <c r="C600" s="1"/>
      <c r="D600" s="1"/>
      <c r="E600" s="1"/>
      <c r="F600" s="1"/>
      <c r="G600" s="1"/>
      <c r="H600" s="1"/>
      <c r="I600" s="1"/>
      <c r="J600" s="1"/>
      <c r="K600" s="1"/>
      <c r="L600" s="1"/>
      <c r="M600" s="1"/>
    </row>
    <row r="601" spans="1:13" x14ac:dyDescent="0.25">
      <c r="A601" s="19"/>
      <c r="B601" s="1"/>
      <c r="C601" s="1"/>
      <c r="D601" s="1"/>
      <c r="E601" s="1"/>
      <c r="F601" s="1"/>
      <c r="G601" s="1"/>
      <c r="H601" s="1"/>
      <c r="I601" s="1"/>
      <c r="J601" s="1"/>
      <c r="K601" s="1"/>
      <c r="L601" s="1"/>
      <c r="M601" s="1"/>
    </row>
    <row r="602" spans="1:13" x14ac:dyDescent="0.25">
      <c r="H602" s="1"/>
      <c r="I602" s="1"/>
      <c r="J602" s="1"/>
      <c r="K602" s="1"/>
      <c r="L602" s="1"/>
      <c r="M602" s="1"/>
    </row>
    <row r="603" spans="1:13" x14ac:dyDescent="0.25">
      <c r="H603" s="1"/>
      <c r="I603" s="1"/>
      <c r="J603" s="1"/>
      <c r="K603" s="1"/>
      <c r="L603" s="1"/>
      <c r="M603" s="1"/>
    </row>
    <row r="604" spans="1:13" x14ac:dyDescent="0.25">
      <c r="H604" s="1"/>
      <c r="I604" s="1"/>
      <c r="J604" s="1"/>
      <c r="K604" s="1"/>
      <c r="L604" s="1"/>
      <c r="M604" s="1"/>
    </row>
    <row r="605" spans="1:13" x14ac:dyDescent="0.25">
      <c r="H605" s="1"/>
      <c r="I605" s="1"/>
      <c r="J605" s="1"/>
      <c r="K605" s="1"/>
      <c r="L605" s="1"/>
      <c r="M605" s="1"/>
    </row>
    <row r="606" spans="1:13" x14ac:dyDescent="0.25">
      <c r="H606" s="1"/>
      <c r="I606" s="1"/>
      <c r="J606" s="1"/>
      <c r="K606" s="1"/>
      <c r="L606" s="1"/>
      <c r="M606" s="1"/>
    </row>
  </sheetData>
  <mergeCells count="48">
    <mergeCell ref="A554:G554"/>
    <mergeCell ref="A555:G555"/>
    <mergeCell ref="C557:D557"/>
    <mergeCell ref="A564:E564"/>
    <mergeCell ref="A504:G504"/>
    <mergeCell ref="A505:G505"/>
    <mergeCell ref="C507:D507"/>
    <mergeCell ref="A514:E514"/>
    <mergeCell ref="A154:G154"/>
    <mergeCell ref="A155:G155"/>
    <mergeCell ref="C157:D157"/>
    <mergeCell ref="A166:E166"/>
    <mergeCell ref="A204:G204"/>
    <mergeCell ref="A205:G205"/>
    <mergeCell ref="C207:D207"/>
    <mergeCell ref="A216:E216"/>
    <mergeCell ref="A355:G355"/>
    <mergeCell ref="C357:D357"/>
    <mergeCell ref="A266:E266"/>
    <mergeCell ref="A304:G304"/>
    <mergeCell ref="A305:G305"/>
    <mergeCell ref="C307:D307"/>
    <mergeCell ref="A316:E316"/>
    <mergeCell ref="A354:G354"/>
    <mergeCell ref="A365:E365"/>
    <mergeCell ref="A254:G254"/>
    <mergeCell ref="A5:G5"/>
    <mergeCell ref="A6:G6"/>
    <mergeCell ref="C8:D8"/>
    <mergeCell ref="A18:E18"/>
    <mergeCell ref="A54:G54"/>
    <mergeCell ref="A55:G55"/>
    <mergeCell ref="A104:G104"/>
    <mergeCell ref="A105:G105"/>
    <mergeCell ref="C107:D107"/>
    <mergeCell ref="A117:E117"/>
    <mergeCell ref="C57:D57"/>
    <mergeCell ref="A66:E66"/>
    <mergeCell ref="A255:G255"/>
    <mergeCell ref="C257:D257"/>
    <mergeCell ref="A454:G454"/>
    <mergeCell ref="A455:G455"/>
    <mergeCell ref="C457:D457"/>
    <mergeCell ref="A467:E467"/>
    <mergeCell ref="A404:G404"/>
    <mergeCell ref="A405:G405"/>
    <mergeCell ref="C407:D407"/>
    <mergeCell ref="A417:E417"/>
  </mergeCells>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F0000"/>
  </sheetPr>
  <dimension ref="A1:Q48"/>
  <sheetViews>
    <sheetView view="pageLayout" topLeftCell="D7" workbookViewId="0">
      <selection activeCell="C11" sqref="C11"/>
    </sheetView>
  </sheetViews>
  <sheetFormatPr defaultRowHeight="15" x14ac:dyDescent="0.25"/>
  <cols>
    <col min="2" max="2" width="5.7109375" customWidth="1"/>
    <col min="3" max="3" width="17.42578125" customWidth="1"/>
    <col min="5" max="5" width="8.7109375" customWidth="1"/>
  </cols>
  <sheetData>
    <row r="1" spans="1:17" x14ac:dyDescent="0.25">
      <c r="A1" s="9" t="s">
        <v>0</v>
      </c>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677" t="s">
        <v>17</v>
      </c>
      <c r="B3" s="677"/>
      <c r="C3" s="677"/>
      <c r="D3" s="677"/>
      <c r="E3" s="677"/>
      <c r="F3" s="677"/>
      <c r="G3" s="677"/>
      <c r="H3" s="677"/>
      <c r="I3" s="677"/>
      <c r="J3" s="677"/>
      <c r="K3" s="677"/>
      <c r="L3" s="677"/>
      <c r="M3" s="677"/>
      <c r="N3" s="677"/>
      <c r="O3" s="677"/>
      <c r="P3" s="677"/>
      <c r="Q3" s="677"/>
    </row>
    <row r="4" spans="1:17" x14ac:dyDescent="0.25">
      <c r="A4" s="677" t="s">
        <v>2</v>
      </c>
      <c r="B4" s="677"/>
      <c r="C4" s="677"/>
      <c r="D4" s="677"/>
      <c r="E4" s="677"/>
      <c r="F4" s="677"/>
      <c r="G4" s="677"/>
      <c r="H4" s="677"/>
      <c r="I4" s="677"/>
      <c r="J4" s="677"/>
      <c r="K4" s="677"/>
      <c r="L4" s="677"/>
      <c r="M4" s="677"/>
      <c r="N4" s="677"/>
      <c r="O4" s="677"/>
      <c r="P4" s="677"/>
      <c r="Q4" s="677"/>
    </row>
    <row r="5" spans="1:17" ht="15.75" thickBot="1" x14ac:dyDescent="0.3">
      <c r="A5" s="1"/>
      <c r="B5" s="1"/>
      <c r="C5" s="1"/>
      <c r="D5" s="1"/>
      <c r="E5" s="1"/>
      <c r="F5" s="1"/>
      <c r="G5" s="1"/>
      <c r="H5" s="1"/>
      <c r="I5" s="1"/>
      <c r="J5" s="1"/>
      <c r="K5" s="1"/>
      <c r="L5" s="1"/>
      <c r="M5" s="1"/>
      <c r="N5" s="1"/>
      <c r="O5" s="1"/>
      <c r="P5" s="1"/>
      <c r="Q5" s="1"/>
    </row>
    <row r="6" spans="1:17" x14ac:dyDescent="0.25">
      <c r="A6" s="737" t="s">
        <v>18</v>
      </c>
      <c r="B6" s="738"/>
      <c r="C6" s="739" t="s">
        <v>13</v>
      </c>
      <c r="D6" s="738" t="s">
        <v>19</v>
      </c>
      <c r="E6" s="738"/>
      <c r="F6" s="738" t="s">
        <v>14</v>
      </c>
      <c r="G6" s="738"/>
      <c r="H6" s="738" t="s">
        <v>20</v>
      </c>
      <c r="I6" s="738"/>
      <c r="J6" s="738"/>
      <c r="K6" s="738"/>
      <c r="L6" s="738"/>
      <c r="M6" s="738"/>
      <c r="N6" s="738"/>
      <c r="O6" s="738"/>
      <c r="P6" s="738"/>
      <c r="Q6" s="740"/>
    </row>
    <row r="7" spans="1:17" x14ac:dyDescent="0.25">
      <c r="A7" s="741" t="s">
        <v>12</v>
      </c>
      <c r="B7" s="733" t="s">
        <v>21</v>
      </c>
      <c r="C7" s="733"/>
      <c r="D7" s="733" t="s">
        <v>12</v>
      </c>
      <c r="E7" s="733" t="s">
        <v>22</v>
      </c>
      <c r="F7" s="731" t="s">
        <v>23</v>
      </c>
      <c r="G7" s="731"/>
      <c r="H7" s="6" t="s">
        <v>24</v>
      </c>
      <c r="I7" s="6" t="s">
        <v>25</v>
      </c>
      <c r="J7" s="6" t="s">
        <v>26</v>
      </c>
      <c r="K7" s="6" t="s">
        <v>27</v>
      </c>
      <c r="L7" s="6" t="s">
        <v>27</v>
      </c>
      <c r="M7" s="6" t="s">
        <v>27</v>
      </c>
      <c r="N7" s="731" t="s">
        <v>28</v>
      </c>
      <c r="O7" s="731"/>
      <c r="P7" s="731" t="s">
        <v>29</v>
      </c>
      <c r="Q7" s="732"/>
    </row>
    <row r="8" spans="1:17" x14ac:dyDescent="0.25">
      <c r="A8" s="741"/>
      <c r="B8" s="733"/>
      <c r="C8" s="733"/>
      <c r="D8" s="733"/>
      <c r="E8" s="733"/>
      <c r="F8" s="10" t="s">
        <v>30</v>
      </c>
      <c r="G8" s="10" t="s">
        <v>31</v>
      </c>
      <c r="H8" s="10" t="s">
        <v>32</v>
      </c>
      <c r="I8" s="10" t="s">
        <v>33</v>
      </c>
      <c r="J8" s="10" t="s">
        <v>34</v>
      </c>
      <c r="K8" s="10" t="s">
        <v>35</v>
      </c>
      <c r="L8" s="10" t="s">
        <v>36</v>
      </c>
      <c r="M8" s="10" t="s">
        <v>37</v>
      </c>
      <c r="N8" s="10" t="s">
        <v>38</v>
      </c>
      <c r="O8" s="10" t="s">
        <v>39</v>
      </c>
      <c r="P8" s="733" t="s">
        <v>40</v>
      </c>
      <c r="Q8" s="735" t="s">
        <v>15</v>
      </c>
    </row>
    <row r="9" spans="1:17" ht="15.75" thickBot="1" x14ac:dyDescent="0.3">
      <c r="A9" s="742"/>
      <c r="B9" s="734"/>
      <c r="C9" s="734"/>
      <c r="D9" s="734"/>
      <c r="E9" s="734"/>
      <c r="F9" s="11" t="s">
        <v>41</v>
      </c>
      <c r="G9" s="11" t="s">
        <v>42</v>
      </c>
      <c r="H9" s="11" t="s">
        <v>43</v>
      </c>
      <c r="I9" s="11" t="s">
        <v>44</v>
      </c>
      <c r="J9" s="11" t="s">
        <v>45</v>
      </c>
      <c r="K9" s="11" t="s">
        <v>46</v>
      </c>
      <c r="L9" s="11" t="s">
        <v>47</v>
      </c>
      <c r="M9" s="11" t="s">
        <v>48</v>
      </c>
      <c r="N9" s="11" t="s">
        <v>49</v>
      </c>
      <c r="O9" s="11" t="s">
        <v>50</v>
      </c>
      <c r="P9" s="734"/>
      <c r="Q9" s="736"/>
    </row>
    <row r="10" spans="1:17" x14ac:dyDescent="0.25">
      <c r="A10" s="12"/>
      <c r="B10" s="4"/>
      <c r="C10" s="4"/>
      <c r="D10" s="4"/>
      <c r="E10" s="4"/>
      <c r="F10" s="4"/>
      <c r="G10" s="4"/>
      <c r="H10" s="4"/>
      <c r="I10" s="4"/>
      <c r="J10" s="4"/>
      <c r="K10" s="4"/>
      <c r="L10" s="4"/>
      <c r="M10" s="4"/>
      <c r="N10" s="4"/>
      <c r="O10" s="4"/>
      <c r="P10" s="4"/>
      <c r="Q10" s="13"/>
    </row>
    <row r="11" spans="1:17" x14ac:dyDescent="0.25">
      <c r="A11" s="14"/>
      <c r="B11" s="5"/>
      <c r="C11" s="5"/>
      <c r="D11" s="5"/>
      <c r="E11" s="5"/>
      <c r="F11" s="5"/>
      <c r="G11" s="5"/>
      <c r="H11" s="5"/>
      <c r="I11" s="5"/>
      <c r="J11" s="5"/>
      <c r="K11" s="5"/>
      <c r="L11" s="5"/>
      <c r="M11" s="5"/>
      <c r="N11" s="5"/>
      <c r="O11" s="5"/>
      <c r="P11" s="5"/>
      <c r="Q11" s="15"/>
    </row>
    <row r="12" spans="1:17" x14ac:dyDescent="0.25">
      <c r="A12" s="14"/>
      <c r="B12" s="5"/>
      <c r="C12" s="5"/>
      <c r="D12" s="5"/>
      <c r="E12" s="5"/>
      <c r="F12" s="5"/>
      <c r="G12" s="5"/>
      <c r="H12" s="5"/>
      <c r="I12" s="5"/>
      <c r="J12" s="5"/>
      <c r="K12" s="5"/>
      <c r="L12" s="5"/>
      <c r="M12" s="5"/>
      <c r="N12" s="5"/>
      <c r="O12" s="5"/>
      <c r="P12" s="5"/>
      <c r="Q12" s="15"/>
    </row>
    <row r="13" spans="1:17" x14ac:dyDescent="0.25">
      <c r="A13" s="14"/>
      <c r="B13" s="5"/>
      <c r="C13" s="5"/>
      <c r="D13" s="5"/>
      <c r="E13" s="5"/>
      <c r="F13" s="5"/>
      <c r="G13" s="5"/>
      <c r="H13" s="5"/>
      <c r="I13" s="5"/>
      <c r="J13" s="5"/>
      <c r="K13" s="5"/>
      <c r="L13" s="5"/>
      <c r="M13" s="5"/>
      <c r="N13" s="5"/>
      <c r="O13" s="5"/>
      <c r="P13" s="5"/>
      <c r="Q13" s="15"/>
    </row>
    <row r="14" spans="1:17" x14ac:dyDescent="0.25">
      <c r="A14" s="14"/>
      <c r="B14" s="5"/>
      <c r="C14" s="5"/>
      <c r="D14" s="5"/>
      <c r="E14" s="5"/>
      <c r="F14" s="5"/>
      <c r="G14" s="5"/>
      <c r="H14" s="5"/>
      <c r="I14" s="5"/>
      <c r="J14" s="5"/>
      <c r="K14" s="5"/>
      <c r="L14" s="5"/>
      <c r="M14" s="5"/>
      <c r="N14" s="5"/>
      <c r="O14" s="5"/>
      <c r="P14" s="5"/>
      <c r="Q14" s="15"/>
    </row>
    <row r="15" spans="1:17" x14ac:dyDescent="0.25">
      <c r="A15" s="14"/>
      <c r="B15" s="5"/>
      <c r="C15" s="5"/>
      <c r="D15" s="5"/>
      <c r="E15" s="5"/>
      <c r="F15" s="5"/>
      <c r="G15" s="5"/>
      <c r="H15" s="5"/>
      <c r="I15" s="5"/>
      <c r="J15" s="5"/>
      <c r="K15" s="5"/>
      <c r="L15" s="5"/>
      <c r="M15" s="5"/>
      <c r="N15" s="5"/>
      <c r="O15" s="5"/>
      <c r="P15" s="5"/>
      <c r="Q15" s="15"/>
    </row>
    <row r="16" spans="1:17" x14ac:dyDescent="0.25">
      <c r="A16" s="14"/>
      <c r="B16" s="5"/>
      <c r="C16" s="5"/>
      <c r="D16" s="5"/>
      <c r="E16" s="5"/>
      <c r="F16" s="5"/>
      <c r="G16" s="5"/>
      <c r="H16" s="5"/>
      <c r="I16" s="5"/>
      <c r="J16" s="5"/>
      <c r="K16" s="5"/>
      <c r="L16" s="5"/>
      <c r="M16" s="5"/>
      <c r="N16" s="5"/>
      <c r="O16" s="5"/>
      <c r="P16" s="5"/>
      <c r="Q16" s="15"/>
    </row>
    <row r="17" spans="1:17" x14ac:dyDescent="0.25">
      <c r="A17" s="14"/>
      <c r="B17" s="5"/>
      <c r="C17" s="5"/>
      <c r="D17" s="5"/>
      <c r="E17" s="5"/>
      <c r="F17" s="5"/>
      <c r="G17" s="5"/>
      <c r="H17" s="5"/>
      <c r="I17" s="5"/>
      <c r="J17" s="5"/>
      <c r="K17" s="5"/>
      <c r="L17" s="5"/>
      <c r="M17" s="5"/>
      <c r="N17" s="5"/>
      <c r="O17" s="5"/>
      <c r="P17" s="5"/>
      <c r="Q17" s="15"/>
    </row>
    <row r="18" spans="1:17" x14ac:dyDescent="0.25">
      <c r="A18" s="14"/>
      <c r="B18" s="5"/>
      <c r="C18" s="5"/>
      <c r="D18" s="5"/>
      <c r="E18" s="5"/>
      <c r="F18" s="5"/>
      <c r="G18" s="5"/>
      <c r="H18" s="5"/>
      <c r="I18" s="5"/>
      <c r="J18" s="5"/>
      <c r="K18" s="5"/>
      <c r="L18" s="5"/>
      <c r="M18" s="5"/>
      <c r="N18" s="5"/>
      <c r="O18" s="5"/>
      <c r="P18" s="5"/>
      <c r="Q18" s="15"/>
    </row>
    <row r="19" spans="1:17" x14ac:dyDescent="0.25">
      <c r="A19" s="14"/>
      <c r="B19" s="5"/>
      <c r="C19" s="5"/>
      <c r="D19" s="5"/>
      <c r="E19" s="5"/>
      <c r="F19" s="5"/>
      <c r="G19" s="5"/>
      <c r="H19" s="5"/>
      <c r="I19" s="5"/>
      <c r="J19" s="5"/>
      <c r="K19" s="5"/>
      <c r="L19" s="5"/>
      <c r="M19" s="5"/>
      <c r="N19" s="5"/>
      <c r="O19" s="5"/>
      <c r="P19" s="5"/>
      <c r="Q19" s="15"/>
    </row>
    <row r="20" spans="1:17" x14ac:dyDescent="0.25">
      <c r="A20" s="14"/>
      <c r="B20" s="5"/>
      <c r="C20" s="5"/>
      <c r="D20" s="5"/>
      <c r="E20" s="5"/>
      <c r="F20" s="5"/>
      <c r="G20" s="5"/>
      <c r="H20" s="5"/>
      <c r="I20" s="5"/>
      <c r="J20" s="5"/>
      <c r="K20" s="5"/>
      <c r="L20" s="5"/>
      <c r="M20" s="5"/>
      <c r="N20" s="5"/>
      <c r="O20" s="5"/>
      <c r="P20" s="5"/>
      <c r="Q20" s="15"/>
    </row>
    <row r="21" spans="1:17" x14ac:dyDescent="0.25">
      <c r="A21" s="14"/>
      <c r="B21" s="5"/>
      <c r="C21" s="5"/>
      <c r="D21" s="5"/>
      <c r="E21" s="5"/>
      <c r="F21" s="5"/>
      <c r="G21" s="5"/>
      <c r="H21" s="5"/>
      <c r="I21" s="5"/>
      <c r="J21" s="5"/>
      <c r="K21" s="5"/>
      <c r="L21" s="5"/>
      <c r="M21" s="5"/>
      <c r="N21" s="5"/>
      <c r="O21" s="5"/>
      <c r="P21" s="5"/>
      <c r="Q21" s="15"/>
    </row>
    <row r="22" spans="1:17" x14ac:dyDescent="0.25">
      <c r="A22" s="14"/>
      <c r="B22" s="5"/>
      <c r="C22" s="5"/>
      <c r="D22" s="5"/>
      <c r="E22" s="5"/>
      <c r="F22" s="5"/>
      <c r="G22" s="5"/>
      <c r="H22" s="5"/>
      <c r="I22" s="5"/>
      <c r="J22" s="5"/>
      <c r="K22" s="5"/>
      <c r="L22" s="5"/>
      <c r="M22" s="5"/>
      <c r="N22" s="5"/>
      <c r="O22" s="5"/>
      <c r="P22" s="5"/>
      <c r="Q22" s="15"/>
    </row>
    <row r="23" spans="1:17" x14ac:dyDescent="0.25">
      <c r="A23" s="14"/>
      <c r="B23" s="5"/>
      <c r="C23" s="5"/>
      <c r="D23" s="5"/>
      <c r="E23" s="5"/>
      <c r="F23" s="5"/>
      <c r="G23" s="5"/>
      <c r="H23" s="5"/>
      <c r="I23" s="5"/>
      <c r="J23" s="5"/>
      <c r="K23" s="5"/>
      <c r="L23" s="5"/>
      <c r="M23" s="5"/>
      <c r="N23" s="5"/>
      <c r="O23" s="5"/>
      <c r="P23" s="5"/>
      <c r="Q23" s="15"/>
    </row>
    <row r="24" spans="1:17" x14ac:dyDescent="0.25">
      <c r="A24" s="14"/>
      <c r="B24" s="5"/>
      <c r="C24" s="5"/>
      <c r="D24" s="5"/>
      <c r="E24" s="5"/>
      <c r="F24" s="5"/>
      <c r="G24" s="5"/>
      <c r="H24" s="5"/>
      <c r="I24" s="5"/>
      <c r="J24" s="5"/>
      <c r="K24" s="5"/>
      <c r="L24" s="5"/>
      <c r="M24" s="5"/>
      <c r="N24" s="5"/>
      <c r="O24" s="5"/>
      <c r="P24" s="5"/>
      <c r="Q24" s="15"/>
    </row>
    <row r="25" spans="1:17" x14ac:dyDescent="0.25">
      <c r="A25" s="14"/>
      <c r="B25" s="5"/>
      <c r="C25" s="5"/>
      <c r="D25" s="5"/>
      <c r="E25" s="5"/>
      <c r="F25" s="5"/>
      <c r="G25" s="5"/>
      <c r="H25" s="5"/>
      <c r="I25" s="5"/>
      <c r="J25" s="5"/>
      <c r="K25" s="5"/>
      <c r="L25" s="5"/>
      <c r="M25" s="5"/>
      <c r="N25" s="5"/>
      <c r="O25" s="5"/>
      <c r="P25" s="5"/>
      <c r="Q25" s="15"/>
    </row>
    <row r="26" spans="1:17" x14ac:dyDescent="0.25">
      <c r="A26" s="14"/>
      <c r="B26" s="5"/>
      <c r="C26" s="5"/>
      <c r="D26" s="5"/>
      <c r="E26" s="5"/>
      <c r="F26" s="5"/>
      <c r="G26" s="5"/>
      <c r="H26" s="5"/>
      <c r="I26" s="5"/>
      <c r="J26" s="5"/>
      <c r="K26" s="5"/>
      <c r="L26" s="5"/>
      <c r="M26" s="5"/>
      <c r="N26" s="5"/>
      <c r="O26" s="5"/>
      <c r="P26" s="5"/>
      <c r="Q26" s="15"/>
    </row>
    <row r="27" spans="1:17" ht="15.75" thickBot="1" x14ac:dyDescent="0.3">
      <c r="A27" s="8"/>
      <c r="B27" s="7"/>
      <c r="C27" s="7"/>
      <c r="D27" s="7"/>
      <c r="E27" s="7"/>
      <c r="F27" s="7"/>
      <c r="G27" s="7"/>
      <c r="H27" s="7"/>
      <c r="I27" s="7"/>
      <c r="J27" s="7"/>
      <c r="K27" s="7"/>
      <c r="L27" s="7"/>
      <c r="M27" s="7"/>
      <c r="N27" s="7"/>
      <c r="O27" s="7"/>
      <c r="P27" s="7"/>
      <c r="Q27" s="16"/>
    </row>
    <row r="28" spans="1:17" x14ac:dyDescent="0.25">
      <c r="A28" s="1"/>
      <c r="B28" s="1"/>
      <c r="C28" s="1"/>
      <c r="D28" s="1"/>
      <c r="E28" s="1"/>
      <c r="F28" s="1"/>
      <c r="G28" s="1"/>
      <c r="H28" s="1"/>
      <c r="I28" s="1"/>
      <c r="J28" s="1"/>
      <c r="K28" s="1"/>
      <c r="L28" s="1"/>
      <c r="M28" s="1"/>
      <c r="N28" s="1"/>
      <c r="O28" s="1"/>
      <c r="P28" s="1"/>
      <c r="Q28" s="1"/>
    </row>
    <row r="29" spans="1:17" x14ac:dyDescent="0.25">
      <c r="A29" s="1"/>
      <c r="B29" s="1"/>
      <c r="C29" s="1"/>
      <c r="D29" s="1"/>
      <c r="E29" s="1"/>
      <c r="F29" s="1"/>
      <c r="G29" s="1"/>
      <c r="H29" s="1"/>
      <c r="I29" s="1"/>
      <c r="J29" s="1"/>
      <c r="K29" s="1"/>
      <c r="L29" s="1"/>
      <c r="M29" s="1"/>
      <c r="N29" s="1"/>
      <c r="O29" s="1"/>
      <c r="P29" s="1"/>
      <c r="Q29" s="1"/>
    </row>
    <row r="30" spans="1:17" x14ac:dyDescent="0.25">
      <c r="A30" s="1"/>
      <c r="B30" s="1"/>
      <c r="C30" s="1"/>
      <c r="D30" s="1"/>
      <c r="E30" s="1"/>
      <c r="F30" s="1"/>
      <c r="G30" s="1"/>
      <c r="H30" s="1"/>
      <c r="I30" s="1"/>
      <c r="J30" s="1"/>
      <c r="K30" s="1"/>
      <c r="L30" s="1"/>
      <c r="M30" s="1"/>
      <c r="N30" s="1"/>
      <c r="O30" s="1"/>
      <c r="P30" s="1"/>
      <c r="Q30" s="1"/>
    </row>
    <row r="31" spans="1:17" x14ac:dyDescent="0.25">
      <c r="A31" s="1"/>
      <c r="B31" s="1"/>
      <c r="C31" s="1"/>
      <c r="D31" s="1"/>
      <c r="E31" s="1"/>
      <c r="F31" s="1"/>
      <c r="G31" s="1"/>
      <c r="H31" s="1"/>
      <c r="I31" s="1"/>
      <c r="J31" s="1"/>
      <c r="K31" s="1"/>
      <c r="L31" s="1"/>
      <c r="M31" s="1"/>
      <c r="N31" s="1"/>
      <c r="O31" s="1"/>
      <c r="P31" s="1"/>
      <c r="Q31" s="1"/>
    </row>
    <row r="32" spans="1:17" x14ac:dyDescent="0.25">
      <c r="A32" s="1"/>
      <c r="B32" s="1"/>
      <c r="C32" s="1"/>
      <c r="D32" s="1"/>
      <c r="E32" s="1"/>
      <c r="F32" s="1"/>
      <c r="G32" s="1"/>
      <c r="H32" s="1"/>
      <c r="I32" s="1"/>
      <c r="J32" s="1"/>
      <c r="K32" s="1"/>
      <c r="L32" s="1"/>
      <c r="M32" s="1"/>
      <c r="N32" s="1"/>
      <c r="O32" s="1"/>
      <c r="P32" s="1"/>
      <c r="Q32" s="1"/>
    </row>
    <row r="33" spans="1:17" x14ac:dyDescent="0.25">
      <c r="A33" s="1"/>
      <c r="B33" s="1"/>
      <c r="C33" s="1"/>
      <c r="D33" s="1"/>
      <c r="E33" s="1"/>
      <c r="F33" s="1"/>
      <c r="G33" s="1"/>
      <c r="H33" s="1"/>
      <c r="I33" s="1"/>
      <c r="J33" s="1"/>
      <c r="K33" s="1"/>
      <c r="L33" s="1"/>
      <c r="M33" s="1"/>
      <c r="N33" s="1"/>
      <c r="O33" s="1"/>
      <c r="P33" s="1"/>
      <c r="Q33" s="1"/>
    </row>
    <row r="34" spans="1:17" x14ac:dyDescent="0.25">
      <c r="A34" s="1"/>
      <c r="B34" s="1"/>
      <c r="C34" s="1"/>
      <c r="D34" s="1"/>
      <c r="E34" s="1"/>
      <c r="F34" s="1"/>
      <c r="G34" s="1"/>
      <c r="H34" s="1"/>
      <c r="I34" s="1"/>
      <c r="J34" s="1"/>
      <c r="K34" s="1"/>
      <c r="L34" s="1"/>
      <c r="M34" s="1"/>
      <c r="N34" s="1"/>
      <c r="O34" s="1"/>
      <c r="P34" s="1"/>
      <c r="Q34" s="1"/>
    </row>
    <row r="35" spans="1:17" x14ac:dyDescent="0.25">
      <c r="A35" s="1"/>
      <c r="B35" s="1"/>
      <c r="C35" s="1"/>
      <c r="D35" s="1"/>
      <c r="E35" s="1"/>
      <c r="F35" s="1"/>
      <c r="G35" s="1"/>
      <c r="H35" s="1"/>
      <c r="I35" s="1"/>
      <c r="J35" s="1"/>
      <c r="K35" s="1"/>
      <c r="L35" s="1"/>
      <c r="M35" s="1"/>
      <c r="N35" s="1"/>
      <c r="O35" s="1"/>
      <c r="P35" s="1"/>
      <c r="Q35" s="1"/>
    </row>
    <row r="36" spans="1:17" x14ac:dyDescent="0.25">
      <c r="A36" s="1"/>
      <c r="B36" s="1"/>
      <c r="C36" s="1"/>
      <c r="D36" s="1"/>
      <c r="E36" s="1"/>
      <c r="F36" s="1"/>
      <c r="G36" s="1"/>
      <c r="H36" s="1"/>
      <c r="I36" s="1"/>
      <c r="J36" s="1"/>
      <c r="K36" s="1"/>
      <c r="L36" s="1"/>
      <c r="M36" s="1"/>
      <c r="N36" s="1"/>
      <c r="O36" s="1"/>
      <c r="P36" s="1"/>
      <c r="Q36" s="1"/>
    </row>
    <row r="37" spans="1:17" x14ac:dyDescent="0.25">
      <c r="A37" s="1"/>
      <c r="B37" s="1"/>
      <c r="C37" s="1"/>
      <c r="D37" s="1"/>
      <c r="E37" s="1"/>
      <c r="F37" s="1"/>
      <c r="G37" s="1"/>
      <c r="H37" s="1"/>
      <c r="I37" s="1"/>
      <c r="J37" s="1"/>
      <c r="K37" s="1"/>
      <c r="L37" s="1"/>
      <c r="M37" s="1"/>
      <c r="N37" s="1"/>
      <c r="O37" s="1"/>
      <c r="P37" s="1"/>
      <c r="Q37" s="1"/>
    </row>
    <row r="38" spans="1:17" x14ac:dyDescent="0.25">
      <c r="A38" s="1"/>
      <c r="B38" s="1"/>
      <c r="C38" s="1"/>
      <c r="D38" s="1"/>
      <c r="E38" s="1"/>
      <c r="F38" s="1"/>
      <c r="G38" s="1"/>
      <c r="H38" s="1"/>
      <c r="I38" s="1"/>
      <c r="J38" s="1"/>
      <c r="K38" s="1"/>
      <c r="L38" s="1"/>
      <c r="M38" s="1"/>
      <c r="N38" s="1"/>
      <c r="O38" s="1"/>
      <c r="P38" s="1"/>
      <c r="Q38" s="1"/>
    </row>
    <row r="39" spans="1:17" x14ac:dyDescent="0.25">
      <c r="A39" s="1"/>
      <c r="B39" s="1"/>
      <c r="C39" s="1"/>
      <c r="D39" s="1"/>
      <c r="E39" s="1"/>
      <c r="F39" s="1"/>
      <c r="G39" s="1"/>
      <c r="H39" s="1"/>
      <c r="I39" s="1"/>
      <c r="J39" s="1"/>
      <c r="K39" s="1"/>
      <c r="L39" s="1"/>
      <c r="M39" s="1"/>
      <c r="N39" s="1"/>
      <c r="O39" s="1"/>
      <c r="P39" s="1"/>
      <c r="Q39" s="1"/>
    </row>
    <row r="40" spans="1:17" x14ac:dyDescent="0.25">
      <c r="A40" s="1"/>
      <c r="B40" s="1"/>
      <c r="C40" s="1"/>
      <c r="D40" s="1"/>
      <c r="E40" s="1"/>
      <c r="F40" s="1"/>
      <c r="G40" s="1"/>
      <c r="H40" s="1"/>
      <c r="I40" s="1"/>
      <c r="J40" s="1"/>
      <c r="K40" s="1"/>
      <c r="L40" s="1"/>
      <c r="M40" s="1"/>
      <c r="N40" s="1"/>
      <c r="O40" s="1"/>
      <c r="P40" s="1"/>
      <c r="Q40" s="1"/>
    </row>
    <row r="41" spans="1:17" x14ac:dyDescent="0.25">
      <c r="A41" s="1"/>
      <c r="B41" s="1"/>
      <c r="C41" s="1"/>
      <c r="D41" s="1"/>
      <c r="E41" s="1"/>
      <c r="F41" s="1"/>
      <c r="G41" s="1"/>
      <c r="H41" s="1"/>
      <c r="I41" s="1"/>
      <c r="J41" s="1"/>
      <c r="K41" s="1"/>
      <c r="L41" s="1"/>
      <c r="M41" s="1"/>
      <c r="N41" s="1"/>
      <c r="O41" s="1"/>
      <c r="P41" s="1"/>
      <c r="Q41" s="1"/>
    </row>
    <row r="42" spans="1:17" x14ac:dyDescent="0.25">
      <c r="A42" s="1"/>
      <c r="B42" s="1"/>
      <c r="C42" s="1"/>
      <c r="D42" s="1"/>
      <c r="E42" s="1"/>
      <c r="F42" s="1"/>
      <c r="G42" s="1"/>
      <c r="H42" s="1"/>
      <c r="I42" s="1"/>
      <c r="J42" s="1"/>
      <c r="K42" s="1"/>
      <c r="L42" s="1"/>
      <c r="M42" s="1"/>
      <c r="N42" s="1"/>
      <c r="O42" s="1"/>
      <c r="P42" s="1"/>
      <c r="Q42" s="1"/>
    </row>
    <row r="43" spans="1:17" x14ac:dyDescent="0.25">
      <c r="A43" s="1"/>
      <c r="B43" s="1"/>
      <c r="C43" s="1"/>
      <c r="D43" s="1"/>
      <c r="E43" s="1"/>
      <c r="F43" s="1"/>
      <c r="G43" s="1"/>
      <c r="H43" s="1"/>
      <c r="I43" s="1"/>
      <c r="J43" s="1"/>
      <c r="K43" s="1"/>
      <c r="L43" s="1"/>
      <c r="M43" s="1"/>
      <c r="N43" s="1"/>
      <c r="O43" s="1"/>
      <c r="P43" s="1"/>
      <c r="Q43" s="1"/>
    </row>
    <row r="44" spans="1:17" x14ac:dyDescent="0.25">
      <c r="A44" s="1"/>
      <c r="B44" s="1"/>
      <c r="C44" s="1"/>
      <c r="D44" s="1"/>
      <c r="E44" s="1"/>
      <c r="F44" s="1"/>
      <c r="G44" s="1"/>
      <c r="H44" s="1"/>
      <c r="I44" s="1"/>
      <c r="J44" s="1"/>
      <c r="K44" s="1"/>
      <c r="L44" s="1"/>
      <c r="M44" s="1"/>
      <c r="N44" s="1"/>
      <c r="O44" s="1"/>
      <c r="P44" s="1"/>
      <c r="Q44" s="1"/>
    </row>
    <row r="45" spans="1:17" x14ac:dyDescent="0.25">
      <c r="A45" s="1"/>
      <c r="B45" s="1"/>
      <c r="C45" s="1"/>
      <c r="D45" s="1"/>
      <c r="E45" s="1"/>
      <c r="F45" s="1"/>
      <c r="G45" s="1"/>
      <c r="H45" s="1"/>
      <c r="I45" s="1"/>
      <c r="J45" s="1"/>
      <c r="K45" s="1"/>
      <c r="L45" s="1"/>
      <c r="M45" s="1"/>
      <c r="N45" s="1"/>
      <c r="O45" s="1"/>
      <c r="P45" s="1"/>
      <c r="Q45" s="1"/>
    </row>
    <row r="46" spans="1:17" x14ac:dyDescent="0.25">
      <c r="A46" s="1"/>
      <c r="B46" s="1"/>
      <c r="C46" s="1"/>
      <c r="D46" s="1"/>
      <c r="E46" s="1"/>
      <c r="F46" s="1"/>
      <c r="G46" s="1"/>
      <c r="H46" s="1"/>
      <c r="I46" s="1"/>
      <c r="J46" s="1"/>
      <c r="K46" s="1"/>
      <c r="L46" s="1"/>
      <c r="M46" s="1"/>
      <c r="N46" s="1"/>
      <c r="O46" s="1"/>
      <c r="P46" s="1"/>
      <c r="Q46" s="1"/>
    </row>
    <row r="47" spans="1:17" x14ac:dyDescent="0.25">
      <c r="A47" s="1"/>
      <c r="B47" s="1"/>
      <c r="C47" s="1"/>
      <c r="D47" s="1"/>
      <c r="E47" s="1"/>
      <c r="F47" s="1"/>
      <c r="G47" s="1"/>
      <c r="H47" s="1"/>
      <c r="I47" s="1"/>
      <c r="J47" s="1"/>
      <c r="K47" s="1"/>
      <c r="L47" s="1"/>
      <c r="M47" s="1"/>
      <c r="N47" s="1"/>
      <c r="O47" s="1"/>
      <c r="P47" s="1"/>
      <c r="Q47" s="1"/>
    </row>
    <row r="48" spans="1:17" x14ac:dyDescent="0.25">
      <c r="A48" s="1"/>
      <c r="B48" s="1"/>
      <c r="C48" s="1"/>
      <c r="D48" s="1"/>
      <c r="E48" s="1"/>
      <c r="F48" s="1"/>
      <c r="G48" s="1"/>
      <c r="H48" s="1"/>
      <c r="I48" s="1"/>
      <c r="J48" s="1"/>
      <c r="K48" s="1"/>
      <c r="L48" s="1"/>
      <c r="M48" s="1"/>
      <c r="N48" s="1"/>
      <c r="O48" s="1"/>
      <c r="P48" s="1"/>
      <c r="Q48" s="1"/>
    </row>
  </sheetData>
  <mergeCells count="16">
    <mergeCell ref="N7:O7"/>
    <mergeCell ref="P7:Q7"/>
    <mergeCell ref="P8:P9"/>
    <mergeCell ref="Q8:Q9"/>
    <mergeCell ref="A3:Q3"/>
    <mergeCell ref="A4:Q4"/>
    <mergeCell ref="A6:B6"/>
    <mergeCell ref="C6:C9"/>
    <mergeCell ref="D6:E6"/>
    <mergeCell ref="F6:G6"/>
    <mergeCell ref="H6:Q6"/>
    <mergeCell ref="A7:A9"/>
    <mergeCell ref="B7:B9"/>
    <mergeCell ref="D7:D9"/>
    <mergeCell ref="E7:E9"/>
    <mergeCell ref="F7:G7"/>
  </mergeCells>
  <pageMargins left="0.7" right="0.7" top="0.75" bottom="0.75" header="0.3" footer="0.3"/>
  <pageSetup paperSize="5" orientation="landscape" horizontalDpi="4294967293" vertic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M66"/>
  <sheetViews>
    <sheetView view="pageLayout" workbookViewId="0">
      <selection activeCell="F14" sqref="F14"/>
    </sheetView>
  </sheetViews>
  <sheetFormatPr defaultRowHeight="15" x14ac:dyDescent="0.25"/>
  <cols>
    <col min="1" max="1" width="4" style="3" customWidth="1"/>
    <col min="2" max="2" width="9.85546875" customWidth="1"/>
    <col min="3" max="3" width="3.28515625" customWidth="1"/>
    <col min="4" max="4" width="32.5703125" customWidth="1"/>
    <col min="5" max="5" width="7" customWidth="1"/>
    <col min="6" max="6" width="14" style="89" customWidth="1"/>
    <col min="7" max="7" width="14.85546875" style="83" customWidth="1"/>
    <col min="8" max="8" width="14.7109375" customWidth="1"/>
    <col min="9" max="9" width="11.140625" customWidth="1"/>
    <col min="10" max="10" width="10.5703125" customWidth="1"/>
    <col min="11" max="11" width="23.85546875" customWidth="1"/>
    <col min="12" max="12" width="18.140625" customWidth="1"/>
  </cols>
  <sheetData>
    <row r="1" spans="1:13" x14ac:dyDescent="0.25">
      <c r="A1" s="50" t="s">
        <v>0</v>
      </c>
      <c r="B1" s="50"/>
      <c r="C1" s="50"/>
      <c r="D1" s="9"/>
      <c r="E1" s="9"/>
      <c r="F1" s="84"/>
      <c r="G1" s="75"/>
      <c r="H1" s="9"/>
      <c r="I1" s="9"/>
      <c r="J1" s="9"/>
      <c r="K1" s="9"/>
      <c r="L1" s="9"/>
      <c r="M1" s="1"/>
    </row>
    <row r="2" spans="1:13" x14ac:dyDescent="0.25">
      <c r="A2" s="50" t="s">
        <v>1</v>
      </c>
      <c r="B2" s="50"/>
      <c r="C2" s="50"/>
      <c r="D2" s="9"/>
      <c r="E2" s="9"/>
      <c r="F2" s="84"/>
      <c r="G2" s="75"/>
      <c r="H2" s="9"/>
      <c r="I2" s="9"/>
      <c r="J2" s="9"/>
      <c r="K2" s="9"/>
      <c r="L2" s="9"/>
      <c r="M2" s="1"/>
    </row>
    <row r="3" spans="1:13" x14ac:dyDescent="0.25">
      <c r="A3" s="50" t="s">
        <v>16</v>
      </c>
      <c r="B3" s="50"/>
      <c r="C3" s="50"/>
      <c r="D3" s="9"/>
      <c r="E3" s="9"/>
      <c r="F3" s="84"/>
      <c r="G3" s="75"/>
      <c r="H3" s="9"/>
      <c r="I3" s="9"/>
      <c r="J3" s="9"/>
      <c r="K3" s="9"/>
      <c r="L3" s="9"/>
      <c r="M3" s="1"/>
    </row>
    <row r="4" spans="1:13" x14ac:dyDescent="0.25">
      <c r="A4" s="643" t="s">
        <v>3266</v>
      </c>
      <c r="B4" s="643"/>
      <c r="C4" s="643"/>
      <c r="D4" s="643"/>
      <c r="E4" s="643"/>
      <c r="F4" s="643"/>
      <c r="G4" s="643"/>
      <c r="H4" s="9"/>
      <c r="I4" s="9"/>
      <c r="J4" s="9"/>
      <c r="K4" s="9"/>
      <c r="L4" s="9"/>
      <c r="M4" s="1"/>
    </row>
    <row r="5" spans="1:13" x14ac:dyDescent="0.25">
      <c r="A5" s="643" t="s">
        <v>3268</v>
      </c>
      <c r="B5" s="643"/>
      <c r="C5" s="643"/>
      <c r="D5" s="643"/>
      <c r="E5" s="643"/>
      <c r="F5" s="643"/>
      <c r="G5" s="643"/>
      <c r="H5" s="9"/>
      <c r="I5" s="9"/>
      <c r="J5" s="9"/>
      <c r="K5" s="9"/>
      <c r="L5" s="9"/>
      <c r="M5" s="1"/>
    </row>
    <row r="6" spans="1:13" ht="15.75" thickBot="1" x14ac:dyDescent="0.3">
      <c r="A6" s="19"/>
      <c r="B6" s="1"/>
      <c r="C6" s="1"/>
      <c r="D6" s="1"/>
      <c r="E6" s="1"/>
      <c r="F6" s="85"/>
      <c r="G6" s="76"/>
      <c r="H6" s="1"/>
      <c r="I6" s="1"/>
      <c r="J6" s="1"/>
      <c r="K6" s="1"/>
      <c r="L6" s="1"/>
      <c r="M6" s="1"/>
    </row>
    <row r="7" spans="1:13" ht="27.75" customHeight="1" x14ac:dyDescent="0.25">
      <c r="A7" s="33" t="s">
        <v>55</v>
      </c>
      <c r="B7" s="53" t="s">
        <v>3</v>
      </c>
      <c r="C7" s="661" t="s">
        <v>5</v>
      </c>
      <c r="D7" s="661"/>
      <c r="E7" s="34" t="s">
        <v>56</v>
      </c>
      <c r="F7" s="86" t="s">
        <v>57</v>
      </c>
      <c r="G7" s="77" t="s">
        <v>58</v>
      </c>
      <c r="H7" s="9"/>
      <c r="I7" s="9"/>
      <c r="J7" s="9"/>
      <c r="K7" s="9"/>
      <c r="L7" s="9"/>
      <c r="M7" s="1"/>
    </row>
    <row r="8" spans="1:13" ht="15" customHeight="1" x14ac:dyDescent="0.25">
      <c r="A8" s="42"/>
      <c r="B8" s="61"/>
      <c r="C8" s="95"/>
      <c r="D8" s="165"/>
      <c r="E8" s="10"/>
      <c r="F8" s="87"/>
      <c r="G8" s="78"/>
      <c r="H8" s="9"/>
      <c r="I8" s="9"/>
      <c r="J8" s="9"/>
      <c r="K8" s="9"/>
      <c r="L8" s="9"/>
      <c r="M8" s="1"/>
    </row>
    <row r="9" spans="1:13" ht="15" customHeight="1" x14ac:dyDescent="0.25">
      <c r="A9" s="42"/>
      <c r="B9" s="189" t="s">
        <v>3303</v>
      </c>
      <c r="C9" s="51" t="s">
        <v>3305</v>
      </c>
      <c r="D9" s="55"/>
      <c r="E9" s="24"/>
      <c r="F9" s="82"/>
      <c r="G9" s="80"/>
      <c r="H9" s="9"/>
      <c r="I9" s="9"/>
      <c r="J9" s="9"/>
      <c r="K9" s="9"/>
      <c r="L9" s="9"/>
      <c r="M9" s="1"/>
    </row>
    <row r="10" spans="1:13" ht="15" customHeight="1" x14ac:dyDescent="0.25">
      <c r="A10" s="42"/>
      <c r="B10" s="189" t="s">
        <v>3286</v>
      </c>
      <c r="C10" s="197"/>
      <c r="D10" s="196" t="s">
        <v>3269</v>
      </c>
      <c r="E10" s="24"/>
      <c r="F10" s="82"/>
      <c r="G10" s="79"/>
      <c r="H10" s="9"/>
      <c r="I10" s="9"/>
      <c r="J10" s="9"/>
      <c r="K10" s="9"/>
      <c r="L10" s="9"/>
      <c r="M10" s="1"/>
    </row>
    <row r="11" spans="1:13" ht="15" customHeight="1" x14ac:dyDescent="0.25">
      <c r="A11" s="42"/>
      <c r="B11" s="74"/>
      <c r="C11" s="182"/>
      <c r="D11" s="21"/>
      <c r="E11" s="24"/>
      <c r="F11" s="82"/>
      <c r="G11" s="79"/>
      <c r="H11" s="9"/>
      <c r="I11" s="9"/>
      <c r="J11" s="9"/>
      <c r="K11" s="9"/>
      <c r="L11" s="9"/>
      <c r="M11" s="1"/>
    </row>
    <row r="12" spans="1:13" ht="15" customHeight="1" x14ac:dyDescent="0.25">
      <c r="A12" s="42"/>
      <c r="B12" s="64"/>
      <c r="C12" s="66"/>
      <c r="D12" s="62"/>
      <c r="E12" s="10"/>
      <c r="F12" s="88"/>
      <c r="G12" s="78"/>
      <c r="H12" s="9"/>
      <c r="I12" s="9"/>
      <c r="J12" s="9"/>
      <c r="K12" s="9"/>
      <c r="L12" s="9"/>
      <c r="M12" s="1"/>
    </row>
    <row r="13" spans="1:13" x14ac:dyDescent="0.25">
      <c r="A13" s="30"/>
      <c r="B13" s="69"/>
      <c r="C13" s="37"/>
      <c r="D13" s="40"/>
      <c r="E13" s="28"/>
      <c r="F13" s="82"/>
      <c r="G13" s="81"/>
      <c r="J13" s="20"/>
    </row>
    <row r="14" spans="1:13" x14ac:dyDescent="0.25">
      <c r="A14" s="30"/>
      <c r="B14" s="10"/>
      <c r="C14" s="37"/>
      <c r="D14" s="40"/>
      <c r="E14" s="28"/>
      <c r="F14" s="82"/>
      <c r="G14" s="81"/>
      <c r="J14" s="20"/>
    </row>
    <row r="15" spans="1:13" x14ac:dyDescent="0.25">
      <c r="A15" s="30"/>
      <c r="B15" s="10"/>
      <c r="C15" s="37"/>
      <c r="D15" s="40"/>
      <c r="E15" s="28"/>
      <c r="F15" s="82"/>
      <c r="G15" s="81"/>
      <c r="H15" s="21"/>
      <c r="I15" s="20"/>
      <c r="J15" s="20"/>
      <c r="K15" s="20"/>
      <c r="L15" s="20"/>
      <c r="M15" s="1"/>
    </row>
    <row r="16" spans="1:13" x14ac:dyDescent="0.25">
      <c r="A16" s="30"/>
      <c r="B16" s="10"/>
      <c r="C16" s="37"/>
      <c r="D16" s="40"/>
      <c r="E16" s="28"/>
      <c r="F16" s="82"/>
      <c r="G16" s="81"/>
      <c r="H16" s="21"/>
      <c r="I16" s="20"/>
      <c r="J16" s="20"/>
      <c r="K16" s="20"/>
      <c r="L16" s="20"/>
      <c r="M16" s="1"/>
    </row>
    <row r="17" spans="1:13" x14ac:dyDescent="0.25">
      <c r="A17" s="30"/>
      <c r="B17" s="69"/>
      <c r="C17" s="37"/>
      <c r="D17" s="40"/>
      <c r="E17" s="28"/>
      <c r="F17" s="82"/>
      <c r="G17" s="81"/>
      <c r="H17" s="21"/>
      <c r="I17" s="20"/>
      <c r="J17" s="20"/>
      <c r="K17" s="20"/>
      <c r="L17" s="20"/>
      <c r="M17" s="1"/>
    </row>
    <row r="18" spans="1:13" x14ac:dyDescent="0.25">
      <c r="A18" s="30"/>
      <c r="B18" s="10"/>
      <c r="C18" s="37"/>
      <c r="D18" s="40"/>
      <c r="E18" s="28"/>
      <c r="F18" s="82"/>
      <c r="G18" s="81"/>
      <c r="H18" s="21"/>
      <c r="I18" s="20"/>
      <c r="J18" s="20"/>
      <c r="K18" s="20"/>
      <c r="L18" s="20"/>
      <c r="M18" s="1"/>
    </row>
    <row r="19" spans="1:13" x14ac:dyDescent="0.25">
      <c r="A19" s="30"/>
      <c r="B19" s="10"/>
      <c r="C19" s="37"/>
      <c r="D19" s="40"/>
      <c r="E19" s="28"/>
      <c r="F19" s="82"/>
      <c r="G19" s="81"/>
      <c r="H19" s="21"/>
      <c r="I19" s="20"/>
      <c r="J19" s="20"/>
      <c r="K19" s="20"/>
      <c r="L19" s="20"/>
      <c r="M19" s="1"/>
    </row>
    <row r="20" spans="1:13" x14ac:dyDescent="0.25">
      <c r="A20" s="103"/>
      <c r="B20" s="10"/>
      <c r="C20" s="17"/>
      <c r="D20" s="40"/>
      <c r="E20" s="20"/>
      <c r="F20" s="82"/>
      <c r="G20" s="104"/>
      <c r="H20" s="21"/>
      <c r="I20" s="20"/>
      <c r="J20" s="20"/>
      <c r="K20" s="20"/>
      <c r="L20" s="20"/>
      <c r="M20" s="1"/>
    </row>
    <row r="21" spans="1:13" ht="20.25" customHeight="1" thickBot="1" x14ac:dyDescent="0.3">
      <c r="A21" s="655" t="s">
        <v>15</v>
      </c>
      <c r="B21" s="655"/>
      <c r="C21" s="655"/>
      <c r="D21" s="655"/>
      <c r="E21" s="655"/>
      <c r="F21" s="105">
        <f>SUM(F8:F19)</f>
        <v>0</v>
      </c>
      <c r="G21" s="106">
        <f>SUM(G8:G19)</f>
        <v>0</v>
      </c>
      <c r="H21" s="49"/>
      <c r="I21" s="1"/>
      <c r="J21" s="1"/>
      <c r="K21" s="1"/>
      <c r="L21" s="1"/>
      <c r="M21" s="1"/>
    </row>
    <row r="22" spans="1:13" ht="15" customHeight="1" x14ac:dyDescent="0.25">
      <c r="A22" s="96"/>
      <c r="B22" s="96"/>
      <c r="C22" s="96"/>
      <c r="D22" s="96"/>
      <c r="E22" s="96"/>
      <c r="F22" s="97"/>
      <c r="G22" s="97"/>
      <c r="H22" s="49"/>
      <c r="I22" s="1"/>
      <c r="J22" s="1"/>
      <c r="K22" s="1"/>
      <c r="L22" s="1"/>
      <c r="M22" s="1"/>
    </row>
    <row r="23" spans="1:13" ht="15" customHeight="1" x14ac:dyDescent="0.25">
      <c r="A23" s="96"/>
      <c r="B23" s="96"/>
      <c r="C23" s="96"/>
      <c r="D23" s="96"/>
      <c r="E23" s="96"/>
      <c r="F23" s="97"/>
      <c r="G23" s="97"/>
      <c r="H23" s="49"/>
      <c r="I23" s="1"/>
      <c r="J23" s="1"/>
      <c r="K23" s="1"/>
      <c r="L23" s="1"/>
      <c r="M23" s="1"/>
    </row>
    <row r="24" spans="1:13" ht="15" customHeight="1" x14ac:dyDescent="0.25">
      <c r="A24" s="96"/>
      <c r="B24" s="96"/>
      <c r="C24" s="96"/>
      <c r="D24" s="96"/>
      <c r="E24" s="96"/>
      <c r="F24" s="97"/>
      <c r="G24" s="97"/>
      <c r="H24" s="49"/>
      <c r="I24" s="1"/>
      <c r="J24" s="1"/>
      <c r="K24" s="1"/>
      <c r="L24" s="1"/>
      <c r="M24" s="1"/>
    </row>
    <row r="25" spans="1:13" ht="15" customHeight="1" x14ac:dyDescent="0.25">
      <c r="A25" s="96"/>
      <c r="B25" s="96"/>
      <c r="C25" s="96"/>
      <c r="D25" s="96"/>
      <c r="E25" s="96"/>
      <c r="F25" s="97"/>
      <c r="G25" s="97"/>
      <c r="H25" s="49"/>
      <c r="I25" s="1"/>
      <c r="J25" s="1"/>
      <c r="K25" s="1"/>
      <c r="L25" s="1"/>
      <c r="M25" s="1"/>
    </row>
    <row r="26" spans="1:13" ht="15" customHeight="1" x14ac:dyDescent="0.25">
      <c r="A26" s="96"/>
      <c r="B26" s="96"/>
      <c r="C26" s="96"/>
      <c r="D26" s="96"/>
      <c r="E26" s="96"/>
      <c r="F26" s="97"/>
      <c r="G26" s="97"/>
      <c r="H26" s="49"/>
      <c r="I26" s="1"/>
      <c r="J26" s="1"/>
      <c r="K26" s="1"/>
      <c r="L26" s="1"/>
      <c r="M26" s="1"/>
    </row>
    <row r="27" spans="1:13" ht="15" customHeight="1" x14ac:dyDescent="0.25">
      <c r="A27" s="96"/>
      <c r="B27" s="96"/>
      <c r="C27" s="96"/>
      <c r="D27" s="96"/>
      <c r="E27" s="96"/>
      <c r="F27" s="97"/>
      <c r="G27" s="97"/>
      <c r="H27" s="49"/>
      <c r="I27" s="1"/>
      <c r="J27" s="1"/>
      <c r="K27" s="1"/>
      <c r="L27" s="1"/>
      <c r="M27" s="1"/>
    </row>
    <row r="28" spans="1:13" ht="15" customHeight="1" x14ac:dyDescent="0.25">
      <c r="A28" s="96"/>
      <c r="B28" s="96"/>
      <c r="C28" s="96"/>
      <c r="D28" s="96"/>
      <c r="E28" s="96"/>
      <c r="F28" s="97"/>
      <c r="G28" s="97"/>
      <c r="H28" s="49"/>
      <c r="I28" s="1"/>
      <c r="J28" s="1"/>
      <c r="K28" s="1"/>
      <c r="L28" s="1"/>
      <c r="M28" s="1"/>
    </row>
    <row r="29" spans="1:13" ht="15" customHeight="1" x14ac:dyDescent="0.25">
      <c r="A29" s="96"/>
      <c r="B29" s="96"/>
      <c r="C29" s="96"/>
      <c r="D29" s="96"/>
      <c r="E29" s="96"/>
      <c r="F29" s="97"/>
      <c r="G29" s="97"/>
      <c r="H29" s="49"/>
      <c r="I29" s="1"/>
      <c r="J29" s="1"/>
      <c r="K29" s="1"/>
      <c r="L29" s="1"/>
      <c r="M29" s="1"/>
    </row>
    <row r="30" spans="1:13" ht="15" customHeight="1" x14ac:dyDescent="0.25">
      <c r="A30" s="96"/>
      <c r="B30" s="96"/>
      <c r="C30" s="96"/>
      <c r="D30" s="96"/>
      <c r="E30" s="96"/>
      <c r="F30" s="97"/>
      <c r="G30" s="97"/>
      <c r="H30" s="49"/>
      <c r="I30" s="1"/>
      <c r="J30" s="1"/>
      <c r="K30" s="1"/>
      <c r="L30" s="1"/>
      <c r="M30" s="1"/>
    </row>
    <row r="31" spans="1:13" ht="15" customHeight="1" x14ac:dyDescent="0.25">
      <c r="A31" s="96"/>
      <c r="B31" s="96"/>
      <c r="C31" s="96"/>
      <c r="D31" s="96"/>
      <c r="E31" s="96"/>
      <c r="F31" s="97"/>
      <c r="G31" s="97"/>
      <c r="H31" s="49"/>
      <c r="I31" s="1"/>
      <c r="J31" s="1"/>
      <c r="K31" s="1"/>
      <c r="L31" s="1"/>
      <c r="M31" s="1"/>
    </row>
    <row r="32" spans="1:13" ht="15" customHeight="1" x14ac:dyDescent="0.25">
      <c r="A32" s="96"/>
      <c r="B32" s="96"/>
      <c r="C32" s="96"/>
      <c r="D32" s="96"/>
      <c r="E32" s="96"/>
      <c r="F32" s="97"/>
      <c r="G32" s="97"/>
      <c r="H32" s="49"/>
      <c r="I32" s="1"/>
      <c r="J32" s="1"/>
      <c r="K32" s="1"/>
      <c r="L32" s="1"/>
      <c r="M32" s="1"/>
    </row>
    <row r="33" spans="1:13" ht="15" customHeight="1" x14ac:dyDescent="0.25">
      <c r="A33" s="96"/>
      <c r="B33" s="96"/>
      <c r="C33" s="96"/>
      <c r="D33" s="96"/>
      <c r="E33" s="96"/>
      <c r="F33" s="97"/>
      <c r="G33" s="97"/>
      <c r="H33" s="49"/>
      <c r="I33" s="1"/>
      <c r="J33" s="1"/>
      <c r="K33" s="1"/>
      <c r="L33" s="1"/>
      <c r="M33" s="1"/>
    </row>
    <row r="34" spans="1:13" ht="15" customHeight="1" x14ac:dyDescent="0.25">
      <c r="A34" s="96"/>
      <c r="B34" s="96"/>
      <c r="C34" s="96"/>
      <c r="D34" s="96"/>
      <c r="E34" s="96"/>
      <c r="F34" s="97"/>
      <c r="G34" s="97"/>
      <c r="H34" s="49"/>
      <c r="I34" s="1"/>
      <c r="J34" s="1"/>
      <c r="K34" s="1"/>
      <c r="L34" s="1"/>
      <c r="M34" s="1"/>
    </row>
    <row r="35" spans="1:13" ht="15" customHeight="1" x14ac:dyDescent="0.25">
      <c r="A35" s="96"/>
      <c r="B35" s="96"/>
      <c r="C35" s="96"/>
      <c r="D35" s="96"/>
      <c r="E35" s="96"/>
      <c r="F35" s="97"/>
      <c r="G35" s="97"/>
      <c r="H35" s="49"/>
      <c r="I35" s="1"/>
      <c r="J35" s="1"/>
      <c r="K35" s="1"/>
      <c r="L35" s="1"/>
      <c r="M35" s="1"/>
    </row>
    <row r="36" spans="1:13" ht="15" customHeight="1" x14ac:dyDescent="0.25">
      <c r="A36" s="96"/>
      <c r="B36" s="96"/>
      <c r="C36" s="96"/>
      <c r="D36" s="96"/>
      <c r="E36" s="96"/>
      <c r="F36" s="97"/>
      <c r="G36" s="97"/>
      <c r="H36" s="49"/>
      <c r="I36" s="1"/>
      <c r="J36" s="1"/>
      <c r="K36" s="1"/>
      <c r="L36" s="1"/>
      <c r="M36" s="1"/>
    </row>
    <row r="37" spans="1:13" ht="15" customHeight="1" x14ac:dyDescent="0.25">
      <c r="A37" s="96"/>
      <c r="B37" s="96"/>
      <c r="C37" s="96"/>
      <c r="D37" s="96"/>
      <c r="E37" s="96"/>
      <c r="F37" s="97"/>
      <c r="G37" s="97"/>
      <c r="H37" s="49"/>
      <c r="I37" s="1"/>
      <c r="J37" s="1"/>
      <c r="K37" s="1"/>
      <c r="L37" s="1"/>
      <c r="M37" s="1"/>
    </row>
    <row r="38" spans="1:13" ht="15" customHeight="1" x14ac:dyDescent="0.25">
      <c r="A38" s="96"/>
      <c r="B38" s="96"/>
      <c r="C38" s="96"/>
      <c r="D38" s="96"/>
      <c r="E38" s="96"/>
      <c r="F38" s="97"/>
      <c r="G38" s="97"/>
      <c r="H38" s="49"/>
      <c r="I38" s="1"/>
      <c r="J38" s="1"/>
      <c r="K38" s="1"/>
      <c r="L38" s="1"/>
      <c r="M38" s="1"/>
    </row>
    <row r="39" spans="1:13" ht="15" customHeight="1" x14ac:dyDescent="0.25">
      <c r="A39" s="96"/>
      <c r="B39" s="96"/>
      <c r="C39" s="96"/>
      <c r="D39" s="96"/>
      <c r="E39" s="96"/>
      <c r="F39" s="97"/>
      <c r="G39" s="97"/>
      <c r="H39" s="49"/>
      <c r="I39" s="1"/>
      <c r="J39" s="1"/>
      <c r="K39" s="1"/>
      <c r="L39" s="1"/>
      <c r="M39" s="1"/>
    </row>
    <row r="40" spans="1:13" ht="15" customHeight="1" x14ac:dyDescent="0.25">
      <c r="A40" s="96"/>
      <c r="B40" s="96"/>
      <c r="C40" s="96"/>
      <c r="D40" s="96"/>
      <c r="E40" s="96"/>
      <c r="F40" s="97"/>
      <c r="G40" s="97"/>
      <c r="H40" s="49"/>
      <c r="I40" s="1"/>
      <c r="J40" s="1"/>
      <c r="K40" s="1"/>
      <c r="L40" s="1"/>
      <c r="M40" s="1"/>
    </row>
    <row r="41" spans="1:13" ht="15" customHeight="1" x14ac:dyDescent="0.25">
      <c r="A41" s="96"/>
      <c r="B41" s="96"/>
      <c r="C41" s="96"/>
      <c r="D41" s="96"/>
      <c r="E41" s="96"/>
      <c r="F41" s="97"/>
      <c r="G41" s="97"/>
      <c r="H41" s="49"/>
      <c r="I41" s="1"/>
      <c r="J41" s="1"/>
      <c r="K41" s="1"/>
      <c r="L41" s="1"/>
      <c r="M41" s="1"/>
    </row>
    <row r="42" spans="1:13" ht="15" customHeight="1" x14ac:dyDescent="0.25">
      <c r="A42" s="96"/>
      <c r="B42" s="96"/>
      <c r="C42" s="96"/>
      <c r="D42" s="96"/>
      <c r="E42" s="96"/>
      <c r="F42" s="97"/>
      <c r="G42" s="97"/>
      <c r="H42" s="49"/>
      <c r="I42" s="1"/>
      <c r="J42" s="1"/>
      <c r="K42" s="1"/>
      <c r="L42" s="1"/>
      <c r="M42" s="1"/>
    </row>
    <row r="43" spans="1:13" ht="15" customHeight="1" x14ac:dyDescent="0.25">
      <c r="A43" s="96"/>
      <c r="B43" s="96"/>
      <c r="C43" s="96"/>
      <c r="D43" s="96"/>
      <c r="E43" s="96"/>
      <c r="F43" s="97"/>
      <c r="G43" s="97"/>
      <c r="H43" s="49"/>
      <c r="I43" s="1"/>
      <c r="J43" s="1"/>
      <c r="K43" s="1"/>
      <c r="L43" s="1"/>
      <c r="M43" s="1"/>
    </row>
    <row r="44" spans="1:13" ht="15" customHeight="1" x14ac:dyDescent="0.25">
      <c r="A44" s="96"/>
      <c r="B44" s="96"/>
      <c r="C44" s="96"/>
      <c r="D44" s="96"/>
      <c r="E44" s="96"/>
      <c r="F44" s="97"/>
      <c r="G44" s="97"/>
      <c r="H44" s="49"/>
      <c r="I44" s="1"/>
      <c r="J44" s="1"/>
      <c r="K44" s="1"/>
      <c r="L44" s="1"/>
      <c r="M44" s="1"/>
    </row>
    <row r="45" spans="1:13" ht="15" customHeight="1" x14ac:dyDescent="0.25">
      <c r="A45" s="96"/>
      <c r="B45" s="96"/>
      <c r="C45" s="96"/>
      <c r="D45" s="96"/>
      <c r="E45" s="96"/>
      <c r="F45" s="97"/>
      <c r="G45" s="97"/>
      <c r="H45" s="49"/>
      <c r="I45" s="1"/>
      <c r="J45" s="1"/>
      <c r="K45" s="1"/>
      <c r="L45" s="1"/>
      <c r="M45" s="1"/>
    </row>
    <row r="46" spans="1:13" ht="15" customHeight="1" x14ac:dyDescent="0.25">
      <c r="A46" s="96"/>
      <c r="B46" s="96"/>
      <c r="C46" s="96"/>
      <c r="D46" s="96"/>
      <c r="E46" s="96"/>
      <c r="F46" s="97"/>
      <c r="G46" s="97"/>
      <c r="H46" s="49"/>
      <c r="I46" s="1"/>
      <c r="J46" s="1"/>
      <c r="K46" s="1"/>
      <c r="L46" s="1"/>
      <c r="M46" s="1"/>
    </row>
    <row r="47" spans="1:13" ht="15" customHeight="1" x14ac:dyDescent="0.25">
      <c r="A47" s="96"/>
      <c r="B47" s="96"/>
      <c r="C47" s="96"/>
      <c r="D47" s="96"/>
      <c r="E47" s="96"/>
      <c r="F47" s="97"/>
      <c r="G47" s="97"/>
      <c r="H47" s="49"/>
      <c r="I47" s="1"/>
      <c r="J47" s="1"/>
      <c r="K47" s="1"/>
      <c r="L47" s="1"/>
      <c r="M47" s="1"/>
    </row>
    <row r="48" spans="1:13" ht="15" customHeight="1" x14ac:dyDescent="0.25">
      <c r="A48" s="96"/>
      <c r="B48" s="96"/>
      <c r="C48" s="96"/>
      <c r="D48" s="96"/>
      <c r="E48" s="96"/>
      <c r="F48" s="97"/>
      <c r="G48" s="97"/>
      <c r="H48" s="49"/>
      <c r="I48" s="1"/>
      <c r="J48" s="1"/>
      <c r="K48" s="1"/>
      <c r="L48" s="1"/>
      <c r="M48" s="1"/>
    </row>
    <row r="49" spans="1:13" ht="15" customHeight="1" x14ac:dyDescent="0.25">
      <c r="A49" s="96"/>
      <c r="B49" s="96"/>
      <c r="C49" s="96"/>
      <c r="D49" s="96"/>
      <c r="E49" s="96"/>
      <c r="F49" s="97"/>
      <c r="G49" s="97"/>
      <c r="H49" s="49"/>
      <c r="I49" s="1"/>
      <c r="J49" s="1"/>
      <c r="K49" s="1"/>
      <c r="L49" s="1"/>
      <c r="M49" s="1"/>
    </row>
    <row r="50" spans="1:13" ht="15" customHeight="1" x14ac:dyDescent="0.25">
      <c r="A50" s="96"/>
      <c r="B50" s="96"/>
      <c r="C50" s="96"/>
      <c r="D50" s="96"/>
      <c r="E50" s="96"/>
      <c r="F50" s="97"/>
      <c r="G50" s="97"/>
      <c r="H50" s="49"/>
      <c r="I50" s="1"/>
      <c r="J50" s="1"/>
      <c r="K50" s="1"/>
      <c r="L50" s="1"/>
      <c r="M50" s="1"/>
    </row>
    <row r="51" spans="1:13" ht="15" customHeight="1" x14ac:dyDescent="0.25">
      <c r="A51" s="96"/>
      <c r="B51" s="96"/>
      <c r="C51" s="96"/>
      <c r="D51" s="96"/>
      <c r="E51" s="96"/>
      <c r="F51" s="97"/>
      <c r="G51" s="97"/>
      <c r="H51" s="49"/>
      <c r="I51" s="1"/>
      <c r="J51" s="1"/>
      <c r="K51" s="1"/>
      <c r="L51" s="1"/>
      <c r="M51" s="1"/>
    </row>
    <row r="52" spans="1:13" ht="15" customHeight="1" x14ac:dyDescent="0.25">
      <c r="A52" s="96"/>
      <c r="B52" s="96"/>
      <c r="C52" s="96"/>
      <c r="D52" s="96"/>
      <c r="E52" s="96"/>
      <c r="F52" s="97"/>
      <c r="G52" s="97"/>
      <c r="H52" s="49"/>
      <c r="I52" s="1"/>
      <c r="J52" s="1"/>
      <c r="K52" s="1"/>
      <c r="L52" s="1"/>
      <c r="M52" s="1"/>
    </row>
    <row r="53" spans="1:13" ht="15" customHeight="1" x14ac:dyDescent="0.25">
      <c r="A53" s="96"/>
      <c r="B53" s="96"/>
      <c r="C53" s="96"/>
      <c r="D53" s="96"/>
      <c r="E53" s="96"/>
      <c r="F53" s="97"/>
      <c r="G53" s="97"/>
      <c r="H53" s="49"/>
      <c r="I53" s="1"/>
      <c r="J53" s="1"/>
      <c r="K53" s="1"/>
      <c r="L53" s="1"/>
      <c r="M53" s="1"/>
    </row>
    <row r="54" spans="1:13" ht="15" customHeight="1" x14ac:dyDescent="0.25">
      <c r="A54" s="96"/>
      <c r="B54" s="96"/>
      <c r="C54" s="96"/>
      <c r="D54" s="96"/>
      <c r="E54" s="96"/>
      <c r="F54" s="97"/>
      <c r="G54" s="97"/>
      <c r="H54" s="49"/>
      <c r="I54" s="1"/>
      <c r="J54" s="1"/>
      <c r="K54" s="1"/>
      <c r="L54" s="1"/>
      <c r="M54" s="1"/>
    </row>
    <row r="55" spans="1:13" ht="15" customHeight="1" x14ac:dyDescent="0.25">
      <c r="A55" s="96"/>
      <c r="B55" s="96"/>
      <c r="C55" s="96"/>
      <c r="D55" s="96"/>
      <c r="E55" s="96"/>
      <c r="F55" s="97"/>
      <c r="G55" s="97"/>
      <c r="H55" s="49"/>
      <c r="I55" s="1"/>
      <c r="J55" s="1"/>
      <c r="K55" s="1"/>
      <c r="L55" s="1"/>
      <c r="M55" s="1"/>
    </row>
    <row r="56" spans="1:13" ht="15" customHeight="1" x14ac:dyDescent="0.25">
      <c r="A56" s="96"/>
      <c r="B56" s="96"/>
      <c r="C56" s="96"/>
      <c r="D56" s="96"/>
      <c r="E56" s="96"/>
      <c r="F56" s="97"/>
      <c r="G56" s="97"/>
      <c r="H56" s="49"/>
      <c r="I56" s="1"/>
      <c r="J56" s="1"/>
      <c r="K56" s="1"/>
      <c r="L56" s="1"/>
      <c r="M56" s="1"/>
    </row>
    <row r="57" spans="1:13" ht="15" customHeight="1" x14ac:dyDescent="0.25">
      <c r="A57" s="96"/>
      <c r="B57" s="96"/>
      <c r="C57" s="96"/>
      <c r="D57" s="96"/>
      <c r="E57" s="96"/>
      <c r="F57" s="97"/>
      <c r="G57" s="97"/>
      <c r="H57" s="49"/>
      <c r="I57" s="1"/>
      <c r="J57" s="1"/>
      <c r="K57" s="1"/>
      <c r="L57" s="1"/>
      <c r="M57" s="1"/>
    </row>
    <row r="58" spans="1:13" ht="15" customHeight="1" x14ac:dyDescent="0.25">
      <c r="A58" s="96"/>
      <c r="B58" s="96"/>
      <c r="C58" s="96"/>
      <c r="D58" s="96"/>
      <c r="E58" s="96"/>
      <c r="F58" s="97"/>
      <c r="G58" s="97"/>
      <c r="H58" s="49"/>
      <c r="I58" s="1"/>
      <c r="J58" s="1"/>
      <c r="K58" s="1"/>
      <c r="L58" s="1"/>
      <c r="M58" s="1"/>
    </row>
    <row r="59" spans="1:13" ht="15" customHeight="1" x14ac:dyDescent="0.25">
      <c r="A59" s="96"/>
      <c r="B59" s="96"/>
      <c r="C59" s="96"/>
      <c r="D59" s="96"/>
      <c r="E59" s="96"/>
      <c r="F59" s="97"/>
      <c r="G59" s="97"/>
      <c r="H59" s="49"/>
      <c r="I59" s="1"/>
      <c r="J59" s="1"/>
      <c r="K59" s="1"/>
      <c r="L59" s="1"/>
      <c r="M59" s="1"/>
    </row>
    <row r="60" spans="1:13" ht="15" customHeight="1" x14ac:dyDescent="0.25">
      <c r="A60" s="96"/>
      <c r="B60" s="96"/>
      <c r="C60" s="96"/>
      <c r="D60" s="96"/>
      <c r="E60" s="96"/>
      <c r="F60" s="97"/>
      <c r="G60" s="97"/>
      <c r="H60" s="49"/>
      <c r="I60" s="1"/>
      <c r="J60" s="1"/>
      <c r="K60" s="1"/>
      <c r="L60" s="1"/>
      <c r="M60" s="1"/>
    </row>
    <row r="61" spans="1:13" ht="15" customHeight="1" x14ac:dyDescent="0.25">
      <c r="A61" s="96"/>
      <c r="B61" s="96"/>
      <c r="C61" s="96"/>
      <c r="D61" s="96"/>
      <c r="E61" s="96"/>
      <c r="F61" s="97"/>
      <c r="G61" s="97"/>
      <c r="H61" s="49"/>
      <c r="I61" s="1"/>
      <c r="J61" s="1"/>
      <c r="K61" s="1"/>
      <c r="L61" s="1"/>
      <c r="M61" s="1"/>
    </row>
    <row r="62" spans="1:13" ht="15" customHeight="1" x14ac:dyDescent="0.25">
      <c r="A62" s="96"/>
      <c r="B62" s="96"/>
      <c r="C62" s="96"/>
      <c r="D62" s="96"/>
      <c r="E62" s="96"/>
      <c r="F62" s="97"/>
      <c r="G62" s="97"/>
      <c r="H62" s="49"/>
      <c r="I62" s="1"/>
      <c r="J62" s="1"/>
      <c r="K62" s="1"/>
      <c r="L62" s="1"/>
      <c r="M62" s="1"/>
    </row>
    <row r="63" spans="1:13" ht="15" customHeight="1" x14ac:dyDescent="0.25">
      <c r="A63" s="96"/>
      <c r="B63" s="96"/>
      <c r="C63" s="96"/>
      <c r="D63" s="96"/>
      <c r="E63" s="96"/>
      <c r="F63" s="97"/>
      <c r="G63" s="97"/>
      <c r="H63" s="49"/>
      <c r="I63" s="1"/>
      <c r="J63" s="1"/>
      <c r="K63" s="1"/>
      <c r="L63" s="1"/>
      <c r="M63" s="1"/>
    </row>
    <row r="64" spans="1:13" ht="15" customHeight="1" x14ac:dyDescent="0.25">
      <c r="A64" s="96"/>
      <c r="B64" s="96"/>
      <c r="C64" s="96"/>
      <c r="D64" s="96"/>
      <c r="E64" s="96"/>
      <c r="F64" s="97"/>
      <c r="G64" s="97"/>
      <c r="H64" s="49"/>
      <c r="I64" s="1"/>
      <c r="J64" s="1"/>
      <c r="K64" s="1"/>
      <c r="L64" s="1"/>
      <c r="M64" s="1"/>
    </row>
    <row r="65" spans="1:13" ht="15" customHeight="1" x14ac:dyDescent="0.25">
      <c r="A65" s="96"/>
      <c r="B65" s="96"/>
      <c r="C65" s="96"/>
      <c r="D65" s="96"/>
      <c r="E65" s="96"/>
      <c r="F65" s="97"/>
      <c r="G65" s="97"/>
      <c r="H65" s="49"/>
      <c r="I65" s="1"/>
      <c r="J65" s="1"/>
      <c r="K65" s="1"/>
      <c r="L65" s="1"/>
      <c r="M65" s="1"/>
    </row>
    <row r="66" spans="1:13" ht="15" customHeight="1" x14ac:dyDescent="0.25">
      <c r="A66" s="96"/>
      <c r="B66" s="96"/>
      <c r="C66" s="96"/>
      <c r="D66" s="96"/>
      <c r="E66" s="96"/>
      <c r="F66" s="97"/>
      <c r="G66" s="97"/>
      <c r="H66" s="49"/>
      <c r="I66" s="1"/>
      <c r="J66" s="1"/>
      <c r="K66" s="1"/>
      <c r="L66" s="1"/>
      <c r="M66" s="1"/>
    </row>
  </sheetData>
  <mergeCells count="4">
    <mergeCell ref="A4:G4"/>
    <mergeCell ref="A5:G5"/>
    <mergeCell ref="C7:D7"/>
    <mergeCell ref="A21:E21"/>
  </mergeCells>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
  <sheetViews>
    <sheetView view="pageLayout" zoomScale="109" zoomScaleNormal="85" zoomScalePageLayoutView="109" workbookViewId="0">
      <selection activeCell="E14" sqref="E14"/>
    </sheetView>
  </sheetViews>
  <sheetFormatPr defaultColWidth="9.140625" defaultRowHeight="10.5" customHeight="1" x14ac:dyDescent="0.2"/>
  <cols>
    <col min="1" max="1" width="6.42578125" style="1" customWidth="1"/>
    <col min="2" max="2" width="14.140625" style="1" customWidth="1"/>
    <col min="3" max="3" width="29" style="1" customWidth="1"/>
    <col min="4" max="4" width="6.42578125" style="1" customWidth="1"/>
    <col min="5" max="7" width="14" style="1" customWidth="1"/>
    <col min="8" max="16384" width="9.140625" style="1"/>
  </cols>
  <sheetData/>
  <pageMargins left="0.31496062992125984" right="0.31496062992125984" top="0.35433070866141736" bottom="0.74803149606299213" header="0.31496062992125984" footer="0.31496062992125984"/>
  <pageSetup paperSize="5"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
  <sheetViews>
    <sheetView view="pageLayout" zoomScale="92" zoomScaleNormal="85" zoomScalePageLayoutView="92" workbookViewId="0">
      <selection activeCell="E15" sqref="E15"/>
    </sheetView>
  </sheetViews>
  <sheetFormatPr defaultColWidth="9.140625" defaultRowHeight="10.5" customHeight="1" x14ac:dyDescent="0.2"/>
  <cols>
    <col min="1" max="1" width="6.42578125" style="1" customWidth="1"/>
    <col min="2" max="2" width="14.140625" style="1" customWidth="1"/>
    <col min="3" max="3" width="29" style="1" customWidth="1"/>
    <col min="4" max="4" width="6.42578125" style="1" customWidth="1"/>
    <col min="5" max="7" width="14" style="1" customWidth="1"/>
    <col min="8" max="8" width="10.42578125" style="1" bestFit="1" customWidth="1"/>
    <col min="9" max="16384" width="9.140625" style="1"/>
  </cols>
  <sheetData/>
  <pageMargins left="0.31496062992125984" right="0.31496062992125984" top="0.35433070866141736" bottom="0.74803149606299213" header="0.31496062992125984" footer="0.31496062992125984"/>
  <pageSetup paperSize="5"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
  <dimension ref="A1:M49"/>
  <sheetViews>
    <sheetView tabSelected="1" view="pageLayout" workbookViewId="0">
      <selection activeCell="I8" sqref="I8"/>
    </sheetView>
  </sheetViews>
  <sheetFormatPr defaultRowHeight="15" x14ac:dyDescent="0.25"/>
  <cols>
    <col min="1" max="1" width="7.85546875" customWidth="1"/>
    <col min="2" max="2" width="9.7109375" customWidth="1"/>
    <col min="3" max="3" width="3.28515625" customWidth="1"/>
    <col min="4" max="4" width="32.5703125" customWidth="1"/>
    <col min="5" max="5" width="7" customWidth="1"/>
    <col min="6" max="6" width="14" style="89" customWidth="1"/>
    <col min="7" max="7" width="14.85546875" style="83" customWidth="1"/>
    <col min="8" max="8" width="14.7109375" customWidth="1"/>
    <col min="9" max="9" width="11.140625" customWidth="1"/>
    <col min="10" max="10" width="10.5703125" customWidth="1"/>
    <col min="11" max="11" width="23.85546875" customWidth="1"/>
    <col min="12" max="12" width="18.140625" customWidth="1"/>
  </cols>
  <sheetData>
    <row r="1" spans="1:13" x14ac:dyDescent="0.25">
      <c r="A1" s="50" t="s">
        <v>0</v>
      </c>
      <c r="B1" s="50"/>
      <c r="C1" s="50"/>
      <c r="D1" s="9"/>
      <c r="E1" s="9"/>
      <c r="F1" s="84"/>
      <c r="G1" s="75"/>
      <c r="H1" s="9"/>
      <c r="I1" s="9"/>
      <c r="J1" s="9"/>
      <c r="K1" s="9"/>
      <c r="L1" s="9"/>
      <c r="M1" s="1"/>
    </row>
    <row r="2" spans="1:13" x14ac:dyDescent="0.25">
      <c r="A2" s="50" t="s">
        <v>1</v>
      </c>
      <c r="B2" s="50"/>
      <c r="C2" s="50"/>
      <c r="D2" s="9"/>
      <c r="E2" s="9"/>
      <c r="F2" s="84"/>
      <c r="G2" s="75"/>
      <c r="H2" s="9"/>
      <c r="I2" s="9"/>
      <c r="J2" s="9"/>
      <c r="K2" s="9"/>
      <c r="L2" s="9"/>
      <c r="M2" s="1"/>
    </row>
    <row r="3" spans="1:13" x14ac:dyDescent="0.25">
      <c r="A3" s="50" t="s">
        <v>16</v>
      </c>
      <c r="B3" s="50"/>
      <c r="C3" s="50"/>
      <c r="D3" s="9"/>
      <c r="E3" s="9"/>
      <c r="F3" s="84"/>
      <c r="G3" s="75"/>
      <c r="H3" s="9"/>
      <c r="I3" s="9"/>
      <c r="J3" s="9"/>
      <c r="K3" s="9"/>
      <c r="L3" s="9"/>
      <c r="M3" s="1"/>
    </row>
    <row r="4" spans="1:13" x14ac:dyDescent="0.25">
      <c r="A4" s="643" t="s">
        <v>3234</v>
      </c>
      <c r="B4" s="643"/>
      <c r="C4" s="643"/>
      <c r="D4" s="643"/>
      <c r="E4" s="643"/>
      <c r="F4" s="643"/>
      <c r="G4" s="643"/>
      <c r="H4" s="9"/>
      <c r="I4" s="9"/>
      <c r="J4" s="9"/>
      <c r="K4" s="9"/>
      <c r="L4" s="9"/>
      <c r="M4" s="1"/>
    </row>
    <row r="5" spans="1:13" x14ac:dyDescent="0.25">
      <c r="A5" s="643" t="s">
        <v>3268</v>
      </c>
      <c r="B5" s="643"/>
      <c r="C5" s="643"/>
      <c r="D5" s="643"/>
      <c r="E5" s="643"/>
      <c r="F5" s="643"/>
      <c r="G5" s="643"/>
      <c r="H5" s="9"/>
      <c r="I5" s="9"/>
      <c r="J5" s="9"/>
      <c r="K5" s="9"/>
      <c r="L5" s="9"/>
      <c r="M5" s="1"/>
    </row>
    <row r="6" spans="1:13" ht="15.75" thickBot="1" x14ac:dyDescent="0.3">
      <c r="A6" s="1"/>
      <c r="B6" s="1"/>
      <c r="C6" s="1"/>
      <c r="D6" s="1"/>
      <c r="E6" s="1"/>
      <c r="F6" s="85"/>
      <c r="G6" s="76"/>
      <c r="H6" s="1"/>
      <c r="I6" s="1"/>
      <c r="J6" s="1"/>
      <c r="K6" s="1"/>
      <c r="L6" s="1"/>
      <c r="M6" s="1"/>
    </row>
    <row r="7" spans="1:13" ht="29.25" customHeight="1" x14ac:dyDescent="0.25">
      <c r="A7" s="53" t="s">
        <v>12</v>
      </c>
      <c r="B7" s="193" t="s">
        <v>3285</v>
      </c>
      <c r="C7" s="639" t="s">
        <v>3282</v>
      </c>
      <c r="D7" s="639"/>
      <c r="E7" s="190" t="s">
        <v>3284</v>
      </c>
      <c r="F7" s="199" t="s">
        <v>57</v>
      </c>
      <c r="G7" s="200" t="s">
        <v>58</v>
      </c>
      <c r="H7" s="9"/>
      <c r="I7" s="9"/>
      <c r="J7" s="9"/>
      <c r="K7" s="9"/>
      <c r="L7" s="9"/>
      <c r="M7" s="1"/>
    </row>
    <row r="8" spans="1:13" ht="16.5" customHeight="1" x14ac:dyDescent="0.25">
      <c r="A8" s="56"/>
      <c r="B8" s="194"/>
      <c r="C8" s="195"/>
      <c r="D8" s="191"/>
      <c r="E8" s="56"/>
      <c r="F8" s="180"/>
      <c r="G8" s="181"/>
      <c r="H8" s="9"/>
      <c r="I8" s="9"/>
      <c r="J8" s="9"/>
      <c r="K8" s="9"/>
      <c r="L8" s="9"/>
      <c r="M8" s="1"/>
    </row>
    <row r="9" spans="1:13" ht="15" customHeight="1" x14ac:dyDescent="0.25">
      <c r="A9" s="61" t="s">
        <v>93</v>
      </c>
      <c r="B9" s="189"/>
      <c r="C9" s="51" t="s">
        <v>79</v>
      </c>
      <c r="D9" s="52"/>
      <c r="E9" s="64"/>
      <c r="F9" s="87"/>
      <c r="G9" s="78"/>
      <c r="H9" s="9"/>
      <c r="I9" s="9"/>
      <c r="J9" s="9"/>
      <c r="K9" s="9"/>
      <c r="L9" s="9"/>
      <c r="M9" s="1"/>
    </row>
    <row r="10" spans="1:13" ht="15" customHeight="1" x14ac:dyDescent="0.25">
      <c r="A10" s="64"/>
      <c r="B10" s="66" t="s">
        <v>3306</v>
      </c>
      <c r="C10" s="51"/>
      <c r="D10" s="21" t="s">
        <v>3309</v>
      </c>
      <c r="E10" s="64"/>
      <c r="F10" s="87"/>
      <c r="G10" s="78"/>
      <c r="H10" s="9"/>
      <c r="I10" s="9"/>
      <c r="J10" s="9"/>
      <c r="K10" s="9"/>
      <c r="L10" s="9"/>
      <c r="M10" s="1"/>
    </row>
    <row r="11" spans="1:13" ht="15" customHeight="1" x14ac:dyDescent="0.25">
      <c r="A11" s="64"/>
      <c r="B11" s="66" t="s">
        <v>3310</v>
      </c>
      <c r="C11" s="51"/>
      <c r="D11" s="21" t="s">
        <v>3308</v>
      </c>
      <c r="E11" s="64"/>
      <c r="F11" s="87"/>
      <c r="G11" s="78"/>
      <c r="H11" s="9"/>
      <c r="I11" s="9"/>
      <c r="J11" s="9"/>
      <c r="K11" s="9"/>
      <c r="L11" s="9"/>
      <c r="M11" s="1"/>
    </row>
    <row r="12" spans="1:13" ht="15" customHeight="1" x14ac:dyDescent="0.25">
      <c r="A12" s="64"/>
      <c r="B12" s="66" t="s">
        <v>3311</v>
      </c>
      <c r="C12" s="67"/>
      <c r="D12" s="21" t="s">
        <v>3307</v>
      </c>
      <c r="E12" s="64"/>
      <c r="F12" s="87"/>
      <c r="G12" s="78"/>
      <c r="H12" s="9"/>
      <c r="I12" s="9"/>
      <c r="J12" s="9"/>
      <c r="K12" s="9"/>
      <c r="L12" s="9"/>
      <c r="M12" s="1"/>
    </row>
    <row r="13" spans="1:13" ht="15" customHeight="1" x14ac:dyDescent="0.25">
      <c r="A13" s="64"/>
      <c r="B13" s="66"/>
      <c r="C13" s="67"/>
      <c r="D13" s="55"/>
      <c r="E13" s="64"/>
      <c r="F13" s="87"/>
      <c r="G13" s="78"/>
      <c r="H13" s="9"/>
      <c r="I13" s="9"/>
      <c r="J13" s="9"/>
      <c r="K13" s="9"/>
      <c r="L13" s="9"/>
      <c r="M13" s="1"/>
    </row>
    <row r="14" spans="1:13" ht="15" customHeight="1" x14ac:dyDescent="0.25">
      <c r="A14" s="64"/>
      <c r="B14" s="66"/>
      <c r="C14" s="67"/>
      <c r="D14" s="55"/>
      <c r="E14" s="64"/>
      <c r="F14" s="88"/>
      <c r="G14" s="78"/>
      <c r="H14" s="9"/>
      <c r="I14" s="9"/>
      <c r="J14" s="9"/>
      <c r="K14" s="9"/>
      <c r="L14" s="9"/>
      <c r="M14" s="1"/>
    </row>
    <row r="15" spans="1:13" ht="15" customHeight="1" x14ac:dyDescent="0.25">
      <c r="A15" s="64"/>
      <c r="B15" s="66"/>
      <c r="C15" s="67"/>
      <c r="D15" s="55"/>
      <c r="E15" s="64"/>
      <c r="F15" s="88"/>
      <c r="G15" s="78"/>
      <c r="H15" s="9"/>
      <c r="I15" s="9"/>
      <c r="J15" s="9"/>
      <c r="K15" s="9"/>
      <c r="L15" s="9"/>
      <c r="M15" s="1"/>
    </row>
    <row r="16" spans="1:13" ht="15" customHeight="1" x14ac:dyDescent="0.25">
      <c r="A16" s="64"/>
      <c r="B16" s="66"/>
      <c r="C16" s="67"/>
      <c r="D16" s="55"/>
      <c r="E16" s="64"/>
      <c r="F16" s="88"/>
      <c r="G16" s="78"/>
      <c r="H16" s="9"/>
      <c r="I16" s="9"/>
      <c r="J16" s="9"/>
      <c r="K16" s="9"/>
      <c r="L16" s="9"/>
      <c r="M16" s="1"/>
    </row>
    <row r="17" spans="1:13" ht="15" customHeight="1" x14ac:dyDescent="0.25">
      <c r="A17" s="64"/>
      <c r="B17" s="66"/>
      <c r="C17" s="67"/>
      <c r="D17" s="55"/>
      <c r="E17" s="64"/>
      <c r="F17" s="88"/>
      <c r="G17" s="78"/>
      <c r="H17" s="9"/>
      <c r="I17" s="9"/>
      <c r="J17" s="9"/>
      <c r="K17" s="9"/>
      <c r="L17" s="9"/>
      <c r="M17" s="1"/>
    </row>
    <row r="18" spans="1:13" ht="15" customHeight="1" x14ac:dyDescent="0.25">
      <c r="A18" s="64"/>
      <c r="B18" s="66"/>
      <c r="C18" s="67"/>
      <c r="D18" s="55"/>
      <c r="E18" s="64"/>
      <c r="F18" s="88"/>
      <c r="G18" s="78"/>
      <c r="H18" s="9"/>
      <c r="I18" s="9"/>
      <c r="J18" s="9"/>
      <c r="K18" s="9"/>
      <c r="L18" s="9"/>
      <c r="M18" s="1"/>
    </row>
    <row r="19" spans="1:13" ht="15" customHeight="1" x14ac:dyDescent="0.25">
      <c r="A19" s="61"/>
      <c r="B19" s="189"/>
      <c r="C19" s="67"/>
      <c r="D19" s="55"/>
      <c r="E19" s="64"/>
      <c r="F19" s="88"/>
      <c r="G19" s="78"/>
      <c r="H19" s="9"/>
      <c r="I19" s="9"/>
      <c r="J19" s="9"/>
      <c r="K19" s="9"/>
      <c r="L19" s="9"/>
      <c r="M19" s="1"/>
    </row>
    <row r="20" spans="1:13" ht="15" customHeight="1" x14ac:dyDescent="0.25">
      <c r="A20" s="64"/>
      <c r="B20" s="66"/>
      <c r="C20" s="51"/>
      <c r="D20" s="55"/>
      <c r="E20" s="64"/>
      <c r="F20" s="88"/>
      <c r="G20" s="78"/>
      <c r="H20" s="9"/>
      <c r="I20" s="9"/>
      <c r="J20" s="9"/>
      <c r="K20" s="9"/>
      <c r="L20" s="9"/>
      <c r="M20" s="1"/>
    </row>
    <row r="21" spans="1:13" ht="15" customHeight="1" x14ac:dyDescent="0.25">
      <c r="A21" s="64"/>
      <c r="B21" s="66"/>
      <c r="C21" s="51"/>
      <c r="D21" s="55"/>
      <c r="E21" s="68"/>
      <c r="F21" s="88"/>
      <c r="G21" s="78"/>
      <c r="H21" s="9"/>
      <c r="I21" s="9"/>
      <c r="J21" s="9"/>
      <c r="K21" s="9"/>
      <c r="L21" s="9"/>
      <c r="M21" s="1"/>
    </row>
    <row r="22" spans="1:13" ht="15" customHeight="1" x14ac:dyDescent="0.25">
      <c r="A22" s="61"/>
      <c r="B22" s="189"/>
      <c r="C22" s="51"/>
      <c r="D22" s="55"/>
      <c r="E22" s="64"/>
      <c r="F22" s="88"/>
      <c r="G22" s="78"/>
      <c r="H22" s="9"/>
      <c r="I22" s="9"/>
      <c r="J22" s="9"/>
      <c r="K22" s="9"/>
      <c r="L22" s="9"/>
      <c r="M22" s="1"/>
    </row>
    <row r="23" spans="1:13" ht="15" customHeight="1" x14ac:dyDescent="0.25">
      <c r="A23" s="64"/>
      <c r="B23" s="66"/>
      <c r="C23" s="51"/>
      <c r="D23" s="55"/>
      <c r="E23" s="64"/>
      <c r="F23" s="88"/>
      <c r="G23" s="78"/>
      <c r="H23" s="9"/>
      <c r="I23" s="9"/>
      <c r="J23" s="9"/>
      <c r="K23" s="9"/>
      <c r="L23" s="9"/>
      <c r="M23" s="1"/>
    </row>
    <row r="24" spans="1:13" ht="15" customHeight="1" x14ac:dyDescent="0.25">
      <c r="A24" s="64"/>
      <c r="B24" s="66"/>
      <c r="C24" s="51"/>
      <c r="D24" s="55"/>
      <c r="E24" s="68"/>
      <c r="F24" s="88"/>
      <c r="G24" s="78"/>
      <c r="H24" s="9"/>
      <c r="I24" s="9"/>
      <c r="J24" s="9"/>
      <c r="K24" s="9"/>
      <c r="L24" s="9"/>
      <c r="M24" s="1"/>
    </row>
    <row r="25" spans="1:13" ht="15" customHeight="1" x14ac:dyDescent="0.25">
      <c r="A25" s="61"/>
      <c r="B25" s="189"/>
      <c r="C25" s="51"/>
      <c r="D25" s="55"/>
      <c r="E25" s="24"/>
      <c r="F25" s="88"/>
      <c r="G25" s="78"/>
      <c r="H25" s="9"/>
      <c r="I25" s="9"/>
      <c r="J25" s="9"/>
      <c r="K25" s="9"/>
      <c r="L25" s="9"/>
      <c r="M25" s="1"/>
    </row>
    <row r="26" spans="1:13" ht="15" customHeight="1" x14ac:dyDescent="0.25">
      <c r="A26" s="64"/>
      <c r="B26" s="66"/>
      <c r="C26" s="51"/>
      <c r="D26" s="55"/>
      <c r="E26" s="24"/>
      <c r="F26" s="88"/>
      <c r="G26" s="78">
        <f>F25</f>
        <v>0</v>
      </c>
      <c r="H26" s="9"/>
      <c r="I26" s="9"/>
      <c r="J26" s="9"/>
      <c r="K26" s="9"/>
      <c r="L26" s="9"/>
      <c r="M26" s="1"/>
    </row>
    <row r="27" spans="1:13" ht="15" customHeight="1" x14ac:dyDescent="0.25">
      <c r="A27" s="64"/>
      <c r="B27" s="66"/>
      <c r="C27" s="66"/>
      <c r="D27" s="62"/>
      <c r="E27" s="10"/>
      <c r="F27" s="88"/>
      <c r="G27" s="78"/>
      <c r="H27" s="9"/>
      <c r="I27" s="9"/>
      <c r="J27" s="9"/>
      <c r="K27" s="9"/>
      <c r="L27" s="9"/>
      <c r="M27" s="1"/>
    </row>
    <row r="28" spans="1:13" x14ac:dyDescent="0.25">
      <c r="A28" s="10"/>
      <c r="B28" s="19"/>
      <c r="C28" s="17"/>
      <c r="D28" s="40"/>
      <c r="E28" s="20"/>
      <c r="F28" s="82"/>
      <c r="G28" s="104"/>
      <c r="H28" s="21"/>
      <c r="I28" s="20"/>
      <c r="J28" s="20"/>
      <c r="K28" s="20"/>
      <c r="L28" s="20"/>
      <c r="M28" s="1"/>
    </row>
    <row r="29" spans="1:13" ht="20.25" customHeight="1" thickBot="1" x14ac:dyDescent="0.3">
      <c r="A29" s="655" t="s">
        <v>15</v>
      </c>
      <c r="B29" s="655"/>
      <c r="C29" s="655"/>
      <c r="D29" s="655"/>
      <c r="E29" s="655"/>
      <c r="F29" s="105">
        <f>SUM(F9:F27)</f>
        <v>0</v>
      </c>
      <c r="G29" s="106">
        <f>SUM(G9:G27)</f>
        <v>0</v>
      </c>
      <c r="H29" s="49"/>
      <c r="I29" s="1"/>
      <c r="J29" s="1"/>
      <c r="K29" s="1"/>
      <c r="L29" s="1"/>
      <c r="M29" s="1"/>
    </row>
    <row r="30" spans="1:13" ht="15" customHeight="1" x14ac:dyDescent="0.25">
      <c r="A30" s="96"/>
      <c r="B30" s="96"/>
      <c r="C30" s="96"/>
      <c r="D30" s="96"/>
      <c r="E30" s="96"/>
      <c r="F30" s="97"/>
      <c r="G30" s="97"/>
      <c r="H30" s="49"/>
      <c r="I30" s="1"/>
      <c r="J30" s="1"/>
      <c r="K30" s="1"/>
      <c r="L30" s="1"/>
      <c r="M30" s="1"/>
    </row>
    <row r="31" spans="1:13" ht="15" customHeight="1" x14ac:dyDescent="0.25">
      <c r="A31" s="96"/>
      <c r="B31" s="96"/>
      <c r="C31" s="96"/>
      <c r="D31" s="96"/>
      <c r="E31" s="96"/>
      <c r="F31" s="97"/>
      <c r="G31" s="97"/>
      <c r="H31" s="49"/>
      <c r="I31" s="1"/>
      <c r="J31" s="1"/>
      <c r="K31" s="1"/>
      <c r="L31" s="1"/>
      <c r="M31" s="1"/>
    </row>
    <row r="32" spans="1:13" ht="15" customHeight="1" x14ac:dyDescent="0.25">
      <c r="A32" s="96"/>
      <c r="B32" s="96"/>
      <c r="C32" s="96"/>
      <c r="D32" s="96"/>
      <c r="E32" s="96"/>
      <c r="F32" s="97"/>
      <c r="G32" s="97"/>
      <c r="H32" s="49"/>
      <c r="I32" s="1"/>
      <c r="J32" s="1"/>
      <c r="K32" s="1"/>
      <c r="L32" s="1"/>
      <c r="M32" s="1"/>
    </row>
    <row r="33" spans="1:13" ht="15" customHeight="1" x14ac:dyDescent="0.25">
      <c r="A33" s="96"/>
      <c r="B33" s="96"/>
      <c r="C33" s="96"/>
      <c r="D33" s="96"/>
      <c r="E33" s="96"/>
      <c r="F33" s="97"/>
      <c r="G33" s="97"/>
      <c r="H33" s="49"/>
      <c r="I33" s="1"/>
      <c r="J33" s="1"/>
      <c r="K33" s="1"/>
      <c r="L33" s="1"/>
      <c r="M33" s="1"/>
    </row>
    <row r="34" spans="1:13" ht="15" customHeight="1" x14ac:dyDescent="0.25">
      <c r="A34" s="96"/>
      <c r="B34" s="96"/>
      <c r="C34" s="96"/>
      <c r="D34" s="96"/>
      <c r="E34" s="96"/>
      <c r="F34" s="97"/>
      <c r="G34" s="97"/>
      <c r="H34" s="49"/>
      <c r="I34" s="1"/>
      <c r="J34" s="1"/>
      <c r="K34" s="1"/>
      <c r="L34" s="1"/>
      <c r="M34" s="1"/>
    </row>
    <row r="35" spans="1:13" ht="15" customHeight="1" x14ac:dyDescent="0.25">
      <c r="A35" s="96"/>
      <c r="B35" s="96"/>
      <c r="C35" s="96"/>
      <c r="D35" s="96"/>
      <c r="E35" s="96"/>
      <c r="F35" s="97"/>
      <c r="G35" s="97"/>
      <c r="H35" s="49"/>
      <c r="I35" s="1"/>
      <c r="J35" s="1"/>
      <c r="K35" s="1"/>
      <c r="L35" s="1"/>
      <c r="M35" s="1"/>
    </row>
    <row r="36" spans="1:13" ht="15" customHeight="1" x14ac:dyDescent="0.25">
      <c r="A36" s="96"/>
      <c r="B36" s="96"/>
      <c r="C36" s="96"/>
      <c r="D36" s="96"/>
      <c r="E36" s="96"/>
      <c r="F36" s="97"/>
      <c r="G36" s="97"/>
      <c r="H36" s="49"/>
      <c r="I36" s="1"/>
      <c r="J36" s="1"/>
      <c r="K36" s="1"/>
      <c r="L36" s="1"/>
      <c r="M36" s="1"/>
    </row>
    <row r="37" spans="1:13" ht="15" customHeight="1" x14ac:dyDescent="0.25">
      <c r="A37" s="96"/>
      <c r="B37" s="96"/>
      <c r="C37" s="96"/>
      <c r="D37" s="96"/>
      <c r="E37" s="96"/>
      <c r="F37" s="97"/>
      <c r="G37" s="97"/>
      <c r="H37" s="49"/>
      <c r="I37" s="1"/>
      <c r="J37" s="1"/>
      <c r="K37" s="1"/>
      <c r="L37" s="1"/>
      <c r="M37" s="1"/>
    </row>
    <row r="38" spans="1:13" ht="15" customHeight="1" x14ac:dyDescent="0.25">
      <c r="A38" s="96"/>
      <c r="B38" s="96"/>
      <c r="C38" s="96"/>
      <c r="D38" s="96"/>
      <c r="E38" s="96"/>
      <c r="F38" s="97"/>
      <c r="G38" s="97"/>
      <c r="H38" s="49"/>
      <c r="I38" s="1"/>
      <c r="J38" s="1"/>
      <c r="K38" s="1"/>
      <c r="L38" s="1"/>
      <c r="M38" s="1"/>
    </row>
    <row r="39" spans="1:13" ht="15" customHeight="1" x14ac:dyDescent="0.25">
      <c r="A39" s="96"/>
      <c r="B39" s="96"/>
      <c r="C39" s="96"/>
      <c r="D39" s="96"/>
      <c r="E39" s="96"/>
      <c r="F39" s="97"/>
      <c r="G39" s="97"/>
      <c r="H39" s="49"/>
      <c r="I39" s="1"/>
      <c r="J39" s="1"/>
      <c r="K39" s="1"/>
      <c r="L39" s="1"/>
      <c r="M39" s="1"/>
    </row>
    <row r="40" spans="1:13" ht="15" customHeight="1" x14ac:dyDescent="0.25">
      <c r="A40" s="96"/>
      <c r="B40" s="96"/>
      <c r="C40" s="96"/>
      <c r="D40" s="96"/>
      <c r="E40" s="96"/>
      <c r="F40" s="97"/>
      <c r="G40" s="97"/>
      <c r="H40" s="49"/>
      <c r="I40" s="1"/>
      <c r="J40" s="1"/>
      <c r="K40" s="1"/>
      <c r="L40" s="1"/>
      <c r="M40" s="1"/>
    </row>
    <row r="41" spans="1:13" ht="15" customHeight="1" x14ac:dyDescent="0.25">
      <c r="A41" s="96"/>
      <c r="B41" s="96"/>
      <c r="C41" s="96"/>
      <c r="D41" s="96"/>
      <c r="E41" s="96"/>
      <c r="F41" s="97"/>
      <c r="G41" s="97"/>
      <c r="H41" s="49"/>
      <c r="I41" s="1"/>
      <c r="J41" s="1"/>
      <c r="K41" s="1"/>
      <c r="L41" s="1"/>
      <c r="M41" s="1"/>
    </row>
    <row r="42" spans="1:13" ht="15" customHeight="1" x14ac:dyDescent="0.25">
      <c r="A42" s="96"/>
      <c r="B42" s="96"/>
      <c r="C42" s="96"/>
      <c r="D42" s="96"/>
      <c r="E42" s="96"/>
      <c r="F42" s="97"/>
      <c r="G42" s="97"/>
      <c r="H42" s="49"/>
      <c r="I42" s="1"/>
      <c r="J42" s="1"/>
      <c r="K42" s="1"/>
      <c r="L42" s="1"/>
      <c r="M42" s="1"/>
    </row>
    <row r="43" spans="1:13" ht="15" customHeight="1" x14ac:dyDescent="0.25">
      <c r="A43" s="96"/>
      <c r="B43" s="96"/>
      <c r="C43" s="96"/>
      <c r="D43" s="96"/>
      <c r="E43" s="96"/>
      <c r="F43" s="97"/>
      <c r="G43" s="97"/>
      <c r="H43" s="49"/>
      <c r="I43" s="1"/>
      <c r="J43" s="1"/>
      <c r="K43" s="1"/>
      <c r="L43" s="1"/>
      <c r="M43" s="1"/>
    </row>
    <row r="44" spans="1:13" ht="15" customHeight="1" x14ac:dyDescent="0.25">
      <c r="A44" s="96"/>
      <c r="B44" s="96"/>
      <c r="C44" s="96"/>
      <c r="D44" s="96"/>
      <c r="E44" s="96"/>
      <c r="F44" s="97"/>
      <c r="G44" s="97"/>
      <c r="H44" s="49"/>
      <c r="I44" s="1"/>
      <c r="J44" s="1"/>
      <c r="K44" s="1"/>
      <c r="L44" s="1"/>
      <c r="M44" s="1"/>
    </row>
    <row r="45" spans="1:13" ht="15" customHeight="1" x14ac:dyDescent="0.25">
      <c r="A45" s="96"/>
      <c r="B45" s="96"/>
      <c r="C45" s="96"/>
      <c r="D45" s="96"/>
      <c r="E45" s="96"/>
      <c r="F45" s="97"/>
      <c r="G45" s="97"/>
      <c r="H45" s="49"/>
      <c r="I45" s="1"/>
      <c r="J45" s="1"/>
      <c r="K45" s="1"/>
      <c r="L45" s="1"/>
      <c r="M45" s="1"/>
    </row>
    <row r="46" spans="1:13" ht="15" customHeight="1" x14ac:dyDescent="0.25">
      <c r="A46" s="96"/>
      <c r="B46" s="96"/>
      <c r="C46" s="96"/>
      <c r="D46" s="96"/>
      <c r="E46" s="96"/>
      <c r="F46" s="97"/>
      <c r="G46" s="97"/>
      <c r="H46" s="49"/>
      <c r="I46" s="1"/>
      <c r="J46" s="1"/>
      <c r="K46" s="1"/>
      <c r="L46" s="1"/>
      <c r="M46" s="1"/>
    </row>
    <row r="47" spans="1:13" ht="15" customHeight="1" x14ac:dyDescent="0.25">
      <c r="A47" s="96"/>
      <c r="B47" s="96"/>
      <c r="C47" s="96"/>
      <c r="D47" s="96"/>
      <c r="E47" s="96"/>
      <c r="F47" s="97"/>
      <c r="G47" s="97"/>
      <c r="H47" s="49"/>
      <c r="I47" s="1"/>
      <c r="J47" s="1"/>
      <c r="K47" s="1"/>
      <c r="L47" s="1"/>
      <c r="M47" s="1"/>
    </row>
    <row r="48" spans="1:13" ht="15" customHeight="1" x14ac:dyDescent="0.25">
      <c r="A48" s="96"/>
      <c r="B48" s="96"/>
      <c r="C48" s="96"/>
      <c r="D48" s="96"/>
      <c r="E48" s="96"/>
      <c r="F48" s="97"/>
      <c r="G48" s="97"/>
      <c r="H48" s="49"/>
      <c r="I48" s="1"/>
      <c r="J48" s="1"/>
      <c r="K48" s="1"/>
      <c r="L48" s="1"/>
      <c r="M48" s="1"/>
    </row>
    <row r="49" spans="1:13" ht="15" customHeight="1" x14ac:dyDescent="0.25">
      <c r="A49" s="96"/>
      <c r="B49" s="96"/>
      <c r="C49" s="96"/>
      <c r="D49" s="96"/>
      <c r="E49" s="96"/>
      <c r="F49" s="97"/>
      <c r="G49" s="97"/>
      <c r="H49" s="49"/>
      <c r="I49" s="1"/>
      <c r="J49" s="1"/>
      <c r="K49" s="1"/>
      <c r="L49" s="1"/>
      <c r="M49" s="1"/>
    </row>
  </sheetData>
  <mergeCells count="4">
    <mergeCell ref="C7:D7"/>
    <mergeCell ref="A29:E29"/>
    <mergeCell ref="A4:G4"/>
    <mergeCell ref="A5:G5"/>
  </mergeCells>
  <pageMargins left="0.70866141732283472" right="0.70866141732283472" top="0.74803149606299213" bottom="0.74803149606299213" header="0.31496062992125984" footer="0.31496062992125984"/>
  <pageSetup paperSize="9" scale="90"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BPTRA</vt:lpstr>
      <vt:lpstr>BPTRNA</vt:lpstr>
      <vt:lpstr>BPTDN</vt:lpstr>
      <vt:lpstr>BKM</vt:lpstr>
      <vt:lpstr>JPK. RA</vt:lpstr>
      <vt:lpstr>JPK. RNA </vt:lpstr>
      <vt:lpstr>JU</vt:lpstr>
      <vt:lpstr>JRA</vt:lpstr>
      <vt:lpstr>JRNA2 </vt:lpstr>
      <vt:lpstr>DVUD(1)</vt:lpstr>
      <vt:lpstr>DVUD</vt:lpstr>
      <vt:lpstr>JBK</vt:lpstr>
      <vt:lpstr>JPBIK</vt:lpstr>
      <vt:lpstr>JP</vt:lpstr>
      <vt:lpstr>J. Pemblk</vt:lpstr>
      <vt:lpstr>DUVHD</vt:lpstr>
      <vt:lpstr>J.Koreksi</vt:lpstr>
      <vt:lpstr>BKU</vt:lpstr>
      <vt:lpstr>BKU PM</vt:lpstr>
      <vt:lpstr>JRNA</vt:lpstr>
      <vt:lpstr>'DVUD(1)'!Print_Area</vt:lpstr>
      <vt:lpstr>JBK!Print_Area</vt:lpstr>
    </vt:vector>
  </TitlesOfParts>
  <Company>Al_Ahsan_Computer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Umeko</dc:creator>
  <cp:lastModifiedBy>PC</cp:lastModifiedBy>
  <cp:lastPrinted>2026-05-12T02:33:30Z</cp:lastPrinted>
  <dcterms:created xsi:type="dcterms:W3CDTF">2012-01-28T01:42:55Z</dcterms:created>
  <dcterms:modified xsi:type="dcterms:W3CDTF">2026-05-19T04:49:36Z</dcterms:modified>
</cp:coreProperties>
</file>