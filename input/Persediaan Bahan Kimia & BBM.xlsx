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EDEE8597-7BB3-405D-94D1-285858C9588D}" xr6:coauthVersionLast="47" xr6:coauthVersionMax="47" xr10:uidLastSave="{00000000-0000-0000-0000-000000000000}"/>
  <bookViews>
    <workbookView xWindow="-120" yWindow="-120" windowWidth="29040" windowHeight="15720" tabRatio="730" firstSheet="13" activeTab="23" xr2:uid="{00000000-000D-0000-FFFF-FFFF00000000}"/>
  </bookViews>
  <sheets>
    <sheet name="Tawas" sheetId="12" r:id="rId1"/>
    <sheet name="Kaporit" sheetId="14" r:id="rId2"/>
    <sheet name="Soda Ash" sheetId="15" r:id="rId3"/>
    <sheet name="BBM Solar" sheetId="16" r:id="rId4"/>
    <sheet name="Tawas Hanau" sheetId="18" r:id="rId5"/>
    <sheet name="Kaporit Hanau" sheetId="20" r:id="rId6"/>
    <sheet name="Soda Ash Hanau" sheetId="21" r:id="rId7"/>
    <sheet name="Polimer Hanau" sheetId="37" r:id="rId8"/>
    <sheet name="Tawas K. B" sheetId="22" r:id="rId9"/>
    <sheet name="Kaporit K. B" sheetId="23" r:id="rId10"/>
    <sheet name="Soda Ash K. B" sheetId="24" r:id="rId11"/>
    <sheet name="POLIMER K.B" sheetId="34" r:id="rId12"/>
    <sheet name="TAWAS BENAR" sheetId="25" r:id="rId13"/>
    <sheet name="Kaporit BENAR" sheetId="26" r:id="rId14"/>
    <sheet name="SODA ASH BENAR" sheetId="27" r:id="rId15"/>
    <sheet name="POLIMER" sheetId="33" r:id="rId16"/>
    <sheet name="REKAP TAWAS" sheetId="28" r:id="rId17"/>
    <sheet name="REKAP KAPORIT" sheetId="29" r:id="rId18"/>
    <sheet name="REKAP SODA ASH" sheetId="30" r:id="rId19"/>
    <sheet name="REKAP POLIMER" sheetId="35" r:id="rId20"/>
    <sheet name="REKAP TOTAL" sheetId="31" r:id="rId21"/>
    <sheet name="Sheet3" sheetId="36" r:id="rId22"/>
    <sheet name="Sheet2" sheetId="32" r:id="rId23"/>
    <sheet name="Sheet4" sheetId="38" r:id="rId24"/>
  </sheets>
  <definedNames>
    <definedName name="_xlnm.Print_Area" localSheetId="17">'REKAP KAPORIT'!$A$66:$Q$110</definedName>
    <definedName name="_xlnm.Print_Area" localSheetId="19">'REKAP POLIMER'!$A$62:$Q$91</definedName>
    <definedName name="_xlnm.Print_Area" localSheetId="18">'REKAP SODA ASH'!$A$74:$Q$109</definedName>
    <definedName name="_xlnm.Print_Area" localSheetId="16">'REKAP TAWAS'!$A$63:$Q$94</definedName>
    <definedName name="_xlnm.Print_Area" localSheetId="20">'REKAP TOTAL'!$A$1:$L$83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33" l="1"/>
  <c r="C11" i="33"/>
  <c r="C12" i="33" s="1"/>
  <c r="C9" i="37"/>
  <c r="I22" i="24"/>
  <c r="G25" i="24"/>
  <c r="G26" i="24"/>
  <c r="G27" i="24"/>
  <c r="G28" i="24"/>
  <c r="G29" i="24"/>
  <c r="G30" i="24"/>
  <c r="G31" i="24"/>
  <c r="G32" i="24"/>
  <c r="G33" i="24"/>
  <c r="G34" i="24"/>
  <c r="G35" i="24"/>
  <c r="G20" i="24"/>
  <c r="D25" i="24"/>
  <c r="D26" i="24"/>
  <c r="D27" i="24"/>
  <c r="D28" i="24"/>
  <c r="D29" i="24"/>
  <c r="D30" i="24"/>
  <c r="D31" i="24"/>
  <c r="D32" i="24"/>
  <c r="D33" i="24"/>
  <c r="D34" i="24"/>
  <c r="I23" i="24"/>
  <c r="I25" i="24"/>
  <c r="I26" i="24"/>
  <c r="I27" i="24"/>
  <c r="I28" i="24"/>
  <c r="I29" i="24"/>
  <c r="I30" i="24"/>
  <c r="I31" i="24"/>
  <c r="K25" i="24"/>
  <c r="K26" i="24"/>
  <c r="K27" i="24"/>
  <c r="K28" i="24"/>
  <c r="K29" i="24"/>
  <c r="J25" i="24"/>
  <c r="J26" i="24"/>
  <c r="J27" i="24"/>
  <c r="J28" i="24"/>
  <c r="J22" i="24"/>
  <c r="I18" i="24"/>
  <c r="D19" i="24"/>
  <c r="G63" i="31" l="1"/>
  <c r="K82" i="31"/>
  <c r="J82" i="31"/>
  <c r="D82" i="31"/>
  <c r="K77" i="31"/>
  <c r="K75" i="31"/>
  <c r="I77" i="31"/>
  <c r="J77" i="31" s="1"/>
  <c r="I76" i="31"/>
  <c r="K76" i="31"/>
  <c r="L76" i="31" s="1"/>
  <c r="J75" i="31"/>
  <c r="G75" i="31"/>
  <c r="G77" i="31"/>
  <c r="D76" i="31"/>
  <c r="D75" i="31"/>
  <c r="K70" i="31"/>
  <c r="L70" i="31" s="1"/>
  <c r="K68" i="31"/>
  <c r="L68" i="31" s="1"/>
  <c r="I70" i="31"/>
  <c r="J70" i="31" s="1"/>
  <c r="J69" i="31"/>
  <c r="G68" i="31"/>
  <c r="J68" i="31"/>
  <c r="G70" i="31"/>
  <c r="I69" i="31"/>
  <c r="I68" i="31"/>
  <c r="D69" i="31"/>
  <c r="D68" i="31"/>
  <c r="K69" i="31"/>
  <c r="L69" i="31" s="1"/>
  <c r="K62" i="31"/>
  <c r="L62" i="31" s="1"/>
  <c r="I62" i="31"/>
  <c r="J62" i="31" s="1"/>
  <c r="I61" i="31"/>
  <c r="J61" i="31" s="1"/>
  <c r="L82" i="31" l="1"/>
  <c r="J76" i="31"/>
  <c r="L77" i="31"/>
  <c r="I75" i="31"/>
  <c r="L75" i="31" s="1"/>
  <c r="K61" i="31"/>
  <c r="L61" i="31" s="1"/>
  <c r="D61" i="31" l="1"/>
  <c r="I52" i="31"/>
  <c r="H52" i="31"/>
  <c r="B52" i="31"/>
  <c r="I47" i="31"/>
  <c r="I46" i="31"/>
  <c r="I40" i="31"/>
  <c r="I41" i="31"/>
  <c r="I39" i="31"/>
  <c r="B62" i="29"/>
  <c r="C62" i="29"/>
  <c r="D62" i="29"/>
  <c r="E62" i="29"/>
  <c r="F62" i="29"/>
  <c r="G62" i="29"/>
  <c r="H62" i="29"/>
  <c r="I62" i="29"/>
  <c r="J62" i="29"/>
  <c r="K62" i="29"/>
  <c r="E61" i="29"/>
  <c r="F61" i="29"/>
  <c r="H61" i="29"/>
  <c r="B40" i="29"/>
  <c r="C40" i="29"/>
  <c r="D40" i="29"/>
  <c r="E40" i="29"/>
  <c r="F40" i="29"/>
  <c r="G40" i="29"/>
  <c r="H40" i="29"/>
  <c r="I40" i="29"/>
  <c r="J40" i="29"/>
  <c r="K40" i="29"/>
  <c r="L40" i="29"/>
  <c r="M40" i="29"/>
  <c r="N40" i="29"/>
  <c r="O40" i="29"/>
  <c r="P40" i="29"/>
  <c r="Q40" i="29"/>
  <c r="E39" i="29"/>
  <c r="F39" i="29"/>
  <c r="H39" i="29"/>
  <c r="I39" i="29"/>
  <c r="J39" i="29"/>
  <c r="K39" i="29"/>
  <c r="L39" i="29"/>
  <c r="N39" i="29"/>
  <c r="E50" i="29"/>
  <c r="F50" i="29"/>
  <c r="G50" i="29"/>
  <c r="C51" i="29"/>
  <c r="E51" i="29"/>
  <c r="F51" i="29"/>
  <c r="G51" i="29"/>
  <c r="E49" i="29"/>
  <c r="F49" i="29"/>
  <c r="H49" i="29"/>
  <c r="D41" i="31"/>
  <c r="I33" i="31"/>
  <c r="I32" i="31"/>
  <c r="B105" i="30"/>
  <c r="C105" i="30"/>
  <c r="D105" i="30"/>
  <c r="E105" i="30"/>
  <c r="F105" i="30"/>
  <c r="B106" i="30"/>
  <c r="C106" i="30"/>
  <c r="E106" i="30"/>
  <c r="F106" i="30"/>
  <c r="G106" i="30"/>
  <c r="E104" i="30"/>
  <c r="F104" i="30"/>
  <c r="H104" i="30"/>
  <c r="B94" i="30"/>
  <c r="C94" i="30"/>
  <c r="D94" i="30"/>
  <c r="E94" i="30"/>
  <c r="F94" i="30"/>
  <c r="G94" i="30"/>
  <c r="H94" i="30"/>
  <c r="I94" i="30"/>
  <c r="B93" i="30"/>
  <c r="C93" i="30"/>
  <c r="D93" i="30"/>
  <c r="E93" i="30"/>
  <c r="F93" i="30"/>
  <c r="H93" i="30"/>
  <c r="I93" i="30"/>
  <c r="E92" i="30"/>
  <c r="F92" i="30"/>
  <c r="G92" i="30"/>
  <c r="H92" i="30"/>
  <c r="B83" i="30"/>
  <c r="C83" i="30"/>
  <c r="D83" i="30"/>
  <c r="E83" i="30"/>
  <c r="F83" i="30"/>
  <c r="H83" i="30"/>
  <c r="I83" i="30"/>
  <c r="J83" i="30"/>
  <c r="K83" i="30"/>
  <c r="L83" i="30"/>
  <c r="M83" i="30"/>
  <c r="B84" i="30"/>
  <c r="C84" i="30"/>
  <c r="D84" i="30"/>
  <c r="E84" i="30"/>
  <c r="F84" i="30"/>
  <c r="G84" i="30"/>
  <c r="H84" i="30"/>
  <c r="I84" i="30"/>
  <c r="J84" i="30"/>
  <c r="K84" i="30"/>
  <c r="L84" i="30"/>
  <c r="M84" i="30"/>
  <c r="E82" i="30"/>
  <c r="F82" i="30"/>
  <c r="G82" i="30"/>
  <c r="H82" i="30"/>
  <c r="K82" i="30"/>
  <c r="N82" i="30"/>
  <c r="B96" i="29"/>
  <c r="C96" i="29"/>
  <c r="E96" i="29"/>
  <c r="F96" i="29"/>
  <c r="H96" i="29"/>
  <c r="I96" i="29"/>
  <c r="B97" i="29"/>
  <c r="C97" i="29"/>
  <c r="E97" i="29"/>
  <c r="F97" i="29"/>
  <c r="G97" i="29"/>
  <c r="H97" i="29"/>
  <c r="E95" i="29"/>
  <c r="F95" i="29"/>
  <c r="H95" i="29"/>
  <c r="E83" i="29"/>
  <c r="F83" i="29"/>
  <c r="G83" i="29"/>
  <c r="H83" i="29"/>
  <c r="B74" i="29"/>
  <c r="C74" i="29"/>
  <c r="D74" i="29"/>
  <c r="E74" i="29"/>
  <c r="F74" i="29"/>
  <c r="H74" i="29"/>
  <c r="I74" i="29"/>
  <c r="J74" i="29"/>
  <c r="K74" i="29"/>
  <c r="L74" i="29"/>
  <c r="M74" i="29"/>
  <c r="B75" i="29"/>
  <c r="C75" i="29"/>
  <c r="E75" i="29"/>
  <c r="F75" i="29"/>
  <c r="H75" i="29"/>
  <c r="I75" i="29"/>
  <c r="J75" i="29"/>
  <c r="K75" i="29"/>
  <c r="L75" i="29"/>
  <c r="M75" i="29"/>
  <c r="E73" i="29"/>
  <c r="F73" i="29"/>
  <c r="G73" i="29"/>
  <c r="H73" i="29"/>
  <c r="I73" i="29"/>
  <c r="K73" i="29"/>
  <c r="N73" i="29"/>
  <c r="C89" i="28"/>
  <c r="E89" i="28"/>
  <c r="H89" i="28"/>
  <c r="H90" i="28" s="1"/>
  <c r="E79" i="28"/>
  <c r="H79" i="28"/>
  <c r="B70" i="28"/>
  <c r="C70" i="28"/>
  <c r="D70" i="28"/>
  <c r="E70" i="28"/>
  <c r="F70" i="28"/>
  <c r="H70" i="28"/>
  <c r="I70" i="28"/>
  <c r="J70" i="28"/>
  <c r="K70" i="28"/>
  <c r="L70" i="28"/>
  <c r="M70" i="28"/>
  <c r="B71" i="28"/>
  <c r="C71" i="28"/>
  <c r="D71" i="28"/>
  <c r="E71" i="28"/>
  <c r="F71" i="28"/>
  <c r="G71" i="28"/>
  <c r="H71" i="28"/>
  <c r="I71" i="28"/>
  <c r="J71" i="28"/>
  <c r="K71" i="28"/>
  <c r="L71" i="28"/>
  <c r="M71" i="28"/>
  <c r="E69" i="28"/>
  <c r="F69" i="28"/>
  <c r="G69" i="28"/>
  <c r="H69" i="28"/>
  <c r="K69" i="28"/>
  <c r="N69" i="28"/>
  <c r="J12" i="24"/>
  <c r="J93" i="30" s="1"/>
  <c r="G12" i="24"/>
  <c r="G93" i="30" s="1"/>
  <c r="J17" i="24"/>
  <c r="D18" i="24"/>
  <c r="G18" i="24"/>
  <c r="J18" i="24"/>
  <c r="K18" i="24" s="1"/>
  <c r="H105" i="30"/>
  <c r="G12" i="21"/>
  <c r="G105" i="30" s="1"/>
  <c r="N83" i="30"/>
  <c r="G20" i="27"/>
  <c r="G83" i="30" s="1"/>
  <c r="G12" i="20"/>
  <c r="G96" i="29" s="1"/>
  <c r="N75" i="29"/>
  <c r="F14" i="18"/>
  <c r="F89" i="28" s="1"/>
  <c r="N71" i="28"/>
  <c r="G17" i="25"/>
  <c r="G70" i="28" s="1"/>
  <c r="G90" i="28"/>
  <c r="C79" i="28"/>
  <c r="J15" i="18"/>
  <c r="I14" i="18"/>
  <c r="I89" i="28" s="1"/>
  <c r="I11" i="20" l="1"/>
  <c r="I95" i="29" s="1"/>
  <c r="N70" i="28"/>
  <c r="O13" i="26"/>
  <c r="O74" i="29" s="1"/>
  <c r="G14" i="18"/>
  <c r="G89" i="28" s="1"/>
  <c r="P20" i="27"/>
  <c r="P83" i="30" s="1"/>
  <c r="N74" i="29"/>
  <c r="O20" i="27"/>
  <c r="O83" i="30" s="1"/>
  <c r="I12" i="21"/>
  <c r="I105" i="30" s="1"/>
  <c r="C95" i="29"/>
  <c r="P17" i="25"/>
  <c r="J12" i="21"/>
  <c r="F14" i="22"/>
  <c r="F79" i="28" s="1"/>
  <c r="O17" i="25"/>
  <c r="O70" i="28" s="1"/>
  <c r="N84" i="30"/>
  <c r="K12" i="24"/>
  <c r="K93" i="30" s="1"/>
  <c r="H106" i="30"/>
  <c r="G11" i="20"/>
  <c r="G95" i="29" s="1"/>
  <c r="J16" i="18"/>
  <c r="K16" i="18" s="1"/>
  <c r="K15" i="18"/>
  <c r="I10" i="37"/>
  <c r="Q20" i="27" l="1"/>
  <c r="Q83" i="30" s="1"/>
  <c r="P70" i="28"/>
  <c r="Q17" i="25"/>
  <c r="Q70" i="28" s="1"/>
  <c r="K12" i="21"/>
  <c r="K105" i="30" s="1"/>
  <c r="J105" i="30"/>
  <c r="B58" i="28" l="1"/>
  <c r="C58" i="28"/>
  <c r="D58" i="28"/>
  <c r="E58" i="28"/>
  <c r="F58" i="28"/>
  <c r="B59" i="28"/>
  <c r="C59" i="28"/>
  <c r="D59" i="28"/>
  <c r="E59" i="28"/>
  <c r="F59" i="28"/>
  <c r="G59" i="28"/>
  <c r="E57" i="28"/>
  <c r="F57" i="28"/>
  <c r="B47" i="28"/>
  <c r="C47" i="28"/>
  <c r="D47" i="28"/>
  <c r="E47" i="28"/>
  <c r="F47" i="28"/>
  <c r="B48" i="28"/>
  <c r="C48" i="28"/>
  <c r="D48" i="28"/>
  <c r="F48" i="28"/>
  <c r="C46" i="28"/>
  <c r="E46" i="28"/>
  <c r="H46" i="28"/>
  <c r="E37" i="28"/>
  <c r="F37" i="28"/>
  <c r="G37" i="28"/>
  <c r="K37" i="28"/>
  <c r="N37" i="28"/>
  <c r="C38" i="28"/>
  <c r="E38" i="28"/>
  <c r="F38" i="28"/>
  <c r="G38" i="28"/>
  <c r="I38" i="28"/>
  <c r="K38" i="28"/>
  <c r="L38" i="28"/>
  <c r="M38" i="28"/>
  <c r="N38" i="28"/>
  <c r="O38" i="28"/>
  <c r="E36" i="28"/>
  <c r="F36" i="28"/>
  <c r="G36" i="28"/>
  <c r="H36" i="28"/>
  <c r="K36" i="28"/>
  <c r="L36" i="28"/>
  <c r="N36" i="28"/>
  <c r="C61" i="29"/>
  <c r="G10" i="18"/>
  <c r="G58" i="28" s="1"/>
  <c r="C57" i="28"/>
  <c r="C9" i="33"/>
  <c r="C92" i="30"/>
  <c r="O15" i="27"/>
  <c r="C12" i="23"/>
  <c r="C11" i="23"/>
  <c r="C49" i="29" s="1"/>
  <c r="C39" i="29"/>
  <c r="H47" i="28"/>
  <c r="E11" i="22"/>
  <c r="E48" i="28" s="1"/>
  <c r="G10" i="22"/>
  <c r="G47" i="28" s="1"/>
  <c r="F9" i="22"/>
  <c r="F46" i="28" s="1"/>
  <c r="H38" i="28"/>
  <c r="L12" i="25"/>
  <c r="C36" i="28"/>
  <c r="K11" i="31"/>
  <c r="L11" i="31" s="1"/>
  <c r="J11" i="31"/>
  <c r="J12" i="31"/>
  <c r="D11" i="31"/>
  <c r="K12" i="31"/>
  <c r="L12" i="31" s="1"/>
  <c r="B8" i="28"/>
  <c r="C8" i="28"/>
  <c r="E8" i="28"/>
  <c r="F8" i="28"/>
  <c r="G8" i="28"/>
  <c r="H8" i="28"/>
  <c r="I8" i="28"/>
  <c r="J8" i="28"/>
  <c r="K8" i="28"/>
  <c r="L8" i="28"/>
  <c r="M8" i="28"/>
  <c r="N8" i="28"/>
  <c r="O8" i="28"/>
  <c r="C9" i="28"/>
  <c r="E9" i="28"/>
  <c r="F9" i="28"/>
  <c r="G9" i="28"/>
  <c r="H9" i="28"/>
  <c r="I9" i="28"/>
  <c r="J9" i="28"/>
  <c r="K9" i="28"/>
  <c r="L9" i="28"/>
  <c r="M9" i="28"/>
  <c r="N9" i="28"/>
  <c r="O9" i="28"/>
  <c r="C7" i="28"/>
  <c r="E7" i="28"/>
  <c r="F7" i="28"/>
  <c r="G7" i="28"/>
  <c r="H7" i="28"/>
  <c r="I7" i="28"/>
  <c r="K7" i="28"/>
  <c r="L7" i="28"/>
  <c r="N7" i="28"/>
  <c r="G32" i="30"/>
  <c r="H32" i="30"/>
  <c r="I32" i="30"/>
  <c r="H31" i="30"/>
  <c r="E32" i="30"/>
  <c r="F32" i="30"/>
  <c r="F31" i="30"/>
  <c r="B9" i="30"/>
  <c r="C9" i="30"/>
  <c r="C10" i="30"/>
  <c r="C8" i="30"/>
  <c r="N9" i="30"/>
  <c r="L9" i="27"/>
  <c r="M9" i="27" s="1"/>
  <c r="M7" i="25"/>
  <c r="M7" i="28" s="1"/>
  <c r="N10" i="30"/>
  <c r="P10" i="27"/>
  <c r="P9" i="30" s="1"/>
  <c r="O10" i="27"/>
  <c r="O9" i="30" s="1"/>
  <c r="K8" i="21"/>
  <c r="J8" i="21"/>
  <c r="G7" i="21"/>
  <c r="G7" i="18"/>
  <c r="B10" i="30"/>
  <c r="D10" i="27"/>
  <c r="D9" i="30" s="1"/>
  <c r="B9" i="28"/>
  <c r="D8" i="25"/>
  <c r="Q8" i="25" s="1"/>
  <c r="Q8" i="28" s="1"/>
  <c r="D8" i="37"/>
  <c r="B412" i="30"/>
  <c r="C412" i="30"/>
  <c r="E412" i="30"/>
  <c r="F412" i="30"/>
  <c r="H412" i="30"/>
  <c r="I412" i="30"/>
  <c r="B413" i="30"/>
  <c r="C413" i="30"/>
  <c r="E413" i="30"/>
  <c r="F413" i="30"/>
  <c r="G413" i="30"/>
  <c r="H413" i="30"/>
  <c r="I413" i="30"/>
  <c r="C411" i="30"/>
  <c r="E411" i="30"/>
  <c r="F411" i="30"/>
  <c r="G411" i="30"/>
  <c r="H411" i="30"/>
  <c r="G35" i="18"/>
  <c r="B391" i="30"/>
  <c r="C391" i="30"/>
  <c r="D391" i="30"/>
  <c r="E391" i="30"/>
  <c r="F391" i="30"/>
  <c r="H391" i="30"/>
  <c r="I391" i="30"/>
  <c r="J391" i="30"/>
  <c r="K391" i="30"/>
  <c r="L391" i="30"/>
  <c r="M391" i="30"/>
  <c r="N391" i="30"/>
  <c r="O391" i="30"/>
  <c r="B392" i="30"/>
  <c r="C392" i="30"/>
  <c r="D392" i="30"/>
  <c r="E392" i="30"/>
  <c r="F392" i="30"/>
  <c r="G392" i="30"/>
  <c r="H392" i="30"/>
  <c r="I392" i="30"/>
  <c r="J392" i="30"/>
  <c r="K392" i="30"/>
  <c r="L392" i="30"/>
  <c r="M392" i="30"/>
  <c r="N392" i="30"/>
  <c r="O392" i="30"/>
  <c r="B366" i="29"/>
  <c r="C366" i="29"/>
  <c r="D366" i="29"/>
  <c r="E366" i="29"/>
  <c r="F366" i="29"/>
  <c r="H366" i="29"/>
  <c r="I366" i="29"/>
  <c r="J366" i="29"/>
  <c r="K366" i="29"/>
  <c r="L366" i="29"/>
  <c r="M366" i="29"/>
  <c r="N366" i="29"/>
  <c r="O366" i="29"/>
  <c r="B367" i="29"/>
  <c r="C367" i="29"/>
  <c r="D367" i="29"/>
  <c r="E367" i="29"/>
  <c r="F367" i="29"/>
  <c r="G367" i="29"/>
  <c r="H367" i="29"/>
  <c r="I367" i="29"/>
  <c r="J367" i="29"/>
  <c r="K367" i="29"/>
  <c r="L367" i="29"/>
  <c r="M367" i="29"/>
  <c r="N367" i="29"/>
  <c r="O367" i="29"/>
  <c r="C365" i="29"/>
  <c r="E365" i="29"/>
  <c r="F365" i="29"/>
  <c r="H365" i="29"/>
  <c r="I365" i="29"/>
  <c r="J365" i="29"/>
  <c r="K365" i="29"/>
  <c r="L365" i="29"/>
  <c r="M365" i="29"/>
  <c r="N365" i="29"/>
  <c r="B339" i="28"/>
  <c r="C339" i="28"/>
  <c r="D339" i="28"/>
  <c r="E339" i="28"/>
  <c r="F339" i="28"/>
  <c r="H339" i="28"/>
  <c r="I339" i="28"/>
  <c r="J339" i="28"/>
  <c r="K339" i="28"/>
  <c r="L339" i="28"/>
  <c r="M339" i="28"/>
  <c r="N339" i="28"/>
  <c r="O339" i="28"/>
  <c r="B340" i="28"/>
  <c r="C340" i="28"/>
  <c r="D340" i="28"/>
  <c r="E340" i="28"/>
  <c r="F340" i="28"/>
  <c r="G340" i="28"/>
  <c r="H340" i="28"/>
  <c r="I340" i="28"/>
  <c r="J340" i="28"/>
  <c r="K340" i="28"/>
  <c r="L340" i="28"/>
  <c r="M340" i="28"/>
  <c r="N340" i="28"/>
  <c r="O340" i="28"/>
  <c r="N20" i="33"/>
  <c r="O19" i="33"/>
  <c r="P51" i="27"/>
  <c r="Q51" i="27" s="1"/>
  <c r="Q391" i="30" s="1"/>
  <c r="P366" i="29"/>
  <c r="Q339" i="28"/>
  <c r="G51" i="27"/>
  <c r="G391" i="30" s="1"/>
  <c r="G339" i="28"/>
  <c r="G366" i="29"/>
  <c r="I12" i="25" l="1"/>
  <c r="I37" i="28" s="1"/>
  <c r="H11" i="22"/>
  <c r="H48" i="28" s="1"/>
  <c r="I11" i="25"/>
  <c r="I36" i="28" s="1"/>
  <c r="H13" i="23"/>
  <c r="H51" i="29" s="1"/>
  <c r="H50" i="29"/>
  <c r="B79" i="28"/>
  <c r="J79" i="28"/>
  <c r="G11" i="21"/>
  <c r="G104" i="30" s="1"/>
  <c r="C104" i="30"/>
  <c r="I10" i="22"/>
  <c r="I47" i="28" s="1"/>
  <c r="C16" i="23"/>
  <c r="C18" i="23" s="1"/>
  <c r="C50" i="29"/>
  <c r="M12" i="25"/>
  <c r="M37" i="28" s="1"/>
  <c r="L37" i="28"/>
  <c r="J12" i="25"/>
  <c r="J37" i="28" s="1"/>
  <c r="H37" i="28"/>
  <c r="I9" i="21"/>
  <c r="J47" i="28"/>
  <c r="O9" i="33"/>
  <c r="O12" i="25"/>
  <c r="O37" i="28" s="1"/>
  <c r="I12" i="23"/>
  <c r="I50" i="29" s="1"/>
  <c r="C37" i="28"/>
  <c r="O10" i="26"/>
  <c r="O39" i="29" s="1"/>
  <c r="D15" i="27"/>
  <c r="D8" i="28"/>
  <c r="D12" i="31"/>
  <c r="K32" i="30"/>
  <c r="J32" i="30"/>
  <c r="G31" i="30"/>
  <c r="Q10" i="27"/>
  <c r="Q9" i="30" s="1"/>
  <c r="P391" i="30"/>
  <c r="Q366" i="29"/>
  <c r="P339" i="28"/>
  <c r="M50" i="27"/>
  <c r="J50" i="27"/>
  <c r="M37" i="25"/>
  <c r="D35" i="23"/>
  <c r="D34" i="23"/>
  <c r="G412" i="30"/>
  <c r="D412" i="30"/>
  <c r="H377" i="30"/>
  <c r="I28" i="21"/>
  <c r="I376" i="30" s="1"/>
  <c r="C376" i="30"/>
  <c r="E376" i="30"/>
  <c r="F376" i="30"/>
  <c r="G376" i="30"/>
  <c r="H376" i="30"/>
  <c r="C377" i="30"/>
  <c r="E377" i="30"/>
  <c r="F377" i="30"/>
  <c r="G377" i="30"/>
  <c r="B378" i="30"/>
  <c r="C378" i="30"/>
  <c r="D378" i="30"/>
  <c r="E378" i="30"/>
  <c r="F378" i="30"/>
  <c r="H378" i="30"/>
  <c r="I378" i="30"/>
  <c r="B379" i="30"/>
  <c r="C379" i="30"/>
  <c r="D379" i="30"/>
  <c r="E379" i="30"/>
  <c r="F379" i="30"/>
  <c r="G379" i="30"/>
  <c r="H379" i="30"/>
  <c r="I379" i="30"/>
  <c r="C375" i="30"/>
  <c r="E375" i="30"/>
  <c r="F375" i="30"/>
  <c r="H375" i="30"/>
  <c r="B366" i="30"/>
  <c r="C366" i="30"/>
  <c r="D366" i="30"/>
  <c r="E366" i="30"/>
  <c r="F366" i="30"/>
  <c r="H366" i="30"/>
  <c r="B367" i="30"/>
  <c r="C367" i="30"/>
  <c r="D367" i="30"/>
  <c r="E367" i="30"/>
  <c r="F367" i="30"/>
  <c r="H367" i="30"/>
  <c r="C365" i="30"/>
  <c r="E365" i="30"/>
  <c r="F365" i="30"/>
  <c r="H365" i="30"/>
  <c r="E355" i="30"/>
  <c r="F355" i="30"/>
  <c r="G355" i="30"/>
  <c r="H355" i="30"/>
  <c r="K355" i="30"/>
  <c r="L355" i="30"/>
  <c r="N355" i="30"/>
  <c r="C356" i="30"/>
  <c r="E356" i="30"/>
  <c r="F356" i="30"/>
  <c r="G356" i="30"/>
  <c r="I356" i="30"/>
  <c r="K356" i="30"/>
  <c r="L356" i="30"/>
  <c r="M356" i="30"/>
  <c r="N356" i="30"/>
  <c r="E354" i="30"/>
  <c r="F354" i="30"/>
  <c r="G354" i="30"/>
  <c r="H354" i="30"/>
  <c r="K354" i="30"/>
  <c r="L354" i="30"/>
  <c r="M354" i="30"/>
  <c r="N354" i="30"/>
  <c r="O354" i="30"/>
  <c r="I32" i="24"/>
  <c r="I365" i="30" s="1"/>
  <c r="K366" i="30"/>
  <c r="G366" i="30"/>
  <c r="K378" i="30"/>
  <c r="G378" i="30"/>
  <c r="G33" i="18"/>
  <c r="M47" i="27"/>
  <c r="M355" i="30" s="1"/>
  <c r="H356" i="30"/>
  <c r="C354" i="30"/>
  <c r="M35" i="25"/>
  <c r="K10" i="22" l="1"/>
  <c r="K47" i="28" s="1"/>
  <c r="I16" i="25"/>
  <c r="I69" i="28" s="1"/>
  <c r="L16" i="25"/>
  <c r="L69" i="28" s="1"/>
  <c r="C69" i="28"/>
  <c r="C82" i="30"/>
  <c r="I19" i="27"/>
  <c r="I82" i="30" s="1"/>
  <c r="L19" i="27"/>
  <c r="L82" i="30" s="1"/>
  <c r="I16" i="23"/>
  <c r="I83" i="29" s="1"/>
  <c r="C83" i="29"/>
  <c r="L12" i="26"/>
  <c r="C73" i="29"/>
  <c r="I355" i="30"/>
  <c r="J47" i="27"/>
  <c r="J355" i="30" s="1"/>
  <c r="C355" i="30"/>
  <c r="O47" i="27"/>
  <c r="O355" i="30" s="1"/>
  <c r="I367" i="30"/>
  <c r="J366" i="30"/>
  <c r="I366" i="30"/>
  <c r="K412" i="30"/>
  <c r="J412" i="30"/>
  <c r="J378" i="30"/>
  <c r="O26" i="26"/>
  <c r="J17" i="33"/>
  <c r="B341" i="30"/>
  <c r="C341" i="30"/>
  <c r="D341" i="30"/>
  <c r="E341" i="30"/>
  <c r="F341" i="30"/>
  <c r="G341" i="30"/>
  <c r="H341" i="30"/>
  <c r="I341" i="30"/>
  <c r="B340" i="30"/>
  <c r="C340" i="30"/>
  <c r="D340" i="30"/>
  <c r="E340" i="30"/>
  <c r="F340" i="30"/>
  <c r="H340" i="30"/>
  <c r="I340" i="30"/>
  <c r="C339" i="30"/>
  <c r="E339" i="30"/>
  <c r="F339" i="30"/>
  <c r="H339" i="30"/>
  <c r="C329" i="30"/>
  <c r="E329" i="30"/>
  <c r="F329" i="30"/>
  <c r="H329" i="30"/>
  <c r="I329" i="30"/>
  <c r="B329" i="30"/>
  <c r="B330" i="30"/>
  <c r="C330" i="30"/>
  <c r="D330" i="30"/>
  <c r="B331" i="30"/>
  <c r="C331" i="30"/>
  <c r="D331" i="30"/>
  <c r="E320" i="30"/>
  <c r="F320" i="30"/>
  <c r="C319" i="30"/>
  <c r="H319" i="30"/>
  <c r="I319" i="30"/>
  <c r="K319" i="30"/>
  <c r="L319" i="30"/>
  <c r="N319" i="30"/>
  <c r="B313" i="29"/>
  <c r="C313" i="29"/>
  <c r="E313" i="29"/>
  <c r="F313" i="29"/>
  <c r="G313" i="29"/>
  <c r="H313" i="29"/>
  <c r="I313" i="29"/>
  <c r="B314" i="29"/>
  <c r="C314" i="29"/>
  <c r="E314" i="29"/>
  <c r="F314" i="29"/>
  <c r="G314" i="29"/>
  <c r="H314" i="29"/>
  <c r="I314" i="29"/>
  <c r="C312" i="29"/>
  <c r="E312" i="29"/>
  <c r="F312" i="29"/>
  <c r="G312" i="29"/>
  <c r="H312" i="29"/>
  <c r="J42" i="27"/>
  <c r="J319" i="30" s="1"/>
  <c r="G26" i="26"/>
  <c r="J17" i="34"/>
  <c r="D18" i="34" s="1"/>
  <c r="G17" i="34"/>
  <c r="J30" i="24"/>
  <c r="K30" i="24" s="1"/>
  <c r="K329" i="30" s="1"/>
  <c r="J340" i="30"/>
  <c r="G340" i="30"/>
  <c r="G329" i="30"/>
  <c r="D329" i="30"/>
  <c r="K313" i="29"/>
  <c r="D313" i="29"/>
  <c r="J313" i="29"/>
  <c r="G31" i="18"/>
  <c r="C270" i="35"/>
  <c r="E270" i="35"/>
  <c r="F270" i="35"/>
  <c r="G270" i="35"/>
  <c r="H270" i="35"/>
  <c r="B270" i="35"/>
  <c r="C260" i="35"/>
  <c r="E260" i="35"/>
  <c r="F260" i="35"/>
  <c r="G260" i="35"/>
  <c r="H260" i="35"/>
  <c r="B260" i="35"/>
  <c r="C251" i="35"/>
  <c r="E251" i="35"/>
  <c r="F251" i="35"/>
  <c r="G251" i="35"/>
  <c r="H251" i="35"/>
  <c r="I251" i="35"/>
  <c r="J251" i="35"/>
  <c r="K251" i="35"/>
  <c r="L251" i="35"/>
  <c r="M251" i="35"/>
  <c r="N251" i="35"/>
  <c r="B251" i="35"/>
  <c r="C305" i="30"/>
  <c r="E305" i="30"/>
  <c r="F305" i="30"/>
  <c r="G305" i="30"/>
  <c r="H305" i="30"/>
  <c r="B305" i="30"/>
  <c r="H296" i="30"/>
  <c r="B295" i="30"/>
  <c r="C295" i="30"/>
  <c r="D295" i="30"/>
  <c r="E295" i="30"/>
  <c r="F295" i="30"/>
  <c r="H295" i="30"/>
  <c r="B296" i="30"/>
  <c r="C296" i="30"/>
  <c r="D296" i="30"/>
  <c r="E296" i="30"/>
  <c r="F296" i="30"/>
  <c r="G296" i="30"/>
  <c r="C294" i="30"/>
  <c r="E294" i="30"/>
  <c r="F294" i="30"/>
  <c r="G294" i="30"/>
  <c r="H294" i="30"/>
  <c r="B294" i="30"/>
  <c r="C284" i="30"/>
  <c r="E284" i="30"/>
  <c r="F284" i="30"/>
  <c r="G284" i="30"/>
  <c r="H284" i="30"/>
  <c r="I284" i="30"/>
  <c r="K284" i="30"/>
  <c r="L284" i="30"/>
  <c r="M284" i="30"/>
  <c r="N284" i="30"/>
  <c r="B284" i="30"/>
  <c r="C291" i="29"/>
  <c r="E291" i="29"/>
  <c r="F291" i="29"/>
  <c r="G291" i="29"/>
  <c r="H291" i="29"/>
  <c r="B291" i="29"/>
  <c r="B281" i="29"/>
  <c r="C281" i="29"/>
  <c r="E281" i="29"/>
  <c r="F281" i="29"/>
  <c r="G281" i="29"/>
  <c r="H281" i="29"/>
  <c r="I281" i="29"/>
  <c r="C282" i="29"/>
  <c r="E282" i="29"/>
  <c r="F282" i="29"/>
  <c r="G282" i="29"/>
  <c r="H282" i="29"/>
  <c r="I282" i="29"/>
  <c r="C280" i="29"/>
  <c r="E280" i="29"/>
  <c r="F280" i="29"/>
  <c r="G280" i="29"/>
  <c r="H280" i="29"/>
  <c r="B280" i="29"/>
  <c r="C272" i="28"/>
  <c r="E272" i="28"/>
  <c r="F272" i="28"/>
  <c r="G272" i="28"/>
  <c r="H272" i="28"/>
  <c r="B272" i="28"/>
  <c r="C262" i="28"/>
  <c r="E262" i="28"/>
  <c r="F262" i="28"/>
  <c r="H262" i="28"/>
  <c r="B262" i="28"/>
  <c r="C253" i="28"/>
  <c r="E253" i="28"/>
  <c r="F253" i="28"/>
  <c r="G253" i="28"/>
  <c r="H253" i="28"/>
  <c r="I253" i="28"/>
  <c r="K253" i="28"/>
  <c r="L253" i="28"/>
  <c r="M253" i="28"/>
  <c r="N253" i="28"/>
  <c r="B253" i="28"/>
  <c r="J295" i="30"/>
  <c r="I295" i="30"/>
  <c r="G295" i="30"/>
  <c r="G29" i="22"/>
  <c r="G262" i="28" s="1"/>
  <c r="J40" i="27"/>
  <c r="J284" i="30" s="1"/>
  <c r="P40" i="27"/>
  <c r="P284" i="30" s="1"/>
  <c r="D16" i="34"/>
  <c r="D260" i="35" s="1"/>
  <c r="B282" i="29"/>
  <c r="D281" i="29"/>
  <c r="J281" i="29"/>
  <c r="M12" i="26" l="1"/>
  <c r="M73" i="29" s="1"/>
  <c r="L73" i="29"/>
  <c r="J46" i="27"/>
  <c r="I354" i="30"/>
  <c r="J329" i="30"/>
  <c r="K340" i="30"/>
  <c r="B376" i="30"/>
  <c r="K295" i="30"/>
  <c r="K281" i="29"/>
  <c r="B260" i="29"/>
  <c r="C260" i="29"/>
  <c r="E260" i="29"/>
  <c r="F260" i="29"/>
  <c r="G260" i="29"/>
  <c r="H260" i="29"/>
  <c r="B261" i="29"/>
  <c r="C261" i="29"/>
  <c r="E261" i="29"/>
  <c r="F261" i="29"/>
  <c r="G261" i="29"/>
  <c r="H261" i="29"/>
  <c r="C259" i="29"/>
  <c r="E259" i="29"/>
  <c r="F259" i="29"/>
  <c r="G259" i="29"/>
  <c r="H259" i="29"/>
  <c r="B259" i="29"/>
  <c r="D252" i="29"/>
  <c r="B252" i="29"/>
  <c r="C252" i="29"/>
  <c r="E252" i="29"/>
  <c r="F252" i="29"/>
  <c r="G252" i="29"/>
  <c r="H252" i="29"/>
  <c r="I252" i="29"/>
  <c r="C253" i="29"/>
  <c r="E253" i="29"/>
  <c r="F253" i="29"/>
  <c r="G253" i="29"/>
  <c r="H253" i="29"/>
  <c r="I253" i="29"/>
  <c r="C251" i="29"/>
  <c r="E251" i="29"/>
  <c r="F251" i="29"/>
  <c r="H251" i="29"/>
  <c r="J15" i="34"/>
  <c r="J231" i="35" s="1"/>
  <c r="C231" i="35"/>
  <c r="E231" i="35"/>
  <c r="F231" i="35"/>
  <c r="H231" i="35"/>
  <c r="B231" i="35"/>
  <c r="C271" i="30"/>
  <c r="E271" i="30"/>
  <c r="F271" i="30"/>
  <c r="H271" i="30"/>
  <c r="B271" i="30"/>
  <c r="C263" i="30"/>
  <c r="E263" i="30"/>
  <c r="F263" i="30"/>
  <c r="H263" i="30"/>
  <c r="B263" i="30"/>
  <c r="B255" i="30"/>
  <c r="C255" i="30"/>
  <c r="E255" i="30"/>
  <c r="F255" i="30"/>
  <c r="G255" i="30"/>
  <c r="H255" i="30"/>
  <c r="I255" i="30"/>
  <c r="J255" i="30"/>
  <c r="K255" i="30"/>
  <c r="L255" i="30"/>
  <c r="M255" i="30"/>
  <c r="N255" i="30"/>
  <c r="C256" i="30"/>
  <c r="E256" i="30"/>
  <c r="F256" i="30"/>
  <c r="G256" i="30"/>
  <c r="H256" i="30"/>
  <c r="I256" i="30"/>
  <c r="J256" i="30"/>
  <c r="K256" i="30"/>
  <c r="L256" i="30"/>
  <c r="M256" i="30"/>
  <c r="C254" i="30"/>
  <c r="E254" i="30"/>
  <c r="F254" i="30"/>
  <c r="G254" i="30"/>
  <c r="H254" i="30"/>
  <c r="I254" i="30"/>
  <c r="K254" i="30"/>
  <c r="L254" i="30"/>
  <c r="N254" i="30"/>
  <c r="B254" i="30"/>
  <c r="B251" i="29"/>
  <c r="B244" i="29"/>
  <c r="C244" i="29"/>
  <c r="E244" i="29"/>
  <c r="F244" i="29"/>
  <c r="G244" i="29"/>
  <c r="H244" i="29"/>
  <c r="I244" i="29"/>
  <c r="J244" i="29"/>
  <c r="K244" i="29"/>
  <c r="L244" i="29"/>
  <c r="M244" i="29"/>
  <c r="N244" i="29"/>
  <c r="C245" i="29"/>
  <c r="E245" i="29"/>
  <c r="F245" i="29"/>
  <c r="G245" i="29"/>
  <c r="H245" i="29"/>
  <c r="I245" i="29"/>
  <c r="J245" i="29"/>
  <c r="K245" i="29"/>
  <c r="L245" i="29"/>
  <c r="M245" i="29"/>
  <c r="C243" i="29"/>
  <c r="E243" i="29"/>
  <c r="F243" i="29"/>
  <c r="H243" i="29"/>
  <c r="I243" i="29"/>
  <c r="J243" i="29"/>
  <c r="K243" i="29"/>
  <c r="L243" i="29"/>
  <c r="M243" i="29"/>
  <c r="N243" i="29"/>
  <c r="B243" i="29"/>
  <c r="C242" i="28"/>
  <c r="E242" i="28"/>
  <c r="F242" i="28"/>
  <c r="H242" i="28"/>
  <c r="J15" i="33"/>
  <c r="G15" i="34"/>
  <c r="G231" i="35" s="1"/>
  <c r="P37" i="27"/>
  <c r="Q37" i="27" s="1"/>
  <c r="P36" i="27"/>
  <c r="N256" i="30"/>
  <c r="O37" i="27"/>
  <c r="O255" i="30" s="1"/>
  <c r="O36" i="27"/>
  <c r="O254" i="30" s="1"/>
  <c r="M36" i="27"/>
  <c r="M254" i="30" s="1"/>
  <c r="J36" i="27"/>
  <c r="J254" i="30" s="1"/>
  <c r="B256" i="30"/>
  <c r="D37" i="27"/>
  <c r="D255" i="30" s="1"/>
  <c r="D36" i="27"/>
  <c r="D254" i="30" s="1"/>
  <c r="P244" i="29"/>
  <c r="P22" i="26"/>
  <c r="N245" i="29"/>
  <c r="O244" i="29"/>
  <c r="O22" i="26"/>
  <c r="O243" i="29" s="1"/>
  <c r="B245" i="29"/>
  <c r="D244" i="29"/>
  <c r="D22" i="26"/>
  <c r="M29" i="25"/>
  <c r="G263" i="30"/>
  <c r="G21" i="21"/>
  <c r="G271" i="30" s="1"/>
  <c r="I260" i="29"/>
  <c r="I21" i="20"/>
  <c r="I259" i="29" s="1"/>
  <c r="G27" i="18"/>
  <c r="G242" i="28" s="1"/>
  <c r="J48" i="27" l="1"/>
  <c r="J356" i="30" s="1"/>
  <c r="J354" i="30"/>
  <c r="I261" i="29"/>
  <c r="Q244" i="29"/>
  <c r="P245" i="29"/>
  <c r="D28" i="21"/>
  <c r="D376" i="30" s="1"/>
  <c r="J28" i="21"/>
  <c r="P38" i="27"/>
  <c r="P256" i="30" s="1"/>
  <c r="P254" i="30"/>
  <c r="Q36" i="27"/>
  <c r="Q254" i="30" s="1"/>
  <c r="Q255" i="30"/>
  <c r="P255" i="30"/>
  <c r="O38" i="27"/>
  <c r="O256" i="30" s="1"/>
  <c r="D38" i="27"/>
  <c r="D256" i="30" s="1"/>
  <c r="D245" i="29"/>
  <c r="Q22" i="26"/>
  <c r="Q243" i="29" s="1"/>
  <c r="P243" i="29"/>
  <c r="D243" i="29"/>
  <c r="O245" i="29"/>
  <c r="J252" i="29"/>
  <c r="B253" i="29"/>
  <c r="J260" i="29"/>
  <c r="D260" i="29"/>
  <c r="C162" i="35"/>
  <c r="E162" i="35"/>
  <c r="F162" i="35"/>
  <c r="G162" i="35"/>
  <c r="H162" i="35"/>
  <c r="I162" i="35"/>
  <c r="K162" i="35"/>
  <c r="L162" i="35"/>
  <c r="M162" i="35"/>
  <c r="N162" i="35"/>
  <c r="B162" i="35"/>
  <c r="K260" i="29" l="1"/>
  <c r="Q245" i="29"/>
  <c r="K28" i="21"/>
  <c r="K376" i="30" s="1"/>
  <c r="J376" i="30"/>
  <c r="Q38" i="27"/>
  <c r="Q256" i="30" s="1"/>
  <c r="K252" i="29"/>
  <c r="I14" i="37" l="1"/>
  <c r="I19" i="21"/>
  <c r="I240" i="30" s="1"/>
  <c r="G19" i="21"/>
  <c r="G240" i="30" s="1"/>
  <c r="O14" i="33"/>
  <c r="B232" i="29"/>
  <c r="C232" i="29"/>
  <c r="E232" i="29"/>
  <c r="F232" i="29"/>
  <c r="G232" i="29"/>
  <c r="H232" i="29"/>
  <c r="I232" i="29"/>
  <c r="C233" i="29"/>
  <c r="E233" i="29"/>
  <c r="F233" i="29"/>
  <c r="G233" i="29"/>
  <c r="H233" i="29"/>
  <c r="I233" i="29"/>
  <c r="C231" i="29"/>
  <c r="E231" i="29"/>
  <c r="F231" i="29"/>
  <c r="G231" i="29"/>
  <c r="H231" i="29"/>
  <c r="B231" i="29"/>
  <c r="C240" i="30"/>
  <c r="E240" i="30"/>
  <c r="F240" i="30"/>
  <c r="H240" i="30"/>
  <c r="B240" i="30"/>
  <c r="C232" i="30"/>
  <c r="E232" i="30"/>
  <c r="F232" i="30"/>
  <c r="H232" i="30"/>
  <c r="B232" i="30"/>
  <c r="B233" i="30" l="1"/>
  <c r="C233" i="30"/>
  <c r="E233" i="30"/>
  <c r="F233" i="30"/>
  <c r="G233" i="30"/>
  <c r="H233" i="30"/>
  <c r="B223" i="30"/>
  <c r="C223" i="30"/>
  <c r="E223" i="30"/>
  <c r="F223" i="30"/>
  <c r="H223" i="30"/>
  <c r="I223" i="30"/>
  <c r="J223" i="30"/>
  <c r="K223" i="30"/>
  <c r="L223" i="30"/>
  <c r="M223" i="30"/>
  <c r="N223" i="30"/>
  <c r="B224" i="30"/>
  <c r="C224" i="30"/>
  <c r="E224" i="30"/>
  <c r="F224" i="30"/>
  <c r="G224" i="30"/>
  <c r="H224" i="30"/>
  <c r="I224" i="30"/>
  <c r="K224" i="30"/>
  <c r="L224" i="30"/>
  <c r="M224" i="30"/>
  <c r="N224" i="30"/>
  <c r="C222" i="30"/>
  <c r="E222" i="30"/>
  <c r="F222" i="30"/>
  <c r="G222" i="30"/>
  <c r="H222" i="30"/>
  <c r="I222" i="30"/>
  <c r="J222" i="30"/>
  <c r="K222" i="30"/>
  <c r="L222" i="30"/>
  <c r="N222" i="30"/>
  <c r="B191" i="30"/>
  <c r="C191" i="30"/>
  <c r="D191" i="30"/>
  <c r="E191" i="30"/>
  <c r="F191" i="30"/>
  <c r="H191" i="30"/>
  <c r="I191" i="30"/>
  <c r="K191" i="30"/>
  <c r="L191" i="30"/>
  <c r="M191" i="30"/>
  <c r="N191" i="30"/>
  <c r="C190" i="30"/>
  <c r="E190" i="30"/>
  <c r="F190" i="30"/>
  <c r="G190" i="30"/>
  <c r="H190" i="30"/>
  <c r="I190" i="30"/>
  <c r="K190" i="30"/>
  <c r="L190" i="30"/>
  <c r="N190" i="30"/>
  <c r="B212" i="29"/>
  <c r="C212" i="29"/>
  <c r="D212" i="29"/>
  <c r="E212" i="29"/>
  <c r="F212" i="29"/>
  <c r="H212" i="29"/>
  <c r="I212" i="29"/>
  <c r="J212" i="29"/>
  <c r="K212" i="29"/>
  <c r="L212" i="29"/>
  <c r="M212" i="29"/>
  <c r="N212" i="29"/>
  <c r="O212" i="29"/>
  <c r="B213" i="29"/>
  <c r="C213" i="29"/>
  <c r="E213" i="29"/>
  <c r="F213" i="29"/>
  <c r="G213" i="29"/>
  <c r="H213" i="29"/>
  <c r="I213" i="29"/>
  <c r="J213" i="29"/>
  <c r="K213" i="29"/>
  <c r="L213" i="29"/>
  <c r="M213" i="29"/>
  <c r="N213" i="29"/>
  <c r="C211" i="29"/>
  <c r="E211" i="29"/>
  <c r="F211" i="29"/>
  <c r="G211" i="29"/>
  <c r="H211" i="29"/>
  <c r="I211" i="29"/>
  <c r="J211" i="29"/>
  <c r="K211" i="29"/>
  <c r="L211" i="29"/>
  <c r="M211" i="29"/>
  <c r="N211" i="29"/>
  <c r="B222" i="29"/>
  <c r="C222" i="29"/>
  <c r="E222" i="29"/>
  <c r="F222" i="29"/>
  <c r="G222" i="29"/>
  <c r="H222" i="29"/>
  <c r="I222" i="29"/>
  <c r="B223" i="29"/>
  <c r="C223" i="29"/>
  <c r="E223" i="29"/>
  <c r="F223" i="29"/>
  <c r="G223" i="29"/>
  <c r="H223" i="29"/>
  <c r="I223" i="29"/>
  <c r="C221" i="29"/>
  <c r="E221" i="29"/>
  <c r="F221" i="29"/>
  <c r="H221" i="29"/>
  <c r="G14" i="33"/>
  <c r="G33" i="27"/>
  <c r="G223" i="30" s="1"/>
  <c r="P212" i="29"/>
  <c r="G212" i="29"/>
  <c r="G27" i="25"/>
  <c r="J222" i="29"/>
  <c r="D222" i="29"/>
  <c r="D14" i="37"/>
  <c r="J19" i="21"/>
  <c r="D19" i="21"/>
  <c r="D240" i="30" s="1"/>
  <c r="J232" i="29"/>
  <c r="B233" i="29"/>
  <c r="D232" i="29"/>
  <c r="Q212" i="29" l="1"/>
  <c r="K222" i="29"/>
  <c r="K232" i="29"/>
  <c r="J233" i="29"/>
  <c r="K19" i="21"/>
  <c r="K240" i="30" s="1"/>
  <c r="J240" i="30"/>
  <c r="C151" i="35"/>
  <c r="E151" i="35"/>
  <c r="F151" i="35"/>
  <c r="G151" i="35"/>
  <c r="H151" i="35"/>
  <c r="C180" i="35" l="1"/>
  <c r="E180" i="35"/>
  <c r="F180" i="35"/>
  <c r="G180" i="35"/>
  <c r="H180" i="35"/>
  <c r="B180" i="35"/>
  <c r="C171" i="35"/>
  <c r="E171" i="35"/>
  <c r="F171" i="35"/>
  <c r="G171" i="35"/>
  <c r="H171" i="35"/>
  <c r="B171" i="35"/>
  <c r="B190" i="30"/>
  <c r="B209" i="30"/>
  <c r="C209" i="30"/>
  <c r="E209" i="30"/>
  <c r="F209" i="30"/>
  <c r="H209" i="30"/>
  <c r="C210" i="30"/>
  <c r="E210" i="30"/>
  <c r="F210" i="30"/>
  <c r="G210" i="30"/>
  <c r="C208" i="30"/>
  <c r="E208" i="30"/>
  <c r="F208" i="30"/>
  <c r="G208" i="30"/>
  <c r="H208" i="30"/>
  <c r="B208" i="30"/>
  <c r="C199" i="30"/>
  <c r="E199" i="30"/>
  <c r="F199" i="30"/>
  <c r="G199" i="30"/>
  <c r="H199" i="30"/>
  <c r="B199" i="30"/>
  <c r="B199" i="29"/>
  <c r="C199" i="29"/>
  <c r="E199" i="29"/>
  <c r="F199" i="29"/>
  <c r="G199" i="29"/>
  <c r="H199" i="29"/>
  <c r="I199" i="29"/>
  <c r="C200" i="29"/>
  <c r="E200" i="29"/>
  <c r="F200" i="29"/>
  <c r="G200" i="29"/>
  <c r="H200" i="29"/>
  <c r="I200" i="29"/>
  <c r="C198" i="29"/>
  <c r="E198" i="29"/>
  <c r="F198" i="29"/>
  <c r="G198" i="29"/>
  <c r="H198" i="29"/>
  <c r="B188" i="29"/>
  <c r="C188" i="29"/>
  <c r="E188" i="29"/>
  <c r="F188" i="29"/>
  <c r="G188" i="29"/>
  <c r="H188" i="29"/>
  <c r="I188" i="29"/>
  <c r="C189" i="29"/>
  <c r="E189" i="29"/>
  <c r="F189" i="29"/>
  <c r="G189" i="29"/>
  <c r="H189" i="29"/>
  <c r="I189" i="29"/>
  <c r="C187" i="29"/>
  <c r="E187" i="29"/>
  <c r="F187" i="29"/>
  <c r="H187" i="29"/>
  <c r="B178" i="29"/>
  <c r="C178" i="29"/>
  <c r="E178" i="29"/>
  <c r="F178" i="29"/>
  <c r="G178" i="29"/>
  <c r="H178" i="29"/>
  <c r="I178" i="29"/>
  <c r="J178" i="29"/>
  <c r="K178" i="29"/>
  <c r="L178" i="29"/>
  <c r="M178" i="29"/>
  <c r="N178" i="29"/>
  <c r="O178" i="29"/>
  <c r="C179" i="29"/>
  <c r="E179" i="29"/>
  <c r="F179" i="29"/>
  <c r="G179" i="29"/>
  <c r="H179" i="29"/>
  <c r="I179" i="29"/>
  <c r="J179" i="29"/>
  <c r="K179" i="29"/>
  <c r="L179" i="29"/>
  <c r="M179" i="29"/>
  <c r="N179" i="29"/>
  <c r="O179" i="29"/>
  <c r="C177" i="29"/>
  <c r="E177" i="29"/>
  <c r="F177" i="29"/>
  <c r="H177" i="29"/>
  <c r="I177" i="29"/>
  <c r="J177" i="29"/>
  <c r="K177" i="29"/>
  <c r="L177" i="29"/>
  <c r="M177" i="29"/>
  <c r="N177" i="29"/>
  <c r="O13" i="33"/>
  <c r="O162" i="35" s="1"/>
  <c r="P178" i="29"/>
  <c r="B179" i="29"/>
  <c r="D178" i="29"/>
  <c r="J188" i="29"/>
  <c r="B189" i="29"/>
  <c r="D188" i="29"/>
  <c r="I13" i="37"/>
  <c r="I180" i="35" s="1"/>
  <c r="D13" i="37"/>
  <c r="D180" i="35" s="1"/>
  <c r="H210" i="30"/>
  <c r="I209" i="30"/>
  <c r="B210" i="30"/>
  <c r="D209" i="30"/>
  <c r="J18" i="20"/>
  <c r="J199" i="29" s="1"/>
  <c r="B200" i="29"/>
  <c r="D18" i="20"/>
  <c r="D199" i="29" s="1"/>
  <c r="G22" i="18"/>
  <c r="G23" i="18"/>
  <c r="B177" i="30"/>
  <c r="C177" i="30"/>
  <c r="D177" i="30"/>
  <c r="E177" i="30"/>
  <c r="F177" i="30"/>
  <c r="H177" i="30"/>
  <c r="I177" i="30"/>
  <c r="J27" i="27"/>
  <c r="M27" i="27"/>
  <c r="G177" i="30"/>
  <c r="G15" i="21"/>
  <c r="J12" i="33"/>
  <c r="G27" i="27"/>
  <c r="J23" i="25"/>
  <c r="G12" i="34"/>
  <c r="G21" i="22"/>
  <c r="I11" i="37"/>
  <c r="I12" i="37"/>
  <c r="I151" i="35" s="1"/>
  <c r="O12" i="33"/>
  <c r="O16" i="26"/>
  <c r="G21" i="18"/>
  <c r="M23" i="25"/>
  <c r="K188" i="29" l="1"/>
  <c r="K18" i="20"/>
  <c r="K199" i="29" s="1"/>
  <c r="Q178" i="29"/>
  <c r="B151" i="35"/>
  <c r="C141" i="35"/>
  <c r="E141" i="35"/>
  <c r="F141" i="35"/>
  <c r="G141" i="35"/>
  <c r="H141" i="35"/>
  <c r="B141" i="35"/>
  <c r="C176" i="30"/>
  <c r="E176" i="30"/>
  <c r="F176" i="30"/>
  <c r="G176" i="30"/>
  <c r="H176" i="30"/>
  <c r="B166" i="30"/>
  <c r="C166" i="30"/>
  <c r="D166" i="30"/>
  <c r="E166" i="30"/>
  <c r="F166" i="30"/>
  <c r="H166" i="30"/>
  <c r="C167" i="30"/>
  <c r="E167" i="30"/>
  <c r="F167" i="30"/>
  <c r="H167" i="30"/>
  <c r="C165" i="30"/>
  <c r="E165" i="30"/>
  <c r="F165" i="30"/>
  <c r="H165" i="30"/>
  <c r="B165" i="30"/>
  <c r="C156" i="30"/>
  <c r="E156" i="30"/>
  <c r="F156" i="30"/>
  <c r="G156" i="30"/>
  <c r="H156" i="30"/>
  <c r="I156" i="30"/>
  <c r="J156" i="30"/>
  <c r="K156" i="30"/>
  <c r="L156" i="30"/>
  <c r="M156" i="30"/>
  <c r="N156" i="30"/>
  <c r="B156" i="30"/>
  <c r="B165" i="29"/>
  <c r="C165" i="29"/>
  <c r="E165" i="29"/>
  <c r="F165" i="29"/>
  <c r="G165" i="29"/>
  <c r="H165" i="29"/>
  <c r="I165" i="29"/>
  <c r="C166" i="29"/>
  <c r="E166" i="29"/>
  <c r="F166" i="29"/>
  <c r="G166" i="29"/>
  <c r="H166" i="29"/>
  <c r="I166" i="29"/>
  <c r="C164" i="29"/>
  <c r="E164" i="29"/>
  <c r="F164" i="29"/>
  <c r="G164" i="29"/>
  <c r="H164" i="29"/>
  <c r="B154" i="29"/>
  <c r="C154" i="29"/>
  <c r="E154" i="29"/>
  <c r="F154" i="29"/>
  <c r="G154" i="29"/>
  <c r="H154" i="29"/>
  <c r="I154" i="29"/>
  <c r="C155" i="29"/>
  <c r="E155" i="29"/>
  <c r="F155" i="29"/>
  <c r="G155" i="29"/>
  <c r="H155" i="29"/>
  <c r="I155" i="29"/>
  <c r="C153" i="29"/>
  <c r="E153" i="29"/>
  <c r="F153" i="29"/>
  <c r="G153" i="29"/>
  <c r="H153" i="29"/>
  <c r="B153" i="29"/>
  <c r="B143" i="29"/>
  <c r="C143" i="29"/>
  <c r="E143" i="29"/>
  <c r="F143" i="29"/>
  <c r="G143" i="29"/>
  <c r="H143" i="29"/>
  <c r="I143" i="29"/>
  <c r="J143" i="29"/>
  <c r="K143" i="29"/>
  <c r="L143" i="29"/>
  <c r="M143" i="29"/>
  <c r="N143" i="29"/>
  <c r="O143" i="29"/>
  <c r="C144" i="29"/>
  <c r="E144" i="29"/>
  <c r="F144" i="29"/>
  <c r="G144" i="29"/>
  <c r="H144" i="29"/>
  <c r="I144" i="29"/>
  <c r="J144" i="29"/>
  <c r="K144" i="29"/>
  <c r="L144" i="29"/>
  <c r="M144" i="29"/>
  <c r="N144" i="29"/>
  <c r="O144" i="29"/>
  <c r="C142" i="29"/>
  <c r="E142" i="29"/>
  <c r="F142" i="29"/>
  <c r="G142" i="29"/>
  <c r="H142" i="29"/>
  <c r="I142" i="29"/>
  <c r="J142" i="29"/>
  <c r="K142" i="29"/>
  <c r="L142" i="29"/>
  <c r="M142" i="29"/>
  <c r="N142" i="29"/>
  <c r="O142" i="29"/>
  <c r="P17" i="26"/>
  <c r="B144" i="29"/>
  <c r="D17" i="26"/>
  <c r="D143" i="29" s="1"/>
  <c r="B167" i="30"/>
  <c r="B155" i="29"/>
  <c r="D154" i="29"/>
  <c r="D12" i="37"/>
  <c r="D151" i="35" s="1"/>
  <c r="J165" i="29"/>
  <c r="B166" i="29"/>
  <c r="D165" i="29"/>
  <c r="P144" i="29" l="1"/>
  <c r="Q17" i="26"/>
  <c r="Q143" i="29" s="1"/>
  <c r="D144" i="29"/>
  <c r="P143" i="29"/>
  <c r="G11" i="33"/>
  <c r="F132" i="30"/>
  <c r="O11" i="33"/>
  <c r="O24" i="27"/>
  <c r="Q144" i="29" l="1"/>
  <c r="C120" i="35"/>
  <c r="E120" i="35"/>
  <c r="F120" i="35"/>
  <c r="G120" i="35"/>
  <c r="H120" i="35"/>
  <c r="I120" i="35"/>
  <c r="C110" i="35"/>
  <c r="E110" i="35"/>
  <c r="F110" i="35"/>
  <c r="H110" i="35"/>
  <c r="C100" i="35"/>
  <c r="E100" i="35"/>
  <c r="F100" i="35"/>
  <c r="G100" i="35"/>
  <c r="H100" i="35"/>
  <c r="I100" i="35"/>
  <c r="K100" i="35"/>
  <c r="L100" i="35"/>
  <c r="M100" i="35"/>
  <c r="N100" i="35"/>
  <c r="O100" i="35"/>
  <c r="B142" i="30"/>
  <c r="C142" i="30"/>
  <c r="E142" i="30"/>
  <c r="F142" i="30"/>
  <c r="G142" i="30"/>
  <c r="H142" i="30"/>
  <c r="I142" i="30"/>
  <c r="C143" i="30"/>
  <c r="E143" i="30"/>
  <c r="F143" i="30"/>
  <c r="G143" i="30"/>
  <c r="H143" i="30"/>
  <c r="I143" i="30"/>
  <c r="C141" i="30"/>
  <c r="E141" i="30"/>
  <c r="F141" i="30"/>
  <c r="G141" i="30"/>
  <c r="H141" i="30"/>
  <c r="B141" i="30"/>
  <c r="B131" i="30"/>
  <c r="C131" i="30"/>
  <c r="D131" i="30"/>
  <c r="E131" i="30"/>
  <c r="F131" i="30"/>
  <c r="H131" i="30"/>
  <c r="I131" i="30"/>
  <c r="B132" i="30"/>
  <c r="C132" i="30"/>
  <c r="H132" i="30"/>
  <c r="C130" i="30"/>
  <c r="E130" i="30"/>
  <c r="F130" i="30"/>
  <c r="H130" i="30"/>
  <c r="B130" i="30"/>
  <c r="B120" i="30"/>
  <c r="C120" i="30"/>
  <c r="D120" i="30"/>
  <c r="E120" i="30"/>
  <c r="F120" i="30"/>
  <c r="H120" i="30"/>
  <c r="I120" i="30"/>
  <c r="K120" i="30"/>
  <c r="L120" i="30"/>
  <c r="M120" i="30"/>
  <c r="N120" i="30"/>
  <c r="O120" i="30"/>
  <c r="B121" i="30"/>
  <c r="C121" i="30"/>
  <c r="D121" i="30"/>
  <c r="E121" i="30"/>
  <c r="F121" i="30"/>
  <c r="G121" i="30"/>
  <c r="I121" i="30"/>
  <c r="K121" i="30"/>
  <c r="L121" i="30"/>
  <c r="M121" i="30"/>
  <c r="N121" i="30"/>
  <c r="O121" i="30"/>
  <c r="C119" i="30"/>
  <c r="E119" i="30"/>
  <c r="F119" i="30"/>
  <c r="H119" i="30"/>
  <c r="I119" i="30"/>
  <c r="K119" i="30"/>
  <c r="L119" i="30"/>
  <c r="M119" i="30"/>
  <c r="N119" i="30"/>
  <c r="B130" i="29"/>
  <c r="C130" i="29"/>
  <c r="E130" i="29"/>
  <c r="F130" i="29"/>
  <c r="G130" i="29"/>
  <c r="H130" i="29"/>
  <c r="I130" i="29"/>
  <c r="C131" i="29"/>
  <c r="E131" i="29"/>
  <c r="F131" i="29"/>
  <c r="G131" i="29"/>
  <c r="H131" i="29"/>
  <c r="I131" i="29"/>
  <c r="C129" i="29"/>
  <c r="E129" i="29"/>
  <c r="F129" i="29"/>
  <c r="G129" i="29"/>
  <c r="H129" i="29"/>
  <c r="B129" i="29"/>
  <c r="B119" i="29"/>
  <c r="C119" i="29"/>
  <c r="E119" i="29"/>
  <c r="F119" i="29"/>
  <c r="G119" i="29"/>
  <c r="H119" i="29"/>
  <c r="C120" i="29"/>
  <c r="E120" i="29"/>
  <c r="F120" i="29"/>
  <c r="G120" i="29"/>
  <c r="H120" i="29"/>
  <c r="C118" i="29"/>
  <c r="E118" i="29"/>
  <c r="F118" i="29"/>
  <c r="H118" i="29"/>
  <c r="B108" i="29"/>
  <c r="C108" i="29"/>
  <c r="E108" i="29"/>
  <c r="F108" i="29"/>
  <c r="H108" i="29"/>
  <c r="I108" i="29"/>
  <c r="J108" i="29"/>
  <c r="K108" i="29"/>
  <c r="L108" i="29"/>
  <c r="M108" i="29"/>
  <c r="N108" i="29"/>
  <c r="B109" i="29"/>
  <c r="C109" i="29"/>
  <c r="E109" i="29"/>
  <c r="F109" i="29"/>
  <c r="G109" i="29"/>
  <c r="H109" i="29"/>
  <c r="I109" i="29"/>
  <c r="J109" i="29"/>
  <c r="K109" i="29"/>
  <c r="L109" i="29"/>
  <c r="M109" i="29"/>
  <c r="N109" i="29"/>
  <c r="C107" i="29"/>
  <c r="E107" i="29"/>
  <c r="F107" i="29"/>
  <c r="H107" i="29"/>
  <c r="I107" i="29"/>
  <c r="J107" i="29"/>
  <c r="K107" i="29"/>
  <c r="L107" i="29"/>
  <c r="M107" i="29"/>
  <c r="N107" i="29"/>
  <c r="B107" i="29"/>
  <c r="C122" i="28"/>
  <c r="E122" i="28"/>
  <c r="F122" i="28"/>
  <c r="G122" i="28"/>
  <c r="H122" i="28"/>
  <c r="C111" i="28"/>
  <c r="E111" i="28"/>
  <c r="F111" i="28"/>
  <c r="H111" i="28"/>
  <c r="B111" i="28"/>
  <c r="B104" i="28"/>
  <c r="C104" i="28"/>
  <c r="D104" i="28"/>
  <c r="E104" i="28"/>
  <c r="F104" i="28"/>
  <c r="G104" i="28"/>
  <c r="H104" i="28"/>
  <c r="I104" i="28"/>
  <c r="J104" i="28"/>
  <c r="K104" i="28"/>
  <c r="L104" i="28"/>
  <c r="M104" i="28"/>
  <c r="N104" i="28"/>
  <c r="O104" i="28"/>
  <c r="E132" i="30"/>
  <c r="G131" i="30"/>
  <c r="H121" i="30"/>
  <c r="J24" i="27"/>
  <c r="J120" i="30" s="1"/>
  <c r="I119" i="29"/>
  <c r="G19" i="22"/>
  <c r="G111" i="28" s="1"/>
  <c r="I19" i="22"/>
  <c r="I111" i="28" s="1"/>
  <c r="P24" i="27"/>
  <c r="Q24" i="27" s="1"/>
  <c r="Q120" i="30" s="1"/>
  <c r="G24" i="27"/>
  <c r="G120" i="30" s="1"/>
  <c r="G15" i="26"/>
  <c r="G108" i="29" s="1"/>
  <c r="P120" i="30" l="1"/>
  <c r="M21" i="25"/>
  <c r="B120" i="29"/>
  <c r="D119" i="29"/>
  <c r="J19" i="22"/>
  <c r="J111" i="28" s="1"/>
  <c r="D19" i="22"/>
  <c r="D111" i="28" s="1"/>
  <c r="J142" i="30"/>
  <c r="B143" i="30"/>
  <c r="D142" i="30"/>
  <c r="D13" i="21"/>
  <c r="J130" i="29"/>
  <c r="B131" i="29"/>
  <c r="D130" i="29"/>
  <c r="C89" i="35"/>
  <c r="E89" i="35"/>
  <c r="F89" i="35"/>
  <c r="G89" i="35"/>
  <c r="H89" i="35"/>
  <c r="C79" i="35"/>
  <c r="E79" i="35"/>
  <c r="F79" i="35"/>
  <c r="G79" i="35"/>
  <c r="H79" i="35"/>
  <c r="C69" i="35"/>
  <c r="E69" i="35"/>
  <c r="F69" i="35"/>
  <c r="G69" i="35"/>
  <c r="H69" i="35"/>
  <c r="I69" i="35"/>
  <c r="J69" i="35"/>
  <c r="K69" i="35"/>
  <c r="L69" i="35"/>
  <c r="M69" i="35"/>
  <c r="N69" i="35"/>
  <c r="B84" i="29"/>
  <c r="C84" i="29"/>
  <c r="E84" i="29"/>
  <c r="F84" i="29"/>
  <c r="H84" i="29"/>
  <c r="B80" i="28"/>
  <c r="C80" i="28"/>
  <c r="D80" i="28"/>
  <c r="E80" i="28"/>
  <c r="F80" i="28"/>
  <c r="H80" i="28"/>
  <c r="O10" i="33"/>
  <c r="O69" i="35" s="1"/>
  <c r="M19" i="27"/>
  <c r="M82" i="30" s="1"/>
  <c r="J12" i="26"/>
  <c r="J73" i="29" s="1"/>
  <c r="M16" i="25"/>
  <c r="M69" i="28" s="1"/>
  <c r="G17" i="23"/>
  <c r="G84" i="29" s="1"/>
  <c r="J18" i="22"/>
  <c r="I18" i="22"/>
  <c r="I80" i="28" s="1"/>
  <c r="G18" i="22"/>
  <c r="G80" i="28" s="1"/>
  <c r="I89" i="35"/>
  <c r="J12" i="20"/>
  <c r="D12" i="20"/>
  <c r="D96" i="29" s="1"/>
  <c r="J18" i="18"/>
  <c r="K18" i="18" s="1"/>
  <c r="I18" i="18"/>
  <c r="D18" i="18"/>
  <c r="J46" i="31"/>
  <c r="I9" i="37"/>
  <c r="I9" i="34"/>
  <c r="G47" i="31"/>
  <c r="K41" i="31"/>
  <c r="L41" i="31" s="1"/>
  <c r="J40" i="31"/>
  <c r="J41" i="31"/>
  <c r="K40" i="31"/>
  <c r="L40" i="31" s="1"/>
  <c r="K34" i="31"/>
  <c r="L34" i="31" s="1"/>
  <c r="J33" i="31"/>
  <c r="K12" i="20" l="1"/>
  <c r="K96" i="29" s="1"/>
  <c r="J96" i="29"/>
  <c r="D141" i="30"/>
  <c r="D106" i="30"/>
  <c r="K142" i="30"/>
  <c r="K130" i="29"/>
  <c r="D143" i="30"/>
  <c r="J143" i="30"/>
  <c r="K19" i="22"/>
  <c r="K111" i="28" s="1"/>
  <c r="K119" i="29"/>
  <c r="J119" i="29"/>
  <c r="J80" i="28"/>
  <c r="K18" i="22"/>
  <c r="K80" i="28" s="1"/>
  <c r="K33" i="31"/>
  <c r="L33" i="31" s="1"/>
  <c r="D40" i="31"/>
  <c r="D33" i="31"/>
  <c r="K143" i="30" l="1"/>
  <c r="O38" i="35"/>
  <c r="C58" i="35"/>
  <c r="E58" i="35"/>
  <c r="F58" i="35"/>
  <c r="H58" i="35"/>
  <c r="I58" i="35"/>
  <c r="C48" i="35"/>
  <c r="E48" i="35"/>
  <c r="F48" i="35"/>
  <c r="H48" i="35"/>
  <c r="I48" i="35"/>
  <c r="C38" i="35"/>
  <c r="E38" i="35"/>
  <c r="F38" i="35"/>
  <c r="H38" i="35"/>
  <c r="I38" i="35"/>
  <c r="K38" i="35"/>
  <c r="L38" i="35"/>
  <c r="N38" i="35"/>
  <c r="C69" i="30"/>
  <c r="E69" i="30"/>
  <c r="F69" i="30"/>
  <c r="H69" i="30"/>
  <c r="C58" i="30"/>
  <c r="E58" i="30"/>
  <c r="F58" i="30"/>
  <c r="H58" i="30"/>
  <c r="B47" i="30"/>
  <c r="C47" i="30"/>
  <c r="D47" i="30"/>
  <c r="E47" i="30"/>
  <c r="F47" i="30"/>
  <c r="H47" i="30"/>
  <c r="I47" i="30"/>
  <c r="J47" i="30"/>
  <c r="K47" i="30"/>
  <c r="L47" i="30"/>
  <c r="M47" i="30"/>
  <c r="N47" i="30"/>
  <c r="C48" i="30"/>
  <c r="E48" i="30"/>
  <c r="F48" i="30"/>
  <c r="G48" i="30"/>
  <c r="H48" i="30"/>
  <c r="I48" i="30"/>
  <c r="J48" i="30"/>
  <c r="K48" i="30"/>
  <c r="L48" i="30"/>
  <c r="M48" i="30"/>
  <c r="N48" i="30"/>
  <c r="C46" i="30"/>
  <c r="E46" i="30"/>
  <c r="F46" i="30"/>
  <c r="G46" i="30"/>
  <c r="H46" i="30"/>
  <c r="I46" i="30"/>
  <c r="K46" i="30"/>
  <c r="L46" i="30"/>
  <c r="N46" i="30"/>
  <c r="M9" i="33"/>
  <c r="M38" i="35" s="1"/>
  <c r="G9" i="37"/>
  <c r="G58" i="35" s="1"/>
  <c r="J12" i="37"/>
  <c r="J151" i="35" s="1"/>
  <c r="J13" i="37"/>
  <c r="J14" i="37"/>
  <c r="K14" i="37" s="1"/>
  <c r="J15" i="37"/>
  <c r="J16" i="37"/>
  <c r="J270" i="35" s="1"/>
  <c r="J17" i="37"/>
  <c r="J18" i="37"/>
  <c r="J19" i="37"/>
  <c r="J8" i="37"/>
  <c r="G9" i="33"/>
  <c r="G38" i="35" s="1"/>
  <c r="G10" i="26"/>
  <c r="G39" i="29" s="1"/>
  <c r="K8" i="37" l="1"/>
  <c r="J180" i="35"/>
  <c r="K13" i="37"/>
  <c r="K180" i="35" s="1"/>
  <c r="K12" i="37"/>
  <c r="K151" i="35" s="1"/>
  <c r="K5" i="31"/>
  <c r="L5" i="31" s="1"/>
  <c r="D5" i="31"/>
  <c r="D9" i="37" l="1"/>
  <c r="D58" i="35" s="1"/>
  <c r="J9" i="37"/>
  <c r="B58" i="35"/>
  <c r="C27" i="35"/>
  <c r="D27" i="35"/>
  <c r="E27" i="35"/>
  <c r="F27" i="35"/>
  <c r="G27" i="35"/>
  <c r="H27" i="35"/>
  <c r="I27" i="35"/>
  <c r="J27" i="35"/>
  <c r="K27" i="35"/>
  <c r="B27" i="35"/>
  <c r="C17" i="35"/>
  <c r="E17" i="35"/>
  <c r="F17" i="35"/>
  <c r="G17" i="35"/>
  <c r="H17" i="35"/>
  <c r="B17" i="35"/>
  <c r="C7" i="35"/>
  <c r="E7" i="35"/>
  <c r="F7" i="35"/>
  <c r="G7" i="35"/>
  <c r="H7" i="35"/>
  <c r="I7" i="35"/>
  <c r="J7" i="35"/>
  <c r="K7" i="35"/>
  <c r="L7" i="35"/>
  <c r="M7" i="35"/>
  <c r="N7" i="35"/>
  <c r="B7" i="35"/>
  <c r="C31" i="30"/>
  <c r="E31" i="30"/>
  <c r="B31" i="30"/>
  <c r="C20" i="30"/>
  <c r="E20" i="30"/>
  <c r="F20" i="30"/>
  <c r="H20" i="30"/>
  <c r="B20" i="30"/>
  <c r="E8" i="30"/>
  <c r="F8" i="30"/>
  <c r="H8" i="30"/>
  <c r="I8" i="30"/>
  <c r="K8" i="30"/>
  <c r="L8" i="30"/>
  <c r="M8" i="30"/>
  <c r="N8" i="30"/>
  <c r="B8" i="30"/>
  <c r="C28" i="29"/>
  <c r="E28" i="29"/>
  <c r="F28" i="29"/>
  <c r="G28" i="29"/>
  <c r="H28" i="29"/>
  <c r="B28" i="29"/>
  <c r="B19" i="29"/>
  <c r="C19" i="29"/>
  <c r="E19" i="29"/>
  <c r="F19" i="29"/>
  <c r="H19" i="29"/>
  <c r="C20" i="29"/>
  <c r="E20" i="29"/>
  <c r="F20" i="29"/>
  <c r="G20" i="29"/>
  <c r="H20" i="29"/>
  <c r="I20" i="29"/>
  <c r="C18" i="29"/>
  <c r="E18" i="29"/>
  <c r="F18" i="29"/>
  <c r="H18" i="29"/>
  <c r="B18" i="29"/>
  <c r="E8" i="29"/>
  <c r="F8" i="29"/>
  <c r="G8" i="29"/>
  <c r="H8" i="29"/>
  <c r="I8" i="29"/>
  <c r="K8" i="29"/>
  <c r="L8" i="29"/>
  <c r="M8" i="29"/>
  <c r="C26" i="28"/>
  <c r="E26" i="28"/>
  <c r="F26" i="28"/>
  <c r="G26" i="28"/>
  <c r="H26" i="28"/>
  <c r="B26" i="28"/>
  <c r="C17" i="28"/>
  <c r="E17" i="28"/>
  <c r="F17" i="28"/>
  <c r="H17" i="28"/>
  <c r="B17" i="28"/>
  <c r="B7" i="28"/>
  <c r="B9" i="23"/>
  <c r="B20" i="29" s="1"/>
  <c r="I19" i="37"/>
  <c r="I366" i="35" s="1"/>
  <c r="I29" i="21"/>
  <c r="I411" i="30" s="1"/>
  <c r="I29" i="20"/>
  <c r="I385" i="29" s="1"/>
  <c r="C366" i="35"/>
  <c r="E366" i="35"/>
  <c r="F366" i="35"/>
  <c r="G366" i="35"/>
  <c r="H366" i="35"/>
  <c r="B366" i="35"/>
  <c r="B358" i="35"/>
  <c r="C358" i="35"/>
  <c r="E358" i="35"/>
  <c r="F358" i="35"/>
  <c r="G358" i="35"/>
  <c r="H358" i="35"/>
  <c r="C357" i="35"/>
  <c r="E357" i="35"/>
  <c r="F357" i="35"/>
  <c r="H357" i="35"/>
  <c r="B357" i="35"/>
  <c r="C345" i="35"/>
  <c r="E345" i="35"/>
  <c r="F345" i="35"/>
  <c r="G345" i="35"/>
  <c r="H345" i="35"/>
  <c r="I345" i="35"/>
  <c r="J345" i="35"/>
  <c r="K345" i="35"/>
  <c r="L345" i="35"/>
  <c r="M345" i="35"/>
  <c r="N345" i="35"/>
  <c r="O345" i="35"/>
  <c r="B345" i="35"/>
  <c r="B411" i="30"/>
  <c r="C400" i="30"/>
  <c r="E400" i="30"/>
  <c r="F400" i="30"/>
  <c r="G400" i="30"/>
  <c r="H400" i="30"/>
  <c r="B400" i="30"/>
  <c r="C390" i="30"/>
  <c r="E390" i="30"/>
  <c r="F390" i="30"/>
  <c r="H390" i="30"/>
  <c r="I390" i="30"/>
  <c r="J390" i="30"/>
  <c r="K390" i="30"/>
  <c r="L390" i="30"/>
  <c r="M390" i="30"/>
  <c r="N390" i="30"/>
  <c r="J28" i="20"/>
  <c r="K28" i="20" s="1"/>
  <c r="J29" i="20"/>
  <c r="K29" i="20" s="1"/>
  <c r="K385" i="29" s="1"/>
  <c r="C385" i="29"/>
  <c r="E385" i="29"/>
  <c r="F385" i="29"/>
  <c r="G385" i="29"/>
  <c r="H385" i="29"/>
  <c r="B385" i="29"/>
  <c r="B376" i="29"/>
  <c r="C376" i="29"/>
  <c r="E376" i="29"/>
  <c r="F376" i="29"/>
  <c r="H376" i="29"/>
  <c r="I376" i="29"/>
  <c r="B377" i="29"/>
  <c r="C377" i="29"/>
  <c r="E377" i="29"/>
  <c r="F377" i="29"/>
  <c r="G377" i="29"/>
  <c r="H377" i="29"/>
  <c r="I377" i="29"/>
  <c r="C375" i="29"/>
  <c r="E375" i="29"/>
  <c r="F375" i="29"/>
  <c r="G375" i="29"/>
  <c r="H375" i="29"/>
  <c r="B375" i="29"/>
  <c r="B365" i="29"/>
  <c r="C357" i="28"/>
  <c r="E357" i="28"/>
  <c r="F357" i="28"/>
  <c r="G357" i="28"/>
  <c r="H357" i="28"/>
  <c r="B357" i="28"/>
  <c r="C347" i="28"/>
  <c r="E347" i="28"/>
  <c r="F347" i="28"/>
  <c r="H347" i="28"/>
  <c r="C338" i="28"/>
  <c r="E338" i="28"/>
  <c r="F338" i="28"/>
  <c r="H338" i="28"/>
  <c r="I338" i="28"/>
  <c r="K338" i="28"/>
  <c r="L338" i="28"/>
  <c r="M338" i="28"/>
  <c r="N338" i="28"/>
  <c r="J58" i="35" l="1"/>
  <c r="K9" i="37"/>
  <c r="K58" i="35" s="1"/>
  <c r="J385" i="29"/>
  <c r="P19" i="33"/>
  <c r="D10" i="37" l="1"/>
  <c r="D89" i="35" s="1"/>
  <c r="J10" i="37"/>
  <c r="B89" i="35"/>
  <c r="Q19" i="33"/>
  <c r="Q345" i="35" s="1"/>
  <c r="P345" i="35"/>
  <c r="J358" i="35"/>
  <c r="J19" i="34"/>
  <c r="J357" i="35" s="1"/>
  <c r="I358" i="35"/>
  <c r="I19" i="34"/>
  <c r="I357" i="35" s="1"/>
  <c r="I35" i="22"/>
  <c r="I347" i="28" s="1"/>
  <c r="D19" i="33"/>
  <c r="D345" i="35" s="1"/>
  <c r="D358" i="35"/>
  <c r="D19" i="34"/>
  <c r="D357" i="35" s="1"/>
  <c r="D376" i="29"/>
  <c r="G35" i="22"/>
  <c r="G347" i="28" s="1"/>
  <c r="J366" i="35"/>
  <c r="D19" i="37"/>
  <c r="D366" i="35" s="1"/>
  <c r="B120" i="35" l="1"/>
  <c r="D11" i="37"/>
  <c r="D120" i="35" s="1"/>
  <c r="J11" i="37"/>
  <c r="K10" i="37"/>
  <c r="K89" i="35" s="1"/>
  <c r="J89" i="35"/>
  <c r="K19" i="34"/>
  <c r="K358" i="35"/>
  <c r="K19" i="37"/>
  <c r="K366" i="35" s="1"/>
  <c r="D26" i="21"/>
  <c r="D28" i="20"/>
  <c r="D29" i="20"/>
  <c r="D385" i="29" s="1"/>
  <c r="B320" i="28"/>
  <c r="C320" i="28"/>
  <c r="D320" i="28"/>
  <c r="E320" i="28"/>
  <c r="F320" i="28"/>
  <c r="H320" i="28"/>
  <c r="C319" i="28"/>
  <c r="E319" i="28"/>
  <c r="F319" i="28"/>
  <c r="H319" i="28"/>
  <c r="I34" i="22"/>
  <c r="I320" i="28" s="1"/>
  <c r="G34" i="22"/>
  <c r="G320" i="28" s="1"/>
  <c r="K11" i="37" l="1"/>
  <c r="K120" i="35" s="1"/>
  <c r="J120" i="35"/>
  <c r="K357" i="35"/>
  <c r="C335" i="35"/>
  <c r="E335" i="35"/>
  <c r="F335" i="35"/>
  <c r="G335" i="35"/>
  <c r="H335" i="35"/>
  <c r="B335" i="35"/>
  <c r="C324" i="35"/>
  <c r="D324" i="35"/>
  <c r="E324" i="35"/>
  <c r="F324" i="35"/>
  <c r="H324" i="35"/>
  <c r="B324" i="35"/>
  <c r="C311" i="35"/>
  <c r="E311" i="35"/>
  <c r="F311" i="35"/>
  <c r="H311" i="35"/>
  <c r="I311" i="35"/>
  <c r="K311" i="35"/>
  <c r="L311" i="35"/>
  <c r="M311" i="35"/>
  <c r="B365" i="30"/>
  <c r="C354" i="29"/>
  <c r="E354" i="29"/>
  <c r="F354" i="29"/>
  <c r="G354" i="29"/>
  <c r="H354" i="29"/>
  <c r="I354" i="29"/>
  <c r="B354" i="29"/>
  <c r="B344" i="29"/>
  <c r="C344" i="29"/>
  <c r="D344" i="29"/>
  <c r="E344" i="29"/>
  <c r="F344" i="29"/>
  <c r="H344" i="29"/>
  <c r="I344" i="29"/>
  <c r="B345" i="29"/>
  <c r="C345" i="29"/>
  <c r="E345" i="29"/>
  <c r="F345" i="29"/>
  <c r="H345" i="29"/>
  <c r="I345" i="29"/>
  <c r="C343" i="29"/>
  <c r="E343" i="29"/>
  <c r="F343" i="29"/>
  <c r="H343" i="29"/>
  <c r="B343" i="29"/>
  <c r="B334" i="29"/>
  <c r="C334" i="29"/>
  <c r="E334" i="29"/>
  <c r="F334" i="29"/>
  <c r="G334" i="29"/>
  <c r="H334" i="29"/>
  <c r="I334" i="29"/>
  <c r="J334" i="29"/>
  <c r="K334" i="29"/>
  <c r="L334" i="29"/>
  <c r="M334" i="29"/>
  <c r="N334" i="29"/>
  <c r="C333" i="29"/>
  <c r="E333" i="29"/>
  <c r="F333" i="29"/>
  <c r="G333" i="29"/>
  <c r="H333" i="29"/>
  <c r="I333" i="29"/>
  <c r="J333" i="29"/>
  <c r="K333" i="29"/>
  <c r="L333" i="29"/>
  <c r="M333" i="29"/>
  <c r="N333" i="29"/>
  <c r="C329" i="28"/>
  <c r="E329" i="28"/>
  <c r="F329" i="28"/>
  <c r="G329" i="28"/>
  <c r="H329" i="28"/>
  <c r="B329" i="28"/>
  <c r="C312" i="28"/>
  <c r="E312" i="28"/>
  <c r="F312" i="28"/>
  <c r="G312" i="28"/>
  <c r="H312" i="28"/>
  <c r="I312" i="28"/>
  <c r="K312" i="28"/>
  <c r="L312" i="28"/>
  <c r="M312" i="28"/>
  <c r="N312" i="28"/>
  <c r="K18" i="37"/>
  <c r="K335" i="35" s="1"/>
  <c r="D18" i="37"/>
  <c r="D335" i="35" s="1"/>
  <c r="I18" i="37"/>
  <c r="I335" i="35" s="1"/>
  <c r="J335" i="35"/>
  <c r="G27" i="21"/>
  <c r="G375" i="30" s="1"/>
  <c r="J26" i="20"/>
  <c r="K26" i="20" s="1"/>
  <c r="J27" i="20"/>
  <c r="K27" i="20" s="1"/>
  <c r="K354" i="29" s="1"/>
  <c r="J18" i="34"/>
  <c r="K18" i="34" s="1"/>
  <c r="I18" i="34"/>
  <c r="I324" i="35" s="1"/>
  <c r="G18" i="34"/>
  <c r="G344" i="29"/>
  <c r="G32" i="23"/>
  <c r="G343" i="29" s="1"/>
  <c r="G33" i="22"/>
  <c r="G319" i="28" s="1"/>
  <c r="M44" i="27"/>
  <c r="O29" i="26"/>
  <c r="O334" i="29" s="1"/>
  <c r="O18" i="33"/>
  <c r="O311" i="35" s="1"/>
  <c r="K327" i="35"/>
  <c r="J327" i="35"/>
  <c r="I327" i="35"/>
  <c r="H327" i="35"/>
  <c r="G327" i="35"/>
  <c r="F327" i="35"/>
  <c r="E327" i="35"/>
  <c r="D327" i="35"/>
  <c r="C327" i="35"/>
  <c r="B327" i="35"/>
  <c r="D29" i="26"/>
  <c r="D334" i="29" s="1"/>
  <c r="D27" i="20"/>
  <c r="D354" i="29" s="1"/>
  <c r="J344" i="29" l="1"/>
  <c r="G345" i="29"/>
  <c r="K344" i="29"/>
  <c r="J354" i="29"/>
  <c r="K324" i="35"/>
  <c r="J324" i="35"/>
  <c r="G324" i="35"/>
  <c r="C301" i="35"/>
  <c r="E301" i="35"/>
  <c r="F301" i="35"/>
  <c r="G301" i="35"/>
  <c r="H301" i="35"/>
  <c r="B301" i="35"/>
  <c r="C291" i="35"/>
  <c r="E291" i="35"/>
  <c r="F291" i="35"/>
  <c r="G291" i="35"/>
  <c r="H291" i="35"/>
  <c r="B291" i="35"/>
  <c r="C281" i="35"/>
  <c r="E281" i="35"/>
  <c r="F281" i="35"/>
  <c r="G281" i="35"/>
  <c r="H281" i="35"/>
  <c r="I281" i="35"/>
  <c r="J281" i="35"/>
  <c r="K281" i="35"/>
  <c r="L281" i="35"/>
  <c r="M281" i="35"/>
  <c r="N281" i="35"/>
  <c r="B281" i="35"/>
  <c r="B339" i="30"/>
  <c r="B319" i="30"/>
  <c r="C322" i="29"/>
  <c r="E322" i="29"/>
  <c r="F322" i="29"/>
  <c r="G322" i="29"/>
  <c r="H322" i="29"/>
  <c r="I322" i="29"/>
  <c r="B322" i="29"/>
  <c r="B312" i="29"/>
  <c r="C302" i="29"/>
  <c r="E302" i="29"/>
  <c r="F302" i="29"/>
  <c r="G302" i="29"/>
  <c r="H302" i="29"/>
  <c r="I302" i="29"/>
  <c r="J302" i="29"/>
  <c r="K302" i="29"/>
  <c r="L302" i="29"/>
  <c r="M302" i="29"/>
  <c r="N302" i="29"/>
  <c r="B302" i="29"/>
  <c r="C302" i="28"/>
  <c r="E302" i="28"/>
  <c r="F302" i="28"/>
  <c r="G302" i="28"/>
  <c r="H302" i="28"/>
  <c r="B302" i="28"/>
  <c r="C291" i="28"/>
  <c r="E291" i="28"/>
  <c r="F291" i="28"/>
  <c r="H291" i="28"/>
  <c r="B291" i="28"/>
  <c r="C283" i="28"/>
  <c r="E283" i="28"/>
  <c r="F283" i="28"/>
  <c r="H283" i="28"/>
  <c r="I283" i="28"/>
  <c r="K283" i="28"/>
  <c r="L283" i="28"/>
  <c r="N283" i="28"/>
  <c r="B283" i="28"/>
  <c r="K17" i="34"/>
  <c r="K291" i="35" s="1"/>
  <c r="K293" i="35"/>
  <c r="J293" i="35"/>
  <c r="I293" i="35"/>
  <c r="H293" i="35"/>
  <c r="G293" i="35"/>
  <c r="F293" i="35"/>
  <c r="E293" i="35"/>
  <c r="D293" i="35"/>
  <c r="C293" i="35"/>
  <c r="B293" i="35"/>
  <c r="K292" i="35"/>
  <c r="J292" i="35"/>
  <c r="I292" i="35"/>
  <c r="H292" i="35"/>
  <c r="G292" i="35"/>
  <c r="F292" i="35"/>
  <c r="E292" i="35"/>
  <c r="D292" i="35"/>
  <c r="C292" i="35"/>
  <c r="B292" i="35"/>
  <c r="B254" i="28"/>
  <c r="C254" i="28"/>
  <c r="E254" i="28"/>
  <c r="F254" i="28"/>
  <c r="G254" i="28"/>
  <c r="H254" i="28"/>
  <c r="I254" i="28"/>
  <c r="J254" i="28"/>
  <c r="K254" i="28"/>
  <c r="L254" i="28"/>
  <c r="M254" i="28"/>
  <c r="N254" i="28"/>
  <c r="D17" i="34"/>
  <c r="D291" i="35" s="1"/>
  <c r="I17" i="34"/>
  <c r="I291" i="35" s="1"/>
  <c r="P17" i="33"/>
  <c r="O17" i="33"/>
  <c r="O281" i="35" s="1"/>
  <c r="D17" i="33"/>
  <c r="D281" i="35" s="1"/>
  <c r="G42" i="27"/>
  <c r="K17" i="37"/>
  <c r="K301" i="35" s="1"/>
  <c r="I17" i="37"/>
  <c r="I301" i="35" s="1"/>
  <c r="D17" i="37"/>
  <c r="D301" i="35" s="1"/>
  <c r="I25" i="21"/>
  <c r="I339" i="30" s="1"/>
  <c r="D25" i="21"/>
  <c r="D339" i="30" s="1"/>
  <c r="D25" i="20"/>
  <c r="D322" i="29" s="1"/>
  <c r="J24" i="20"/>
  <c r="J25" i="20"/>
  <c r="J322" i="29" s="1"/>
  <c r="Q17" i="33" l="1"/>
  <c r="Q281" i="35" s="1"/>
  <c r="I294" i="30"/>
  <c r="I296" i="30"/>
  <c r="K25" i="20"/>
  <c r="K322" i="29" s="1"/>
  <c r="J301" i="35"/>
  <c r="J291" i="35"/>
  <c r="P281" i="35"/>
  <c r="P16" i="33"/>
  <c r="P251" i="35" s="1"/>
  <c r="O16" i="33"/>
  <c r="O251" i="35" s="1"/>
  <c r="D16" i="33"/>
  <c r="D251" i="35" s="1"/>
  <c r="C270" i="29"/>
  <c r="E270" i="29"/>
  <c r="F270" i="29"/>
  <c r="G270" i="29"/>
  <c r="H270" i="29"/>
  <c r="I270" i="29"/>
  <c r="J270" i="29"/>
  <c r="K270" i="29"/>
  <c r="L270" i="29"/>
  <c r="M270" i="29"/>
  <c r="N270" i="29"/>
  <c r="B270" i="29"/>
  <c r="P18" i="33" l="1"/>
  <c r="B311" i="35"/>
  <c r="D18" i="33"/>
  <c r="D311" i="35" s="1"/>
  <c r="Q16" i="33"/>
  <c r="Q251" i="35" s="1"/>
  <c r="K262" i="35"/>
  <c r="J262" i="35"/>
  <c r="I262" i="35"/>
  <c r="H262" i="35"/>
  <c r="G262" i="35"/>
  <c r="F262" i="35"/>
  <c r="E262" i="35"/>
  <c r="D262" i="35"/>
  <c r="C262" i="35"/>
  <c r="B262" i="35"/>
  <c r="K261" i="35"/>
  <c r="J261" i="35"/>
  <c r="I261" i="35"/>
  <c r="H261" i="35"/>
  <c r="G261" i="35"/>
  <c r="F261" i="35"/>
  <c r="E261" i="35"/>
  <c r="D261" i="35"/>
  <c r="C261" i="35"/>
  <c r="B261" i="35"/>
  <c r="J16" i="34"/>
  <c r="J260" i="35" s="1"/>
  <c r="I16" i="34"/>
  <c r="I260" i="35" s="1"/>
  <c r="I263" i="30"/>
  <c r="J23" i="20"/>
  <c r="J291" i="29" s="1"/>
  <c r="I23" i="20"/>
  <c r="I291" i="29" s="1"/>
  <c r="I16" i="37"/>
  <c r="I270" i="35" s="1"/>
  <c r="D16" i="37"/>
  <c r="D270" i="35" s="1"/>
  <c r="D23" i="20"/>
  <c r="D291" i="29" s="1"/>
  <c r="P32" i="25"/>
  <c r="P254" i="28" s="1"/>
  <c r="P31" i="25"/>
  <c r="P253" i="28" s="1"/>
  <c r="O32" i="25"/>
  <c r="O254" i="28" s="1"/>
  <c r="D32" i="25"/>
  <c r="D254" i="28" s="1"/>
  <c r="P311" i="35" l="1"/>
  <c r="Q18" i="33"/>
  <c r="K23" i="20"/>
  <c r="K291" i="29" s="1"/>
  <c r="Q32" i="25"/>
  <c r="Q254" i="28" s="1"/>
  <c r="K16" i="37"/>
  <c r="K270" i="35" s="1"/>
  <c r="K16" i="34"/>
  <c r="K260" i="35" s="1"/>
  <c r="Q31" i="25"/>
  <c r="Q253" i="28" s="1"/>
  <c r="C240" i="35" l="1"/>
  <c r="E240" i="35"/>
  <c r="F240" i="35"/>
  <c r="G240" i="35"/>
  <c r="H240" i="35"/>
  <c r="B240" i="35"/>
  <c r="C222" i="35"/>
  <c r="E222" i="35"/>
  <c r="F222" i="35"/>
  <c r="G222" i="35"/>
  <c r="H222" i="35"/>
  <c r="I222" i="35"/>
  <c r="J222" i="35"/>
  <c r="K222" i="35"/>
  <c r="L222" i="35"/>
  <c r="M222" i="35"/>
  <c r="N222" i="35"/>
  <c r="B222" i="35"/>
  <c r="B242" i="28" l="1"/>
  <c r="C233" i="28"/>
  <c r="E233" i="28"/>
  <c r="F233" i="28"/>
  <c r="H233" i="28"/>
  <c r="B233" i="28"/>
  <c r="C225" i="28"/>
  <c r="E225" i="28"/>
  <c r="F225" i="28"/>
  <c r="G225" i="28"/>
  <c r="H225" i="28"/>
  <c r="I225" i="28"/>
  <c r="K225" i="28"/>
  <c r="L225" i="28"/>
  <c r="M225" i="28"/>
  <c r="N225" i="28"/>
  <c r="B225" i="28"/>
  <c r="I15" i="34" l="1"/>
  <c r="I231" i="35" s="1"/>
  <c r="I232" i="30"/>
  <c r="I27" i="22"/>
  <c r="I233" i="28" s="1"/>
  <c r="P15" i="33"/>
  <c r="P222" i="35" s="1"/>
  <c r="O15" i="33"/>
  <c r="O222" i="35" s="1"/>
  <c r="D15" i="33"/>
  <c r="D222" i="35" s="1"/>
  <c r="D30" i="25"/>
  <c r="D15" i="34"/>
  <c r="D231" i="35" s="1"/>
  <c r="D232" i="30"/>
  <c r="J240" i="35"/>
  <c r="I15" i="37"/>
  <c r="I240" i="35" s="1"/>
  <c r="I21" i="21"/>
  <c r="I271" i="30" s="1"/>
  <c r="J20" i="20"/>
  <c r="J21" i="20"/>
  <c r="J259" i="29" s="1"/>
  <c r="J261" i="29" l="1"/>
  <c r="K15" i="37"/>
  <c r="K240" i="35" s="1"/>
  <c r="K21" i="20"/>
  <c r="K259" i="29" s="1"/>
  <c r="K15" i="34"/>
  <c r="K231" i="35" s="1"/>
  <c r="Q15" i="33"/>
  <c r="D15" i="37"/>
  <c r="D240" i="35" s="1"/>
  <c r="D21" i="21"/>
  <c r="D271" i="30" s="1"/>
  <c r="D21" i="20"/>
  <c r="D259" i="29" l="1"/>
  <c r="D261" i="29"/>
  <c r="K261" i="29"/>
  <c r="Q222" i="35"/>
  <c r="P27" i="25"/>
  <c r="B222" i="30" l="1"/>
  <c r="C211" i="35"/>
  <c r="D211" i="35"/>
  <c r="E211" i="35"/>
  <c r="F211" i="35"/>
  <c r="H211" i="35"/>
  <c r="I211" i="35"/>
  <c r="B211" i="35"/>
  <c r="C201" i="35"/>
  <c r="E201" i="35"/>
  <c r="F201" i="35"/>
  <c r="G201" i="35"/>
  <c r="H201" i="35"/>
  <c r="B201" i="35"/>
  <c r="B192" i="35"/>
  <c r="C192" i="35"/>
  <c r="D192" i="35"/>
  <c r="E192" i="35"/>
  <c r="F192" i="35"/>
  <c r="G192" i="35"/>
  <c r="H192" i="35"/>
  <c r="I192" i="35"/>
  <c r="J192" i="35"/>
  <c r="K192" i="35"/>
  <c r="L192" i="35"/>
  <c r="M192" i="35"/>
  <c r="N192" i="35"/>
  <c r="O192" i="35"/>
  <c r="C193" i="35"/>
  <c r="E193" i="35"/>
  <c r="F193" i="35"/>
  <c r="G193" i="35"/>
  <c r="H193" i="35"/>
  <c r="I193" i="35"/>
  <c r="J193" i="35"/>
  <c r="K193" i="35"/>
  <c r="L193" i="35"/>
  <c r="M193" i="35"/>
  <c r="N193" i="35"/>
  <c r="O193" i="35"/>
  <c r="C191" i="35"/>
  <c r="E191" i="35"/>
  <c r="F191" i="35"/>
  <c r="G191" i="35"/>
  <c r="H191" i="35"/>
  <c r="I191" i="35"/>
  <c r="J191" i="35"/>
  <c r="K191" i="35"/>
  <c r="L191" i="35"/>
  <c r="N191" i="35"/>
  <c r="O191" i="35"/>
  <c r="B191" i="35"/>
  <c r="B221" i="29"/>
  <c r="B211" i="29"/>
  <c r="C211" i="28" l="1"/>
  <c r="E211" i="28"/>
  <c r="F211" i="28"/>
  <c r="H211" i="28"/>
  <c r="B211" i="28"/>
  <c r="C201" i="28"/>
  <c r="E201" i="28"/>
  <c r="F201" i="28"/>
  <c r="H201" i="28"/>
  <c r="B201" i="28"/>
  <c r="B192" i="28"/>
  <c r="C192" i="28"/>
  <c r="E192" i="28"/>
  <c r="F192" i="28"/>
  <c r="G192" i="28"/>
  <c r="H192" i="28"/>
  <c r="I192" i="28"/>
  <c r="J192" i="28"/>
  <c r="K192" i="28"/>
  <c r="L192" i="28"/>
  <c r="M192" i="28"/>
  <c r="N192" i="28"/>
  <c r="O192" i="28"/>
  <c r="C193" i="28"/>
  <c r="E193" i="28"/>
  <c r="F193" i="28"/>
  <c r="G193" i="28"/>
  <c r="H193" i="28"/>
  <c r="I193" i="28"/>
  <c r="J193" i="28"/>
  <c r="K193" i="28"/>
  <c r="L193" i="28"/>
  <c r="M193" i="28"/>
  <c r="N193" i="28"/>
  <c r="O193" i="28"/>
  <c r="C191" i="28"/>
  <c r="E191" i="28"/>
  <c r="F191" i="28"/>
  <c r="G191" i="28"/>
  <c r="H191" i="28"/>
  <c r="I191" i="28"/>
  <c r="K191" i="28"/>
  <c r="L191" i="28"/>
  <c r="N191" i="28"/>
  <c r="P191" i="28"/>
  <c r="B191" i="28"/>
  <c r="K203" i="35"/>
  <c r="J203" i="35"/>
  <c r="I203" i="35"/>
  <c r="H203" i="35"/>
  <c r="G203" i="35"/>
  <c r="F203" i="35"/>
  <c r="E203" i="35"/>
  <c r="D203" i="35"/>
  <c r="C203" i="35"/>
  <c r="B203" i="35"/>
  <c r="K202" i="35"/>
  <c r="J202" i="35"/>
  <c r="I202" i="35"/>
  <c r="H202" i="35"/>
  <c r="G202" i="35"/>
  <c r="F202" i="35"/>
  <c r="E202" i="35"/>
  <c r="D202" i="35"/>
  <c r="C202" i="35"/>
  <c r="B202" i="35"/>
  <c r="J211" i="35"/>
  <c r="G14" i="37"/>
  <c r="G211" i="35" s="1"/>
  <c r="F20" i="37"/>
  <c r="E20" i="37"/>
  <c r="H20" i="37"/>
  <c r="I20" i="37"/>
  <c r="J209" i="30"/>
  <c r="G25" i="18"/>
  <c r="G211" i="28" s="1"/>
  <c r="G209" i="30" l="1"/>
  <c r="K209" i="30"/>
  <c r="K211" i="35"/>
  <c r="G20" i="37"/>
  <c r="J20" i="37"/>
  <c r="J14" i="34"/>
  <c r="J201" i="35" s="1"/>
  <c r="I14" i="34"/>
  <c r="I201" i="35" s="1"/>
  <c r="J23" i="24"/>
  <c r="I233" i="30"/>
  <c r="I24" i="23"/>
  <c r="I221" i="29" s="1"/>
  <c r="D24" i="23"/>
  <c r="J233" i="30" l="1"/>
  <c r="J24" i="24"/>
  <c r="D223" i="29"/>
  <c r="D221" i="29"/>
  <c r="I199" i="30"/>
  <c r="J199" i="30"/>
  <c r="K14" i="34"/>
  <c r="K201" i="35" s="1"/>
  <c r="K22" i="24"/>
  <c r="K23" i="24"/>
  <c r="K233" i="30" s="1"/>
  <c r="K20" i="37"/>
  <c r="P192" i="35"/>
  <c r="P14" i="33"/>
  <c r="P191" i="35" s="1"/>
  <c r="M14" i="33"/>
  <c r="M191" i="35" s="1"/>
  <c r="B193" i="35"/>
  <c r="D14" i="33"/>
  <c r="D191" i="35" s="1"/>
  <c r="M32" i="27"/>
  <c r="M222" i="30" s="1"/>
  <c r="P28" i="25"/>
  <c r="P192" i="28" s="1"/>
  <c r="M27" i="25"/>
  <c r="M191" i="28" s="1"/>
  <c r="K199" i="30" l="1"/>
  <c r="K24" i="24"/>
  <c r="P193" i="28"/>
  <c r="D193" i="35"/>
  <c r="Q14" i="33"/>
  <c r="P193" i="35"/>
  <c r="Q28" i="25"/>
  <c r="Q192" i="28" s="1"/>
  <c r="Q192" i="35"/>
  <c r="B193" i="28"/>
  <c r="D28" i="25"/>
  <c r="D192" i="28" s="1"/>
  <c r="D14" i="34"/>
  <c r="D201" i="35" s="1"/>
  <c r="D23" i="24"/>
  <c r="D233" i="30" s="1"/>
  <c r="D22" i="24"/>
  <c r="D199" i="30" l="1"/>
  <c r="Q191" i="35"/>
  <c r="Q193" i="35"/>
  <c r="I13" i="34"/>
  <c r="I171" i="35" s="1"/>
  <c r="B172" i="35" l="1"/>
  <c r="C172" i="35"/>
  <c r="E172" i="35"/>
  <c r="F172" i="35"/>
  <c r="H172" i="35"/>
  <c r="B163" i="35"/>
  <c r="C163" i="35"/>
  <c r="D163" i="35"/>
  <c r="E163" i="35"/>
  <c r="F163" i="35"/>
  <c r="H163" i="35"/>
  <c r="I163" i="35"/>
  <c r="J163" i="35"/>
  <c r="K163" i="35"/>
  <c r="L163" i="35"/>
  <c r="M163" i="35"/>
  <c r="N163" i="35"/>
  <c r="O163" i="35"/>
  <c r="B198" i="29"/>
  <c r="B187" i="29"/>
  <c r="B177" i="29"/>
  <c r="C182" i="28"/>
  <c r="E182" i="28"/>
  <c r="F182" i="28"/>
  <c r="G182" i="28"/>
  <c r="H182" i="28"/>
  <c r="B182" i="28"/>
  <c r="C173" i="28"/>
  <c r="E173" i="28"/>
  <c r="F173" i="28"/>
  <c r="H173" i="28"/>
  <c r="B173" i="28"/>
  <c r="O25" i="25"/>
  <c r="O164" i="28" s="1"/>
  <c r="E165" i="28"/>
  <c r="F165" i="28"/>
  <c r="K165" i="28"/>
  <c r="L165" i="28"/>
  <c r="N165" i="28"/>
  <c r="C164" i="28"/>
  <c r="E164" i="28"/>
  <c r="F164" i="28"/>
  <c r="G164" i="28"/>
  <c r="H164" i="28"/>
  <c r="I164" i="28"/>
  <c r="K164" i="28"/>
  <c r="L164" i="28"/>
  <c r="N164" i="28"/>
  <c r="B164" i="28"/>
  <c r="J172" i="35"/>
  <c r="J13" i="34"/>
  <c r="I172" i="35"/>
  <c r="G172" i="35"/>
  <c r="K13" i="34" l="1"/>
  <c r="K171" i="35" s="1"/>
  <c r="J171" i="35"/>
  <c r="G165" i="30"/>
  <c r="K172" i="35"/>
  <c r="J19" i="24"/>
  <c r="I20" i="24"/>
  <c r="J22" i="23"/>
  <c r="I22" i="23"/>
  <c r="I187" i="29" s="1"/>
  <c r="G22" i="23"/>
  <c r="G187" i="29" s="1"/>
  <c r="J13" i="33"/>
  <c r="J162" i="35" s="1"/>
  <c r="P163" i="35"/>
  <c r="O31" i="27"/>
  <c r="O191" i="30" s="1"/>
  <c r="J31" i="27"/>
  <c r="J191" i="30" s="1"/>
  <c r="J30" i="27"/>
  <c r="J190" i="30" s="1"/>
  <c r="G163" i="35"/>
  <c r="G18" i="26"/>
  <c r="G177" i="29" s="1"/>
  <c r="K19" i="24" l="1"/>
  <c r="K20" i="24" s="1"/>
  <c r="J20" i="24"/>
  <c r="J165" i="30" s="1"/>
  <c r="I167" i="30"/>
  <c r="J187" i="29"/>
  <c r="J189" i="29"/>
  <c r="K154" i="29"/>
  <c r="J154" i="29"/>
  <c r="I165" i="30"/>
  <c r="I166" i="30"/>
  <c r="J166" i="30"/>
  <c r="K166" i="30"/>
  <c r="G166" i="30"/>
  <c r="K22" i="23"/>
  <c r="Q163" i="35"/>
  <c r="J167" i="30"/>
  <c r="D13" i="33"/>
  <c r="D162" i="35" s="1"/>
  <c r="P13" i="33"/>
  <c r="P162" i="35" s="1"/>
  <c r="D172" i="35"/>
  <c r="D13" i="34"/>
  <c r="D171" i="35" s="1"/>
  <c r="D20" i="24"/>
  <c r="D22" i="23"/>
  <c r="K187" i="29" l="1"/>
  <c r="K189" i="29"/>
  <c r="D189" i="29"/>
  <c r="D187" i="29"/>
  <c r="D165" i="30"/>
  <c r="K165" i="30"/>
  <c r="G167" i="30"/>
  <c r="Q13" i="33"/>
  <c r="Q162" i="35" s="1"/>
  <c r="D167" i="30" l="1"/>
  <c r="K167" i="30"/>
  <c r="C131" i="35" l="1"/>
  <c r="E131" i="35"/>
  <c r="F131" i="35"/>
  <c r="G131" i="35"/>
  <c r="H131" i="35"/>
  <c r="I131" i="35"/>
  <c r="J131" i="35"/>
  <c r="K131" i="35"/>
  <c r="L131" i="35"/>
  <c r="M131" i="35"/>
  <c r="N131" i="35"/>
  <c r="O131" i="35"/>
  <c r="B131" i="35"/>
  <c r="C133" i="28"/>
  <c r="E133" i="28"/>
  <c r="F133" i="28"/>
  <c r="G133" i="28"/>
  <c r="H133" i="28"/>
  <c r="I133" i="28"/>
  <c r="J133" i="28"/>
  <c r="K133" i="28"/>
  <c r="L133" i="28"/>
  <c r="M133" i="28"/>
  <c r="N133" i="28"/>
  <c r="B133" i="28"/>
  <c r="C143" i="28"/>
  <c r="E143" i="28"/>
  <c r="F143" i="28"/>
  <c r="G143" i="28"/>
  <c r="H143" i="28"/>
  <c r="B143" i="28"/>
  <c r="C153" i="28"/>
  <c r="E153" i="28"/>
  <c r="F153" i="28"/>
  <c r="G153" i="28"/>
  <c r="H153" i="28"/>
  <c r="B153" i="28"/>
  <c r="P12" i="33"/>
  <c r="P131" i="35" s="1"/>
  <c r="J12" i="34"/>
  <c r="J141" i="35" s="1"/>
  <c r="I12" i="34"/>
  <c r="I141" i="35" s="1"/>
  <c r="J19" i="23"/>
  <c r="J20" i="23"/>
  <c r="I20" i="23"/>
  <c r="I153" i="29" s="1"/>
  <c r="K20" i="23" l="1"/>
  <c r="J155" i="29"/>
  <c r="J153" i="29"/>
  <c r="I132" i="30"/>
  <c r="J131" i="30"/>
  <c r="Q12" i="33"/>
  <c r="Q131" i="35" s="1"/>
  <c r="K12" i="34"/>
  <c r="K141" i="35" s="1"/>
  <c r="K155" i="29" l="1"/>
  <c r="K153" i="29"/>
  <c r="K131" i="30"/>
  <c r="Q133" i="35"/>
  <c r="P133" i="35"/>
  <c r="O133" i="35"/>
  <c r="N133" i="35"/>
  <c r="M133" i="35"/>
  <c r="L133" i="35"/>
  <c r="K133" i="35"/>
  <c r="J133" i="35"/>
  <c r="I133" i="35"/>
  <c r="H133" i="35"/>
  <c r="G133" i="35"/>
  <c r="F133" i="35"/>
  <c r="E133" i="35"/>
  <c r="D133" i="35"/>
  <c r="C133" i="35"/>
  <c r="B133" i="35"/>
  <c r="Q132" i="35"/>
  <c r="P132" i="35"/>
  <c r="O132" i="35"/>
  <c r="N132" i="35"/>
  <c r="M132" i="35"/>
  <c r="L132" i="35"/>
  <c r="K132" i="35"/>
  <c r="J132" i="35"/>
  <c r="I132" i="35"/>
  <c r="H132" i="35"/>
  <c r="G132" i="35"/>
  <c r="F132" i="35"/>
  <c r="E132" i="35"/>
  <c r="D132" i="35"/>
  <c r="C132" i="35"/>
  <c r="B132" i="35"/>
  <c r="D12" i="33"/>
  <c r="D131" i="35" s="1"/>
  <c r="D12" i="34"/>
  <c r="D141" i="35" s="1"/>
  <c r="D20" i="23"/>
  <c r="D21" i="18"/>
  <c r="D153" i="28" s="1"/>
  <c r="D155" i="29" l="1"/>
  <c r="D153" i="29"/>
  <c r="D132" i="30"/>
  <c r="L141" i="30"/>
  <c r="J11" i="33" l="1"/>
  <c r="J100" i="35" s="1"/>
  <c r="J23" i="27"/>
  <c r="G23" i="27"/>
  <c r="G119" i="30" s="1"/>
  <c r="G14" i="26"/>
  <c r="G21" i="25"/>
  <c r="I11" i="34"/>
  <c r="I110" i="35" s="1"/>
  <c r="G11" i="34"/>
  <c r="G110" i="35" s="1"/>
  <c r="G18" i="23"/>
  <c r="G118" i="29" s="1"/>
  <c r="G107" i="29" l="1"/>
  <c r="G75" i="29"/>
  <c r="J119" i="30"/>
  <c r="J25" i="27"/>
  <c r="J121" i="30" s="1"/>
  <c r="G130" i="30"/>
  <c r="J19" i="27"/>
  <c r="J82" i="30" s="1"/>
  <c r="H83" i="31"/>
  <c r="E83" i="31"/>
  <c r="J83" i="31"/>
  <c r="G83" i="31"/>
  <c r="D83" i="31"/>
  <c r="G78" i="31"/>
  <c r="E78" i="31"/>
  <c r="B78" i="31"/>
  <c r="E71" i="31"/>
  <c r="B71" i="31"/>
  <c r="G71" i="31"/>
  <c r="J71" i="31"/>
  <c r="E64" i="31"/>
  <c r="G64" i="31"/>
  <c r="H64" i="31"/>
  <c r="I80" i="35"/>
  <c r="G80" i="35"/>
  <c r="D80" i="35"/>
  <c r="G132" i="30" l="1"/>
  <c r="K80" i="35"/>
  <c r="D64" i="31"/>
  <c r="J78" i="31"/>
  <c r="D78" i="31"/>
  <c r="K71" i="31"/>
  <c r="K64" i="31"/>
  <c r="L64" i="31"/>
  <c r="L78" i="31"/>
  <c r="K78" i="31"/>
  <c r="L71" i="31"/>
  <c r="H71" i="31"/>
  <c r="J64" i="31"/>
  <c r="B64" i="31"/>
  <c r="H78" i="31"/>
  <c r="D71" i="31"/>
  <c r="L83" i="31" l="1"/>
  <c r="K83" i="31"/>
  <c r="I10" i="34" l="1"/>
  <c r="I79" i="35" s="1"/>
  <c r="I17" i="23"/>
  <c r="I84" i="29" s="1"/>
  <c r="J17" i="23"/>
  <c r="D17" i="23"/>
  <c r="D84" i="29" s="1"/>
  <c r="J84" i="29" l="1"/>
  <c r="K17" i="23"/>
  <c r="K84" i="29" s="1"/>
  <c r="D39" i="31"/>
  <c r="I9" i="20" l="1"/>
  <c r="I61" i="29" s="1"/>
  <c r="G9" i="20"/>
  <c r="G61" i="29" s="1"/>
  <c r="I69" i="30" l="1"/>
  <c r="E53" i="31" l="1"/>
  <c r="H53" i="31"/>
  <c r="G52" i="31"/>
  <c r="G53" i="31" s="1"/>
  <c r="B53" i="31"/>
  <c r="J9" i="33"/>
  <c r="J38" i="35" s="1"/>
  <c r="J11" i="25"/>
  <c r="M11" i="25"/>
  <c r="M36" i="28" s="1"/>
  <c r="O11" i="25"/>
  <c r="O36" i="28" s="1"/>
  <c r="G9" i="34"/>
  <c r="G48" i="35" s="1"/>
  <c r="J10" i="24"/>
  <c r="G10" i="24"/>
  <c r="J36" i="28" l="1"/>
  <c r="J13" i="25"/>
  <c r="J38" i="28" s="1"/>
  <c r="K10" i="24"/>
  <c r="J52" i="31"/>
  <c r="J53" i="31" s="1"/>
  <c r="D52" i="31"/>
  <c r="D53" i="31" s="1"/>
  <c r="K52" i="31"/>
  <c r="L52" i="31" s="1"/>
  <c r="L53" i="31" l="1"/>
  <c r="K53" i="31"/>
  <c r="E25" i="31"/>
  <c r="G24" i="31"/>
  <c r="G25" i="31" s="1"/>
  <c r="R8" i="30"/>
  <c r="L19" i="29"/>
  <c r="F20" i="33"/>
  <c r="H20" i="33"/>
  <c r="I20" i="33"/>
  <c r="K20" i="33"/>
  <c r="L20" i="33"/>
  <c r="M20" i="33"/>
  <c r="E20" i="33"/>
  <c r="P8" i="33"/>
  <c r="O8" i="33"/>
  <c r="D8" i="33"/>
  <c r="D7" i="35" s="1"/>
  <c r="F20" i="34"/>
  <c r="H20" i="34"/>
  <c r="E20" i="34"/>
  <c r="J8" i="34"/>
  <c r="I8" i="34"/>
  <c r="I17" i="35" s="1"/>
  <c r="D8" i="34"/>
  <c r="D17" i="35" s="1"/>
  <c r="I8" i="24"/>
  <c r="D8" i="24"/>
  <c r="D8" i="23"/>
  <c r="D19" i="29" s="1"/>
  <c r="J17" i="35" l="1"/>
  <c r="P7" i="35"/>
  <c r="O7" i="35"/>
  <c r="O20" i="33"/>
  <c r="K8" i="34"/>
  <c r="I20" i="34"/>
  <c r="K8" i="24"/>
  <c r="D19" i="31"/>
  <c r="Q8" i="33"/>
  <c r="Q7" i="35" s="1"/>
  <c r="B25" i="31"/>
  <c r="H25" i="31"/>
  <c r="B38" i="35" l="1"/>
  <c r="P9" i="33"/>
  <c r="D9" i="33"/>
  <c r="D38" i="35" s="1"/>
  <c r="B48" i="35"/>
  <c r="D9" i="34"/>
  <c r="D48" i="35" s="1"/>
  <c r="J9" i="34"/>
  <c r="K17" i="35"/>
  <c r="D24" i="31"/>
  <c r="D25" i="31" s="1"/>
  <c r="J24" i="31"/>
  <c r="J25" i="31" s="1"/>
  <c r="K24" i="31"/>
  <c r="L24" i="31" s="1"/>
  <c r="L25" i="31" s="1"/>
  <c r="J48" i="35" l="1"/>
  <c r="K9" i="34"/>
  <c r="Q9" i="33"/>
  <c r="Q38" i="35" s="1"/>
  <c r="P38" i="35"/>
  <c r="K25" i="31"/>
  <c r="B79" i="35" l="1"/>
  <c r="J10" i="34"/>
  <c r="D10" i="34"/>
  <c r="D79" i="35" s="1"/>
  <c r="B69" i="35"/>
  <c r="P10" i="33"/>
  <c r="D10" i="33"/>
  <c r="D69" i="35" s="1"/>
  <c r="K48" i="35"/>
  <c r="J18" i="33"/>
  <c r="G18" i="33"/>
  <c r="O50" i="27"/>
  <c r="O390" i="30" s="1"/>
  <c r="G50" i="27"/>
  <c r="G390" i="30" s="1"/>
  <c r="P29" i="26"/>
  <c r="P30" i="26"/>
  <c r="O30" i="26"/>
  <c r="O365" i="29" s="1"/>
  <c r="G30" i="26"/>
  <c r="G365" i="29" s="1"/>
  <c r="P36" i="25"/>
  <c r="O37" i="25"/>
  <c r="O338" i="28" s="1"/>
  <c r="G37" i="25"/>
  <c r="G338" i="28" s="1"/>
  <c r="G19" i="34"/>
  <c r="J35" i="24"/>
  <c r="K35" i="24" s="1"/>
  <c r="J34" i="24"/>
  <c r="J400" i="30" s="1"/>
  <c r="I34" i="24"/>
  <c r="I400" i="30" s="1"/>
  <c r="J33" i="23"/>
  <c r="J34" i="23"/>
  <c r="J375" i="29" s="1"/>
  <c r="I34" i="23"/>
  <c r="I375" i="29" s="1"/>
  <c r="J34" i="22"/>
  <c r="J29" i="21"/>
  <c r="J34" i="18"/>
  <c r="K34" i="18" s="1"/>
  <c r="J35" i="18"/>
  <c r="I35" i="18"/>
  <c r="I357" i="28" s="1"/>
  <c r="B100" i="35" l="1"/>
  <c r="P11" i="33"/>
  <c r="D11" i="33"/>
  <c r="D100" i="35" s="1"/>
  <c r="B110" i="35"/>
  <c r="D11" i="34"/>
  <c r="D110" i="35" s="1"/>
  <c r="J11" i="34"/>
  <c r="Q10" i="33"/>
  <c r="Q69" i="35" s="1"/>
  <c r="P69" i="35"/>
  <c r="K10" i="34"/>
  <c r="J79" i="35"/>
  <c r="J20" i="34"/>
  <c r="P365" i="29"/>
  <c r="P367" i="29"/>
  <c r="J413" i="30"/>
  <c r="J411" i="30"/>
  <c r="Q29" i="26"/>
  <c r="Q334" i="29" s="1"/>
  <c r="P334" i="29"/>
  <c r="G20" i="34"/>
  <c r="G357" i="35"/>
  <c r="J320" i="28"/>
  <c r="K34" i="22"/>
  <c r="K320" i="28" s="1"/>
  <c r="Q30" i="26"/>
  <c r="K29" i="21"/>
  <c r="K411" i="30" s="1"/>
  <c r="K35" i="18"/>
  <c r="K357" i="28" s="1"/>
  <c r="J357" i="28"/>
  <c r="G20" i="33"/>
  <c r="G311" i="35"/>
  <c r="J20" i="33"/>
  <c r="J311" i="35"/>
  <c r="P20" i="33"/>
  <c r="K34" i="24"/>
  <c r="K34" i="23"/>
  <c r="K375" i="29" s="1"/>
  <c r="I18" i="35"/>
  <c r="G18" i="35"/>
  <c r="D18" i="35"/>
  <c r="G35" i="23"/>
  <c r="G376" i="29" s="1"/>
  <c r="D30" i="26"/>
  <c r="D365" i="29" s="1"/>
  <c r="J37" i="25"/>
  <c r="J338" i="28" s="1"/>
  <c r="D35" i="24"/>
  <c r="D400" i="30"/>
  <c r="D29" i="21"/>
  <c r="D35" i="18"/>
  <c r="D357" i="28" s="1"/>
  <c r="P100" i="35" l="1"/>
  <c r="Q11" i="33"/>
  <c r="Q100" i="35" s="1"/>
  <c r="J110" i="35"/>
  <c r="K11" i="34"/>
  <c r="K110" i="35" s="1"/>
  <c r="K79" i="35"/>
  <c r="K20" i="34"/>
  <c r="Q367" i="29"/>
  <c r="Q365" i="29"/>
  <c r="D411" i="30"/>
  <c r="D413" i="30"/>
  <c r="K413" i="30"/>
  <c r="K400" i="30"/>
  <c r="D375" i="29"/>
  <c r="D377" i="29"/>
  <c r="Q20" i="33"/>
  <c r="Q311" i="35"/>
  <c r="K18" i="35"/>
  <c r="O48" i="27" l="1"/>
  <c r="O356" i="30" s="1"/>
  <c r="O44" i="27"/>
  <c r="J44" i="27"/>
  <c r="J33" i="24"/>
  <c r="K33" i="24" s="1"/>
  <c r="O28" i="26"/>
  <c r="O333" i="29" s="1"/>
  <c r="O35" i="25"/>
  <c r="O312" i="28" s="1"/>
  <c r="J35" i="25"/>
  <c r="J312" i="28" s="1"/>
  <c r="I32" i="23"/>
  <c r="I343" i="29" s="1"/>
  <c r="I33" i="22"/>
  <c r="G367" i="30" l="1"/>
  <c r="G365" i="30"/>
  <c r="I319" i="28"/>
  <c r="D44" i="27"/>
  <c r="J32" i="24"/>
  <c r="J365" i="30" s="1"/>
  <c r="D365" i="30"/>
  <c r="J32" i="23"/>
  <c r="D32" i="23"/>
  <c r="I27" i="21"/>
  <c r="J33" i="18"/>
  <c r="I33" i="18"/>
  <c r="I329" i="28" s="1"/>
  <c r="D33" i="18"/>
  <c r="D329" i="28" s="1"/>
  <c r="D343" i="29" l="1"/>
  <c r="D345" i="29"/>
  <c r="I377" i="30"/>
  <c r="I375" i="30"/>
  <c r="J367" i="30"/>
  <c r="K32" i="24"/>
  <c r="K32" i="23"/>
  <c r="J343" i="29"/>
  <c r="J345" i="29"/>
  <c r="K33" i="18"/>
  <c r="K329" i="28" s="1"/>
  <c r="J329" i="28"/>
  <c r="K367" i="30" l="1"/>
  <c r="K365" i="30"/>
  <c r="K345" i="29"/>
  <c r="K343" i="29"/>
  <c r="J30" i="23" l="1"/>
  <c r="I30" i="23"/>
  <c r="I312" i="29" s="1"/>
  <c r="J31" i="22"/>
  <c r="I31" i="22"/>
  <c r="I291" i="28" s="1"/>
  <c r="J312" i="29" l="1"/>
  <c r="J314" i="29"/>
  <c r="B319" i="28"/>
  <c r="D33" i="22"/>
  <c r="D319" i="28" s="1"/>
  <c r="J33" i="22"/>
  <c r="J296" i="30"/>
  <c r="J294" i="30"/>
  <c r="K31" i="22"/>
  <c r="K291" i="28" s="1"/>
  <c r="J291" i="28"/>
  <c r="K30" i="23"/>
  <c r="P43" i="27"/>
  <c r="G43" i="27"/>
  <c r="G320" i="30" s="1"/>
  <c r="G33" i="25"/>
  <c r="G283" i="28" s="1"/>
  <c r="P42" i="27"/>
  <c r="O42" i="27"/>
  <c r="O319" i="30" s="1"/>
  <c r="P25" i="26"/>
  <c r="Q25" i="26" s="1"/>
  <c r="P26" i="26"/>
  <c r="O302" i="29"/>
  <c r="D26" i="26"/>
  <c r="D302" i="29" s="1"/>
  <c r="P33" i="25"/>
  <c r="O33" i="25"/>
  <c r="O283" i="28" s="1"/>
  <c r="D30" i="23"/>
  <c r="G31" i="22"/>
  <c r="G291" i="28" s="1"/>
  <c r="J33" i="25"/>
  <c r="J283" i="28" s="1"/>
  <c r="D31" i="22"/>
  <c r="D291" i="28" s="1"/>
  <c r="J25" i="21"/>
  <c r="B375" i="30" s="1"/>
  <c r="G25" i="21"/>
  <c r="G339" i="30" s="1"/>
  <c r="M42" i="27"/>
  <c r="M319" i="30" s="1"/>
  <c r="D42" i="27"/>
  <c r="D319" i="30" s="1"/>
  <c r="J32" i="18"/>
  <c r="K32" i="18" s="1"/>
  <c r="J31" i="18"/>
  <c r="J302" i="28" s="1"/>
  <c r="I32" i="18"/>
  <c r="I31" i="18"/>
  <c r="I302" i="28" s="1"/>
  <c r="G32" i="18"/>
  <c r="M33" i="25"/>
  <c r="M283" i="28" s="1"/>
  <c r="D33" i="25"/>
  <c r="D283" i="28" s="1"/>
  <c r="D31" i="18"/>
  <c r="D302" i="28" s="1"/>
  <c r="B355" i="30" l="1"/>
  <c r="P47" i="27"/>
  <c r="D47" i="27"/>
  <c r="D355" i="30" s="1"/>
  <c r="D46" i="27"/>
  <c r="B356" i="30"/>
  <c r="P46" i="27"/>
  <c r="B354" i="30"/>
  <c r="B312" i="28"/>
  <c r="P35" i="25"/>
  <c r="D35" i="25"/>
  <c r="D312" i="28" s="1"/>
  <c r="K314" i="29"/>
  <c r="K312" i="29"/>
  <c r="D312" i="29"/>
  <c r="D314" i="29"/>
  <c r="B347" i="28"/>
  <c r="J35" i="22"/>
  <c r="D35" i="22"/>
  <c r="D347" i="28" s="1"/>
  <c r="B333" i="29"/>
  <c r="P28" i="26"/>
  <c r="D28" i="26"/>
  <c r="D333" i="29" s="1"/>
  <c r="K33" i="22"/>
  <c r="K319" i="28" s="1"/>
  <c r="J319" i="28"/>
  <c r="B377" i="30"/>
  <c r="D27" i="21"/>
  <c r="D375" i="30" s="1"/>
  <c r="J27" i="21"/>
  <c r="P320" i="30"/>
  <c r="Q43" i="27"/>
  <c r="Q320" i="30" s="1"/>
  <c r="J341" i="30"/>
  <c r="J339" i="30"/>
  <c r="P302" i="29"/>
  <c r="Q26" i="26"/>
  <c r="P319" i="30"/>
  <c r="P44" i="27"/>
  <c r="D294" i="30"/>
  <c r="K294" i="30"/>
  <c r="K296" i="30"/>
  <c r="K25" i="21"/>
  <c r="Q42" i="27"/>
  <c r="Q33" i="25"/>
  <c r="Q283" i="28" s="1"/>
  <c r="P283" i="28"/>
  <c r="K31" i="18"/>
  <c r="K302" i="28" s="1"/>
  <c r="O41" i="27"/>
  <c r="P354" i="30" l="1"/>
  <c r="Q46" i="27"/>
  <c r="Q354" i="30" s="1"/>
  <c r="P48" i="27"/>
  <c r="P356" i="30" s="1"/>
  <c r="P355" i="30"/>
  <c r="Q47" i="27"/>
  <c r="D48" i="27"/>
  <c r="D356" i="30" s="1"/>
  <c r="D354" i="30"/>
  <c r="Q35" i="25"/>
  <c r="Q312" i="28" s="1"/>
  <c r="P312" i="28"/>
  <c r="J347" i="28"/>
  <c r="K35" i="22"/>
  <c r="K347" i="28" s="1"/>
  <c r="Q28" i="26"/>
  <c r="Q333" i="29" s="1"/>
  <c r="P333" i="29"/>
  <c r="J375" i="30"/>
  <c r="K27" i="21"/>
  <c r="K375" i="30" s="1"/>
  <c r="D377" i="30"/>
  <c r="K339" i="30"/>
  <c r="K341" i="30"/>
  <c r="Q319" i="30"/>
  <c r="Q44" i="27"/>
  <c r="P321" i="30"/>
  <c r="Q302" i="29"/>
  <c r="D34" i="31"/>
  <c r="J263" i="30"/>
  <c r="D263" i="30"/>
  <c r="Q48" i="27" l="1"/>
  <c r="Q356" i="30" s="1"/>
  <c r="Q355" i="30"/>
  <c r="B390" i="30"/>
  <c r="P50" i="27"/>
  <c r="D50" i="27"/>
  <c r="D390" i="30" s="1"/>
  <c r="B338" i="28"/>
  <c r="P37" i="25"/>
  <c r="D37" i="25"/>
  <c r="D338" i="28" s="1"/>
  <c r="J379" i="30"/>
  <c r="J377" i="30"/>
  <c r="Q321" i="30"/>
  <c r="K263" i="30"/>
  <c r="H48" i="31"/>
  <c r="E48" i="31"/>
  <c r="B48" i="31"/>
  <c r="G48" i="31"/>
  <c r="K47" i="31"/>
  <c r="L47" i="31" s="1"/>
  <c r="J47" i="31"/>
  <c r="D47" i="31"/>
  <c r="K46" i="31"/>
  <c r="D46" i="31"/>
  <c r="E42" i="31"/>
  <c r="B42" i="31"/>
  <c r="G41" i="31"/>
  <c r="G42" i="31" s="1"/>
  <c r="J39" i="31"/>
  <c r="D42" i="31"/>
  <c r="K39" i="31"/>
  <c r="E35" i="31"/>
  <c r="J34" i="31"/>
  <c r="G34" i="31"/>
  <c r="G35" i="31" s="1"/>
  <c r="J32" i="31"/>
  <c r="H35" i="31"/>
  <c r="B35" i="31"/>
  <c r="P41" i="27"/>
  <c r="Q41" i="27" s="1"/>
  <c r="O40" i="27"/>
  <c r="O284" i="30" s="1"/>
  <c r="D41" i="27"/>
  <c r="D40" i="27"/>
  <c r="D284" i="30" s="1"/>
  <c r="P24" i="26"/>
  <c r="O24" i="26"/>
  <c r="O270" i="29" s="1"/>
  <c r="D24" i="26"/>
  <c r="D270" i="29" s="1"/>
  <c r="O31" i="25"/>
  <c r="O253" i="28" s="1"/>
  <c r="J31" i="25"/>
  <c r="J253" i="28" s="1"/>
  <c r="D31" i="25"/>
  <c r="D253" i="28" s="1"/>
  <c r="J27" i="23"/>
  <c r="J28" i="23"/>
  <c r="J29" i="23"/>
  <c r="I28" i="23"/>
  <c r="I280" i="29" s="1"/>
  <c r="D28" i="23"/>
  <c r="J28" i="22"/>
  <c r="K28" i="22" s="1"/>
  <c r="J29" i="22"/>
  <c r="J262" i="28" s="1"/>
  <c r="J30" i="22"/>
  <c r="K30" i="22" s="1"/>
  <c r="I30" i="22"/>
  <c r="I29" i="22"/>
  <c r="I262" i="28" s="1"/>
  <c r="G30" i="22"/>
  <c r="D29" i="22"/>
  <c r="D262" i="28" s="1"/>
  <c r="J21" i="21"/>
  <c r="J271" i="30" s="1"/>
  <c r="J23" i="21"/>
  <c r="J305" i="30" s="1"/>
  <c r="J24" i="21"/>
  <c r="I23" i="21"/>
  <c r="I305" i="30" s="1"/>
  <c r="D23" i="21"/>
  <c r="D305" i="30" s="1"/>
  <c r="J28" i="18"/>
  <c r="J29" i="18"/>
  <c r="J272" i="28" s="1"/>
  <c r="I29" i="18"/>
  <c r="I272" i="28" s="1"/>
  <c r="D29" i="18"/>
  <c r="D272" i="28" s="1"/>
  <c r="P52" i="27" l="1"/>
  <c r="P392" i="30" s="1"/>
  <c r="Q50" i="27"/>
  <c r="P390" i="30"/>
  <c r="P340" i="28"/>
  <c r="P338" i="28"/>
  <c r="Q37" i="25"/>
  <c r="K379" i="30"/>
  <c r="K377" i="30"/>
  <c r="J282" i="29"/>
  <c r="J280" i="29"/>
  <c r="D280" i="29"/>
  <c r="D282" i="29"/>
  <c r="K23" i="21"/>
  <c r="K305" i="30" s="1"/>
  <c r="K28" i="23"/>
  <c r="K29" i="18"/>
  <c r="K272" i="28" s="1"/>
  <c r="K29" i="22"/>
  <c r="K262" i="28" s="1"/>
  <c r="Q270" i="29"/>
  <c r="P270" i="29"/>
  <c r="K21" i="21"/>
  <c r="K271" i="30" s="1"/>
  <c r="Q40" i="27"/>
  <c r="Q284" i="30" s="1"/>
  <c r="J35" i="31"/>
  <c r="J48" i="31"/>
  <c r="D48" i="31"/>
  <c r="K48" i="31"/>
  <c r="L46" i="31"/>
  <c r="L48" i="31" s="1"/>
  <c r="J42" i="31"/>
  <c r="K42" i="31"/>
  <c r="L39" i="31"/>
  <c r="L42" i="31" s="1"/>
  <c r="K32" i="31"/>
  <c r="H42" i="31"/>
  <c r="D32" i="31"/>
  <c r="D35" i="31" s="1"/>
  <c r="K18" i="31"/>
  <c r="L18" i="31" s="1"/>
  <c r="K19" i="31"/>
  <c r="L19" i="31" s="1"/>
  <c r="J18" i="31"/>
  <c r="D18" i="31"/>
  <c r="E20" i="31"/>
  <c r="B20" i="31"/>
  <c r="J19" i="31"/>
  <c r="G19" i="31"/>
  <c r="G20" i="31" s="1"/>
  <c r="J17" i="31"/>
  <c r="D17" i="31"/>
  <c r="E13" i="31"/>
  <c r="G12" i="31"/>
  <c r="G13" i="31" s="1"/>
  <c r="J10" i="31"/>
  <c r="B13" i="31"/>
  <c r="E6" i="31"/>
  <c r="J5" i="31"/>
  <c r="J4" i="31"/>
  <c r="D4" i="31"/>
  <c r="D6" i="31" s="1"/>
  <c r="G5" i="31"/>
  <c r="G6" i="31" s="1"/>
  <c r="Q390" i="30" l="1"/>
  <c r="Q52" i="27"/>
  <c r="Q392" i="30" s="1"/>
  <c r="Q340" i="28"/>
  <c r="Q338" i="28"/>
  <c r="K280" i="29"/>
  <c r="K282" i="29"/>
  <c r="D20" i="31"/>
  <c r="J20" i="31"/>
  <c r="H6" i="31"/>
  <c r="B6" i="31"/>
  <c r="J6" i="31"/>
  <c r="K4" i="31"/>
  <c r="L4" i="31" s="1"/>
  <c r="L6" i="31" s="1"/>
  <c r="L32" i="31"/>
  <c r="L35" i="31" s="1"/>
  <c r="K35" i="31"/>
  <c r="J13" i="31"/>
  <c r="H20" i="31"/>
  <c r="K17" i="31"/>
  <c r="K10" i="31"/>
  <c r="D10" i="31"/>
  <c r="D13" i="31" s="1"/>
  <c r="H13" i="31"/>
  <c r="O34" i="27"/>
  <c r="J34" i="27"/>
  <c r="G39" i="27"/>
  <c r="D34" i="27"/>
  <c r="G22" i="26"/>
  <c r="G243" i="29" s="1"/>
  <c r="P30" i="25"/>
  <c r="P29" i="25"/>
  <c r="O30" i="25"/>
  <c r="O29" i="25"/>
  <c r="O225" i="28" s="1"/>
  <c r="J232" i="30"/>
  <c r="G232" i="30"/>
  <c r="J26" i="23"/>
  <c r="I26" i="23"/>
  <c r="I251" i="29" s="1"/>
  <c r="G26" i="23"/>
  <c r="G251" i="29" s="1"/>
  <c r="D26" i="23"/>
  <c r="J27" i="22"/>
  <c r="G30" i="25"/>
  <c r="J29" i="25"/>
  <c r="J225" i="28" s="1"/>
  <c r="G27" i="22"/>
  <c r="G233" i="28" s="1"/>
  <c r="D29" i="25"/>
  <c r="J27" i="18"/>
  <c r="J242" i="28" s="1"/>
  <c r="I27" i="18"/>
  <c r="I242" i="28" s="1"/>
  <c r="J251" i="29" l="1"/>
  <c r="J253" i="29"/>
  <c r="D253" i="29"/>
  <c r="D251" i="29"/>
  <c r="J224" i="30"/>
  <c r="O224" i="30"/>
  <c r="D224" i="30"/>
  <c r="O213" i="29"/>
  <c r="D213" i="29"/>
  <c r="Q29" i="25"/>
  <c r="Q225" i="28" s="1"/>
  <c r="P225" i="28"/>
  <c r="K27" i="18"/>
  <c r="K242" i="28" s="1"/>
  <c r="D225" i="28"/>
  <c r="J233" i="28"/>
  <c r="K27" i="22"/>
  <c r="K233" i="28" s="1"/>
  <c r="K26" i="23"/>
  <c r="K232" i="30"/>
  <c r="Q30" i="25"/>
  <c r="K6" i="31"/>
  <c r="L17" i="31"/>
  <c r="L20" i="31" s="1"/>
  <c r="K20" i="31"/>
  <c r="K13" i="31"/>
  <c r="L10" i="31"/>
  <c r="L13" i="31" s="1"/>
  <c r="D27" i="18"/>
  <c r="D242" i="28" s="1"/>
  <c r="D27" i="22"/>
  <c r="D233" i="28" s="1"/>
  <c r="K251" i="29" l="1"/>
  <c r="K253" i="29"/>
  <c r="P20" i="26"/>
  <c r="D20" i="26"/>
  <c r="D211" i="29" s="1"/>
  <c r="O20" i="26"/>
  <c r="O211" i="29" s="1"/>
  <c r="P211" i="29" l="1"/>
  <c r="Q20" i="26"/>
  <c r="Q211" i="29" l="1"/>
  <c r="P213" i="29"/>
  <c r="P33" i="27"/>
  <c r="P32" i="27"/>
  <c r="O33" i="27"/>
  <c r="O223" i="30" s="1"/>
  <c r="O32" i="27"/>
  <c r="O222" i="30" s="1"/>
  <c r="D33" i="27"/>
  <c r="D223" i="30" s="1"/>
  <c r="D32" i="27"/>
  <c r="D222" i="30" s="1"/>
  <c r="P18" i="26"/>
  <c r="O18" i="26"/>
  <c r="O177" i="29" s="1"/>
  <c r="D18" i="26"/>
  <c r="Q27" i="25"/>
  <c r="O27" i="25"/>
  <c r="O191" i="28" s="1"/>
  <c r="J27" i="25"/>
  <c r="J191" i="28" s="1"/>
  <c r="J24" i="23"/>
  <c r="G24" i="23"/>
  <c r="G221" i="29" s="1"/>
  <c r="I25" i="22"/>
  <c r="I201" i="28" s="1"/>
  <c r="J25" i="22"/>
  <c r="G25" i="22"/>
  <c r="G201" i="28" s="1"/>
  <c r="D25" i="22"/>
  <c r="D201" i="28" s="1"/>
  <c r="D27" i="25"/>
  <c r="P223" i="30" l="1"/>
  <c r="Q33" i="27"/>
  <c r="Q223" i="30" s="1"/>
  <c r="J223" i="29"/>
  <c r="J221" i="29"/>
  <c r="Q213" i="29"/>
  <c r="P222" i="30"/>
  <c r="P34" i="27"/>
  <c r="P179" i="29"/>
  <c r="P177" i="29"/>
  <c r="D179" i="29"/>
  <c r="D177" i="29"/>
  <c r="D193" i="28"/>
  <c r="D191" i="28"/>
  <c r="K24" i="23"/>
  <c r="Q32" i="27"/>
  <c r="J201" i="28"/>
  <c r="K25" i="22"/>
  <c r="K201" i="28" s="1"/>
  <c r="Q191" i="28"/>
  <c r="Q193" i="28"/>
  <c r="Q18" i="26"/>
  <c r="J17" i="21"/>
  <c r="J208" i="30" s="1"/>
  <c r="I17" i="21"/>
  <c r="I208" i="30" s="1"/>
  <c r="D17" i="21"/>
  <c r="K20" i="20"/>
  <c r="J19" i="20"/>
  <c r="J231" i="29" s="1"/>
  <c r="I19" i="20"/>
  <c r="I231" i="29" s="1"/>
  <c r="D19" i="20"/>
  <c r="J25" i="18"/>
  <c r="J211" i="28" s="1"/>
  <c r="I25" i="18"/>
  <c r="I211" i="28" s="1"/>
  <c r="D25" i="18"/>
  <c r="D211" i="28" s="1"/>
  <c r="K221" i="29" l="1"/>
  <c r="K223" i="29"/>
  <c r="D231" i="29"/>
  <c r="D233" i="29"/>
  <c r="P224" i="30"/>
  <c r="Q34" i="27"/>
  <c r="Q222" i="30"/>
  <c r="Q177" i="29"/>
  <c r="Q179" i="29"/>
  <c r="D208" i="30"/>
  <c r="K19" i="20"/>
  <c r="K17" i="21"/>
  <c r="K208" i="30" s="1"/>
  <c r="K25" i="18"/>
  <c r="K211" i="28" s="1"/>
  <c r="K231" i="29" l="1"/>
  <c r="K233" i="29"/>
  <c r="Q224" i="30"/>
  <c r="J210" i="30"/>
  <c r="I210" i="30"/>
  <c r="D210" i="30"/>
  <c r="J24" i="22"/>
  <c r="K24" i="22" s="1"/>
  <c r="I24" i="22"/>
  <c r="G24" i="22"/>
  <c r="J26" i="25"/>
  <c r="K210" i="30" l="1"/>
  <c r="J183" i="28"/>
  <c r="G183" i="28"/>
  <c r="K183" i="28" s="1"/>
  <c r="J23" i="22" l="1"/>
  <c r="J173" i="28" s="1"/>
  <c r="I23" i="22"/>
  <c r="I173" i="28" s="1"/>
  <c r="G23" i="22"/>
  <c r="G173" i="28" s="1"/>
  <c r="D23" i="22"/>
  <c r="D173" i="28" s="1"/>
  <c r="J17" i="20"/>
  <c r="I17" i="20"/>
  <c r="I198" i="29" s="1"/>
  <c r="D17" i="20"/>
  <c r="J24" i="18"/>
  <c r="J23" i="18"/>
  <c r="I23" i="18"/>
  <c r="I182" i="28" s="1"/>
  <c r="G24" i="18"/>
  <c r="D23" i="18"/>
  <c r="D182" i="28" s="1"/>
  <c r="D200" i="29" l="1"/>
  <c r="D198" i="29"/>
  <c r="J200" i="29"/>
  <c r="J198" i="29"/>
  <c r="K17" i="20"/>
  <c r="K23" i="18"/>
  <c r="K182" i="28" s="1"/>
  <c r="J182" i="28"/>
  <c r="K23" i="22"/>
  <c r="K173" i="28" s="1"/>
  <c r="K24" i="18"/>
  <c r="P31" i="27"/>
  <c r="P191" i="30" s="1"/>
  <c r="P30" i="27"/>
  <c r="P190" i="30" s="1"/>
  <c r="O30" i="27"/>
  <c r="O190" i="30" s="1"/>
  <c r="M30" i="27"/>
  <c r="M190" i="30" s="1"/>
  <c r="G31" i="27"/>
  <c r="G191" i="30" s="1"/>
  <c r="D30" i="27"/>
  <c r="D190" i="30" s="1"/>
  <c r="P26" i="25"/>
  <c r="P165" i="28" s="1"/>
  <c r="P25" i="25"/>
  <c r="O26" i="25"/>
  <c r="O165" i="28" s="1"/>
  <c r="M26" i="25"/>
  <c r="M165" i="28" s="1"/>
  <c r="M25" i="25"/>
  <c r="M164" i="28" s="1"/>
  <c r="J25" i="25"/>
  <c r="J164" i="28" s="1"/>
  <c r="G26" i="25"/>
  <c r="G165" i="28" s="1"/>
  <c r="D25" i="25"/>
  <c r="D164" i="28" s="1"/>
  <c r="K198" i="29" l="1"/>
  <c r="K200" i="29"/>
  <c r="Q30" i="27"/>
  <c r="Q190" i="30" s="1"/>
  <c r="P164" i="28"/>
  <c r="Q31" i="27"/>
  <c r="Q191" i="30" s="1"/>
  <c r="Q26" i="25"/>
  <c r="Q165" i="28" s="1"/>
  <c r="Q25" i="25"/>
  <c r="Q164" i="28" s="1"/>
  <c r="P27" i="27"/>
  <c r="P156" i="30" s="1"/>
  <c r="O27" i="27"/>
  <c r="O156" i="30" s="1"/>
  <c r="D27" i="27"/>
  <c r="D156" i="30" s="1"/>
  <c r="P23" i="25"/>
  <c r="O23" i="25"/>
  <c r="O133" i="28" s="1"/>
  <c r="D23" i="25"/>
  <c r="D133" i="28" s="1"/>
  <c r="J22" i="22"/>
  <c r="K22" i="22" s="1"/>
  <c r="J21" i="22"/>
  <c r="I22" i="22"/>
  <c r="I21" i="22"/>
  <c r="I143" i="28" s="1"/>
  <c r="D22" i="22"/>
  <c r="D21" i="22"/>
  <c r="D143" i="28" s="1"/>
  <c r="I15" i="20"/>
  <c r="I164" i="29" s="1"/>
  <c r="J21" i="18"/>
  <c r="I21" i="18"/>
  <c r="I153" i="28" s="1"/>
  <c r="J14" i="21"/>
  <c r="K14" i="21" s="1"/>
  <c r="I15" i="21"/>
  <c r="I176" i="30" s="1"/>
  <c r="D166" i="29" l="1"/>
  <c r="K177" i="30"/>
  <c r="J177" i="30"/>
  <c r="J166" i="29"/>
  <c r="D109" i="29"/>
  <c r="O109" i="29"/>
  <c r="Q27" i="27"/>
  <c r="Q156" i="30" s="1"/>
  <c r="K21" i="22"/>
  <c r="K143" i="28" s="1"/>
  <c r="J143" i="28"/>
  <c r="K21" i="18"/>
  <c r="K153" i="28" s="1"/>
  <c r="J153" i="28"/>
  <c r="Q23" i="25"/>
  <c r="Q133" i="28" s="1"/>
  <c r="P133" i="28"/>
  <c r="P15" i="26" l="1"/>
  <c r="O108" i="29"/>
  <c r="D15" i="26"/>
  <c r="D108" i="29" s="1"/>
  <c r="Q108" i="29" l="1"/>
  <c r="P108" i="29"/>
  <c r="J112" i="28"/>
  <c r="G112" i="28"/>
  <c r="K112" i="28" s="1"/>
  <c r="I130" i="30"/>
  <c r="D130" i="30"/>
  <c r="J120" i="29"/>
  <c r="I18" i="23"/>
  <c r="I118" i="29" s="1"/>
  <c r="K14" i="20"/>
  <c r="I13" i="20"/>
  <c r="D14" i="20"/>
  <c r="D13" i="20"/>
  <c r="D97" i="29" s="1"/>
  <c r="I19" i="18"/>
  <c r="O23" i="27"/>
  <c r="O119" i="30" s="1"/>
  <c r="D14" i="26"/>
  <c r="P21" i="25"/>
  <c r="O21" i="25"/>
  <c r="J21" i="25"/>
  <c r="D21" i="25"/>
  <c r="I129" i="29" l="1"/>
  <c r="I97" i="29"/>
  <c r="D107" i="29"/>
  <c r="D75" i="29"/>
  <c r="I122" i="28"/>
  <c r="D129" i="29"/>
  <c r="D131" i="29"/>
  <c r="D120" i="29"/>
  <c r="P104" i="28"/>
  <c r="J131" i="29"/>
  <c r="J130" i="30"/>
  <c r="I120" i="29"/>
  <c r="Q21" i="25"/>
  <c r="K130" i="30" l="1"/>
  <c r="K131" i="29"/>
  <c r="P109" i="29"/>
  <c r="J132" i="30"/>
  <c r="Q104" i="28"/>
  <c r="K120" i="29"/>
  <c r="O20" i="25"/>
  <c r="K132" i="30" l="1"/>
  <c r="Q109" i="29"/>
  <c r="O19" i="27" l="1"/>
  <c r="O12" i="26"/>
  <c r="O16" i="25"/>
  <c r="P13" i="26"/>
  <c r="P20" i="25"/>
  <c r="Q20" i="25" s="1"/>
  <c r="J16" i="25"/>
  <c r="J69" i="28" s="1"/>
  <c r="I11" i="24"/>
  <c r="I92" i="30" s="1"/>
  <c r="J13" i="22"/>
  <c r="I14" i="22"/>
  <c r="I79" i="28" s="1"/>
  <c r="G14" i="22"/>
  <c r="G79" i="28" s="1"/>
  <c r="Q13" i="26" l="1"/>
  <c r="Q74" i="29" s="1"/>
  <c r="P74" i="29"/>
  <c r="O69" i="28"/>
  <c r="O18" i="25"/>
  <c r="O71" i="28" s="1"/>
  <c r="O14" i="26"/>
  <c r="O73" i="29"/>
  <c r="O82" i="30"/>
  <c r="O21" i="27"/>
  <c r="O84" i="30" s="1"/>
  <c r="K14" i="22"/>
  <c r="K79" i="28" s="1"/>
  <c r="G13" i="26"/>
  <c r="G74" i="29" s="1"/>
  <c r="G20" i="25"/>
  <c r="D14" i="22"/>
  <c r="D79" i="28" s="1"/>
  <c r="J10" i="21"/>
  <c r="I11" i="21"/>
  <c r="I104" i="30" l="1"/>
  <c r="I13" i="21"/>
  <c r="O75" i="29"/>
  <c r="O107" i="29"/>
  <c r="Q9" i="26"/>
  <c r="P9" i="26"/>
  <c r="M10" i="26"/>
  <c r="M39" i="29" s="1"/>
  <c r="I106" i="30" l="1"/>
  <c r="I141" i="30"/>
  <c r="P8" i="25"/>
  <c r="J8" i="24"/>
  <c r="I9" i="24"/>
  <c r="I58" i="30" s="1"/>
  <c r="G9" i="24"/>
  <c r="G58" i="30" s="1"/>
  <c r="I11" i="23"/>
  <c r="G11" i="23"/>
  <c r="G49" i="29" s="1"/>
  <c r="K8" i="22"/>
  <c r="J8" i="22"/>
  <c r="I9" i="22"/>
  <c r="G9" i="22"/>
  <c r="G9" i="21"/>
  <c r="G69" i="30" s="1"/>
  <c r="P15" i="27"/>
  <c r="O47" i="30"/>
  <c r="O14" i="27"/>
  <c r="M14" i="27"/>
  <c r="M46" i="30" s="1"/>
  <c r="J14" i="27"/>
  <c r="J46" i="30" s="1"/>
  <c r="G15" i="27"/>
  <c r="G47" i="30" s="1"/>
  <c r="G9" i="18"/>
  <c r="G57" i="28" s="1"/>
  <c r="I13" i="23" l="1"/>
  <c r="I51" i="29" s="1"/>
  <c r="I49" i="29"/>
  <c r="I11" i="22"/>
  <c r="I48" i="28" s="1"/>
  <c r="I46" i="28"/>
  <c r="Q15" i="27"/>
  <c r="Q47" i="30" s="1"/>
  <c r="P8" i="28"/>
  <c r="G11" i="22"/>
  <c r="G48" i="28" s="1"/>
  <c r="G46" i="28"/>
  <c r="O46" i="30"/>
  <c r="O16" i="27"/>
  <c r="O48" i="30" s="1"/>
  <c r="P47" i="30"/>
  <c r="B37" i="28" l="1"/>
  <c r="P12" i="25"/>
  <c r="D12" i="25"/>
  <c r="D37" i="28" s="1"/>
  <c r="B82" i="30"/>
  <c r="P19" i="27"/>
  <c r="D19" i="27"/>
  <c r="D82" i="30" s="1"/>
  <c r="H42" i="16"/>
  <c r="P82" i="30" l="1"/>
  <c r="P21" i="27"/>
  <c r="Q19" i="27"/>
  <c r="B69" i="28"/>
  <c r="P37" i="28"/>
  <c r="Q12" i="25"/>
  <c r="Q37" i="28" s="1"/>
  <c r="J9" i="27"/>
  <c r="J8" i="30" s="1"/>
  <c r="G7" i="24"/>
  <c r="G20" i="30" s="1"/>
  <c r="G9" i="27"/>
  <c r="G8" i="30" s="1"/>
  <c r="J8" i="23"/>
  <c r="B50" i="29" s="1"/>
  <c r="I8" i="23"/>
  <c r="I19" i="29" s="1"/>
  <c r="G8" i="23"/>
  <c r="G19" i="29" s="1"/>
  <c r="P84" i="30" l="1"/>
  <c r="Q82" i="30"/>
  <c r="Q21" i="27"/>
  <c r="Q84" i="30" s="1"/>
  <c r="J12" i="23"/>
  <c r="J50" i="29" s="1"/>
  <c r="D12" i="23"/>
  <c r="D50" i="29" s="1"/>
  <c r="P16" i="25"/>
  <c r="D16" i="25"/>
  <c r="D69" i="28" s="1"/>
  <c r="J19" i="29"/>
  <c r="K8" i="23"/>
  <c r="K19" i="29" s="1"/>
  <c r="J358" i="28"/>
  <c r="I358" i="28"/>
  <c r="G358" i="28"/>
  <c r="P341" i="28"/>
  <c r="O341" i="28"/>
  <c r="G341" i="28"/>
  <c r="D341" i="28"/>
  <c r="B119" i="30" l="1"/>
  <c r="D23" i="27"/>
  <c r="D119" i="30" s="1"/>
  <c r="P23" i="27"/>
  <c r="P69" i="28"/>
  <c r="P18" i="25"/>
  <c r="P71" i="28" s="1"/>
  <c r="Q16" i="25"/>
  <c r="B83" i="29"/>
  <c r="K12" i="23"/>
  <c r="K50" i="29" s="1"/>
  <c r="Q341" i="28"/>
  <c r="K358" i="28"/>
  <c r="J35" i="23"/>
  <c r="P119" i="30" l="1"/>
  <c r="Q23" i="27"/>
  <c r="P25" i="27"/>
  <c r="P121" i="30" s="1"/>
  <c r="Q69" i="28"/>
  <c r="Q18" i="25"/>
  <c r="Q71" i="28" s="1"/>
  <c r="D16" i="23"/>
  <c r="D83" i="29" s="1"/>
  <c r="J16" i="23"/>
  <c r="J376" i="29"/>
  <c r="K35" i="23"/>
  <c r="K376" i="29" s="1"/>
  <c r="J377" i="29"/>
  <c r="J331" i="28"/>
  <c r="I331" i="28"/>
  <c r="G331" i="28"/>
  <c r="J330" i="28"/>
  <c r="I330" i="28"/>
  <c r="G330" i="28"/>
  <c r="D330" i="28"/>
  <c r="P313" i="28"/>
  <c r="O313" i="28"/>
  <c r="G313" i="28"/>
  <c r="D313" i="28"/>
  <c r="Q119" i="30" l="1"/>
  <c r="Q25" i="27"/>
  <c r="Q121" i="30" s="1"/>
  <c r="J83" i="29"/>
  <c r="K16" i="23"/>
  <c r="K83" i="29" s="1"/>
  <c r="K377" i="29"/>
  <c r="K331" i="28"/>
  <c r="K330" i="28"/>
  <c r="Q313" i="28"/>
  <c r="J18" i="23" l="1"/>
  <c r="B118" i="29"/>
  <c r="D18" i="23"/>
  <c r="D118" i="29" s="1"/>
  <c r="I273" i="28"/>
  <c r="J118" i="29" l="1"/>
  <c r="K18" i="23"/>
  <c r="K118" i="29" s="1"/>
  <c r="BZ207" i="30"/>
  <c r="BY207" i="30"/>
  <c r="BW207" i="30"/>
  <c r="BT207" i="30"/>
  <c r="BZ198" i="30"/>
  <c r="BY198" i="30"/>
  <c r="BT198" i="30"/>
  <c r="BR191" i="30"/>
  <c r="CF190" i="30"/>
  <c r="CE190" i="30"/>
  <c r="BW190" i="30"/>
  <c r="BT190" i="30"/>
  <c r="CF189" i="30"/>
  <c r="CE189" i="30"/>
  <c r="CC189" i="30"/>
  <c r="BT189" i="30"/>
  <c r="CF191" i="30" l="1"/>
  <c r="BT191" i="30"/>
  <c r="CA207" i="30"/>
  <c r="CG189" i="30"/>
  <c r="CG190" i="30"/>
  <c r="CA198" i="30"/>
  <c r="O271" i="29"/>
  <c r="G271" i="29"/>
  <c r="J273" i="28"/>
  <c r="D273" i="28"/>
  <c r="J274" i="28"/>
  <c r="I274" i="28"/>
  <c r="G274" i="28"/>
  <c r="G273" i="28"/>
  <c r="K273" i="28" l="1"/>
  <c r="K274" i="28"/>
  <c r="Q271" i="29"/>
  <c r="CG191" i="30"/>
  <c r="G307" i="30"/>
  <c r="R249" i="30"/>
  <c r="S249" i="30"/>
  <c r="T249" i="30"/>
  <c r="U249" i="30"/>
  <c r="V249" i="30"/>
  <c r="W249" i="30"/>
  <c r="X249" i="30"/>
  <c r="Y249" i="30"/>
  <c r="Z249" i="30"/>
  <c r="AA249" i="30"/>
  <c r="AB249" i="30"/>
  <c r="AC249" i="30"/>
  <c r="AD249" i="30"/>
  <c r="AE249" i="30"/>
  <c r="AF249" i="30"/>
  <c r="AG249" i="30"/>
  <c r="AH249" i="30"/>
  <c r="AI249" i="30"/>
  <c r="AJ249" i="30"/>
  <c r="AK249" i="30"/>
  <c r="AL249" i="30"/>
  <c r="AM249" i="30"/>
  <c r="AN249" i="30"/>
  <c r="AO249" i="30"/>
  <c r="AP249" i="30"/>
  <c r="AQ249" i="30"/>
  <c r="AR249" i="30"/>
  <c r="AS249" i="30"/>
  <c r="AT249" i="30"/>
  <c r="AU249" i="30"/>
  <c r="AV249" i="30"/>
  <c r="AW249" i="30"/>
  <c r="AX249" i="30"/>
  <c r="AY249" i="30"/>
  <c r="AZ249" i="30"/>
  <c r="BA249" i="30"/>
  <c r="BB249" i="30"/>
  <c r="BC249" i="30"/>
  <c r="BD249" i="30"/>
  <c r="BE249" i="30"/>
  <c r="BF249" i="30"/>
  <c r="BG249" i="30"/>
  <c r="BH249" i="30"/>
  <c r="BI249" i="30"/>
  <c r="BJ249" i="30"/>
  <c r="BK249" i="30"/>
  <c r="BL249" i="30"/>
  <c r="BM249" i="30"/>
  <c r="BN249" i="30"/>
  <c r="BO249" i="30"/>
  <c r="BP249" i="30"/>
  <c r="BQ249" i="30"/>
  <c r="BR249" i="30"/>
  <c r="BS249" i="30"/>
  <c r="BT249" i="30"/>
  <c r="BU249" i="30"/>
  <c r="BV249" i="30"/>
  <c r="BW249" i="30"/>
  <c r="BX249" i="30"/>
  <c r="BY249" i="30"/>
  <c r="BZ249" i="30"/>
  <c r="CA249" i="30"/>
  <c r="CB249" i="30"/>
  <c r="CC249" i="30"/>
  <c r="CD249" i="30"/>
  <c r="CE249" i="30"/>
  <c r="CF249" i="30"/>
  <c r="CG249" i="30"/>
  <c r="CH249" i="30"/>
  <c r="CI249" i="30"/>
  <c r="CJ249" i="30"/>
  <c r="CK249" i="30"/>
  <c r="CL249" i="30"/>
  <c r="CM249" i="30"/>
  <c r="CN249" i="30"/>
  <c r="CO249" i="30"/>
  <c r="CP249" i="30"/>
  <c r="CQ249" i="30"/>
  <c r="CR249" i="30"/>
  <c r="CS249" i="30"/>
  <c r="CT249" i="30"/>
  <c r="CU249" i="30"/>
  <c r="CV249" i="30"/>
  <c r="CW249" i="30"/>
  <c r="CX249" i="30"/>
  <c r="CY249" i="30"/>
  <c r="CZ249" i="30"/>
  <c r="DA249" i="30"/>
  <c r="DB249" i="30"/>
  <c r="DC249" i="30"/>
  <c r="DD249" i="30"/>
  <c r="DE249" i="30"/>
  <c r="DF249" i="30"/>
  <c r="DG249" i="30"/>
  <c r="DH249" i="30"/>
  <c r="DI249" i="30"/>
  <c r="DJ249" i="30"/>
  <c r="DK249" i="30"/>
  <c r="DL249" i="30"/>
  <c r="DM249" i="30"/>
  <c r="DN249" i="30"/>
  <c r="DO249" i="30"/>
  <c r="DP249" i="30"/>
  <c r="DQ249" i="30"/>
  <c r="DR249" i="30"/>
  <c r="DS249" i="30"/>
  <c r="DT249" i="30"/>
  <c r="DU249" i="30"/>
  <c r="DV249" i="30"/>
  <c r="DW249" i="30"/>
  <c r="DX249" i="30"/>
  <c r="DY249" i="30"/>
  <c r="DZ249" i="30"/>
  <c r="EA249" i="30"/>
  <c r="EB249" i="30"/>
  <c r="EC249" i="30"/>
  <c r="ED249" i="30"/>
  <c r="EE249" i="30"/>
  <c r="EF249" i="30"/>
  <c r="EG249" i="30"/>
  <c r="EH249" i="30"/>
  <c r="EI249" i="30"/>
  <c r="EJ249" i="30"/>
  <c r="EK249" i="30"/>
  <c r="EL249" i="30"/>
  <c r="EM249" i="30"/>
  <c r="EN249" i="30"/>
  <c r="EO249" i="30"/>
  <c r="EP249" i="30"/>
  <c r="EQ249" i="30"/>
  <c r="ER249" i="30"/>
  <c r="ES249" i="30"/>
  <c r="ET249" i="30"/>
  <c r="EU249" i="30"/>
  <c r="EV249" i="30"/>
  <c r="EW249" i="30"/>
  <c r="EX249" i="30"/>
  <c r="EY249" i="30"/>
  <c r="EZ249" i="30"/>
  <c r="FA249" i="30"/>
  <c r="FB249" i="30"/>
  <c r="FC249" i="30"/>
  <c r="FD249" i="30"/>
  <c r="FE249" i="30"/>
  <c r="FF249" i="30"/>
  <c r="FG249" i="30"/>
  <c r="FH249" i="30"/>
  <c r="FI249" i="30"/>
  <c r="FJ249" i="30"/>
  <c r="FK249" i="30"/>
  <c r="FL249" i="30"/>
  <c r="FM249" i="30"/>
  <c r="FN249" i="30"/>
  <c r="FO249" i="30"/>
  <c r="FP249" i="30"/>
  <c r="FQ249" i="30"/>
  <c r="FR249" i="30"/>
  <c r="FS249" i="30"/>
  <c r="FT249" i="30"/>
  <c r="FU249" i="30"/>
  <c r="FV249" i="30"/>
  <c r="FW249" i="30"/>
  <c r="FX249" i="30"/>
  <c r="FY249" i="30"/>
  <c r="FZ249" i="30"/>
  <c r="GA249" i="30"/>
  <c r="GB249" i="30"/>
  <c r="GC249" i="30"/>
  <c r="GD249" i="30"/>
  <c r="GE249" i="30"/>
  <c r="GF249" i="30"/>
  <c r="GG249" i="30"/>
  <c r="GH249" i="30"/>
  <c r="GI249" i="30"/>
  <c r="GJ249" i="30"/>
  <c r="GK249" i="30"/>
  <c r="GL249" i="30"/>
  <c r="GM249" i="30"/>
  <c r="GN249" i="30"/>
  <c r="GO249" i="30"/>
  <c r="GP249" i="30"/>
  <c r="GQ249" i="30"/>
  <c r="GR249" i="30"/>
  <c r="GS249" i="30"/>
  <c r="GT249" i="30"/>
  <c r="GU249" i="30"/>
  <c r="GV249" i="30"/>
  <c r="GW249" i="30"/>
  <c r="GX249" i="30"/>
  <c r="GY249" i="30"/>
  <c r="GZ249" i="30"/>
  <c r="HA249" i="30"/>
  <c r="HB249" i="30"/>
  <c r="HC249" i="30"/>
  <c r="HD249" i="30"/>
  <c r="HE249" i="30"/>
  <c r="HF249" i="30"/>
  <c r="HG249" i="30"/>
  <c r="HH249" i="30"/>
  <c r="HI249" i="30"/>
  <c r="HJ249" i="30"/>
  <c r="HK249" i="30"/>
  <c r="HL249" i="30"/>
  <c r="HM249" i="30"/>
  <c r="HN249" i="30"/>
  <c r="HO249" i="30"/>
  <c r="HP249" i="30"/>
  <c r="HQ249" i="30"/>
  <c r="HR249" i="30"/>
  <c r="HS249" i="30"/>
  <c r="HT249" i="30"/>
  <c r="HU249" i="30"/>
  <c r="HV249" i="30"/>
  <c r="HW249" i="30"/>
  <c r="HX249" i="30"/>
  <c r="HY249" i="30"/>
  <c r="HZ249" i="30"/>
  <c r="IA249" i="30"/>
  <c r="IB249" i="30"/>
  <c r="IC249" i="30"/>
  <c r="ID249" i="30"/>
  <c r="IE249" i="30"/>
  <c r="IF249" i="30"/>
  <c r="IG249" i="30"/>
  <c r="IH249" i="30"/>
  <c r="II249" i="30"/>
  <c r="IJ249" i="30"/>
  <c r="IK249" i="30"/>
  <c r="IL249" i="30"/>
  <c r="IM249" i="30"/>
  <c r="IN249" i="30"/>
  <c r="IO249" i="30"/>
  <c r="IP249" i="30"/>
  <c r="IQ249" i="30"/>
  <c r="IR249" i="30"/>
  <c r="IS249" i="30"/>
  <c r="IT249" i="30"/>
  <c r="IU249" i="30"/>
  <c r="IV249" i="30"/>
  <c r="IW249" i="30"/>
  <c r="IX249" i="30"/>
  <c r="IY249" i="30"/>
  <c r="IZ249" i="30"/>
  <c r="JA249" i="30"/>
  <c r="JB249" i="30"/>
  <c r="JC249" i="30"/>
  <c r="JD249" i="30"/>
  <c r="JE249" i="30"/>
  <c r="JF249" i="30"/>
  <c r="JG249" i="30"/>
  <c r="JH249" i="30"/>
  <c r="JI249" i="30"/>
  <c r="JJ249" i="30"/>
  <c r="JK249" i="30"/>
  <c r="JL249" i="30"/>
  <c r="JM249" i="30"/>
  <c r="JN249" i="30"/>
  <c r="JO249" i="30"/>
  <c r="JP249" i="30"/>
  <c r="JQ249" i="30"/>
  <c r="JR249" i="30"/>
  <c r="JS249" i="30"/>
  <c r="JT249" i="30"/>
  <c r="JU249" i="30"/>
  <c r="JV249" i="30"/>
  <c r="JW249" i="30"/>
  <c r="JX249" i="30"/>
  <c r="JY249" i="30"/>
  <c r="JZ249" i="30"/>
  <c r="KA249" i="30"/>
  <c r="KB249" i="30"/>
  <c r="KC249" i="30"/>
  <c r="KD249" i="30"/>
  <c r="KE249" i="30"/>
  <c r="KF249" i="30"/>
  <c r="KG249" i="30"/>
  <c r="KH249" i="30"/>
  <c r="KI249" i="30"/>
  <c r="KJ249" i="30"/>
  <c r="KK249" i="30"/>
  <c r="KL249" i="30"/>
  <c r="KM249" i="30"/>
  <c r="KN249" i="30"/>
  <c r="KO249" i="30"/>
  <c r="KP249" i="30"/>
  <c r="KQ249" i="30"/>
  <c r="KR249" i="30"/>
  <c r="KS249" i="30"/>
  <c r="KT249" i="30"/>
  <c r="KU249" i="30"/>
  <c r="KV249" i="30"/>
  <c r="KW249" i="30"/>
  <c r="KX249" i="30"/>
  <c r="KY249" i="30"/>
  <c r="KZ249" i="30"/>
  <c r="LA249" i="30"/>
  <c r="LB249" i="30"/>
  <c r="LC249" i="30"/>
  <c r="LD249" i="30"/>
  <c r="LE249" i="30"/>
  <c r="LF249" i="30"/>
  <c r="LG249" i="30"/>
  <c r="LH249" i="30"/>
  <c r="LI249" i="30"/>
  <c r="LJ249" i="30"/>
  <c r="LK249" i="30"/>
  <c r="LL249" i="30"/>
  <c r="LM249" i="30"/>
  <c r="LN249" i="30"/>
  <c r="LO249" i="30"/>
  <c r="LP249" i="30"/>
  <c r="LQ249" i="30"/>
  <c r="LR249" i="30"/>
  <c r="LS249" i="30"/>
  <c r="LT249" i="30"/>
  <c r="LU249" i="30"/>
  <c r="LV249" i="30"/>
  <c r="LW249" i="30"/>
  <c r="LX249" i="30"/>
  <c r="LY249" i="30"/>
  <c r="LZ249" i="30"/>
  <c r="MA249" i="30"/>
  <c r="MB249" i="30"/>
  <c r="MC249" i="30"/>
  <c r="MD249" i="30"/>
  <c r="ME249" i="30"/>
  <c r="MF249" i="30"/>
  <c r="MG249" i="30"/>
  <c r="MH249" i="30"/>
  <c r="MI249" i="30"/>
  <c r="MJ249" i="30"/>
  <c r="MK249" i="30"/>
  <c r="ML249" i="30"/>
  <c r="MM249" i="30"/>
  <c r="MN249" i="30"/>
  <c r="MO249" i="30"/>
  <c r="MP249" i="30"/>
  <c r="MQ249" i="30"/>
  <c r="MR249" i="30"/>
  <c r="MS249" i="30"/>
  <c r="MT249" i="30"/>
  <c r="MU249" i="30"/>
  <c r="MV249" i="30"/>
  <c r="MW249" i="30"/>
  <c r="MX249" i="30"/>
  <c r="MY249" i="30"/>
  <c r="MZ249" i="30"/>
  <c r="NA249" i="30"/>
  <c r="NB249" i="30"/>
  <c r="NC249" i="30"/>
  <c r="ND249" i="30"/>
  <c r="NE249" i="30"/>
  <c r="NF249" i="30"/>
  <c r="NG249" i="30"/>
  <c r="NH249" i="30"/>
  <c r="NI249" i="30"/>
  <c r="NJ249" i="30"/>
  <c r="NK249" i="30"/>
  <c r="NL249" i="30"/>
  <c r="NM249" i="30"/>
  <c r="NN249" i="30"/>
  <c r="NO249" i="30"/>
  <c r="NP249" i="30"/>
  <c r="NQ249" i="30"/>
  <c r="NR249" i="30"/>
  <c r="NS249" i="30"/>
  <c r="NT249" i="30"/>
  <c r="NU249" i="30"/>
  <c r="NV249" i="30"/>
  <c r="NW249" i="30"/>
  <c r="NX249" i="30"/>
  <c r="NY249" i="30"/>
  <c r="NZ249" i="30"/>
  <c r="OA249" i="30"/>
  <c r="OB249" i="30"/>
  <c r="OC249" i="30"/>
  <c r="OD249" i="30"/>
  <c r="OE249" i="30"/>
  <c r="OF249" i="30"/>
  <c r="OG249" i="30"/>
  <c r="OH249" i="30"/>
  <c r="OI249" i="30"/>
  <c r="OJ249" i="30"/>
  <c r="OK249" i="30"/>
  <c r="OL249" i="30"/>
  <c r="OM249" i="30"/>
  <c r="ON249" i="30"/>
  <c r="OO249" i="30"/>
  <c r="OP249" i="30"/>
  <c r="OQ249" i="30"/>
  <c r="OR249" i="30"/>
  <c r="OS249" i="30"/>
  <c r="OT249" i="30"/>
  <c r="OU249" i="30"/>
  <c r="OV249" i="30"/>
  <c r="OW249" i="30"/>
  <c r="OX249" i="30"/>
  <c r="OY249" i="30"/>
  <c r="OZ249" i="30"/>
  <c r="PA249" i="30"/>
  <c r="PB249" i="30"/>
  <c r="PC249" i="30"/>
  <c r="PD249" i="30"/>
  <c r="PE249" i="30"/>
  <c r="PF249" i="30"/>
  <c r="PG249" i="30"/>
  <c r="PH249" i="30"/>
  <c r="PI249" i="30"/>
  <c r="PJ249" i="30"/>
  <c r="PK249" i="30"/>
  <c r="PL249" i="30"/>
  <c r="PM249" i="30"/>
  <c r="PN249" i="30"/>
  <c r="PO249" i="30"/>
  <c r="PP249" i="30"/>
  <c r="PQ249" i="30"/>
  <c r="PR249" i="30"/>
  <c r="PS249" i="30"/>
  <c r="PT249" i="30"/>
  <c r="PU249" i="30"/>
  <c r="PV249" i="30"/>
  <c r="PW249" i="30"/>
  <c r="PX249" i="30"/>
  <c r="PY249" i="30"/>
  <c r="PZ249" i="30"/>
  <c r="QA249" i="30"/>
  <c r="QB249" i="30"/>
  <c r="QC249" i="30"/>
  <c r="QD249" i="30"/>
  <c r="QE249" i="30"/>
  <c r="QF249" i="30"/>
  <c r="QG249" i="30"/>
  <c r="QH249" i="30"/>
  <c r="QI249" i="30"/>
  <c r="QJ249" i="30"/>
  <c r="QK249" i="30"/>
  <c r="QL249" i="30"/>
  <c r="QM249" i="30"/>
  <c r="QN249" i="30"/>
  <c r="QO249" i="30"/>
  <c r="QP249" i="30"/>
  <c r="QQ249" i="30"/>
  <c r="QR249" i="30"/>
  <c r="QS249" i="30"/>
  <c r="QT249" i="30"/>
  <c r="QU249" i="30"/>
  <c r="QV249" i="30"/>
  <c r="QW249" i="30"/>
  <c r="QX249" i="30"/>
  <c r="QY249" i="30"/>
  <c r="QZ249" i="30"/>
  <c r="RA249" i="30"/>
  <c r="RB249" i="30"/>
  <c r="RC249" i="30"/>
  <c r="RD249" i="30"/>
  <c r="RE249" i="30"/>
  <c r="RF249" i="30"/>
  <c r="RG249" i="30"/>
  <c r="RH249" i="30"/>
  <c r="RI249" i="30"/>
  <c r="RJ249" i="30"/>
  <c r="RK249" i="30"/>
  <c r="RL249" i="30"/>
  <c r="RM249" i="30"/>
  <c r="RN249" i="30"/>
  <c r="RO249" i="30"/>
  <c r="RP249" i="30"/>
  <c r="RQ249" i="30"/>
  <c r="RR249" i="30"/>
  <c r="RS249" i="30"/>
  <c r="RT249" i="30"/>
  <c r="RU249" i="30"/>
  <c r="RV249" i="30"/>
  <c r="RW249" i="30"/>
  <c r="RX249" i="30"/>
  <c r="RY249" i="30"/>
  <c r="RZ249" i="30"/>
  <c r="SA249" i="30"/>
  <c r="SB249" i="30"/>
  <c r="SC249" i="30"/>
  <c r="SD249" i="30"/>
  <c r="SE249" i="30"/>
  <c r="SF249" i="30"/>
  <c r="SG249" i="30"/>
  <c r="SH249" i="30"/>
  <c r="SI249" i="30"/>
  <c r="SJ249" i="30"/>
  <c r="SK249" i="30"/>
  <c r="SL249" i="30"/>
  <c r="SM249" i="30"/>
  <c r="SN249" i="30"/>
  <c r="SO249" i="30"/>
  <c r="SP249" i="30"/>
  <c r="SQ249" i="30"/>
  <c r="SR249" i="30"/>
  <c r="SS249" i="30"/>
  <c r="ST249" i="30"/>
  <c r="SU249" i="30"/>
  <c r="SV249" i="30"/>
  <c r="SW249" i="30"/>
  <c r="SX249" i="30"/>
  <c r="SY249" i="30"/>
  <c r="SZ249" i="30"/>
  <c r="TA249" i="30"/>
  <c r="TB249" i="30"/>
  <c r="TC249" i="30"/>
  <c r="TD249" i="30"/>
  <c r="TE249" i="30"/>
  <c r="TF249" i="30"/>
  <c r="TG249" i="30"/>
  <c r="TH249" i="30"/>
  <c r="TI249" i="30"/>
  <c r="TJ249" i="30"/>
  <c r="TK249" i="30"/>
  <c r="TL249" i="30"/>
  <c r="TM249" i="30"/>
  <c r="TN249" i="30"/>
  <c r="TO249" i="30"/>
  <c r="TP249" i="30"/>
  <c r="TQ249" i="30"/>
  <c r="TR249" i="30"/>
  <c r="TS249" i="30"/>
  <c r="TT249" i="30"/>
  <c r="TU249" i="30"/>
  <c r="TV249" i="30"/>
  <c r="TW249" i="30"/>
  <c r="TX249" i="30"/>
  <c r="TY249" i="30"/>
  <c r="TZ249" i="30"/>
  <c r="UA249" i="30"/>
  <c r="UB249" i="30"/>
  <c r="UC249" i="30"/>
  <c r="UD249" i="30"/>
  <c r="UE249" i="30"/>
  <c r="UF249" i="30"/>
  <c r="UG249" i="30"/>
  <c r="UH249" i="30"/>
  <c r="UI249" i="30"/>
  <c r="UJ249" i="30"/>
  <c r="UK249" i="30"/>
  <c r="UL249" i="30"/>
  <c r="UM249" i="30"/>
  <c r="UN249" i="30"/>
  <c r="UO249" i="30"/>
  <c r="UP249" i="30"/>
  <c r="UQ249" i="30"/>
  <c r="UR249" i="30"/>
  <c r="US249" i="30"/>
  <c r="UT249" i="30"/>
  <c r="UU249" i="30"/>
  <c r="UV249" i="30"/>
  <c r="UW249" i="30"/>
  <c r="UX249" i="30"/>
  <c r="UY249" i="30"/>
  <c r="UZ249" i="30"/>
  <c r="VA249" i="30"/>
  <c r="VB249" i="30"/>
  <c r="VC249" i="30"/>
  <c r="VD249" i="30"/>
  <c r="VE249" i="30"/>
  <c r="VF249" i="30"/>
  <c r="VG249" i="30"/>
  <c r="VH249" i="30"/>
  <c r="VI249" i="30"/>
  <c r="VJ249" i="30"/>
  <c r="VK249" i="30"/>
  <c r="VL249" i="30"/>
  <c r="VM249" i="30"/>
  <c r="VN249" i="30"/>
  <c r="VO249" i="30"/>
  <c r="VP249" i="30"/>
  <c r="VQ249" i="30"/>
  <c r="VR249" i="30"/>
  <c r="VS249" i="30"/>
  <c r="VT249" i="30"/>
  <c r="VU249" i="30"/>
  <c r="VV249" i="30"/>
  <c r="VW249" i="30"/>
  <c r="VX249" i="30"/>
  <c r="VY249" i="30"/>
  <c r="VZ249" i="30"/>
  <c r="WA249" i="30"/>
  <c r="WB249" i="30"/>
  <c r="WC249" i="30"/>
  <c r="WD249" i="30"/>
  <c r="WE249" i="30"/>
  <c r="WF249" i="30"/>
  <c r="WG249" i="30"/>
  <c r="WH249" i="30"/>
  <c r="WI249" i="30"/>
  <c r="WJ249" i="30"/>
  <c r="WK249" i="30"/>
  <c r="WL249" i="30"/>
  <c r="WM249" i="30"/>
  <c r="WN249" i="30"/>
  <c r="WO249" i="30"/>
  <c r="WP249" i="30"/>
  <c r="WQ249" i="30"/>
  <c r="WR249" i="30"/>
  <c r="WS249" i="30"/>
  <c r="WT249" i="30"/>
  <c r="WU249" i="30"/>
  <c r="WV249" i="30"/>
  <c r="WW249" i="30"/>
  <c r="WX249" i="30"/>
  <c r="WY249" i="30"/>
  <c r="WZ249" i="30"/>
  <c r="XA249" i="30"/>
  <c r="XB249" i="30"/>
  <c r="XC249" i="30"/>
  <c r="XD249" i="30"/>
  <c r="XE249" i="30"/>
  <c r="XF249" i="30"/>
  <c r="XG249" i="30"/>
  <c r="XH249" i="30"/>
  <c r="XI249" i="30"/>
  <c r="XJ249" i="30"/>
  <c r="XK249" i="30"/>
  <c r="XL249" i="30"/>
  <c r="XM249" i="30"/>
  <c r="XN249" i="30"/>
  <c r="XO249" i="30"/>
  <c r="XP249" i="30"/>
  <c r="XQ249" i="30"/>
  <c r="XR249" i="30"/>
  <c r="XS249" i="30"/>
  <c r="XT249" i="30"/>
  <c r="XU249" i="30"/>
  <c r="XV249" i="30"/>
  <c r="XW249" i="30"/>
  <c r="XX249" i="30"/>
  <c r="XY249" i="30"/>
  <c r="XZ249" i="30"/>
  <c r="YA249" i="30"/>
  <c r="YB249" i="30"/>
  <c r="YC249" i="30"/>
  <c r="YD249" i="30"/>
  <c r="YE249" i="30"/>
  <c r="YF249" i="30"/>
  <c r="YG249" i="30"/>
  <c r="YH249" i="30"/>
  <c r="YI249" i="30"/>
  <c r="YJ249" i="30"/>
  <c r="YK249" i="30"/>
  <c r="YL249" i="30"/>
  <c r="YM249" i="30"/>
  <c r="YN249" i="30"/>
  <c r="YO249" i="30"/>
  <c r="YP249" i="30"/>
  <c r="YQ249" i="30"/>
  <c r="YR249" i="30"/>
  <c r="YS249" i="30"/>
  <c r="YT249" i="30"/>
  <c r="YU249" i="30"/>
  <c r="YV249" i="30"/>
  <c r="YW249" i="30"/>
  <c r="YX249" i="30"/>
  <c r="YY249" i="30"/>
  <c r="YZ249" i="30"/>
  <c r="ZA249" i="30"/>
  <c r="ZB249" i="30"/>
  <c r="ZC249" i="30"/>
  <c r="ZD249" i="30"/>
  <c r="ZE249" i="30"/>
  <c r="ZF249" i="30"/>
  <c r="ZG249" i="30"/>
  <c r="ZH249" i="30"/>
  <c r="ZI249" i="30"/>
  <c r="ZJ249" i="30"/>
  <c r="ZK249" i="30"/>
  <c r="ZL249" i="30"/>
  <c r="ZM249" i="30"/>
  <c r="ZN249" i="30"/>
  <c r="ZO249" i="30"/>
  <c r="ZP249" i="30"/>
  <c r="ZQ249" i="30"/>
  <c r="ZR249" i="30"/>
  <c r="ZS249" i="30"/>
  <c r="ZT249" i="30"/>
  <c r="ZU249" i="30"/>
  <c r="ZV249" i="30"/>
  <c r="ZW249" i="30"/>
  <c r="ZX249" i="30"/>
  <c r="ZY249" i="30"/>
  <c r="ZZ249" i="30"/>
  <c r="AAA249" i="30"/>
  <c r="AAB249" i="30"/>
  <c r="AAC249" i="30"/>
  <c r="AAD249" i="30"/>
  <c r="AAE249" i="30"/>
  <c r="AAF249" i="30"/>
  <c r="AAG249" i="30"/>
  <c r="AAH249" i="30"/>
  <c r="AAI249" i="30"/>
  <c r="AAJ249" i="30"/>
  <c r="AAK249" i="30"/>
  <c r="AAL249" i="30"/>
  <c r="AAM249" i="30"/>
  <c r="AAN249" i="30"/>
  <c r="AAO249" i="30"/>
  <c r="AAP249" i="30"/>
  <c r="AAQ249" i="30"/>
  <c r="AAR249" i="30"/>
  <c r="AAS249" i="30"/>
  <c r="AAT249" i="30"/>
  <c r="AAU249" i="30"/>
  <c r="AAV249" i="30"/>
  <c r="AAW249" i="30"/>
  <c r="AAX249" i="30"/>
  <c r="AAY249" i="30"/>
  <c r="AAZ249" i="30"/>
  <c r="ABA249" i="30"/>
  <c r="ABB249" i="30"/>
  <c r="ABC249" i="30"/>
  <c r="ABD249" i="30"/>
  <c r="ABE249" i="30"/>
  <c r="ABF249" i="30"/>
  <c r="ABG249" i="30"/>
  <c r="ABH249" i="30"/>
  <c r="ABI249" i="30"/>
  <c r="ABJ249" i="30"/>
  <c r="ABK249" i="30"/>
  <c r="ABL249" i="30"/>
  <c r="ABM249" i="30"/>
  <c r="ABN249" i="30"/>
  <c r="ABO249" i="30"/>
  <c r="ABP249" i="30"/>
  <c r="ABQ249" i="30"/>
  <c r="ABR249" i="30"/>
  <c r="ABS249" i="30"/>
  <c r="ABT249" i="30"/>
  <c r="ABU249" i="30"/>
  <c r="ABV249" i="30"/>
  <c r="ABW249" i="30"/>
  <c r="ABX249" i="30"/>
  <c r="ABY249" i="30"/>
  <c r="ABZ249" i="30"/>
  <c r="ACA249" i="30"/>
  <c r="ACB249" i="30"/>
  <c r="ACC249" i="30"/>
  <c r="ACD249" i="30"/>
  <c r="ACE249" i="30"/>
  <c r="ACF249" i="30"/>
  <c r="ACG249" i="30"/>
  <c r="ACH249" i="30"/>
  <c r="ACI249" i="30"/>
  <c r="ACJ249" i="30"/>
  <c r="ACK249" i="30"/>
  <c r="ACL249" i="30"/>
  <c r="ACM249" i="30"/>
  <c r="ACN249" i="30"/>
  <c r="ACO249" i="30"/>
  <c r="ACP249" i="30"/>
  <c r="ACQ249" i="30"/>
  <c r="ACR249" i="30"/>
  <c r="ACS249" i="30"/>
  <c r="ACT249" i="30"/>
  <c r="ACU249" i="30"/>
  <c r="ACV249" i="30"/>
  <c r="ACW249" i="30"/>
  <c r="ACX249" i="30"/>
  <c r="ACY249" i="30"/>
  <c r="ACZ249" i="30"/>
  <c r="ADA249" i="30"/>
  <c r="ADB249" i="30"/>
  <c r="ADC249" i="30"/>
  <c r="ADD249" i="30"/>
  <c r="ADE249" i="30"/>
  <c r="ADF249" i="30"/>
  <c r="ADG249" i="30"/>
  <c r="ADH249" i="30"/>
  <c r="ADI249" i="30"/>
  <c r="ADJ249" i="30"/>
  <c r="ADK249" i="30"/>
  <c r="ADL249" i="30"/>
  <c r="ADM249" i="30"/>
  <c r="ADN249" i="30"/>
  <c r="ADO249" i="30"/>
  <c r="ADP249" i="30"/>
  <c r="ADQ249" i="30"/>
  <c r="ADR249" i="30"/>
  <c r="ADS249" i="30"/>
  <c r="ADT249" i="30"/>
  <c r="ADU249" i="30"/>
  <c r="ADV249" i="30"/>
  <c r="ADW249" i="30"/>
  <c r="ADX249" i="30"/>
  <c r="ADY249" i="30"/>
  <c r="ADZ249" i="30"/>
  <c r="AEA249" i="30"/>
  <c r="AEB249" i="30"/>
  <c r="AEC249" i="30"/>
  <c r="AED249" i="30"/>
  <c r="AEE249" i="30"/>
  <c r="AEF249" i="30"/>
  <c r="AEG249" i="30"/>
  <c r="AEH249" i="30"/>
  <c r="AEI249" i="30"/>
  <c r="AEJ249" i="30"/>
  <c r="AEK249" i="30"/>
  <c r="AEL249" i="30"/>
  <c r="AEM249" i="30"/>
  <c r="AEN249" i="30"/>
  <c r="AEO249" i="30"/>
  <c r="AEP249" i="30"/>
  <c r="AEQ249" i="30"/>
  <c r="AER249" i="30"/>
  <c r="AES249" i="30"/>
  <c r="AET249" i="30"/>
  <c r="AEU249" i="30"/>
  <c r="AEV249" i="30"/>
  <c r="AEW249" i="30"/>
  <c r="AEX249" i="30"/>
  <c r="AEY249" i="30"/>
  <c r="AEZ249" i="30"/>
  <c r="AFA249" i="30"/>
  <c r="AFB249" i="30"/>
  <c r="AFC249" i="30"/>
  <c r="AFD249" i="30"/>
  <c r="AFE249" i="30"/>
  <c r="AFF249" i="30"/>
  <c r="AFG249" i="30"/>
  <c r="AFH249" i="30"/>
  <c r="AFI249" i="30"/>
  <c r="AFJ249" i="30"/>
  <c r="AFK249" i="30"/>
  <c r="AFL249" i="30"/>
  <c r="AFM249" i="30"/>
  <c r="AFN249" i="30"/>
  <c r="AFO249" i="30"/>
  <c r="AFP249" i="30"/>
  <c r="AFQ249" i="30"/>
  <c r="AFR249" i="30"/>
  <c r="AFS249" i="30"/>
  <c r="AFT249" i="30"/>
  <c r="AFU249" i="30"/>
  <c r="AFV249" i="30"/>
  <c r="AFW249" i="30"/>
  <c r="AFX249" i="30"/>
  <c r="AFY249" i="30"/>
  <c r="AFZ249" i="30"/>
  <c r="AGA249" i="30"/>
  <c r="AGB249" i="30"/>
  <c r="AGC249" i="30"/>
  <c r="AGD249" i="30"/>
  <c r="AGE249" i="30"/>
  <c r="AGF249" i="30"/>
  <c r="AGG249" i="30"/>
  <c r="AGH249" i="30"/>
  <c r="AGI249" i="30"/>
  <c r="AGJ249" i="30"/>
  <c r="AGK249" i="30"/>
  <c r="AGL249" i="30"/>
  <c r="AGM249" i="30"/>
  <c r="AGN249" i="30"/>
  <c r="AGO249" i="30"/>
  <c r="AGP249" i="30"/>
  <c r="AGQ249" i="30"/>
  <c r="AGR249" i="30"/>
  <c r="AGS249" i="30"/>
  <c r="AGT249" i="30"/>
  <c r="AGU249" i="30"/>
  <c r="AGV249" i="30"/>
  <c r="AGW249" i="30"/>
  <c r="AGX249" i="30"/>
  <c r="AGY249" i="30"/>
  <c r="AGZ249" i="30"/>
  <c r="AHA249" i="30"/>
  <c r="AHB249" i="30"/>
  <c r="AHC249" i="30"/>
  <c r="AHD249" i="30"/>
  <c r="AHE249" i="30"/>
  <c r="AHF249" i="30"/>
  <c r="AHG249" i="30"/>
  <c r="AHH249" i="30"/>
  <c r="AHI249" i="30"/>
  <c r="AHJ249" i="30"/>
  <c r="AHK249" i="30"/>
  <c r="AHL249" i="30"/>
  <c r="AHM249" i="30"/>
  <c r="AHN249" i="30"/>
  <c r="AHO249" i="30"/>
  <c r="AHP249" i="30"/>
  <c r="AHQ249" i="30"/>
  <c r="AHR249" i="30"/>
  <c r="AHS249" i="30"/>
  <c r="AHT249" i="30"/>
  <c r="AHU249" i="30"/>
  <c r="AHV249" i="30"/>
  <c r="AHW249" i="30"/>
  <c r="AHX249" i="30"/>
  <c r="AHY249" i="30"/>
  <c r="AHZ249" i="30"/>
  <c r="AIA249" i="30"/>
  <c r="AIB249" i="30"/>
  <c r="AIC249" i="30"/>
  <c r="AID249" i="30"/>
  <c r="AIE249" i="30"/>
  <c r="AIF249" i="30"/>
  <c r="AIG249" i="30"/>
  <c r="AIH249" i="30"/>
  <c r="AII249" i="30"/>
  <c r="AIJ249" i="30"/>
  <c r="AIK249" i="30"/>
  <c r="AIL249" i="30"/>
  <c r="AIM249" i="30"/>
  <c r="AIN249" i="30"/>
  <c r="AIO249" i="30"/>
  <c r="AIP249" i="30"/>
  <c r="AIQ249" i="30"/>
  <c r="AIR249" i="30"/>
  <c r="AIS249" i="30"/>
  <c r="AIT249" i="30"/>
  <c r="AIU249" i="30"/>
  <c r="AIV249" i="30"/>
  <c r="AIW249" i="30"/>
  <c r="AIX249" i="30"/>
  <c r="AIY249" i="30"/>
  <c r="AIZ249" i="30"/>
  <c r="AJA249" i="30"/>
  <c r="AJB249" i="30"/>
  <c r="AJC249" i="30"/>
  <c r="AJD249" i="30"/>
  <c r="AJE249" i="30"/>
  <c r="AJF249" i="30"/>
  <c r="AJG249" i="30"/>
  <c r="AJH249" i="30"/>
  <c r="AJI249" i="30"/>
  <c r="AJJ249" i="30"/>
  <c r="AJK249" i="30"/>
  <c r="AJL249" i="30"/>
  <c r="AJM249" i="30"/>
  <c r="AJN249" i="30"/>
  <c r="AJO249" i="30"/>
  <c r="AJP249" i="30"/>
  <c r="AJQ249" i="30"/>
  <c r="AJR249" i="30"/>
  <c r="AJS249" i="30"/>
  <c r="AJT249" i="30"/>
  <c r="AJU249" i="30"/>
  <c r="AJV249" i="30"/>
  <c r="AJW249" i="30"/>
  <c r="AJX249" i="30"/>
  <c r="AJY249" i="30"/>
  <c r="AJZ249" i="30"/>
  <c r="AKA249" i="30"/>
  <c r="AKB249" i="30"/>
  <c r="AKC249" i="30"/>
  <c r="AKD249" i="30"/>
  <c r="AKE249" i="30"/>
  <c r="AKF249" i="30"/>
  <c r="AKG249" i="30"/>
  <c r="AKH249" i="30"/>
  <c r="AKI249" i="30"/>
  <c r="AKJ249" i="30"/>
  <c r="AKK249" i="30"/>
  <c r="AKL249" i="30"/>
  <c r="AKM249" i="30"/>
  <c r="AKN249" i="30"/>
  <c r="AKO249" i="30"/>
  <c r="AKP249" i="30"/>
  <c r="AKQ249" i="30"/>
  <c r="AKR249" i="30"/>
  <c r="AKS249" i="30"/>
  <c r="AKT249" i="30"/>
  <c r="AKU249" i="30"/>
  <c r="AKV249" i="30"/>
  <c r="AKW249" i="30"/>
  <c r="AKX249" i="30"/>
  <c r="AKY249" i="30"/>
  <c r="AKZ249" i="30"/>
  <c r="ALA249" i="30"/>
  <c r="ALB249" i="30"/>
  <c r="ALC249" i="30"/>
  <c r="ALD249" i="30"/>
  <c r="ALE249" i="30"/>
  <c r="ALF249" i="30"/>
  <c r="ALG249" i="30"/>
  <c r="ALH249" i="30"/>
  <c r="ALI249" i="30"/>
  <c r="ALJ249" i="30"/>
  <c r="ALK249" i="30"/>
  <c r="ALL249" i="30"/>
  <c r="ALM249" i="30"/>
  <c r="ALN249" i="30"/>
  <c r="ALO249" i="30"/>
  <c r="ALP249" i="30"/>
  <c r="ALQ249" i="30"/>
  <c r="ALR249" i="30"/>
  <c r="ALS249" i="30"/>
  <c r="ALT249" i="30"/>
  <c r="ALU249" i="30"/>
  <c r="ALV249" i="30"/>
  <c r="ALW249" i="30"/>
  <c r="ALX249" i="30"/>
  <c r="ALY249" i="30"/>
  <c r="ALZ249" i="30"/>
  <c r="AMA249" i="30"/>
  <c r="AMB249" i="30"/>
  <c r="AMC249" i="30"/>
  <c r="AMD249" i="30"/>
  <c r="AME249" i="30"/>
  <c r="AMF249" i="30"/>
  <c r="AMG249" i="30"/>
  <c r="AMH249" i="30"/>
  <c r="AMI249" i="30"/>
  <c r="AMJ249" i="30"/>
  <c r="AMK249" i="30"/>
  <c r="AML249" i="30"/>
  <c r="AMM249" i="30"/>
  <c r="AMN249" i="30"/>
  <c r="AMO249" i="30"/>
  <c r="AMP249" i="30"/>
  <c r="AMQ249" i="30"/>
  <c r="AMR249" i="30"/>
  <c r="AMS249" i="30"/>
  <c r="AMT249" i="30"/>
  <c r="AMU249" i="30"/>
  <c r="AMV249" i="30"/>
  <c r="AMW249" i="30"/>
  <c r="AMX249" i="30"/>
  <c r="AMY249" i="30"/>
  <c r="AMZ249" i="30"/>
  <c r="ANA249" i="30"/>
  <c r="ANB249" i="30"/>
  <c r="ANC249" i="30"/>
  <c r="AND249" i="30"/>
  <c r="ANE249" i="30"/>
  <c r="ANF249" i="30"/>
  <c r="ANG249" i="30"/>
  <c r="ANH249" i="30"/>
  <c r="ANI249" i="30"/>
  <c r="ANJ249" i="30"/>
  <c r="ANK249" i="30"/>
  <c r="ANL249" i="30"/>
  <c r="ANM249" i="30"/>
  <c r="ANN249" i="30"/>
  <c r="ANO249" i="30"/>
  <c r="ANP249" i="30"/>
  <c r="ANQ249" i="30"/>
  <c r="ANR249" i="30"/>
  <c r="ANS249" i="30"/>
  <c r="ANT249" i="30"/>
  <c r="ANU249" i="30"/>
  <c r="ANV249" i="30"/>
  <c r="ANW249" i="30"/>
  <c r="ANX249" i="30"/>
  <c r="ANY249" i="30"/>
  <c r="ANZ249" i="30"/>
  <c r="AOA249" i="30"/>
  <c r="AOB249" i="30"/>
  <c r="AOC249" i="30"/>
  <c r="AOD249" i="30"/>
  <c r="AOE249" i="30"/>
  <c r="AOF249" i="30"/>
  <c r="AOG249" i="30"/>
  <c r="AOH249" i="30"/>
  <c r="AOI249" i="30"/>
  <c r="AOJ249" i="30"/>
  <c r="AOK249" i="30"/>
  <c r="AOL249" i="30"/>
  <c r="AOM249" i="30"/>
  <c r="AON249" i="30"/>
  <c r="AOO249" i="30"/>
  <c r="AOP249" i="30"/>
  <c r="AOQ249" i="30"/>
  <c r="AOR249" i="30"/>
  <c r="AOS249" i="30"/>
  <c r="AOT249" i="30"/>
  <c r="AOU249" i="30"/>
  <c r="AOV249" i="30"/>
  <c r="AOW249" i="30"/>
  <c r="AOX249" i="30"/>
  <c r="AOY249" i="30"/>
  <c r="AOZ249" i="30"/>
  <c r="APA249" i="30"/>
  <c r="APB249" i="30"/>
  <c r="APC249" i="30"/>
  <c r="APD249" i="30"/>
  <c r="APE249" i="30"/>
  <c r="APF249" i="30"/>
  <c r="APG249" i="30"/>
  <c r="APH249" i="30"/>
  <c r="API249" i="30"/>
  <c r="APJ249" i="30"/>
  <c r="APK249" i="30"/>
  <c r="APL249" i="30"/>
  <c r="APM249" i="30"/>
  <c r="APN249" i="30"/>
  <c r="APO249" i="30"/>
  <c r="APP249" i="30"/>
  <c r="APQ249" i="30"/>
  <c r="APR249" i="30"/>
  <c r="APS249" i="30"/>
  <c r="APT249" i="30"/>
  <c r="APU249" i="30"/>
  <c r="APV249" i="30"/>
  <c r="APW249" i="30"/>
  <c r="APX249" i="30"/>
  <c r="APY249" i="30"/>
  <c r="APZ249" i="30"/>
  <c r="AQA249" i="30"/>
  <c r="AQB249" i="30"/>
  <c r="AQC249" i="30"/>
  <c r="AQD249" i="30"/>
  <c r="AQE249" i="30"/>
  <c r="AQF249" i="30"/>
  <c r="AQG249" i="30"/>
  <c r="AQH249" i="30"/>
  <c r="AQI249" i="30"/>
  <c r="AQJ249" i="30"/>
  <c r="AQK249" i="30"/>
  <c r="AQL249" i="30"/>
  <c r="AQM249" i="30"/>
  <c r="AQN249" i="30"/>
  <c r="AQO249" i="30"/>
  <c r="AQP249" i="30"/>
  <c r="AQQ249" i="30"/>
  <c r="AQR249" i="30"/>
  <c r="AQS249" i="30"/>
  <c r="AQT249" i="30"/>
  <c r="AQU249" i="30"/>
  <c r="AQV249" i="30"/>
  <c r="AQW249" i="30"/>
  <c r="AQX249" i="30"/>
  <c r="AQY249" i="30"/>
  <c r="AQZ249" i="30"/>
  <c r="ARA249" i="30"/>
  <c r="ARB249" i="30"/>
  <c r="ARC249" i="30"/>
  <c r="ARD249" i="30"/>
  <c r="ARE249" i="30"/>
  <c r="ARF249" i="30"/>
  <c r="ARG249" i="30"/>
  <c r="ARH249" i="30"/>
  <c r="ARI249" i="30"/>
  <c r="ARJ249" i="30"/>
  <c r="ARK249" i="30"/>
  <c r="ARL249" i="30"/>
  <c r="ARM249" i="30"/>
  <c r="ARN249" i="30"/>
  <c r="ARO249" i="30"/>
  <c r="ARP249" i="30"/>
  <c r="ARQ249" i="30"/>
  <c r="ARR249" i="30"/>
  <c r="ARS249" i="30"/>
  <c r="ART249" i="30"/>
  <c r="ARU249" i="30"/>
  <c r="ARV249" i="30"/>
  <c r="ARW249" i="30"/>
  <c r="ARX249" i="30"/>
  <c r="ARY249" i="30"/>
  <c r="ARZ249" i="30"/>
  <c r="ASA249" i="30"/>
  <c r="ASB249" i="30"/>
  <c r="ASC249" i="30"/>
  <c r="ASD249" i="30"/>
  <c r="ASE249" i="30"/>
  <c r="ASF249" i="30"/>
  <c r="ASG249" i="30"/>
  <c r="ASH249" i="30"/>
  <c r="ASI249" i="30"/>
  <c r="ASJ249" i="30"/>
  <c r="ASK249" i="30"/>
  <c r="ASL249" i="30"/>
  <c r="ASM249" i="30"/>
  <c r="ASN249" i="30"/>
  <c r="ASO249" i="30"/>
  <c r="ASP249" i="30"/>
  <c r="ASQ249" i="30"/>
  <c r="ASR249" i="30"/>
  <c r="ASS249" i="30"/>
  <c r="AST249" i="30"/>
  <c r="ASU249" i="30"/>
  <c r="ASV249" i="30"/>
  <c r="ASW249" i="30"/>
  <c r="ASX249" i="30"/>
  <c r="ASY249" i="30"/>
  <c r="ASZ249" i="30"/>
  <c r="ATA249" i="30"/>
  <c r="ATB249" i="30"/>
  <c r="ATC249" i="30"/>
  <c r="ATD249" i="30"/>
  <c r="ATE249" i="30"/>
  <c r="ATF249" i="30"/>
  <c r="ATG249" i="30"/>
  <c r="ATH249" i="30"/>
  <c r="ATI249" i="30"/>
  <c r="ATJ249" i="30"/>
  <c r="ATK249" i="30"/>
  <c r="ATL249" i="30"/>
  <c r="ATM249" i="30"/>
  <c r="ATN249" i="30"/>
  <c r="ATO249" i="30"/>
  <c r="ATP249" i="30"/>
  <c r="ATQ249" i="30"/>
  <c r="ATR249" i="30"/>
  <c r="ATS249" i="30"/>
  <c r="ATT249" i="30"/>
  <c r="ATU249" i="30"/>
  <c r="ATV249" i="30"/>
  <c r="ATW249" i="30"/>
  <c r="ATX249" i="30"/>
  <c r="ATY249" i="30"/>
  <c r="ATZ249" i="30"/>
  <c r="AUA249" i="30"/>
  <c r="AUB249" i="30"/>
  <c r="AUC249" i="30"/>
  <c r="AUD249" i="30"/>
  <c r="AUE249" i="30"/>
  <c r="AUF249" i="30"/>
  <c r="AUG249" i="30"/>
  <c r="AUH249" i="30"/>
  <c r="AUI249" i="30"/>
  <c r="AUJ249" i="30"/>
  <c r="AUK249" i="30"/>
  <c r="AUL249" i="30"/>
  <c r="AUM249" i="30"/>
  <c r="AUN249" i="30"/>
  <c r="AUO249" i="30"/>
  <c r="AUP249" i="30"/>
  <c r="AUQ249" i="30"/>
  <c r="AUR249" i="30"/>
  <c r="AUS249" i="30"/>
  <c r="AUT249" i="30"/>
  <c r="AUU249" i="30"/>
  <c r="AUV249" i="30"/>
  <c r="AUW249" i="30"/>
  <c r="AUX249" i="30"/>
  <c r="AUY249" i="30"/>
  <c r="AUZ249" i="30"/>
  <c r="AVA249" i="30"/>
  <c r="AVB249" i="30"/>
  <c r="AVC249" i="30"/>
  <c r="AVD249" i="30"/>
  <c r="AVE249" i="30"/>
  <c r="AVF249" i="30"/>
  <c r="AVG249" i="30"/>
  <c r="AVH249" i="30"/>
  <c r="AVI249" i="30"/>
  <c r="AVJ249" i="30"/>
  <c r="AVK249" i="30"/>
  <c r="AVL249" i="30"/>
  <c r="AVM249" i="30"/>
  <c r="AVN249" i="30"/>
  <c r="AVO249" i="30"/>
  <c r="AVP249" i="30"/>
  <c r="AVQ249" i="30"/>
  <c r="AVR249" i="30"/>
  <c r="AVS249" i="30"/>
  <c r="AVT249" i="30"/>
  <c r="AVU249" i="30"/>
  <c r="AVV249" i="30"/>
  <c r="AVW249" i="30"/>
  <c r="AVX249" i="30"/>
  <c r="AVY249" i="30"/>
  <c r="AVZ249" i="30"/>
  <c r="AWA249" i="30"/>
  <c r="AWB249" i="30"/>
  <c r="AWC249" i="30"/>
  <c r="AWD249" i="30"/>
  <c r="AWE249" i="30"/>
  <c r="AWF249" i="30"/>
  <c r="AWG249" i="30"/>
  <c r="AWH249" i="30"/>
  <c r="AWI249" i="30"/>
  <c r="AWJ249" i="30"/>
  <c r="AWK249" i="30"/>
  <c r="AWL249" i="30"/>
  <c r="AWM249" i="30"/>
  <c r="AWN249" i="30"/>
  <c r="AWO249" i="30"/>
  <c r="AWP249" i="30"/>
  <c r="AWQ249" i="30"/>
  <c r="AWR249" i="30"/>
  <c r="AWS249" i="30"/>
  <c r="AWT249" i="30"/>
  <c r="AWU249" i="30"/>
  <c r="AWV249" i="30"/>
  <c r="AWW249" i="30"/>
  <c r="AWX249" i="30"/>
  <c r="AWY249" i="30"/>
  <c r="AWZ249" i="30"/>
  <c r="AXA249" i="30"/>
  <c r="AXB249" i="30"/>
  <c r="AXC249" i="30"/>
  <c r="AXD249" i="30"/>
  <c r="AXE249" i="30"/>
  <c r="AXF249" i="30"/>
  <c r="AXG249" i="30"/>
  <c r="AXH249" i="30"/>
  <c r="AXI249" i="30"/>
  <c r="AXJ249" i="30"/>
  <c r="AXK249" i="30"/>
  <c r="AXL249" i="30"/>
  <c r="AXM249" i="30"/>
  <c r="AXN249" i="30"/>
  <c r="AXO249" i="30"/>
  <c r="AXP249" i="30"/>
  <c r="AXQ249" i="30"/>
  <c r="AXR249" i="30"/>
  <c r="AXS249" i="30"/>
  <c r="AXT249" i="30"/>
  <c r="AXU249" i="30"/>
  <c r="AXV249" i="30"/>
  <c r="AXW249" i="30"/>
  <c r="AXX249" i="30"/>
  <c r="AXY249" i="30"/>
  <c r="AXZ249" i="30"/>
  <c r="AYA249" i="30"/>
  <c r="AYB249" i="30"/>
  <c r="AYC249" i="30"/>
  <c r="AYD249" i="30"/>
  <c r="AYE249" i="30"/>
  <c r="AYF249" i="30"/>
  <c r="AYG249" i="30"/>
  <c r="AYH249" i="30"/>
  <c r="AYI249" i="30"/>
  <c r="AYJ249" i="30"/>
  <c r="AYK249" i="30"/>
  <c r="AYL249" i="30"/>
  <c r="AYM249" i="30"/>
  <c r="AYN249" i="30"/>
  <c r="AYO249" i="30"/>
  <c r="AYP249" i="30"/>
  <c r="AYQ249" i="30"/>
  <c r="AYR249" i="30"/>
  <c r="AYS249" i="30"/>
  <c r="AYT249" i="30"/>
  <c r="AYU249" i="30"/>
  <c r="AYV249" i="30"/>
  <c r="AYW249" i="30"/>
  <c r="AYX249" i="30"/>
  <c r="AYY249" i="30"/>
  <c r="AYZ249" i="30"/>
  <c r="AZA249" i="30"/>
  <c r="AZB249" i="30"/>
  <c r="AZC249" i="30"/>
  <c r="AZD249" i="30"/>
  <c r="AZE249" i="30"/>
  <c r="AZF249" i="30"/>
  <c r="AZG249" i="30"/>
  <c r="AZH249" i="30"/>
  <c r="AZI249" i="30"/>
  <c r="AZJ249" i="30"/>
  <c r="AZK249" i="30"/>
  <c r="AZL249" i="30"/>
  <c r="AZM249" i="30"/>
  <c r="AZN249" i="30"/>
  <c r="AZO249" i="30"/>
  <c r="AZP249" i="30"/>
  <c r="AZQ249" i="30"/>
  <c r="AZR249" i="30"/>
  <c r="AZS249" i="30"/>
  <c r="AZT249" i="30"/>
  <c r="AZU249" i="30"/>
  <c r="AZV249" i="30"/>
  <c r="AZW249" i="30"/>
  <c r="AZX249" i="30"/>
  <c r="AZY249" i="30"/>
  <c r="AZZ249" i="30"/>
  <c r="BAA249" i="30"/>
  <c r="BAB249" i="30"/>
  <c r="BAC249" i="30"/>
  <c r="BAD249" i="30"/>
  <c r="BAE249" i="30"/>
  <c r="BAF249" i="30"/>
  <c r="BAG249" i="30"/>
  <c r="BAH249" i="30"/>
  <c r="BAI249" i="30"/>
  <c r="BAJ249" i="30"/>
  <c r="BAK249" i="30"/>
  <c r="BAL249" i="30"/>
  <c r="BAM249" i="30"/>
  <c r="BAN249" i="30"/>
  <c r="BAO249" i="30"/>
  <c r="BAP249" i="30"/>
  <c r="BAQ249" i="30"/>
  <c r="BAR249" i="30"/>
  <c r="BAS249" i="30"/>
  <c r="BAT249" i="30"/>
  <c r="BAU249" i="30"/>
  <c r="BAV249" i="30"/>
  <c r="BAW249" i="30"/>
  <c r="BAX249" i="30"/>
  <c r="BAY249" i="30"/>
  <c r="BAZ249" i="30"/>
  <c r="BBA249" i="30"/>
  <c r="BBB249" i="30"/>
  <c r="BBC249" i="30"/>
  <c r="BBD249" i="30"/>
  <c r="BBE249" i="30"/>
  <c r="BBF249" i="30"/>
  <c r="BBG249" i="30"/>
  <c r="BBH249" i="30"/>
  <c r="BBI249" i="30"/>
  <c r="BBJ249" i="30"/>
  <c r="BBK249" i="30"/>
  <c r="BBL249" i="30"/>
  <c r="BBM249" i="30"/>
  <c r="BBN249" i="30"/>
  <c r="BBO249" i="30"/>
  <c r="BBP249" i="30"/>
  <c r="BBQ249" i="30"/>
  <c r="BBR249" i="30"/>
  <c r="BBS249" i="30"/>
  <c r="BBT249" i="30"/>
  <c r="BBU249" i="30"/>
  <c r="BBV249" i="30"/>
  <c r="BBW249" i="30"/>
  <c r="BBX249" i="30"/>
  <c r="BBY249" i="30"/>
  <c r="BBZ249" i="30"/>
  <c r="BCA249" i="30"/>
  <c r="BCB249" i="30"/>
  <c r="BCC249" i="30"/>
  <c r="BCD249" i="30"/>
  <c r="BCE249" i="30"/>
  <c r="BCF249" i="30"/>
  <c r="BCG249" i="30"/>
  <c r="BCH249" i="30"/>
  <c r="BCI249" i="30"/>
  <c r="BCJ249" i="30"/>
  <c r="BCK249" i="30"/>
  <c r="BCL249" i="30"/>
  <c r="BCM249" i="30"/>
  <c r="BCN249" i="30"/>
  <c r="BCO249" i="30"/>
  <c r="BCP249" i="30"/>
  <c r="BCQ249" i="30"/>
  <c r="BCR249" i="30"/>
  <c r="BCS249" i="30"/>
  <c r="BCT249" i="30"/>
  <c r="BCU249" i="30"/>
  <c r="BCV249" i="30"/>
  <c r="BCW249" i="30"/>
  <c r="BCX249" i="30"/>
  <c r="BCY249" i="30"/>
  <c r="BCZ249" i="30"/>
  <c r="BDA249" i="30"/>
  <c r="BDB249" i="30"/>
  <c r="BDC249" i="30"/>
  <c r="BDD249" i="30"/>
  <c r="BDE249" i="30"/>
  <c r="BDF249" i="30"/>
  <c r="BDG249" i="30"/>
  <c r="BDH249" i="30"/>
  <c r="BDI249" i="30"/>
  <c r="BDJ249" i="30"/>
  <c r="BDK249" i="30"/>
  <c r="BDL249" i="30"/>
  <c r="BDM249" i="30"/>
  <c r="BDN249" i="30"/>
  <c r="BDO249" i="30"/>
  <c r="BDP249" i="30"/>
  <c r="BDQ249" i="30"/>
  <c r="BDR249" i="30"/>
  <c r="BDS249" i="30"/>
  <c r="BDT249" i="30"/>
  <c r="BDU249" i="30"/>
  <c r="BDV249" i="30"/>
  <c r="BDW249" i="30"/>
  <c r="BDX249" i="30"/>
  <c r="BDY249" i="30"/>
  <c r="BDZ249" i="30"/>
  <c r="BEA249" i="30"/>
  <c r="BEB249" i="30"/>
  <c r="BEC249" i="30"/>
  <c r="BED249" i="30"/>
  <c r="BEE249" i="30"/>
  <c r="BEF249" i="30"/>
  <c r="BEG249" i="30"/>
  <c r="BEH249" i="30"/>
  <c r="BEI249" i="30"/>
  <c r="BEJ249" i="30"/>
  <c r="BEK249" i="30"/>
  <c r="BEL249" i="30"/>
  <c r="BEM249" i="30"/>
  <c r="BEN249" i="30"/>
  <c r="BEO249" i="30"/>
  <c r="BEP249" i="30"/>
  <c r="BEQ249" i="30"/>
  <c r="BER249" i="30"/>
  <c r="BES249" i="30"/>
  <c r="BET249" i="30"/>
  <c r="BEU249" i="30"/>
  <c r="BEV249" i="30"/>
  <c r="BEW249" i="30"/>
  <c r="BEX249" i="30"/>
  <c r="BEY249" i="30"/>
  <c r="BEZ249" i="30"/>
  <c r="BFA249" i="30"/>
  <c r="BFB249" i="30"/>
  <c r="BFC249" i="30"/>
  <c r="BFD249" i="30"/>
  <c r="BFE249" i="30"/>
  <c r="BFF249" i="30"/>
  <c r="BFG249" i="30"/>
  <c r="BFH249" i="30"/>
  <c r="BFI249" i="30"/>
  <c r="BFJ249" i="30"/>
  <c r="BFK249" i="30"/>
  <c r="BFL249" i="30"/>
  <c r="BFM249" i="30"/>
  <c r="BFN249" i="30"/>
  <c r="BFO249" i="30"/>
  <c r="BFP249" i="30"/>
  <c r="BFQ249" i="30"/>
  <c r="BFR249" i="30"/>
  <c r="BFS249" i="30"/>
  <c r="BFT249" i="30"/>
  <c r="BFU249" i="30"/>
  <c r="BFV249" i="30"/>
  <c r="BFW249" i="30"/>
  <c r="BFX249" i="30"/>
  <c r="BFY249" i="30"/>
  <c r="BFZ249" i="30"/>
  <c r="BGA249" i="30"/>
  <c r="BGB249" i="30"/>
  <c r="BGC249" i="30"/>
  <c r="BGD249" i="30"/>
  <c r="BGE249" i="30"/>
  <c r="BGF249" i="30"/>
  <c r="BGG249" i="30"/>
  <c r="BGH249" i="30"/>
  <c r="BGI249" i="30"/>
  <c r="BGJ249" i="30"/>
  <c r="BGK249" i="30"/>
  <c r="BGL249" i="30"/>
  <c r="BGM249" i="30"/>
  <c r="BGN249" i="30"/>
  <c r="BGO249" i="30"/>
  <c r="BGP249" i="30"/>
  <c r="BGQ249" i="30"/>
  <c r="BGR249" i="30"/>
  <c r="BGS249" i="30"/>
  <c r="BGT249" i="30"/>
  <c r="BGU249" i="30"/>
  <c r="BGV249" i="30"/>
  <c r="BGW249" i="30"/>
  <c r="BGX249" i="30"/>
  <c r="BGY249" i="30"/>
  <c r="BGZ249" i="30"/>
  <c r="BHA249" i="30"/>
  <c r="BHB249" i="30"/>
  <c r="BHC249" i="30"/>
  <c r="BHD249" i="30"/>
  <c r="BHE249" i="30"/>
  <c r="BHF249" i="30"/>
  <c r="BHG249" i="30"/>
  <c r="BHH249" i="30"/>
  <c r="BHI249" i="30"/>
  <c r="BHJ249" i="30"/>
  <c r="BHK249" i="30"/>
  <c r="BHL249" i="30"/>
  <c r="BHM249" i="30"/>
  <c r="BHN249" i="30"/>
  <c r="BHO249" i="30"/>
  <c r="BHP249" i="30"/>
  <c r="BHQ249" i="30"/>
  <c r="BHR249" i="30"/>
  <c r="BHS249" i="30"/>
  <c r="BHT249" i="30"/>
  <c r="BHU249" i="30"/>
  <c r="BHV249" i="30"/>
  <c r="BHW249" i="30"/>
  <c r="BHX249" i="30"/>
  <c r="BHY249" i="30"/>
  <c r="BHZ249" i="30"/>
  <c r="BIA249" i="30"/>
  <c r="BIB249" i="30"/>
  <c r="BIC249" i="30"/>
  <c r="BID249" i="30"/>
  <c r="BIE249" i="30"/>
  <c r="BIF249" i="30"/>
  <c r="BIG249" i="30"/>
  <c r="BIH249" i="30"/>
  <c r="BII249" i="30"/>
  <c r="BIJ249" i="30"/>
  <c r="BIK249" i="30"/>
  <c r="BIL249" i="30"/>
  <c r="BIM249" i="30"/>
  <c r="BIN249" i="30"/>
  <c r="BIO249" i="30"/>
  <c r="BIP249" i="30"/>
  <c r="BIQ249" i="30"/>
  <c r="BIR249" i="30"/>
  <c r="BIS249" i="30"/>
  <c r="BIT249" i="30"/>
  <c r="BIU249" i="30"/>
  <c r="BIV249" i="30"/>
  <c r="BIW249" i="30"/>
  <c r="BIX249" i="30"/>
  <c r="BIY249" i="30"/>
  <c r="BIZ249" i="30"/>
  <c r="BJA249" i="30"/>
  <c r="BJB249" i="30"/>
  <c r="BJC249" i="30"/>
  <c r="BJD249" i="30"/>
  <c r="BJE249" i="30"/>
  <c r="BJF249" i="30"/>
  <c r="BJG249" i="30"/>
  <c r="BJH249" i="30"/>
  <c r="BJI249" i="30"/>
  <c r="BJJ249" i="30"/>
  <c r="BJK249" i="30"/>
  <c r="BJL249" i="30"/>
  <c r="BJM249" i="30"/>
  <c r="BJN249" i="30"/>
  <c r="BJO249" i="30"/>
  <c r="BJP249" i="30"/>
  <c r="BJQ249" i="30"/>
  <c r="BJR249" i="30"/>
  <c r="BJS249" i="30"/>
  <c r="BJT249" i="30"/>
  <c r="BJU249" i="30"/>
  <c r="BJV249" i="30"/>
  <c r="BJW249" i="30"/>
  <c r="BJX249" i="30"/>
  <c r="BJY249" i="30"/>
  <c r="BJZ249" i="30"/>
  <c r="BKA249" i="30"/>
  <c r="BKB249" i="30"/>
  <c r="BKC249" i="30"/>
  <c r="BKD249" i="30"/>
  <c r="BKE249" i="30"/>
  <c r="BKF249" i="30"/>
  <c r="BKG249" i="30"/>
  <c r="BKH249" i="30"/>
  <c r="BKI249" i="30"/>
  <c r="BKJ249" i="30"/>
  <c r="BKK249" i="30"/>
  <c r="BKL249" i="30"/>
  <c r="BKM249" i="30"/>
  <c r="BKN249" i="30"/>
  <c r="BKO249" i="30"/>
  <c r="BKP249" i="30"/>
  <c r="BKQ249" i="30"/>
  <c r="BKR249" i="30"/>
  <c r="BKS249" i="30"/>
  <c r="BKT249" i="30"/>
  <c r="BKU249" i="30"/>
  <c r="BKV249" i="30"/>
  <c r="BKW249" i="30"/>
  <c r="BKX249" i="30"/>
  <c r="BKY249" i="30"/>
  <c r="BKZ249" i="30"/>
  <c r="BLA249" i="30"/>
  <c r="BLB249" i="30"/>
  <c r="BLC249" i="30"/>
  <c r="BLD249" i="30"/>
  <c r="BLE249" i="30"/>
  <c r="BLF249" i="30"/>
  <c r="BLG249" i="30"/>
  <c r="BLH249" i="30"/>
  <c r="BLI249" i="30"/>
  <c r="BLJ249" i="30"/>
  <c r="BLK249" i="30"/>
  <c r="BLL249" i="30"/>
  <c r="BLM249" i="30"/>
  <c r="BLN249" i="30"/>
  <c r="BLO249" i="30"/>
  <c r="BLP249" i="30"/>
  <c r="BLQ249" i="30"/>
  <c r="BLR249" i="30"/>
  <c r="BLS249" i="30"/>
  <c r="BLT249" i="30"/>
  <c r="BLU249" i="30"/>
  <c r="BLV249" i="30"/>
  <c r="BLW249" i="30"/>
  <c r="BLX249" i="30"/>
  <c r="BLY249" i="30"/>
  <c r="BLZ249" i="30"/>
  <c r="BMA249" i="30"/>
  <c r="BMB249" i="30"/>
  <c r="BMC249" i="30"/>
  <c r="BMD249" i="30"/>
  <c r="BME249" i="30"/>
  <c r="BMF249" i="30"/>
  <c r="BMG249" i="30"/>
  <c r="BMH249" i="30"/>
  <c r="BMI249" i="30"/>
  <c r="BMJ249" i="30"/>
  <c r="BMK249" i="30"/>
  <c r="BML249" i="30"/>
  <c r="BMM249" i="30"/>
  <c r="BMN249" i="30"/>
  <c r="BMO249" i="30"/>
  <c r="BMP249" i="30"/>
  <c r="BMQ249" i="30"/>
  <c r="BMR249" i="30"/>
  <c r="BMS249" i="30"/>
  <c r="BMT249" i="30"/>
  <c r="BMU249" i="30"/>
  <c r="BMV249" i="30"/>
  <c r="BMW249" i="30"/>
  <c r="BMX249" i="30"/>
  <c r="BMY249" i="30"/>
  <c r="BMZ249" i="30"/>
  <c r="BNA249" i="30"/>
  <c r="BNB249" i="30"/>
  <c r="BNC249" i="30"/>
  <c r="BND249" i="30"/>
  <c r="BNE249" i="30"/>
  <c r="BNF249" i="30"/>
  <c r="BNG249" i="30"/>
  <c r="BNH249" i="30"/>
  <c r="BNI249" i="30"/>
  <c r="BNJ249" i="30"/>
  <c r="BNK249" i="30"/>
  <c r="BNL249" i="30"/>
  <c r="BNM249" i="30"/>
  <c r="BNN249" i="30"/>
  <c r="BNO249" i="30"/>
  <c r="BNP249" i="30"/>
  <c r="BNQ249" i="30"/>
  <c r="BNR249" i="30"/>
  <c r="BNS249" i="30"/>
  <c r="BNT249" i="30"/>
  <c r="BNU249" i="30"/>
  <c r="BNV249" i="30"/>
  <c r="BNW249" i="30"/>
  <c r="BNX249" i="30"/>
  <c r="BNY249" i="30"/>
  <c r="BNZ249" i="30"/>
  <c r="BOA249" i="30"/>
  <c r="BOB249" i="30"/>
  <c r="BOC249" i="30"/>
  <c r="BOD249" i="30"/>
  <c r="BOE249" i="30"/>
  <c r="BOF249" i="30"/>
  <c r="BOG249" i="30"/>
  <c r="BOH249" i="30"/>
  <c r="BOI249" i="30"/>
  <c r="BOJ249" i="30"/>
  <c r="BOK249" i="30"/>
  <c r="BOL249" i="30"/>
  <c r="BOM249" i="30"/>
  <c r="BON249" i="30"/>
  <c r="BOO249" i="30"/>
  <c r="BOP249" i="30"/>
  <c r="BOQ249" i="30"/>
  <c r="BOR249" i="30"/>
  <c r="BOS249" i="30"/>
  <c r="BOT249" i="30"/>
  <c r="BOU249" i="30"/>
  <c r="BOV249" i="30"/>
  <c r="BOW249" i="30"/>
  <c r="BOX249" i="30"/>
  <c r="BOY249" i="30"/>
  <c r="BOZ249" i="30"/>
  <c r="BPA249" i="30"/>
  <c r="BPB249" i="30"/>
  <c r="BPC249" i="30"/>
  <c r="BPD249" i="30"/>
  <c r="BPE249" i="30"/>
  <c r="BPF249" i="30"/>
  <c r="BPG249" i="30"/>
  <c r="BPH249" i="30"/>
  <c r="BPI249" i="30"/>
  <c r="BPJ249" i="30"/>
  <c r="BPK249" i="30"/>
  <c r="BPL249" i="30"/>
  <c r="BPM249" i="30"/>
  <c r="BPN249" i="30"/>
  <c r="BPO249" i="30"/>
  <c r="BPP249" i="30"/>
  <c r="BPQ249" i="30"/>
  <c r="BPR249" i="30"/>
  <c r="BPS249" i="30"/>
  <c r="BPT249" i="30"/>
  <c r="BPU249" i="30"/>
  <c r="BPV249" i="30"/>
  <c r="BPW249" i="30"/>
  <c r="BPX249" i="30"/>
  <c r="BPY249" i="30"/>
  <c r="BPZ249" i="30"/>
  <c r="BQA249" i="30"/>
  <c r="BQB249" i="30"/>
  <c r="BQC249" i="30"/>
  <c r="BQD249" i="30"/>
  <c r="BQE249" i="30"/>
  <c r="BQF249" i="30"/>
  <c r="BQG249" i="30"/>
  <c r="BQH249" i="30"/>
  <c r="BQI249" i="30"/>
  <c r="BQJ249" i="30"/>
  <c r="BQK249" i="30"/>
  <c r="BQL249" i="30"/>
  <c r="BQM249" i="30"/>
  <c r="BQN249" i="30"/>
  <c r="BQO249" i="30"/>
  <c r="BQP249" i="30"/>
  <c r="BQQ249" i="30"/>
  <c r="BQR249" i="30"/>
  <c r="BQS249" i="30"/>
  <c r="BQT249" i="30"/>
  <c r="BQU249" i="30"/>
  <c r="BQV249" i="30"/>
  <c r="BQW249" i="30"/>
  <c r="BQX249" i="30"/>
  <c r="BQY249" i="30"/>
  <c r="BQZ249" i="30"/>
  <c r="BRA249" i="30"/>
  <c r="BRB249" i="30"/>
  <c r="BRC249" i="30"/>
  <c r="BRD249" i="30"/>
  <c r="BRE249" i="30"/>
  <c r="BRF249" i="30"/>
  <c r="BRG249" i="30"/>
  <c r="BRH249" i="30"/>
  <c r="BRI249" i="30"/>
  <c r="BRJ249" i="30"/>
  <c r="BRK249" i="30"/>
  <c r="BRL249" i="30"/>
  <c r="BRM249" i="30"/>
  <c r="BRN249" i="30"/>
  <c r="BRO249" i="30"/>
  <c r="BRP249" i="30"/>
  <c r="BRQ249" i="30"/>
  <c r="BRR249" i="30"/>
  <c r="BRS249" i="30"/>
  <c r="BRT249" i="30"/>
  <c r="BRU249" i="30"/>
  <c r="BRV249" i="30"/>
  <c r="BRW249" i="30"/>
  <c r="BRX249" i="30"/>
  <c r="BRY249" i="30"/>
  <c r="BRZ249" i="30"/>
  <c r="BSA249" i="30"/>
  <c r="BSB249" i="30"/>
  <c r="BSC249" i="30"/>
  <c r="BSD249" i="30"/>
  <c r="BSE249" i="30"/>
  <c r="BSF249" i="30"/>
  <c r="BSG249" i="30"/>
  <c r="BSH249" i="30"/>
  <c r="BSI249" i="30"/>
  <c r="BSJ249" i="30"/>
  <c r="BSK249" i="30"/>
  <c r="BSL249" i="30"/>
  <c r="BSM249" i="30"/>
  <c r="BSN249" i="30"/>
  <c r="BSO249" i="30"/>
  <c r="BSP249" i="30"/>
  <c r="BSQ249" i="30"/>
  <c r="BSR249" i="30"/>
  <c r="BSS249" i="30"/>
  <c r="BST249" i="30"/>
  <c r="BSU249" i="30"/>
  <c r="BSV249" i="30"/>
  <c r="BSW249" i="30"/>
  <c r="BSX249" i="30"/>
  <c r="BSY249" i="30"/>
  <c r="BSZ249" i="30"/>
  <c r="BTA249" i="30"/>
  <c r="BTB249" i="30"/>
  <c r="BTC249" i="30"/>
  <c r="BTD249" i="30"/>
  <c r="BTE249" i="30"/>
  <c r="BTF249" i="30"/>
  <c r="BTG249" i="30"/>
  <c r="BTH249" i="30"/>
  <c r="BTI249" i="30"/>
  <c r="BTJ249" i="30"/>
  <c r="BTK249" i="30"/>
  <c r="BTL249" i="30"/>
  <c r="BTM249" i="30"/>
  <c r="BTN249" i="30"/>
  <c r="BTO249" i="30"/>
  <c r="BTP249" i="30"/>
  <c r="BTQ249" i="30"/>
  <c r="BTR249" i="30"/>
  <c r="BTS249" i="30"/>
  <c r="BTT249" i="30"/>
  <c r="BTU249" i="30"/>
  <c r="BTV249" i="30"/>
  <c r="BTW249" i="30"/>
  <c r="BTX249" i="30"/>
  <c r="BTY249" i="30"/>
  <c r="BTZ249" i="30"/>
  <c r="BUA249" i="30"/>
  <c r="BUB249" i="30"/>
  <c r="BUC249" i="30"/>
  <c r="BUD249" i="30"/>
  <c r="BUE249" i="30"/>
  <c r="BUF249" i="30"/>
  <c r="BUG249" i="30"/>
  <c r="BUH249" i="30"/>
  <c r="BUI249" i="30"/>
  <c r="BUJ249" i="30"/>
  <c r="BUK249" i="30"/>
  <c r="BUL249" i="30"/>
  <c r="BUM249" i="30"/>
  <c r="BUN249" i="30"/>
  <c r="BUO249" i="30"/>
  <c r="BUP249" i="30"/>
  <c r="BUQ249" i="30"/>
  <c r="BUR249" i="30"/>
  <c r="BUS249" i="30"/>
  <c r="BUT249" i="30"/>
  <c r="BUU249" i="30"/>
  <c r="BUV249" i="30"/>
  <c r="BUW249" i="30"/>
  <c r="BUX249" i="30"/>
  <c r="BUY249" i="30"/>
  <c r="BUZ249" i="30"/>
  <c r="BVA249" i="30"/>
  <c r="BVB249" i="30"/>
  <c r="BVC249" i="30"/>
  <c r="BVD249" i="30"/>
  <c r="BVE249" i="30"/>
  <c r="BVF249" i="30"/>
  <c r="BVG249" i="30"/>
  <c r="BVH249" i="30"/>
  <c r="BVI249" i="30"/>
  <c r="BVJ249" i="30"/>
  <c r="BVK249" i="30"/>
  <c r="BVL249" i="30"/>
  <c r="BVM249" i="30"/>
  <c r="BVN249" i="30"/>
  <c r="BVO249" i="30"/>
  <c r="BVP249" i="30"/>
  <c r="BVQ249" i="30"/>
  <c r="BVR249" i="30"/>
  <c r="BVS249" i="30"/>
  <c r="BVT249" i="30"/>
  <c r="BVU249" i="30"/>
  <c r="BVV249" i="30"/>
  <c r="BVW249" i="30"/>
  <c r="BVX249" i="30"/>
  <c r="BVY249" i="30"/>
  <c r="BVZ249" i="30"/>
  <c r="BWA249" i="30"/>
  <c r="BWB249" i="30"/>
  <c r="BWC249" i="30"/>
  <c r="BWD249" i="30"/>
  <c r="BWE249" i="30"/>
  <c r="BWF249" i="30"/>
  <c r="BWG249" i="30"/>
  <c r="BWH249" i="30"/>
  <c r="BWI249" i="30"/>
  <c r="BWJ249" i="30"/>
  <c r="BWK249" i="30"/>
  <c r="BWL249" i="30"/>
  <c r="BWM249" i="30"/>
  <c r="BWN249" i="30"/>
  <c r="BWO249" i="30"/>
  <c r="BWP249" i="30"/>
  <c r="BWQ249" i="30"/>
  <c r="BWR249" i="30"/>
  <c r="BWS249" i="30"/>
  <c r="BWT249" i="30"/>
  <c r="BWU249" i="30"/>
  <c r="BWV249" i="30"/>
  <c r="BWW249" i="30"/>
  <c r="BWX249" i="30"/>
  <c r="BWY249" i="30"/>
  <c r="BWZ249" i="30"/>
  <c r="BXA249" i="30"/>
  <c r="BXB249" i="30"/>
  <c r="BXC249" i="30"/>
  <c r="BXD249" i="30"/>
  <c r="BXE249" i="30"/>
  <c r="BXF249" i="30"/>
  <c r="BXG249" i="30"/>
  <c r="BXH249" i="30"/>
  <c r="BXI249" i="30"/>
  <c r="BXJ249" i="30"/>
  <c r="BXK249" i="30"/>
  <c r="BXL249" i="30"/>
  <c r="BXM249" i="30"/>
  <c r="BXN249" i="30"/>
  <c r="BXO249" i="30"/>
  <c r="BXP249" i="30"/>
  <c r="BXQ249" i="30"/>
  <c r="BXR249" i="30"/>
  <c r="BXS249" i="30"/>
  <c r="BXT249" i="30"/>
  <c r="BXU249" i="30"/>
  <c r="BXV249" i="30"/>
  <c r="BXW249" i="30"/>
  <c r="BXX249" i="30"/>
  <c r="BXY249" i="30"/>
  <c r="BXZ249" i="30"/>
  <c r="BYA249" i="30"/>
  <c r="BYB249" i="30"/>
  <c r="BYC249" i="30"/>
  <c r="BYD249" i="30"/>
  <c r="BYE249" i="30"/>
  <c r="BYF249" i="30"/>
  <c r="BYG249" i="30"/>
  <c r="BYH249" i="30"/>
  <c r="BYI249" i="30"/>
  <c r="BYJ249" i="30"/>
  <c r="BYK249" i="30"/>
  <c r="BYL249" i="30"/>
  <c r="BYM249" i="30"/>
  <c r="BYN249" i="30"/>
  <c r="BYO249" i="30"/>
  <c r="BYP249" i="30"/>
  <c r="BYQ249" i="30"/>
  <c r="BYR249" i="30"/>
  <c r="BYS249" i="30"/>
  <c r="BYT249" i="30"/>
  <c r="BYU249" i="30"/>
  <c r="BYV249" i="30"/>
  <c r="BYW249" i="30"/>
  <c r="BYX249" i="30"/>
  <c r="BYY249" i="30"/>
  <c r="BYZ249" i="30"/>
  <c r="BZA249" i="30"/>
  <c r="BZB249" i="30"/>
  <c r="BZC249" i="30"/>
  <c r="BZD249" i="30"/>
  <c r="BZE249" i="30"/>
  <c r="BZF249" i="30"/>
  <c r="BZG249" i="30"/>
  <c r="BZH249" i="30"/>
  <c r="BZI249" i="30"/>
  <c r="BZJ249" i="30"/>
  <c r="BZK249" i="30"/>
  <c r="BZL249" i="30"/>
  <c r="BZM249" i="30"/>
  <c r="BZN249" i="30"/>
  <c r="BZO249" i="30"/>
  <c r="BZP249" i="30"/>
  <c r="BZQ249" i="30"/>
  <c r="BZR249" i="30"/>
  <c r="BZS249" i="30"/>
  <c r="BZT249" i="30"/>
  <c r="BZU249" i="30"/>
  <c r="BZV249" i="30"/>
  <c r="BZW249" i="30"/>
  <c r="BZX249" i="30"/>
  <c r="BZY249" i="30"/>
  <c r="BZZ249" i="30"/>
  <c r="CAA249" i="30"/>
  <c r="CAB249" i="30"/>
  <c r="CAC249" i="30"/>
  <c r="CAD249" i="30"/>
  <c r="CAE249" i="30"/>
  <c r="CAF249" i="30"/>
  <c r="CAG249" i="30"/>
  <c r="CAH249" i="30"/>
  <c r="CAI249" i="30"/>
  <c r="CAJ249" i="30"/>
  <c r="CAK249" i="30"/>
  <c r="CAL249" i="30"/>
  <c r="CAM249" i="30"/>
  <c r="CAN249" i="30"/>
  <c r="CAO249" i="30"/>
  <c r="CAP249" i="30"/>
  <c r="CAQ249" i="30"/>
  <c r="CAR249" i="30"/>
  <c r="CAS249" i="30"/>
  <c r="CAT249" i="30"/>
  <c r="CAU249" i="30"/>
  <c r="CAV249" i="30"/>
  <c r="CAW249" i="30"/>
  <c r="CAX249" i="30"/>
  <c r="CAY249" i="30"/>
  <c r="CAZ249" i="30"/>
  <c r="CBA249" i="30"/>
  <c r="CBB249" i="30"/>
  <c r="CBC249" i="30"/>
  <c r="CBD249" i="30"/>
  <c r="CBE249" i="30"/>
  <c r="CBF249" i="30"/>
  <c r="CBG249" i="30"/>
  <c r="CBH249" i="30"/>
  <c r="CBI249" i="30"/>
  <c r="CBJ249" i="30"/>
  <c r="CBK249" i="30"/>
  <c r="CBL249" i="30"/>
  <c r="CBM249" i="30"/>
  <c r="CBN249" i="30"/>
  <c r="CBO249" i="30"/>
  <c r="CBP249" i="30"/>
  <c r="CBQ249" i="30"/>
  <c r="CBR249" i="30"/>
  <c r="CBS249" i="30"/>
  <c r="CBT249" i="30"/>
  <c r="CBU249" i="30"/>
  <c r="CBV249" i="30"/>
  <c r="CBW249" i="30"/>
  <c r="CBX249" i="30"/>
  <c r="CBY249" i="30"/>
  <c r="CBZ249" i="30"/>
  <c r="CCA249" i="30"/>
  <c r="CCB249" i="30"/>
  <c r="CCC249" i="30"/>
  <c r="CCD249" i="30"/>
  <c r="CCE249" i="30"/>
  <c r="CCF249" i="30"/>
  <c r="CCG249" i="30"/>
  <c r="CCH249" i="30"/>
  <c r="CCI249" i="30"/>
  <c r="CCJ249" i="30"/>
  <c r="CCK249" i="30"/>
  <c r="CCL249" i="30"/>
  <c r="CCM249" i="30"/>
  <c r="CCN249" i="30"/>
  <c r="CCO249" i="30"/>
  <c r="CCP249" i="30"/>
  <c r="CCQ249" i="30"/>
  <c r="CCR249" i="30"/>
  <c r="CCS249" i="30"/>
  <c r="CCT249" i="30"/>
  <c r="CCU249" i="30"/>
  <c r="CCV249" i="30"/>
  <c r="CCW249" i="30"/>
  <c r="CCX249" i="30"/>
  <c r="CCY249" i="30"/>
  <c r="CCZ249" i="30"/>
  <c r="CDA249" i="30"/>
  <c r="CDB249" i="30"/>
  <c r="CDC249" i="30"/>
  <c r="CDD249" i="30"/>
  <c r="CDE249" i="30"/>
  <c r="CDF249" i="30"/>
  <c r="CDG249" i="30"/>
  <c r="CDH249" i="30"/>
  <c r="CDI249" i="30"/>
  <c r="CDJ249" i="30"/>
  <c r="CDK249" i="30"/>
  <c r="CDL249" i="30"/>
  <c r="CDM249" i="30"/>
  <c r="CDN249" i="30"/>
  <c r="CDO249" i="30"/>
  <c r="CDP249" i="30"/>
  <c r="CDQ249" i="30"/>
  <c r="CDR249" i="30"/>
  <c r="CDS249" i="30"/>
  <c r="CDT249" i="30"/>
  <c r="CDU249" i="30"/>
  <c r="CDV249" i="30"/>
  <c r="CDW249" i="30"/>
  <c r="CDX249" i="30"/>
  <c r="CDY249" i="30"/>
  <c r="CDZ249" i="30"/>
  <c r="CEA249" i="30"/>
  <c r="CEB249" i="30"/>
  <c r="CEC249" i="30"/>
  <c r="CED249" i="30"/>
  <c r="CEE249" i="30"/>
  <c r="CEF249" i="30"/>
  <c r="CEG249" i="30"/>
  <c r="CEH249" i="30"/>
  <c r="CEI249" i="30"/>
  <c r="CEJ249" i="30"/>
  <c r="CEK249" i="30"/>
  <c r="CEL249" i="30"/>
  <c r="CEM249" i="30"/>
  <c r="CEN249" i="30"/>
  <c r="CEO249" i="30"/>
  <c r="CEP249" i="30"/>
  <c r="CEQ249" i="30"/>
  <c r="CER249" i="30"/>
  <c r="CES249" i="30"/>
  <c r="CET249" i="30"/>
  <c r="CEU249" i="30"/>
  <c r="CEV249" i="30"/>
  <c r="CEW249" i="30"/>
  <c r="CEX249" i="30"/>
  <c r="CEY249" i="30"/>
  <c r="CEZ249" i="30"/>
  <c r="CFA249" i="30"/>
  <c r="CFB249" i="30"/>
  <c r="CFC249" i="30"/>
  <c r="CFD249" i="30"/>
  <c r="CFE249" i="30"/>
  <c r="CFF249" i="30"/>
  <c r="CFG249" i="30"/>
  <c r="CFH249" i="30"/>
  <c r="CFI249" i="30"/>
  <c r="CFJ249" i="30"/>
  <c r="CFK249" i="30"/>
  <c r="CFL249" i="30"/>
  <c r="CFM249" i="30"/>
  <c r="CFN249" i="30"/>
  <c r="CFO249" i="30"/>
  <c r="CFP249" i="30"/>
  <c r="CFQ249" i="30"/>
  <c r="CFR249" i="30"/>
  <c r="CFS249" i="30"/>
  <c r="CFT249" i="30"/>
  <c r="CFU249" i="30"/>
  <c r="CFV249" i="30"/>
  <c r="CFW249" i="30"/>
  <c r="CFX249" i="30"/>
  <c r="CFY249" i="30"/>
  <c r="CFZ249" i="30"/>
  <c r="CGA249" i="30"/>
  <c r="CGB249" i="30"/>
  <c r="CGC249" i="30"/>
  <c r="CGD249" i="30"/>
  <c r="CGE249" i="30"/>
  <c r="CGF249" i="30"/>
  <c r="CGG249" i="30"/>
  <c r="CGH249" i="30"/>
  <c r="CGI249" i="30"/>
  <c r="CGJ249" i="30"/>
  <c r="CGK249" i="30"/>
  <c r="CGL249" i="30"/>
  <c r="CGM249" i="30"/>
  <c r="CGN249" i="30"/>
  <c r="CGO249" i="30"/>
  <c r="CGP249" i="30"/>
  <c r="CGQ249" i="30"/>
  <c r="CGR249" i="30"/>
  <c r="CGS249" i="30"/>
  <c r="CGT249" i="30"/>
  <c r="CGU249" i="30"/>
  <c r="CGV249" i="30"/>
  <c r="CGW249" i="30"/>
  <c r="CGX249" i="30"/>
  <c r="CGY249" i="30"/>
  <c r="CGZ249" i="30"/>
  <c r="CHA249" i="30"/>
  <c r="CHB249" i="30"/>
  <c r="CHC249" i="30"/>
  <c r="CHD249" i="30"/>
  <c r="CHE249" i="30"/>
  <c r="CHF249" i="30"/>
  <c r="CHG249" i="30"/>
  <c r="CHH249" i="30"/>
  <c r="CHI249" i="30"/>
  <c r="CHJ249" i="30"/>
  <c r="CHK249" i="30"/>
  <c r="CHL249" i="30"/>
  <c r="CHM249" i="30"/>
  <c r="CHN249" i="30"/>
  <c r="CHO249" i="30"/>
  <c r="CHP249" i="30"/>
  <c r="CHQ249" i="30"/>
  <c r="CHR249" i="30"/>
  <c r="CHS249" i="30"/>
  <c r="CHT249" i="30"/>
  <c r="CHU249" i="30"/>
  <c r="CHV249" i="30"/>
  <c r="CHW249" i="30"/>
  <c r="CHX249" i="30"/>
  <c r="CHY249" i="30"/>
  <c r="CHZ249" i="30"/>
  <c r="CIA249" i="30"/>
  <c r="CIB249" i="30"/>
  <c r="CIC249" i="30"/>
  <c r="CID249" i="30"/>
  <c r="CIE249" i="30"/>
  <c r="CIF249" i="30"/>
  <c r="CIG249" i="30"/>
  <c r="CIH249" i="30"/>
  <c r="CII249" i="30"/>
  <c r="CIJ249" i="30"/>
  <c r="CIK249" i="30"/>
  <c r="CIL249" i="30"/>
  <c r="CIM249" i="30"/>
  <c r="CIN249" i="30"/>
  <c r="CIO249" i="30"/>
  <c r="CIP249" i="30"/>
  <c r="CIQ249" i="30"/>
  <c r="CIR249" i="30"/>
  <c r="CIS249" i="30"/>
  <c r="CIT249" i="30"/>
  <c r="CIU249" i="30"/>
  <c r="CIV249" i="30"/>
  <c r="CIW249" i="30"/>
  <c r="CIX249" i="30"/>
  <c r="CIY249" i="30"/>
  <c r="CIZ249" i="30"/>
  <c r="CJA249" i="30"/>
  <c r="CJB249" i="30"/>
  <c r="CJC249" i="30"/>
  <c r="CJD249" i="30"/>
  <c r="CJE249" i="30"/>
  <c r="CJF249" i="30"/>
  <c r="CJG249" i="30"/>
  <c r="CJH249" i="30"/>
  <c r="CJI249" i="30"/>
  <c r="CJJ249" i="30"/>
  <c r="CJK249" i="30"/>
  <c r="CJL249" i="30"/>
  <c r="CJM249" i="30"/>
  <c r="CJN249" i="30"/>
  <c r="CJO249" i="30"/>
  <c r="CJP249" i="30"/>
  <c r="CJQ249" i="30"/>
  <c r="CJR249" i="30"/>
  <c r="CJS249" i="30"/>
  <c r="CJT249" i="30"/>
  <c r="CJU249" i="30"/>
  <c r="CJV249" i="30"/>
  <c r="CJW249" i="30"/>
  <c r="CJX249" i="30"/>
  <c r="CJY249" i="30"/>
  <c r="CJZ249" i="30"/>
  <c r="CKA249" i="30"/>
  <c r="CKB249" i="30"/>
  <c r="CKC249" i="30"/>
  <c r="CKD249" i="30"/>
  <c r="CKE249" i="30"/>
  <c r="CKF249" i="30"/>
  <c r="CKG249" i="30"/>
  <c r="CKH249" i="30"/>
  <c r="CKI249" i="30"/>
  <c r="CKJ249" i="30"/>
  <c r="CKK249" i="30"/>
  <c r="CKL249" i="30"/>
  <c r="CKM249" i="30"/>
  <c r="CKN249" i="30"/>
  <c r="CKO249" i="30"/>
  <c r="CKP249" i="30"/>
  <c r="CKQ249" i="30"/>
  <c r="CKR249" i="30"/>
  <c r="CKS249" i="30"/>
  <c r="CKT249" i="30"/>
  <c r="CKU249" i="30"/>
  <c r="CKV249" i="30"/>
  <c r="CKW249" i="30"/>
  <c r="CKX249" i="30"/>
  <c r="CKY249" i="30"/>
  <c r="CKZ249" i="30"/>
  <c r="CLA249" i="30"/>
  <c r="CLB249" i="30"/>
  <c r="CLC249" i="30"/>
  <c r="CLD249" i="30"/>
  <c r="CLE249" i="30"/>
  <c r="CLF249" i="30"/>
  <c r="CLG249" i="30"/>
  <c r="CLH249" i="30"/>
  <c r="CLI249" i="30"/>
  <c r="CLJ249" i="30"/>
  <c r="CLK249" i="30"/>
  <c r="CLL249" i="30"/>
  <c r="CLM249" i="30"/>
  <c r="CLN249" i="30"/>
  <c r="CLO249" i="30"/>
  <c r="CLP249" i="30"/>
  <c r="CLQ249" i="30"/>
  <c r="CLR249" i="30"/>
  <c r="CLS249" i="30"/>
  <c r="CLT249" i="30"/>
  <c r="CLU249" i="30"/>
  <c r="CLV249" i="30"/>
  <c r="CLW249" i="30"/>
  <c r="CLX249" i="30"/>
  <c r="CLY249" i="30"/>
  <c r="CLZ249" i="30"/>
  <c r="CMA249" i="30"/>
  <c r="CMB249" i="30"/>
  <c r="CMC249" i="30"/>
  <c r="CMD249" i="30"/>
  <c r="CME249" i="30"/>
  <c r="CMF249" i="30"/>
  <c r="CMG249" i="30"/>
  <c r="CMH249" i="30"/>
  <c r="CMI249" i="30"/>
  <c r="CMJ249" i="30"/>
  <c r="CMK249" i="30"/>
  <c r="CML249" i="30"/>
  <c r="CMM249" i="30"/>
  <c r="CMN249" i="30"/>
  <c r="CMO249" i="30"/>
  <c r="CMP249" i="30"/>
  <c r="CMQ249" i="30"/>
  <c r="CMR249" i="30"/>
  <c r="CMS249" i="30"/>
  <c r="CMT249" i="30"/>
  <c r="CMU249" i="30"/>
  <c r="CMV249" i="30"/>
  <c r="CMW249" i="30"/>
  <c r="CMX249" i="30"/>
  <c r="CMY249" i="30"/>
  <c r="CMZ249" i="30"/>
  <c r="CNA249" i="30"/>
  <c r="CNB249" i="30"/>
  <c r="CNC249" i="30"/>
  <c r="CND249" i="30"/>
  <c r="CNE249" i="30"/>
  <c r="CNF249" i="30"/>
  <c r="CNG249" i="30"/>
  <c r="CNH249" i="30"/>
  <c r="CNI249" i="30"/>
  <c r="CNJ249" i="30"/>
  <c r="CNK249" i="30"/>
  <c r="CNL249" i="30"/>
  <c r="CNM249" i="30"/>
  <c r="CNN249" i="30"/>
  <c r="CNO249" i="30"/>
  <c r="CNP249" i="30"/>
  <c r="CNQ249" i="30"/>
  <c r="CNR249" i="30"/>
  <c r="CNS249" i="30"/>
  <c r="CNT249" i="30"/>
  <c r="CNU249" i="30"/>
  <c r="CNV249" i="30"/>
  <c r="CNW249" i="30"/>
  <c r="CNX249" i="30"/>
  <c r="CNY249" i="30"/>
  <c r="CNZ249" i="30"/>
  <c r="COA249" i="30"/>
  <c r="COB249" i="30"/>
  <c r="COC249" i="30"/>
  <c r="COD249" i="30"/>
  <c r="COE249" i="30"/>
  <c r="COF249" i="30"/>
  <c r="COG249" i="30"/>
  <c r="COH249" i="30"/>
  <c r="COI249" i="30"/>
  <c r="COJ249" i="30"/>
  <c r="COK249" i="30"/>
  <c r="COL249" i="30"/>
  <c r="COM249" i="30"/>
  <c r="CON249" i="30"/>
  <c r="COO249" i="30"/>
  <c r="COP249" i="30"/>
  <c r="COQ249" i="30"/>
  <c r="COR249" i="30"/>
  <c r="COS249" i="30"/>
  <c r="COT249" i="30"/>
  <c r="COU249" i="30"/>
  <c r="COV249" i="30"/>
  <c r="COW249" i="30"/>
  <c r="COX249" i="30"/>
  <c r="COY249" i="30"/>
  <c r="COZ249" i="30"/>
  <c r="CPA249" i="30"/>
  <c r="CPB249" i="30"/>
  <c r="CPC249" i="30"/>
  <c r="CPD249" i="30"/>
  <c r="CPE249" i="30"/>
  <c r="CPF249" i="30"/>
  <c r="CPG249" i="30"/>
  <c r="CPH249" i="30"/>
  <c r="CPI249" i="30"/>
  <c r="CPJ249" i="30"/>
  <c r="CPK249" i="30"/>
  <c r="CPL249" i="30"/>
  <c r="CPM249" i="30"/>
  <c r="CPN249" i="30"/>
  <c r="CPO249" i="30"/>
  <c r="CPP249" i="30"/>
  <c r="CPQ249" i="30"/>
  <c r="CPR249" i="30"/>
  <c r="CPS249" i="30"/>
  <c r="CPT249" i="30"/>
  <c r="CPU249" i="30"/>
  <c r="CPV249" i="30"/>
  <c r="CPW249" i="30"/>
  <c r="CPX249" i="30"/>
  <c r="CPY249" i="30"/>
  <c r="CPZ249" i="30"/>
  <c r="CQA249" i="30"/>
  <c r="CQB249" i="30"/>
  <c r="CQC249" i="30"/>
  <c r="CQD249" i="30"/>
  <c r="CQE249" i="30"/>
  <c r="CQF249" i="30"/>
  <c r="CQG249" i="30"/>
  <c r="CQH249" i="30"/>
  <c r="CQI249" i="30"/>
  <c r="CQJ249" i="30"/>
  <c r="CQK249" i="30"/>
  <c r="CQL249" i="30"/>
  <c r="CQM249" i="30"/>
  <c r="CQN249" i="30"/>
  <c r="CQO249" i="30"/>
  <c r="CQP249" i="30"/>
  <c r="CQQ249" i="30"/>
  <c r="CQR249" i="30"/>
  <c r="CQS249" i="30"/>
  <c r="CQT249" i="30"/>
  <c r="CQU249" i="30"/>
  <c r="CQV249" i="30"/>
  <c r="CQW249" i="30"/>
  <c r="CQX249" i="30"/>
  <c r="CQY249" i="30"/>
  <c r="CQZ249" i="30"/>
  <c r="CRA249" i="30"/>
  <c r="CRB249" i="30"/>
  <c r="CRC249" i="30"/>
  <c r="CRD249" i="30"/>
  <c r="CRE249" i="30"/>
  <c r="CRF249" i="30"/>
  <c r="CRG249" i="30"/>
  <c r="CRH249" i="30"/>
  <c r="CRI249" i="30"/>
  <c r="CRJ249" i="30"/>
  <c r="CRK249" i="30"/>
  <c r="CRL249" i="30"/>
  <c r="CRM249" i="30"/>
  <c r="CRN249" i="30"/>
  <c r="CRO249" i="30"/>
  <c r="CRP249" i="30"/>
  <c r="CRQ249" i="30"/>
  <c r="CRR249" i="30"/>
  <c r="CRS249" i="30"/>
  <c r="CRT249" i="30"/>
  <c r="CRU249" i="30"/>
  <c r="CRV249" i="30"/>
  <c r="CRW249" i="30"/>
  <c r="CRX249" i="30"/>
  <c r="CRY249" i="30"/>
  <c r="CRZ249" i="30"/>
  <c r="CSA249" i="30"/>
  <c r="CSB249" i="30"/>
  <c r="CSC249" i="30"/>
  <c r="CSD249" i="30"/>
  <c r="CSE249" i="30"/>
  <c r="CSF249" i="30"/>
  <c r="CSG249" i="30"/>
  <c r="CSH249" i="30"/>
  <c r="CSI249" i="30"/>
  <c r="CSJ249" i="30"/>
  <c r="CSK249" i="30"/>
  <c r="CSL249" i="30"/>
  <c r="CSM249" i="30"/>
  <c r="CSN249" i="30"/>
  <c r="CSO249" i="30"/>
  <c r="CSP249" i="30"/>
  <c r="CSQ249" i="30"/>
  <c r="CSR249" i="30"/>
  <c r="CSS249" i="30"/>
  <c r="CST249" i="30"/>
  <c r="CSU249" i="30"/>
  <c r="CSV249" i="30"/>
  <c r="CSW249" i="30"/>
  <c r="CSX249" i="30"/>
  <c r="CSY249" i="30"/>
  <c r="CSZ249" i="30"/>
  <c r="CTA249" i="30"/>
  <c r="CTB249" i="30"/>
  <c r="CTC249" i="30"/>
  <c r="CTD249" i="30"/>
  <c r="CTE249" i="30"/>
  <c r="CTF249" i="30"/>
  <c r="CTG249" i="30"/>
  <c r="CTH249" i="30"/>
  <c r="CTI249" i="30"/>
  <c r="CTJ249" i="30"/>
  <c r="CTK249" i="30"/>
  <c r="CTL249" i="30"/>
  <c r="CTM249" i="30"/>
  <c r="CTN249" i="30"/>
  <c r="CTO249" i="30"/>
  <c r="CTP249" i="30"/>
  <c r="CTQ249" i="30"/>
  <c r="CTR249" i="30"/>
  <c r="CTS249" i="30"/>
  <c r="CTT249" i="30"/>
  <c r="CTU249" i="30"/>
  <c r="CTV249" i="30"/>
  <c r="CTW249" i="30"/>
  <c r="CTX249" i="30"/>
  <c r="CTY249" i="30"/>
  <c r="CTZ249" i="30"/>
  <c r="CUA249" i="30"/>
  <c r="CUB249" i="30"/>
  <c r="CUC249" i="30"/>
  <c r="CUD249" i="30"/>
  <c r="CUE249" i="30"/>
  <c r="CUF249" i="30"/>
  <c r="CUG249" i="30"/>
  <c r="CUH249" i="30"/>
  <c r="CUI249" i="30"/>
  <c r="CUJ249" i="30"/>
  <c r="CUK249" i="30"/>
  <c r="CUL249" i="30"/>
  <c r="CUM249" i="30"/>
  <c r="CUN249" i="30"/>
  <c r="CUO249" i="30"/>
  <c r="CUP249" i="30"/>
  <c r="CUQ249" i="30"/>
  <c r="CUR249" i="30"/>
  <c r="CUS249" i="30"/>
  <c r="CUT249" i="30"/>
  <c r="CUU249" i="30"/>
  <c r="CUV249" i="30"/>
  <c r="CUW249" i="30"/>
  <c r="CUX249" i="30"/>
  <c r="CUY249" i="30"/>
  <c r="CUZ249" i="30"/>
  <c r="CVA249" i="30"/>
  <c r="CVB249" i="30"/>
  <c r="CVC249" i="30"/>
  <c r="CVD249" i="30"/>
  <c r="CVE249" i="30"/>
  <c r="CVF249" i="30"/>
  <c r="CVG249" i="30"/>
  <c r="CVH249" i="30"/>
  <c r="CVI249" i="30"/>
  <c r="CVJ249" i="30"/>
  <c r="CVK249" i="30"/>
  <c r="CVL249" i="30"/>
  <c r="CVM249" i="30"/>
  <c r="CVN249" i="30"/>
  <c r="CVO249" i="30"/>
  <c r="CVP249" i="30"/>
  <c r="CVQ249" i="30"/>
  <c r="CVR249" i="30"/>
  <c r="CVS249" i="30"/>
  <c r="CVT249" i="30"/>
  <c r="CVU249" i="30"/>
  <c r="CVV249" i="30"/>
  <c r="CVW249" i="30"/>
  <c r="CVX249" i="30"/>
  <c r="CVY249" i="30"/>
  <c r="CVZ249" i="30"/>
  <c r="CWA249" i="30"/>
  <c r="CWB249" i="30"/>
  <c r="CWC249" i="30"/>
  <c r="CWD249" i="30"/>
  <c r="CWE249" i="30"/>
  <c r="CWF249" i="30"/>
  <c r="CWG249" i="30"/>
  <c r="CWH249" i="30"/>
  <c r="CWI249" i="30"/>
  <c r="CWJ249" i="30"/>
  <c r="CWK249" i="30"/>
  <c r="CWL249" i="30"/>
  <c r="CWM249" i="30"/>
  <c r="CWN249" i="30"/>
  <c r="CWO249" i="30"/>
  <c r="CWP249" i="30"/>
  <c r="CWQ249" i="30"/>
  <c r="CWR249" i="30"/>
  <c r="CWS249" i="30"/>
  <c r="CWT249" i="30"/>
  <c r="CWU249" i="30"/>
  <c r="CWV249" i="30"/>
  <c r="CWW249" i="30"/>
  <c r="CWX249" i="30"/>
  <c r="CWY249" i="30"/>
  <c r="CWZ249" i="30"/>
  <c r="CXA249" i="30"/>
  <c r="CXB249" i="30"/>
  <c r="CXC249" i="30"/>
  <c r="CXD249" i="30"/>
  <c r="CXE249" i="30"/>
  <c r="CXF249" i="30"/>
  <c r="CXG249" i="30"/>
  <c r="CXH249" i="30"/>
  <c r="CXI249" i="30"/>
  <c r="CXJ249" i="30"/>
  <c r="CXK249" i="30"/>
  <c r="CXL249" i="30"/>
  <c r="CXM249" i="30"/>
  <c r="CXN249" i="30"/>
  <c r="CXO249" i="30"/>
  <c r="CXP249" i="30"/>
  <c r="CXQ249" i="30"/>
  <c r="CXR249" i="30"/>
  <c r="CXS249" i="30"/>
  <c r="CXT249" i="30"/>
  <c r="CXU249" i="30"/>
  <c r="CXV249" i="30"/>
  <c r="CXW249" i="30"/>
  <c r="CXX249" i="30"/>
  <c r="CXY249" i="30"/>
  <c r="CXZ249" i="30"/>
  <c r="CYA249" i="30"/>
  <c r="CYB249" i="30"/>
  <c r="CYC249" i="30"/>
  <c r="CYD249" i="30"/>
  <c r="CYE249" i="30"/>
  <c r="CYF249" i="30"/>
  <c r="CYG249" i="30"/>
  <c r="CYH249" i="30"/>
  <c r="CYI249" i="30"/>
  <c r="CYJ249" i="30"/>
  <c r="CYK249" i="30"/>
  <c r="CYL249" i="30"/>
  <c r="CYM249" i="30"/>
  <c r="CYN249" i="30"/>
  <c r="CYO249" i="30"/>
  <c r="CYP249" i="30"/>
  <c r="CYQ249" i="30"/>
  <c r="CYR249" i="30"/>
  <c r="CYS249" i="30"/>
  <c r="CYT249" i="30"/>
  <c r="CYU249" i="30"/>
  <c r="CYV249" i="30"/>
  <c r="CYW249" i="30"/>
  <c r="CYX249" i="30"/>
  <c r="CYY249" i="30"/>
  <c r="CYZ249" i="30"/>
  <c r="CZA249" i="30"/>
  <c r="CZB249" i="30"/>
  <c r="CZC249" i="30"/>
  <c r="CZD249" i="30"/>
  <c r="CZE249" i="30"/>
  <c r="CZF249" i="30"/>
  <c r="CZG249" i="30"/>
  <c r="CZH249" i="30"/>
  <c r="CZI249" i="30"/>
  <c r="CZJ249" i="30"/>
  <c r="CZK249" i="30"/>
  <c r="CZL249" i="30"/>
  <c r="CZM249" i="30"/>
  <c r="CZN249" i="30"/>
  <c r="CZO249" i="30"/>
  <c r="CZP249" i="30"/>
  <c r="CZQ249" i="30"/>
  <c r="CZR249" i="30"/>
  <c r="CZS249" i="30"/>
  <c r="CZT249" i="30"/>
  <c r="CZU249" i="30"/>
  <c r="CZV249" i="30"/>
  <c r="CZW249" i="30"/>
  <c r="CZX249" i="30"/>
  <c r="CZY249" i="30"/>
  <c r="CZZ249" i="30"/>
  <c r="DAA249" i="30"/>
  <c r="DAB249" i="30"/>
  <c r="DAC249" i="30"/>
  <c r="DAD249" i="30"/>
  <c r="DAE249" i="30"/>
  <c r="DAF249" i="30"/>
  <c r="DAG249" i="30"/>
  <c r="DAH249" i="30"/>
  <c r="DAI249" i="30"/>
  <c r="DAJ249" i="30"/>
  <c r="DAK249" i="30"/>
  <c r="DAL249" i="30"/>
  <c r="DAM249" i="30"/>
  <c r="DAN249" i="30"/>
  <c r="DAO249" i="30"/>
  <c r="DAP249" i="30"/>
  <c r="DAQ249" i="30"/>
  <c r="DAR249" i="30"/>
  <c r="DAS249" i="30"/>
  <c r="DAT249" i="30"/>
  <c r="DAU249" i="30"/>
  <c r="DAV249" i="30"/>
  <c r="DAW249" i="30"/>
  <c r="DAX249" i="30"/>
  <c r="DAY249" i="30"/>
  <c r="DAZ249" i="30"/>
  <c r="DBA249" i="30"/>
  <c r="DBB249" i="30"/>
  <c r="DBC249" i="30"/>
  <c r="DBD249" i="30"/>
  <c r="DBE249" i="30"/>
  <c r="DBF249" i="30"/>
  <c r="DBG249" i="30"/>
  <c r="DBH249" i="30"/>
  <c r="DBI249" i="30"/>
  <c r="DBJ249" i="30"/>
  <c r="DBK249" i="30"/>
  <c r="DBL249" i="30"/>
  <c r="DBM249" i="30"/>
  <c r="DBN249" i="30"/>
  <c r="DBO249" i="30"/>
  <c r="DBP249" i="30"/>
  <c r="DBQ249" i="30"/>
  <c r="DBR249" i="30"/>
  <c r="DBS249" i="30"/>
  <c r="DBT249" i="30"/>
  <c r="DBU249" i="30"/>
  <c r="DBV249" i="30"/>
  <c r="DBW249" i="30"/>
  <c r="DBX249" i="30"/>
  <c r="DBY249" i="30"/>
  <c r="DBZ249" i="30"/>
  <c r="DCA249" i="30"/>
  <c r="DCB249" i="30"/>
  <c r="DCC249" i="30"/>
  <c r="DCD249" i="30"/>
  <c r="DCE249" i="30"/>
  <c r="DCF249" i="30"/>
  <c r="DCG249" i="30"/>
  <c r="DCH249" i="30"/>
  <c r="DCI249" i="30"/>
  <c r="DCJ249" i="30"/>
  <c r="DCK249" i="30"/>
  <c r="DCL249" i="30"/>
  <c r="DCM249" i="30"/>
  <c r="DCN249" i="30"/>
  <c r="DCO249" i="30"/>
  <c r="DCP249" i="30"/>
  <c r="DCQ249" i="30"/>
  <c r="DCR249" i="30"/>
  <c r="DCS249" i="30"/>
  <c r="DCT249" i="30"/>
  <c r="DCU249" i="30"/>
  <c r="DCV249" i="30"/>
  <c r="DCW249" i="30"/>
  <c r="DCX249" i="30"/>
  <c r="DCY249" i="30"/>
  <c r="DCZ249" i="30"/>
  <c r="DDA249" i="30"/>
  <c r="DDB249" i="30"/>
  <c r="DDC249" i="30"/>
  <c r="DDD249" i="30"/>
  <c r="DDE249" i="30"/>
  <c r="DDF249" i="30"/>
  <c r="DDG249" i="30"/>
  <c r="DDH249" i="30"/>
  <c r="DDI249" i="30"/>
  <c r="DDJ249" i="30"/>
  <c r="DDK249" i="30"/>
  <c r="DDL249" i="30"/>
  <c r="DDM249" i="30"/>
  <c r="DDN249" i="30"/>
  <c r="DDO249" i="30"/>
  <c r="DDP249" i="30"/>
  <c r="DDQ249" i="30"/>
  <c r="DDR249" i="30"/>
  <c r="DDS249" i="30"/>
  <c r="DDT249" i="30"/>
  <c r="DDU249" i="30"/>
  <c r="DDV249" i="30"/>
  <c r="DDW249" i="30"/>
  <c r="DDX249" i="30"/>
  <c r="DDY249" i="30"/>
  <c r="DDZ249" i="30"/>
  <c r="DEA249" i="30"/>
  <c r="DEB249" i="30"/>
  <c r="DEC249" i="30"/>
  <c r="DED249" i="30"/>
  <c r="DEE249" i="30"/>
  <c r="DEF249" i="30"/>
  <c r="DEG249" i="30"/>
  <c r="DEH249" i="30"/>
  <c r="DEI249" i="30"/>
  <c r="DEJ249" i="30"/>
  <c r="DEK249" i="30"/>
  <c r="DEL249" i="30"/>
  <c r="DEM249" i="30"/>
  <c r="DEN249" i="30"/>
  <c r="DEO249" i="30"/>
  <c r="DEP249" i="30"/>
  <c r="DEQ249" i="30"/>
  <c r="DER249" i="30"/>
  <c r="DES249" i="30"/>
  <c r="DET249" i="30"/>
  <c r="DEU249" i="30"/>
  <c r="DEV249" i="30"/>
  <c r="DEW249" i="30"/>
  <c r="DEX249" i="30"/>
  <c r="DEY249" i="30"/>
  <c r="DEZ249" i="30"/>
  <c r="DFA249" i="30"/>
  <c r="DFB249" i="30"/>
  <c r="DFC249" i="30"/>
  <c r="DFD249" i="30"/>
  <c r="DFE249" i="30"/>
  <c r="DFF249" i="30"/>
  <c r="DFG249" i="30"/>
  <c r="DFH249" i="30"/>
  <c r="DFI249" i="30"/>
  <c r="DFJ249" i="30"/>
  <c r="DFK249" i="30"/>
  <c r="DFL249" i="30"/>
  <c r="DFM249" i="30"/>
  <c r="DFN249" i="30"/>
  <c r="DFO249" i="30"/>
  <c r="DFP249" i="30"/>
  <c r="DFQ249" i="30"/>
  <c r="DFR249" i="30"/>
  <c r="DFS249" i="30"/>
  <c r="DFT249" i="30"/>
  <c r="DFU249" i="30"/>
  <c r="DFV249" i="30"/>
  <c r="DFW249" i="30"/>
  <c r="DFX249" i="30"/>
  <c r="DFY249" i="30"/>
  <c r="DFZ249" i="30"/>
  <c r="DGA249" i="30"/>
  <c r="DGB249" i="30"/>
  <c r="DGC249" i="30"/>
  <c r="DGD249" i="30"/>
  <c r="DGE249" i="30"/>
  <c r="DGF249" i="30"/>
  <c r="DGG249" i="30"/>
  <c r="DGH249" i="30"/>
  <c r="DGI249" i="30"/>
  <c r="DGJ249" i="30"/>
  <c r="DGK249" i="30"/>
  <c r="DGL249" i="30"/>
  <c r="DGM249" i="30"/>
  <c r="DGN249" i="30"/>
  <c r="DGO249" i="30"/>
  <c r="DGP249" i="30"/>
  <c r="DGQ249" i="30"/>
  <c r="DGR249" i="30"/>
  <c r="DGS249" i="30"/>
  <c r="DGT249" i="30"/>
  <c r="DGU249" i="30"/>
  <c r="DGV249" i="30"/>
  <c r="DGW249" i="30"/>
  <c r="DGX249" i="30"/>
  <c r="DGY249" i="30"/>
  <c r="DGZ249" i="30"/>
  <c r="DHA249" i="30"/>
  <c r="DHB249" i="30"/>
  <c r="DHC249" i="30"/>
  <c r="DHD249" i="30"/>
  <c r="DHE249" i="30"/>
  <c r="DHF249" i="30"/>
  <c r="DHG249" i="30"/>
  <c r="DHH249" i="30"/>
  <c r="DHI249" i="30"/>
  <c r="DHJ249" i="30"/>
  <c r="DHK249" i="30"/>
  <c r="DHL249" i="30"/>
  <c r="DHM249" i="30"/>
  <c r="DHN249" i="30"/>
  <c r="DHO249" i="30"/>
  <c r="DHP249" i="30"/>
  <c r="DHQ249" i="30"/>
  <c r="DHR249" i="30"/>
  <c r="DHS249" i="30"/>
  <c r="DHT249" i="30"/>
  <c r="DHU249" i="30"/>
  <c r="DHV249" i="30"/>
  <c r="DHW249" i="30"/>
  <c r="DHX249" i="30"/>
  <c r="DHY249" i="30"/>
  <c r="DHZ249" i="30"/>
  <c r="DIA249" i="30"/>
  <c r="DIB249" i="30"/>
  <c r="DIC249" i="30"/>
  <c r="DID249" i="30"/>
  <c r="DIE249" i="30"/>
  <c r="DIF249" i="30"/>
  <c r="DIG249" i="30"/>
  <c r="DIH249" i="30"/>
  <c r="DII249" i="30"/>
  <c r="DIJ249" i="30"/>
  <c r="DIK249" i="30"/>
  <c r="DIL249" i="30"/>
  <c r="DIM249" i="30"/>
  <c r="DIN249" i="30"/>
  <c r="DIO249" i="30"/>
  <c r="DIP249" i="30"/>
  <c r="DIQ249" i="30"/>
  <c r="DIR249" i="30"/>
  <c r="DIS249" i="30"/>
  <c r="DIT249" i="30"/>
  <c r="DIU249" i="30"/>
  <c r="DIV249" i="30"/>
  <c r="DIW249" i="30"/>
  <c r="DIX249" i="30"/>
  <c r="DIY249" i="30"/>
  <c r="DIZ249" i="30"/>
  <c r="DJA249" i="30"/>
  <c r="DJB249" i="30"/>
  <c r="DJC249" i="30"/>
  <c r="DJD249" i="30"/>
  <c r="DJE249" i="30"/>
  <c r="DJF249" i="30"/>
  <c r="DJG249" i="30"/>
  <c r="DJH249" i="30"/>
  <c r="DJI249" i="30"/>
  <c r="DJJ249" i="30"/>
  <c r="DJK249" i="30"/>
  <c r="DJL249" i="30"/>
  <c r="DJM249" i="30"/>
  <c r="DJN249" i="30"/>
  <c r="DJO249" i="30"/>
  <c r="DJP249" i="30"/>
  <c r="DJQ249" i="30"/>
  <c r="DJR249" i="30"/>
  <c r="DJS249" i="30"/>
  <c r="DJT249" i="30"/>
  <c r="DJU249" i="30"/>
  <c r="DJV249" i="30"/>
  <c r="DJW249" i="30"/>
  <c r="DJX249" i="30"/>
  <c r="DJY249" i="30"/>
  <c r="DJZ249" i="30"/>
  <c r="DKA249" i="30"/>
  <c r="DKB249" i="30"/>
  <c r="DKC249" i="30"/>
  <c r="DKD249" i="30"/>
  <c r="DKE249" i="30"/>
  <c r="DKF249" i="30"/>
  <c r="DKG249" i="30"/>
  <c r="DKH249" i="30"/>
  <c r="DKI249" i="30"/>
  <c r="DKJ249" i="30"/>
  <c r="DKK249" i="30"/>
  <c r="DKL249" i="30"/>
  <c r="DKM249" i="30"/>
  <c r="DKN249" i="30"/>
  <c r="DKO249" i="30"/>
  <c r="DKP249" i="30"/>
  <c r="DKQ249" i="30"/>
  <c r="DKR249" i="30"/>
  <c r="DKS249" i="30"/>
  <c r="DKT249" i="30"/>
  <c r="DKU249" i="30"/>
  <c r="DKV249" i="30"/>
  <c r="DKW249" i="30"/>
  <c r="DKX249" i="30"/>
  <c r="DKY249" i="30"/>
  <c r="DKZ249" i="30"/>
  <c r="DLA249" i="30"/>
  <c r="DLB249" i="30"/>
  <c r="DLC249" i="30"/>
  <c r="DLD249" i="30"/>
  <c r="DLE249" i="30"/>
  <c r="DLF249" i="30"/>
  <c r="DLG249" i="30"/>
  <c r="DLH249" i="30"/>
  <c r="DLI249" i="30"/>
  <c r="DLJ249" i="30"/>
  <c r="DLK249" i="30"/>
  <c r="DLL249" i="30"/>
  <c r="DLM249" i="30"/>
  <c r="DLN249" i="30"/>
  <c r="DLO249" i="30"/>
  <c r="DLP249" i="30"/>
  <c r="DLQ249" i="30"/>
  <c r="DLR249" i="30"/>
  <c r="DLS249" i="30"/>
  <c r="DLT249" i="30"/>
  <c r="DLU249" i="30"/>
  <c r="DLV249" i="30"/>
  <c r="DLW249" i="30"/>
  <c r="DLX249" i="30"/>
  <c r="DLY249" i="30"/>
  <c r="DLZ249" i="30"/>
  <c r="DMA249" i="30"/>
  <c r="DMB249" i="30"/>
  <c r="DMC249" i="30"/>
  <c r="DMD249" i="30"/>
  <c r="DME249" i="30"/>
  <c r="DMF249" i="30"/>
  <c r="DMG249" i="30"/>
  <c r="DMH249" i="30"/>
  <c r="DMI249" i="30"/>
  <c r="DMJ249" i="30"/>
  <c r="DMK249" i="30"/>
  <c r="DML249" i="30"/>
  <c r="DMM249" i="30"/>
  <c r="DMN249" i="30"/>
  <c r="DMO249" i="30"/>
  <c r="DMP249" i="30"/>
  <c r="DMQ249" i="30"/>
  <c r="DMR249" i="30"/>
  <c r="DMS249" i="30"/>
  <c r="DMT249" i="30"/>
  <c r="DMU249" i="30"/>
  <c r="DMV249" i="30"/>
  <c r="DMW249" i="30"/>
  <c r="DMX249" i="30"/>
  <c r="DMY249" i="30"/>
  <c r="DMZ249" i="30"/>
  <c r="DNA249" i="30"/>
  <c r="DNB249" i="30"/>
  <c r="DNC249" i="30"/>
  <c r="DND249" i="30"/>
  <c r="DNE249" i="30"/>
  <c r="DNF249" i="30"/>
  <c r="DNG249" i="30"/>
  <c r="DNH249" i="30"/>
  <c r="DNI249" i="30"/>
  <c r="DNJ249" i="30"/>
  <c r="DNK249" i="30"/>
  <c r="DNL249" i="30"/>
  <c r="DNM249" i="30"/>
  <c r="DNN249" i="30"/>
  <c r="DNO249" i="30"/>
  <c r="DNP249" i="30"/>
  <c r="DNQ249" i="30"/>
  <c r="DNR249" i="30"/>
  <c r="DNS249" i="30"/>
  <c r="DNT249" i="30"/>
  <c r="DNU249" i="30"/>
  <c r="DNV249" i="30"/>
  <c r="DNW249" i="30"/>
  <c r="DNX249" i="30"/>
  <c r="DNY249" i="30"/>
  <c r="DNZ249" i="30"/>
  <c r="DOA249" i="30"/>
  <c r="DOB249" i="30"/>
  <c r="DOC249" i="30"/>
  <c r="DOD249" i="30"/>
  <c r="DOE249" i="30"/>
  <c r="DOF249" i="30"/>
  <c r="DOG249" i="30"/>
  <c r="DOH249" i="30"/>
  <c r="DOI249" i="30"/>
  <c r="DOJ249" i="30"/>
  <c r="DOK249" i="30"/>
  <c r="DOL249" i="30"/>
  <c r="DOM249" i="30"/>
  <c r="DON249" i="30"/>
  <c r="DOO249" i="30"/>
  <c r="DOP249" i="30"/>
  <c r="DOQ249" i="30"/>
  <c r="DOR249" i="30"/>
  <c r="DOS249" i="30"/>
  <c r="DOT249" i="30"/>
  <c r="DOU249" i="30"/>
  <c r="DOV249" i="30"/>
  <c r="DOW249" i="30"/>
  <c r="DOX249" i="30"/>
  <c r="DOY249" i="30"/>
  <c r="DOZ249" i="30"/>
  <c r="DPA249" i="30"/>
  <c r="DPB249" i="30"/>
  <c r="DPC249" i="30"/>
  <c r="DPD249" i="30"/>
  <c r="DPE249" i="30"/>
  <c r="DPF249" i="30"/>
  <c r="DPG249" i="30"/>
  <c r="DPH249" i="30"/>
  <c r="DPI249" i="30"/>
  <c r="DPJ249" i="30"/>
  <c r="DPK249" i="30"/>
  <c r="DPL249" i="30"/>
  <c r="DPM249" i="30"/>
  <c r="DPN249" i="30"/>
  <c r="DPO249" i="30"/>
  <c r="DPP249" i="30"/>
  <c r="DPQ249" i="30"/>
  <c r="DPR249" i="30"/>
  <c r="DPS249" i="30"/>
  <c r="DPT249" i="30"/>
  <c r="DPU249" i="30"/>
  <c r="DPV249" i="30"/>
  <c r="DPW249" i="30"/>
  <c r="DPX249" i="30"/>
  <c r="DPY249" i="30"/>
  <c r="DPZ249" i="30"/>
  <c r="DQA249" i="30"/>
  <c r="DQB249" i="30"/>
  <c r="DQC249" i="30"/>
  <c r="DQD249" i="30"/>
  <c r="DQE249" i="30"/>
  <c r="DQF249" i="30"/>
  <c r="DQG249" i="30"/>
  <c r="DQH249" i="30"/>
  <c r="DQI249" i="30"/>
  <c r="DQJ249" i="30"/>
  <c r="DQK249" i="30"/>
  <c r="DQL249" i="30"/>
  <c r="DQM249" i="30"/>
  <c r="DQN249" i="30"/>
  <c r="DQO249" i="30"/>
  <c r="DQP249" i="30"/>
  <c r="DQQ249" i="30"/>
  <c r="DQR249" i="30"/>
  <c r="DQS249" i="30"/>
  <c r="DQT249" i="30"/>
  <c r="DQU249" i="30"/>
  <c r="DQV249" i="30"/>
  <c r="DQW249" i="30"/>
  <c r="DQX249" i="30"/>
  <c r="DQY249" i="30"/>
  <c r="DQZ249" i="30"/>
  <c r="DRA249" i="30"/>
  <c r="DRB249" i="30"/>
  <c r="DRC249" i="30"/>
  <c r="DRD249" i="30"/>
  <c r="DRE249" i="30"/>
  <c r="DRF249" i="30"/>
  <c r="DRG249" i="30"/>
  <c r="DRH249" i="30"/>
  <c r="DRI249" i="30"/>
  <c r="DRJ249" i="30"/>
  <c r="DRK249" i="30"/>
  <c r="DRL249" i="30"/>
  <c r="DRM249" i="30"/>
  <c r="DRN249" i="30"/>
  <c r="DRO249" i="30"/>
  <c r="DRP249" i="30"/>
  <c r="DRQ249" i="30"/>
  <c r="DRR249" i="30"/>
  <c r="DRS249" i="30"/>
  <c r="DRT249" i="30"/>
  <c r="DRU249" i="30"/>
  <c r="DRV249" i="30"/>
  <c r="DRW249" i="30"/>
  <c r="DRX249" i="30"/>
  <c r="DRY249" i="30"/>
  <c r="DRZ249" i="30"/>
  <c r="DSA249" i="30"/>
  <c r="DSB249" i="30"/>
  <c r="DSC249" i="30"/>
  <c r="DSD249" i="30"/>
  <c r="DSE249" i="30"/>
  <c r="DSF249" i="30"/>
  <c r="DSG249" i="30"/>
  <c r="DSH249" i="30"/>
  <c r="DSI249" i="30"/>
  <c r="DSJ249" i="30"/>
  <c r="DSK249" i="30"/>
  <c r="DSL249" i="30"/>
  <c r="DSM249" i="30"/>
  <c r="DSN249" i="30"/>
  <c r="DSO249" i="30"/>
  <c r="DSP249" i="30"/>
  <c r="DSQ249" i="30"/>
  <c r="DSR249" i="30"/>
  <c r="DSS249" i="30"/>
  <c r="DST249" i="30"/>
  <c r="DSU249" i="30"/>
  <c r="DSV249" i="30"/>
  <c r="DSW249" i="30"/>
  <c r="DSX249" i="30"/>
  <c r="DSY249" i="30"/>
  <c r="DSZ249" i="30"/>
  <c r="DTA249" i="30"/>
  <c r="DTB249" i="30"/>
  <c r="DTC249" i="30"/>
  <c r="DTD249" i="30"/>
  <c r="DTE249" i="30"/>
  <c r="DTF249" i="30"/>
  <c r="DTG249" i="30"/>
  <c r="DTH249" i="30"/>
  <c r="DTI249" i="30"/>
  <c r="DTJ249" i="30"/>
  <c r="DTK249" i="30"/>
  <c r="DTL249" i="30"/>
  <c r="DTM249" i="30"/>
  <c r="DTN249" i="30"/>
  <c r="DTO249" i="30"/>
  <c r="DTP249" i="30"/>
  <c r="DTQ249" i="30"/>
  <c r="DTR249" i="30"/>
  <c r="DTS249" i="30"/>
  <c r="DTT249" i="30"/>
  <c r="DTU249" i="30"/>
  <c r="DTV249" i="30"/>
  <c r="DTW249" i="30"/>
  <c r="DTX249" i="30"/>
  <c r="DTY249" i="30"/>
  <c r="DTZ249" i="30"/>
  <c r="DUA249" i="30"/>
  <c r="DUB249" i="30"/>
  <c r="DUC249" i="30"/>
  <c r="DUD249" i="30"/>
  <c r="DUE249" i="30"/>
  <c r="DUF249" i="30"/>
  <c r="DUG249" i="30"/>
  <c r="DUH249" i="30"/>
  <c r="DUI249" i="30"/>
  <c r="DUJ249" i="30"/>
  <c r="DUK249" i="30"/>
  <c r="DUL249" i="30"/>
  <c r="DUM249" i="30"/>
  <c r="DUN249" i="30"/>
  <c r="DUO249" i="30"/>
  <c r="DUP249" i="30"/>
  <c r="DUQ249" i="30"/>
  <c r="DUR249" i="30"/>
  <c r="DUS249" i="30"/>
  <c r="DUT249" i="30"/>
  <c r="DUU249" i="30"/>
  <c r="DUV249" i="30"/>
  <c r="DUW249" i="30"/>
  <c r="DUX249" i="30"/>
  <c r="DUY249" i="30"/>
  <c r="DUZ249" i="30"/>
  <c r="DVA249" i="30"/>
  <c r="DVB249" i="30"/>
  <c r="DVC249" i="30"/>
  <c r="DVD249" i="30"/>
  <c r="DVE249" i="30"/>
  <c r="DVF249" i="30"/>
  <c r="DVG249" i="30"/>
  <c r="DVH249" i="30"/>
  <c r="DVI249" i="30"/>
  <c r="DVJ249" i="30"/>
  <c r="DVK249" i="30"/>
  <c r="DVL249" i="30"/>
  <c r="DVM249" i="30"/>
  <c r="DVN249" i="30"/>
  <c r="DVO249" i="30"/>
  <c r="DVP249" i="30"/>
  <c r="DVQ249" i="30"/>
  <c r="DVR249" i="30"/>
  <c r="DVS249" i="30"/>
  <c r="DVT249" i="30"/>
  <c r="DVU249" i="30"/>
  <c r="DVV249" i="30"/>
  <c r="DVW249" i="30"/>
  <c r="DVX249" i="30"/>
  <c r="DVY249" i="30"/>
  <c r="DVZ249" i="30"/>
  <c r="DWA249" i="30"/>
  <c r="DWB249" i="30"/>
  <c r="DWC249" i="30"/>
  <c r="DWD249" i="30"/>
  <c r="DWE249" i="30"/>
  <c r="DWF249" i="30"/>
  <c r="DWG249" i="30"/>
  <c r="DWH249" i="30"/>
  <c r="DWI249" i="30"/>
  <c r="DWJ249" i="30"/>
  <c r="DWK249" i="30"/>
  <c r="DWL249" i="30"/>
  <c r="DWM249" i="30"/>
  <c r="DWN249" i="30"/>
  <c r="DWO249" i="30"/>
  <c r="DWP249" i="30"/>
  <c r="DWQ249" i="30"/>
  <c r="DWR249" i="30"/>
  <c r="DWS249" i="30"/>
  <c r="DWT249" i="30"/>
  <c r="DWU249" i="30"/>
  <c r="DWV249" i="30"/>
  <c r="DWW249" i="30"/>
  <c r="DWX249" i="30"/>
  <c r="DWY249" i="30"/>
  <c r="DWZ249" i="30"/>
  <c r="DXA249" i="30"/>
  <c r="DXB249" i="30"/>
  <c r="DXC249" i="30"/>
  <c r="DXD249" i="30"/>
  <c r="DXE249" i="30"/>
  <c r="DXF249" i="30"/>
  <c r="DXG249" i="30"/>
  <c r="DXH249" i="30"/>
  <c r="DXI249" i="30"/>
  <c r="DXJ249" i="30"/>
  <c r="DXK249" i="30"/>
  <c r="DXL249" i="30"/>
  <c r="DXM249" i="30"/>
  <c r="DXN249" i="30"/>
  <c r="DXO249" i="30"/>
  <c r="DXP249" i="30"/>
  <c r="DXQ249" i="30"/>
  <c r="DXR249" i="30"/>
  <c r="DXS249" i="30"/>
  <c r="DXT249" i="30"/>
  <c r="DXU249" i="30"/>
  <c r="DXV249" i="30"/>
  <c r="DXW249" i="30"/>
  <c r="DXX249" i="30"/>
  <c r="DXY249" i="30"/>
  <c r="DXZ249" i="30"/>
  <c r="DYA249" i="30"/>
  <c r="DYB249" i="30"/>
  <c r="DYC249" i="30"/>
  <c r="DYD249" i="30"/>
  <c r="DYE249" i="30"/>
  <c r="DYF249" i="30"/>
  <c r="DYG249" i="30"/>
  <c r="DYH249" i="30"/>
  <c r="DYI249" i="30"/>
  <c r="DYJ249" i="30"/>
  <c r="DYK249" i="30"/>
  <c r="DYL249" i="30"/>
  <c r="DYM249" i="30"/>
  <c r="DYN249" i="30"/>
  <c r="DYO249" i="30"/>
  <c r="DYP249" i="30"/>
  <c r="DYQ249" i="30"/>
  <c r="DYR249" i="30"/>
  <c r="DYS249" i="30"/>
  <c r="DYT249" i="30"/>
  <c r="DYU249" i="30"/>
  <c r="DYV249" i="30"/>
  <c r="DYW249" i="30"/>
  <c r="DYX249" i="30"/>
  <c r="DYY249" i="30"/>
  <c r="DYZ249" i="30"/>
  <c r="DZA249" i="30"/>
  <c r="DZB249" i="30"/>
  <c r="DZC249" i="30"/>
  <c r="DZD249" i="30"/>
  <c r="DZE249" i="30"/>
  <c r="DZF249" i="30"/>
  <c r="DZG249" i="30"/>
  <c r="DZH249" i="30"/>
  <c r="DZI249" i="30"/>
  <c r="DZJ249" i="30"/>
  <c r="DZK249" i="30"/>
  <c r="DZL249" i="30"/>
  <c r="DZM249" i="30"/>
  <c r="DZN249" i="30"/>
  <c r="DZO249" i="30"/>
  <c r="DZP249" i="30"/>
  <c r="DZQ249" i="30"/>
  <c r="DZR249" i="30"/>
  <c r="DZS249" i="30"/>
  <c r="DZT249" i="30"/>
  <c r="DZU249" i="30"/>
  <c r="DZV249" i="30"/>
  <c r="DZW249" i="30"/>
  <c r="DZX249" i="30"/>
  <c r="DZY249" i="30"/>
  <c r="DZZ249" i="30"/>
  <c r="EAA249" i="30"/>
  <c r="EAB249" i="30"/>
  <c r="EAC249" i="30"/>
  <c r="EAD249" i="30"/>
  <c r="EAE249" i="30"/>
  <c r="EAF249" i="30"/>
  <c r="EAG249" i="30"/>
  <c r="EAH249" i="30"/>
  <c r="EAI249" i="30"/>
  <c r="EAJ249" i="30"/>
  <c r="EAK249" i="30"/>
  <c r="EAL249" i="30"/>
  <c r="EAM249" i="30"/>
  <c r="EAN249" i="30"/>
  <c r="EAO249" i="30"/>
  <c r="EAP249" i="30"/>
  <c r="EAQ249" i="30"/>
  <c r="EAR249" i="30"/>
  <c r="EAS249" i="30"/>
  <c r="EAT249" i="30"/>
  <c r="EAU249" i="30"/>
  <c r="EAV249" i="30"/>
  <c r="EAW249" i="30"/>
  <c r="EAX249" i="30"/>
  <c r="EAY249" i="30"/>
  <c r="EAZ249" i="30"/>
  <c r="EBA249" i="30"/>
  <c r="EBB249" i="30"/>
  <c r="EBC249" i="30"/>
  <c r="EBD249" i="30"/>
  <c r="EBE249" i="30"/>
  <c r="EBF249" i="30"/>
  <c r="EBG249" i="30"/>
  <c r="EBH249" i="30"/>
  <c r="EBI249" i="30"/>
  <c r="EBJ249" i="30"/>
  <c r="EBK249" i="30"/>
  <c r="EBL249" i="30"/>
  <c r="EBM249" i="30"/>
  <c r="EBN249" i="30"/>
  <c r="EBO249" i="30"/>
  <c r="EBP249" i="30"/>
  <c r="EBQ249" i="30"/>
  <c r="EBR249" i="30"/>
  <c r="EBS249" i="30"/>
  <c r="EBT249" i="30"/>
  <c r="EBU249" i="30"/>
  <c r="EBV249" i="30"/>
  <c r="EBW249" i="30"/>
  <c r="EBX249" i="30"/>
  <c r="EBY249" i="30"/>
  <c r="EBZ249" i="30"/>
  <c r="ECA249" i="30"/>
  <c r="ECB249" i="30"/>
  <c r="ECC249" i="30"/>
  <c r="ECD249" i="30"/>
  <c r="ECE249" i="30"/>
  <c r="ECF249" i="30"/>
  <c r="ECG249" i="30"/>
  <c r="ECH249" i="30"/>
  <c r="ECI249" i="30"/>
  <c r="ECJ249" i="30"/>
  <c r="ECK249" i="30"/>
  <c r="ECL249" i="30"/>
  <c r="ECM249" i="30"/>
  <c r="ECN249" i="30"/>
  <c r="ECO249" i="30"/>
  <c r="ECP249" i="30"/>
  <c r="ECQ249" i="30"/>
  <c r="ECR249" i="30"/>
  <c r="ECS249" i="30"/>
  <c r="ECT249" i="30"/>
  <c r="ECU249" i="30"/>
  <c r="ECV249" i="30"/>
  <c r="ECW249" i="30"/>
  <c r="ECX249" i="30"/>
  <c r="ECY249" i="30"/>
  <c r="ECZ249" i="30"/>
  <c r="EDA249" i="30"/>
  <c r="EDB249" i="30"/>
  <c r="EDC249" i="30"/>
  <c r="EDD249" i="30"/>
  <c r="EDE249" i="30"/>
  <c r="EDF249" i="30"/>
  <c r="EDG249" i="30"/>
  <c r="EDH249" i="30"/>
  <c r="EDI249" i="30"/>
  <c r="EDJ249" i="30"/>
  <c r="EDK249" i="30"/>
  <c r="EDL249" i="30"/>
  <c r="EDM249" i="30"/>
  <c r="EDN249" i="30"/>
  <c r="EDO249" i="30"/>
  <c r="EDP249" i="30"/>
  <c r="EDQ249" i="30"/>
  <c r="EDR249" i="30"/>
  <c r="EDS249" i="30"/>
  <c r="EDT249" i="30"/>
  <c r="EDU249" i="30"/>
  <c r="EDV249" i="30"/>
  <c r="EDW249" i="30"/>
  <c r="EDX249" i="30"/>
  <c r="EDY249" i="30"/>
  <c r="EDZ249" i="30"/>
  <c r="EEA249" i="30"/>
  <c r="EEB249" i="30"/>
  <c r="EEC249" i="30"/>
  <c r="EED249" i="30"/>
  <c r="EEE249" i="30"/>
  <c r="EEF249" i="30"/>
  <c r="EEG249" i="30"/>
  <c r="EEH249" i="30"/>
  <c r="EEI249" i="30"/>
  <c r="EEJ249" i="30"/>
  <c r="EEK249" i="30"/>
  <c r="EEL249" i="30"/>
  <c r="EEM249" i="30"/>
  <c r="EEN249" i="30"/>
  <c r="EEO249" i="30"/>
  <c r="EEP249" i="30"/>
  <c r="EEQ249" i="30"/>
  <c r="EER249" i="30"/>
  <c r="EES249" i="30"/>
  <c r="EET249" i="30"/>
  <c r="EEU249" i="30"/>
  <c r="EEV249" i="30"/>
  <c r="EEW249" i="30"/>
  <c r="EEX249" i="30"/>
  <c r="EEY249" i="30"/>
  <c r="EEZ249" i="30"/>
  <c r="EFA249" i="30"/>
  <c r="EFB249" i="30"/>
  <c r="EFC249" i="30"/>
  <c r="EFD249" i="30"/>
  <c r="EFE249" i="30"/>
  <c r="EFF249" i="30"/>
  <c r="EFG249" i="30"/>
  <c r="EFH249" i="30"/>
  <c r="EFI249" i="30"/>
  <c r="EFJ249" i="30"/>
  <c r="EFK249" i="30"/>
  <c r="EFL249" i="30"/>
  <c r="EFM249" i="30"/>
  <c r="EFN249" i="30"/>
  <c r="EFO249" i="30"/>
  <c r="EFP249" i="30"/>
  <c r="EFQ249" i="30"/>
  <c r="EFR249" i="30"/>
  <c r="EFS249" i="30"/>
  <c r="EFT249" i="30"/>
  <c r="EFU249" i="30"/>
  <c r="EFV249" i="30"/>
  <c r="EFW249" i="30"/>
  <c r="EFX249" i="30"/>
  <c r="EFY249" i="30"/>
  <c r="EFZ249" i="30"/>
  <c r="EGA249" i="30"/>
  <c r="EGB249" i="30"/>
  <c r="EGC249" i="30"/>
  <c r="EGD249" i="30"/>
  <c r="EGE249" i="30"/>
  <c r="EGF249" i="30"/>
  <c r="EGG249" i="30"/>
  <c r="EGH249" i="30"/>
  <c r="EGI249" i="30"/>
  <c r="EGJ249" i="30"/>
  <c r="EGK249" i="30"/>
  <c r="EGL249" i="30"/>
  <c r="EGM249" i="30"/>
  <c r="EGN249" i="30"/>
  <c r="EGO249" i="30"/>
  <c r="EGP249" i="30"/>
  <c r="EGQ249" i="30"/>
  <c r="EGR249" i="30"/>
  <c r="EGS249" i="30"/>
  <c r="EGT249" i="30"/>
  <c r="EGU249" i="30"/>
  <c r="EGV249" i="30"/>
  <c r="EGW249" i="30"/>
  <c r="EGX249" i="30"/>
  <c r="EGY249" i="30"/>
  <c r="EGZ249" i="30"/>
  <c r="EHA249" i="30"/>
  <c r="EHB249" i="30"/>
  <c r="EHC249" i="30"/>
  <c r="EHD249" i="30"/>
  <c r="EHE249" i="30"/>
  <c r="EHF249" i="30"/>
  <c r="EHG249" i="30"/>
  <c r="EHH249" i="30"/>
  <c r="EHI249" i="30"/>
  <c r="EHJ249" i="30"/>
  <c r="EHK249" i="30"/>
  <c r="EHL249" i="30"/>
  <c r="EHM249" i="30"/>
  <c r="EHN249" i="30"/>
  <c r="EHO249" i="30"/>
  <c r="EHP249" i="30"/>
  <c r="EHQ249" i="30"/>
  <c r="EHR249" i="30"/>
  <c r="EHS249" i="30"/>
  <c r="EHT249" i="30"/>
  <c r="EHU249" i="30"/>
  <c r="EHV249" i="30"/>
  <c r="EHW249" i="30"/>
  <c r="EHX249" i="30"/>
  <c r="EHY249" i="30"/>
  <c r="EHZ249" i="30"/>
  <c r="EIA249" i="30"/>
  <c r="EIB249" i="30"/>
  <c r="EIC249" i="30"/>
  <c r="EID249" i="30"/>
  <c r="EIE249" i="30"/>
  <c r="EIF249" i="30"/>
  <c r="EIG249" i="30"/>
  <c r="EIH249" i="30"/>
  <c r="EII249" i="30"/>
  <c r="EIJ249" i="30"/>
  <c r="EIK249" i="30"/>
  <c r="EIL249" i="30"/>
  <c r="EIM249" i="30"/>
  <c r="EIN249" i="30"/>
  <c r="EIO249" i="30"/>
  <c r="EIP249" i="30"/>
  <c r="EIQ249" i="30"/>
  <c r="EIR249" i="30"/>
  <c r="EIS249" i="30"/>
  <c r="EIT249" i="30"/>
  <c r="EIU249" i="30"/>
  <c r="EIV249" i="30"/>
  <c r="EIW249" i="30"/>
  <c r="EIX249" i="30"/>
  <c r="EIY249" i="30"/>
  <c r="EIZ249" i="30"/>
  <c r="EJA249" i="30"/>
  <c r="EJB249" i="30"/>
  <c r="EJC249" i="30"/>
  <c r="EJD249" i="30"/>
  <c r="EJE249" i="30"/>
  <c r="EJF249" i="30"/>
  <c r="EJG249" i="30"/>
  <c r="EJH249" i="30"/>
  <c r="EJI249" i="30"/>
  <c r="EJJ249" i="30"/>
  <c r="EJK249" i="30"/>
  <c r="EJL249" i="30"/>
  <c r="EJM249" i="30"/>
  <c r="EJN249" i="30"/>
  <c r="EJO249" i="30"/>
  <c r="EJP249" i="30"/>
  <c r="EJQ249" i="30"/>
  <c r="EJR249" i="30"/>
  <c r="EJS249" i="30"/>
  <c r="EJT249" i="30"/>
  <c r="EJU249" i="30"/>
  <c r="EJV249" i="30"/>
  <c r="EJW249" i="30"/>
  <c r="EJX249" i="30"/>
  <c r="EJY249" i="30"/>
  <c r="EJZ249" i="30"/>
  <c r="EKA249" i="30"/>
  <c r="EKB249" i="30"/>
  <c r="EKC249" i="30"/>
  <c r="EKD249" i="30"/>
  <c r="EKE249" i="30"/>
  <c r="EKF249" i="30"/>
  <c r="EKG249" i="30"/>
  <c r="EKH249" i="30"/>
  <c r="EKI249" i="30"/>
  <c r="EKJ249" i="30"/>
  <c r="EKK249" i="30"/>
  <c r="EKL249" i="30"/>
  <c r="EKM249" i="30"/>
  <c r="EKN249" i="30"/>
  <c r="EKO249" i="30"/>
  <c r="EKP249" i="30"/>
  <c r="EKQ249" i="30"/>
  <c r="EKR249" i="30"/>
  <c r="EKS249" i="30"/>
  <c r="EKT249" i="30"/>
  <c r="EKU249" i="30"/>
  <c r="EKV249" i="30"/>
  <c r="EKW249" i="30"/>
  <c r="EKX249" i="30"/>
  <c r="EKY249" i="30"/>
  <c r="EKZ249" i="30"/>
  <c r="ELA249" i="30"/>
  <c r="ELB249" i="30"/>
  <c r="ELC249" i="30"/>
  <c r="ELD249" i="30"/>
  <c r="ELE249" i="30"/>
  <c r="ELF249" i="30"/>
  <c r="ELG249" i="30"/>
  <c r="ELH249" i="30"/>
  <c r="ELI249" i="30"/>
  <c r="ELJ249" i="30"/>
  <c r="ELK249" i="30"/>
  <c r="ELL249" i="30"/>
  <c r="ELM249" i="30"/>
  <c r="ELN249" i="30"/>
  <c r="ELO249" i="30"/>
  <c r="ELP249" i="30"/>
  <c r="ELQ249" i="30"/>
  <c r="ELR249" i="30"/>
  <c r="ELS249" i="30"/>
  <c r="ELT249" i="30"/>
  <c r="ELU249" i="30"/>
  <c r="ELV249" i="30"/>
  <c r="ELW249" i="30"/>
  <c r="ELX249" i="30"/>
  <c r="ELY249" i="30"/>
  <c r="ELZ249" i="30"/>
  <c r="EMA249" i="30"/>
  <c r="EMB249" i="30"/>
  <c r="EMC249" i="30"/>
  <c r="EMD249" i="30"/>
  <c r="EME249" i="30"/>
  <c r="EMF249" i="30"/>
  <c r="EMG249" i="30"/>
  <c r="EMH249" i="30"/>
  <c r="EMI249" i="30"/>
  <c r="EMJ249" i="30"/>
  <c r="EMK249" i="30"/>
  <c r="EML249" i="30"/>
  <c r="EMM249" i="30"/>
  <c r="EMN249" i="30"/>
  <c r="EMO249" i="30"/>
  <c r="EMP249" i="30"/>
  <c r="EMQ249" i="30"/>
  <c r="EMR249" i="30"/>
  <c r="EMS249" i="30"/>
  <c r="EMT249" i="30"/>
  <c r="EMU249" i="30"/>
  <c r="EMV249" i="30"/>
  <c r="EMW249" i="30"/>
  <c r="EMX249" i="30"/>
  <c r="EMY249" i="30"/>
  <c r="EMZ249" i="30"/>
  <c r="ENA249" i="30"/>
  <c r="ENB249" i="30"/>
  <c r="ENC249" i="30"/>
  <c r="END249" i="30"/>
  <c r="ENE249" i="30"/>
  <c r="ENF249" i="30"/>
  <c r="ENG249" i="30"/>
  <c r="ENH249" i="30"/>
  <c r="ENI249" i="30"/>
  <c r="ENJ249" i="30"/>
  <c r="ENK249" i="30"/>
  <c r="ENL249" i="30"/>
  <c r="ENM249" i="30"/>
  <c r="ENN249" i="30"/>
  <c r="ENO249" i="30"/>
  <c r="ENP249" i="30"/>
  <c r="ENQ249" i="30"/>
  <c r="ENR249" i="30"/>
  <c r="ENS249" i="30"/>
  <c r="ENT249" i="30"/>
  <c r="ENU249" i="30"/>
  <c r="ENV249" i="30"/>
  <c r="ENW249" i="30"/>
  <c r="ENX249" i="30"/>
  <c r="ENY249" i="30"/>
  <c r="ENZ249" i="30"/>
  <c r="EOA249" i="30"/>
  <c r="EOB249" i="30"/>
  <c r="EOC249" i="30"/>
  <c r="EOD249" i="30"/>
  <c r="EOE249" i="30"/>
  <c r="EOF249" i="30"/>
  <c r="EOG249" i="30"/>
  <c r="EOH249" i="30"/>
  <c r="EOI249" i="30"/>
  <c r="EOJ249" i="30"/>
  <c r="EOK249" i="30"/>
  <c r="EOL249" i="30"/>
  <c r="EOM249" i="30"/>
  <c r="EON249" i="30"/>
  <c r="EOO249" i="30"/>
  <c r="EOP249" i="30"/>
  <c r="EOQ249" i="30"/>
  <c r="EOR249" i="30"/>
  <c r="EOS249" i="30"/>
  <c r="EOT249" i="30"/>
  <c r="EOU249" i="30"/>
  <c r="EOV249" i="30"/>
  <c r="EOW249" i="30"/>
  <c r="EOX249" i="30"/>
  <c r="EOY249" i="30"/>
  <c r="EOZ249" i="30"/>
  <c r="EPA249" i="30"/>
  <c r="EPB249" i="30"/>
  <c r="EPC249" i="30"/>
  <c r="EPD249" i="30"/>
  <c r="EPE249" i="30"/>
  <c r="EPF249" i="30"/>
  <c r="EPG249" i="30"/>
  <c r="EPH249" i="30"/>
  <c r="EPI249" i="30"/>
  <c r="EPJ249" i="30"/>
  <c r="EPK249" i="30"/>
  <c r="EPL249" i="30"/>
  <c r="EPM249" i="30"/>
  <c r="EPN249" i="30"/>
  <c r="EPO249" i="30"/>
  <c r="EPP249" i="30"/>
  <c r="EPQ249" i="30"/>
  <c r="EPR249" i="30"/>
  <c r="EPS249" i="30"/>
  <c r="EPT249" i="30"/>
  <c r="EPU249" i="30"/>
  <c r="EPV249" i="30"/>
  <c r="EPW249" i="30"/>
  <c r="EPX249" i="30"/>
  <c r="EPY249" i="30"/>
  <c r="EPZ249" i="30"/>
  <c r="EQA249" i="30"/>
  <c r="EQB249" i="30"/>
  <c r="EQC249" i="30"/>
  <c r="EQD249" i="30"/>
  <c r="EQE249" i="30"/>
  <c r="EQF249" i="30"/>
  <c r="EQG249" i="30"/>
  <c r="EQH249" i="30"/>
  <c r="EQI249" i="30"/>
  <c r="EQJ249" i="30"/>
  <c r="EQK249" i="30"/>
  <c r="EQL249" i="30"/>
  <c r="EQM249" i="30"/>
  <c r="EQN249" i="30"/>
  <c r="EQO249" i="30"/>
  <c r="EQP249" i="30"/>
  <c r="EQQ249" i="30"/>
  <c r="EQR249" i="30"/>
  <c r="EQS249" i="30"/>
  <c r="EQT249" i="30"/>
  <c r="EQU249" i="30"/>
  <c r="EQV249" i="30"/>
  <c r="EQW249" i="30"/>
  <c r="EQX249" i="30"/>
  <c r="EQY249" i="30"/>
  <c r="EQZ249" i="30"/>
  <c r="ERA249" i="30"/>
  <c r="ERB249" i="30"/>
  <c r="ERC249" i="30"/>
  <c r="ERD249" i="30"/>
  <c r="ERE249" i="30"/>
  <c r="ERF249" i="30"/>
  <c r="ERG249" i="30"/>
  <c r="ERH249" i="30"/>
  <c r="ERI249" i="30"/>
  <c r="ERJ249" i="30"/>
  <c r="ERK249" i="30"/>
  <c r="ERL249" i="30"/>
  <c r="ERM249" i="30"/>
  <c r="ERN249" i="30"/>
  <c r="ERO249" i="30"/>
  <c r="ERP249" i="30"/>
  <c r="ERQ249" i="30"/>
  <c r="ERR249" i="30"/>
  <c r="ERS249" i="30"/>
  <c r="ERT249" i="30"/>
  <c r="ERU249" i="30"/>
  <c r="ERV249" i="30"/>
  <c r="ERW249" i="30"/>
  <c r="ERX249" i="30"/>
  <c r="ERY249" i="30"/>
  <c r="ERZ249" i="30"/>
  <c r="ESA249" i="30"/>
  <c r="ESB249" i="30"/>
  <c r="ESC249" i="30"/>
  <c r="ESD249" i="30"/>
  <c r="ESE249" i="30"/>
  <c r="ESF249" i="30"/>
  <c r="ESG249" i="30"/>
  <c r="ESH249" i="30"/>
  <c r="ESI249" i="30"/>
  <c r="ESJ249" i="30"/>
  <c r="ESK249" i="30"/>
  <c r="ESL249" i="30"/>
  <c r="ESM249" i="30"/>
  <c r="ESN249" i="30"/>
  <c r="ESO249" i="30"/>
  <c r="ESP249" i="30"/>
  <c r="ESQ249" i="30"/>
  <c r="ESR249" i="30"/>
  <c r="ESS249" i="30"/>
  <c r="EST249" i="30"/>
  <c r="ESU249" i="30"/>
  <c r="ESV249" i="30"/>
  <c r="ESW249" i="30"/>
  <c r="ESX249" i="30"/>
  <c r="ESY249" i="30"/>
  <c r="ESZ249" i="30"/>
  <c r="ETA249" i="30"/>
  <c r="ETB249" i="30"/>
  <c r="ETC249" i="30"/>
  <c r="ETD249" i="30"/>
  <c r="ETE249" i="30"/>
  <c r="ETF249" i="30"/>
  <c r="ETG249" i="30"/>
  <c r="ETH249" i="30"/>
  <c r="ETI249" i="30"/>
  <c r="ETJ249" i="30"/>
  <c r="ETK249" i="30"/>
  <c r="ETL249" i="30"/>
  <c r="ETM249" i="30"/>
  <c r="ETN249" i="30"/>
  <c r="ETO249" i="30"/>
  <c r="ETP249" i="30"/>
  <c r="ETQ249" i="30"/>
  <c r="ETR249" i="30"/>
  <c r="ETS249" i="30"/>
  <c r="ETT249" i="30"/>
  <c r="ETU249" i="30"/>
  <c r="ETV249" i="30"/>
  <c r="ETW249" i="30"/>
  <c r="ETX249" i="30"/>
  <c r="ETY249" i="30"/>
  <c r="ETZ249" i="30"/>
  <c r="EUA249" i="30"/>
  <c r="EUB249" i="30"/>
  <c r="EUC249" i="30"/>
  <c r="EUD249" i="30"/>
  <c r="EUE249" i="30"/>
  <c r="EUF249" i="30"/>
  <c r="EUG249" i="30"/>
  <c r="EUH249" i="30"/>
  <c r="EUI249" i="30"/>
  <c r="EUJ249" i="30"/>
  <c r="EUK249" i="30"/>
  <c r="EUL249" i="30"/>
  <c r="EUM249" i="30"/>
  <c r="EUN249" i="30"/>
  <c r="EUO249" i="30"/>
  <c r="EUP249" i="30"/>
  <c r="EUQ249" i="30"/>
  <c r="EUR249" i="30"/>
  <c r="EUS249" i="30"/>
  <c r="EUT249" i="30"/>
  <c r="EUU249" i="30"/>
  <c r="EUV249" i="30"/>
  <c r="EUW249" i="30"/>
  <c r="EUX249" i="30"/>
  <c r="EUY249" i="30"/>
  <c r="EUZ249" i="30"/>
  <c r="EVA249" i="30"/>
  <c r="EVB249" i="30"/>
  <c r="EVC249" i="30"/>
  <c r="EVD249" i="30"/>
  <c r="EVE249" i="30"/>
  <c r="EVF249" i="30"/>
  <c r="EVG249" i="30"/>
  <c r="EVH249" i="30"/>
  <c r="EVI249" i="30"/>
  <c r="EVJ249" i="30"/>
  <c r="EVK249" i="30"/>
  <c r="EVL249" i="30"/>
  <c r="EVM249" i="30"/>
  <c r="EVN249" i="30"/>
  <c r="EVO249" i="30"/>
  <c r="EVP249" i="30"/>
  <c r="EVQ249" i="30"/>
  <c r="EVR249" i="30"/>
  <c r="EVS249" i="30"/>
  <c r="EVT249" i="30"/>
  <c r="EVU249" i="30"/>
  <c r="EVV249" i="30"/>
  <c r="EVW249" i="30"/>
  <c r="EVX249" i="30"/>
  <c r="EVY249" i="30"/>
  <c r="EVZ249" i="30"/>
  <c r="EWA249" i="30"/>
  <c r="EWB249" i="30"/>
  <c r="EWC249" i="30"/>
  <c r="EWD249" i="30"/>
  <c r="EWE249" i="30"/>
  <c r="EWF249" i="30"/>
  <c r="EWG249" i="30"/>
  <c r="EWH249" i="30"/>
  <c r="EWI249" i="30"/>
  <c r="EWJ249" i="30"/>
  <c r="EWK249" i="30"/>
  <c r="EWL249" i="30"/>
  <c r="EWM249" i="30"/>
  <c r="EWN249" i="30"/>
  <c r="EWO249" i="30"/>
  <c r="EWP249" i="30"/>
  <c r="EWQ249" i="30"/>
  <c r="EWR249" i="30"/>
  <c r="EWS249" i="30"/>
  <c r="EWT249" i="30"/>
  <c r="EWU249" i="30"/>
  <c r="EWV249" i="30"/>
  <c r="EWW249" i="30"/>
  <c r="EWX249" i="30"/>
  <c r="EWY249" i="30"/>
  <c r="EWZ249" i="30"/>
  <c r="EXA249" i="30"/>
  <c r="EXB249" i="30"/>
  <c r="EXC249" i="30"/>
  <c r="EXD249" i="30"/>
  <c r="EXE249" i="30"/>
  <c r="EXF249" i="30"/>
  <c r="EXG249" i="30"/>
  <c r="EXH249" i="30"/>
  <c r="EXI249" i="30"/>
  <c r="EXJ249" i="30"/>
  <c r="EXK249" i="30"/>
  <c r="EXL249" i="30"/>
  <c r="EXM249" i="30"/>
  <c r="EXN249" i="30"/>
  <c r="EXO249" i="30"/>
  <c r="EXP249" i="30"/>
  <c r="EXQ249" i="30"/>
  <c r="EXR249" i="30"/>
  <c r="EXS249" i="30"/>
  <c r="EXT249" i="30"/>
  <c r="EXU249" i="30"/>
  <c r="EXV249" i="30"/>
  <c r="EXW249" i="30"/>
  <c r="EXX249" i="30"/>
  <c r="EXY249" i="30"/>
  <c r="EXZ249" i="30"/>
  <c r="EYA249" i="30"/>
  <c r="EYB249" i="30"/>
  <c r="EYC249" i="30"/>
  <c r="EYD249" i="30"/>
  <c r="EYE249" i="30"/>
  <c r="EYF249" i="30"/>
  <c r="EYG249" i="30"/>
  <c r="EYH249" i="30"/>
  <c r="EYI249" i="30"/>
  <c r="EYJ249" i="30"/>
  <c r="EYK249" i="30"/>
  <c r="EYL249" i="30"/>
  <c r="EYM249" i="30"/>
  <c r="EYN249" i="30"/>
  <c r="EYO249" i="30"/>
  <c r="EYP249" i="30"/>
  <c r="EYQ249" i="30"/>
  <c r="EYR249" i="30"/>
  <c r="EYS249" i="30"/>
  <c r="EYT249" i="30"/>
  <c r="EYU249" i="30"/>
  <c r="EYV249" i="30"/>
  <c r="EYW249" i="30"/>
  <c r="EYX249" i="30"/>
  <c r="EYY249" i="30"/>
  <c r="EYZ249" i="30"/>
  <c r="EZA249" i="30"/>
  <c r="EZB249" i="30"/>
  <c r="EZC249" i="30"/>
  <c r="EZD249" i="30"/>
  <c r="EZE249" i="30"/>
  <c r="EZF249" i="30"/>
  <c r="EZG249" i="30"/>
  <c r="EZH249" i="30"/>
  <c r="EZI249" i="30"/>
  <c r="EZJ249" i="30"/>
  <c r="EZK249" i="30"/>
  <c r="EZL249" i="30"/>
  <c r="EZM249" i="30"/>
  <c r="EZN249" i="30"/>
  <c r="EZO249" i="30"/>
  <c r="EZP249" i="30"/>
  <c r="EZQ249" i="30"/>
  <c r="EZR249" i="30"/>
  <c r="EZS249" i="30"/>
  <c r="EZT249" i="30"/>
  <c r="EZU249" i="30"/>
  <c r="EZV249" i="30"/>
  <c r="EZW249" i="30"/>
  <c r="EZX249" i="30"/>
  <c r="EZY249" i="30"/>
  <c r="EZZ249" i="30"/>
  <c r="FAA249" i="30"/>
  <c r="FAB249" i="30"/>
  <c r="FAC249" i="30"/>
  <c r="FAD249" i="30"/>
  <c r="FAE249" i="30"/>
  <c r="FAF249" i="30"/>
  <c r="FAG249" i="30"/>
  <c r="FAH249" i="30"/>
  <c r="FAI249" i="30"/>
  <c r="FAJ249" i="30"/>
  <c r="FAK249" i="30"/>
  <c r="FAL249" i="30"/>
  <c r="FAM249" i="30"/>
  <c r="FAN249" i="30"/>
  <c r="FAO249" i="30"/>
  <c r="FAP249" i="30"/>
  <c r="FAQ249" i="30"/>
  <c r="FAR249" i="30"/>
  <c r="FAS249" i="30"/>
  <c r="FAT249" i="30"/>
  <c r="FAU249" i="30"/>
  <c r="FAV249" i="30"/>
  <c r="FAW249" i="30"/>
  <c r="FAX249" i="30"/>
  <c r="FAY249" i="30"/>
  <c r="FAZ249" i="30"/>
  <c r="FBA249" i="30"/>
  <c r="FBB249" i="30"/>
  <c r="FBC249" i="30"/>
  <c r="FBD249" i="30"/>
  <c r="FBE249" i="30"/>
  <c r="FBF249" i="30"/>
  <c r="FBG249" i="30"/>
  <c r="FBH249" i="30"/>
  <c r="FBI249" i="30"/>
  <c r="FBJ249" i="30"/>
  <c r="FBK249" i="30"/>
  <c r="FBL249" i="30"/>
  <c r="FBM249" i="30"/>
  <c r="FBN249" i="30"/>
  <c r="FBO249" i="30"/>
  <c r="FBP249" i="30"/>
  <c r="FBQ249" i="30"/>
  <c r="FBR249" i="30"/>
  <c r="FBS249" i="30"/>
  <c r="FBT249" i="30"/>
  <c r="FBU249" i="30"/>
  <c r="FBV249" i="30"/>
  <c r="FBW249" i="30"/>
  <c r="FBX249" i="30"/>
  <c r="FBY249" i="30"/>
  <c r="FBZ249" i="30"/>
  <c r="FCA249" i="30"/>
  <c r="FCB249" i="30"/>
  <c r="FCC249" i="30"/>
  <c r="FCD249" i="30"/>
  <c r="FCE249" i="30"/>
  <c r="FCF249" i="30"/>
  <c r="FCG249" i="30"/>
  <c r="FCH249" i="30"/>
  <c r="FCI249" i="30"/>
  <c r="FCJ249" i="30"/>
  <c r="FCK249" i="30"/>
  <c r="FCL249" i="30"/>
  <c r="FCM249" i="30"/>
  <c r="FCN249" i="30"/>
  <c r="FCO249" i="30"/>
  <c r="FCP249" i="30"/>
  <c r="FCQ249" i="30"/>
  <c r="FCR249" i="30"/>
  <c r="FCS249" i="30"/>
  <c r="FCT249" i="30"/>
  <c r="FCU249" i="30"/>
  <c r="FCV249" i="30"/>
  <c r="FCW249" i="30"/>
  <c r="FCX249" i="30"/>
  <c r="FCY249" i="30"/>
  <c r="FCZ249" i="30"/>
  <c r="FDA249" i="30"/>
  <c r="FDB249" i="30"/>
  <c r="FDC249" i="30"/>
  <c r="FDD249" i="30"/>
  <c r="FDE249" i="30"/>
  <c r="FDF249" i="30"/>
  <c r="FDG249" i="30"/>
  <c r="FDH249" i="30"/>
  <c r="FDI249" i="30"/>
  <c r="FDJ249" i="30"/>
  <c r="FDK249" i="30"/>
  <c r="FDL249" i="30"/>
  <c r="FDM249" i="30"/>
  <c r="FDN249" i="30"/>
  <c r="FDO249" i="30"/>
  <c r="FDP249" i="30"/>
  <c r="FDQ249" i="30"/>
  <c r="FDR249" i="30"/>
  <c r="FDS249" i="30"/>
  <c r="FDT249" i="30"/>
  <c r="FDU249" i="30"/>
  <c r="FDV249" i="30"/>
  <c r="FDW249" i="30"/>
  <c r="FDX249" i="30"/>
  <c r="FDY249" i="30"/>
  <c r="FDZ249" i="30"/>
  <c r="FEA249" i="30"/>
  <c r="FEB249" i="30"/>
  <c r="FEC249" i="30"/>
  <c r="FED249" i="30"/>
  <c r="FEE249" i="30"/>
  <c r="FEF249" i="30"/>
  <c r="FEG249" i="30"/>
  <c r="FEH249" i="30"/>
  <c r="FEI249" i="30"/>
  <c r="FEJ249" i="30"/>
  <c r="FEK249" i="30"/>
  <c r="FEL249" i="30"/>
  <c r="FEM249" i="30"/>
  <c r="FEN249" i="30"/>
  <c r="FEO249" i="30"/>
  <c r="FEP249" i="30"/>
  <c r="FEQ249" i="30"/>
  <c r="FER249" i="30"/>
  <c r="FES249" i="30"/>
  <c r="FET249" i="30"/>
  <c r="FEU249" i="30"/>
  <c r="FEV249" i="30"/>
  <c r="FEW249" i="30"/>
  <c r="FEX249" i="30"/>
  <c r="FEY249" i="30"/>
  <c r="FEZ249" i="30"/>
  <c r="FFA249" i="30"/>
  <c r="FFB249" i="30"/>
  <c r="FFC249" i="30"/>
  <c r="FFD249" i="30"/>
  <c r="FFE249" i="30"/>
  <c r="FFF249" i="30"/>
  <c r="FFG249" i="30"/>
  <c r="FFH249" i="30"/>
  <c r="FFI249" i="30"/>
  <c r="FFJ249" i="30"/>
  <c r="FFK249" i="30"/>
  <c r="FFL249" i="30"/>
  <c r="FFM249" i="30"/>
  <c r="FFN249" i="30"/>
  <c r="FFO249" i="30"/>
  <c r="FFP249" i="30"/>
  <c r="FFQ249" i="30"/>
  <c r="FFR249" i="30"/>
  <c r="FFS249" i="30"/>
  <c r="FFT249" i="30"/>
  <c r="FFU249" i="30"/>
  <c r="FFV249" i="30"/>
  <c r="FFW249" i="30"/>
  <c r="FFX249" i="30"/>
  <c r="FFY249" i="30"/>
  <c r="FFZ249" i="30"/>
  <c r="FGA249" i="30"/>
  <c r="FGB249" i="30"/>
  <c r="FGC249" i="30"/>
  <c r="FGD249" i="30"/>
  <c r="FGE249" i="30"/>
  <c r="FGF249" i="30"/>
  <c r="FGG249" i="30"/>
  <c r="FGH249" i="30"/>
  <c r="FGI249" i="30"/>
  <c r="FGJ249" i="30"/>
  <c r="FGK249" i="30"/>
  <c r="FGL249" i="30"/>
  <c r="FGM249" i="30"/>
  <c r="FGN249" i="30"/>
  <c r="FGO249" i="30"/>
  <c r="FGP249" i="30"/>
  <c r="FGQ249" i="30"/>
  <c r="FGR249" i="30"/>
  <c r="FGS249" i="30"/>
  <c r="FGT249" i="30"/>
  <c r="FGU249" i="30"/>
  <c r="FGV249" i="30"/>
  <c r="FGW249" i="30"/>
  <c r="FGX249" i="30"/>
  <c r="FGY249" i="30"/>
  <c r="FGZ249" i="30"/>
  <c r="FHA249" i="30"/>
  <c r="FHB249" i="30"/>
  <c r="FHC249" i="30"/>
  <c r="FHD249" i="30"/>
  <c r="FHE249" i="30"/>
  <c r="FHF249" i="30"/>
  <c r="FHG249" i="30"/>
  <c r="FHH249" i="30"/>
  <c r="FHI249" i="30"/>
  <c r="FHJ249" i="30"/>
  <c r="FHK249" i="30"/>
  <c r="FHL249" i="30"/>
  <c r="FHM249" i="30"/>
  <c r="FHN249" i="30"/>
  <c r="FHO249" i="30"/>
  <c r="FHP249" i="30"/>
  <c r="FHQ249" i="30"/>
  <c r="FHR249" i="30"/>
  <c r="FHS249" i="30"/>
  <c r="FHT249" i="30"/>
  <c r="FHU249" i="30"/>
  <c r="FHV249" i="30"/>
  <c r="FHW249" i="30"/>
  <c r="FHX249" i="30"/>
  <c r="FHY249" i="30"/>
  <c r="FHZ249" i="30"/>
  <c r="FIA249" i="30"/>
  <c r="FIB249" i="30"/>
  <c r="FIC249" i="30"/>
  <c r="FID249" i="30"/>
  <c r="FIE249" i="30"/>
  <c r="FIF249" i="30"/>
  <c r="FIG249" i="30"/>
  <c r="FIH249" i="30"/>
  <c r="FII249" i="30"/>
  <c r="FIJ249" i="30"/>
  <c r="FIK249" i="30"/>
  <c r="FIL249" i="30"/>
  <c r="FIM249" i="30"/>
  <c r="FIN249" i="30"/>
  <c r="FIO249" i="30"/>
  <c r="FIP249" i="30"/>
  <c r="FIQ249" i="30"/>
  <c r="FIR249" i="30"/>
  <c r="FIS249" i="30"/>
  <c r="FIT249" i="30"/>
  <c r="FIU249" i="30"/>
  <c r="FIV249" i="30"/>
  <c r="FIW249" i="30"/>
  <c r="FIX249" i="30"/>
  <c r="FIY249" i="30"/>
  <c r="FIZ249" i="30"/>
  <c r="FJA249" i="30"/>
  <c r="FJB249" i="30"/>
  <c r="FJC249" i="30"/>
  <c r="FJD249" i="30"/>
  <c r="FJE249" i="30"/>
  <c r="FJF249" i="30"/>
  <c r="FJG249" i="30"/>
  <c r="FJH249" i="30"/>
  <c r="FJI249" i="30"/>
  <c r="FJJ249" i="30"/>
  <c r="FJK249" i="30"/>
  <c r="FJL249" i="30"/>
  <c r="FJM249" i="30"/>
  <c r="FJN249" i="30"/>
  <c r="FJO249" i="30"/>
  <c r="FJP249" i="30"/>
  <c r="FJQ249" i="30"/>
  <c r="FJR249" i="30"/>
  <c r="FJS249" i="30"/>
  <c r="FJT249" i="30"/>
  <c r="FJU249" i="30"/>
  <c r="FJV249" i="30"/>
  <c r="FJW249" i="30"/>
  <c r="FJX249" i="30"/>
  <c r="FJY249" i="30"/>
  <c r="FJZ249" i="30"/>
  <c r="FKA249" i="30"/>
  <c r="FKB249" i="30"/>
  <c r="FKC249" i="30"/>
  <c r="FKD249" i="30"/>
  <c r="FKE249" i="30"/>
  <c r="FKF249" i="30"/>
  <c r="FKG249" i="30"/>
  <c r="FKH249" i="30"/>
  <c r="FKI249" i="30"/>
  <c r="FKJ249" i="30"/>
  <c r="FKK249" i="30"/>
  <c r="FKL249" i="30"/>
  <c r="FKM249" i="30"/>
  <c r="FKN249" i="30"/>
  <c r="FKO249" i="30"/>
  <c r="FKP249" i="30"/>
  <c r="FKQ249" i="30"/>
  <c r="FKR249" i="30"/>
  <c r="FKS249" i="30"/>
  <c r="FKT249" i="30"/>
  <c r="FKU249" i="30"/>
  <c r="FKV249" i="30"/>
  <c r="FKW249" i="30"/>
  <c r="FKX249" i="30"/>
  <c r="FKY249" i="30"/>
  <c r="FKZ249" i="30"/>
  <c r="FLA249" i="30"/>
  <c r="FLB249" i="30"/>
  <c r="FLC249" i="30"/>
  <c r="FLD249" i="30"/>
  <c r="FLE249" i="30"/>
  <c r="FLF249" i="30"/>
  <c r="FLG249" i="30"/>
  <c r="FLH249" i="30"/>
  <c r="FLI249" i="30"/>
  <c r="FLJ249" i="30"/>
  <c r="FLK249" i="30"/>
  <c r="FLL249" i="30"/>
  <c r="FLM249" i="30"/>
  <c r="FLN249" i="30"/>
  <c r="FLO249" i="30"/>
  <c r="FLP249" i="30"/>
  <c r="FLQ249" i="30"/>
  <c r="FLR249" i="30"/>
  <c r="FLS249" i="30"/>
  <c r="FLT249" i="30"/>
  <c r="FLU249" i="30"/>
  <c r="FLV249" i="30"/>
  <c r="FLW249" i="30"/>
  <c r="FLX249" i="30"/>
  <c r="FLY249" i="30"/>
  <c r="FLZ249" i="30"/>
  <c r="FMA249" i="30"/>
  <c r="FMB249" i="30"/>
  <c r="FMC249" i="30"/>
  <c r="FMD249" i="30"/>
  <c r="FME249" i="30"/>
  <c r="FMF249" i="30"/>
  <c r="FMG249" i="30"/>
  <c r="FMH249" i="30"/>
  <c r="FMI249" i="30"/>
  <c r="FMJ249" i="30"/>
  <c r="FMK249" i="30"/>
  <c r="FML249" i="30"/>
  <c r="FMM249" i="30"/>
  <c r="FMN249" i="30"/>
  <c r="FMO249" i="30"/>
  <c r="FMP249" i="30"/>
  <c r="FMQ249" i="30"/>
  <c r="FMR249" i="30"/>
  <c r="FMS249" i="30"/>
  <c r="FMT249" i="30"/>
  <c r="FMU249" i="30"/>
  <c r="FMV249" i="30"/>
  <c r="FMW249" i="30"/>
  <c r="FMX249" i="30"/>
  <c r="FMY249" i="30"/>
  <c r="FMZ249" i="30"/>
  <c r="FNA249" i="30"/>
  <c r="FNB249" i="30"/>
  <c r="FNC249" i="30"/>
  <c r="FND249" i="30"/>
  <c r="FNE249" i="30"/>
  <c r="FNF249" i="30"/>
  <c r="FNG249" i="30"/>
  <c r="FNH249" i="30"/>
  <c r="FNI249" i="30"/>
  <c r="FNJ249" i="30"/>
  <c r="FNK249" i="30"/>
  <c r="FNL249" i="30"/>
  <c r="FNM249" i="30"/>
  <c r="FNN249" i="30"/>
  <c r="FNO249" i="30"/>
  <c r="FNP249" i="30"/>
  <c r="FNQ249" i="30"/>
  <c r="FNR249" i="30"/>
  <c r="FNS249" i="30"/>
  <c r="FNT249" i="30"/>
  <c r="FNU249" i="30"/>
  <c r="FNV249" i="30"/>
  <c r="FNW249" i="30"/>
  <c r="FNX249" i="30"/>
  <c r="FNY249" i="30"/>
  <c r="FNZ249" i="30"/>
  <c r="FOA249" i="30"/>
  <c r="FOB249" i="30"/>
  <c r="FOC249" i="30"/>
  <c r="FOD249" i="30"/>
  <c r="FOE249" i="30"/>
  <c r="FOF249" i="30"/>
  <c r="FOG249" i="30"/>
  <c r="FOH249" i="30"/>
  <c r="FOI249" i="30"/>
  <c r="FOJ249" i="30"/>
  <c r="FOK249" i="30"/>
  <c r="FOL249" i="30"/>
  <c r="FOM249" i="30"/>
  <c r="FON249" i="30"/>
  <c r="FOO249" i="30"/>
  <c r="FOP249" i="30"/>
  <c r="FOQ249" i="30"/>
  <c r="FOR249" i="30"/>
  <c r="FOS249" i="30"/>
  <c r="FOT249" i="30"/>
  <c r="FOU249" i="30"/>
  <c r="FOV249" i="30"/>
  <c r="FOW249" i="30"/>
  <c r="FOX249" i="30"/>
  <c r="FOY249" i="30"/>
  <c r="FOZ249" i="30"/>
  <c r="FPA249" i="30"/>
  <c r="FPB249" i="30"/>
  <c r="FPC249" i="30"/>
  <c r="FPD249" i="30"/>
  <c r="FPE249" i="30"/>
  <c r="FPF249" i="30"/>
  <c r="FPG249" i="30"/>
  <c r="FPH249" i="30"/>
  <c r="FPI249" i="30"/>
  <c r="FPJ249" i="30"/>
  <c r="FPK249" i="30"/>
  <c r="FPL249" i="30"/>
  <c r="FPM249" i="30"/>
  <c r="FPN249" i="30"/>
  <c r="FPO249" i="30"/>
  <c r="FPP249" i="30"/>
  <c r="FPQ249" i="30"/>
  <c r="FPR249" i="30"/>
  <c r="FPS249" i="30"/>
  <c r="FPT249" i="30"/>
  <c r="FPU249" i="30"/>
  <c r="FPV249" i="30"/>
  <c r="FPW249" i="30"/>
  <c r="FPX249" i="30"/>
  <c r="FPY249" i="30"/>
  <c r="FPZ249" i="30"/>
  <c r="FQA249" i="30"/>
  <c r="FQB249" i="30"/>
  <c r="FQC249" i="30"/>
  <c r="FQD249" i="30"/>
  <c r="FQE249" i="30"/>
  <c r="FQF249" i="30"/>
  <c r="FQG249" i="30"/>
  <c r="FQH249" i="30"/>
  <c r="FQI249" i="30"/>
  <c r="FQJ249" i="30"/>
  <c r="FQK249" i="30"/>
  <c r="FQL249" i="30"/>
  <c r="FQM249" i="30"/>
  <c r="FQN249" i="30"/>
  <c r="FQO249" i="30"/>
  <c r="FQP249" i="30"/>
  <c r="FQQ249" i="30"/>
  <c r="FQR249" i="30"/>
  <c r="FQS249" i="30"/>
  <c r="FQT249" i="30"/>
  <c r="FQU249" i="30"/>
  <c r="FQV249" i="30"/>
  <c r="FQW249" i="30"/>
  <c r="FQX249" i="30"/>
  <c r="FQY249" i="30"/>
  <c r="FQZ249" i="30"/>
  <c r="FRA249" i="30"/>
  <c r="FRB249" i="30"/>
  <c r="FRC249" i="30"/>
  <c r="FRD249" i="30"/>
  <c r="FRE249" i="30"/>
  <c r="FRF249" i="30"/>
  <c r="FRG249" i="30"/>
  <c r="FRH249" i="30"/>
  <c r="FRI249" i="30"/>
  <c r="FRJ249" i="30"/>
  <c r="FRK249" i="30"/>
  <c r="FRL249" i="30"/>
  <c r="FRM249" i="30"/>
  <c r="FRN249" i="30"/>
  <c r="FRO249" i="30"/>
  <c r="FRP249" i="30"/>
  <c r="FRQ249" i="30"/>
  <c r="FRR249" i="30"/>
  <c r="FRS249" i="30"/>
  <c r="FRT249" i="30"/>
  <c r="FRU249" i="30"/>
  <c r="FRV249" i="30"/>
  <c r="FRW249" i="30"/>
  <c r="FRX249" i="30"/>
  <c r="FRY249" i="30"/>
  <c r="FRZ249" i="30"/>
  <c r="FSA249" i="30"/>
  <c r="FSB249" i="30"/>
  <c r="FSC249" i="30"/>
  <c r="FSD249" i="30"/>
  <c r="FSE249" i="30"/>
  <c r="FSF249" i="30"/>
  <c r="FSG249" i="30"/>
  <c r="FSH249" i="30"/>
  <c r="FSI249" i="30"/>
  <c r="FSJ249" i="30"/>
  <c r="FSK249" i="30"/>
  <c r="FSL249" i="30"/>
  <c r="FSM249" i="30"/>
  <c r="FSN249" i="30"/>
  <c r="FSO249" i="30"/>
  <c r="FSP249" i="30"/>
  <c r="FSQ249" i="30"/>
  <c r="FSR249" i="30"/>
  <c r="FSS249" i="30"/>
  <c r="FST249" i="30"/>
  <c r="FSU249" i="30"/>
  <c r="FSV249" i="30"/>
  <c r="FSW249" i="30"/>
  <c r="FSX249" i="30"/>
  <c r="FSY249" i="30"/>
  <c r="FSZ249" i="30"/>
  <c r="FTA249" i="30"/>
  <c r="FTB249" i="30"/>
  <c r="FTC249" i="30"/>
  <c r="FTD249" i="30"/>
  <c r="FTE249" i="30"/>
  <c r="FTF249" i="30"/>
  <c r="FTG249" i="30"/>
  <c r="FTH249" i="30"/>
  <c r="FTI249" i="30"/>
  <c r="FTJ249" i="30"/>
  <c r="FTK249" i="30"/>
  <c r="FTL249" i="30"/>
  <c r="FTM249" i="30"/>
  <c r="FTN249" i="30"/>
  <c r="FTO249" i="30"/>
  <c r="FTP249" i="30"/>
  <c r="FTQ249" i="30"/>
  <c r="FTR249" i="30"/>
  <c r="FTS249" i="30"/>
  <c r="FTT249" i="30"/>
  <c r="FTU249" i="30"/>
  <c r="FTV249" i="30"/>
  <c r="FTW249" i="30"/>
  <c r="FTX249" i="30"/>
  <c r="FTY249" i="30"/>
  <c r="FTZ249" i="30"/>
  <c r="FUA249" i="30"/>
  <c r="FUB249" i="30"/>
  <c r="FUC249" i="30"/>
  <c r="FUD249" i="30"/>
  <c r="FUE249" i="30"/>
  <c r="FUF249" i="30"/>
  <c r="FUG249" i="30"/>
  <c r="FUH249" i="30"/>
  <c r="FUI249" i="30"/>
  <c r="FUJ249" i="30"/>
  <c r="FUK249" i="30"/>
  <c r="FUL249" i="30"/>
  <c r="FUM249" i="30"/>
  <c r="FUN249" i="30"/>
  <c r="FUO249" i="30"/>
  <c r="FUP249" i="30"/>
  <c r="FUQ249" i="30"/>
  <c r="FUR249" i="30"/>
  <c r="FUS249" i="30"/>
  <c r="FUT249" i="30"/>
  <c r="FUU249" i="30"/>
  <c r="FUV249" i="30"/>
  <c r="FUW249" i="30"/>
  <c r="FUX249" i="30"/>
  <c r="FUY249" i="30"/>
  <c r="FUZ249" i="30"/>
  <c r="FVA249" i="30"/>
  <c r="FVB249" i="30"/>
  <c r="FVC249" i="30"/>
  <c r="FVD249" i="30"/>
  <c r="FVE249" i="30"/>
  <c r="FVF249" i="30"/>
  <c r="FVG249" i="30"/>
  <c r="FVH249" i="30"/>
  <c r="FVI249" i="30"/>
  <c r="FVJ249" i="30"/>
  <c r="FVK249" i="30"/>
  <c r="FVL249" i="30"/>
  <c r="FVM249" i="30"/>
  <c r="FVN249" i="30"/>
  <c r="FVO249" i="30"/>
  <c r="FVP249" i="30"/>
  <c r="FVQ249" i="30"/>
  <c r="FVR249" i="30"/>
  <c r="FVS249" i="30"/>
  <c r="FVT249" i="30"/>
  <c r="FVU249" i="30"/>
  <c r="FVV249" i="30"/>
  <c r="FVW249" i="30"/>
  <c r="FVX249" i="30"/>
  <c r="FVY249" i="30"/>
  <c r="FVZ249" i="30"/>
  <c r="FWA249" i="30"/>
  <c r="FWB249" i="30"/>
  <c r="FWC249" i="30"/>
  <c r="FWD249" i="30"/>
  <c r="FWE249" i="30"/>
  <c r="FWF249" i="30"/>
  <c r="FWG249" i="30"/>
  <c r="FWH249" i="30"/>
  <c r="FWI249" i="30"/>
  <c r="FWJ249" i="30"/>
  <c r="FWK249" i="30"/>
  <c r="FWL249" i="30"/>
  <c r="FWM249" i="30"/>
  <c r="FWN249" i="30"/>
  <c r="FWO249" i="30"/>
  <c r="FWP249" i="30"/>
  <c r="FWQ249" i="30"/>
  <c r="FWR249" i="30"/>
  <c r="FWS249" i="30"/>
  <c r="FWT249" i="30"/>
  <c r="FWU249" i="30"/>
  <c r="FWV249" i="30"/>
  <c r="FWW249" i="30"/>
  <c r="FWX249" i="30"/>
  <c r="FWY249" i="30"/>
  <c r="FWZ249" i="30"/>
  <c r="FXA249" i="30"/>
  <c r="FXB249" i="30"/>
  <c r="FXC249" i="30"/>
  <c r="FXD249" i="30"/>
  <c r="FXE249" i="30"/>
  <c r="FXF249" i="30"/>
  <c r="FXG249" i="30"/>
  <c r="FXH249" i="30"/>
  <c r="FXI249" i="30"/>
  <c r="FXJ249" i="30"/>
  <c r="FXK249" i="30"/>
  <c r="FXL249" i="30"/>
  <c r="FXM249" i="30"/>
  <c r="FXN249" i="30"/>
  <c r="FXO249" i="30"/>
  <c r="FXP249" i="30"/>
  <c r="FXQ249" i="30"/>
  <c r="FXR249" i="30"/>
  <c r="FXS249" i="30"/>
  <c r="FXT249" i="30"/>
  <c r="FXU249" i="30"/>
  <c r="FXV249" i="30"/>
  <c r="FXW249" i="30"/>
  <c r="FXX249" i="30"/>
  <c r="FXY249" i="30"/>
  <c r="FXZ249" i="30"/>
  <c r="FYA249" i="30"/>
  <c r="FYB249" i="30"/>
  <c r="FYC249" i="30"/>
  <c r="FYD249" i="30"/>
  <c r="FYE249" i="30"/>
  <c r="FYF249" i="30"/>
  <c r="FYG249" i="30"/>
  <c r="FYH249" i="30"/>
  <c r="FYI249" i="30"/>
  <c r="FYJ249" i="30"/>
  <c r="FYK249" i="30"/>
  <c r="FYL249" i="30"/>
  <c r="FYM249" i="30"/>
  <c r="FYN249" i="30"/>
  <c r="FYO249" i="30"/>
  <c r="FYP249" i="30"/>
  <c r="FYQ249" i="30"/>
  <c r="FYR249" i="30"/>
  <c r="FYS249" i="30"/>
  <c r="FYT249" i="30"/>
  <c r="FYU249" i="30"/>
  <c r="FYV249" i="30"/>
  <c r="FYW249" i="30"/>
  <c r="FYX249" i="30"/>
  <c r="FYY249" i="30"/>
  <c r="FYZ249" i="30"/>
  <c r="FZA249" i="30"/>
  <c r="FZB249" i="30"/>
  <c r="FZC249" i="30"/>
  <c r="FZD249" i="30"/>
  <c r="FZE249" i="30"/>
  <c r="FZF249" i="30"/>
  <c r="FZG249" i="30"/>
  <c r="FZH249" i="30"/>
  <c r="FZI249" i="30"/>
  <c r="FZJ249" i="30"/>
  <c r="FZK249" i="30"/>
  <c r="FZL249" i="30"/>
  <c r="FZM249" i="30"/>
  <c r="FZN249" i="30"/>
  <c r="FZO249" i="30"/>
  <c r="FZP249" i="30"/>
  <c r="FZQ249" i="30"/>
  <c r="FZR249" i="30"/>
  <c r="FZS249" i="30"/>
  <c r="FZT249" i="30"/>
  <c r="FZU249" i="30"/>
  <c r="FZV249" i="30"/>
  <c r="FZW249" i="30"/>
  <c r="FZX249" i="30"/>
  <c r="FZY249" i="30"/>
  <c r="FZZ249" i="30"/>
  <c r="GAA249" i="30"/>
  <c r="GAB249" i="30"/>
  <c r="GAC249" i="30"/>
  <c r="GAD249" i="30"/>
  <c r="GAE249" i="30"/>
  <c r="GAF249" i="30"/>
  <c r="GAG249" i="30"/>
  <c r="GAH249" i="30"/>
  <c r="GAI249" i="30"/>
  <c r="GAJ249" i="30"/>
  <c r="GAK249" i="30"/>
  <c r="GAL249" i="30"/>
  <c r="GAM249" i="30"/>
  <c r="GAN249" i="30"/>
  <c r="GAO249" i="30"/>
  <c r="GAP249" i="30"/>
  <c r="GAQ249" i="30"/>
  <c r="GAR249" i="30"/>
  <c r="GAS249" i="30"/>
  <c r="GAT249" i="30"/>
  <c r="GAU249" i="30"/>
  <c r="GAV249" i="30"/>
  <c r="GAW249" i="30"/>
  <c r="GAX249" i="30"/>
  <c r="GAY249" i="30"/>
  <c r="GAZ249" i="30"/>
  <c r="GBA249" i="30"/>
  <c r="GBB249" i="30"/>
  <c r="GBC249" i="30"/>
  <c r="GBD249" i="30"/>
  <c r="GBE249" i="30"/>
  <c r="GBF249" i="30"/>
  <c r="GBG249" i="30"/>
  <c r="GBH249" i="30"/>
  <c r="GBI249" i="30"/>
  <c r="GBJ249" i="30"/>
  <c r="GBK249" i="30"/>
  <c r="GBL249" i="30"/>
  <c r="GBM249" i="30"/>
  <c r="GBN249" i="30"/>
  <c r="GBO249" i="30"/>
  <c r="GBP249" i="30"/>
  <c r="GBQ249" i="30"/>
  <c r="GBR249" i="30"/>
  <c r="GBS249" i="30"/>
  <c r="GBT249" i="30"/>
  <c r="GBU249" i="30"/>
  <c r="GBV249" i="30"/>
  <c r="GBW249" i="30"/>
  <c r="GBX249" i="30"/>
  <c r="GBY249" i="30"/>
  <c r="GBZ249" i="30"/>
  <c r="GCA249" i="30"/>
  <c r="GCB249" i="30"/>
  <c r="GCC249" i="30"/>
  <c r="GCD249" i="30"/>
  <c r="GCE249" i="30"/>
  <c r="GCF249" i="30"/>
  <c r="GCG249" i="30"/>
  <c r="GCH249" i="30"/>
  <c r="GCI249" i="30"/>
  <c r="GCJ249" i="30"/>
  <c r="GCK249" i="30"/>
  <c r="GCL249" i="30"/>
  <c r="GCM249" i="30"/>
  <c r="GCN249" i="30"/>
  <c r="GCO249" i="30"/>
  <c r="GCP249" i="30"/>
  <c r="GCQ249" i="30"/>
  <c r="GCR249" i="30"/>
  <c r="GCS249" i="30"/>
  <c r="GCT249" i="30"/>
  <c r="GCU249" i="30"/>
  <c r="GCV249" i="30"/>
  <c r="GCW249" i="30"/>
  <c r="GCX249" i="30"/>
  <c r="GCY249" i="30"/>
  <c r="GCZ249" i="30"/>
  <c r="GDA249" i="30"/>
  <c r="GDB249" i="30"/>
  <c r="GDC249" i="30"/>
  <c r="GDD249" i="30"/>
  <c r="GDE249" i="30"/>
  <c r="GDF249" i="30"/>
  <c r="GDG249" i="30"/>
  <c r="GDH249" i="30"/>
  <c r="GDI249" i="30"/>
  <c r="GDJ249" i="30"/>
  <c r="GDK249" i="30"/>
  <c r="GDL249" i="30"/>
  <c r="GDM249" i="30"/>
  <c r="GDN249" i="30"/>
  <c r="GDO249" i="30"/>
  <c r="GDP249" i="30"/>
  <c r="GDQ249" i="30"/>
  <c r="GDR249" i="30"/>
  <c r="GDS249" i="30"/>
  <c r="GDT249" i="30"/>
  <c r="GDU249" i="30"/>
  <c r="GDV249" i="30"/>
  <c r="GDW249" i="30"/>
  <c r="GDX249" i="30"/>
  <c r="GDY249" i="30"/>
  <c r="GDZ249" i="30"/>
  <c r="GEA249" i="30"/>
  <c r="GEB249" i="30"/>
  <c r="GEC249" i="30"/>
  <c r="GED249" i="30"/>
  <c r="GEE249" i="30"/>
  <c r="GEF249" i="30"/>
  <c r="GEG249" i="30"/>
  <c r="GEH249" i="30"/>
  <c r="GEI249" i="30"/>
  <c r="GEJ249" i="30"/>
  <c r="GEK249" i="30"/>
  <c r="GEL249" i="30"/>
  <c r="GEM249" i="30"/>
  <c r="GEN249" i="30"/>
  <c r="GEO249" i="30"/>
  <c r="GEP249" i="30"/>
  <c r="GEQ249" i="30"/>
  <c r="GER249" i="30"/>
  <c r="GES249" i="30"/>
  <c r="GET249" i="30"/>
  <c r="GEU249" i="30"/>
  <c r="GEV249" i="30"/>
  <c r="GEW249" i="30"/>
  <c r="GEX249" i="30"/>
  <c r="GEY249" i="30"/>
  <c r="GEZ249" i="30"/>
  <c r="GFA249" i="30"/>
  <c r="GFB249" i="30"/>
  <c r="GFC249" i="30"/>
  <c r="GFD249" i="30"/>
  <c r="GFE249" i="30"/>
  <c r="GFF249" i="30"/>
  <c r="GFG249" i="30"/>
  <c r="GFH249" i="30"/>
  <c r="GFI249" i="30"/>
  <c r="GFJ249" i="30"/>
  <c r="GFK249" i="30"/>
  <c r="GFL249" i="30"/>
  <c r="GFM249" i="30"/>
  <c r="GFN249" i="30"/>
  <c r="GFO249" i="30"/>
  <c r="GFP249" i="30"/>
  <c r="GFQ249" i="30"/>
  <c r="GFR249" i="30"/>
  <c r="GFS249" i="30"/>
  <c r="GFT249" i="30"/>
  <c r="GFU249" i="30"/>
  <c r="GFV249" i="30"/>
  <c r="GFW249" i="30"/>
  <c r="GFX249" i="30"/>
  <c r="GFY249" i="30"/>
  <c r="GFZ249" i="30"/>
  <c r="GGA249" i="30"/>
  <c r="GGB249" i="30"/>
  <c r="GGC249" i="30"/>
  <c r="GGD249" i="30"/>
  <c r="GGE249" i="30"/>
  <c r="GGF249" i="30"/>
  <c r="GGG249" i="30"/>
  <c r="GGH249" i="30"/>
  <c r="GGI249" i="30"/>
  <c r="GGJ249" i="30"/>
  <c r="GGK249" i="30"/>
  <c r="GGL249" i="30"/>
  <c r="GGM249" i="30"/>
  <c r="GGN249" i="30"/>
  <c r="GGO249" i="30"/>
  <c r="GGP249" i="30"/>
  <c r="GGQ249" i="30"/>
  <c r="GGR249" i="30"/>
  <c r="GGS249" i="30"/>
  <c r="GGT249" i="30"/>
  <c r="GGU249" i="30"/>
  <c r="GGV249" i="30"/>
  <c r="GGW249" i="30"/>
  <c r="GGX249" i="30"/>
  <c r="GGY249" i="30"/>
  <c r="GGZ249" i="30"/>
  <c r="GHA249" i="30"/>
  <c r="GHB249" i="30"/>
  <c r="GHC249" i="30"/>
  <c r="GHD249" i="30"/>
  <c r="GHE249" i="30"/>
  <c r="GHF249" i="30"/>
  <c r="GHG249" i="30"/>
  <c r="GHH249" i="30"/>
  <c r="GHI249" i="30"/>
  <c r="GHJ249" i="30"/>
  <c r="GHK249" i="30"/>
  <c r="GHL249" i="30"/>
  <c r="GHM249" i="30"/>
  <c r="GHN249" i="30"/>
  <c r="GHO249" i="30"/>
  <c r="GHP249" i="30"/>
  <c r="GHQ249" i="30"/>
  <c r="GHR249" i="30"/>
  <c r="GHS249" i="30"/>
  <c r="GHT249" i="30"/>
  <c r="GHU249" i="30"/>
  <c r="GHV249" i="30"/>
  <c r="GHW249" i="30"/>
  <c r="GHX249" i="30"/>
  <c r="GHY249" i="30"/>
  <c r="GHZ249" i="30"/>
  <c r="GIA249" i="30"/>
  <c r="GIB249" i="30"/>
  <c r="GIC249" i="30"/>
  <c r="GID249" i="30"/>
  <c r="GIE249" i="30"/>
  <c r="GIF249" i="30"/>
  <c r="GIG249" i="30"/>
  <c r="GIH249" i="30"/>
  <c r="GII249" i="30"/>
  <c r="GIJ249" i="30"/>
  <c r="GIK249" i="30"/>
  <c r="GIL249" i="30"/>
  <c r="GIM249" i="30"/>
  <c r="GIN249" i="30"/>
  <c r="GIO249" i="30"/>
  <c r="GIP249" i="30"/>
  <c r="GIQ249" i="30"/>
  <c r="GIR249" i="30"/>
  <c r="GIS249" i="30"/>
  <c r="GIT249" i="30"/>
  <c r="GIU249" i="30"/>
  <c r="GIV249" i="30"/>
  <c r="GIW249" i="30"/>
  <c r="GIX249" i="30"/>
  <c r="GIY249" i="30"/>
  <c r="GIZ249" i="30"/>
  <c r="GJA249" i="30"/>
  <c r="GJB249" i="30"/>
  <c r="GJC249" i="30"/>
  <c r="GJD249" i="30"/>
  <c r="GJE249" i="30"/>
  <c r="GJF249" i="30"/>
  <c r="GJG249" i="30"/>
  <c r="GJH249" i="30"/>
  <c r="GJI249" i="30"/>
  <c r="GJJ249" i="30"/>
  <c r="GJK249" i="30"/>
  <c r="GJL249" i="30"/>
  <c r="GJM249" i="30"/>
  <c r="GJN249" i="30"/>
  <c r="GJO249" i="30"/>
  <c r="GJP249" i="30"/>
  <c r="GJQ249" i="30"/>
  <c r="GJR249" i="30"/>
  <c r="GJS249" i="30"/>
  <c r="GJT249" i="30"/>
  <c r="GJU249" i="30"/>
  <c r="GJV249" i="30"/>
  <c r="GJW249" i="30"/>
  <c r="GJX249" i="30"/>
  <c r="GJY249" i="30"/>
  <c r="GJZ249" i="30"/>
  <c r="GKA249" i="30"/>
  <c r="GKB249" i="30"/>
  <c r="GKC249" i="30"/>
  <c r="GKD249" i="30"/>
  <c r="GKE249" i="30"/>
  <c r="GKF249" i="30"/>
  <c r="GKG249" i="30"/>
  <c r="GKH249" i="30"/>
  <c r="GKI249" i="30"/>
  <c r="GKJ249" i="30"/>
  <c r="GKK249" i="30"/>
  <c r="GKL249" i="30"/>
  <c r="GKM249" i="30"/>
  <c r="GKN249" i="30"/>
  <c r="GKO249" i="30"/>
  <c r="GKP249" i="30"/>
  <c r="GKQ249" i="30"/>
  <c r="GKR249" i="30"/>
  <c r="GKS249" i="30"/>
  <c r="GKT249" i="30"/>
  <c r="GKU249" i="30"/>
  <c r="GKV249" i="30"/>
  <c r="GKW249" i="30"/>
  <c r="GKX249" i="30"/>
  <c r="GKY249" i="30"/>
  <c r="GKZ249" i="30"/>
  <c r="GLA249" i="30"/>
  <c r="GLB249" i="30"/>
  <c r="GLC249" i="30"/>
  <c r="GLD249" i="30"/>
  <c r="GLE249" i="30"/>
  <c r="GLF249" i="30"/>
  <c r="GLG249" i="30"/>
  <c r="GLH249" i="30"/>
  <c r="GLI249" i="30"/>
  <c r="GLJ249" i="30"/>
  <c r="GLK249" i="30"/>
  <c r="GLL249" i="30"/>
  <c r="GLM249" i="30"/>
  <c r="GLN249" i="30"/>
  <c r="GLO249" i="30"/>
  <c r="GLP249" i="30"/>
  <c r="GLQ249" i="30"/>
  <c r="GLR249" i="30"/>
  <c r="GLS249" i="30"/>
  <c r="GLT249" i="30"/>
  <c r="GLU249" i="30"/>
  <c r="GLV249" i="30"/>
  <c r="GLW249" i="30"/>
  <c r="GLX249" i="30"/>
  <c r="GLY249" i="30"/>
  <c r="GLZ249" i="30"/>
  <c r="GMA249" i="30"/>
  <c r="GMB249" i="30"/>
  <c r="GMC249" i="30"/>
  <c r="GMD249" i="30"/>
  <c r="GME249" i="30"/>
  <c r="GMF249" i="30"/>
  <c r="GMG249" i="30"/>
  <c r="GMH249" i="30"/>
  <c r="GMI249" i="30"/>
  <c r="GMJ249" i="30"/>
  <c r="GMK249" i="30"/>
  <c r="GML249" i="30"/>
  <c r="GMM249" i="30"/>
  <c r="GMN249" i="30"/>
  <c r="GMO249" i="30"/>
  <c r="GMP249" i="30"/>
  <c r="GMQ249" i="30"/>
  <c r="GMR249" i="30"/>
  <c r="GMS249" i="30"/>
  <c r="GMT249" i="30"/>
  <c r="GMU249" i="30"/>
  <c r="GMV249" i="30"/>
  <c r="GMW249" i="30"/>
  <c r="GMX249" i="30"/>
  <c r="GMY249" i="30"/>
  <c r="GMZ249" i="30"/>
  <c r="GNA249" i="30"/>
  <c r="GNB249" i="30"/>
  <c r="GNC249" i="30"/>
  <c r="GND249" i="30"/>
  <c r="GNE249" i="30"/>
  <c r="GNF249" i="30"/>
  <c r="GNG249" i="30"/>
  <c r="GNH249" i="30"/>
  <c r="GNI249" i="30"/>
  <c r="GNJ249" i="30"/>
  <c r="GNK249" i="30"/>
  <c r="GNL249" i="30"/>
  <c r="GNM249" i="30"/>
  <c r="GNN249" i="30"/>
  <c r="GNO249" i="30"/>
  <c r="GNP249" i="30"/>
  <c r="GNQ249" i="30"/>
  <c r="GNR249" i="30"/>
  <c r="GNS249" i="30"/>
  <c r="GNT249" i="30"/>
  <c r="GNU249" i="30"/>
  <c r="GNV249" i="30"/>
  <c r="GNW249" i="30"/>
  <c r="GNX249" i="30"/>
  <c r="GNY249" i="30"/>
  <c r="GNZ249" i="30"/>
  <c r="GOA249" i="30"/>
  <c r="GOB249" i="30"/>
  <c r="GOC249" i="30"/>
  <c r="GOD249" i="30"/>
  <c r="GOE249" i="30"/>
  <c r="GOF249" i="30"/>
  <c r="GOG249" i="30"/>
  <c r="GOH249" i="30"/>
  <c r="GOI249" i="30"/>
  <c r="GOJ249" i="30"/>
  <c r="GOK249" i="30"/>
  <c r="GOL249" i="30"/>
  <c r="GOM249" i="30"/>
  <c r="GON249" i="30"/>
  <c r="GOO249" i="30"/>
  <c r="GOP249" i="30"/>
  <c r="GOQ249" i="30"/>
  <c r="GOR249" i="30"/>
  <c r="GOS249" i="30"/>
  <c r="GOT249" i="30"/>
  <c r="GOU249" i="30"/>
  <c r="GOV249" i="30"/>
  <c r="GOW249" i="30"/>
  <c r="GOX249" i="30"/>
  <c r="GOY249" i="30"/>
  <c r="GOZ249" i="30"/>
  <c r="GPA249" i="30"/>
  <c r="GPB249" i="30"/>
  <c r="GPC249" i="30"/>
  <c r="GPD249" i="30"/>
  <c r="GPE249" i="30"/>
  <c r="GPF249" i="30"/>
  <c r="GPG249" i="30"/>
  <c r="GPH249" i="30"/>
  <c r="GPI249" i="30"/>
  <c r="GPJ249" i="30"/>
  <c r="GPK249" i="30"/>
  <c r="GPL249" i="30"/>
  <c r="GPM249" i="30"/>
  <c r="GPN249" i="30"/>
  <c r="GPO249" i="30"/>
  <c r="GPP249" i="30"/>
  <c r="GPQ249" i="30"/>
  <c r="GPR249" i="30"/>
  <c r="GPS249" i="30"/>
  <c r="GPT249" i="30"/>
  <c r="GPU249" i="30"/>
  <c r="GPV249" i="30"/>
  <c r="GPW249" i="30"/>
  <c r="GPX249" i="30"/>
  <c r="GPY249" i="30"/>
  <c r="GPZ249" i="30"/>
  <c r="GQA249" i="30"/>
  <c r="GQB249" i="30"/>
  <c r="GQC249" i="30"/>
  <c r="GQD249" i="30"/>
  <c r="GQE249" i="30"/>
  <c r="GQF249" i="30"/>
  <c r="GQG249" i="30"/>
  <c r="GQH249" i="30"/>
  <c r="GQI249" i="30"/>
  <c r="GQJ249" i="30"/>
  <c r="GQK249" i="30"/>
  <c r="GQL249" i="30"/>
  <c r="GQM249" i="30"/>
  <c r="GQN249" i="30"/>
  <c r="GQO249" i="30"/>
  <c r="GQP249" i="30"/>
  <c r="GQQ249" i="30"/>
  <c r="GQR249" i="30"/>
  <c r="GQS249" i="30"/>
  <c r="GQT249" i="30"/>
  <c r="GQU249" i="30"/>
  <c r="GQV249" i="30"/>
  <c r="GQW249" i="30"/>
  <c r="GQX249" i="30"/>
  <c r="GQY249" i="30"/>
  <c r="GQZ249" i="30"/>
  <c r="GRA249" i="30"/>
  <c r="GRB249" i="30"/>
  <c r="GRC249" i="30"/>
  <c r="GRD249" i="30"/>
  <c r="GRE249" i="30"/>
  <c r="GRF249" i="30"/>
  <c r="GRG249" i="30"/>
  <c r="GRH249" i="30"/>
  <c r="GRI249" i="30"/>
  <c r="GRJ249" i="30"/>
  <c r="GRK249" i="30"/>
  <c r="GRL249" i="30"/>
  <c r="GRM249" i="30"/>
  <c r="GRN249" i="30"/>
  <c r="GRO249" i="30"/>
  <c r="GRP249" i="30"/>
  <c r="GRQ249" i="30"/>
  <c r="GRR249" i="30"/>
  <c r="GRS249" i="30"/>
  <c r="GRT249" i="30"/>
  <c r="GRU249" i="30"/>
  <c r="GRV249" i="30"/>
  <c r="GRW249" i="30"/>
  <c r="GRX249" i="30"/>
  <c r="GRY249" i="30"/>
  <c r="GRZ249" i="30"/>
  <c r="GSA249" i="30"/>
  <c r="GSB249" i="30"/>
  <c r="GSC249" i="30"/>
  <c r="GSD249" i="30"/>
  <c r="GSE249" i="30"/>
  <c r="GSF249" i="30"/>
  <c r="GSG249" i="30"/>
  <c r="GSH249" i="30"/>
  <c r="GSI249" i="30"/>
  <c r="GSJ249" i="30"/>
  <c r="GSK249" i="30"/>
  <c r="GSL249" i="30"/>
  <c r="GSM249" i="30"/>
  <c r="GSN249" i="30"/>
  <c r="GSO249" i="30"/>
  <c r="GSP249" i="30"/>
  <c r="GSQ249" i="30"/>
  <c r="GSR249" i="30"/>
  <c r="GSS249" i="30"/>
  <c r="GST249" i="30"/>
  <c r="GSU249" i="30"/>
  <c r="GSV249" i="30"/>
  <c r="GSW249" i="30"/>
  <c r="GSX249" i="30"/>
  <c r="GSY249" i="30"/>
  <c r="GSZ249" i="30"/>
  <c r="GTA249" i="30"/>
  <c r="GTB249" i="30"/>
  <c r="GTC249" i="30"/>
  <c r="GTD249" i="30"/>
  <c r="GTE249" i="30"/>
  <c r="GTF249" i="30"/>
  <c r="GTG249" i="30"/>
  <c r="GTH249" i="30"/>
  <c r="GTI249" i="30"/>
  <c r="GTJ249" i="30"/>
  <c r="GTK249" i="30"/>
  <c r="GTL249" i="30"/>
  <c r="GTM249" i="30"/>
  <c r="GTN249" i="30"/>
  <c r="GTO249" i="30"/>
  <c r="GTP249" i="30"/>
  <c r="GTQ249" i="30"/>
  <c r="GTR249" i="30"/>
  <c r="GTS249" i="30"/>
  <c r="GTT249" i="30"/>
  <c r="GTU249" i="30"/>
  <c r="GTV249" i="30"/>
  <c r="GTW249" i="30"/>
  <c r="GTX249" i="30"/>
  <c r="GTY249" i="30"/>
  <c r="GTZ249" i="30"/>
  <c r="GUA249" i="30"/>
  <c r="GUB249" i="30"/>
  <c r="GUC249" i="30"/>
  <c r="GUD249" i="30"/>
  <c r="GUE249" i="30"/>
  <c r="GUF249" i="30"/>
  <c r="GUG249" i="30"/>
  <c r="GUH249" i="30"/>
  <c r="GUI249" i="30"/>
  <c r="GUJ249" i="30"/>
  <c r="GUK249" i="30"/>
  <c r="GUL249" i="30"/>
  <c r="GUM249" i="30"/>
  <c r="GUN249" i="30"/>
  <c r="GUO249" i="30"/>
  <c r="GUP249" i="30"/>
  <c r="GUQ249" i="30"/>
  <c r="GUR249" i="30"/>
  <c r="GUS249" i="30"/>
  <c r="GUT249" i="30"/>
  <c r="GUU249" i="30"/>
  <c r="GUV249" i="30"/>
  <c r="GUW249" i="30"/>
  <c r="GUX249" i="30"/>
  <c r="GUY249" i="30"/>
  <c r="GUZ249" i="30"/>
  <c r="GVA249" i="30"/>
  <c r="GVB249" i="30"/>
  <c r="GVC249" i="30"/>
  <c r="GVD249" i="30"/>
  <c r="GVE249" i="30"/>
  <c r="GVF249" i="30"/>
  <c r="GVG249" i="30"/>
  <c r="GVH249" i="30"/>
  <c r="GVI249" i="30"/>
  <c r="GVJ249" i="30"/>
  <c r="GVK249" i="30"/>
  <c r="GVL249" i="30"/>
  <c r="GVM249" i="30"/>
  <c r="GVN249" i="30"/>
  <c r="GVO249" i="30"/>
  <c r="GVP249" i="30"/>
  <c r="GVQ249" i="30"/>
  <c r="GVR249" i="30"/>
  <c r="GVS249" i="30"/>
  <c r="GVT249" i="30"/>
  <c r="GVU249" i="30"/>
  <c r="GVV249" i="30"/>
  <c r="GVW249" i="30"/>
  <c r="GVX249" i="30"/>
  <c r="GVY249" i="30"/>
  <c r="GVZ249" i="30"/>
  <c r="GWA249" i="30"/>
  <c r="GWB249" i="30"/>
  <c r="GWC249" i="30"/>
  <c r="GWD249" i="30"/>
  <c r="GWE249" i="30"/>
  <c r="GWF249" i="30"/>
  <c r="GWG249" i="30"/>
  <c r="GWH249" i="30"/>
  <c r="GWI249" i="30"/>
  <c r="GWJ249" i="30"/>
  <c r="GWK249" i="30"/>
  <c r="GWL249" i="30"/>
  <c r="GWM249" i="30"/>
  <c r="GWN249" i="30"/>
  <c r="GWO249" i="30"/>
  <c r="GWP249" i="30"/>
  <c r="GWQ249" i="30"/>
  <c r="GWR249" i="30"/>
  <c r="GWS249" i="30"/>
  <c r="GWT249" i="30"/>
  <c r="GWU249" i="30"/>
  <c r="GWV249" i="30"/>
  <c r="GWW249" i="30"/>
  <c r="GWX249" i="30"/>
  <c r="GWY249" i="30"/>
  <c r="GWZ249" i="30"/>
  <c r="GXA249" i="30"/>
  <c r="GXB249" i="30"/>
  <c r="GXC249" i="30"/>
  <c r="GXD249" i="30"/>
  <c r="GXE249" i="30"/>
  <c r="GXF249" i="30"/>
  <c r="GXG249" i="30"/>
  <c r="GXH249" i="30"/>
  <c r="GXI249" i="30"/>
  <c r="GXJ249" i="30"/>
  <c r="GXK249" i="30"/>
  <c r="GXL249" i="30"/>
  <c r="GXM249" i="30"/>
  <c r="GXN249" i="30"/>
  <c r="GXO249" i="30"/>
  <c r="GXP249" i="30"/>
  <c r="GXQ249" i="30"/>
  <c r="GXR249" i="30"/>
  <c r="GXS249" i="30"/>
  <c r="GXT249" i="30"/>
  <c r="GXU249" i="30"/>
  <c r="GXV249" i="30"/>
  <c r="GXW249" i="30"/>
  <c r="GXX249" i="30"/>
  <c r="GXY249" i="30"/>
  <c r="GXZ249" i="30"/>
  <c r="GYA249" i="30"/>
  <c r="GYB249" i="30"/>
  <c r="GYC249" i="30"/>
  <c r="GYD249" i="30"/>
  <c r="GYE249" i="30"/>
  <c r="GYF249" i="30"/>
  <c r="GYG249" i="30"/>
  <c r="GYH249" i="30"/>
  <c r="GYI249" i="30"/>
  <c r="GYJ249" i="30"/>
  <c r="GYK249" i="30"/>
  <c r="GYL249" i="30"/>
  <c r="GYM249" i="30"/>
  <c r="GYN249" i="30"/>
  <c r="GYO249" i="30"/>
  <c r="GYP249" i="30"/>
  <c r="GYQ249" i="30"/>
  <c r="GYR249" i="30"/>
  <c r="GYS249" i="30"/>
  <c r="GYT249" i="30"/>
  <c r="GYU249" i="30"/>
  <c r="GYV249" i="30"/>
  <c r="GYW249" i="30"/>
  <c r="GYX249" i="30"/>
  <c r="GYY249" i="30"/>
  <c r="GYZ249" i="30"/>
  <c r="GZA249" i="30"/>
  <c r="GZB249" i="30"/>
  <c r="GZC249" i="30"/>
  <c r="GZD249" i="30"/>
  <c r="GZE249" i="30"/>
  <c r="GZF249" i="30"/>
  <c r="GZG249" i="30"/>
  <c r="GZH249" i="30"/>
  <c r="GZI249" i="30"/>
  <c r="GZJ249" i="30"/>
  <c r="GZK249" i="30"/>
  <c r="GZL249" i="30"/>
  <c r="GZM249" i="30"/>
  <c r="GZN249" i="30"/>
  <c r="GZO249" i="30"/>
  <c r="GZP249" i="30"/>
  <c r="GZQ249" i="30"/>
  <c r="GZR249" i="30"/>
  <c r="GZS249" i="30"/>
  <c r="GZT249" i="30"/>
  <c r="GZU249" i="30"/>
  <c r="GZV249" i="30"/>
  <c r="GZW249" i="30"/>
  <c r="GZX249" i="30"/>
  <c r="GZY249" i="30"/>
  <c r="GZZ249" i="30"/>
  <c r="HAA249" i="30"/>
  <c r="HAB249" i="30"/>
  <c r="HAC249" i="30"/>
  <c r="HAD249" i="30"/>
  <c r="HAE249" i="30"/>
  <c r="HAF249" i="30"/>
  <c r="HAG249" i="30"/>
  <c r="HAH249" i="30"/>
  <c r="HAI249" i="30"/>
  <c r="HAJ249" i="30"/>
  <c r="HAK249" i="30"/>
  <c r="HAL249" i="30"/>
  <c r="HAM249" i="30"/>
  <c r="HAN249" i="30"/>
  <c r="HAO249" i="30"/>
  <c r="HAP249" i="30"/>
  <c r="HAQ249" i="30"/>
  <c r="HAR249" i="30"/>
  <c r="HAS249" i="30"/>
  <c r="HAT249" i="30"/>
  <c r="HAU249" i="30"/>
  <c r="HAV249" i="30"/>
  <c r="HAW249" i="30"/>
  <c r="HAX249" i="30"/>
  <c r="HAY249" i="30"/>
  <c r="HAZ249" i="30"/>
  <c r="HBA249" i="30"/>
  <c r="HBB249" i="30"/>
  <c r="HBC249" i="30"/>
  <c r="HBD249" i="30"/>
  <c r="HBE249" i="30"/>
  <c r="HBF249" i="30"/>
  <c r="HBG249" i="30"/>
  <c r="HBH249" i="30"/>
  <c r="HBI249" i="30"/>
  <c r="HBJ249" i="30"/>
  <c r="HBK249" i="30"/>
  <c r="HBL249" i="30"/>
  <c r="HBM249" i="30"/>
  <c r="HBN249" i="30"/>
  <c r="HBO249" i="30"/>
  <c r="HBP249" i="30"/>
  <c r="HBQ249" i="30"/>
  <c r="HBR249" i="30"/>
  <c r="HBS249" i="30"/>
  <c r="HBT249" i="30"/>
  <c r="HBU249" i="30"/>
  <c r="HBV249" i="30"/>
  <c r="HBW249" i="30"/>
  <c r="HBX249" i="30"/>
  <c r="HBY249" i="30"/>
  <c r="HBZ249" i="30"/>
  <c r="HCA249" i="30"/>
  <c r="HCB249" i="30"/>
  <c r="HCC249" i="30"/>
  <c r="HCD249" i="30"/>
  <c r="HCE249" i="30"/>
  <c r="HCF249" i="30"/>
  <c r="HCG249" i="30"/>
  <c r="HCH249" i="30"/>
  <c r="HCI249" i="30"/>
  <c r="HCJ249" i="30"/>
  <c r="HCK249" i="30"/>
  <c r="HCL249" i="30"/>
  <c r="HCM249" i="30"/>
  <c r="HCN249" i="30"/>
  <c r="HCO249" i="30"/>
  <c r="HCP249" i="30"/>
  <c r="HCQ249" i="30"/>
  <c r="HCR249" i="30"/>
  <c r="HCS249" i="30"/>
  <c r="HCT249" i="30"/>
  <c r="HCU249" i="30"/>
  <c r="HCV249" i="30"/>
  <c r="HCW249" i="30"/>
  <c r="HCX249" i="30"/>
  <c r="HCY249" i="30"/>
  <c r="HCZ249" i="30"/>
  <c r="HDA249" i="30"/>
  <c r="HDB249" i="30"/>
  <c r="HDC249" i="30"/>
  <c r="HDD249" i="30"/>
  <c r="HDE249" i="30"/>
  <c r="HDF249" i="30"/>
  <c r="HDG249" i="30"/>
  <c r="HDH249" i="30"/>
  <c r="HDI249" i="30"/>
  <c r="HDJ249" i="30"/>
  <c r="HDK249" i="30"/>
  <c r="HDL249" i="30"/>
  <c r="HDM249" i="30"/>
  <c r="HDN249" i="30"/>
  <c r="HDO249" i="30"/>
  <c r="HDP249" i="30"/>
  <c r="HDQ249" i="30"/>
  <c r="HDR249" i="30"/>
  <c r="HDS249" i="30"/>
  <c r="HDT249" i="30"/>
  <c r="HDU249" i="30"/>
  <c r="HDV249" i="30"/>
  <c r="HDW249" i="30"/>
  <c r="HDX249" i="30"/>
  <c r="HDY249" i="30"/>
  <c r="HDZ249" i="30"/>
  <c r="HEA249" i="30"/>
  <c r="HEB249" i="30"/>
  <c r="HEC249" i="30"/>
  <c r="HED249" i="30"/>
  <c r="HEE249" i="30"/>
  <c r="HEF249" i="30"/>
  <c r="HEG249" i="30"/>
  <c r="HEH249" i="30"/>
  <c r="HEI249" i="30"/>
  <c r="HEJ249" i="30"/>
  <c r="HEK249" i="30"/>
  <c r="HEL249" i="30"/>
  <c r="HEM249" i="30"/>
  <c r="HEN249" i="30"/>
  <c r="HEO249" i="30"/>
  <c r="HEP249" i="30"/>
  <c r="HEQ249" i="30"/>
  <c r="HER249" i="30"/>
  <c r="HES249" i="30"/>
  <c r="HET249" i="30"/>
  <c r="HEU249" i="30"/>
  <c r="HEV249" i="30"/>
  <c r="HEW249" i="30"/>
  <c r="HEX249" i="30"/>
  <c r="HEY249" i="30"/>
  <c r="HEZ249" i="30"/>
  <c r="HFA249" i="30"/>
  <c r="HFB249" i="30"/>
  <c r="HFC249" i="30"/>
  <c r="HFD249" i="30"/>
  <c r="HFE249" i="30"/>
  <c r="HFF249" i="30"/>
  <c r="HFG249" i="30"/>
  <c r="HFH249" i="30"/>
  <c r="HFI249" i="30"/>
  <c r="HFJ249" i="30"/>
  <c r="HFK249" i="30"/>
  <c r="HFL249" i="30"/>
  <c r="HFM249" i="30"/>
  <c r="HFN249" i="30"/>
  <c r="HFO249" i="30"/>
  <c r="HFP249" i="30"/>
  <c r="HFQ249" i="30"/>
  <c r="HFR249" i="30"/>
  <c r="HFS249" i="30"/>
  <c r="HFT249" i="30"/>
  <c r="HFU249" i="30"/>
  <c r="HFV249" i="30"/>
  <c r="HFW249" i="30"/>
  <c r="HFX249" i="30"/>
  <c r="HFY249" i="30"/>
  <c r="HFZ249" i="30"/>
  <c r="HGA249" i="30"/>
  <c r="HGB249" i="30"/>
  <c r="HGC249" i="30"/>
  <c r="HGD249" i="30"/>
  <c r="HGE249" i="30"/>
  <c r="HGF249" i="30"/>
  <c r="HGG249" i="30"/>
  <c r="HGH249" i="30"/>
  <c r="HGI249" i="30"/>
  <c r="HGJ249" i="30"/>
  <c r="HGK249" i="30"/>
  <c r="HGL249" i="30"/>
  <c r="HGM249" i="30"/>
  <c r="HGN249" i="30"/>
  <c r="HGO249" i="30"/>
  <c r="HGP249" i="30"/>
  <c r="HGQ249" i="30"/>
  <c r="HGR249" i="30"/>
  <c r="HGS249" i="30"/>
  <c r="HGT249" i="30"/>
  <c r="HGU249" i="30"/>
  <c r="HGV249" i="30"/>
  <c r="HGW249" i="30"/>
  <c r="HGX249" i="30"/>
  <c r="HGY249" i="30"/>
  <c r="HGZ249" i="30"/>
  <c r="HHA249" i="30"/>
  <c r="HHB249" i="30"/>
  <c r="HHC249" i="30"/>
  <c r="HHD249" i="30"/>
  <c r="HHE249" i="30"/>
  <c r="HHF249" i="30"/>
  <c r="HHG249" i="30"/>
  <c r="HHH249" i="30"/>
  <c r="HHI249" i="30"/>
  <c r="HHJ249" i="30"/>
  <c r="HHK249" i="30"/>
  <c r="HHL249" i="30"/>
  <c r="HHM249" i="30"/>
  <c r="HHN249" i="30"/>
  <c r="HHO249" i="30"/>
  <c r="HHP249" i="30"/>
  <c r="HHQ249" i="30"/>
  <c r="HHR249" i="30"/>
  <c r="HHS249" i="30"/>
  <c r="HHT249" i="30"/>
  <c r="HHU249" i="30"/>
  <c r="HHV249" i="30"/>
  <c r="HHW249" i="30"/>
  <c r="HHX249" i="30"/>
  <c r="HHY249" i="30"/>
  <c r="HHZ249" i="30"/>
  <c r="HIA249" i="30"/>
  <c r="HIB249" i="30"/>
  <c r="HIC249" i="30"/>
  <c r="HID249" i="30"/>
  <c r="HIE249" i="30"/>
  <c r="HIF249" i="30"/>
  <c r="HIG249" i="30"/>
  <c r="HIH249" i="30"/>
  <c r="HII249" i="30"/>
  <c r="HIJ249" i="30"/>
  <c r="HIK249" i="30"/>
  <c r="HIL249" i="30"/>
  <c r="HIM249" i="30"/>
  <c r="HIN249" i="30"/>
  <c r="HIO249" i="30"/>
  <c r="HIP249" i="30"/>
  <c r="HIQ249" i="30"/>
  <c r="HIR249" i="30"/>
  <c r="HIS249" i="30"/>
  <c r="HIT249" i="30"/>
  <c r="HIU249" i="30"/>
  <c r="HIV249" i="30"/>
  <c r="HIW249" i="30"/>
  <c r="HIX249" i="30"/>
  <c r="HIY249" i="30"/>
  <c r="HIZ249" i="30"/>
  <c r="HJA249" i="30"/>
  <c r="HJB249" i="30"/>
  <c r="HJC249" i="30"/>
  <c r="HJD249" i="30"/>
  <c r="HJE249" i="30"/>
  <c r="HJF249" i="30"/>
  <c r="HJG249" i="30"/>
  <c r="HJH249" i="30"/>
  <c r="HJI249" i="30"/>
  <c r="HJJ249" i="30"/>
  <c r="HJK249" i="30"/>
  <c r="HJL249" i="30"/>
  <c r="HJM249" i="30"/>
  <c r="HJN249" i="30"/>
  <c r="HJO249" i="30"/>
  <c r="HJP249" i="30"/>
  <c r="HJQ249" i="30"/>
  <c r="HJR249" i="30"/>
  <c r="HJS249" i="30"/>
  <c r="HJT249" i="30"/>
  <c r="HJU249" i="30"/>
  <c r="HJV249" i="30"/>
  <c r="HJW249" i="30"/>
  <c r="HJX249" i="30"/>
  <c r="HJY249" i="30"/>
  <c r="HJZ249" i="30"/>
  <c r="HKA249" i="30"/>
  <c r="HKB249" i="30"/>
  <c r="HKC249" i="30"/>
  <c r="HKD249" i="30"/>
  <c r="HKE249" i="30"/>
  <c r="HKF249" i="30"/>
  <c r="HKG249" i="30"/>
  <c r="HKH249" i="30"/>
  <c r="HKI249" i="30"/>
  <c r="HKJ249" i="30"/>
  <c r="HKK249" i="30"/>
  <c r="HKL249" i="30"/>
  <c r="HKM249" i="30"/>
  <c r="HKN249" i="30"/>
  <c r="HKO249" i="30"/>
  <c r="HKP249" i="30"/>
  <c r="HKQ249" i="30"/>
  <c r="HKR249" i="30"/>
  <c r="HKS249" i="30"/>
  <c r="HKT249" i="30"/>
  <c r="HKU249" i="30"/>
  <c r="HKV249" i="30"/>
  <c r="HKW249" i="30"/>
  <c r="HKX249" i="30"/>
  <c r="HKY249" i="30"/>
  <c r="HKZ249" i="30"/>
  <c r="HLA249" i="30"/>
  <c r="HLB249" i="30"/>
  <c r="HLC249" i="30"/>
  <c r="HLD249" i="30"/>
  <c r="HLE249" i="30"/>
  <c r="HLF249" i="30"/>
  <c r="HLG249" i="30"/>
  <c r="HLH249" i="30"/>
  <c r="HLI249" i="30"/>
  <c r="HLJ249" i="30"/>
  <c r="HLK249" i="30"/>
  <c r="HLL249" i="30"/>
  <c r="HLM249" i="30"/>
  <c r="HLN249" i="30"/>
  <c r="HLO249" i="30"/>
  <c r="HLP249" i="30"/>
  <c r="HLQ249" i="30"/>
  <c r="HLR249" i="30"/>
  <c r="HLS249" i="30"/>
  <c r="HLT249" i="30"/>
  <c r="HLU249" i="30"/>
  <c r="HLV249" i="30"/>
  <c r="HLW249" i="30"/>
  <c r="HLX249" i="30"/>
  <c r="HLY249" i="30"/>
  <c r="HLZ249" i="30"/>
  <c r="HMA249" i="30"/>
  <c r="HMB249" i="30"/>
  <c r="HMC249" i="30"/>
  <c r="HMD249" i="30"/>
  <c r="HME249" i="30"/>
  <c r="HMF249" i="30"/>
  <c r="HMG249" i="30"/>
  <c r="HMH249" i="30"/>
  <c r="HMI249" i="30"/>
  <c r="HMJ249" i="30"/>
  <c r="HMK249" i="30"/>
  <c r="HML249" i="30"/>
  <c r="HMM249" i="30"/>
  <c r="HMN249" i="30"/>
  <c r="HMO249" i="30"/>
  <c r="HMP249" i="30"/>
  <c r="HMQ249" i="30"/>
  <c r="HMR249" i="30"/>
  <c r="HMS249" i="30"/>
  <c r="HMT249" i="30"/>
  <c r="HMU249" i="30"/>
  <c r="HMV249" i="30"/>
  <c r="HMW249" i="30"/>
  <c r="HMX249" i="30"/>
  <c r="HMY249" i="30"/>
  <c r="HMZ249" i="30"/>
  <c r="HNA249" i="30"/>
  <c r="HNB249" i="30"/>
  <c r="HNC249" i="30"/>
  <c r="HND249" i="30"/>
  <c r="HNE249" i="30"/>
  <c r="HNF249" i="30"/>
  <c r="HNG249" i="30"/>
  <c r="HNH249" i="30"/>
  <c r="HNI249" i="30"/>
  <c r="HNJ249" i="30"/>
  <c r="HNK249" i="30"/>
  <c r="HNL249" i="30"/>
  <c r="HNM249" i="30"/>
  <c r="HNN249" i="30"/>
  <c r="HNO249" i="30"/>
  <c r="HNP249" i="30"/>
  <c r="HNQ249" i="30"/>
  <c r="HNR249" i="30"/>
  <c r="HNS249" i="30"/>
  <c r="HNT249" i="30"/>
  <c r="HNU249" i="30"/>
  <c r="HNV249" i="30"/>
  <c r="HNW249" i="30"/>
  <c r="HNX249" i="30"/>
  <c r="HNY249" i="30"/>
  <c r="HNZ249" i="30"/>
  <c r="HOA249" i="30"/>
  <c r="HOB249" i="30"/>
  <c r="HOC249" i="30"/>
  <c r="HOD249" i="30"/>
  <c r="HOE249" i="30"/>
  <c r="HOF249" i="30"/>
  <c r="HOG249" i="30"/>
  <c r="HOH249" i="30"/>
  <c r="HOI249" i="30"/>
  <c r="HOJ249" i="30"/>
  <c r="HOK249" i="30"/>
  <c r="HOL249" i="30"/>
  <c r="HOM249" i="30"/>
  <c r="HON249" i="30"/>
  <c r="HOO249" i="30"/>
  <c r="HOP249" i="30"/>
  <c r="HOQ249" i="30"/>
  <c r="HOR249" i="30"/>
  <c r="HOS249" i="30"/>
  <c r="HOT249" i="30"/>
  <c r="HOU249" i="30"/>
  <c r="HOV249" i="30"/>
  <c r="HOW249" i="30"/>
  <c r="HOX249" i="30"/>
  <c r="HOY249" i="30"/>
  <c r="HOZ249" i="30"/>
  <c r="HPA249" i="30"/>
  <c r="HPB249" i="30"/>
  <c r="HPC249" i="30"/>
  <c r="HPD249" i="30"/>
  <c r="HPE249" i="30"/>
  <c r="HPF249" i="30"/>
  <c r="HPG249" i="30"/>
  <c r="HPH249" i="30"/>
  <c r="HPI249" i="30"/>
  <c r="HPJ249" i="30"/>
  <c r="HPK249" i="30"/>
  <c r="HPL249" i="30"/>
  <c r="HPM249" i="30"/>
  <c r="HPN249" i="30"/>
  <c r="HPO249" i="30"/>
  <c r="HPP249" i="30"/>
  <c r="HPQ249" i="30"/>
  <c r="HPR249" i="30"/>
  <c r="HPS249" i="30"/>
  <c r="HPT249" i="30"/>
  <c r="HPU249" i="30"/>
  <c r="HPV249" i="30"/>
  <c r="HPW249" i="30"/>
  <c r="HPX249" i="30"/>
  <c r="HPY249" i="30"/>
  <c r="HPZ249" i="30"/>
  <c r="HQA249" i="30"/>
  <c r="HQB249" i="30"/>
  <c r="HQC249" i="30"/>
  <c r="HQD249" i="30"/>
  <c r="HQE249" i="30"/>
  <c r="HQF249" i="30"/>
  <c r="HQG249" i="30"/>
  <c r="HQH249" i="30"/>
  <c r="HQI249" i="30"/>
  <c r="HQJ249" i="30"/>
  <c r="HQK249" i="30"/>
  <c r="HQL249" i="30"/>
  <c r="HQM249" i="30"/>
  <c r="HQN249" i="30"/>
  <c r="HQO249" i="30"/>
  <c r="HQP249" i="30"/>
  <c r="HQQ249" i="30"/>
  <c r="HQR249" i="30"/>
  <c r="HQS249" i="30"/>
  <c r="HQT249" i="30"/>
  <c r="HQU249" i="30"/>
  <c r="HQV249" i="30"/>
  <c r="HQW249" i="30"/>
  <c r="HQX249" i="30"/>
  <c r="HQY249" i="30"/>
  <c r="HQZ249" i="30"/>
  <c r="HRA249" i="30"/>
  <c r="HRB249" i="30"/>
  <c r="HRC249" i="30"/>
  <c r="HRD249" i="30"/>
  <c r="HRE249" i="30"/>
  <c r="HRF249" i="30"/>
  <c r="HRG249" i="30"/>
  <c r="HRH249" i="30"/>
  <c r="HRI249" i="30"/>
  <c r="HRJ249" i="30"/>
  <c r="HRK249" i="30"/>
  <c r="HRL249" i="30"/>
  <c r="HRM249" i="30"/>
  <c r="HRN249" i="30"/>
  <c r="HRO249" i="30"/>
  <c r="HRP249" i="30"/>
  <c r="HRQ249" i="30"/>
  <c r="HRR249" i="30"/>
  <c r="HRS249" i="30"/>
  <c r="HRT249" i="30"/>
  <c r="HRU249" i="30"/>
  <c r="HRV249" i="30"/>
  <c r="HRW249" i="30"/>
  <c r="HRX249" i="30"/>
  <c r="HRY249" i="30"/>
  <c r="HRZ249" i="30"/>
  <c r="HSA249" i="30"/>
  <c r="HSB249" i="30"/>
  <c r="HSC249" i="30"/>
  <c r="HSD249" i="30"/>
  <c r="HSE249" i="30"/>
  <c r="HSF249" i="30"/>
  <c r="HSG249" i="30"/>
  <c r="HSH249" i="30"/>
  <c r="HSI249" i="30"/>
  <c r="HSJ249" i="30"/>
  <c r="HSK249" i="30"/>
  <c r="HSL249" i="30"/>
  <c r="HSM249" i="30"/>
  <c r="HSN249" i="30"/>
  <c r="HSO249" i="30"/>
  <c r="HSP249" i="30"/>
  <c r="HSQ249" i="30"/>
  <c r="HSR249" i="30"/>
  <c r="HSS249" i="30"/>
  <c r="HST249" i="30"/>
  <c r="HSU249" i="30"/>
  <c r="HSV249" i="30"/>
  <c r="HSW249" i="30"/>
  <c r="HSX249" i="30"/>
  <c r="HSY249" i="30"/>
  <c r="HSZ249" i="30"/>
  <c r="HTA249" i="30"/>
  <c r="HTB249" i="30"/>
  <c r="HTC249" i="30"/>
  <c r="HTD249" i="30"/>
  <c r="HTE249" i="30"/>
  <c r="HTF249" i="30"/>
  <c r="HTG249" i="30"/>
  <c r="HTH249" i="30"/>
  <c r="HTI249" i="30"/>
  <c r="HTJ249" i="30"/>
  <c r="HTK249" i="30"/>
  <c r="HTL249" i="30"/>
  <c r="HTM249" i="30"/>
  <c r="HTN249" i="30"/>
  <c r="HTO249" i="30"/>
  <c r="HTP249" i="30"/>
  <c r="HTQ249" i="30"/>
  <c r="HTR249" i="30"/>
  <c r="HTS249" i="30"/>
  <c r="HTT249" i="30"/>
  <c r="HTU249" i="30"/>
  <c r="HTV249" i="30"/>
  <c r="HTW249" i="30"/>
  <c r="HTX249" i="30"/>
  <c r="HTY249" i="30"/>
  <c r="HTZ249" i="30"/>
  <c r="HUA249" i="30"/>
  <c r="HUB249" i="30"/>
  <c r="HUC249" i="30"/>
  <c r="HUD249" i="30"/>
  <c r="HUE249" i="30"/>
  <c r="HUF249" i="30"/>
  <c r="HUG249" i="30"/>
  <c r="HUH249" i="30"/>
  <c r="HUI249" i="30"/>
  <c r="HUJ249" i="30"/>
  <c r="HUK249" i="30"/>
  <c r="HUL249" i="30"/>
  <c r="HUM249" i="30"/>
  <c r="HUN249" i="30"/>
  <c r="HUO249" i="30"/>
  <c r="HUP249" i="30"/>
  <c r="HUQ249" i="30"/>
  <c r="HUR249" i="30"/>
  <c r="HUS249" i="30"/>
  <c r="HUT249" i="30"/>
  <c r="HUU249" i="30"/>
  <c r="HUV249" i="30"/>
  <c r="HUW249" i="30"/>
  <c r="HUX249" i="30"/>
  <c r="HUY249" i="30"/>
  <c r="HUZ249" i="30"/>
  <c r="HVA249" i="30"/>
  <c r="HVB249" i="30"/>
  <c r="HVC249" i="30"/>
  <c r="HVD249" i="30"/>
  <c r="HVE249" i="30"/>
  <c r="HVF249" i="30"/>
  <c r="HVG249" i="30"/>
  <c r="HVH249" i="30"/>
  <c r="HVI249" i="30"/>
  <c r="HVJ249" i="30"/>
  <c r="HVK249" i="30"/>
  <c r="HVL249" i="30"/>
  <c r="HVM249" i="30"/>
  <c r="HVN249" i="30"/>
  <c r="HVO249" i="30"/>
  <c r="HVP249" i="30"/>
  <c r="HVQ249" i="30"/>
  <c r="HVR249" i="30"/>
  <c r="HVS249" i="30"/>
  <c r="HVT249" i="30"/>
  <c r="HVU249" i="30"/>
  <c r="HVV249" i="30"/>
  <c r="HVW249" i="30"/>
  <c r="HVX249" i="30"/>
  <c r="HVY249" i="30"/>
  <c r="HVZ249" i="30"/>
  <c r="HWA249" i="30"/>
  <c r="HWB249" i="30"/>
  <c r="HWC249" i="30"/>
  <c r="HWD249" i="30"/>
  <c r="HWE249" i="30"/>
  <c r="HWF249" i="30"/>
  <c r="HWG249" i="30"/>
  <c r="HWH249" i="30"/>
  <c r="HWI249" i="30"/>
  <c r="HWJ249" i="30"/>
  <c r="HWK249" i="30"/>
  <c r="HWL249" i="30"/>
  <c r="HWM249" i="30"/>
  <c r="HWN249" i="30"/>
  <c r="HWO249" i="30"/>
  <c r="HWP249" i="30"/>
  <c r="HWQ249" i="30"/>
  <c r="HWR249" i="30"/>
  <c r="HWS249" i="30"/>
  <c r="HWT249" i="30"/>
  <c r="HWU249" i="30"/>
  <c r="HWV249" i="30"/>
  <c r="HWW249" i="30"/>
  <c r="HWX249" i="30"/>
  <c r="HWY249" i="30"/>
  <c r="HWZ249" i="30"/>
  <c r="HXA249" i="30"/>
  <c r="HXB249" i="30"/>
  <c r="HXC249" i="30"/>
  <c r="HXD249" i="30"/>
  <c r="HXE249" i="30"/>
  <c r="HXF249" i="30"/>
  <c r="HXG249" i="30"/>
  <c r="HXH249" i="30"/>
  <c r="HXI249" i="30"/>
  <c r="HXJ249" i="30"/>
  <c r="HXK249" i="30"/>
  <c r="HXL249" i="30"/>
  <c r="HXM249" i="30"/>
  <c r="HXN249" i="30"/>
  <c r="HXO249" i="30"/>
  <c r="HXP249" i="30"/>
  <c r="HXQ249" i="30"/>
  <c r="HXR249" i="30"/>
  <c r="HXS249" i="30"/>
  <c r="HXT249" i="30"/>
  <c r="HXU249" i="30"/>
  <c r="HXV249" i="30"/>
  <c r="HXW249" i="30"/>
  <c r="HXX249" i="30"/>
  <c r="HXY249" i="30"/>
  <c r="HXZ249" i="30"/>
  <c r="HYA249" i="30"/>
  <c r="HYB249" i="30"/>
  <c r="HYC249" i="30"/>
  <c r="HYD249" i="30"/>
  <c r="HYE249" i="30"/>
  <c r="HYF249" i="30"/>
  <c r="HYG249" i="30"/>
  <c r="HYH249" i="30"/>
  <c r="HYI249" i="30"/>
  <c r="HYJ249" i="30"/>
  <c r="HYK249" i="30"/>
  <c r="HYL249" i="30"/>
  <c r="HYM249" i="30"/>
  <c r="HYN249" i="30"/>
  <c r="HYO249" i="30"/>
  <c r="HYP249" i="30"/>
  <c r="HYQ249" i="30"/>
  <c r="HYR249" i="30"/>
  <c r="HYS249" i="30"/>
  <c r="HYT249" i="30"/>
  <c r="HYU249" i="30"/>
  <c r="HYV249" i="30"/>
  <c r="HYW249" i="30"/>
  <c r="HYX249" i="30"/>
  <c r="HYY249" i="30"/>
  <c r="HYZ249" i="30"/>
  <c r="HZA249" i="30"/>
  <c r="HZB249" i="30"/>
  <c r="HZC249" i="30"/>
  <c r="HZD249" i="30"/>
  <c r="HZE249" i="30"/>
  <c r="HZF249" i="30"/>
  <c r="HZG249" i="30"/>
  <c r="HZH249" i="30"/>
  <c r="HZI249" i="30"/>
  <c r="HZJ249" i="30"/>
  <c r="HZK249" i="30"/>
  <c r="HZL249" i="30"/>
  <c r="HZM249" i="30"/>
  <c r="HZN249" i="30"/>
  <c r="HZO249" i="30"/>
  <c r="HZP249" i="30"/>
  <c r="HZQ249" i="30"/>
  <c r="HZR249" i="30"/>
  <c r="HZS249" i="30"/>
  <c r="HZT249" i="30"/>
  <c r="HZU249" i="30"/>
  <c r="HZV249" i="30"/>
  <c r="HZW249" i="30"/>
  <c r="HZX249" i="30"/>
  <c r="HZY249" i="30"/>
  <c r="HZZ249" i="30"/>
  <c r="IAA249" i="30"/>
  <c r="IAB249" i="30"/>
  <c r="IAC249" i="30"/>
  <c r="IAD249" i="30"/>
  <c r="IAE249" i="30"/>
  <c r="IAF249" i="30"/>
  <c r="IAG249" i="30"/>
  <c r="IAH249" i="30"/>
  <c r="IAI249" i="30"/>
  <c r="IAJ249" i="30"/>
  <c r="IAK249" i="30"/>
  <c r="IAL249" i="30"/>
  <c r="IAM249" i="30"/>
  <c r="IAN249" i="30"/>
  <c r="IAO249" i="30"/>
  <c r="IAP249" i="30"/>
  <c r="IAQ249" i="30"/>
  <c r="IAR249" i="30"/>
  <c r="IAS249" i="30"/>
  <c r="IAT249" i="30"/>
  <c r="IAU249" i="30"/>
  <c r="IAV249" i="30"/>
  <c r="IAW249" i="30"/>
  <c r="IAX249" i="30"/>
  <c r="IAY249" i="30"/>
  <c r="IAZ249" i="30"/>
  <c r="IBA249" i="30"/>
  <c r="IBB249" i="30"/>
  <c r="IBC249" i="30"/>
  <c r="IBD249" i="30"/>
  <c r="IBE249" i="30"/>
  <c r="IBF249" i="30"/>
  <c r="IBG249" i="30"/>
  <c r="IBH249" i="30"/>
  <c r="IBI249" i="30"/>
  <c r="IBJ249" i="30"/>
  <c r="IBK249" i="30"/>
  <c r="IBL249" i="30"/>
  <c r="IBM249" i="30"/>
  <c r="IBN249" i="30"/>
  <c r="IBO249" i="30"/>
  <c r="IBP249" i="30"/>
  <c r="IBQ249" i="30"/>
  <c r="IBR249" i="30"/>
  <c r="IBS249" i="30"/>
  <c r="IBT249" i="30"/>
  <c r="IBU249" i="30"/>
  <c r="IBV249" i="30"/>
  <c r="IBW249" i="30"/>
  <c r="IBX249" i="30"/>
  <c r="IBY249" i="30"/>
  <c r="IBZ249" i="30"/>
  <c r="ICA249" i="30"/>
  <c r="ICB249" i="30"/>
  <c r="ICC249" i="30"/>
  <c r="ICD249" i="30"/>
  <c r="ICE249" i="30"/>
  <c r="ICF249" i="30"/>
  <c r="ICG249" i="30"/>
  <c r="ICH249" i="30"/>
  <c r="ICI249" i="30"/>
  <c r="ICJ249" i="30"/>
  <c r="ICK249" i="30"/>
  <c r="ICL249" i="30"/>
  <c r="ICM249" i="30"/>
  <c r="ICN249" i="30"/>
  <c r="ICO249" i="30"/>
  <c r="ICP249" i="30"/>
  <c r="ICQ249" i="30"/>
  <c r="ICR249" i="30"/>
  <c r="ICS249" i="30"/>
  <c r="ICT249" i="30"/>
  <c r="ICU249" i="30"/>
  <c r="ICV249" i="30"/>
  <c r="ICW249" i="30"/>
  <c r="ICX249" i="30"/>
  <c r="ICY249" i="30"/>
  <c r="ICZ249" i="30"/>
  <c r="IDA249" i="30"/>
  <c r="IDB249" i="30"/>
  <c r="IDC249" i="30"/>
  <c r="IDD249" i="30"/>
  <c r="IDE249" i="30"/>
  <c r="IDF249" i="30"/>
  <c r="IDG249" i="30"/>
  <c r="IDH249" i="30"/>
  <c r="IDI249" i="30"/>
  <c r="IDJ249" i="30"/>
  <c r="IDK249" i="30"/>
  <c r="IDL249" i="30"/>
  <c r="IDM249" i="30"/>
  <c r="IDN249" i="30"/>
  <c r="IDO249" i="30"/>
  <c r="IDP249" i="30"/>
  <c r="IDQ249" i="30"/>
  <c r="IDR249" i="30"/>
  <c r="IDS249" i="30"/>
  <c r="IDT249" i="30"/>
  <c r="IDU249" i="30"/>
  <c r="IDV249" i="30"/>
  <c r="IDW249" i="30"/>
  <c r="IDX249" i="30"/>
  <c r="IDY249" i="30"/>
  <c r="IDZ249" i="30"/>
  <c r="IEA249" i="30"/>
  <c r="IEB249" i="30"/>
  <c r="IEC249" i="30"/>
  <c r="IED249" i="30"/>
  <c r="IEE249" i="30"/>
  <c r="IEF249" i="30"/>
  <c r="IEG249" i="30"/>
  <c r="IEH249" i="30"/>
  <c r="IEI249" i="30"/>
  <c r="IEJ249" i="30"/>
  <c r="IEK249" i="30"/>
  <c r="IEL249" i="30"/>
  <c r="IEM249" i="30"/>
  <c r="IEN249" i="30"/>
  <c r="IEO249" i="30"/>
  <c r="IEP249" i="30"/>
  <c r="IEQ249" i="30"/>
  <c r="IER249" i="30"/>
  <c r="IES249" i="30"/>
  <c r="IET249" i="30"/>
  <c r="IEU249" i="30"/>
  <c r="IEV249" i="30"/>
  <c r="IEW249" i="30"/>
  <c r="IEX249" i="30"/>
  <c r="IEY249" i="30"/>
  <c r="IEZ249" i="30"/>
  <c r="IFA249" i="30"/>
  <c r="IFB249" i="30"/>
  <c r="IFC249" i="30"/>
  <c r="IFD249" i="30"/>
  <c r="IFE249" i="30"/>
  <c r="IFF249" i="30"/>
  <c r="IFG249" i="30"/>
  <c r="IFH249" i="30"/>
  <c r="IFI249" i="30"/>
  <c r="IFJ249" i="30"/>
  <c r="IFK249" i="30"/>
  <c r="IFL249" i="30"/>
  <c r="IFM249" i="30"/>
  <c r="IFN249" i="30"/>
  <c r="IFO249" i="30"/>
  <c r="IFP249" i="30"/>
  <c r="IFQ249" i="30"/>
  <c r="IFR249" i="30"/>
  <c r="IFS249" i="30"/>
  <c r="IFT249" i="30"/>
  <c r="IFU249" i="30"/>
  <c r="IFV249" i="30"/>
  <c r="IFW249" i="30"/>
  <c r="IFX249" i="30"/>
  <c r="IFY249" i="30"/>
  <c r="IFZ249" i="30"/>
  <c r="IGA249" i="30"/>
  <c r="IGB249" i="30"/>
  <c r="IGC249" i="30"/>
  <c r="IGD249" i="30"/>
  <c r="IGE249" i="30"/>
  <c r="IGF249" i="30"/>
  <c r="IGG249" i="30"/>
  <c r="IGH249" i="30"/>
  <c r="IGI249" i="30"/>
  <c r="IGJ249" i="30"/>
  <c r="IGK249" i="30"/>
  <c r="IGL249" i="30"/>
  <c r="IGM249" i="30"/>
  <c r="IGN249" i="30"/>
  <c r="IGO249" i="30"/>
  <c r="IGP249" i="30"/>
  <c r="IGQ249" i="30"/>
  <c r="IGR249" i="30"/>
  <c r="IGS249" i="30"/>
  <c r="IGT249" i="30"/>
  <c r="IGU249" i="30"/>
  <c r="IGV249" i="30"/>
  <c r="IGW249" i="30"/>
  <c r="IGX249" i="30"/>
  <c r="IGY249" i="30"/>
  <c r="IGZ249" i="30"/>
  <c r="IHA249" i="30"/>
  <c r="IHB249" i="30"/>
  <c r="IHC249" i="30"/>
  <c r="IHD249" i="30"/>
  <c r="IHE249" i="30"/>
  <c r="IHF249" i="30"/>
  <c r="IHG249" i="30"/>
  <c r="IHH249" i="30"/>
  <c r="IHI249" i="30"/>
  <c r="IHJ249" i="30"/>
  <c r="IHK249" i="30"/>
  <c r="IHL249" i="30"/>
  <c r="IHM249" i="30"/>
  <c r="IHN249" i="30"/>
  <c r="IHO249" i="30"/>
  <c r="IHP249" i="30"/>
  <c r="IHQ249" i="30"/>
  <c r="IHR249" i="30"/>
  <c r="IHS249" i="30"/>
  <c r="IHT249" i="30"/>
  <c r="IHU249" i="30"/>
  <c r="IHV249" i="30"/>
  <c r="IHW249" i="30"/>
  <c r="IHX249" i="30"/>
  <c r="IHY249" i="30"/>
  <c r="IHZ249" i="30"/>
  <c r="IIA249" i="30"/>
  <c r="IIB249" i="30"/>
  <c r="IIC249" i="30"/>
  <c r="IID249" i="30"/>
  <c r="IIE249" i="30"/>
  <c r="IIF249" i="30"/>
  <c r="IIG249" i="30"/>
  <c r="IIH249" i="30"/>
  <c r="III249" i="30"/>
  <c r="IIJ249" i="30"/>
  <c r="IIK249" i="30"/>
  <c r="IIL249" i="30"/>
  <c r="IIM249" i="30"/>
  <c r="IIN249" i="30"/>
  <c r="IIO249" i="30"/>
  <c r="IIP249" i="30"/>
  <c r="IIQ249" i="30"/>
  <c r="IIR249" i="30"/>
  <c r="IIS249" i="30"/>
  <c r="IIT249" i="30"/>
  <c r="IIU249" i="30"/>
  <c r="IIV249" i="30"/>
  <c r="IIW249" i="30"/>
  <c r="IIX249" i="30"/>
  <c r="IIY249" i="30"/>
  <c r="IIZ249" i="30"/>
  <c r="IJA249" i="30"/>
  <c r="IJB249" i="30"/>
  <c r="IJC249" i="30"/>
  <c r="IJD249" i="30"/>
  <c r="IJE249" i="30"/>
  <c r="IJF249" i="30"/>
  <c r="IJG249" i="30"/>
  <c r="IJH249" i="30"/>
  <c r="IJI249" i="30"/>
  <c r="IJJ249" i="30"/>
  <c r="IJK249" i="30"/>
  <c r="IJL249" i="30"/>
  <c r="IJM249" i="30"/>
  <c r="IJN249" i="30"/>
  <c r="IJO249" i="30"/>
  <c r="IJP249" i="30"/>
  <c r="IJQ249" i="30"/>
  <c r="IJR249" i="30"/>
  <c r="IJS249" i="30"/>
  <c r="IJT249" i="30"/>
  <c r="IJU249" i="30"/>
  <c r="IJV249" i="30"/>
  <c r="IJW249" i="30"/>
  <c r="IJX249" i="30"/>
  <c r="IJY249" i="30"/>
  <c r="IJZ249" i="30"/>
  <c r="IKA249" i="30"/>
  <c r="IKB249" i="30"/>
  <c r="IKC249" i="30"/>
  <c r="IKD249" i="30"/>
  <c r="IKE249" i="30"/>
  <c r="IKF249" i="30"/>
  <c r="IKG249" i="30"/>
  <c r="IKH249" i="30"/>
  <c r="IKI249" i="30"/>
  <c r="IKJ249" i="30"/>
  <c r="IKK249" i="30"/>
  <c r="IKL249" i="30"/>
  <c r="IKM249" i="30"/>
  <c r="IKN249" i="30"/>
  <c r="IKO249" i="30"/>
  <c r="IKP249" i="30"/>
  <c r="IKQ249" i="30"/>
  <c r="IKR249" i="30"/>
  <c r="IKS249" i="30"/>
  <c r="IKT249" i="30"/>
  <c r="IKU249" i="30"/>
  <c r="IKV249" i="30"/>
  <c r="IKW249" i="30"/>
  <c r="IKX249" i="30"/>
  <c r="IKY249" i="30"/>
  <c r="IKZ249" i="30"/>
  <c r="ILA249" i="30"/>
  <c r="ILB249" i="30"/>
  <c r="ILC249" i="30"/>
  <c r="ILD249" i="30"/>
  <c r="ILE249" i="30"/>
  <c r="ILF249" i="30"/>
  <c r="ILG249" i="30"/>
  <c r="ILH249" i="30"/>
  <c r="ILI249" i="30"/>
  <c r="ILJ249" i="30"/>
  <c r="ILK249" i="30"/>
  <c r="ILL249" i="30"/>
  <c r="ILM249" i="30"/>
  <c r="ILN249" i="30"/>
  <c r="ILO249" i="30"/>
  <c r="ILP249" i="30"/>
  <c r="ILQ249" i="30"/>
  <c r="ILR249" i="30"/>
  <c r="ILS249" i="30"/>
  <c r="ILT249" i="30"/>
  <c r="ILU249" i="30"/>
  <c r="ILV249" i="30"/>
  <c r="ILW249" i="30"/>
  <c r="ILX249" i="30"/>
  <c r="ILY249" i="30"/>
  <c r="ILZ249" i="30"/>
  <c r="IMA249" i="30"/>
  <c r="IMB249" i="30"/>
  <c r="IMC249" i="30"/>
  <c r="IMD249" i="30"/>
  <c r="IME249" i="30"/>
  <c r="IMF249" i="30"/>
  <c r="IMG249" i="30"/>
  <c r="IMH249" i="30"/>
  <c r="IMI249" i="30"/>
  <c r="IMJ249" i="30"/>
  <c r="IMK249" i="30"/>
  <c r="IML249" i="30"/>
  <c r="IMM249" i="30"/>
  <c r="IMN249" i="30"/>
  <c r="IMO249" i="30"/>
  <c r="IMP249" i="30"/>
  <c r="IMQ249" i="30"/>
  <c r="IMR249" i="30"/>
  <c r="IMS249" i="30"/>
  <c r="IMT249" i="30"/>
  <c r="IMU249" i="30"/>
  <c r="IMV249" i="30"/>
  <c r="IMW249" i="30"/>
  <c r="IMX249" i="30"/>
  <c r="IMY249" i="30"/>
  <c r="IMZ249" i="30"/>
  <c r="INA249" i="30"/>
  <c r="INB249" i="30"/>
  <c r="INC249" i="30"/>
  <c r="IND249" i="30"/>
  <c r="INE249" i="30"/>
  <c r="INF249" i="30"/>
  <c r="ING249" i="30"/>
  <c r="INH249" i="30"/>
  <c r="INI249" i="30"/>
  <c r="INJ249" i="30"/>
  <c r="INK249" i="30"/>
  <c r="INL249" i="30"/>
  <c r="INM249" i="30"/>
  <c r="INN249" i="30"/>
  <c r="INO249" i="30"/>
  <c r="INP249" i="30"/>
  <c r="INQ249" i="30"/>
  <c r="INR249" i="30"/>
  <c r="INS249" i="30"/>
  <c r="INT249" i="30"/>
  <c r="INU249" i="30"/>
  <c r="INV249" i="30"/>
  <c r="INW249" i="30"/>
  <c r="INX249" i="30"/>
  <c r="INY249" i="30"/>
  <c r="INZ249" i="30"/>
  <c r="IOA249" i="30"/>
  <c r="IOB249" i="30"/>
  <c r="IOC249" i="30"/>
  <c r="IOD249" i="30"/>
  <c r="IOE249" i="30"/>
  <c r="IOF249" i="30"/>
  <c r="IOG249" i="30"/>
  <c r="IOH249" i="30"/>
  <c r="IOI249" i="30"/>
  <c r="IOJ249" i="30"/>
  <c r="IOK249" i="30"/>
  <c r="IOL249" i="30"/>
  <c r="IOM249" i="30"/>
  <c r="ION249" i="30"/>
  <c r="IOO249" i="30"/>
  <c r="IOP249" i="30"/>
  <c r="IOQ249" i="30"/>
  <c r="IOR249" i="30"/>
  <c r="IOS249" i="30"/>
  <c r="IOT249" i="30"/>
  <c r="IOU249" i="30"/>
  <c r="IOV249" i="30"/>
  <c r="IOW249" i="30"/>
  <c r="IOX249" i="30"/>
  <c r="IOY249" i="30"/>
  <c r="IOZ249" i="30"/>
  <c r="IPA249" i="30"/>
  <c r="IPB249" i="30"/>
  <c r="IPC249" i="30"/>
  <c r="IPD249" i="30"/>
  <c r="IPE249" i="30"/>
  <c r="IPF249" i="30"/>
  <c r="IPG249" i="30"/>
  <c r="IPH249" i="30"/>
  <c r="IPI249" i="30"/>
  <c r="IPJ249" i="30"/>
  <c r="IPK249" i="30"/>
  <c r="IPL249" i="30"/>
  <c r="IPM249" i="30"/>
  <c r="IPN249" i="30"/>
  <c r="IPO249" i="30"/>
  <c r="IPP249" i="30"/>
  <c r="IPQ249" i="30"/>
  <c r="IPR249" i="30"/>
  <c r="IPS249" i="30"/>
  <c r="IPT249" i="30"/>
  <c r="IPU249" i="30"/>
  <c r="IPV249" i="30"/>
  <c r="IPW249" i="30"/>
  <c r="IPX249" i="30"/>
  <c r="IPY249" i="30"/>
  <c r="IPZ249" i="30"/>
  <c r="IQA249" i="30"/>
  <c r="IQB249" i="30"/>
  <c r="IQC249" i="30"/>
  <c r="IQD249" i="30"/>
  <c r="IQE249" i="30"/>
  <c r="IQF249" i="30"/>
  <c r="IQG249" i="30"/>
  <c r="IQH249" i="30"/>
  <c r="IQI249" i="30"/>
  <c r="IQJ249" i="30"/>
  <c r="IQK249" i="30"/>
  <c r="IQL249" i="30"/>
  <c r="IQM249" i="30"/>
  <c r="IQN249" i="30"/>
  <c r="IQO249" i="30"/>
  <c r="IQP249" i="30"/>
  <c r="IQQ249" i="30"/>
  <c r="IQR249" i="30"/>
  <c r="IQS249" i="30"/>
  <c r="IQT249" i="30"/>
  <c r="IQU249" i="30"/>
  <c r="IQV249" i="30"/>
  <c r="IQW249" i="30"/>
  <c r="IQX249" i="30"/>
  <c r="IQY249" i="30"/>
  <c r="IQZ249" i="30"/>
  <c r="IRA249" i="30"/>
  <c r="IRB249" i="30"/>
  <c r="IRC249" i="30"/>
  <c r="IRD249" i="30"/>
  <c r="IRE249" i="30"/>
  <c r="IRF249" i="30"/>
  <c r="IRG249" i="30"/>
  <c r="IRH249" i="30"/>
  <c r="IRI249" i="30"/>
  <c r="IRJ249" i="30"/>
  <c r="IRK249" i="30"/>
  <c r="IRL249" i="30"/>
  <c r="IRM249" i="30"/>
  <c r="IRN249" i="30"/>
  <c r="IRO249" i="30"/>
  <c r="IRP249" i="30"/>
  <c r="IRQ249" i="30"/>
  <c r="IRR249" i="30"/>
  <c r="IRS249" i="30"/>
  <c r="IRT249" i="30"/>
  <c r="IRU249" i="30"/>
  <c r="IRV249" i="30"/>
  <c r="IRW249" i="30"/>
  <c r="IRX249" i="30"/>
  <c r="IRY249" i="30"/>
  <c r="IRZ249" i="30"/>
  <c r="ISA249" i="30"/>
  <c r="ISB249" i="30"/>
  <c r="ISC249" i="30"/>
  <c r="ISD249" i="30"/>
  <c r="ISE249" i="30"/>
  <c r="ISF249" i="30"/>
  <c r="ISG249" i="30"/>
  <c r="ISH249" i="30"/>
  <c r="ISI249" i="30"/>
  <c r="ISJ249" i="30"/>
  <c r="ISK249" i="30"/>
  <c r="ISL249" i="30"/>
  <c r="ISM249" i="30"/>
  <c r="ISN249" i="30"/>
  <c r="ISO249" i="30"/>
  <c r="ISP249" i="30"/>
  <c r="ISQ249" i="30"/>
  <c r="ISR249" i="30"/>
  <c r="ISS249" i="30"/>
  <c r="IST249" i="30"/>
  <c r="ISU249" i="30"/>
  <c r="ISV249" i="30"/>
  <c r="ISW249" i="30"/>
  <c r="ISX249" i="30"/>
  <c r="ISY249" i="30"/>
  <c r="ISZ249" i="30"/>
  <c r="ITA249" i="30"/>
  <c r="ITB249" i="30"/>
  <c r="ITC249" i="30"/>
  <c r="ITD249" i="30"/>
  <c r="ITE249" i="30"/>
  <c r="ITF249" i="30"/>
  <c r="ITG249" i="30"/>
  <c r="ITH249" i="30"/>
  <c r="ITI249" i="30"/>
  <c r="ITJ249" i="30"/>
  <c r="ITK249" i="30"/>
  <c r="ITL249" i="30"/>
  <c r="ITM249" i="30"/>
  <c r="ITN249" i="30"/>
  <c r="ITO249" i="30"/>
  <c r="ITP249" i="30"/>
  <c r="ITQ249" i="30"/>
  <c r="ITR249" i="30"/>
  <c r="ITS249" i="30"/>
  <c r="ITT249" i="30"/>
  <c r="ITU249" i="30"/>
  <c r="ITV249" i="30"/>
  <c r="ITW249" i="30"/>
  <c r="ITX249" i="30"/>
  <c r="ITY249" i="30"/>
  <c r="ITZ249" i="30"/>
  <c r="IUA249" i="30"/>
  <c r="IUB249" i="30"/>
  <c r="IUC249" i="30"/>
  <c r="IUD249" i="30"/>
  <c r="IUE249" i="30"/>
  <c r="IUF249" i="30"/>
  <c r="IUG249" i="30"/>
  <c r="IUH249" i="30"/>
  <c r="IUI249" i="30"/>
  <c r="IUJ249" i="30"/>
  <c r="IUK249" i="30"/>
  <c r="IUL249" i="30"/>
  <c r="IUM249" i="30"/>
  <c r="IUN249" i="30"/>
  <c r="IUO249" i="30"/>
  <c r="IUP249" i="30"/>
  <c r="IUQ249" i="30"/>
  <c r="IUR249" i="30"/>
  <c r="IUS249" i="30"/>
  <c r="IUT249" i="30"/>
  <c r="IUU249" i="30"/>
  <c r="IUV249" i="30"/>
  <c r="IUW249" i="30"/>
  <c r="IUX249" i="30"/>
  <c r="IUY249" i="30"/>
  <c r="IUZ249" i="30"/>
  <c r="IVA249" i="30"/>
  <c r="IVB249" i="30"/>
  <c r="IVC249" i="30"/>
  <c r="IVD249" i="30"/>
  <c r="IVE249" i="30"/>
  <c r="IVF249" i="30"/>
  <c r="IVG249" i="30"/>
  <c r="IVH249" i="30"/>
  <c r="IVI249" i="30"/>
  <c r="IVJ249" i="30"/>
  <c r="IVK249" i="30"/>
  <c r="IVL249" i="30"/>
  <c r="IVM249" i="30"/>
  <c r="IVN249" i="30"/>
  <c r="IVO249" i="30"/>
  <c r="IVP249" i="30"/>
  <c r="IVQ249" i="30"/>
  <c r="IVR249" i="30"/>
  <c r="IVS249" i="30"/>
  <c r="IVT249" i="30"/>
  <c r="IVU249" i="30"/>
  <c r="IVV249" i="30"/>
  <c r="IVW249" i="30"/>
  <c r="IVX249" i="30"/>
  <c r="IVY249" i="30"/>
  <c r="IVZ249" i="30"/>
  <c r="IWA249" i="30"/>
  <c r="IWB249" i="30"/>
  <c r="IWC249" i="30"/>
  <c r="IWD249" i="30"/>
  <c r="IWE249" i="30"/>
  <c r="IWF249" i="30"/>
  <c r="IWG249" i="30"/>
  <c r="IWH249" i="30"/>
  <c r="IWI249" i="30"/>
  <c r="IWJ249" i="30"/>
  <c r="IWK249" i="30"/>
  <c r="IWL249" i="30"/>
  <c r="IWM249" i="30"/>
  <c r="IWN249" i="30"/>
  <c r="IWO249" i="30"/>
  <c r="IWP249" i="30"/>
  <c r="IWQ249" i="30"/>
  <c r="IWR249" i="30"/>
  <c r="IWS249" i="30"/>
  <c r="IWT249" i="30"/>
  <c r="IWU249" i="30"/>
  <c r="IWV249" i="30"/>
  <c r="IWW249" i="30"/>
  <c r="IWX249" i="30"/>
  <c r="IWY249" i="30"/>
  <c r="IWZ249" i="30"/>
  <c r="IXA249" i="30"/>
  <c r="IXB249" i="30"/>
  <c r="IXC249" i="30"/>
  <c r="IXD249" i="30"/>
  <c r="IXE249" i="30"/>
  <c r="IXF249" i="30"/>
  <c r="IXG249" i="30"/>
  <c r="IXH249" i="30"/>
  <c r="IXI249" i="30"/>
  <c r="IXJ249" i="30"/>
  <c r="IXK249" i="30"/>
  <c r="IXL249" i="30"/>
  <c r="IXM249" i="30"/>
  <c r="IXN249" i="30"/>
  <c r="IXO249" i="30"/>
  <c r="IXP249" i="30"/>
  <c r="IXQ249" i="30"/>
  <c r="IXR249" i="30"/>
  <c r="IXS249" i="30"/>
  <c r="IXT249" i="30"/>
  <c r="IXU249" i="30"/>
  <c r="IXV249" i="30"/>
  <c r="IXW249" i="30"/>
  <c r="IXX249" i="30"/>
  <c r="IXY249" i="30"/>
  <c r="IXZ249" i="30"/>
  <c r="IYA249" i="30"/>
  <c r="IYB249" i="30"/>
  <c r="IYC249" i="30"/>
  <c r="IYD249" i="30"/>
  <c r="IYE249" i="30"/>
  <c r="IYF249" i="30"/>
  <c r="IYG249" i="30"/>
  <c r="IYH249" i="30"/>
  <c r="IYI249" i="30"/>
  <c r="IYJ249" i="30"/>
  <c r="IYK249" i="30"/>
  <c r="IYL249" i="30"/>
  <c r="IYM249" i="30"/>
  <c r="IYN249" i="30"/>
  <c r="IYO249" i="30"/>
  <c r="IYP249" i="30"/>
  <c r="IYQ249" i="30"/>
  <c r="IYR249" i="30"/>
  <c r="IYS249" i="30"/>
  <c r="IYT249" i="30"/>
  <c r="IYU249" i="30"/>
  <c r="IYV249" i="30"/>
  <c r="IYW249" i="30"/>
  <c r="IYX249" i="30"/>
  <c r="IYY249" i="30"/>
  <c r="IYZ249" i="30"/>
  <c r="IZA249" i="30"/>
  <c r="IZB249" i="30"/>
  <c r="IZC249" i="30"/>
  <c r="IZD249" i="30"/>
  <c r="IZE249" i="30"/>
  <c r="IZF249" i="30"/>
  <c r="IZG249" i="30"/>
  <c r="IZH249" i="30"/>
  <c r="IZI249" i="30"/>
  <c r="IZJ249" i="30"/>
  <c r="IZK249" i="30"/>
  <c r="IZL249" i="30"/>
  <c r="IZM249" i="30"/>
  <c r="IZN249" i="30"/>
  <c r="IZO249" i="30"/>
  <c r="IZP249" i="30"/>
  <c r="IZQ249" i="30"/>
  <c r="IZR249" i="30"/>
  <c r="IZS249" i="30"/>
  <c r="IZT249" i="30"/>
  <c r="IZU249" i="30"/>
  <c r="IZV249" i="30"/>
  <c r="IZW249" i="30"/>
  <c r="IZX249" i="30"/>
  <c r="IZY249" i="30"/>
  <c r="IZZ249" i="30"/>
  <c r="JAA249" i="30"/>
  <c r="JAB249" i="30"/>
  <c r="JAC249" i="30"/>
  <c r="JAD249" i="30"/>
  <c r="JAE249" i="30"/>
  <c r="JAF249" i="30"/>
  <c r="JAG249" i="30"/>
  <c r="JAH249" i="30"/>
  <c r="JAI249" i="30"/>
  <c r="JAJ249" i="30"/>
  <c r="JAK249" i="30"/>
  <c r="JAL249" i="30"/>
  <c r="JAM249" i="30"/>
  <c r="JAN249" i="30"/>
  <c r="JAO249" i="30"/>
  <c r="JAP249" i="30"/>
  <c r="JAQ249" i="30"/>
  <c r="JAR249" i="30"/>
  <c r="JAS249" i="30"/>
  <c r="JAT249" i="30"/>
  <c r="JAU249" i="30"/>
  <c r="JAV249" i="30"/>
  <c r="JAW249" i="30"/>
  <c r="JAX249" i="30"/>
  <c r="JAY249" i="30"/>
  <c r="JAZ249" i="30"/>
  <c r="JBA249" i="30"/>
  <c r="JBB249" i="30"/>
  <c r="JBC249" i="30"/>
  <c r="JBD249" i="30"/>
  <c r="JBE249" i="30"/>
  <c r="JBF249" i="30"/>
  <c r="JBG249" i="30"/>
  <c r="JBH249" i="30"/>
  <c r="JBI249" i="30"/>
  <c r="JBJ249" i="30"/>
  <c r="JBK249" i="30"/>
  <c r="JBL249" i="30"/>
  <c r="JBM249" i="30"/>
  <c r="JBN249" i="30"/>
  <c r="JBO249" i="30"/>
  <c r="JBP249" i="30"/>
  <c r="JBQ249" i="30"/>
  <c r="JBR249" i="30"/>
  <c r="JBS249" i="30"/>
  <c r="JBT249" i="30"/>
  <c r="JBU249" i="30"/>
  <c r="JBV249" i="30"/>
  <c r="JBW249" i="30"/>
  <c r="JBX249" i="30"/>
  <c r="JBY249" i="30"/>
  <c r="JBZ249" i="30"/>
  <c r="JCA249" i="30"/>
  <c r="JCB249" i="30"/>
  <c r="JCC249" i="30"/>
  <c r="JCD249" i="30"/>
  <c r="JCE249" i="30"/>
  <c r="JCF249" i="30"/>
  <c r="JCG249" i="30"/>
  <c r="JCH249" i="30"/>
  <c r="JCI249" i="30"/>
  <c r="JCJ249" i="30"/>
  <c r="JCK249" i="30"/>
  <c r="JCL249" i="30"/>
  <c r="JCM249" i="30"/>
  <c r="JCN249" i="30"/>
  <c r="JCO249" i="30"/>
  <c r="JCP249" i="30"/>
  <c r="JCQ249" i="30"/>
  <c r="JCR249" i="30"/>
  <c r="JCS249" i="30"/>
  <c r="JCT249" i="30"/>
  <c r="JCU249" i="30"/>
  <c r="JCV249" i="30"/>
  <c r="JCW249" i="30"/>
  <c r="JCX249" i="30"/>
  <c r="JCY249" i="30"/>
  <c r="JCZ249" i="30"/>
  <c r="JDA249" i="30"/>
  <c r="JDB249" i="30"/>
  <c r="JDC249" i="30"/>
  <c r="JDD249" i="30"/>
  <c r="JDE249" i="30"/>
  <c r="JDF249" i="30"/>
  <c r="JDG249" i="30"/>
  <c r="JDH249" i="30"/>
  <c r="JDI249" i="30"/>
  <c r="JDJ249" i="30"/>
  <c r="JDK249" i="30"/>
  <c r="JDL249" i="30"/>
  <c r="JDM249" i="30"/>
  <c r="JDN249" i="30"/>
  <c r="JDO249" i="30"/>
  <c r="JDP249" i="30"/>
  <c r="JDQ249" i="30"/>
  <c r="JDR249" i="30"/>
  <c r="JDS249" i="30"/>
  <c r="JDT249" i="30"/>
  <c r="JDU249" i="30"/>
  <c r="JDV249" i="30"/>
  <c r="JDW249" i="30"/>
  <c r="JDX249" i="30"/>
  <c r="JDY249" i="30"/>
  <c r="JDZ249" i="30"/>
  <c r="JEA249" i="30"/>
  <c r="JEB249" i="30"/>
  <c r="JEC249" i="30"/>
  <c r="JED249" i="30"/>
  <c r="JEE249" i="30"/>
  <c r="JEF249" i="30"/>
  <c r="JEG249" i="30"/>
  <c r="JEH249" i="30"/>
  <c r="JEI249" i="30"/>
  <c r="JEJ249" i="30"/>
  <c r="JEK249" i="30"/>
  <c r="JEL249" i="30"/>
  <c r="JEM249" i="30"/>
  <c r="JEN249" i="30"/>
  <c r="JEO249" i="30"/>
  <c r="JEP249" i="30"/>
  <c r="JEQ249" i="30"/>
  <c r="JER249" i="30"/>
  <c r="JES249" i="30"/>
  <c r="JET249" i="30"/>
  <c r="JEU249" i="30"/>
  <c r="JEV249" i="30"/>
  <c r="JEW249" i="30"/>
  <c r="JEX249" i="30"/>
  <c r="JEY249" i="30"/>
  <c r="JEZ249" i="30"/>
  <c r="JFA249" i="30"/>
  <c r="JFB249" i="30"/>
  <c r="JFC249" i="30"/>
  <c r="JFD249" i="30"/>
  <c r="JFE249" i="30"/>
  <c r="JFF249" i="30"/>
  <c r="JFG249" i="30"/>
  <c r="JFH249" i="30"/>
  <c r="JFI249" i="30"/>
  <c r="JFJ249" i="30"/>
  <c r="JFK249" i="30"/>
  <c r="JFL249" i="30"/>
  <c r="JFM249" i="30"/>
  <c r="JFN249" i="30"/>
  <c r="JFO249" i="30"/>
  <c r="JFP249" i="30"/>
  <c r="JFQ249" i="30"/>
  <c r="JFR249" i="30"/>
  <c r="JFS249" i="30"/>
  <c r="JFT249" i="30"/>
  <c r="JFU249" i="30"/>
  <c r="JFV249" i="30"/>
  <c r="JFW249" i="30"/>
  <c r="JFX249" i="30"/>
  <c r="JFY249" i="30"/>
  <c r="JFZ249" i="30"/>
  <c r="JGA249" i="30"/>
  <c r="JGB249" i="30"/>
  <c r="JGC249" i="30"/>
  <c r="JGD249" i="30"/>
  <c r="JGE249" i="30"/>
  <c r="JGF249" i="30"/>
  <c r="JGG249" i="30"/>
  <c r="JGH249" i="30"/>
  <c r="JGI249" i="30"/>
  <c r="JGJ249" i="30"/>
  <c r="JGK249" i="30"/>
  <c r="JGL249" i="30"/>
  <c r="JGM249" i="30"/>
  <c r="JGN249" i="30"/>
  <c r="JGO249" i="30"/>
  <c r="JGP249" i="30"/>
  <c r="JGQ249" i="30"/>
  <c r="JGR249" i="30"/>
  <c r="JGS249" i="30"/>
  <c r="JGT249" i="30"/>
  <c r="JGU249" i="30"/>
  <c r="JGV249" i="30"/>
  <c r="JGW249" i="30"/>
  <c r="JGX249" i="30"/>
  <c r="JGY249" i="30"/>
  <c r="JGZ249" i="30"/>
  <c r="JHA249" i="30"/>
  <c r="JHB249" i="30"/>
  <c r="JHC249" i="30"/>
  <c r="JHD249" i="30"/>
  <c r="JHE249" i="30"/>
  <c r="JHF249" i="30"/>
  <c r="JHG249" i="30"/>
  <c r="JHH249" i="30"/>
  <c r="JHI249" i="30"/>
  <c r="JHJ249" i="30"/>
  <c r="JHK249" i="30"/>
  <c r="JHL249" i="30"/>
  <c r="JHM249" i="30"/>
  <c r="JHN249" i="30"/>
  <c r="JHO249" i="30"/>
  <c r="JHP249" i="30"/>
  <c r="JHQ249" i="30"/>
  <c r="JHR249" i="30"/>
  <c r="JHS249" i="30"/>
  <c r="JHT249" i="30"/>
  <c r="JHU249" i="30"/>
  <c r="JHV249" i="30"/>
  <c r="JHW249" i="30"/>
  <c r="JHX249" i="30"/>
  <c r="JHY249" i="30"/>
  <c r="JHZ249" i="30"/>
  <c r="JIA249" i="30"/>
  <c r="JIB249" i="30"/>
  <c r="JIC249" i="30"/>
  <c r="JID249" i="30"/>
  <c r="JIE249" i="30"/>
  <c r="JIF249" i="30"/>
  <c r="JIG249" i="30"/>
  <c r="JIH249" i="30"/>
  <c r="JII249" i="30"/>
  <c r="JIJ249" i="30"/>
  <c r="JIK249" i="30"/>
  <c r="JIL249" i="30"/>
  <c r="JIM249" i="30"/>
  <c r="JIN249" i="30"/>
  <c r="JIO249" i="30"/>
  <c r="JIP249" i="30"/>
  <c r="JIQ249" i="30"/>
  <c r="JIR249" i="30"/>
  <c r="JIS249" i="30"/>
  <c r="JIT249" i="30"/>
  <c r="JIU249" i="30"/>
  <c r="JIV249" i="30"/>
  <c r="JIW249" i="30"/>
  <c r="JIX249" i="30"/>
  <c r="JIY249" i="30"/>
  <c r="JIZ249" i="30"/>
  <c r="JJA249" i="30"/>
  <c r="JJB249" i="30"/>
  <c r="JJC249" i="30"/>
  <c r="JJD249" i="30"/>
  <c r="JJE249" i="30"/>
  <c r="JJF249" i="30"/>
  <c r="JJG249" i="30"/>
  <c r="JJH249" i="30"/>
  <c r="JJI249" i="30"/>
  <c r="JJJ249" i="30"/>
  <c r="JJK249" i="30"/>
  <c r="JJL249" i="30"/>
  <c r="JJM249" i="30"/>
  <c r="JJN249" i="30"/>
  <c r="JJO249" i="30"/>
  <c r="JJP249" i="30"/>
  <c r="JJQ249" i="30"/>
  <c r="JJR249" i="30"/>
  <c r="JJS249" i="30"/>
  <c r="JJT249" i="30"/>
  <c r="JJU249" i="30"/>
  <c r="JJV249" i="30"/>
  <c r="JJW249" i="30"/>
  <c r="JJX249" i="30"/>
  <c r="JJY249" i="30"/>
  <c r="JJZ249" i="30"/>
  <c r="JKA249" i="30"/>
  <c r="JKB249" i="30"/>
  <c r="JKC249" i="30"/>
  <c r="JKD249" i="30"/>
  <c r="JKE249" i="30"/>
  <c r="JKF249" i="30"/>
  <c r="JKG249" i="30"/>
  <c r="JKH249" i="30"/>
  <c r="JKI249" i="30"/>
  <c r="JKJ249" i="30"/>
  <c r="JKK249" i="30"/>
  <c r="JKL249" i="30"/>
  <c r="JKM249" i="30"/>
  <c r="JKN249" i="30"/>
  <c r="JKO249" i="30"/>
  <c r="JKP249" i="30"/>
  <c r="JKQ249" i="30"/>
  <c r="JKR249" i="30"/>
  <c r="JKS249" i="30"/>
  <c r="JKT249" i="30"/>
  <c r="JKU249" i="30"/>
  <c r="JKV249" i="30"/>
  <c r="JKW249" i="30"/>
  <c r="JKX249" i="30"/>
  <c r="JKY249" i="30"/>
  <c r="JKZ249" i="30"/>
  <c r="JLA249" i="30"/>
  <c r="JLB249" i="30"/>
  <c r="JLC249" i="30"/>
  <c r="JLD249" i="30"/>
  <c r="JLE249" i="30"/>
  <c r="JLF249" i="30"/>
  <c r="JLG249" i="30"/>
  <c r="JLH249" i="30"/>
  <c r="JLI249" i="30"/>
  <c r="JLJ249" i="30"/>
  <c r="JLK249" i="30"/>
  <c r="JLL249" i="30"/>
  <c r="JLM249" i="30"/>
  <c r="JLN249" i="30"/>
  <c r="JLO249" i="30"/>
  <c r="JLP249" i="30"/>
  <c r="JLQ249" i="30"/>
  <c r="JLR249" i="30"/>
  <c r="JLS249" i="30"/>
  <c r="JLT249" i="30"/>
  <c r="JLU249" i="30"/>
  <c r="JLV249" i="30"/>
  <c r="JLW249" i="30"/>
  <c r="JLX249" i="30"/>
  <c r="JLY249" i="30"/>
  <c r="JLZ249" i="30"/>
  <c r="JMA249" i="30"/>
  <c r="JMB249" i="30"/>
  <c r="JMC249" i="30"/>
  <c r="JMD249" i="30"/>
  <c r="JME249" i="30"/>
  <c r="JMF249" i="30"/>
  <c r="JMG249" i="30"/>
  <c r="JMH249" i="30"/>
  <c r="JMI249" i="30"/>
  <c r="JMJ249" i="30"/>
  <c r="JMK249" i="30"/>
  <c r="JML249" i="30"/>
  <c r="JMM249" i="30"/>
  <c r="JMN249" i="30"/>
  <c r="JMO249" i="30"/>
  <c r="JMP249" i="30"/>
  <c r="JMQ249" i="30"/>
  <c r="JMR249" i="30"/>
  <c r="JMS249" i="30"/>
  <c r="JMT249" i="30"/>
  <c r="JMU249" i="30"/>
  <c r="JMV249" i="30"/>
  <c r="JMW249" i="30"/>
  <c r="JMX249" i="30"/>
  <c r="JMY249" i="30"/>
  <c r="JMZ249" i="30"/>
  <c r="JNA249" i="30"/>
  <c r="JNB249" i="30"/>
  <c r="JNC249" i="30"/>
  <c r="JND249" i="30"/>
  <c r="JNE249" i="30"/>
  <c r="JNF249" i="30"/>
  <c r="JNG249" i="30"/>
  <c r="JNH249" i="30"/>
  <c r="JNI249" i="30"/>
  <c r="JNJ249" i="30"/>
  <c r="JNK249" i="30"/>
  <c r="JNL249" i="30"/>
  <c r="JNM249" i="30"/>
  <c r="JNN249" i="30"/>
  <c r="JNO249" i="30"/>
  <c r="JNP249" i="30"/>
  <c r="JNQ249" i="30"/>
  <c r="JNR249" i="30"/>
  <c r="JNS249" i="30"/>
  <c r="JNT249" i="30"/>
  <c r="JNU249" i="30"/>
  <c r="JNV249" i="30"/>
  <c r="JNW249" i="30"/>
  <c r="JNX249" i="30"/>
  <c r="JNY249" i="30"/>
  <c r="JNZ249" i="30"/>
  <c r="JOA249" i="30"/>
  <c r="JOB249" i="30"/>
  <c r="JOC249" i="30"/>
  <c r="JOD249" i="30"/>
  <c r="JOE249" i="30"/>
  <c r="JOF249" i="30"/>
  <c r="JOG249" i="30"/>
  <c r="JOH249" i="30"/>
  <c r="JOI249" i="30"/>
  <c r="JOJ249" i="30"/>
  <c r="JOK249" i="30"/>
  <c r="JOL249" i="30"/>
  <c r="JOM249" i="30"/>
  <c r="JON249" i="30"/>
  <c r="JOO249" i="30"/>
  <c r="JOP249" i="30"/>
  <c r="JOQ249" i="30"/>
  <c r="JOR249" i="30"/>
  <c r="JOS249" i="30"/>
  <c r="JOT249" i="30"/>
  <c r="JOU249" i="30"/>
  <c r="JOV249" i="30"/>
  <c r="JOW249" i="30"/>
  <c r="JOX249" i="30"/>
  <c r="JOY249" i="30"/>
  <c r="JOZ249" i="30"/>
  <c r="JPA249" i="30"/>
  <c r="JPB249" i="30"/>
  <c r="JPC249" i="30"/>
  <c r="JPD249" i="30"/>
  <c r="JPE249" i="30"/>
  <c r="JPF249" i="30"/>
  <c r="JPG249" i="30"/>
  <c r="JPH249" i="30"/>
  <c r="JPI249" i="30"/>
  <c r="JPJ249" i="30"/>
  <c r="JPK249" i="30"/>
  <c r="JPL249" i="30"/>
  <c r="JPM249" i="30"/>
  <c r="JPN249" i="30"/>
  <c r="JPO249" i="30"/>
  <c r="JPP249" i="30"/>
  <c r="JPQ249" i="30"/>
  <c r="JPR249" i="30"/>
  <c r="JPS249" i="30"/>
  <c r="JPT249" i="30"/>
  <c r="JPU249" i="30"/>
  <c r="JPV249" i="30"/>
  <c r="JPW249" i="30"/>
  <c r="JPX249" i="30"/>
  <c r="JPY249" i="30"/>
  <c r="JPZ249" i="30"/>
  <c r="JQA249" i="30"/>
  <c r="JQB249" i="30"/>
  <c r="JQC249" i="30"/>
  <c r="JQD249" i="30"/>
  <c r="JQE249" i="30"/>
  <c r="JQF249" i="30"/>
  <c r="JQG249" i="30"/>
  <c r="JQH249" i="30"/>
  <c r="JQI249" i="30"/>
  <c r="JQJ249" i="30"/>
  <c r="JQK249" i="30"/>
  <c r="JQL249" i="30"/>
  <c r="JQM249" i="30"/>
  <c r="JQN249" i="30"/>
  <c r="JQO249" i="30"/>
  <c r="JQP249" i="30"/>
  <c r="JQQ249" i="30"/>
  <c r="JQR249" i="30"/>
  <c r="JQS249" i="30"/>
  <c r="JQT249" i="30"/>
  <c r="JQU249" i="30"/>
  <c r="JQV249" i="30"/>
  <c r="JQW249" i="30"/>
  <c r="JQX249" i="30"/>
  <c r="JQY249" i="30"/>
  <c r="JQZ249" i="30"/>
  <c r="JRA249" i="30"/>
  <c r="JRB249" i="30"/>
  <c r="JRC249" i="30"/>
  <c r="JRD249" i="30"/>
  <c r="JRE249" i="30"/>
  <c r="JRF249" i="30"/>
  <c r="JRG249" i="30"/>
  <c r="JRH249" i="30"/>
  <c r="JRI249" i="30"/>
  <c r="JRJ249" i="30"/>
  <c r="JRK249" i="30"/>
  <c r="JRL249" i="30"/>
  <c r="JRM249" i="30"/>
  <c r="JRN249" i="30"/>
  <c r="JRO249" i="30"/>
  <c r="JRP249" i="30"/>
  <c r="JRQ249" i="30"/>
  <c r="JRR249" i="30"/>
  <c r="JRS249" i="30"/>
  <c r="JRT249" i="30"/>
  <c r="JRU249" i="30"/>
  <c r="JRV249" i="30"/>
  <c r="JRW249" i="30"/>
  <c r="JRX249" i="30"/>
  <c r="JRY249" i="30"/>
  <c r="JRZ249" i="30"/>
  <c r="JSA249" i="30"/>
  <c r="JSB249" i="30"/>
  <c r="JSC249" i="30"/>
  <c r="JSD249" i="30"/>
  <c r="JSE249" i="30"/>
  <c r="JSF249" i="30"/>
  <c r="JSG249" i="30"/>
  <c r="JSH249" i="30"/>
  <c r="JSI249" i="30"/>
  <c r="JSJ249" i="30"/>
  <c r="JSK249" i="30"/>
  <c r="JSL249" i="30"/>
  <c r="JSM249" i="30"/>
  <c r="JSN249" i="30"/>
  <c r="JSO249" i="30"/>
  <c r="JSP249" i="30"/>
  <c r="JSQ249" i="30"/>
  <c r="JSR249" i="30"/>
  <c r="JSS249" i="30"/>
  <c r="JST249" i="30"/>
  <c r="JSU249" i="30"/>
  <c r="JSV249" i="30"/>
  <c r="JSW249" i="30"/>
  <c r="JSX249" i="30"/>
  <c r="JSY249" i="30"/>
  <c r="JSZ249" i="30"/>
  <c r="JTA249" i="30"/>
  <c r="JTB249" i="30"/>
  <c r="JTC249" i="30"/>
  <c r="JTD249" i="30"/>
  <c r="JTE249" i="30"/>
  <c r="JTF249" i="30"/>
  <c r="JTG249" i="30"/>
  <c r="JTH249" i="30"/>
  <c r="JTI249" i="30"/>
  <c r="JTJ249" i="30"/>
  <c r="JTK249" i="30"/>
  <c r="JTL249" i="30"/>
  <c r="JTM249" i="30"/>
  <c r="JTN249" i="30"/>
  <c r="JTO249" i="30"/>
  <c r="JTP249" i="30"/>
  <c r="JTQ249" i="30"/>
  <c r="JTR249" i="30"/>
  <c r="JTS249" i="30"/>
  <c r="JTT249" i="30"/>
  <c r="JTU249" i="30"/>
  <c r="JTV249" i="30"/>
  <c r="JTW249" i="30"/>
  <c r="JTX249" i="30"/>
  <c r="JTY249" i="30"/>
  <c r="JTZ249" i="30"/>
  <c r="JUA249" i="30"/>
  <c r="JUB249" i="30"/>
  <c r="JUC249" i="30"/>
  <c r="JUD249" i="30"/>
  <c r="JUE249" i="30"/>
  <c r="JUF249" i="30"/>
  <c r="JUG249" i="30"/>
  <c r="JUH249" i="30"/>
  <c r="JUI249" i="30"/>
  <c r="JUJ249" i="30"/>
  <c r="JUK249" i="30"/>
  <c r="JUL249" i="30"/>
  <c r="JUM249" i="30"/>
  <c r="JUN249" i="30"/>
  <c r="JUO249" i="30"/>
  <c r="JUP249" i="30"/>
  <c r="JUQ249" i="30"/>
  <c r="JUR249" i="30"/>
  <c r="JUS249" i="30"/>
  <c r="JUT249" i="30"/>
  <c r="JUU249" i="30"/>
  <c r="JUV249" i="30"/>
  <c r="JUW249" i="30"/>
  <c r="JUX249" i="30"/>
  <c r="JUY249" i="30"/>
  <c r="JUZ249" i="30"/>
  <c r="JVA249" i="30"/>
  <c r="JVB249" i="30"/>
  <c r="JVC249" i="30"/>
  <c r="JVD249" i="30"/>
  <c r="JVE249" i="30"/>
  <c r="JVF249" i="30"/>
  <c r="JVG249" i="30"/>
  <c r="JVH249" i="30"/>
  <c r="JVI249" i="30"/>
  <c r="JVJ249" i="30"/>
  <c r="JVK249" i="30"/>
  <c r="JVL249" i="30"/>
  <c r="JVM249" i="30"/>
  <c r="JVN249" i="30"/>
  <c r="JVO249" i="30"/>
  <c r="JVP249" i="30"/>
  <c r="JVQ249" i="30"/>
  <c r="JVR249" i="30"/>
  <c r="JVS249" i="30"/>
  <c r="JVT249" i="30"/>
  <c r="JVU249" i="30"/>
  <c r="JVV249" i="30"/>
  <c r="JVW249" i="30"/>
  <c r="JVX249" i="30"/>
  <c r="JVY249" i="30"/>
  <c r="JVZ249" i="30"/>
  <c r="JWA249" i="30"/>
  <c r="JWB249" i="30"/>
  <c r="JWC249" i="30"/>
  <c r="JWD249" i="30"/>
  <c r="JWE249" i="30"/>
  <c r="JWF249" i="30"/>
  <c r="JWG249" i="30"/>
  <c r="JWH249" i="30"/>
  <c r="JWI249" i="30"/>
  <c r="JWJ249" i="30"/>
  <c r="JWK249" i="30"/>
  <c r="JWL249" i="30"/>
  <c r="JWM249" i="30"/>
  <c r="JWN249" i="30"/>
  <c r="JWO249" i="30"/>
  <c r="JWP249" i="30"/>
  <c r="JWQ249" i="30"/>
  <c r="JWR249" i="30"/>
  <c r="JWS249" i="30"/>
  <c r="JWT249" i="30"/>
  <c r="JWU249" i="30"/>
  <c r="JWV249" i="30"/>
  <c r="JWW249" i="30"/>
  <c r="JWX249" i="30"/>
  <c r="JWY249" i="30"/>
  <c r="JWZ249" i="30"/>
  <c r="JXA249" i="30"/>
  <c r="JXB249" i="30"/>
  <c r="JXC249" i="30"/>
  <c r="JXD249" i="30"/>
  <c r="JXE249" i="30"/>
  <c r="JXF249" i="30"/>
  <c r="JXG249" i="30"/>
  <c r="JXH249" i="30"/>
  <c r="JXI249" i="30"/>
  <c r="JXJ249" i="30"/>
  <c r="JXK249" i="30"/>
  <c r="JXL249" i="30"/>
  <c r="JXM249" i="30"/>
  <c r="JXN249" i="30"/>
  <c r="JXO249" i="30"/>
  <c r="JXP249" i="30"/>
  <c r="JXQ249" i="30"/>
  <c r="JXR249" i="30"/>
  <c r="JXS249" i="30"/>
  <c r="JXT249" i="30"/>
  <c r="JXU249" i="30"/>
  <c r="JXV249" i="30"/>
  <c r="JXW249" i="30"/>
  <c r="JXX249" i="30"/>
  <c r="JXY249" i="30"/>
  <c r="JXZ249" i="30"/>
  <c r="JYA249" i="30"/>
  <c r="JYB249" i="30"/>
  <c r="JYC249" i="30"/>
  <c r="JYD249" i="30"/>
  <c r="JYE249" i="30"/>
  <c r="JYF249" i="30"/>
  <c r="JYG249" i="30"/>
  <c r="JYH249" i="30"/>
  <c r="JYI249" i="30"/>
  <c r="JYJ249" i="30"/>
  <c r="JYK249" i="30"/>
  <c r="JYL249" i="30"/>
  <c r="JYM249" i="30"/>
  <c r="JYN249" i="30"/>
  <c r="JYO249" i="30"/>
  <c r="JYP249" i="30"/>
  <c r="JYQ249" i="30"/>
  <c r="JYR249" i="30"/>
  <c r="JYS249" i="30"/>
  <c r="JYT249" i="30"/>
  <c r="JYU249" i="30"/>
  <c r="JYV249" i="30"/>
  <c r="JYW249" i="30"/>
  <c r="JYX249" i="30"/>
  <c r="JYY249" i="30"/>
  <c r="JYZ249" i="30"/>
  <c r="JZA249" i="30"/>
  <c r="JZB249" i="30"/>
  <c r="JZC249" i="30"/>
  <c r="JZD249" i="30"/>
  <c r="JZE249" i="30"/>
  <c r="JZF249" i="30"/>
  <c r="JZG249" i="30"/>
  <c r="JZH249" i="30"/>
  <c r="JZI249" i="30"/>
  <c r="JZJ249" i="30"/>
  <c r="JZK249" i="30"/>
  <c r="JZL249" i="30"/>
  <c r="JZM249" i="30"/>
  <c r="JZN249" i="30"/>
  <c r="JZO249" i="30"/>
  <c r="JZP249" i="30"/>
  <c r="JZQ249" i="30"/>
  <c r="JZR249" i="30"/>
  <c r="JZS249" i="30"/>
  <c r="JZT249" i="30"/>
  <c r="JZU249" i="30"/>
  <c r="JZV249" i="30"/>
  <c r="JZW249" i="30"/>
  <c r="JZX249" i="30"/>
  <c r="JZY249" i="30"/>
  <c r="JZZ249" i="30"/>
  <c r="KAA249" i="30"/>
  <c r="KAB249" i="30"/>
  <c r="KAC249" i="30"/>
  <c r="KAD249" i="30"/>
  <c r="KAE249" i="30"/>
  <c r="KAF249" i="30"/>
  <c r="KAG249" i="30"/>
  <c r="KAH249" i="30"/>
  <c r="KAI249" i="30"/>
  <c r="KAJ249" i="30"/>
  <c r="KAK249" i="30"/>
  <c r="KAL249" i="30"/>
  <c r="KAM249" i="30"/>
  <c r="KAN249" i="30"/>
  <c r="KAO249" i="30"/>
  <c r="KAP249" i="30"/>
  <c r="KAQ249" i="30"/>
  <c r="KAR249" i="30"/>
  <c r="KAS249" i="30"/>
  <c r="KAT249" i="30"/>
  <c r="KAU249" i="30"/>
  <c r="KAV249" i="30"/>
  <c r="KAW249" i="30"/>
  <c r="KAX249" i="30"/>
  <c r="KAY249" i="30"/>
  <c r="KAZ249" i="30"/>
  <c r="KBA249" i="30"/>
  <c r="KBB249" i="30"/>
  <c r="KBC249" i="30"/>
  <c r="KBD249" i="30"/>
  <c r="KBE249" i="30"/>
  <c r="KBF249" i="30"/>
  <c r="KBG249" i="30"/>
  <c r="KBH249" i="30"/>
  <c r="KBI249" i="30"/>
  <c r="KBJ249" i="30"/>
  <c r="KBK249" i="30"/>
  <c r="KBL249" i="30"/>
  <c r="KBM249" i="30"/>
  <c r="KBN249" i="30"/>
  <c r="KBO249" i="30"/>
  <c r="KBP249" i="30"/>
  <c r="KBQ249" i="30"/>
  <c r="KBR249" i="30"/>
  <c r="KBS249" i="30"/>
  <c r="KBT249" i="30"/>
  <c r="KBU249" i="30"/>
  <c r="KBV249" i="30"/>
  <c r="KBW249" i="30"/>
  <c r="KBX249" i="30"/>
  <c r="KBY249" i="30"/>
  <c r="KBZ249" i="30"/>
  <c r="KCA249" i="30"/>
  <c r="KCB249" i="30"/>
  <c r="KCC249" i="30"/>
  <c r="KCD249" i="30"/>
  <c r="KCE249" i="30"/>
  <c r="KCF249" i="30"/>
  <c r="KCG249" i="30"/>
  <c r="KCH249" i="30"/>
  <c r="KCI249" i="30"/>
  <c r="KCJ249" i="30"/>
  <c r="KCK249" i="30"/>
  <c r="KCL249" i="30"/>
  <c r="KCM249" i="30"/>
  <c r="KCN249" i="30"/>
  <c r="KCO249" i="30"/>
  <c r="KCP249" i="30"/>
  <c r="KCQ249" i="30"/>
  <c r="KCR249" i="30"/>
  <c r="KCS249" i="30"/>
  <c r="KCT249" i="30"/>
  <c r="KCU249" i="30"/>
  <c r="KCV249" i="30"/>
  <c r="KCW249" i="30"/>
  <c r="KCX249" i="30"/>
  <c r="KCY249" i="30"/>
  <c r="KCZ249" i="30"/>
  <c r="KDA249" i="30"/>
  <c r="KDB249" i="30"/>
  <c r="KDC249" i="30"/>
  <c r="KDD249" i="30"/>
  <c r="KDE249" i="30"/>
  <c r="KDF249" i="30"/>
  <c r="KDG249" i="30"/>
  <c r="KDH249" i="30"/>
  <c r="KDI249" i="30"/>
  <c r="KDJ249" i="30"/>
  <c r="KDK249" i="30"/>
  <c r="KDL249" i="30"/>
  <c r="KDM249" i="30"/>
  <c r="KDN249" i="30"/>
  <c r="KDO249" i="30"/>
  <c r="KDP249" i="30"/>
  <c r="KDQ249" i="30"/>
  <c r="KDR249" i="30"/>
  <c r="KDS249" i="30"/>
  <c r="KDT249" i="30"/>
  <c r="KDU249" i="30"/>
  <c r="KDV249" i="30"/>
  <c r="KDW249" i="30"/>
  <c r="KDX249" i="30"/>
  <c r="KDY249" i="30"/>
  <c r="KDZ249" i="30"/>
  <c r="KEA249" i="30"/>
  <c r="KEB249" i="30"/>
  <c r="KEC249" i="30"/>
  <c r="KED249" i="30"/>
  <c r="KEE249" i="30"/>
  <c r="KEF249" i="30"/>
  <c r="KEG249" i="30"/>
  <c r="KEH249" i="30"/>
  <c r="KEI249" i="30"/>
  <c r="KEJ249" i="30"/>
  <c r="KEK249" i="30"/>
  <c r="KEL249" i="30"/>
  <c r="KEM249" i="30"/>
  <c r="KEN249" i="30"/>
  <c r="KEO249" i="30"/>
  <c r="KEP249" i="30"/>
  <c r="KEQ249" i="30"/>
  <c r="KER249" i="30"/>
  <c r="KES249" i="30"/>
  <c r="KET249" i="30"/>
  <c r="KEU249" i="30"/>
  <c r="KEV249" i="30"/>
  <c r="KEW249" i="30"/>
  <c r="KEX249" i="30"/>
  <c r="KEY249" i="30"/>
  <c r="KEZ249" i="30"/>
  <c r="KFA249" i="30"/>
  <c r="KFB249" i="30"/>
  <c r="KFC249" i="30"/>
  <c r="KFD249" i="30"/>
  <c r="KFE249" i="30"/>
  <c r="KFF249" i="30"/>
  <c r="KFG249" i="30"/>
  <c r="KFH249" i="30"/>
  <c r="KFI249" i="30"/>
  <c r="KFJ249" i="30"/>
  <c r="KFK249" i="30"/>
  <c r="KFL249" i="30"/>
  <c r="KFM249" i="30"/>
  <c r="KFN249" i="30"/>
  <c r="KFO249" i="30"/>
  <c r="KFP249" i="30"/>
  <c r="KFQ249" i="30"/>
  <c r="KFR249" i="30"/>
  <c r="KFS249" i="30"/>
  <c r="KFT249" i="30"/>
  <c r="KFU249" i="30"/>
  <c r="KFV249" i="30"/>
  <c r="KFW249" i="30"/>
  <c r="KFX249" i="30"/>
  <c r="KFY249" i="30"/>
  <c r="KFZ249" i="30"/>
  <c r="KGA249" i="30"/>
  <c r="KGB249" i="30"/>
  <c r="KGC249" i="30"/>
  <c r="KGD249" i="30"/>
  <c r="KGE249" i="30"/>
  <c r="KGF249" i="30"/>
  <c r="KGG249" i="30"/>
  <c r="KGH249" i="30"/>
  <c r="KGI249" i="30"/>
  <c r="KGJ249" i="30"/>
  <c r="KGK249" i="30"/>
  <c r="KGL249" i="30"/>
  <c r="KGM249" i="30"/>
  <c r="KGN249" i="30"/>
  <c r="KGO249" i="30"/>
  <c r="KGP249" i="30"/>
  <c r="KGQ249" i="30"/>
  <c r="KGR249" i="30"/>
  <c r="KGS249" i="30"/>
  <c r="KGT249" i="30"/>
  <c r="KGU249" i="30"/>
  <c r="KGV249" i="30"/>
  <c r="KGW249" i="30"/>
  <c r="KGX249" i="30"/>
  <c r="KGY249" i="30"/>
  <c r="KGZ249" i="30"/>
  <c r="KHA249" i="30"/>
  <c r="KHB249" i="30"/>
  <c r="KHC249" i="30"/>
  <c r="KHD249" i="30"/>
  <c r="KHE249" i="30"/>
  <c r="KHF249" i="30"/>
  <c r="KHG249" i="30"/>
  <c r="KHH249" i="30"/>
  <c r="KHI249" i="30"/>
  <c r="KHJ249" i="30"/>
  <c r="KHK249" i="30"/>
  <c r="KHL249" i="30"/>
  <c r="KHM249" i="30"/>
  <c r="KHN249" i="30"/>
  <c r="KHO249" i="30"/>
  <c r="KHP249" i="30"/>
  <c r="KHQ249" i="30"/>
  <c r="KHR249" i="30"/>
  <c r="KHS249" i="30"/>
  <c r="KHT249" i="30"/>
  <c r="KHU249" i="30"/>
  <c r="KHV249" i="30"/>
  <c r="KHW249" i="30"/>
  <c r="KHX249" i="30"/>
  <c r="KHY249" i="30"/>
  <c r="KHZ249" i="30"/>
  <c r="KIA249" i="30"/>
  <c r="KIB249" i="30"/>
  <c r="KIC249" i="30"/>
  <c r="KID249" i="30"/>
  <c r="KIE249" i="30"/>
  <c r="KIF249" i="30"/>
  <c r="KIG249" i="30"/>
  <c r="KIH249" i="30"/>
  <c r="KII249" i="30"/>
  <c r="KIJ249" i="30"/>
  <c r="KIK249" i="30"/>
  <c r="KIL249" i="30"/>
  <c r="KIM249" i="30"/>
  <c r="KIN249" i="30"/>
  <c r="KIO249" i="30"/>
  <c r="KIP249" i="30"/>
  <c r="KIQ249" i="30"/>
  <c r="KIR249" i="30"/>
  <c r="KIS249" i="30"/>
  <c r="KIT249" i="30"/>
  <c r="KIU249" i="30"/>
  <c r="KIV249" i="30"/>
  <c r="KIW249" i="30"/>
  <c r="KIX249" i="30"/>
  <c r="KIY249" i="30"/>
  <c r="KIZ249" i="30"/>
  <c r="KJA249" i="30"/>
  <c r="KJB249" i="30"/>
  <c r="KJC249" i="30"/>
  <c r="KJD249" i="30"/>
  <c r="KJE249" i="30"/>
  <c r="KJF249" i="30"/>
  <c r="KJG249" i="30"/>
  <c r="KJH249" i="30"/>
  <c r="KJI249" i="30"/>
  <c r="KJJ249" i="30"/>
  <c r="KJK249" i="30"/>
  <c r="KJL249" i="30"/>
  <c r="KJM249" i="30"/>
  <c r="KJN249" i="30"/>
  <c r="KJO249" i="30"/>
  <c r="KJP249" i="30"/>
  <c r="KJQ249" i="30"/>
  <c r="KJR249" i="30"/>
  <c r="KJS249" i="30"/>
  <c r="KJT249" i="30"/>
  <c r="KJU249" i="30"/>
  <c r="KJV249" i="30"/>
  <c r="KJW249" i="30"/>
  <c r="KJX249" i="30"/>
  <c r="KJY249" i="30"/>
  <c r="KJZ249" i="30"/>
  <c r="KKA249" i="30"/>
  <c r="KKB249" i="30"/>
  <c r="KKC249" i="30"/>
  <c r="KKD249" i="30"/>
  <c r="KKE249" i="30"/>
  <c r="KKF249" i="30"/>
  <c r="KKG249" i="30"/>
  <c r="KKH249" i="30"/>
  <c r="KKI249" i="30"/>
  <c r="KKJ249" i="30"/>
  <c r="KKK249" i="30"/>
  <c r="KKL249" i="30"/>
  <c r="KKM249" i="30"/>
  <c r="KKN249" i="30"/>
  <c r="KKO249" i="30"/>
  <c r="KKP249" i="30"/>
  <c r="KKQ249" i="30"/>
  <c r="KKR249" i="30"/>
  <c r="KKS249" i="30"/>
  <c r="KKT249" i="30"/>
  <c r="KKU249" i="30"/>
  <c r="KKV249" i="30"/>
  <c r="KKW249" i="30"/>
  <c r="KKX249" i="30"/>
  <c r="KKY249" i="30"/>
  <c r="KKZ249" i="30"/>
  <c r="KLA249" i="30"/>
  <c r="KLB249" i="30"/>
  <c r="KLC249" i="30"/>
  <c r="KLD249" i="30"/>
  <c r="KLE249" i="30"/>
  <c r="KLF249" i="30"/>
  <c r="KLG249" i="30"/>
  <c r="KLH249" i="30"/>
  <c r="KLI249" i="30"/>
  <c r="KLJ249" i="30"/>
  <c r="KLK249" i="30"/>
  <c r="KLL249" i="30"/>
  <c r="KLM249" i="30"/>
  <c r="KLN249" i="30"/>
  <c r="KLO249" i="30"/>
  <c r="KLP249" i="30"/>
  <c r="KLQ249" i="30"/>
  <c r="KLR249" i="30"/>
  <c r="KLS249" i="30"/>
  <c r="KLT249" i="30"/>
  <c r="KLU249" i="30"/>
  <c r="KLV249" i="30"/>
  <c r="KLW249" i="30"/>
  <c r="KLX249" i="30"/>
  <c r="KLY249" i="30"/>
  <c r="KLZ249" i="30"/>
  <c r="KMA249" i="30"/>
  <c r="KMB249" i="30"/>
  <c r="KMC249" i="30"/>
  <c r="KMD249" i="30"/>
  <c r="KME249" i="30"/>
  <c r="KMF249" i="30"/>
  <c r="KMG249" i="30"/>
  <c r="KMH249" i="30"/>
  <c r="KMI249" i="30"/>
  <c r="KMJ249" i="30"/>
  <c r="KMK249" i="30"/>
  <c r="KML249" i="30"/>
  <c r="KMM249" i="30"/>
  <c r="KMN249" i="30"/>
  <c r="KMO249" i="30"/>
  <c r="KMP249" i="30"/>
  <c r="KMQ249" i="30"/>
  <c r="KMR249" i="30"/>
  <c r="KMS249" i="30"/>
  <c r="KMT249" i="30"/>
  <c r="KMU249" i="30"/>
  <c r="KMV249" i="30"/>
  <c r="KMW249" i="30"/>
  <c r="KMX249" i="30"/>
  <c r="KMY249" i="30"/>
  <c r="KMZ249" i="30"/>
  <c r="KNA249" i="30"/>
  <c r="KNB249" i="30"/>
  <c r="KNC249" i="30"/>
  <c r="KND249" i="30"/>
  <c r="KNE249" i="30"/>
  <c r="KNF249" i="30"/>
  <c r="KNG249" i="30"/>
  <c r="KNH249" i="30"/>
  <c r="KNI249" i="30"/>
  <c r="KNJ249" i="30"/>
  <c r="KNK249" i="30"/>
  <c r="KNL249" i="30"/>
  <c r="KNM249" i="30"/>
  <c r="KNN249" i="30"/>
  <c r="KNO249" i="30"/>
  <c r="KNP249" i="30"/>
  <c r="KNQ249" i="30"/>
  <c r="KNR249" i="30"/>
  <c r="KNS249" i="30"/>
  <c r="KNT249" i="30"/>
  <c r="KNU249" i="30"/>
  <c r="KNV249" i="30"/>
  <c r="KNW249" i="30"/>
  <c r="KNX249" i="30"/>
  <c r="KNY249" i="30"/>
  <c r="KNZ249" i="30"/>
  <c r="KOA249" i="30"/>
  <c r="KOB249" i="30"/>
  <c r="KOC249" i="30"/>
  <c r="KOD249" i="30"/>
  <c r="KOE249" i="30"/>
  <c r="KOF249" i="30"/>
  <c r="KOG249" i="30"/>
  <c r="KOH249" i="30"/>
  <c r="KOI249" i="30"/>
  <c r="KOJ249" i="30"/>
  <c r="KOK249" i="30"/>
  <c r="KOL249" i="30"/>
  <c r="KOM249" i="30"/>
  <c r="KON249" i="30"/>
  <c r="KOO249" i="30"/>
  <c r="KOP249" i="30"/>
  <c r="KOQ249" i="30"/>
  <c r="KOR249" i="30"/>
  <c r="KOS249" i="30"/>
  <c r="KOT249" i="30"/>
  <c r="KOU249" i="30"/>
  <c r="KOV249" i="30"/>
  <c r="KOW249" i="30"/>
  <c r="KOX249" i="30"/>
  <c r="KOY249" i="30"/>
  <c r="KOZ249" i="30"/>
  <c r="KPA249" i="30"/>
  <c r="KPB249" i="30"/>
  <c r="KPC249" i="30"/>
  <c r="KPD249" i="30"/>
  <c r="KPE249" i="30"/>
  <c r="KPF249" i="30"/>
  <c r="KPG249" i="30"/>
  <c r="KPH249" i="30"/>
  <c r="KPI249" i="30"/>
  <c r="KPJ249" i="30"/>
  <c r="KPK249" i="30"/>
  <c r="KPL249" i="30"/>
  <c r="KPM249" i="30"/>
  <c r="KPN249" i="30"/>
  <c r="KPO249" i="30"/>
  <c r="KPP249" i="30"/>
  <c r="KPQ249" i="30"/>
  <c r="KPR249" i="30"/>
  <c r="KPS249" i="30"/>
  <c r="KPT249" i="30"/>
  <c r="KPU249" i="30"/>
  <c r="KPV249" i="30"/>
  <c r="KPW249" i="30"/>
  <c r="KPX249" i="30"/>
  <c r="KPY249" i="30"/>
  <c r="KPZ249" i="30"/>
  <c r="KQA249" i="30"/>
  <c r="KQB249" i="30"/>
  <c r="KQC249" i="30"/>
  <c r="KQD249" i="30"/>
  <c r="KQE249" i="30"/>
  <c r="KQF249" i="30"/>
  <c r="KQG249" i="30"/>
  <c r="KQH249" i="30"/>
  <c r="KQI249" i="30"/>
  <c r="KQJ249" i="30"/>
  <c r="KQK249" i="30"/>
  <c r="KQL249" i="30"/>
  <c r="KQM249" i="30"/>
  <c r="KQN249" i="30"/>
  <c r="KQO249" i="30"/>
  <c r="KQP249" i="30"/>
  <c r="KQQ249" i="30"/>
  <c r="KQR249" i="30"/>
  <c r="KQS249" i="30"/>
  <c r="KQT249" i="30"/>
  <c r="KQU249" i="30"/>
  <c r="KQV249" i="30"/>
  <c r="KQW249" i="30"/>
  <c r="KQX249" i="30"/>
  <c r="KQY249" i="30"/>
  <c r="KQZ249" i="30"/>
  <c r="KRA249" i="30"/>
  <c r="KRB249" i="30"/>
  <c r="KRC249" i="30"/>
  <c r="KRD249" i="30"/>
  <c r="KRE249" i="30"/>
  <c r="KRF249" i="30"/>
  <c r="KRG249" i="30"/>
  <c r="KRH249" i="30"/>
  <c r="KRI249" i="30"/>
  <c r="KRJ249" i="30"/>
  <c r="KRK249" i="30"/>
  <c r="KRL249" i="30"/>
  <c r="KRM249" i="30"/>
  <c r="KRN249" i="30"/>
  <c r="KRO249" i="30"/>
  <c r="KRP249" i="30"/>
  <c r="KRQ249" i="30"/>
  <c r="KRR249" i="30"/>
  <c r="KRS249" i="30"/>
  <c r="KRT249" i="30"/>
  <c r="KRU249" i="30"/>
  <c r="KRV249" i="30"/>
  <c r="KRW249" i="30"/>
  <c r="KRX249" i="30"/>
  <c r="KRY249" i="30"/>
  <c r="KRZ249" i="30"/>
  <c r="KSA249" i="30"/>
  <c r="KSB249" i="30"/>
  <c r="KSC249" i="30"/>
  <c r="KSD249" i="30"/>
  <c r="KSE249" i="30"/>
  <c r="KSF249" i="30"/>
  <c r="KSG249" i="30"/>
  <c r="KSH249" i="30"/>
  <c r="KSI249" i="30"/>
  <c r="KSJ249" i="30"/>
  <c r="KSK249" i="30"/>
  <c r="KSL249" i="30"/>
  <c r="KSM249" i="30"/>
  <c r="KSN249" i="30"/>
  <c r="KSO249" i="30"/>
  <c r="KSP249" i="30"/>
  <c r="KSQ249" i="30"/>
  <c r="KSR249" i="30"/>
  <c r="KSS249" i="30"/>
  <c r="KST249" i="30"/>
  <c r="KSU249" i="30"/>
  <c r="KSV249" i="30"/>
  <c r="KSW249" i="30"/>
  <c r="KSX249" i="30"/>
  <c r="KSY249" i="30"/>
  <c r="KSZ249" i="30"/>
  <c r="KTA249" i="30"/>
  <c r="KTB249" i="30"/>
  <c r="KTC249" i="30"/>
  <c r="KTD249" i="30"/>
  <c r="KTE249" i="30"/>
  <c r="KTF249" i="30"/>
  <c r="KTG249" i="30"/>
  <c r="KTH249" i="30"/>
  <c r="KTI249" i="30"/>
  <c r="KTJ249" i="30"/>
  <c r="KTK249" i="30"/>
  <c r="KTL249" i="30"/>
  <c r="KTM249" i="30"/>
  <c r="KTN249" i="30"/>
  <c r="KTO249" i="30"/>
  <c r="KTP249" i="30"/>
  <c r="KTQ249" i="30"/>
  <c r="KTR249" i="30"/>
  <c r="KTS249" i="30"/>
  <c r="KTT249" i="30"/>
  <c r="KTU249" i="30"/>
  <c r="KTV249" i="30"/>
  <c r="KTW249" i="30"/>
  <c r="KTX249" i="30"/>
  <c r="KTY249" i="30"/>
  <c r="KTZ249" i="30"/>
  <c r="KUA249" i="30"/>
  <c r="KUB249" i="30"/>
  <c r="KUC249" i="30"/>
  <c r="KUD249" i="30"/>
  <c r="KUE249" i="30"/>
  <c r="KUF249" i="30"/>
  <c r="KUG249" i="30"/>
  <c r="KUH249" i="30"/>
  <c r="KUI249" i="30"/>
  <c r="KUJ249" i="30"/>
  <c r="KUK249" i="30"/>
  <c r="KUL249" i="30"/>
  <c r="KUM249" i="30"/>
  <c r="KUN249" i="30"/>
  <c r="KUO249" i="30"/>
  <c r="KUP249" i="30"/>
  <c r="KUQ249" i="30"/>
  <c r="KUR249" i="30"/>
  <c r="KUS249" i="30"/>
  <c r="KUT249" i="30"/>
  <c r="KUU249" i="30"/>
  <c r="KUV249" i="30"/>
  <c r="KUW249" i="30"/>
  <c r="KUX249" i="30"/>
  <c r="KUY249" i="30"/>
  <c r="KUZ249" i="30"/>
  <c r="KVA249" i="30"/>
  <c r="KVB249" i="30"/>
  <c r="KVC249" i="30"/>
  <c r="KVD249" i="30"/>
  <c r="KVE249" i="30"/>
  <c r="KVF249" i="30"/>
  <c r="KVG249" i="30"/>
  <c r="KVH249" i="30"/>
  <c r="KVI249" i="30"/>
  <c r="KVJ249" i="30"/>
  <c r="KVK249" i="30"/>
  <c r="KVL249" i="30"/>
  <c r="KVM249" i="30"/>
  <c r="KVN249" i="30"/>
  <c r="KVO249" i="30"/>
  <c r="KVP249" i="30"/>
  <c r="KVQ249" i="30"/>
  <c r="KVR249" i="30"/>
  <c r="KVS249" i="30"/>
  <c r="KVT249" i="30"/>
  <c r="KVU249" i="30"/>
  <c r="KVV249" i="30"/>
  <c r="KVW249" i="30"/>
  <c r="KVX249" i="30"/>
  <c r="KVY249" i="30"/>
  <c r="KVZ249" i="30"/>
  <c r="KWA249" i="30"/>
  <c r="KWB249" i="30"/>
  <c r="KWC249" i="30"/>
  <c r="KWD249" i="30"/>
  <c r="KWE249" i="30"/>
  <c r="KWF249" i="30"/>
  <c r="KWG249" i="30"/>
  <c r="KWH249" i="30"/>
  <c r="KWI249" i="30"/>
  <c r="KWJ249" i="30"/>
  <c r="KWK249" i="30"/>
  <c r="KWL249" i="30"/>
  <c r="KWM249" i="30"/>
  <c r="KWN249" i="30"/>
  <c r="KWO249" i="30"/>
  <c r="KWP249" i="30"/>
  <c r="KWQ249" i="30"/>
  <c r="KWR249" i="30"/>
  <c r="KWS249" i="30"/>
  <c r="KWT249" i="30"/>
  <c r="KWU249" i="30"/>
  <c r="KWV249" i="30"/>
  <c r="KWW249" i="30"/>
  <c r="KWX249" i="30"/>
  <c r="KWY249" i="30"/>
  <c r="KWZ249" i="30"/>
  <c r="KXA249" i="30"/>
  <c r="KXB249" i="30"/>
  <c r="KXC249" i="30"/>
  <c r="KXD249" i="30"/>
  <c r="KXE249" i="30"/>
  <c r="KXF249" i="30"/>
  <c r="KXG249" i="30"/>
  <c r="KXH249" i="30"/>
  <c r="KXI249" i="30"/>
  <c r="KXJ249" i="30"/>
  <c r="KXK249" i="30"/>
  <c r="KXL249" i="30"/>
  <c r="KXM249" i="30"/>
  <c r="KXN249" i="30"/>
  <c r="KXO249" i="30"/>
  <c r="KXP249" i="30"/>
  <c r="KXQ249" i="30"/>
  <c r="KXR249" i="30"/>
  <c r="KXS249" i="30"/>
  <c r="KXT249" i="30"/>
  <c r="KXU249" i="30"/>
  <c r="KXV249" i="30"/>
  <c r="KXW249" i="30"/>
  <c r="KXX249" i="30"/>
  <c r="KXY249" i="30"/>
  <c r="KXZ249" i="30"/>
  <c r="KYA249" i="30"/>
  <c r="KYB249" i="30"/>
  <c r="KYC249" i="30"/>
  <c r="KYD249" i="30"/>
  <c r="KYE249" i="30"/>
  <c r="KYF249" i="30"/>
  <c r="KYG249" i="30"/>
  <c r="KYH249" i="30"/>
  <c r="KYI249" i="30"/>
  <c r="KYJ249" i="30"/>
  <c r="KYK249" i="30"/>
  <c r="KYL249" i="30"/>
  <c r="KYM249" i="30"/>
  <c r="KYN249" i="30"/>
  <c r="KYO249" i="30"/>
  <c r="KYP249" i="30"/>
  <c r="KYQ249" i="30"/>
  <c r="KYR249" i="30"/>
  <c r="KYS249" i="30"/>
  <c r="KYT249" i="30"/>
  <c r="KYU249" i="30"/>
  <c r="KYV249" i="30"/>
  <c r="KYW249" i="30"/>
  <c r="KYX249" i="30"/>
  <c r="KYY249" i="30"/>
  <c r="KYZ249" i="30"/>
  <c r="KZA249" i="30"/>
  <c r="KZB249" i="30"/>
  <c r="KZC249" i="30"/>
  <c r="KZD249" i="30"/>
  <c r="KZE249" i="30"/>
  <c r="KZF249" i="30"/>
  <c r="KZG249" i="30"/>
  <c r="KZH249" i="30"/>
  <c r="KZI249" i="30"/>
  <c r="KZJ249" i="30"/>
  <c r="KZK249" i="30"/>
  <c r="KZL249" i="30"/>
  <c r="KZM249" i="30"/>
  <c r="KZN249" i="30"/>
  <c r="KZO249" i="30"/>
  <c r="KZP249" i="30"/>
  <c r="KZQ249" i="30"/>
  <c r="KZR249" i="30"/>
  <c r="KZS249" i="30"/>
  <c r="KZT249" i="30"/>
  <c r="KZU249" i="30"/>
  <c r="KZV249" i="30"/>
  <c r="KZW249" i="30"/>
  <c r="KZX249" i="30"/>
  <c r="KZY249" i="30"/>
  <c r="KZZ249" i="30"/>
  <c r="LAA249" i="30"/>
  <c r="LAB249" i="30"/>
  <c r="LAC249" i="30"/>
  <c r="LAD249" i="30"/>
  <c r="LAE249" i="30"/>
  <c r="LAF249" i="30"/>
  <c r="LAG249" i="30"/>
  <c r="LAH249" i="30"/>
  <c r="LAI249" i="30"/>
  <c r="LAJ249" i="30"/>
  <c r="LAK249" i="30"/>
  <c r="LAL249" i="30"/>
  <c r="LAM249" i="30"/>
  <c r="LAN249" i="30"/>
  <c r="LAO249" i="30"/>
  <c r="LAP249" i="30"/>
  <c r="LAQ249" i="30"/>
  <c r="LAR249" i="30"/>
  <c r="LAS249" i="30"/>
  <c r="LAT249" i="30"/>
  <c r="LAU249" i="30"/>
  <c r="LAV249" i="30"/>
  <c r="LAW249" i="30"/>
  <c r="LAX249" i="30"/>
  <c r="LAY249" i="30"/>
  <c r="LAZ249" i="30"/>
  <c r="LBA249" i="30"/>
  <c r="LBB249" i="30"/>
  <c r="LBC249" i="30"/>
  <c r="LBD249" i="30"/>
  <c r="LBE249" i="30"/>
  <c r="LBF249" i="30"/>
  <c r="LBG249" i="30"/>
  <c r="LBH249" i="30"/>
  <c r="LBI249" i="30"/>
  <c r="LBJ249" i="30"/>
  <c r="LBK249" i="30"/>
  <c r="LBL249" i="30"/>
  <c r="LBM249" i="30"/>
  <c r="LBN249" i="30"/>
  <c r="LBO249" i="30"/>
  <c r="LBP249" i="30"/>
  <c r="LBQ249" i="30"/>
  <c r="LBR249" i="30"/>
  <c r="LBS249" i="30"/>
  <c r="LBT249" i="30"/>
  <c r="LBU249" i="30"/>
  <c r="LBV249" i="30"/>
  <c r="LBW249" i="30"/>
  <c r="LBX249" i="30"/>
  <c r="LBY249" i="30"/>
  <c r="LBZ249" i="30"/>
  <c r="LCA249" i="30"/>
  <c r="LCB249" i="30"/>
  <c r="LCC249" i="30"/>
  <c r="LCD249" i="30"/>
  <c r="LCE249" i="30"/>
  <c r="LCF249" i="30"/>
  <c r="LCG249" i="30"/>
  <c r="LCH249" i="30"/>
  <c r="LCI249" i="30"/>
  <c r="LCJ249" i="30"/>
  <c r="LCK249" i="30"/>
  <c r="LCL249" i="30"/>
  <c r="LCM249" i="30"/>
  <c r="LCN249" i="30"/>
  <c r="LCO249" i="30"/>
  <c r="LCP249" i="30"/>
  <c r="LCQ249" i="30"/>
  <c r="LCR249" i="30"/>
  <c r="LCS249" i="30"/>
  <c r="LCT249" i="30"/>
  <c r="LCU249" i="30"/>
  <c r="LCV249" i="30"/>
  <c r="LCW249" i="30"/>
  <c r="LCX249" i="30"/>
  <c r="LCY249" i="30"/>
  <c r="LCZ249" i="30"/>
  <c r="LDA249" i="30"/>
  <c r="LDB249" i="30"/>
  <c r="LDC249" i="30"/>
  <c r="LDD249" i="30"/>
  <c r="LDE249" i="30"/>
  <c r="LDF249" i="30"/>
  <c r="LDG249" i="30"/>
  <c r="LDH249" i="30"/>
  <c r="LDI249" i="30"/>
  <c r="LDJ249" i="30"/>
  <c r="LDK249" i="30"/>
  <c r="LDL249" i="30"/>
  <c r="LDM249" i="30"/>
  <c r="LDN249" i="30"/>
  <c r="LDO249" i="30"/>
  <c r="LDP249" i="30"/>
  <c r="LDQ249" i="30"/>
  <c r="LDR249" i="30"/>
  <c r="LDS249" i="30"/>
  <c r="LDT249" i="30"/>
  <c r="LDU249" i="30"/>
  <c r="LDV249" i="30"/>
  <c r="LDW249" i="30"/>
  <c r="LDX249" i="30"/>
  <c r="LDY249" i="30"/>
  <c r="LDZ249" i="30"/>
  <c r="LEA249" i="30"/>
  <c r="LEB249" i="30"/>
  <c r="LEC249" i="30"/>
  <c r="LED249" i="30"/>
  <c r="LEE249" i="30"/>
  <c r="LEF249" i="30"/>
  <c r="LEG249" i="30"/>
  <c r="LEH249" i="30"/>
  <c r="LEI249" i="30"/>
  <c r="LEJ249" i="30"/>
  <c r="LEK249" i="30"/>
  <c r="LEL249" i="30"/>
  <c r="LEM249" i="30"/>
  <c r="LEN249" i="30"/>
  <c r="LEO249" i="30"/>
  <c r="LEP249" i="30"/>
  <c r="LEQ249" i="30"/>
  <c r="LER249" i="30"/>
  <c r="LES249" i="30"/>
  <c r="LET249" i="30"/>
  <c r="LEU249" i="30"/>
  <c r="LEV249" i="30"/>
  <c r="LEW249" i="30"/>
  <c r="LEX249" i="30"/>
  <c r="LEY249" i="30"/>
  <c r="LEZ249" i="30"/>
  <c r="LFA249" i="30"/>
  <c r="LFB249" i="30"/>
  <c r="LFC249" i="30"/>
  <c r="LFD249" i="30"/>
  <c r="LFE249" i="30"/>
  <c r="LFF249" i="30"/>
  <c r="LFG249" i="30"/>
  <c r="LFH249" i="30"/>
  <c r="LFI249" i="30"/>
  <c r="LFJ249" i="30"/>
  <c r="LFK249" i="30"/>
  <c r="LFL249" i="30"/>
  <c r="LFM249" i="30"/>
  <c r="LFN249" i="30"/>
  <c r="LFO249" i="30"/>
  <c r="LFP249" i="30"/>
  <c r="LFQ249" i="30"/>
  <c r="LFR249" i="30"/>
  <c r="LFS249" i="30"/>
  <c r="LFT249" i="30"/>
  <c r="LFU249" i="30"/>
  <c r="LFV249" i="30"/>
  <c r="LFW249" i="30"/>
  <c r="LFX249" i="30"/>
  <c r="LFY249" i="30"/>
  <c r="LFZ249" i="30"/>
  <c r="LGA249" i="30"/>
  <c r="LGB249" i="30"/>
  <c r="LGC249" i="30"/>
  <c r="LGD249" i="30"/>
  <c r="LGE249" i="30"/>
  <c r="LGF249" i="30"/>
  <c r="LGG249" i="30"/>
  <c r="LGH249" i="30"/>
  <c r="LGI249" i="30"/>
  <c r="LGJ249" i="30"/>
  <c r="LGK249" i="30"/>
  <c r="LGL249" i="30"/>
  <c r="LGM249" i="30"/>
  <c r="LGN249" i="30"/>
  <c r="LGO249" i="30"/>
  <c r="LGP249" i="30"/>
  <c r="LGQ249" i="30"/>
  <c r="LGR249" i="30"/>
  <c r="LGS249" i="30"/>
  <c r="LGT249" i="30"/>
  <c r="LGU249" i="30"/>
  <c r="LGV249" i="30"/>
  <c r="LGW249" i="30"/>
  <c r="LGX249" i="30"/>
  <c r="LGY249" i="30"/>
  <c r="LGZ249" i="30"/>
  <c r="LHA249" i="30"/>
  <c r="LHB249" i="30"/>
  <c r="LHC249" i="30"/>
  <c r="LHD249" i="30"/>
  <c r="LHE249" i="30"/>
  <c r="LHF249" i="30"/>
  <c r="LHG249" i="30"/>
  <c r="LHH249" i="30"/>
  <c r="LHI249" i="30"/>
  <c r="LHJ249" i="30"/>
  <c r="LHK249" i="30"/>
  <c r="LHL249" i="30"/>
  <c r="LHM249" i="30"/>
  <c r="LHN249" i="30"/>
  <c r="LHO249" i="30"/>
  <c r="LHP249" i="30"/>
  <c r="LHQ249" i="30"/>
  <c r="LHR249" i="30"/>
  <c r="LHS249" i="30"/>
  <c r="LHT249" i="30"/>
  <c r="LHU249" i="30"/>
  <c r="LHV249" i="30"/>
  <c r="LHW249" i="30"/>
  <c r="LHX249" i="30"/>
  <c r="LHY249" i="30"/>
  <c r="LHZ249" i="30"/>
  <c r="LIA249" i="30"/>
  <c r="LIB249" i="30"/>
  <c r="LIC249" i="30"/>
  <c r="LID249" i="30"/>
  <c r="LIE249" i="30"/>
  <c r="LIF249" i="30"/>
  <c r="LIG249" i="30"/>
  <c r="LIH249" i="30"/>
  <c r="LII249" i="30"/>
  <c r="LIJ249" i="30"/>
  <c r="LIK249" i="30"/>
  <c r="LIL249" i="30"/>
  <c r="LIM249" i="30"/>
  <c r="LIN249" i="30"/>
  <c r="LIO249" i="30"/>
  <c r="LIP249" i="30"/>
  <c r="LIQ249" i="30"/>
  <c r="LIR249" i="30"/>
  <c r="LIS249" i="30"/>
  <c r="LIT249" i="30"/>
  <c r="LIU249" i="30"/>
  <c r="LIV249" i="30"/>
  <c r="LIW249" i="30"/>
  <c r="LIX249" i="30"/>
  <c r="LIY249" i="30"/>
  <c r="LIZ249" i="30"/>
  <c r="LJA249" i="30"/>
  <c r="LJB249" i="30"/>
  <c r="LJC249" i="30"/>
  <c r="LJD249" i="30"/>
  <c r="LJE249" i="30"/>
  <c r="LJF249" i="30"/>
  <c r="LJG249" i="30"/>
  <c r="LJH249" i="30"/>
  <c r="LJI249" i="30"/>
  <c r="LJJ249" i="30"/>
  <c r="LJK249" i="30"/>
  <c r="LJL249" i="30"/>
  <c r="LJM249" i="30"/>
  <c r="LJN249" i="30"/>
  <c r="LJO249" i="30"/>
  <c r="LJP249" i="30"/>
  <c r="LJQ249" i="30"/>
  <c r="LJR249" i="30"/>
  <c r="LJS249" i="30"/>
  <c r="LJT249" i="30"/>
  <c r="LJU249" i="30"/>
  <c r="LJV249" i="30"/>
  <c r="LJW249" i="30"/>
  <c r="LJX249" i="30"/>
  <c r="LJY249" i="30"/>
  <c r="LJZ249" i="30"/>
  <c r="LKA249" i="30"/>
  <c r="LKB249" i="30"/>
  <c r="LKC249" i="30"/>
  <c r="LKD249" i="30"/>
  <c r="LKE249" i="30"/>
  <c r="LKF249" i="30"/>
  <c r="LKG249" i="30"/>
  <c r="LKH249" i="30"/>
  <c r="LKI249" i="30"/>
  <c r="LKJ249" i="30"/>
  <c r="LKK249" i="30"/>
  <c r="LKL249" i="30"/>
  <c r="LKM249" i="30"/>
  <c r="LKN249" i="30"/>
  <c r="LKO249" i="30"/>
  <c r="LKP249" i="30"/>
  <c r="LKQ249" i="30"/>
  <c r="LKR249" i="30"/>
  <c r="LKS249" i="30"/>
  <c r="LKT249" i="30"/>
  <c r="LKU249" i="30"/>
  <c r="LKV249" i="30"/>
  <c r="LKW249" i="30"/>
  <c r="LKX249" i="30"/>
  <c r="LKY249" i="30"/>
  <c r="LKZ249" i="30"/>
  <c r="LLA249" i="30"/>
  <c r="LLB249" i="30"/>
  <c r="LLC249" i="30"/>
  <c r="LLD249" i="30"/>
  <c r="LLE249" i="30"/>
  <c r="LLF249" i="30"/>
  <c r="LLG249" i="30"/>
  <c r="LLH249" i="30"/>
  <c r="LLI249" i="30"/>
  <c r="LLJ249" i="30"/>
  <c r="LLK249" i="30"/>
  <c r="LLL249" i="30"/>
  <c r="LLM249" i="30"/>
  <c r="LLN249" i="30"/>
  <c r="LLO249" i="30"/>
  <c r="LLP249" i="30"/>
  <c r="LLQ249" i="30"/>
  <c r="LLR249" i="30"/>
  <c r="LLS249" i="30"/>
  <c r="LLT249" i="30"/>
  <c r="LLU249" i="30"/>
  <c r="LLV249" i="30"/>
  <c r="LLW249" i="30"/>
  <c r="LLX249" i="30"/>
  <c r="LLY249" i="30"/>
  <c r="LLZ249" i="30"/>
  <c r="LMA249" i="30"/>
  <c r="LMB249" i="30"/>
  <c r="LMC249" i="30"/>
  <c r="LMD249" i="30"/>
  <c r="LME249" i="30"/>
  <c r="LMF249" i="30"/>
  <c r="LMG249" i="30"/>
  <c r="LMH249" i="30"/>
  <c r="LMI249" i="30"/>
  <c r="LMJ249" i="30"/>
  <c r="LMK249" i="30"/>
  <c r="LML249" i="30"/>
  <c r="LMM249" i="30"/>
  <c r="LMN249" i="30"/>
  <c r="LMO249" i="30"/>
  <c r="LMP249" i="30"/>
  <c r="LMQ249" i="30"/>
  <c r="LMR249" i="30"/>
  <c r="LMS249" i="30"/>
  <c r="LMT249" i="30"/>
  <c r="LMU249" i="30"/>
  <c r="LMV249" i="30"/>
  <c r="LMW249" i="30"/>
  <c r="LMX249" i="30"/>
  <c r="LMY249" i="30"/>
  <c r="LMZ249" i="30"/>
  <c r="LNA249" i="30"/>
  <c r="LNB249" i="30"/>
  <c r="LNC249" i="30"/>
  <c r="LND249" i="30"/>
  <c r="LNE249" i="30"/>
  <c r="LNF249" i="30"/>
  <c r="LNG249" i="30"/>
  <c r="LNH249" i="30"/>
  <c r="LNI249" i="30"/>
  <c r="LNJ249" i="30"/>
  <c r="LNK249" i="30"/>
  <c r="LNL249" i="30"/>
  <c r="LNM249" i="30"/>
  <c r="LNN249" i="30"/>
  <c r="LNO249" i="30"/>
  <c r="LNP249" i="30"/>
  <c r="LNQ249" i="30"/>
  <c r="LNR249" i="30"/>
  <c r="LNS249" i="30"/>
  <c r="LNT249" i="30"/>
  <c r="LNU249" i="30"/>
  <c r="LNV249" i="30"/>
  <c r="LNW249" i="30"/>
  <c r="LNX249" i="30"/>
  <c r="LNY249" i="30"/>
  <c r="LNZ249" i="30"/>
  <c r="LOA249" i="30"/>
  <c r="LOB249" i="30"/>
  <c r="LOC249" i="30"/>
  <c r="LOD249" i="30"/>
  <c r="LOE249" i="30"/>
  <c r="LOF249" i="30"/>
  <c r="LOG249" i="30"/>
  <c r="LOH249" i="30"/>
  <c r="LOI249" i="30"/>
  <c r="LOJ249" i="30"/>
  <c r="LOK249" i="30"/>
  <c r="LOL249" i="30"/>
  <c r="LOM249" i="30"/>
  <c r="LON249" i="30"/>
  <c r="LOO249" i="30"/>
  <c r="LOP249" i="30"/>
  <c r="LOQ249" i="30"/>
  <c r="LOR249" i="30"/>
  <c r="LOS249" i="30"/>
  <c r="LOT249" i="30"/>
  <c r="LOU249" i="30"/>
  <c r="LOV249" i="30"/>
  <c r="LOW249" i="30"/>
  <c r="LOX249" i="30"/>
  <c r="LOY249" i="30"/>
  <c r="LOZ249" i="30"/>
  <c r="LPA249" i="30"/>
  <c r="LPB249" i="30"/>
  <c r="LPC249" i="30"/>
  <c r="LPD249" i="30"/>
  <c r="LPE249" i="30"/>
  <c r="LPF249" i="30"/>
  <c r="LPG249" i="30"/>
  <c r="LPH249" i="30"/>
  <c r="LPI249" i="30"/>
  <c r="LPJ249" i="30"/>
  <c r="LPK249" i="30"/>
  <c r="LPL249" i="30"/>
  <c r="LPM249" i="30"/>
  <c r="LPN249" i="30"/>
  <c r="LPO249" i="30"/>
  <c r="LPP249" i="30"/>
  <c r="LPQ249" i="30"/>
  <c r="LPR249" i="30"/>
  <c r="LPS249" i="30"/>
  <c r="LPT249" i="30"/>
  <c r="LPU249" i="30"/>
  <c r="LPV249" i="30"/>
  <c r="LPW249" i="30"/>
  <c r="LPX249" i="30"/>
  <c r="LPY249" i="30"/>
  <c r="LPZ249" i="30"/>
  <c r="LQA249" i="30"/>
  <c r="LQB249" i="30"/>
  <c r="LQC249" i="30"/>
  <c r="LQD249" i="30"/>
  <c r="LQE249" i="30"/>
  <c r="LQF249" i="30"/>
  <c r="LQG249" i="30"/>
  <c r="LQH249" i="30"/>
  <c r="LQI249" i="30"/>
  <c r="LQJ249" i="30"/>
  <c r="LQK249" i="30"/>
  <c r="LQL249" i="30"/>
  <c r="LQM249" i="30"/>
  <c r="LQN249" i="30"/>
  <c r="LQO249" i="30"/>
  <c r="LQP249" i="30"/>
  <c r="LQQ249" i="30"/>
  <c r="LQR249" i="30"/>
  <c r="LQS249" i="30"/>
  <c r="LQT249" i="30"/>
  <c r="LQU249" i="30"/>
  <c r="LQV249" i="30"/>
  <c r="LQW249" i="30"/>
  <c r="LQX249" i="30"/>
  <c r="LQY249" i="30"/>
  <c r="LQZ249" i="30"/>
  <c r="LRA249" i="30"/>
  <c r="LRB249" i="30"/>
  <c r="LRC249" i="30"/>
  <c r="LRD249" i="30"/>
  <c r="LRE249" i="30"/>
  <c r="LRF249" i="30"/>
  <c r="LRG249" i="30"/>
  <c r="LRH249" i="30"/>
  <c r="LRI249" i="30"/>
  <c r="LRJ249" i="30"/>
  <c r="LRK249" i="30"/>
  <c r="LRL249" i="30"/>
  <c r="LRM249" i="30"/>
  <c r="LRN249" i="30"/>
  <c r="LRO249" i="30"/>
  <c r="LRP249" i="30"/>
  <c r="LRQ249" i="30"/>
  <c r="LRR249" i="30"/>
  <c r="LRS249" i="30"/>
  <c r="LRT249" i="30"/>
  <c r="LRU249" i="30"/>
  <c r="LRV249" i="30"/>
  <c r="LRW249" i="30"/>
  <c r="LRX249" i="30"/>
  <c r="LRY249" i="30"/>
  <c r="LRZ249" i="30"/>
  <c r="LSA249" i="30"/>
  <c r="LSB249" i="30"/>
  <c r="LSC249" i="30"/>
  <c r="LSD249" i="30"/>
  <c r="LSE249" i="30"/>
  <c r="LSF249" i="30"/>
  <c r="LSG249" i="30"/>
  <c r="LSH249" i="30"/>
  <c r="LSI249" i="30"/>
  <c r="LSJ249" i="30"/>
  <c r="LSK249" i="30"/>
  <c r="LSL249" i="30"/>
  <c r="LSM249" i="30"/>
  <c r="LSN249" i="30"/>
  <c r="LSO249" i="30"/>
  <c r="LSP249" i="30"/>
  <c r="LSQ249" i="30"/>
  <c r="LSR249" i="30"/>
  <c r="LSS249" i="30"/>
  <c r="LST249" i="30"/>
  <c r="LSU249" i="30"/>
  <c r="LSV249" i="30"/>
  <c r="LSW249" i="30"/>
  <c r="LSX249" i="30"/>
  <c r="LSY249" i="30"/>
  <c r="LSZ249" i="30"/>
  <c r="LTA249" i="30"/>
  <c r="LTB249" i="30"/>
  <c r="LTC249" i="30"/>
  <c r="LTD249" i="30"/>
  <c r="LTE249" i="30"/>
  <c r="LTF249" i="30"/>
  <c r="LTG249" i="30"/>
  <c r="LTH249" i="30"/>
  <c r="LTI249" i="30"/>
  <c r="LTJ249" i="30"/>
  <c r="LTK249" i="30"/>
  <c r="LTL249" i="30"/>
  <c r="LTM249" i="30"/>
  <c r="LTN249" i="30"/>
  <c r="LTO249" i="30"/>
  <c r="LTP249" i="30"/>
  <c r="LTQ249" i="30"/>
  <c r="LTR249" i="30"/>
  <c r="LTS249" i="30"/>
  <c r="LTT249" i="30"/>
  <c r="LTU249" i="30"/>
  <c r="LTV249" i="30"/>
  <c r="LTW249" i="30"/>
  <c r="LTX249" i="30"/>
  <c r="LTY249" i="30"/>
  <c r="LTZ249" i="30"/>
  <c r="LUA249" i="30"/>
  <c r="LUB249" i="30"/>
  <c r="LUC249" i="30"/>
  <c r="LUD249" i="30"/>
  <c r="LUE249" i="30"/>
  <c r="LUF249" i="30"/>
  <c r="LUG249" i="30"/>
  <c r="LUH249" i="30"/>
  <c r="LUI249" i="30"/>
  <c r="LUJ249" i="30"/>
  <c r="LUK249" i="30"/>
  <c r="LUL249" i="30"/>
  <c r="LUM249" i="30"/>
  <c r="LUN249" i="30"/>
  <c r="LUO249" i="30"/>
  <c r="LUP249" i="30"/>
  <c r="LUQ249" i="30"/>
  <c r="LUR249" i="30"/>
  <c r="LUS249" i="30"/>
  <c r="LUT249" i="30"/>
  <c r="LUU249" i="30"/>
  <c r="LUV249" i="30"/>
  <c r="LUW249" i="30"/>
  <c r="LUX249" i="30"/>
  <c r="LUY249" i="30"/>
  <c r="LUZ249" i="30"/>
  <c r="LVA249" i="30"/>
  <c r="LVB249" i="30"/>
  <c r="LVC249" i="30"/>
  <c r="LVD249" i="30"/>
  <c r="LVE249" i="30"/>
  <c r="LVF249" i="30"/>
  <c r="LVG249" i="30"/>
  <c r="LVH249" i="30"/>
  <c r="LVI249" i="30"/>
  <c r="LVJ249" i="30"/>
  <c r="LVK249" i="30"/>
  <c r="LVL249" i="30"/>
  <c r="LVM249" i="30"/>
  <c r="LVN249" i="30"/>
  <c r="LVO249" i="30"/>
  <c r="LVP249" i="30"/>
  <c r="LVQ249" i="30"/>
  <c r="LVR249" i="30"/>
  <c r="LVS249" i="30"/>
  <c r="LVT249" i="30"/>
  <c r="LVU249" i="30"/>
  <c r="LVV249" i="30"/>
  <c r="LVW249" i="30"/>
  <c r="LVX249" i="30"/>
  <c r="LVY249" i="30"/>
  <c r="LVZ249" i="30"/>
  <c r="LWA249" i="30"/>
  <c r="LWB249" i="30"/>
  <c r="LWC249" i="30"/>
  <c r="LWD249" i="30"/>
  <c r="LWE249" i="30"/>
  <c r="LWF249" i="30"/>
  <c r="LWG249" i="30"/>
  <c r="LWH249" i="30"/>
  <c r="LWI249" i="30"/>
  <c r="LWJ249" i="30"/>
  <c r="LWK249" i="30"/>
  <c r="LWL249" i="30"/>
  <c r="LWM249" i="30"/>
  <c r="LWN249" i="30"/>
  <c r="LWO249" i="30"/>
  <c r="LWP249" i="30"/>
  <c r="LWQ249" i="30"/>
  <c r="LWR249" i="30"/>
  <c r="LWS249" i="30"/>
  <c r="LWT249" i="30"/>
  <c r="LWU249" i="30"/>
  <c r="LWV249" i="30"/>
  <c r="LWW249" i="30"/>
  <c r="LWX249" i="30"/>
  <c r="LWY249" i="30"/>
  <c r="LWZ249" i="30"/>
  <c r="LXA249" i="30"/>
  <c r="LXB249" i="30"/>
  <c r="LXC249" i="30"/>
  <c r="LXD249" i="30"/>
  <c r="LXE249" i="30"/>
  <c r="LXF249" i="30"/>
  <c r="LXG249" i="30"/>
  <c r="LXH249" i="30"/>
  <c r="LXI249" i="30"/>
  <c r="LXJ249" i="30"/>
  <c r="LXK249" i="30"/>
  <c r="LXL249" i="30"/>
  <c r="LXM249" i="30"/>
  <c r="LXN249" i="30"/>
  <c r="LXO249" i="30"/>
  <c r="LXP249" i="30"/>
  <c r="LXQ249" i="30"/>
  <c r="LXR249" i="30"/>
  <c r="LXS249" i="30"/>
  <c r="LXT249" i="30"/>
  <c r="LXU249" i="30"/>
  <c r="LXV249" i="30"/>
  <c r="LXW249" i="30"/>
  <c r="LXX249" i="30"/>
  <c r="LXY249" i="30"/>
  <c r="LXZ249" i="30"/>
  <c r="LYA249" i="30"/>
  <c r="LYB249" i="30"/>
  <c r="LYC249" i="30"/>
  <c r="LYD249" i="30"/>
  <c r="LYE249" i="30"/>
  <c r="LYF249" i="30"/>
  <c r="LYG249" i="30"/>
  <c r="LYH249" i="30"/>
  <c r="LYI249" i="30"/>
  <c r="LYJ249" i="30"/>
  <c r="LYK249" i="30"/>
  <c r="LYL249" i="30"/>
  <c r="LYM249" i="30"/>
  <c r="LYN249" i="30"/>
  <c r="LYO249" i="30"/>
  <c r="LYP249" i="30"/>
  <c r="LYQ249" i="30"/>
  <c r="LYR249" i="30"/>
  <c r="LYS249" i="30"/>
  <c r="LYT249" i="30"/>
  <c r="LYU249" i="30"/>
  <c r="LYV249" i="30"/>
  <c r="LYW249" i="30"/>
  <c r="LYX249" i="30"/>
  <c r="LYY249" i="30"/>
  <c r="LYZ249" i="30"/>
  <c r="LZA249" i="30"/>
  <c r="LZB249" i="30"/>
  <c r="LZC249" i="30"/>
  <c r="LZD249" i="30"/>
  <c r="LZE249" i="30"/>
  <c r="LZF249" i="30"/>
  <c r="LZG249" i="30"/>
  <c r="LZH249" i="30"/>
  <c r="LZI249" i="30"/>
  <c r="LZJ249" i="30"/>
  <c r="LZK249" i="30"/>
  <c r="LZL249" i="30"/>
  <c r="LZM249" i="30"/>
  <c r="LZN249" i="30"/>
  <c r="LZO249" i="30"/>
  <c r="LZP249" i="30"/>
  <c r="LZQ249" i="30"/>
  <c r="LZR249" i="30"/>
  <c r="LZS249" i="30"/>
  <c r="LZT249" i="30"/>
  <c r="LZU249" i="30"/>
  <c r="LZV249" i="30"/>
  <c r="LZW249" i="30"/>
  <c r="LZX249" i="30"/>
  <c r="LZY249" i="30"/>
  <c r="LZZ249" i="30"/>
  <c r="MAA249" i="30"/>
  <c r="MAB249" i="30"/>
  <c r="MAC249" i="30"/>
  <c r="MAD249" i="30"/>
  <c r="MAE249" i="30"/>
  <c r="MAF249" i="30"/>
  <c r="MAG249" i="30"/>
  <c r="MAH249" i="30"/>
  <c r="MAI249" i="30"/>
  <c r="MAJ249" i="30"/>
  <c r="MAK249" i="30"/>
  <c r="MAL249" i="30"/>
  <c r="MAM249" i="30"/>
  <c r="MAN249" i="30"/>
  <c r="MAO249" i="30"/>
  <c r="MAP249" i="30"/>
  <c r="MAQ249" i="30"/>
  <c r="MAR249" i="30"/>
  <c r="MAS249" i="30"/>
  <c r="MAT249" i="30"/>
  <c r="MAU249" i="30"/>
  <c r="MAV249" i="30"/>
  <c r="MAW249" i="30"/>
  <c r="MAX249" i="30"/>
  <c r="MAY249" i="30"/>
  <c r="MAZ249" i="30"/>
  <c r="MBA249" i="30"/>
  <c r="MBB249" i="30"/>
  <c r="MBC249" i="30"/>
  <c r="MBD249" i="30"/>
  <c r="MBE249" i="30"/>
  <c r="MBF249" i="30"/>
  <c r="MBG249" i="30"/>
  <c r="MBH249" i="30"/>
  <c r="MBI249" i="30"/>
  <c r="MBJ249" i="30"/>
  <c r="MBK249" i="30"/>
  <c r="MBL249" i="30"/>
  <c r="MBM249" i="30"/>
  <c r="MBN249" i="30"/>
  <c r="MBO249" i="30"/>
  <c r="MBP249" i="30"/>
  <c r="MBQ249" i="30"/>
  <c r="MBR249" i="30"/>
  <c r="MBS249" i="30"/>
  <c r="MBT249" i="30"/>
  <c r="MBU249" i="30"/>
  <c r="MBV249" i="30"/>
  <c r="MBW249" i="30"/>
  <c r="MBX249" i="30"/>
  <c r="MBY249" i="30"/>
  <c r="MBZ249" i="30"/>
  <c r="MCA249" i="30"/>
  <c r="MCB249" i="30"/>
  <c r="MCC249" i="30"/>
  <c r="MCD249" i="30"/>
  <c r="MCE249" i="30"/>
  <c r="MCF249" i="30"/>
  <c r="MCG249" i="30"/>
  <c r="MCH249" i="30"/>
  <c r="MCI249" i="30"/>
  <c r="MCJ249" i="30"/>
  <c r="MCK249" i="30"/>
  <c r="MCL249" i="30"/>
  <c r="MCM249" i="30"/>
  <c r="MCN249" i="30"/>
  <c r="MCO249" i="30"/>
  <c r="MCP249" i="30"/>
  <c r="MCQ249" i="30"/>
  <c r="MCR249" i="30"/>
  <c r="MCS249" i="30"/>
  <c r="MCT249" i="30"/>
  <c r="MCU249" i="30"/>
  <c r="MCV249" i="30"/>
  <c r="MCW249" i="30"/>
  <c r="MCX249" i="30"/>
  <c r="MCY249" i="30"/>
  <c r="MCZ249" i="30"/>
  <c r="MDA249" i="30"/>
  <c r="MDB249" i="30"/>
  <c r="MDC249" i="30"/>
  <c r="MDD249" i="30"/>
  <c r="MDE249" i="30"/>
  <c r="MDF249" i="30"/>
  <c r="MDG249" i="30"/>
  <c r="MDH249" i="30"/>
  <c r="MDI249" i="30"/>
  <c r="MDJ249" i="30"/>
  <c r="MDK249" i="30"/>
  <c r="MDL249" i="30"/>
  <c r="MDM249" i="30"/>
  <c r="MDN249" i="30"/>
  <c r="MDO249" i="30"/>
  <c r="MDP249" i="30"/>
  <c r="MDQ249" i="30"/>
  <c r="MDR249" i="30"/>
  <c r="MDS249" i="30"/>
  <c r="MDT249" i="30"/>
  <c r="MDU249" i="30"/>
  <c r="MDV249" i="30"/>
  <c r="MDW249" i="30"/>
  <c r="MDX249" i="30"/>
  <c r="MDY249" i="30"/>
  <c r="MDZ249" i="30"/>
  <c r="MEA249" i="30"/>
  <c r="MEB249" i="30"/>
  <c r="MEC249" i="30"/>
  <c r="MED249" i="30"/>
  <c r="MEE249" i="30"/>
  <c r="MEF249" i="30"/>
  <c r="MEG249" i="30"/>
  <c r="MEH249" i="30"/>
  <c r="MEI249" i="30"/>
  <c r="MEJ249" i="30"/>
  <c r="MEK249" i="30"/>
  <c r="MEL249" i="30"/>
  <c r="MEM249" i="30"/>
  <c r="MEN249" i="30"/>
  <c r="MEO249" i="30"/>
  <c r="MEP249" i="30"/>
  <c r="MEQ249" i="30"/>
  <c r="MER249" i="30"/>
  <c r="MES249" i="30"/>
  <c r="MET249" i="30"/>
  <c r="MEU249" i="30"/>
  <c r="MEV249" i="30"/>
  <c r="MEW249" i="30"/>
  <c r="MEX249" i="30"/>
  <c r="MEY249" i="30"/>
  <c r="MEZ249" i="30"/>
  <c r="MFA249" i="30"/>
  <c r="MFB249" i="30"/>
  <c r="MFC249" i="30"/>
  <c r="MFD249" i="30"/>
  <c r="MFE249" i="30"/>
  <c r="MFF249" i="30"/>
  <c r="MFG249" i="30"/>
  <c r="MFH249" i="30"/>
  <c r="MFI249" i="30"/>
  <c r="MFJ249" i="30"/>
  <c r="MFK249" i="30"/>
  <c r="MFL249" i="30"/>
  <c r="MFM249" i="30"/>
  <c r="MFN249" i="30"/>
  <c r="MFO249" i="30"/>
  <c r="MFP249" i="30"/>
  <c r="MFQ249" i="30"/>
  <c r="MFR249" i="30"/>
  <c r="MFS249" i="30"/>
  <c r="MFT249" i="30"/>
  <c r="MFU249" i="30"/>
  <c r="MFV249" i="30"/>
  <c r="MFW249" i="30"/>
  <c r="MFX249" i="30"/>
  <c r="MFY249" i="30"/>
  <c r="MFZ249" i="30"/>
  <c r="MGA249" i="30"/>
  <c r="MGB249" i="30"/>
  <c r="MGC249" i="30"/>
  <c r="MGD249" i="30"/>
  <c r="MGE249" i="30"/>
  <c r="MGF249" i="30"/>
  <c r="MGG249" i="30"/>
  <c r="MGH249" i="30"/>
  <c r="MGI249" i="30"/>
  <c r="MGJ249" i="30"/>
  <c r="MGK249" i="30"/>
  <c r="MGL249" i="30"/>
  <c r="MGM249" i="30"/>
  <c r="MGN249" i="30"/>
  <c r="MGO249" i="30"/>
  <c r="MGP249" i="30"/>
  <c r="MGQ249" i="30"/>
  <c r="MGR249" i="30"/>
  <c r="MGS249" i="30"/>
  <c r="MGT249" i="30"/>
  <c r="MGU249" i="30"/>
  <c r="MGV249" i="30"/>
  <c r="MGW249" i="30"/>
  <c r="MGX249" i="30"/>
  <c r="MGY249" i="30"/>
  <c r="MGZ249" i="30"/>
  <c r="MHA249" i="30"/>
  <c r="MHB249" i="30"/>
  <c r="MHC249" i="30"/>
  <c r="MHD249" i="30"/>
  <c r="MHE249" i="30"/>
  <c r="MHF249" i="30"/>
  <c r="MHG249" i="30"/>
  <c r="MHH249" i="30"/>
  <c r="MHI249" i="30"/>
  <c r="MHJ249" i="30"/>
  <c r="MHK249" i="30"/>
  <c r="MHL249" i="30"/>
  <c r="MHM249" i="30"/>
  <c r="MHN249" i="30"/>
  <c r="MHO249" i="30"/>
  <c r="MHP249" i="30"/>
  <c r="MHQ249" i="30"/>
  <c r="MHR249" i="30"/>
  <c r="MHS249" i="30"/>
  <c r="MHT249" i="30"/>
  <c r="MHU249" i="30"/>
  <c r="MHV249" i="30"/>
  <c r="MHW249" i="30"/>
  <c r="MHX249" i="30"/>
  <c r="MHY249" i="30"/>
  <c r="MHZ249" i="30"/>
  <c r="MIA249" i="30"/>
  <c r="MIB249" i="30"/>
  <c r="MIC249" i="30"/>
  <c r="MID249" i="30"/>
  <c r="MIE249" i="30"/>
  <c r="MIF249" i="30"/>
  <c r="MIG249" i="30"/>
  <c r="MIH249" i="30"/>
  <c r="MII249" i="30"/>
  <c r="MIJ249" i="30"/>
  <c r="MIK249" i="30"/>
  <c r="MIL249" i="30"/>
  <c r="MIM249" i="30"/>
  <c r="MIN249" i="30"/>
  <c r="MIO249" i="30"/>
  <c r="MIP249" i="30"/>
  <c r="MIQ249" i="30"/>
  <c r="MIR249" i="30"/>
  <c r="MIS249" i="30"/>
  <c r="MIT249" i="30"/>
  <c r="MIU249" i="30"/>
  <c r="MIV249" i="30"/>
  <c r="MIW249" i="30"/>
  <c r="MIX249" i="30"/>
  <c r="MIY249" i="30"/>
  <c r="MIZ249" i="30"/>
  <c r="MJA249" i="30"/>
  <c r="MJB249" i="30"/>
  <c r="MJC249" i="30"/>
  <c r="MJD249" i="30"/>
  <c r="MJE249" i="30"/>
  <c r="MJF249" i="30"/>
  <c r="MJG249" i="30"/>
  <c r="MJH249" i="30"/>
  <c r="MJI249" i="30"/>
  <c r="MJJ249" i="30"/>
  <c r="MJK249" i="30"/>
  <c r="MJL249" i="30"/>
  <c r="MJM249" i="30"/>
  <c r="MJN249" i="30"/>
  <c r="MJO249" i="30"/>
  <c r="MJP249" i="30"/>
  <c r="MJQ249" i="30"/>
  <c r="MJR249" i="30"/>
  <c r="MJS249" i="30"/>
  <c r="MJT249" i="30"/>
  <c r="MJU249" i="30"/>
  <c r="MJV249" i="30"/>
  <c r="MJW249" i="30"/>
  <c r="MJX249" i="30"/>
  <c r="MJY249" i="30"/>
  <c r="MJZ249" i="30"/>
  <c r="MKA249" i="30"/>
  <c r="MKB249" i="30"/>
  <c r="MKC249" i="30"/>
  <c r="MKD249" i="30"/>
  <c r="MKE249" i="30"/>
  <c r="MKF249" i="30"/>
  <c r="MKG249" i="30"/>
  <c r="MKH249" i="30"/>
  <c r="MKI249" i="30"/>
  <c r="MKJ249" i="30"/>
  <c r="MKK249" i="30"/>
  <c r="MKL249" i="30"/>
  <c r="MKM249" i="30"/>
  <c r="MKN249" i="30"/>
  <c r="MKO249" i="30"/>
  <c r="MKP249" i="30"/>
  <c r="MKQ249" i="30"/>
  <c r="MKR249" i="30"/>
  <c r="MKS249" i="30"/>
  <c r="MKT249" i="30"/>
  <c r="MKU249" i="30"/>
  <c r="MKV249" i="30"/>
  <c r="MKW249" i="30"/>
  <c r="MKX249" i="30"/>
  <c r="MKY249" i="30"/>
  <c r="MKZ249" i="30"/>
  <c r="MLA249" i="30"/>
  <c r="MLB249" i="30"/>
  <c r="MLC249" i="30"/>
  <c r="MLD249" i="30"/>
  <c r="MLE249" i="30"/>
  <c r="MLF249" i="30"/>
  <c r="MLG249" i="30"/>
  <c r="MLH249" i="30"/>
  <c r="MLI249" i="30"/>
  <c r="MLJ249" i="30"/>
  <c r="MLK249" i="30"/>
  <c r="MLL249" i="30"/>
  <c r="MLM249" i="30"/>
  <c r="MLN249" i="30"/>
  <c r="MLO249" i="30"/>
  <c r="MLP249" i="30"/>
  <c r="MLQ249" i="30"/>
  <c r="MLR249" i="30"/>
  <c r="MLS249" i="30"/>
  <c r="MLT249" i="30"/>
  <c r="MLU249" i="30"/>
  <c r="MLV249" i="30"/>
  <c r="MLW249" i="30"/>
  <c r="MLX249" i="30"/>
  <c r="MLY249" i="30"/>
  <c r="MLZ249" i="30"/>
  <c r="MMA249" i="30"/>
  <c r="MMB249" i="30"/>
  <c r="MMC249" i="30"/>
  <c r="MMD249" i="30"/>
  <c r="MME249" i="30"/>
  <c r="MMF249" i="30"/>
  <c r="MMG249" i="30"/>
  <c r="MMH249" i="30"/>
  <c r="MMI249" i="30"/>
  <c r="MMJ249" i="30"/>
  <c r="MMK249" i="30"/>
  <c r="MML249" i="30"/>
  <c r="MMM249" i="30"/>
  <c r="MMN249" i="30"/>
  <c r="MMO249" i="30"/>
  <c r="MMP249" i="30"/>
  <c r="MMQ249" i="30"/>
  <c r="MMR249" i="30"/>
  <c r="MMS249" i="30"/>
  <c r="MMT249" i="30"/>
  <c r="MMU249" i="30"/>
  <c r="MMV249" i="30"/>
  <c r="MMW249" i="30"/>
  <c r="MMX249" i="30"/>
  <c r="MMY249" i="30"/>
  <c r="MMZ249" i="30"/>
  <c r="MNA249" i="30"/>
  <c r="MNB249" i="30"/>
  <c r="MNC249" i="30"/>
  <c r="MND249" i="30"/>
  <c r="MNE249" i="30"/>
  <c r="MNF249" i="30"/>
  <c r="MNG249" i="30"/>
  <c r="MNH249" i="30"/>
  <c r="MNI249" i="30"/>
  <c r="MNJ249" i="30"/>
  <c r="MNK249" i="30"/>
  <c r="MNL249" i="30"/>
  <c r="MNM249" i="30"/>
  <c r="MNN249" i="30"/>
  <c r="MNO249" i="30"/>
  <c r="MNP249" i="30"/>
  <c r="MNQ249" i="30"/>
  <c r="MNR249" i="30"/>
  <c r="MNS249" i="30"/>
  <c r="MNT249" i="30"/>
  <c r="MNU249" i="30"/>
  <c r="MNV249" i="30"/>
  <c r="MNW249" i="30"/>
  <c r="MNX249" i="30"/>
  <c r="MNY249" i="30"/>
  <c r="MNZ249" i="30"/>
  <c r="MOA249" i="30"/>
  <c r="MOB249" i="30"/>
  <c r="MOC249" i="30"/>
  <c r="MOD249" i="30"/>
  <c r="MOE249" i="30"/>
  <c r="MOF249" i="30"/>
  <c r="MOG249" i="30"/>
  <c r="MOH249" i="30"/>
  <c r="MOI249" i="30"/>
  <c r="MOJ249" i="30"/>
  <c r="MOK249" i="30"/>
  <c r="MOL249" i="30"/>
  <c r="MOM249" i="30"/>
  <c r="MON249" i="30"/>
  <c r="MOO249" i="30"/>
  <c r="MOP249" i="30"/>
  <c r="MOQ249" i="30"/>
  <c r="MOR249" i="30"/>
  <c r="MOS249" i="30"/>
  <c r="MOT249" i="30"/>
  <c r="MOU249" i="30"/>
  <c r="MOV249" i="30"/>
  <c r="MOW249" i="30"/>
  <c r="MOX249" i="30"/>
  <c r="MOY249" i="30"/>
  <c r="MOZ249" i="30"/>
  <c r="MPA249" i="30"/>
  <c r="MPB249" i="30"/>
  <c r="MPC249" i="30"/>
  <c r="MPD249" i="30"/>
  <c r="MPE249" i="30"/>
  <c r="MPF249" i="30"/>
  <c r="MPG249" i="30"/>
  <c r="MPH249" i="30"/>
  <c r="MPI249" i="30"/>
  <c r="MPJ249" i="30"/>
  <c r="MPK249" i="30"/>
  <c r="MPL249" i="30"/>
  <c r="MPM249" i="30"/>
  <c r="MPN249" i="30"/>
  <c r="MPO249" i="30"/>
  <c r="MPP249" i="30"/>
  <c r="MPQ249" i="30"/>
  <c r="MPR249" i="30"/>
  <c r="MPS249" i="30"/>
  <c r="MPT249" i="30"/>
  <c r="MPU249" i="30"/>
  <c r="MPV249" i="30"/>
  <c r="MPW249" i="30"/>
  <c r="MPX249" i="30"/>
  <c r="MPY249" i="30"/>
  <c r="MPZ249" i="30"/>
  <c r="MQA249" i="30"/>
  <c r="MQB249" i="30"/>
  <c r="MQC249" i="30"/>
  <c r="MQD249" i="30"/>
  <c r="MQE249" i="30"/>
  <c r="MQF249" i="30"/>
  <c r="MQG249" i="30"/>
  <c r="MQH249" i="30"/>
  <c r="MQI249" i="30"/>
  <c r="MQJ249" i="30"/>
  <c r="MQK249" i="30"/>
  <c r="MQL249" i="30"/>
  <c r="MQM249" i="30"/>
  <c r="MQN249" i="30"/>
  <c r="MQO249" i="30"/>
  <c r="MQP249" i="30"/>
  <c r="MQQ249" i="30"/>
  <c r="MQR249" i="30"/>
  <c r="MQS249" i="30"/>
  <c r="MQT249" i="30"/>
  <c r="MQU249" i="30"/>
  <c r="MQV249" i="30"/>
  <c r="MQW249" i="30"/>
  <c r="MQX249" i="30"/>
  <c r="MQY249" i="30"/>
  <c r="MQZ249" i="30"/>
  <c r="MRA249" i="30"/>
  <c r="MRB249" i="30"/>
  <c r="MRC249" i="30"/>
  <c r="MRD249" i="30"/>
  <c r="MRE249" i="30"/>
  <c r="MRF249" i="30"/>
  <c r="MRG249" i="30"/>
  <c r="MRH249" i="30"/>
  <c r="MRI249" i="30"/>
  <c r="MRJ249" i="30"/>
  <c r="MRK249" i="30"/>
  <c r="MRL249" i="30"/>
  <c r="MRM249" i="30"/>
  <c r="MRN249" i="30"/>
  <c r="MRO249" i="30"/>
  <c r="MRP249" i="30"/>
  <c r="MRQ249" i="30"/>
  <c r="MRR249" i="30"/>
  <c r="MRS249" i="30"/>
  <c r="MRT249" i="30"/>
  <c r="MRU249" i="30"/>
  <c r="MRV249" i="30"/>
  <c r="MRW249" i="30"/>
  <c r="MRX249" i="30"/>
  <c r="MRY249" i="30"/>
  <c r="MRZ249" i="30"/>
  <c r="MSA249" i="30"/>
  <c r="MSB249" i="30"/>
  <c r="MSC249" i="30"/>
  <c r="MSD249" i="30"/>
  <c r="MSE249" i="30"/>
  <c r="MSF249" i="30"/>
  <c r="MSG249" i="30"/>
  <c r="MSH249" i="30"/>
  <c r="MSI249" i="30"/>
  <c r="MSJ249" i="30"/>
  <c r="MSK249" i="30"/>
  <c r="MSL249" i="30"/>
  <c r="MSM249" i="30"/>
  <c r="MSN249" i="30"/>
  <c r="MSO249" i="30"/>
  <c r="MSP249" i="30"/>
  <c r="MSQ249" i="30"/>
  <c r="MSR249" i="30"/>
  <c r="MSS249" i="30"/>
  <c r="MST249" i="30"/>
  <c r="MSU249" i="30"/>
  <c r="MSV249" i="30"/>
  <c r="MSW249" i="30"/>
  <c r="MSX249" i="30"/>
  <c r="MSY249" i="30"/>
  <c r="MSZ249" i="30"/>
  <c r="MTA249" i="30"/>
  <c r="MTB249" i="30"/>
  <c r="MTC249" i="30"/>
  <c r="MTD249" i="30"/>
  <c r="MTE249" i="30"/>
  <c r="MTF249" i="30"/>
  <c r="MTG249" i="30"/>
  <c r="MTH249" i="30"/>
  <c r="MTI249" i="30"/>
  <c r="MTJ249" i="30"/>
  <c r="MTK249" i="30"/>
  <c r="MTL249" i="30"/>
  <c r="MTM249" i="30"/>
  <c r="MTN249" i="30"/>
  <c r="MTO249" i="30"/>
  <c r="MTP249" i="30"/>
  <c r="MTQ249" i="30"/>
  <c r="MTR249" i="30"/>
  <c r="MTS249" i="30"/>
  <c r="MTT249" i="30"/>
  <c r="MTU249" i="30"/>
  <c r="MTV249" i="30"/>
  <c r="MTW249" i="30"/>
  <c r="MTX249" i="30"/>
  <c r="MTY249" i="30"/>
  <c r="MTZ249" i="30"/>
  <c r="MUA249" i="30"/>
  <c r="MUB249" i="30"/>
  <c r="MUC249" i="30"/>
  <c r="MUD249" i="30"/>
  <c r="MUE249" i="30"/>
  <c r="MUF249" i="30"/>
  <c r="MUG249" i="30"/>
  <c r="MUH249" i="30"/>
  <c r="MUI249" i="30"/>
  <c r="MUJ249" i="30"/>
  <c r="MUK249" i="30"/>
  <c r="MUL249" i="30"/>
  <c r="MUM249" i="30"/>
  <c r="MUN249" i="30"/>
  <c r="MUO249" i="30"/>
  <c r="MUP249" i="30"/>
  <c r="MUQ249" i="30"/>
  <c r="MUR249" i="30"/>
  <c r="MUS249" i="30"/>
  <c r="MUT249" i="30"/>
  <c r="MUU249" i="30"/>
  <c r="MUV249" i="30"/>
  <c r="MUW249" i="30"/>
  <c r="MUX249" i="30"/>
  <c r="MUY249" i="30"/>
  <c r="MUZ249" i="30"/>
  <c r="MVA249" i="30"/>
  <c r="MVB249" i="30"/>
  <c r="MVC249" i="30"/>
  <c r="MVD249" i="30"/>
  <c r="MVE249" i="30"/>
  <c r="MVF249" i="30"/>
  <c r="MVG249" i="30"/>
  <c r="MVH249" i="30"/>
  <c r="MVI249" i="30"/>
  <c r="MVJ249" i="30"/>
  <c r="MVK249" i="30"/>
  <c r="MVL249" i="30"/>
  <c r="MVM249" i="30"/>
  <c r="MVN249" i="30"/>
  <c r="MVO249" i="30"/>
  <c r="MVP249" i="30"/>
  <c r="MVQ249" i="30"/>
  <c r="MVR249" i="30"/>
  <c r="MVS249" i="30"/>
  <c r="MVT249" i="30"/>
  <c r="MVU249" i="30"/>
  <c r="MVV249" i="30"/>
  <c r="MVW249" i="30"/>
  <c r="MVX249" i="30"/>
  <c r="MVY249" i="30"/>
  <c r="MVZ249" i="30"/>
  <c r="MWA249" i="30"/>
  <c r="MWB249" i="30"/>
  <c r="MWC249" i="30"/>
  <c r="MWD249" i="30"/>
  <c r="MWE249" i="30"/>
  <c r="MWF249" i="30"/>
  <c r="MWG249" i="30"/>
  <c r="MWH249" i="30"/>
  <c r="MWI249" i="30"/>
  <c r="MWJ249" i="30"/>
  <c r="MWK249" i="30"/>
  <c r="MWL249" i="30"/>
  <c r="MWM249" i="30"/>
  <c r="MWN249" i="30"/>
  <c r="MWO249" i="30"/>
  <c r="MWP249" i="30"/>
  <c r="MWQ249" i="30"/>
  <c r="MWR249" i="30"/>
  <c r="MWS249" i="30"/>
  <c r="MWT249" i="30"/>
  <c r="MWU249" i="30"/>
  <c r="MWV249" i="30"/>
  <c r="MWW249" i="30"/>
  <c r="MWX249" i="30"/>
  <c r="MWY249" i="30"/>
  <c r="MWZ249" i="30"/>
  <c r="MXA249" i="30"/>
  <c r="MXB249" i="30"/>
  <c r="MXC249" i="30"/>
  <c r="MXD249" i="30"/>
  <c r="MXE249" i="30"/>
  <c r="MXF249" i="30"/>
  <c r="MXG249" i="30"/>
  <c r="MXH249" i="30"/>
  <c r="MXI249" i="30"/>
  <c r="MXJ249" i="30"/>
  <c r="MXK249" i="30"/>
  <c r="MXL249" i="30"/>
  <c r="MXM249" i="30"/>
  <c r="MXN249" i="30"/>
  <c r="MXO249" i="30"/>
  <c r="MXP249" i="30"/>
  <c r="MXQ249" i="30"/>
  <c r="MXR249" i="30"/>
  <c r="MXS249" i="30"/>
  <c r="MXT249" i="30"/>
  <c r="MXU249" i="30"/>
  <c r="MXV249" i="30"/>
  <c r="MXW249" i="30"/>
  <c r="MXX249" i="30"/>
  <c r="MXY249" i="30"/>
  <c r="MXZ249" i="30"/>
  <c r="MYA249" i="30"/>
  <c r="MYB249" i="30"/>
  <c r="MYC249" i="30"/>
  <c r="MYD249" i="30"/>
  <c r="MYE249" i="30"/>
  <c r="MYF249" i="30"/>
  <c r="MYG249" i="30"/>
  <c r="MYH249" i="30"/>
  <c r="MYI249" i="30"/>
  <c r="MYJ249" i="30"/>
  <c r="MYK249" i="30"/>
  <c r="MYL249" i="30"/>
  <c r="MYM249" i="30"/>
  <c r="MYN249" i="30"/>
  <c r="MYO249" i="30"/>
  <c r="MYP249" i="30"/>
  <c r="MYQ249" i="30"/>
  <c r="MYR249" i="30"/>
  <c r="MYS249" i="30"/>
  <c r="MYT249" i="30"/>
  <c r="MYU249" i="30"/>
  <c r="MYV249" i="30"/>
  <c r="MYW249" i="30"/>
  <c r="MYX249" i="30"/>
  <c r="MYY249" i="30"/>
  <c r="MYZ249" i="30"/>
  <c r="MZA249" i="30"/>
  <c r="MZB249" i="30"/>
  <c r="MZC249" i="30"/>
  <c r="MZD249" i="30"/>
  <c r="MZE249" i="30"/>
  <c r="MZF249" i="30"/>
  <c r="MZG249" i="30"/>
  <c r="MZH249" i="30"/>
  <c r="MZI249" i="30"/>
  <c r="MZJ249" i="30"/>
  <c r="MZK249" i="30"/>
  <c r="MZL249" i="30"/>
  <c r="MZM249" i="30"/>
  <c r="MZN249" i="30"/>
  <c r="MZO249" i="30"/>
  <c r="MZP249" i="30"/>
  <c r="MZQ249" i="30"/>
  <c r="MZR249" i="30"/>
  <c r="MZS249" i="30"/>
  <c r="MZT249" i="30"/>
  <c r="MZU249" i="30"/>
  <c r="MZV249" i="30"/>
  <c r="MZW249" i="30"/>
  <c r="MZX249" i="30"/>
  <c r="MZY249" i="30"/>
  <c r="MZZ249" i="30"/>
  <c r="NAA249" i="30"/>
  <c r="NAB249" i="30"/>
  <c r="NAC249" i="30"/>
  <c r="NAD249" i="30"/>
  <c r="NAE249" i="30"/>
  <c r="NAF249" i="30"/>
  <c r="NAG249" i="30"/>
  <c r="NAH249" i="30"/>
  <c r="NAI249" i="30"/>
  <c r="NAJ249" i="30"/>
  <c r="NAK249" i="30"/>
  <c r="NAL249" i="30"/>
  <c r="NAM249" i="30"/>
  <c r="NAN249" i="30"/>
  <c r="NAO249" i="30"/>
  <c r="NAP249" i="30"/>
  <c r="NAQ249" i="30"/>
  <c r="NAR249" i="30"/>
  <c r="NAS249" i="30"/>
  <c r="NAT249" i="30"/>
  <c r="NAU249" i="30"/>
  <c r="NAV249" i="30"/>
  <c r="NAW249" i="30"/>
  <c r="NAX249" i="30"/>
  <c r="NAY249" i="30"/>
  <c r="NAZ249" i="30"/>
  <c r="NBA249" i="30"/>
  <c r="NBB249" i="30"/>
  <c r="NBC249" i="30"/>
  <c r="NBD249" i="30"/>
  <c r="NBE249" i="30"/>
  <c r="NBF249" i="30"/>
  <c r="NBG249" i="30"/>
  <c r="NBH249" i="30"/>
  <c r="NBI249" i="30"/>
  <c r="NBJ249" i="30"/>
  <c r="NBK249" i="30"/>
  <c r="NBL249" i="30"/>
  <c r="NBM249" i="30"/>
  <c r="NBN249" i="30"/>
  <c r="NBO249" i="30"/>
  <c r="NBP249" i="30"/>
  <c r="NBQ249" i="30"/>
  <c r="NBR249" i="30"/>
  <c r="NBS249" i="30"/>
  <c r="NBT249" i="30"/>
  <c r="NBU249" i="30"/>
  <c r="NBV249" i="30"/>
  <c r="NBW249" i="30"/>
  <c r="NBX249" i="30"/>
  <c r="NBY249" i="30"/>
  <c r="NBZ249" i="30"/>
  <c r="NCA249" i="30"/>
  <c r="NCB249" i="30"/>
  <c r="NCC249" i="30"/>
  <c r="NCD249" i="30"/>
  <c r="NCE249" i="30"/>
  <c r="NCF249" i="30"/>
  <c r="NCG249" i="30"/>
  <c r="NCH249" i="30"/>
  <c r="NCI249" i="30"/>
  <c r="NCJ249" i="30"/>
  <c r="NCK249" i="30"/>
  <c r="NCL249" i="30"/>
  <c r="NCM249" i="30"/>
  <c r="NCN249" i="30"/>
  <c r="NCO249" i="30"/>
  <c r="NCP249" i="30"/>
  <c r="NCQ249" i="30"/>
  <c r="NCR249" i="30"/>
  <c r="NCS249" i="30"/>
  <c r="NCT249" i="30"/>
  <c r="NCU249" i="30"/>
  <c r="NCV249" i="30"/>
  <c r="NCW249" i="30"/>
  <c r="NCX249" i="30"/>
  <c r="NCY249" i="30"/>
  <c r="NCZ249" i="30"/>
  <c r="NDA249" i="30"/>
  <c r="NDB249" i="30"/>
  <c r="NDC249" i="30"/>
  <c r="NDD249" i="30"/>
  <c r="NDE249" i="30"/>
  <c r="NDF249" i="30"/>
  <c r="NDG249" i="30"/>
  <c r="NDH249" i="30"/>
  <c r="NDI249" i="30"/>
  <c r="NDJ249" i="30"/>
  <c r="NDK249" i="30"/>
  <c r="NDL249" i="30"/>
  <c r="NDM249" i="30"/>
  <c r="NDN249" i="30"/>
  <c r="NDO249" i="30"/>
  <c r="NDP249" i="30"/>
  <c r="NDQ249" i="30"/>
  <c r="NDR249" i="30"/>
  <c r="NDS249" i="30"/>
  <c r="NDT249" i="30"/>
  <c r="NDU249" i="30"/>
  <c r="NDV249" i="30"/>
  <c r="NDW249" i="30"/>
  <c r="NDX249" i="30"/>
  <c r="NDY249" i="30"/>
  <c r="NDZ249" i="30"/>
  <c r="NEA249" i="30"/>
  <c r="NEB249" i="30"/>
  <c r="NEC249" i="30"/>
  <c r="NED249" i="30"/>
  <c r="NEE249" i="30"/>
  <c r="NEF249" i="30"/>
  <c r="NEG249" i="30"/>
  <c r="NEH249" i="30"/>
  <c r="NEI249" i="30"/>
  <c r="NEJ249" i="30"/>
  <c r="NEK249" i="30"/>
  <c r="NEL249" i="30"/>
  <c r="NEM249" i="30"/>
  <c r="NEN249" i="30"/>
  <c r="NEO249" i="30"/>
  <c r="NEP249" i="30"/>
  <c r="NEQ249" i="30"/>
  <c r="NER249" i="30"/>
  <c r="NES249" i="30"/>
  <c r="NET249" i="30"/>
  <c r="NEU249" i="30"/>
  <c r="NEV249" i="30"/>
  <c r="NEW249" i="30"/>
  <c r="NEX249" i="30"/>
  <c r="NEY249" i="30"/>
  <c r="NEZ249" i="30"/>
  <c r="NFA249" i="30"/>
  <c r="NFB249" i="30"/>
  <c r="NFC249" i="30"/>
  <c r="NFD249" i="30"/>
  <c r="NFE249" i="30"/>
  <c r="NFF249" i="30"/>
  <c r="NFG249" i="30"/>
  <c r="NFH249" i="30"/>
  <c r="NFI249" i="30"/>
  <c r="NFJ249" i="30"/>
  <c r="NFK249" i="30"/>
  <c r="NFL249" i="30"/>
  <c r="NFM249" i="30"/>
  <c r="NFN249" i="30"/>
  <c r="NFO249" i="30"/>
  <c r="NFP249" i="30"/>
  <c r="NFQ249" i="30"/>
  <c r="NFR249" i="30"/>
  <c r="NFS249" i="30"/>
  <c r="NFT249" i="30"/>
  <c r="NFU249" i="30"/>
  <c r="NFV249" i="30"/>
  <c r="NFW249" i="30"/>
  <c r="NFX249" i="30"/>
  <c r="NFY249" i="30"/>
  <c r="NFZ249" i="30"/>
  <c r="NGA249" i="30"/>
  <c r="NGB249" i="30"/>
  <c r="NGC249" i="30"/>
  <c r="NGD249" i="30"/>
  <c r="NGE249" i="30"/>
  <c r="NGF249" i="30"/>
  <c r="NGG249" i="30"/>
  <c r="NGH249" i="30"/>
  <c r="NGI249" i="30"/>
  <c r="NGJ249" i="30"/>
  <c r="NGK249" i="30"/>
  <c r="NGL249" i="30"/>
  <c r="NGM249" i="30"/>
  <c r="NGN249" i="30"/>
  <c r="NGO249" i="30"/>
  <c r="NGP249" i="30"/>
  <c r="NGQ249" i="30"/>
  <c r="NGR249" i="30"/>
  <c r="NGS249" i="30"/>
  <c r="NGT249" i="30"/>
  <c r="NGU249" i="30"/>
  <c r="NGV249" i="30"/>
  <c r="NGW249" i="30"/>
  <c r="NGX249" i="30"/>
  <c r="NGY249" i="30"/>
  <c r="NGZ249" i="30"/>
  <c r="NHA249" i="30"/>
  <c r="NHB249" i="30"/>
  <c r="NHC249" i="30"/>
  <c r="NHD249" i="30"/>
  <c r="NHE249" i="30"/>
  <c r="NHF249" i="30"/>
  <c r="NHG249" i="30"/>
  <c r="NHH249" i="30"/>
  <c r="NHI249" i="30"/>
  <c r="NHJ249" i="30"/>
  <c r="NHK249" i="30"/>
  <c r="NHL249" i="30"/>
  <c r="NHM249" i="30"/>
  <c r="NHN249" i="30"/>
  <c r="NHO249" i="30"/>
  <c r="NHP249" i="30"/>
  <c r="NHQ249" i="30"/>
  <c r="NHR249" i="30"/>
  <c r="NHS249" i="30"/>
  <c r="NHT249" i="30"/>
  <c r="NHU249" i="30"/>
  <c r="NHV249" i="30"/>
  <c r="NHW249" i="30"/>
  <c r="NHX249" i="30"/>
  <c r="NHY249" i="30"/>
  <c r="NHZ249" i="30"/>
  <c r="NIA249" i="30"/>
  <c r="NIB249" i="30"/>
  <c r="NIC249" i="30"/>
  <c r="NID249" i="30"/>
  <c r="NIE249" i="30"/>
  <c r="NIF249" i="30"/>
  <c r="NIG249" i="30"/>
  <c r="NIH249" i="30"/>
  <c r="NII249" i="30"/>
  <c r="NIJ249" i="30"/>
  <c r="NIK249" i="30"/>
  <c r="NIL249" i="30"/>
  <c r="NIM249" i="30"/>
  <c r="NIN249" i="30"/>
  <c r="NIO249" i="30"/>
  <c r="NIP249" i="30"/>
  <c r="NIQ249" i="30"/>
  <c r="NIR249" i="30"/>
  <c r="NIS249" i="30"/>
  <c r="NIT249" i="30"/>
  <c r="NIU249" i="30"/>
  <c r="NIV249" i="30"/>
  <c r="NIW249" i="30"/>
  <c r="NIX249" i="30"/>
  <c r="NIY249" i="30"/>
  <c r="NIZ249" i="30"/>
  <c r="NJA249" i="30"/>
  <c r="NJB249" i="30"/>
  <c r="NJC249" i="30"/>
  <c r="NJD249" i="30"/>
  <c r="NJE249" i="30"/>
  <c r="NJF249" i="30"/>
  <c r="NJG249" i="30"/>
  <c r="NJH249" i="30"/>
  <c r="NJI249" i="30"/>
  <c r="NJJ249" i="30"/>
  <c r="NJK249" i="30"/>
  <c r="NJL249" i="30"/>
  <c r="NJM249" i="30"/>
  <c r="NJN249" i="30"/>
  <c r="NJO249" i="30"/>
  <c r="NJP249" i="30"/>
  <c r="NJQ249" i="30"/>
  <c r="NJR249" i="30"/>
  <c r="NJS249" i="30"/>
  <c r="NJT249" i="30"/>
  <c r="NJU249" i="30"/>
  <c r="NJV249" i="30"/>
  <c r="NJW249" i="30"/>
  <c r="NJX249" i="30"/>
  <c r="NJY249" i="30"/>
  <c r="NJZ249" i="30"/>
  <c r="NKA249" i="30"/>
  <c r="NKB249" i="30"/>
  <c r="NKC249" i="30"/>
  <c r="NKD249" i="30"/>
  <c r="NKE249" i="30"/>
  <c r="NKF249" i="30"/>
  <c r="NKG249" i="30"/>
  <c r="NKH249" i="30"/>
  <c r="NKI249" i="30"/>
  <c r="NKJ249" i="30"/>
  <c r="NKK249" i="30"/>
  <c r="NKL249" i="30"/>
  <c r="NKM249" i="30"/>
  <c r="NKN249" i="30"/>
  <c r="NKO249" i="30"/>
  <c r="NKP249" i="30"/>
  <c r="NKQ249" i="30"/>
  <c r="NKR249" i="30"/>
  <c r="NKS249" i="30"/>
  <c r="NKT249" i="30"/>
  <c r="NKU249" i="30"/>
  <c r="NKV249" i="30"/>
  <c r="NKW249" i="30"/>
  <c r="NKX249" i="30"/>
  <c r="NKY249" i="30"/>
  <c r="NKZ249" i="30"/>
  <c r="NLA249" i="30"/>
  <c r="NLB249" i="30"/>
  <c r="NLC249" i="30"/>
  <c r="NLD249" i="30"/>
  <c r="NLE249" i="30"/>
  <c r="NLF249" i="30"/>
  <c r="NLG249" i="30"/>
  <c r="NLH249" i="30"/>
  <c r="NLI249" i="30"/>
  <c r="NLJ249" i="30"/>
  <c r="NLK249" i="30"/>
  <c r="NLL249" i="30"/>
  <c r="NLM249" i="30"/>
  <c r="NLN249" i="30"/>
  <c r="NLO249" i="30"/>
  <c r="NLP249" i="30"/>
  <c r="NLQ249" i="30"/>
  <c r="NLR249" i="30"/>
  <c r="NLS249" i="30"/>
  <c r="NLT249" i="30"/>
  <c r="NLU249" i="30"/>
  <c r="NLV249" i="30"/>
  <c r="NLW249" i="30"/>
  <c r="NLX249" i="30"/>
  <c r="NLY249" i="30"/>
  <c r="NLZ249" i="30"/>
  <c r="NMA249" i="30"/>
  <c r="NMB249" i="30"/>
  <c r="NMC249" i="30"/>
  <c r="NMD249" i="30"/>
  <c r="NME249" i="30"/>
  <c r="NMF249" i="30"/>
  <c r="NMG249" i="30"/>
  <c r="NMH249" i="30"/>
  <c r="NMI249" i="30"/>
  <c r="NMJ249" i="30"/>
  <c r="NMK249" i="30"/>
  <c r="NML249" i="30"/>
  <c r="NMM249" i="30"/>
  <c r="NMN249" i="30"/>
  <c r="NMO249" i="30"/>
  <c r="NMP249" i="30"/>
  <c r="NMQ249" i="30"/>
  <c r="NMR249" i="30"/>
  <c r="NMS249" i="30"/>
  <c r="NMT249" i="30"/>
  <c r="NMU249" i="30"/>
  <c r="NMV249" i="30"/>
  <c r="NMW249" i="30"/>
  <c r="NMX249" i="30"/>
  <c r="NMY249" i="30"/>
  <c r="NMZ249" i="30"/>
  <c r="NNA249" i="30"/>
  <c r="NNB249" i="30"/>
  <c r="NNC249" i="30"/>
  <c r="NND249" i="30"/>
  <c r="NNE249" i="30"/>
  <c r="NNF249" i="30"/>
  <c r="NNG249" i="30"/>
  <c r="NNH249" i="30"/>
  <c r="NNI249" i="30"/>
  <c r="NNJ249" i="30"/>
  <c r="NNK249" i="30"/>
  <c r="NNL249" i="30"/>
  <c r="NNM249" i="30"/>
  <c r="NNN249" i="30"/>
  <c r="NNO249" i="30"/>
  <c r="NNP249" i="30"/>
  <c r="NNQ249" i="30"/>
  <c r="NNR249" i="30"/>
  <c r="NNS249" i="30"/>
  <c r="NNT249" i="30"/>
  <c r="NNU249" i="30"/>
  <c r="NNV249" i="30"/>
  <c r="NNW249" i="30"/>
  <c r="NNX249" i="30"/>
  <c r="NNY249" i="30"/>
  <c r="NNZ249" i="30"/>
  <c r="NOA249" i="30"/>
  <c r="NOB249" i="30"/>
  <c r="NOC249" i="30"/>
  <c r="NOD249" i="30"/>
  <c r="NOE249" i="30"/>
  <c r="NOF249" i="30"/>
  <c r="NOG249" i="30"/>
  <c r="NOH249" i="30"/>
  <c r="NOI249" i="30"/>
  <c r="NOJ249" i="30"/>
  <c r="NOK249" i="30"/>
  <c r="NOL249" i="30"/>
  <c r="NOM249" i="30"/>
  <c r="NON249" i="30"/>
  <c r="NOO249" i="30"/>
  <c r="NOP249" i="30"/>
  <c r="NOQ249" i="30"/>
  <c r="NOR249" i="30"/>
  <c r="NOS249" i="30"/>
  <c r="NOT249" i="30"/>
  <c r="NOU249" i="30"/>
  <c r="NOV249" i="30"/>
  <c r="NOW249" i="30"/>
  <c r="NOX249" i="30"/>
  <c r="NOY249" i="30"/>
  <c r="NOZ249" i="30"/>
  <c r="NPA249" i="30"/>
  <c r="NPB249" i="30"/>
  <c r="NPC249" i="30"/>
  <c r="NPD249" i="30"/>
  <c r="NPE249" i="30"/>
  <c r="NPF249" i="30"/>
  <c r="NPG249" i="30"/>
  <c r="NPH249" i="30"/>
  <c r="NPI249" i="30"/>
  <c r="NPJ249" i="30"/>
  <c r="NPK249" i="30"/>
  <c r="NPL249" i="30"/>
  <c r="NPM249" i="30"/>
  <c r="NPN249" i="30"/>
  <c r="NPO249" i="30"/>
  <c r="NPP249" i="30"/>
  <c r="NPQ249" i="30"/>
  <c r="NPR249" i="30"/>
  <c r="NPS249" i="30"/>
  <c r="NPT249" i="30"/>
  <c r="NPU249" i="30"/>
  <c r="NPV249" i="30"/>
  <c r="NPW249" i="30"/>
  <c r="NPX249" i="30"/>
  <c r="NPY249" i="30"/>
  <c r="NPZ249" i="30"/>
  <c r="NQA249" i="30"/>
  <c r="NQB249" i="30"/>
  <c r="NQC249" i="30"/>
  <c r="NQD249" i="30"/>
  <c r="NQE249" i="30"/>
  <c r="NQF249" i="30"/>
  <c r="NQG249" i="30"/>
  <c r="NQH249" i="30"/>
  <c r="NQI249" i="30"/>
  <c r="NQJ249" i="30"/>
  <c r="NQK249" i="30"/>
  <c r="NQL249" i="30"/>
  <c r="NQM249" i="30"/>
  <c r="NQN249" i="30"/>
  <c r="NQO249" i="30"/>
  <c r="NQP249" i="30"/>
  <c r="NQQ249" i="30"/>
  <c r="NQR249" i="30"/>
  <c r="NQS249" i="30"/>
  <c r="NQT249" i="30"/>
  <c r="NQU249" i="30"/>
  <c r="NQV249" i="30"/>
  <c r="NQW249" i="30"/>
  <c r="NQX249" i="30"/>
  <c r="NQY249" i="30"/>
  <c r="NQZ249" i="30"/>
  <c r="NRA249" i="30"/>
  <c r="NRB249" i="30"/>
  <c r="NRC249" i="30"/>
  <c r="NRD249" i="30"/>
  <c r="NRE249" i="30"/>
  <c r="NRF249" i="30"/>
  <c r="NRG249" i="30"/>
  <c r="NRH249" i="30"/>
  <c r="NRI249" i="30"/>
  <c r="NRJ249" i="30"/>
  <c r="NRK249" i="30"/>
  <c r="NRL249" i="30"/>
  <c r="NRM249" i="30"/>
  <c r="NRN249" i="30"/>
  <c r="NRO249" i="30"/>
  <c r="NRP249" i="30"/>
  <c r="NRQ249" i="30"/>
  <c r="NRR249" i="30"/>
  <c r="NRS249" i="30"/>
  <c r="NRT249" i="30"/>
  <c r="NRU249" i="30"/>
  <c r="NRV249" i="30"/>
  <c r="NRW249" i="30"/>
  <c r="NRX249" i="30"/>
  <c r="NRY249" i="30"/>
  <c r="NRZ249" i="30"/>
  <c r="NSA249" i="30"/>
  <c r="NSB249" i="30"/>
  <c r="NSC249" i="30"/>
  <c r="NSD249" i="30"/>
  <c r="NSE249" i="30"/>
  <c r="NSF249" i="30"/>
  <c r="NSG249" i="30"/>
  <c r="NSH249" i="30"/>
  <c r="NSI249" i="30"/>
  <c r="NSJ249" i="30"/>
  <c r="NSK249" i="30"/>
  <c r="NSL249" i="30"/>
  <c r="NSM249" i="30"/>
  <c r="NSN249" i="30"/>
  <c r="NSO249" i="30"/>
  <c r="NSP249" i="30"/>
  <c r="NSQ249" i="30"/>
  <c r="NSR249" i="30"/>
  <c r="NSS249" i="30"/>
  <c r="NST249" i="30"/>
  <c r="NSU249" i="30"/>
  <c r="NSV249" i="30"/>
  <c r="NSW249" i="30"/>
  <c r="NSX249" i="30"/>
  <c r="NSY249" i="30"/>
  <c r="NSZ249" i="30"/>
  <c r="NTA249" i="30"/>
  <c r="NTB249" i="30"/>
  <c r="NTC249" i="30"/>
  <c r="NTD249" i="30"/>
  <c r="NTE249" i="30"/>
  <c r="NTF249" i="30"/>
  <c r="NTG249" i="30"/>
  <c r="NTH249" i="30"/>
  <c r="NTI249" i="30"/>
  <c r="NTJ249" i="30"/>
  <c r="NTK249" i="30"/>
  <c r="NTL249" i="30"/>
  <c r="NTM249" i="30"/>
  <c r="NTN249" i="30"/>
  <c r="NTO249" i="30"/>
  <c r="NTP249" i="30"/>
  <c r="NTQ249" i="30"/>
  <c r="NTR249" i="30"/>
  <c r="NTS249" i="30"/>
  <c r="NTT249" i="30"/>
  <c r="NTU249" i="30"/>
  <c r="NTV249" i="30"/>
  <c r="NTW249" i="30"/>
  <c r="NTX249" i="30"/>
  <c r="NTY249" i="30"/>
  <c r="NTZ249" i="30"/>
  <c r="NUA249" i="30"/>
  <c r="NUB249" i="30"/>
  <c r="NUC249" i="30"/>
  <c r="NUD249" i="30"/>
  <c r="NUE249" i="30"/>
  <c r="NUF249" i="30"/>
  <c r="NUG249" i="30"/>
  <c r="NUH249" i="30"/>
  <c r="NUI249" i="30"/>
  <c r="NUJ249" i="30"/>
  <c r="NUK249" i="30"/>
  <c r="NUL249" i="30"/>
  <c r="NUM249" i="30"/>
  <c r="NUN249" i="30"/>
  <c r="NUO249" i="30"/>
  <c r="NUP249" i="30"/>
  <c r="NUQ249" i="30"/>
  <c r="NUR249" i="30"/>
  <c r="NUS249" i="30"/>
  <c r="NUT249" i="30"/>
  <c r="NUU249" i="30"/>
  <c r="NUV249" i="30"/>
  <c r="NUW249" i="30"/>
  <c r="NUX249" i="30"/>
  <c r="NUY249" i="30"/>
  <c r="NUZ249" i="30"/>
  <c r="NVA249" i="30"/>
  <c r="NVB249" i="30"/>
  <c r="NVC249" i="30"/>
  <c r="NVD249" i="30"/>
  <c r="NVE249" i="30"/>
  <c r="NVF249" i="30"/>
  <c r="NVG249" i="30"/>
  <c r="NVH249" i="30"/>
  <c r="NVI249" i="30"/>
  <c r="NVJ249" i="30"/>
  <c r="NVK249" i="30"/>
  <c r="NVL249" i="30"/>
  <c r="NVM249" i="30"/>
  <c r="NVN249" i="30"/>
  <c r="NVO249" i="30"/>
  <c r="NVP249" i="30"/>
  <c r="NVQ249" i="30"/>
  <c r="NVR249" i="30"/>
  <c r="NVS249" i="30"/>
  <c r="NVT249" i="30"/>
  <c r="NVU249" i="30"/>
  <c r="NVV249" i="30"/>
  <c r="NVW249" i="30"/>
  <c r="NVX249" i="30"/>
  <c r="NVY249" i="30"/>
  <c r="NVZ249" i="30"/>
  <c r="NWA249" i="30"/>
  <c r="NWB249" i="30"/>
  <c r="NWC249" i="30"/>
  <c r="NWD249" i="30"/>
  <c r="NWE249" i="30"/>
  <c r="NWF249" i="30"/>
  <c r="NWG249" i="30"/>
  <c r="NWH249" i="30"/>
  <c r="NWI249" i="30"/>
  <c r="NWJ249" i="30"/>
  <c r="NWK249" i="30"/>
  <c r="NWL249" i="30"/>
  <c r="NWM249" i="30"/>
  <c r="NWN249" i="30"/>
  <c r="NWO249" i="30"/>
  <c r="NWP249" i="30"/>
  <c r="NWQ249" i="30"/>
  <c r="NWR249" i="30"/>
  <c r="NWS249" i="30"/>
  <c r="NWT249" i="30"/>
  <c r="NWU249" i="30"/>
  <c r="NWV249" i="30"/>
  <c r="NWW249" i="30"/>
  <c r="NWX249" i="30"/>
  <c r="NWY249" i="30"/>
  <c r="NWZ249" i="30"/>
  <c r="NXA249" i="30"/>
  <c r="NXB249" i="30"/>
  <c r="NXC249" i="30"/>
  <c r="NXD249" i="30"/>
  <c r="NXE249" i="30"/>
  <c r="NXF249" i="30"/>
  <c r="NXG249" i="30"/>
  <c r="NXH249" i="30"/>
  <c r="NXI249" i="30"/>
  <c r="NXJ249" i="30"/>
  <c r="NXK249" i="30"/>
  <c r="NXL249" i="30"/>
  <c r="NXM249" i="30"/>
  <c r="NXN249" i="30"/>
  <c r="NXO249" i="30"/>
  <c r="NXP249" i="30"/>
  <c r="NXQ249" i="30"/>
  <c r="NXR249" i="30"/>
  <c r="NXS249" i="30"/>
  <c r="NXT249" i="30"/>
  <c r="NXU249" i="30"/>
  <c r="NXV249" i="30"/>
  <c r="NXW249" i="30"/>
  <c r="NXX249" i="30"/>
  <c r="NXY249" i="30"/>
  <c r="NXZ249" i="30"/>
  <c r="NYA249" i="30"/>
  <c r="NYB249" i="30"/>
  <c r="NYC249" i="30"/>
  <c r="NYD249" i="30"/>
  <c r="NYE249" i="30"/>
  <c r="NYF249" i="30"/>
  <c r="NYG249" i="30"/>
  <c r="NYH249" i="30"/>
  <c r="NYI249" i="30"/>
  <c r="NYJ249" i="30"/>
  <c r="NYK249" i="30"/>
  <c r="NYL249" i="30"/>
  <c r="NYM249" i="30"/>
  <c r="NYN249" i="30"/>
  <c r="NYO249" i="30"/>
  <c r="NYP249" i="30"/>
  <c r="NYQ249" i="30"/>
  <c r="NYR249" i="30"/>
  <c r="NYS249" i="30"/>
  <c r="NYT249" i="30"/>
  <c r="NYU249" i="30"/>
  <c r="NYV249" i="30"/>
  <c r="NYW249" i="30"/>
  <c r="NYX249" i="30"/>
  <c r="NYY249" i="30"/>
  <c r="NYZ249" i="30"/>
  <c r="NZA249" i="30"/>
  <c r="NZB249" i="30"/>
  <c r="NZC249" i="30"/>
  <c r="NZD249" i="30"/>
  <c r="NZE249" i="30"/>
  <c r="NZF249" i="30"/>
  <c r="NZG249" i="30"/>
  <c r="NZH249" i="30"/>
  <c r="NZI249" i="30"/>
  <c r="NZJ249" i="30"/>
  <c r="NZK249" i="30"/>
  <c r="NZL249" i="30"/>
  <c r="NZM249" i="30"/>
  <c r="NZN249" i="30"/>
  <c r="NZO249" i="30"/>
  <c r="NZP249" i="30"/>
  <c r="NZQ249" i="30"/>
  <c r="NZR249" i="30"/>
  <c r="NZS249" i="30"/>
  <c r="NZT249" i="30"/>
  <c r="NZU249" i="30"/>
  <c r="NZV249" i="30"/>
  <c r="NZW249" i="30"/>
  <c r="NZX249" i="30"/>
  <c r="NZY249" i="30"/>
  <c r="NZZ249" i="30"/>
  <c r="OAA249" i="30"/>
  <c r="OAB249" i="30"/>
  <c r="OAC249" i="30"/>
  <c r="OAD249" i="30"/>
  <c r="OAE249" i="30"/>
  <c r="OAF249" i="30"/>
  <c r="OAG249" i="30"/>
  <c r="OAH249" i="30"/>
  <c r="OAI249" i="30"/>
  <c r="OAJ249" i="30"/>
  <c r="OAK249" i="30"/>
  <c r="OAL249" i="30"/>
  <c r="OAM249" i="30"/>
  <c r="OAN249" i="30"/>
  <c r="OAO249" i="30"/>
  <c r="OAP249" i="30"/>
  <c r="OAQ249" i="30"/>
  <c r="OAR249" i="30"/>
  <c r="OAS249" i="30"/>
  <c r="OAT249" i="30"/>
  <c r="OAU249" i="30"/>
  <c r="OAV249" i="30"/>
  <c r="OAW249" i="30"/>
  <c r="OAX249" i="30"/>
  <c r="OAY249" i="30"/>
  <c r="OAZ249" i="30"/>
  <c r="OBA249" i="30"/>
  <c r="OBB249" i="30"/>
  <c r="OBC249" i="30"/>
  <c r="OBD249" i="30"/>
  <c r="OBE249" i="30"/>
  <c r="OBF249" i="30"/>
  <c r="OBG249" i="30"/>
  <c r="OBH249" i="30"/>
  <c r="OBI249" i="30"/>
  <c r="OBJ249" i="30"/>
  <c r="OBK249" i="30"/>
  <c r="OBL249" i="30"/>
  <c r="OBM249" i="30"/>
  <c r="OBN249" i="30"/>
  <c r="OBO249" i="30"/>
  <c r="OBP249" i="30"/>
  <c r="OBQ249" i="30"/>
  <c r="OBR249" i="30"/>
  <c r="OBS249" i="30"/>
  <c r="OBT249" i="30"/>
  <c r="OBU249" i="30"/>
  <c r="OBV249" i="30"/>
  <c r="OBW249" i="30"/>
  <c r="OBX249" i="30"/>
  <c r="OBY249" i="30"/>
  <c r="OBZ249" i="30"/>
  <c r="OCA249" i="30"/>
  <c r="OCB249" i="30"/>
  <c r="OCC249" i="30"/>
  <c r="OCD249" i="30"/>
  <c r="OCE249" i="30"/>
  <c r="OCF249" i="30"/>
  <c r="OCG249" i="30"/>
  <c r="OCH249" i="30"/>
  <c r="OCI249" i="30"/>
  <c r="OCJ249" i="30"/>
  <c r="OCK249" i="30"/>
  <c r="OCL249" i="30"/>
  <c r="OCM249" i="30"/>
  <c r="OCN249" i="30"/>
  <c r="OCO249" i="30"/>
  <c r="OCP249" i="30"/>
  <c r="OCQ249" i="30"/>
  <c r="OCR249" i="30"/>
  <c r="OCS249" i="30"/>
  <c r="OCT249" i="30"/>
  <c r="OCU249" i="30"/>
  <c r="OCV249" i="30"/>
  <c r="OCW249" i="30"/>
  <c r="OCX249" i="30"/>
  <c r="OCY249" i="30"/>
  <c r="OCZ249" i="30"/>
  <c r="ODA249" i="30"/>
  <c r="ODB249" i="30"/>
  <c r="ODC249" i="30"/>
  <c r="ODD249" i="30"/>
  <c r="ODE249" i="30"/>
  <c r="ODF249" i="30"/>
  <c r="ODG249" i="30"/>
  <c r="ODH249" i="30"/>
  <c r="ODI249" i="30"/>
  <c r="ODJ249" i="30"/>
  <c r="ODK249" i="30"/>
  <c r="ODL249" i="30"/>
  <c r="ODM249" i="30"/>
  <c r="ODN249" i="30"/>
  <c r="ODO249" i="30"/>
  <c r="ODP249" i="30"/>
  <c r="ODQ249" i="30"/>
  <c r="ODR249" i="30"/>
  <c r="ODS249" i="30"/>
  <c r="ODT249" i="30"/>
  <c r="ODU249" i="30"/>
  <c r="ODV249" i="30"/>
  <c r="ODW249" i="30"/>
  <c r="ODX249" i="30"/>
  <c r="ODY249" i="30"/>
  <c r="ODZ249" i="30"/>
  <c r="OEA249" i="30"/>
  <c r="OEB249" i="30"/>
  <c r="OEC249" i="30"/>
  <c r="OED249" i="30"/>
  <c r="OEE249" i="30"/>
  <c r="OEF249" i="30"/>
  <c r="OEG249" i="30"/>
  <c r="OEH249" i="30"/>
  <c r="OEI249" i="30"/>
  <c r="OEJ249" i="30"/>
  <c r="OEK249" i="30"/>
  <c r="OEL249" i="30"/>
  <c r="OEM249" i="30"/>
  <c r="OEN249" i="30"/>
  <c r="OEO249" i="30"/>
  <c r="OEP249" i="30"/>
  <c r="OEQ249" i="30"/>
  <c r="OER249" i="30"/>
  <c r="OES249" i="30"/>
  <c r="OET249" i="30"/>
  <c r="OEU249" i="30"/>
  <c r="OEV249" i="30"/>
  <c r="OEW249" i="30"/>
  <c r="OEX249" i="30"/>
  <c r="OEY249" i="30"/>
  <c r="OEZ249" i="30"/>
  <c r="OFA249" i="30"/>
  <c r="OFB249" i="30"/>
  <c r="OFC249" i="30"/>
  <c r="OFD249" i="30"/>
  <c r="OFE249" i="30"/>
  <c r="OFF249" i="30"/>
  <c r="OFG249" i="30"/>
  <c r="OFH249" i="30"/>
  <c r="OFI249" i="30"/>
  <c r="OFJ249" i="30"/>
  <c r="OFK249" i="30"/>
  <c r="OFL249" i="30"/>
  <c r="OFM249" i="30"/>
  <c r="OFN249" i="30"/>
  <c r="OFO249" i="30"/>
  <c r="OFP249" i="30"/>
  <c r="OFQ249" i="30"/>
  <c r="OFR249" i="30"/>
  <c r="OFS249" i="30"/>
  <c r="OFT249" i="30"/>
  <c r="OFU249" i="30"/>
  <c r="OFV249" i="30"/>
  <c r="OFW249" i="30"/>
  <c r="OFX249" i="30"/>
  <c r="OFY249" i="30"/>
  <c r="OFZ249" i="30"/>
  <c r="OGA249" i="30"/>
  <c r="OGB249" i="30"/>
  <c r="OGC249" i="30"/>
  <c r="OGD249" i="30"/>
  <c r="OGE249" i="30"/>
  <c r="OGF249" i="30"/>
  <c r="OGG249" i="30"/>
  <c r="OGH249" i="30"/>
  <c r="OGI249" i="30"/>
  <c r="OGJ249" i="30"/>
  <c r="OGK249" i="30"/>
  <c r="OGL249" i="30"/>
  <c r="OGM249" i="30"/>
  <c r="OGN249" i="30"/>
  <c r="OGO249" i="30"/>
  <c r="OGP249" i="30"/>
  <c r="OGQ249" i="30"/>
  <c r="OGR249" i="30"/>
  <c r="OGS249" i="30"/>
  <c r="OGT249" i="30"/>
  <c r="OGU249" i="30"/>
  <c r="OGV249" i="30"/>
  <c r="OGW249" i="30"/>
  <c r="OGX249" i="30"/>
  <c r="OGY249" i="30"/>
  <c r="OGZ249" i="30"/>
  <c r="OHA249" i="30"/>
  <c r="OHB249" i="30"/>
  <c r="OHC249" i="30"/>
  <c r="OHD249" i="30"/>
  <c r="OHE249" i="30"/>
  <c r="OHF249" i="30"/>
  <c r="OHG249" i="30"/>
  <c r="OHH249" i="30"/>
  <c r="OHI249" i="30"/>
  <c r="OHJ249" i="30"/>
  <c r="OHK249" i="30"/>
  <c r="OHL249" i="30"/>
  <c r="OHM249" i="30"/>
  <c r="OHN249" i="30"/>
  <c r="OHO249" i="30"/>
  <c r="OHP249" i="30"/>
  <c r="OHQ249" i="30"/>
  <c r="OHR249" i="30"/>
  <c r="OHS249" i="30"/>
  <c r="OHT249" i="30"/>
  <c r="OHU249" i="30"/>
  <c r="OHV249" i="30"/>
  <c r="OHW249" i="30"/>
  <c r="OHX249" i="30"/>
  <c r="OHY249" i="30"/>
  <c r="OHZ249" i="30"/>
  <c r="OIA249" i="30"/>
  <c r="OIB249" i="30"/>
  <c r="OIC249" i="30"/>
  <c r="OID249" i="30"/>
  <c r="OIE249" i="30"/>
  <c r="OIF249" i="30"/>
  <c r="OIG249" i="30"/>
  <c r="OIH249" i="30"/>
  <c r="OII249" i="30"/>
  <c r="OIJ249" i="30"/>
  <c r="OIK249" i="30"/>
  <c r="OIL249" i="30"/>
  <c r="OIM249" i="30"/>
  <c r="OIN249" i="30"/>
  <c r="OIO249" i="30"/>
  <c r="OIP249" i="30"/>
  <c r="OIQ249" i="30"/>
  <c r="OIR249" i="30"/>
  <c r="OIS249" i="30"/>
  <c r="OIT249" i="30"/>
  <c r="OIU249" i="30"/>
  <c r="OIV249" i="30"/>
  <c r="OIW249" i="30"/>
  <c r="OIX249" i="30"/>
  <c r="OIY249" i="30"/>
  <c r="OIZ249" i="30"/>
  <c r="OJA249" i="30"/>
  <c r="OJB249" i="30"/>
  <c r="OJC249" i="30"/>
  <c r="OJD249" i="30"/>
  <c r="OJE249" i="30"/>
  <c r="OJF249" i="30"/>
  <c r="OJG249" i="30"/>
  <c r="OJH249" i="30"/>
  <c r="OJI249" i="30"/>
  <c r="OJJ249" i="30"/>
  <c r="OJK249" i="30"/>
  <c r="OJL249" i="30"/>
  <c r="OJM249" i="30"/>
  <c r="OJN249" i="30"/>
  <c r="OJO249" i="30"/>
  <c r="OJP249" i="30"/>
  <c r="OJQ249" i="30"/>
  <c r="OJR249" i="30"/>
  <c r="OJS249" i="30"/>
  <c r="OJT249" i="30"/>
  <c r="OJU249" i="30"/>
  <c r="OJV249" i="30"/>
  <c r="OJW249" i="30"/>
  <c r="OJX249" i="30"/>
  <c r="OJY249" i="30"/>
  <c r="OJZ249" i="30"/>
  <c r="OKA249" i="30"/>
  <c r="OKB249" i="30"/>
  <c r="OKC249" i="30"/>
  <c r="OKD249" i="30"/>
  <c r="OKE249" i="30"/>
  <c r="OKF249" i="30"/>
  <c r="OKG249" i="30"/>
  <c r="OKH249" i="30"/>
  <c r="OKI249" i="30"/>
  <c r="OKJ249" i="30"/>
  <c r="OKK249" i="30"/>
  <c r="OKL249" i="30"/>
  <c r="OKM249" i="30"/>
  <c r="OKN249" i="30"/>
  <c r="OKO249" i="30"/>
  <c r="OKP249" i="30"/>
  <c r="OKQ249" i="30"/>
  <c r="OKR249" i="30"/>
  <c r="OKS249" i="30"/>
  <c r="OKT249" i="30"/>
  <c r="OKU249" i="30"/>
  <c r="OKV249" i="30"/>
  <c r="OKW249" i="30"/>
  <c r="OKX249" i="30"/>
  <c r="OKY249" i="30"/>
  <c r="OKZ249" i="30"/>
  <c r="OLA249" i="30"/>
  <c r="OLB249" i="30"/>
  <c r="OLC249" i="30"/>
  <c r="OLD249" i="30"/>
  <c r="OLE249" i="30"/>
  <c r="OLF249" i="30"/>
  <c r="OLG249" i="30"/>
  <c r="OLH249" i="30"/>
  <c r="OLI249" i="30"/>
  <c r="OLJ249" i="30"/>
  <c r="OLK249" i="30"/>
  <c r="OLL249" i="30"/>
  <c r="OLM249" i="30"/>
  <c r="OLN249" i="30"/>
  <c r="OLO249" i="30"/>
  <c r="OLP249" i="30"/>
  <c r="OLQ249" i="30"/>
  <c r="OLR249" i="30"/>
  <c r="OLS249" i="30"/>
  <c r="OLT249" i="30"/>
  <c r="OLU249" i="30"/>
  <c r="OLV249" i="30"/>
  <c r="OLW249" i="30"/>
  <c r="OLX249" i="30"/>
  <c r="OLY249" i="30"/>
  <c r="OLZ249" i="30"/>
  <c r="OMA249" i="30"/>
  <c r="OMB249" i="30"/>
  <c r="OMC249" i="30"/>
  <c r="OMD249" i="30"/>
  <c r="OME249" i="30"/>
  <c r="OMF249" i="30"/>
  <c r="OMG249" i="30"/>
  <c r="OMH249" i="30"/>
  <c r="OMI249" i="30"/>
  <c r="OMJ249" i="30"/>
  <c r="OMK249" i="30"/>
  <c r="OML249" i="30"/>
  <c r="OMM249" i="30"/>
  <c r="OMN249" i="30"/>
  <c r="OMO249" i="30"/>
  <c r="OMP249" i="30"/>
  <c r="OMQ249" i="30"/>
  <c r="OMR249" i="30"/>
  <c r="OMS249" i="30"/>
  <c r="OMT249" i="30"/>
  <c r="OMU249" i="30"/>
  <c r="OMV249" i="30"/>
  <c r="OMW249" i="30"/>
  <c r="OMX249" i="30"/>
  <c r="OMY249" i="30"/>
  <c r="OMZ249" i="30"/>
  <c r="ONA249" i="30"/>
  <c r="ONB249" i="30"/>
  <c r="ONC249" i="30"/>
  <c r="OND249" i="30"/>
  <c r="ONE249" i="30"/>
  <c r="ONF249" i="30"/>
  <c r="ONG249" i="30"/>
  <c r="ONH249" i="30"/>
  <c r="ONI249" i="30"/>
  <c r="ONJ249" i="30"/>
  <c r="ONK249" i="30"/>
  <c r="ONL249" i="30"/>
  <c r="ONM249" i="30"/>
  <c r="ONN249" i="30"/>
  <c r="ONO249" i="30"/>
  <c r="ONP249" i="30"/>
  <c r="ONQ249" i="30"/>
  <c r="ONR249" i="30"/>
  <c r="ONS249" i="30"/>
  <c r="ONT249" i="30"/>
  <c r="ONU249" i="30"/>
  <c r="ONV249" i="30"/>
  <c r="ONW249" i="30"/>
  <c r="ONX249" i="30"/>
  <c r="ONY249" i="30"/>
  <c r="ONZ249" i="30"/>
  <c r="OOA249" i="30"/>
  <c r="OOB249" i="30"/>
  <c r="OOC249" i="30"/>
  <c r="OOD249" i="30"/>
  <c r="OOE249" i="30"/>
  <c r="OOF249" i="30"/>
  <c r="OOG249" i="30"/>
  <c r="OOH249" i="30"/>
  <c r="OOI249" i="30"/>
  <c r="OOJ249" i="30"/>
  <c r="OOK249" i="30"/>
  <c r="OOL249" i="30"/>
  <c r="OOM249" i="30"/>
  <c r="OON249" i="30"/>
  <c r="OOO249" i="30"/>
  <c r="OOP249" i="30"/>
  <c r="OOQ249" i="30"/>
  <c r="OOR249" i="30"/>
  <c r="OOS249" i="30"/>
  <c r="OOT249" i="30"/>
  <c r="OOU249" i="30"/>
  <c r="OOV249" i="30"/>
  <c r="OOW249" i="30"/>
  <c r="OOX249" i="30"/>
  <c r="OOY249" i="30"/>
  <c r="OOZ249" i="30"/>
  <c r="OPA249" i="30"/>
  <c r="OPB249" i="30"/>
  <c r="OPC249" i="30"/>
  <c r="OPD249" i="30"/>
  <c r="OPE249" i="30"/>
  <c r="OPF249" i="30"/>
  <c r="OPG249" i="30"/>
  <c r="OPH249" i="30"/>
  <c r="OPI249" i="30"/>
  <c r="OPJ249" i="30"/>
  <c r="OPK249" i="30"/>
  <c r="OPL249" i="30"/>
  <c r="OPM249" i="30"/>
  <c r="OPN249" i="30"/>
  <c r="OPO249" i="30"/>
  <c r="OPP249" i="30"/>
  <c r="OPQ249" i="30"/>
  <c r="OPR249" i="30"/>
  <c r="OPS249" i="30"/>
  <c r="OPT249" i="30"/>
  <c r="OPU249" i="30"/>
  <c r="OPV249" i="30"/>
  <c r="OPW249" i="30"/>
  <c r="OPX249" i="30"/>
  <c r="OPY249" i="30"/>
  <c r="OPZ249" i="30"/>
  <c r="OQA249" i="30"/>
  <c r="OQB249" i="30"/>
  <c r="OQC249" i="30"/>
  <c r="OQD249" i="30"/>
  <c r="OQE249" i="30"/>
  <c r="OQF249" i="30"/>
  <c r="OQG249" i="30"/>
  <c r="OQH249" i="30"/>
  <c r="OQI249" i="30"/>
  <c r="OQJ249" i="30"/>
  <c r="OQK249" i="30"/>
  <c r="OQL249" i="30"/>
  <c r="OQM249" i="30"/>
  <c r="OQN249" i="30"/>
  <c r="OQO249" i="30"/>
  <c r="OQP249" i="30"/>
  <c r="OQQ249" i="30"/>
  <c r="OQR249" i="30"/>
  <c r="OQS249" i="30"/>
  <c r="OQT249" i="30"/>
  <c r="OQU249" i="30"/>
  <c r="OQV249" i="30"/>
  <c r="OQW249" i="30"/>
  <c r="OQX249" i="30"/>
  <c r="OQY249" i="30"/>
  <c r="OQZ249" i="30"/>
  <c r="ORA249" i="30"/>
  <c r="ORB249" i="30"/>
  <c r="ORC249" i="30"/>
  <c r="ORD249" i="30"/>
  <c r="ORE249" i="30"/>
  <c r="ORF249" i="30"/>
  <c r="ORG249" i="30"/>
  <c r="ORH249" i="30"/>
  <c r="ORI249" i="30"/>
  <c r="ORJ249" i="30"/>
  <c r="ORK249" i="30"/>
  <c r="ORL249" i="30"/>
  <c r="ORM249" i="30"/>
  <c r="ORN249" i="30"/>
  <c r="ORO249" i="30"/>
  <c r="ORP249" i="30"/>
  <c r="ORQ249" i="30"/>
  <c r="ORR249" i="30"/>
  <c r="ORS249" i="30"/>
  <c r="ORT249" i="30"/>
  <c r="ORU249" i="30"/>
  <c r="ORV249" i="30"/>
  <c r="ORW249" i="30"/>
  <c r="ORX249" i="30"/>
  <c r="ORY249" i="30"/>
  <c r="ORZ249" i="30"/>
  <c r="OSA249" i="30"/>
  <c r="OSB249" i="30"/>
  <c r="OSC249" i="30"/>
  <c r="OSD249" i="30"/>
  <c r="OSE249" i="30"/>
  <c r="OSF249" i="30"/>
  <c r="OSG249" i="30"/>
  <c r="OSH249" i="30"/>
  <c r="OSI249" i="30"/>
  <c r="OSJ249" i="30"/>
  <c r="OSK249" i="30"/>
  <c r="OSL249" i="30"/>
  <c r="OSM249" i="30"/>
  <c r="OSN249" i="30"/>
  <c r="OSO249" i="30"/>
  <c r="OSP249" i="30"/>
  <c r="OSQ249" i="30"/>
  <c r="OSR249" i="30"/>
  <c r="OSS249" i="30"/>
  <c r="OST249" i="30"/>
  <c r="OSU249" i="30"/>
  <c r="OSV249" i="30"/>
  <c r="OSW249" i="30"/>
  <c r="OSX249" i="30"/>
  <c r="OSY249" i="30"/>
  <c r="OSZ249" i="30"/>
  <c r="OTA249" i="30"/>
  <c r="OTB249" i="30"/>
  <c r="OTC249" i="30"/>
  <c r="OTD249" i="30"/>
  <c r="OTE249" i="30"/>
  <c r="OTF249" i="30"/>
  <c r="OTG249" i="30"/>
  <c r="OTH249" i="30"/>
  <c r="OTI249" i="30"/>
  <c r="OTJ249" i="30"/>
  <c r="OTK249" i="30"/>
  <c r="OTL249" i="30"/>
  <c r="OTM249" i="30"/>
  <c r="OTN249" i="30"/>
  <c r="OTO249" i="30"/>
  <c r="OTP249" i="30"/>
  <c r="OTQ249" i="30"/>
  <c r="OTR249" i="30"/>
  <c r="OTS249" i="30"/>
  <c r="OTT249" i="30"/>
  <c r="OTU249" i="30"/>
  <c r="OTV249" i="30"/>
  <c r="OTW249" i="30"/>
  <c r="OTX249" i="30"/>
  <c r="OTY249" i="30"/>
  <c r="OTZ249" i="30"/>
  <c r="OUA249" i="30"/>
  <c r="OUB249" i="30"/>
  <c r="OUC249" i="30"/>
  <c r="OUD249" i="30"/>
  <c r="OUE249" i="30"/>
  <c r="OUF249" i="30"/>
  <c r="OUG249" i="30"/>
  <c r="OUH249" i="30"/>
  <c r="OUI249" i="30"/>
  <c r="OUJ249" i="30"/>
  <c r="OUK249" i="30"/>
  <c r="OUL249" i="30"/>
  <c r="OUM249" i="30"/>
  <c r="OUN249" i="30"/>
  <c r="OUO249" i="30"/>
  <c r="OUP249" i="30"/>
  <c r="OUQ249" i="30"/>
  <c r="OUR249" i="30"/>
  <c r="OUS249" i="30"/>
  <c r="OUT249" i="30"/>
  <c r="OUU249" i="30"/>
  <c r="OUV249" i="30"/>
  <c r="OUW249" i="30"/>
  <c r="OUX249" i="30"/>
  <c r="OUY249" i="30"/>
  <c r="OUZ249" i="30"/>
  <c r="OVA249" i="30"/>
  <c r="OVB249" i="30"/>
  <c r="OVC249" i="30"/>
  <c r="OVD249" i="30"/>
  <c r="OVE249" i="30"/>
  <c r="OVF249" i="30"/>
  <c r="OVG249" i="30"/>
  <c r="OVH249" i="30"/>
  <c r="OVI249" i="30"/>
  <c r="OVJ249" i="30"/>
  <c r="OVK249" i="30"/>
  <c r="OVL249" i="30"/>
  <c r="OVM249" i="30"/>
  <c r="OVN249" i="30"/>
  <c r="OVO249" i="30"/>
  <c r="OVP249" i="30"/>
  <c r="OVQ249" i="30"/>
  <c r="OVR249" i="30"/>
  <c r="OVS249" i="30"/>
  <c r="OVT249" i="30"/>
  <c r="OVU249" i="30"/>
  <c r="OVV249" i="30"/>
  <c r="OVW249" i="30"/>
  <c r="OVX249" i="30"/>
  <c r="OVY249" i="30"/>
  <c r="OVZ249" i="30"/>
  <c r="OWA249" i="30"/>
  <c r="OWB249" i="30"/>
  <c r="OWC249" i="30"/>
  <c r="OWD249" i="30"/>
  <c r="OWE249" i="30"/>
  <c r="OWF249" i="30"/>
  <c r="OWG249" i="30"/>
  <c r="OWH249" i="30"/>
  <c r="OWI249" i="30"/>
  <c r="OWJ249" i="30"/>
  <c r="OWK249" i="30"/>
  <c r="OWL249" i="30"/>
  <c r="OWM249" i="30"/>
  <c r="OWN249" i="30"/>
  <c r="OWO249" i="30"/>
  <c r="OWP249" i="30"/>
  <c r="OWQ249" i="30"/>
  <c r="OWR249" i="30"/>
  <c r="OWS249" i="30"/>
  <c r="OWT249" i="30"/>
  <c r="OWU249" i="30"/>
  <c r="OWV249" i="30"/>
  <c r="OWW249" i="30"/>
  <c r="OWX249" i="30"/>
  <c r="OWY249" i="30"/>
  <c r="OWZ249" i="30"/>
  <c r="OXA249" i="30"/>
  <c r="OXB249" i="30"/>
  <c r="OXC249" i="30"/>
  <c r="OXD249" i="30"/>
  <c r="OXE249" i="30"/>
  <c r="OXF249" i="30"/>
  <c r="OXG249" i="30"/>
  <c r="OXH249" i="30"/>
  <c r="OXI249" i="30"/>
  <c r="OXJ249" i="30"/>
  <c r="OXK249" i="30"/>
  <c r="OXL249" i="30"/>
  <c r="OXM249" i="30"/>
  <c r="OXN249" i="30"/>
  <c r="OXO249" i="30"/>
  <c r="OXP249" i="30"/>
  <c r="OXQ249" i="30"/>
  <c r="OXR249" i="30"/>
  <c r="OXS249" i="30"/>
  <c r="OXT249" i="30"/>
  <c r="OXU249" i="30"/>
  <c r="OXV249" i="30"/>
  <c r="OXW249" i="30"/>
  <c r="OXX249" i="30"/>
  <c r="OXY249" i="30"/>
  <c r="OXZ249" i="30"/>
  <c r="OYA249" i="30"/>
  <c r="OYB249" i="30"/>
  <c r="OYC249" i="30"/>
  <c r="OYD249" i="30"/>
  <c r="OYE249" i="30"/>
  <c r="OYF249" i="30"/>
  <c r="OYG249" i="30"/>
  <c r="OYH249" i="30"/>
  <c r="OYI249" i="30"/>
  <c r="OYJ249" i="30"/>
  <c r="OYK249" i="30"/>
  <c r="OYL249" i="30"/>
  <c r="OYM249" i="30"/>
  <c r="OYN249" i="30"/>
  <c r="OYO249" i="30"/>
  <c r="OYP249" i="30"/>
  <c r="OYQ249" i="30"/>
  <c r="OYR249" i="30"/>
  <c r="OYS249" i="30"/>
  <c r="OYT249" i="30"/>
  <c r="OYU249" i="30"/>
  <c r="OYV249" i="30"/>
  <c r="OYW249" i="30"/>
  <c r="OYX249" i="30"/>
  <c r="OYY249" i="30"/>
  <c r="OYZ249" i="30"/>
  <c r="OZA249" i="30"/>
  <c r="OZB249" i="30"/>
  <c r="OZC249" i="30"/>
  <c r="OZD249" i="30"/>
  <c r="OZE249" i="30"/>
  <c r="OZF249" i="30"/>
  <c r="OZG249" i="30"/>
  <c r="OZH249" i="30"/>
  <c r="OZI249" i="30"/>
  <c r="OZJ249" i="30"/>
  <c r="OZK249" i="30"/>
  <c r="OZL249" i="30"/>
  <c r="OZM249" i="30"/>
  <c r="OZN249" i="30"/>
  <c r="OZO249" i="30"/>
  <c r="OZP249" i="30"/>
  <c r="OZQ249" i="30"/>
  <c r="OZR249" i="30"/>
  <c r="OZS249" i="30"/>
  <c r="OZT249" i="30"/>
  <c r="OZU249" i="30"/>
  <c r="OZV249" i="30"/>
  <c r="OZW249" i="30"/>
  <c r="OZX249" i="30"/>
  <c r="OZY249" i="30"/>
  <c r="OZZ249" i="30"/>
  <c r="PAA249" i="30"/>
  <c r="PAB249" i="30"/>
  <c r="PAC249" i="30"/>
  <c r="PAD249" i="30"/>
  <c r="PAE249" i="30"/>
  <c r="PAF249" i="30"/>
  <c r="PAG249" i="30"/>
  <c r="PAH249" i="30"/>
  <c r="PAI249" i="30"/>
  <c r="PAJ249" i="30"/>
  <c r="PAK249" i="30"/>
  <c r="PAL249" i="30"/>
  <c r="PAM249" i="30"/>
  <c r="PAN249" i="30"/>
  <c r="PAO249" i="30"/>
  <c r="PAP249" i="30"/>
  <c r="PAQ249" i="30"/>
  <c r="PAR249" i="30"/>
  <c r="PAS249" i="30"/>
  <c r="PAT249" i="30"/>
  <c r="PAU249" i="30"/>
  <c r="PAV249" i="30"/>
  <c r="PAW249" i="30"/>
  <c r="PAX249" i="30"/>
  <c r="PAY249" i="30"/>
  <c r="PAZ249" i="30"/>
  <c r="PBA249" i="30"/>
  <c r="PBB249" i="30"/>
  <c r="PBC249" i="30"/>
  <c r="PBD249" i="30"/>
  <c r="PBE249" i="30"/>
  <c r="PBF249" i="30"/>
  <c r="PBG249" i="30"/>
  <c r="PBH249" i="30"/>
  <c r="PBI249" i="30"/>
  <c r="PBJ249" i="30"/>
  <c r="PBK249" i="30"/>
  <c r="PBL249" i="30"/>
  <c r="PBM249" i="30"/>
  <c r="PBN249" i="30"/>
  <c r="PBO249" i="30"/>
  <c r="PBP249" i="30"/>
  <c r="PBQ249" i="30"/>
  <c r="PBR249" i="30"/>
  <c r="PBS249" i="30"/>
  <c r="PBT249" i="30"/>
  <c r="PBU249" i="30"/>
  <c r="PBV249" i="30"/>
  <c r="PBW249" i="30"/>
  <c r="PBX249" i="30"/>
  <c r="PBY249" i="30"/>
  <c r="PBZ249" i="30"/>
  <c r="PCA249" i="30"/>
  <c r="PCB249" i="30"/>
  <c r="PCC249" i="30"/>
  <c r="PCD249" i="30"/>
  <c r="PCE249" i="30"/>
  <c r="PCF249" i="30"/>
  <c r="PCG249" i="30"/>
  <c r="PCH249" i="30"/>
  <c r="PCI249" i="30"/>
  <c r="PCJ249" i="30"/>
  <c r="PCK249" i="30"/>
  <c r="PCL249" i="30"/>
  <c r="PCM249" i="30"/>
  <c r="PCN249" i="30"/>
  <c r="PCO249" i="30"/>
  <c r="PCP249" i="30"/>
  <c r="PCQ249" i="30"/>
  <c r="PCR249" i="30"/>
  <c r="PCS249" i="30"/>
  <c r="PCT249" i="30"/>
  <c r="PCU249" i="30"/>
  <c r="PCV249" i="30"/>
  <c r="PCW249" i="30"/>
  <c r="PCX249" i="30"/>
  <c r="PCY249" i="30"/>
  <c r="PCZ249" i="30"/>
  <c r="PDA249" i="30"/>
  <c r="PDB249" i="30"/>
  <c r="PDC249" i="30"/>
  <c r="PDD249" i="30"/>
  <c r="PDE249" i="30"/>
  <c r="PDF249" i="30"/>
  <c r="PDG249" i="30"/>
  <c r="PDH249" i="30"/>
  <c r="PDI249" i="30"/>
  <c r="PDJ249" i="30"/>
  <c r="PDK249" i="30"/>
  <c r="PDL249" i="30"/>
  <c r="PDM249" i="30"/>
  <c r="PDN249" i="30"/>
  <c r="PDO249" i="30"/>
  <c r="PDP249" i="30"/>
  <c r="PDQ249" i="30"/>
  <c r="PDR249" i="30"/>
  <c r="PDS249" i="30"/>
  <c r="PDT249" i="30"/>
  <c r="PDU249" i="30"/>
  <c r="PDV249" i="30"/>
  <c r="PDW249" i="30"/>
  <c r="PDX249" i="30"/>
  <c r="PDY249" i="30"/>
  <c r="PDZ249" i="30"/>
  <c r="PEA249" i="30"/>
  <c r="PEB249" i="30"/>
  <c r="PEC249" i="30"/>
  <c r="PED249" i="30"/>
  <c r="PEE249" i="30"/>
  <c r="PEF249" i="30"/>
  <c r="PEG249" i="30"/>
  <c r="PEH249" i="30"/>
  <c r="PEI249" i="30"/>
  <c r="PEJ249" i="30"/>
  <c r="PEK249" i="30"/>
  <c r="PEL249" i="30"/>
  <c r="PEM249" i="30"/>
  <c r="PEN249" i="30"/>
  <c r="PEO249" i="30"/>
  <c r="PEP249" i="30"/>
  <c r="PEQ249" i="30"/>
  <c r="PER249" i="30"/>
  <c r="PES249" i="30"/>
  <c r="PET249" i="30"/>
  <c r="PEU249" i="30"/>
  <c r="PEV249" i="30"/>
  <c r="PEW249" i="30"/>
  <c r="PEX249" i="30"/>
  <c r="PEY249" i="30"/>
  <c r="PEZ249" i="30"/>
  <c r="PFA249" i="30"/>
  <c r="PFB249" i="30"/>
  <c r="PFC249" i="30"/>
  <c r="PFD249" i="30"/>
  <c r="PFE249" i="30"/>
  <c r="PFF249" i="30"/>
  <c r="PFG249" i="30"/>
  <c r="PFH249" i="30"/>
  <c r="PFI249" i="30"/>
  <c r="PFJ249" i="30"/>
  <c r="PFK249" i="30"/>
  <c r="PFL249" i="30"/>
  <c r="PFM249" i="30"/>
  <c r="PFN249" i="30"/>
  <c r="PFO249" i="30"/>
  <c r="PFP249" i="30"/>
  <c r="PFQ249" i="30"/>
  <c r="PFR249" i="30"/>
  <c r="PFS249" i="30"/>
  <c r="PFT249" i="30"/>
  <c r="PFU249" i="30"/>
  <c r="PFV249" i="30"/>
  <c r="PFW249" i="30"/>
  <c r="PFX249" i="30"/>
  <c r="PFY249" i="30"/>
  <c r="PFZ249" i="30"/>
  <c r="PGA249" i="30"/>
  <c r="PGB249" i="30"/>
  <c r="PGC249" i="30"/>
  <c r="PGD249" i="30"/>
  <c r="PGE249" i="30"/>
  <c r="PGF249" i="30"/>
  <c r="PGG249" i="30"/>
  <c r="PGH249" i="30"/>
  <c r="PGI249" i="30"/>
  <c r="PGJ249" i="30"/>
  <c r="PGK249" i="30"/>
  <c r="PGL249" i="30"/>
  <c r="PGM249" i="30"/>
  <c r="PGN249" i="30"/>
  <c r="PGO249" i="30"/>
  <c r="PGP249" i="30"/>
  <c r="PGQ249" i="30"/>
  <c r="PGR249" i="30"/>
  <c r="PGS249" i="30"/>
  <c r="PGT249" i="30"/>
  <c r="PGU249" i="30"/>
  <c r="PGV249" i="30"/>
  <c r="PGW249" i="30"/>
  <c r="PGX249" i="30"/>
  <c r="PGY249" i="30"/>
  <c r="PGZ249" i="30"/>
  <c r="PHA249" i="30"/>
  <c r="PHB249" i="30"/>
  <c r="PHC249" i="30"/>
  <c r="PHD249" i="30"/>
  <c r="PHE249" i="30"/>
  <c r="PHF249" i="30"/>
  <c r="PHG249" i="30"/>
  <c r="PHH249" i="30"/>
  <c r="PHI249" i="30"/>
  <c r="PHJ249" i="30"/>
  <c r="PHK249" i="30"/>
  <c r="PHL249" i="30"/>
  <c r="PHM249" i="30"/>
  <c r="PHN249" i="30"/>
  <c r="PHO249" i="30"/>
  <c r="PHP249" i="30"/>
  <c r="PHQ249" i="30"/>
  <c r="PHR249" i="30"/>
  <c r="PHS249" i="30"/>
  <c r="PHT249" i="30"/>
  <c r="PHU249" i="30"/>
  <c r="PHV249" i="30"/>
  <c r="PHW249" i="30"/>
  <c r="PHX249" i="30"/>
  <c r="PHY249" i="30"/>
  <c r="PHZ249" i="30"/>
  <c r="PIA249" i="30"/>
  <c r="PIB249" i="30"/>
  <c r="PIC249" i="30"/>
  <c r="PID249" i="30"/>
  <c r="PIE249" i="30"/>
  <c r="PIF249" i="30"/>
  <c r="PIG249" i="30"/>
  <c r="PIH249" i="30"/>
  <c r="PII249" i="30"/>
  <c r="PIJ249" i="30"/>
  <c r="PIK249" i="30"/>
  <c r="PIL249" i="30"/>
  <c r="PIM249" i="30"/>
  <c r="PIN249" i="30"/>
  <c r="PIO249" i="30"/>
  <c r="PIP249" i="30"/>
  <c r="PIQ249" i="30"/>
  <c r="PIR249" i="30"/>
  <c r="PIS249" i="30"/>
  <c r="PIT249" i="30"/>
  <c r="PIU249" i="30"/>
  <c r="PIV249" i="30"/>
  <c r="PIW249" i="30"/>
  <c r="PIX249" i="30"/>
  <c r="PIY249" i="30"/>
  <c r="PIZ249" i="30"/>
  <c r="PJA249" i="30"/>
  <c r="PJB249" i="30"/>
  <c r="PJC249" i="30"/>
  <c r="PJD249" i="30"/>
  <c r="PJE249" i="30"/>
  <c r="PJF249" i="30"/>
  <c r="PJG249" i="30"/>
  <c r="PJH249" i="30"/>
  <c r="PJI249" i="30"/>
  <c r="PJJ249" i="30"/>
  <c r="PJK249" i="30"/>
  <c r="PJL249" i="30"/>
  <c r="PJM249" i="30"/>
  <c r="PJN249" i="30"/>
  <c r="PJO249" i="30"/>
  <c r="PJP249" i="30"/>
  <c r="PJQ249" i="30"/>
  <c r="PJR249" i="30"/>
  <c r="PJS249" i="30"/>
  <c r="PJT249" i="30"/>
  <c r="PJU249" i="30"/>
  <c r="PJV249" i="30"/>
  <c r="PJW249" i="30"/>
  <c r="PJX249" i="30"/>
  <c r="PJY249" i="30"/>
  <c r="PJZ249" i="30"/>
  <c r="PKA249" i="30"/>
  <c r="PKB249" i="30"/>
  <c r="PKC249" i="30"/>
  <c r="PKD249" i="30"/>
  <c r="PKE249" i="30"/>
  <c r="PKF249" i="30"/>
  <c r="PKG249" i="30"/>
  <c r="PKH249" i="30"/>
  <c r="PKI249" i="30"/>
  <c r="PKJ249" i="30"/>
  <c r="PKK249" i="30"/>
  <c r="PKL249" i="30"/>
  <c r="PKM249" i="30"/>
  <c r="PKN249" i="30"/>
  <c r="PKO249" i="30"/>
  <c r="PKP249" i="30"/>
  <c r="PKQ249" i="30"/>
  <c r="PKR249" i="30"/>
  <c r="PKS249" i="30"/>
  <c r="PKT249" i="30"/>
  <c r="PKU249" i="30"/>
  <c r="PKV249" i="30"/>
  <c r="PKW249" i="30"/>
  <c r="PKX249" i="30"/>
  <c r="PKY249" i="30"/>
  <c r="PKZ249" i="30"/>
  <c r="PLA249" i="30"/>
  <c r="PLB249" i="30"/>
  <c r="PLC249" i="30"/>
  <c r="PLD249" i="30"/>
  <c r="PLE249" i="30"/>
  <c r="PLF249" i="30"/>
  <c r="PLG249" i="30"/>
  <c r="PLH249" i="30"/>
  <c r="PLI249" i="30"/>
  <c r="PLJ249" i="30"/>
  <c r="PLK249" i="30"/>
  <c r="PLL249" i="30"/>
  <c r="PLM249" i="30"/>
  <c r="PLN249" i="30"/>
  <c r="PLO249" i="30"/>
  <c r="PLP249" i="30"/>
  <c r="PLQ249" i="30"/>
  <c r="PLR249" i="30"/>
  <c r="PLS249" i="30"/>
  <c r="PLT249" i="30"/>
  <c r="PLU249" i="30"/>
  <c r="PLV249" i="30"/>
  <c r="PLW249" i="30"/>
  <c r="PLX249" i="30"/>
  <c r="PLY249" i="30"/>
  <c r="PLZ249" i="30"/>
  <c r="PMA249" i="30"/>
  <c r="PMB249" i="30"/>
  <c r="PMC249" i="30"/>
  <c r="PMD249" i="30"/>
  <c r="PME249" i="30"/>
  <c r="PMF249" i="30"/>
  <c r="PMG249" i="30"/>
  <c r="PMH249" i="30"/>
  <c r="PMI249" i="30"/>
  <c r="PMJ249" i="30"/>
  <c r="PMK249" i="30"/>
  <c r="PML249" i="30"/>
  <c r="PMM249" i="30"/>
  <c r="PMN249" i="30"/>
  <c r="PMO249" i="30"/>
  <c r="PMP249" i="30"/>
  <c r="PMQ249" i="30"/>
  <c r="PMR249" i="30"/>
  <c r="PMS249" i="30"/>
  <c r="PMT249" i="30"/>
  <c r="PMU249" i="30"/>
  <c r="PMV249" i="30"/>
  <c r="PMW249" i="30"/>
  <c r="PMX249" i="30"/>
  <c r="PMY249" i="30"/>
  <c r="PMZ249" i="30"/>
  <c r="PNA249" i="30"/>
  <c r="PNB249" i="30"/>
  <c r="PNC249" i="30"/>
  <c r="PND249" i="30"/>
  <c r="PNE249" i="30"/>
  <c r="PNF249" i="30"/>
  <c r="PNG249" i="30"/>
  <c r="PNH249" i="30"/>
  <c r="PNI249" i="30"/>
  <c r="PNJ249" i="30"/>
  <c r="PNK249" i="30"/>
  <c r="PNL249" i="30"/>
  <c r="PNM249" i="30"/>
  <c r="PNN249" i="30"/>
  <c r="PNO249" i="30"/>
  <c r="PNP249" i="30"/>
  <c r="PNQ249" i="30"/>
  <c r="PNR249" i="30"/>
  <c r="PNS249" i="30"/>
  <c r="PNT249" i="30"/>
  <c r="PNU249" i="30"/>
  <c r="PNV249" i="30"/>
  <c r="PNW249" i="30"/>
  <c r="PNX249" i="30"/>
  <c r="PNY249" i="30"/>
  <c r="PNZ249" i="30"/>
  <c r="POA249" i="30"/>
  <c r="POB249" i="30"/>
  <c r="POC249" i="30"/>
  <c r="POD249" i="30"/>
  <c r="POE249" i="30"/>
  <c r="POF249" i="30"/>
  <c r="POG249" i="30"/>
  <c r="POH249" i="30"/>
  <c r="POI249" i="30"/>
  <c r="POJ249" i="30"/>
  <c r="POK249" i="30"/>
  <c r="POL249" i="30"/>
  <c r="POM249" i="30"/>
  <c r="PON249" i="30"/>
  <c r="POO249" i="30"/>
  <c r="POP249" i="30"/>
  <c r="POQ249" i="30"/>
  <c r="POR249" i="30"/>
  <c r="POS249" i="30"/>
  <c r="POT249" i="30"/>
  <c r="POU249" i="30"/>
  <c r="POV249" i="30"/>
  <c r="POW249" i="30"/>
  <c r="POX249" i="30"/>
  <c r="POY249" i="30"/>
  <c r="POZ249" i="30"/>
  <c r="PPA249" i="30"/>
  <c r="PPB249" i="30"/>
  <c r="PPC249" i="30"/>
  <c r="PPD249" i="30"/>
  <c r="PPE249" i="30"/>
  <c r="PPF249" i="30"/>
  <c r="PPG249" i="30"/>
  <c r="PPH249" i="30"/>
  <c r="PPI249" i="30"/>
  <c r="PPJ249" i="30"/>
  <c r="PPK249" i="30"/>
  <c r="PPL249" i="30"/>
  <c r="PPM249" i="30"/>
  <c r="PPN249" i="30"/>
  <c r="PPO249" i="30"/>
  <c r="PPP249" i="30"/>
  <c r="PPQ249" i="30"/>
  <c r="PPR249" i="30"/>
  <c r="PPS249" i="30"/>
  <c r="PPT249" i="30"/>
  <c r="PPU249" i="30"/>
  <c r="PPV249" i="30"/>
  <c r="PPW249" i="30"/>
  <c r="PPX249" i="30"/>
  <c r="PPY249" i="30"/>
  <c r="PPZ249" i="30"/>
  <c r="PQA249" i="30"/>
  <c r="PQB249" i="30"/>
  <c r="PQC249" i="30"/>
  <c r="PQD249" i="30"/>
  <c r="PQE249" i="30"/>
  <c r="PQF249" i="30"/>
  <c r="PQG249" i="30"/>
  <c r="PQH249" i="30"/>
  <c r="PQI249" i="30"/>
  <c r="PQJ249" i="30"/>
  <c r="PQK249" i="30"/>
  <c r="PQL249" i="30"/>
  <c r="PQM249" i="30"/>
  <c r="PQN249" i="30"/>
  <c r="PQO249" i="30"/>
  <c r="PQP249" i="30"/>
  <c r="PQQ249" i="30"/>
  <c r="PQR249" i="30"/>
  <c r="PQS249" i="30"/>
  <c r="PQT249" i="30"/>
  <c r="PQU249" i="30"/>
  <c r="PQV249" i="30"/>
  <c r="PQW249" i="30"/>
  <c r="PQX249" i="30"/>
  <c r="PQY249" i="30"/>
  <c r="PQZ249" i="30"/>
  <c r="PRA249" i="30"/>
  <c r="PRB249" i="30"/>
  <c r="PRC249" i="30"/>
  <c r="PRD249" i="30"/>
  <c r="PRE249" i="30"/>
  <c r="PRF249" i="30"/>
  <c r="PRG249" i="30"/>
  <c r="PRH249" i="30"/>
  <c r="PRI249" i="30"/>
  <c r="PRJ249" i="30"/>
  <c r="PRK249" i="30"/>
  <c r="PRL249" i="30"/>
  <c r="PRM249" i="30"/>
  <c r="PRN249" i="30"/>
  <c r="PRO249" i="30"/>
  <c r="PRP249" i="30"/>
  <c r="PRQ249" i="30"/>
  <c r="PRR249" i="30"/>
  <c r="PRS249" i="30"/>
  <c r="PRT249" i="30"/>
  <c r="PRU249" i="30"/>
  <c r="PRV249" i="30"/>
  <c r="PRW249" i="30"/>
  <c r="PRX249" i="30"/>
  <c r="PRY249" i="30"/>
  <c r="PRZ249" i="30"/>
  <c r="PSA249" i="30"/>
  <c r="PSB249" i="30"/>
  <c r="PSC249" i="30"/>
  <c r="PSD249" i="30"/>
  <c r="PSE249" i="30"/>
  <c r="PSF249" i="30"/>
  <c r="PSG249" i="30"/>
  <c r="PSH249" i="30"/>
  <c r="PSI249" i="30"/>
  <c r="PSJ249" i="30"/>
  <c r="PSK249" i="30"/>
  <c r="PSL249" i="30"/>
  <c r="PSM249" i="30"/>
  <c r="PSN249" i="30"/>
  <c r="PSO249" i="30"/>
  <c r="PSP249" i="30"/>
  <c r="PSQ249" i="30"/>
  <c r="PSR249" i="30"/>
  <c r="PSS249" i="30"/>
  <c r="PST249" i="30"/>
  <c r="PSU249" i="30"/>
  <c r="PSV249" i="30"/>
  <c r="PSW249" i="30"/>
  <c r="PSX249" i="30"/>
  <c r="PSY249" i="30"/>
  <c r="PSZ249" i="30"/>
  <c r="PTA249" i="30"/>
  <c r="PTB249" i="30"/>
  <c r="PTC249" i="30"/>
  <c r="PTD249" i="30"/>
  <c r="PTE249" i="30"/>
  <c r="PTF249" i="30"/>
  <c r="PTG249" i="30"/>
  <c r="PTH249" i="30"/>
  <c r="PTI249" i="30"/>
  <c r="PTJ249" i="30"/>
  <c r="PTK249" i="30"/>
  <c r="PTL249" i="30"/>
  <c r="PTM249" i="30"/>
  <c r="PTN249" i="30"/>
  <c r="PTO249" i="30"/>
  <c r="PTP249" i="30"/>
  <c r="PTQ249" i="30"/>
  <c r="PTR249" i="30"/>
  <c r="PTS249" i="30"/>
  <c r="PTT249" i="30"/>
  <c r="PTU249" i="30"/>
  <c r="PTV249" i="30"/>
  <c r="PTW249" i="30"/>
  <c r="PTX249" i="30"/>
  <c r="PTY249" i="30"/>
  <c r="PTZ249" i="30"/>
  <c r="PUA249" i="30"/>
  <c r="PUB249" i="30"/>
  <c r="PUC249" i="30"/>
  <c r="PUD249" i="30"/>
  <c r="PUE249" i="30"/>
  <c r="PUF249" i="30"/>
  <c r="PUG249" i="30"/>
  <c r="PUH249" i="30"/>
  <c r="PUI249" i="30"/>
  <c r="PUJ249" i="30"/>
  <c r="PUK249" i="30"/>
  <c r="PUL249" i="30"/>
  <c r="PUM249" i="30"/>
  <c r="PUN249" i="30"/>
  <c r="PUO249" i="30"/>
  <c r="PUP249" i="30"/>
  <c r="PUQ249" i="30"/>
  <c r="PUR249" i="30"/>
  <c r="PUS249" i="30"/>
  <c r="PUT249" i="30"/>
  <c r="PUU249" i="30"/>
  <c r="PUV249" i="30"/>
  <c r="PUW249" i="30"/>
  <c r="PUX249" i="30"/>
  <c r="PUY249" i="30"/>
  <c r="PUZ249" i="30"/>
  <c r="PVA249" i="30"/>
  <c r="PVB249" i="30"/>
  <c r="PVC249" i="30"/>
  <c r="PVD249" i="30"/>
  <c r="PVE249" i="30"/>
  <c r="PVF249" i="30"/>
  <c r="PVG249" i="30"/>
  <c r="PVH249" i="30"/>
  <c r="PVI249" i="30"/>
  <c r="PVJ249" i="30"/>
  <c r="PVK249" i="30"/>
  <c r="PVL249" i="30"/>
  <c r="PVM249" i="30"/>
  <c r="PVN249" i="30"/>
  <c r="PVO249" i="30"/>
  <c r="PVP249" i="30"/>
  <c r="PVQ249" i="30"/>
  <c r="PVR249" i="30"/>
  <c r="PVS249" i="30"/>
  <c r="PVT249" i="30"/>
  <c r="PVU249" i="30"/>
  <c r="PVV249" i="30"/>
  <c r="PVW249" i="30"/>
  <c r="PVX249" i="30"/>
  <c r="PVY249" i="30"/>
  <c r="PVZ249" i="30"/>
  <c r="PWA249" i="30"/>
  <c r="PWB249" i="30"/>
  <c r="PWC249" i="30"/>
  <c r="PWD249" i="30"/>
  <c r="PWE249" i="30"/>
  <c r="PWF249" i="30"/>
  <c r="PWG249" i="30"/>
  <c r="PWH249" i="30"/>
  <c r="PWI249" i="30"/>
  <c r="PWJ249" i="30"/>
  <c r="PWK249" i="30"/>
  <c r="PWL249" i="30"/>
  <c r="PWM249" i="30"/>
  <c r="PWN249" i="30"/>
  <c r="PWO249" i="30"/>
  <c r="PWP249" i="30"/>
  <c r="PWQ249" i="30"/>
  <c r="PWR249" i="30"/>
  <c r="PWS249" i="30"/>
  <c r="PWT249" i="30"/>
  <c r="PWU249" i="30"/>
  <c r="PWV249" i="30"/>
  <c r="PWW249" i="30"/>
  <c r="PWX249" i="30"/>
  <c r="PWY249" i="30"/>
  <c r="PWZ249" i="30"/>
  <c r="PXA249" i="30"/>
  <c r="PXB249" i="30"/>
  <c r="PXC249" i="30"/>
  <c r="PXD249" i="30"/>
  <c r="PXE249" i="30"/>
  <c r="PXF249" i="30"/>
  <c r="PXG249" i="30"/>
  <c r="PXH249" i="30"/>
  <c r="PXI249" i="30"/>
  <c r="PXJ249" i="30"/>
  <c r="PXK249" i="30"/>
  <c r="PXL249" i="30"/>
  <c r="PXM249" i="30"/>
  <c r="PXN249" i="30"/>
  <c r="PXO249" i="30"/>
  <c r="PXP249" i="30"/>
  <c r="PXQ249" i="30"/>
  <c r="PXR249" i="30"/>
  <c r="PXS249" i="30"/>
  <c r="PXT249" i="30"/>
  <c r="PXU249" i="30"/>
  <c r="PXV249" i="30"/>
  <c r="PXW249" i="30"/>
  <c r="PXX249" i="30"/>
  <c r="PXY249" i="30"/>
  <c r="PXZ249" i="30"/>
  <c r="PYA249" i="30"/>
  <c r="PYB249" i="30"/>
  <c r="PYC249" i="30"/>
  <c r="PYD249" i="30"/>
  <c r="PYE249" i="30"/>
  <c r="PYF249" i="30"/>
  <c r="PYG249" i="30"/>
  <c r="PYH249" i="30"/>
  <c r="PYI249" i="30"/>
  <c r="PYJ249" i="30"/>
  <c r="PYK249" i="30"/>
  <c r="PYL249" i="30"/>
  <c r="PYM249" i="30"/>
  <c r="PYN249" i="30"/>
  <c r="PYO249" i="30"/>
  <c r="PYP249" i="30"/>
  <c r="PYQ249" i="30"/>
  <c r="PYR249" i="30"/>
  <c r="PYS249" i="30"/>
  <c r="PYT249" i="30"/>
  <c r="PYU249" i="30"/>
  <c r="PYV249" i="30"/>
  <c r="PYW249" i="30"/>
  <c r="PYX249" i="30"/>
  <c r="PYY249" i="30"/>
  <c r="PYZ249" i="30"/>
  <c r="PZA249" i="30"/>
  <c r="PZB249" i="30"/>
  <c r="PZC249" i="30"/>
  <c r="PZD249" i="30"/>
  <c r="PZE249" i="30"/>
  <c r="PZF249" i="30"/>
  <c r="PZG249" i="30"/>
  <c r="PZH249" i="30"/>
  <c r="PZI249" i="30"/>
  <c r="PZJ249" i="30"/>
  <c r="PZK249" i="30"/>
  <c r="PZL249" i="30"/>
  <c r="PZM249" i="30"/>
  <c r="PZN249" i="30"/>
  <c r="PZO249" i="30"/>
  <c r="PZP249" i="30"/>
  <c r="PZQ249" i="30"/>
  <c r="PZR249" i="30"/>
  <c r="PZS249" i="30"/>
  <c r="PZT249" i="30"/>
  <c r="PZU249" i="30"/>
  <c r="PZV249" i="30"/>
  <c r="PZW249" i="30"/>
  <c r="PZX249" i="30"/>
  <c r="PZY249" i="30"/>
  <c r="PZZ249" i="30"/>
  <c r="QAA249" i="30"/>
  <c r="QAB249" i="30"/>
  <c r="QAC249" i="30"/>
  <c r="QAD249" i="30"/>
  <c r="QAE249" i="30"/>
  <c r="QAF249" i="30"/>
  <c r="QAG249" i="30"/>
  <c r="QAH249" i="30"/>
  <c r="QAI249" i="30"/>
  <c r="QAJ249" i="30"/>
  <c r="QAK249" i="30"/>
  <c r="QAL249" i="30"/>
  <c r="QAM249" i="30"/>
  <c r="QAN249" i="30"/>
  <c r="QAO249" i="30"/>
  <c r="QAP249" i="30"/>
  <c r="QAQ249" i="30"/>
  <c r="QAR249" i="30"/>
  <c r="QAS249" i="30"/>
  <c r="QAT249" i="30"/>
  <c r="QAU249" i="30"/>
  <c r="QAV249" i="30"/>
  <c r="QAW249" i="30"/>
  <c r="QAX249" i="30"/>
  <c r="QAY249" i="30"/>
  <c r="QAZ249" i="30"/>
  <c r="QBA249" i="30"/>
  <c r="QBB249" i="30"/>
  <c r="QBC249" i="30"/>
  <c r="QBD249" i="30"/>
  <c r="QBE249" i="30"/>
  <c r="QBF249" i="30"/>
  <c r="QBG249" i="30"/>
  <c r="QBH249" i="30"/>
  <c r="QBI249" i="30"/>
  <c r="QBJ249" i="30"/>
  <c r="QBK249" i="30"/>
  <c r="QBL249" i="30"/>
  <c r="QBM249" i="30"/>
  <c r="QBN249" i="30"/>
  <c r="QBO249" i="30"/>
  <c r="QBP249" i="30"/>
  <c r="QBQ249" i="30"/>
  <c r="QBR249" i="30"/>
  <c r="QBS249" i="30"/>
  <c r="QBT249" i="30"/>
  <c r="QBU249" i="30"/>
  <c r="QBV249" i="30"/>
  <c r="QBW249" i="30"/>
  <c r="QBX249" i="30"/>
  <c r="QBY249" i="30"/>
  <c r="QBZ249" i="30"/>
  <c r="QCA249" i="30"/>
  <c r="QCB249" i="30"/>
  <c r="QCC249" i="30"/>
  <c r="QCD249" i="30"/>
  <c r="QCE249" i="30"/>
  <c r="QCF249" i="30"/>
  <c r="QCG249" i="30"/>
  <c r="QCH249" i="30"/>
  <c r="QCI249" i="30"/>
  <c r="QCJ249" i="30"/>
  <c r="QCK249" i="30"/>
  <c r="QCL249" i="30"/>
  <c r="QCM249" i="30"/>
  <c r="QCN249" i="30"/>
  <c r="QCO249" i="30"/>
  <c r="QCP249" i="30"/>
  <c r="QCQ249" i="30"/>
  <c r="QCR249" i="30"/>
  <c r="QCS249" i="30"/>
  <c r="QCT249" i="30"/>
  <c r="QCU249" i="30"/>
  <c r="QCV249" i="30"/>
  <c r="QCW249" i="30"/>
  <c r="QCX249" i="30"/>
  <c r="QCY249" i="30"/>
  <c r="QCZ249" i="30"/>
  <c r="QDA249" i="30"/>
  <c r="QDB249" i="30"/>
  <c r="QDC249" i="30"/>
  <c r="QDD249" i="30"/>
  <c r="QDE249" i="30"/>
  <c r="QDF249" i="30"/>
  <c r="QDG249" i="30"/>
  <c r="QDH249" i="30"/>
  <c r="QDI249" i="30"/>
  <c r="QDJ249" i="30"/>
  <c r="QDK249" i="30"/>
  <c r="QDL249" i="30"/>
  <c r="QDM249" i="30"/>
  <c r="QDN249" i="30"/>
  <c r="QDO249" i="30"/>
  <c r="QDP249" i="30"/>
  <c r="QDQ249" i="30"/>
  <c r="QDR249" i="30"/>
  <c r="QDS249" i="30"/>
  <c r="QDT249" i="30"/>
  <c r="QDU249" i="30"/>
  <c r="QDV249" i="30"/>
  <c r="QDW249" i="30"/>
  <c r="QDX249" i="30"/>
  <c r="QDY249" i="30"/>
  <c r="QDZ249" i="30"/>
  <c r="QEA249" i="30"/>
  <c r="QEB249" i="30"/>
  <c r="QEC249" i="30"/>
  <c r="QED249" i="30"/>
  <c r="QEE249" i="30"/>
  <c r="QEF249" i="30"/>
  <c r="QEG249" i="30"/>
  <c r="QEH249" i="30"/>
  <c r="QEI249" i="30"/>
  <c r="QEJ249" i="30"/>
  <c r="QEK249" i="30"/>
  <c r="QEL249" i="30"/>
  <c r="QEM249" i="30"/>
  <c r="QEN249" i="30"/>
  <c r="QEO249" i="30"/>
  <c r="QEP249" i="30"/>
  <c r="QEQ249" i="30"/>
  <c r="QER249" i="30"/>
  <c r="QES249" i="30"/>
  <c r="QET249" i="30"/>
  <c r="QEU249" i="30"/>
  <c r="QEV249" i="30"/>
  <c r="QEW249" i="30"/>
  <c r="QEX249" i="30"/>
  <c r="QEY249" i="30"/>
  <c r="QEZ249" i="30"/>
  <c r="QFA249" i="30"/>
  <c r="QFB249" i="30"/>
  <c r="QFC249" i="30"/>
  <c r="QFD249" i="30"/>
  <c r="QFE249" i="30"/>
  <c r="QFF249" i="30"/>
  <c r="QFG249" i="30"/>
  <c r="QFH249" i="30"/>
  <c r="QFI249" i="30"/>
  <c r="QFJ249" i="30"/>
  <c r="QFK249" i="30"/>
  <c r="QFL249" i="30"/>
  <c r="QFM249" i="30"/>
  <c r="QFN249" i="30"/>
  <c r="QFO249" i="30"/>
  <c r="QFP249" i="30"/>
  <c r="QFQ249" i="30"/>
  <c r="QFR249" i="30"/>
  <c r="QFS249" i="30"/>
  <c r="QFT249" i="30"/>
  <c r="QFU249" i="30"/>
  <c r="QFV249" i="30"/>
  <c r="QFW249" i="30"/>
  <c r="QFX249" i="30"/>
  <c r="QFY249" i="30"/>
  <c r="QFZ249" i="30"/>
  <c r="QGA249" i="30"/>
  <c r="QGB249" i="30"/>
  <c r="QGC249" i="30"/>
  <c r="QGD249" i="30"/>
  <c r="QGE249" i="30"/>
  <c r="QGF249" i="30"/>
  <c r="QGG249" i="30"/>
  <c r="QGH249" i="30"/>
  <c r="QGI249" i="30"/>
  <c r="QGJ249" i="30"/>
  <c r="QGK249" i="30"/>
  <c r="QGL249" i="30"/>
  <c r="QGM249" i="30"/>
  <c r="QGN249" i="30"/>
  <c r="QGO249" i="30"/>
  <c r="QGP249" i="30"/>
  <c r="QGQ249" i="30"/>
  <c r="QGR249" i="30"/>
  <c r="QGS249" i="30"/>
  <c r="QGT249" i="30"/>
  <c r="QGU249" i="30"/>
  <c r="QGV249" i="30"/>
  <c r="QGW249" i="30"/>
  <c r="QGX249" i="30"/>
  <c r="QGY249" i="30"/>
  <c r="QGZ249" i="30"/>
  <c r="QHA249" i="30"/>
  <c r="QHB249" i="30"/>
  <c r="QHC249" i="30"/>
  <c r="QHD249" i="30"/>
  <c r="QHE249" i="30"/>
  <c r="QHF249" i="30"/>
  <c r="QHG249" i="30"/>
  <c r="QHH249" i="30"/>
  <c r="QHI249" i="30"/>
  <c r="QHJ249" i="30"/>
  <c r="QHK249" i="30"/>
  <c r="QHL249" i="30"/>
  <c r="QHM249" i="30"/>
  <c r="QHN249" i="30"/>
  <c r="QHO249" i="30"/>
  <c r="QHP249" i="30"/>
  <c r="QHQ249" i="30"/>
  <c r="QHR249" i="30"/>
  <c r="QHS249" i="30"/>
  <c r="QHT249" i="30"/>
  <c r="QHU249" i="30"/>
  <c r="QHV249" i="30"/>
  <c r="QHW249" i="30"/>
  <c r="QHX249" i="30"/>
  <c r="QHY249" i="30"/>
  <c r="QHZ249" i="30"/>
  <c r="QIA249" i="30"/>
  <c r="QIB249" i="30"/>
  <c r="QIC249" i="30"/>
  <c r="QID249" i="30"/>
  <c r="QIE249" i="30"/>
  <c r="QIF249" i="30"/>
  <c r="QIG249" i="30"/>
  <c r="QIH249" i="30"/>
  <c r="QII249" i="30"/>
  <c r="QIJ249" i="30"/>
  <c r="QIK249" i="30"/>
  <c r="QIL249" i="30"/>
  <c r="QIM249" i="30"/>
  <c r="QIN249" i="30"/>
  <c r="QIO249" i="30"/>
  <c r="QIP249" i="30"/>
  <c r="QIQ249" i="30"/>
  <c r="QIR249" i="30"/>
  <c r="QIS249" i="30"/>
  <c r="QIT249" i="30"/>
  <c r="QIU249" i="30"/>
  <c r="QIV249" i="30"/>
  <c r="QIW249" i="30"/>
  <c r="QIX249" i="30"/>
  <c r="QIY249" i="30"/>
  <c r="QIZ249" i="30"/>
  <c r="QJA249" i="30"/>
  <c r="QJB249" i="30"/>
  <c r="QJC249" i="30"/>
  <c r="QJD249" i="30"/>
  <c r="QJE249" i="30"/>
  <c r="QJF249" i="30"/>
  <c r="QJG249" i="30"/>
  <c r="QJH249" i="30"/>
  <c r="QJI249" i="30"/>
  <c r="QJJ249" i="30"/>
  <c r="QJK249" i="30"/>
  <c r="QJL249" i="30"/>
  <c r="QJM249" i="30"/>
  <c r="QJN249" i="30"/>
  <c r="QJO249" i="30"/>
  <c r="QJP249" i="30"/>
  <c r="QJQ249" i="30"/>
  <c r="QJR249" i="30"/>
  <c r="QJS249" i="30"/>
  <c r="QJT249" i="30"/>
  <c r="QJU249" i="30"/>
  <c r="QJV249" i="30"/>
  <c r="QJW249" i="30"/>
  <c r="QJX249" i="30"/>
  <c r="QJY249" i="30"/>
  <c r="QJZ249" i="30"/>
  <c r="QKA249" i="30"/>
  <c r="QKB249" i="30"/>
  <c r="QKC249" i="30"/>
  <c r="QKD249" i="30"/>
  <c r="QKE249" i="30"/>
  <c r="QKF249" i="30"/>
  <c r="QKG249" i="30"/>
  <c r="QKH249" i="30"/>
  <c r="QKI249" i="30"/>
  <c r="QKJ249" i="30"/>
  <c r="QKK249" i="30"/>
  <c r="QKL249" i="30"/>
  <c r="QKM249" i="30"/>
  <c r="QKN249" i="30"/>
  <c r="QKO249" i="30"/>
  <c r="QKP249" i="30"/>
  <c r="QKQ249" i="30"/>
  <c r="QKR249" i="30"/>
  <c r="QKS249" i="30"/>
  <c r="QKT249" i="30"/>
  <c r="QKU249" i="30"/>
  <c r="QKV249" i="30"/>
  <c r="QKW249" i="30"/>
  <c r="QKX249" i="30"/>
  <c r="QKY249" i="30"/>
  <c r="QKZ249" i="30"/>
  <c r="QLA249" i="30"/>
  <c r="QLB249" i="30"/>
  <c r="QLC249" i="30"/>
  <c r="QLD249" i="30"/>
  <c r="QLE249" i="30"/>
  <c r="QLF249" i="30"/>
  <c r="QLG249" i="30"/>
  <c r="QLH249" i="30"/>
  <c r="QLI249" i="30"/>
  <c r="QLJ249" i="30"/>
  <c r="QLK249" i="30"/>
  <c r="QLL249" i="30"/>
  <c r="QLM249" i="30"/>
  <c r="QLN249" i="30"/>
  <c r="QLO249" i="30"/>
  <c r="QLP249" i="30"/>
  <c r="QLQ249" i="30"/>
  <c r="QLR249" i="30"/>
  <c r="QLS249" i="30"/>
  <c r="QLT249" i="30"/>
  <c r="QLU249" i="30"/>
  <c r="QLV249" i="30"/>
  <c r="QLW249" i="30"/>
  <c r="QLX249" i="30"/>
  <c r="QLY249" i="30"/>
  <c r="QLZ249" i="30"/>
  <c r="QMA249" i="30"/>
  <c r="QMB249" i="30"/>
  <c r="QMC249" i="30"/>
  <c r="QMD249" i="30"/>
  <c r="QME249" i="30"/>
  <c r="QMF249" i="30"/>
  <c r="QMG249" i="30"/>
  <c r="QMH249" i="30"/>
  <c r="QMI249" i="30"/>
  <c r="QMJ249" i="30"/>
  <c r="QMK249" i="30"/>
  <c r="QML249" i="30"/>
  <c r="QMM249" i="30"/>
  <c r="QMN249" i="30"/>
  <c r="QMO249" i="30"/>
  <c r="QMP249" i="30"/>
  <c r="QMQ249" i="30"/>
  <c r="QMR249" i="30"/>
  <c r="QMS249" i="30"/>
  <c r="QMT249" i="30"/>
  <c r="QMU249" i="30"/>
  <c r="QMV249" i="30"/>
  <c r="QMW249" i="30"/>
  <c r="QMX249" i="30"/>
  <c r="QMY249" i="30"/>
  <c r="QMZ249" i="30"/>
  <c r="QNA249" i="30"/>
  <c r="QNB249" i="30"/>
  <c r="QNC249" i="30"/>
  <c r="QND249" i="30"/>
  <c r="QNE249" i="30"/>
  <c r="QNF249" i="30"/>
  <c r="QNG249" i="30"/>
  <c r="QNH249" i="30"/>
  <c r="QNI249" i="30"/>
  <c r="QNJ249" i="30"/>
  <c r="QNK249" i="30"/>
  <c r="QNL249" i="30"/>
  <c r="QNM249" i="30"/>
  <c r="QNN249" i="30"/>
  <c r="QNO249" i="30"/>
  <c r="QNP249" i="30"/>
  <c r="QNQ249" i="30"/>
  <c r="QNR249" i="30"/>
  <c r="QNS249" i="30"/>
  <c r="QNT249" i="30"/>
  <c r="QNU249" i="30"/>
  <c r="QNV249" i="30"/>
  <c r="QNW249" i="30"/>
  <c r="QNX249" i="30"/>
  <c r="QNY249" i="30"/>
  <c r="QNZ249" i="30"/>
  <c r="QOA249" i="30"/>
  <c r="QOB249" i="30"/>
  <c r="QOC249" i="30"/>
  <c r="QOD249" i="30"/>
  <c r="QOE249" i="30"/>
  <c r="QOF249" i="30"/>
  <c r="QOG249" i="30"/>
  <c r="QOH249" i="30"/>
  <c r="QOI249" i="30"/>
  <c r="QOJ249" i="30"/>
  <c r="QOK249" i="30"/>
  <c r="QOL249" i="30"/>
  <c r="QOM249" i="30"/>
  <c r="QON249" i="30"/>
  <c r="QOO249" i="30"/>
  <c r="QOP249" i="30"/>
  <c r="QOQ249" i="30"/>
  <c r="QOR249" i="30"/>
  <c r="QOS249" i="30"/>
  <c r="QOT249" i="30"/>
  <c r="QOU249" i="30"/>
  <c r="QOV249" i="30"/>
  <c r="QOW249" i="30"/>
  <c r="QOX249" i="30"/>
  <c r="QOY249" i="30"/>
  <c r="QOZ249" i="30"/>
  <c r="QPA249" i="30"/>
  <c r="QPB249" i="30"/>
  <c r="QPC249" i="30"/>
  <c r="QPD249" i="30"/>
  <c r="QPE249" i="30"/>
  <c r="QPF249" i="30"/>
  <c r="QPG249" i="30"/>
  <c r="QPH249" i="30"/>
  <c r="QPI249" i="30"/>
  <c r="QPJ249" i="30"/>
  <c r="QPK249" i="30"/>
  <c r="QPL249" i="30"/>
  <c r="QPM249" i="30"/>
  <c r="QPN249" i="30"/>
  <c r="QPO249" i="30"/>
  <c r="QPP249" i="30"/>
  <c r="QPQ249" i="30"/>
  <c r="QPR249" i="30"/>
  <c r="QPS249" i="30"/>
  <c r="QPT249" i="30"/>
  <c r="QPU249" i="30"/>
  <c r="QPV249" i="30"/>
  <c r="QPW249" i="30"/>
  <c r="QPX249" i="30"/>
  <c r="QPY249" i="30"/>
  <c r="QPZ249" i="30"/>
  <c r="QQA249" i="30"/>
  <c r="QQB249" i="30"/>
  <c r="QQC249" i="30"/>
  <c r="QQD249" i="30"/>
  <c r="QQE249" i="30"/>
  <c r="QQF249" i="30"/>
  <c r="QQG249" i="30"/>
  <c r="QQH249" i="30"/>
  <c r="QQI249" i="30"/>
  <c r="QQJ249" i="30"/>
  <c r="QQK249" i="30"/>
  <c r="QQL249" i="30"/>
  <c r="QQM249" i="30"/>
  <c r="QQN249" i="30"/>
  <c r="QQO249" i="30"/>
  <c r="QQP249" i="30"/>
  <c r="QQQ249" i="30"/>
  <c r="QQR249" i="30"/>
  <c r="QQS249" i="30"/>
  <c r="QQT249" i="30"/>
  <c r="QQU249" i="30"/>
  <c r="QQV249" i="30"/>
  <c r="QQW249" i="30"/>
  <c r="QQX249" i="30"/>
  <c r="QQY249" i="30"/>
  <c r="QQZ249" i="30"/>
  <c r="QRA249" i="30"/>
  <c r="QRB249" i="30"/>
  <c r="QRC249" i="30"/>
  <c r="QRD249" i="30"/>
  <c r="QRE249" i="30"/>
  <c r="QRF249" i="30"/>
  <c r="QRG249" i="30"/>
  <c r="QRH249" i="30"/>
  <c r="QRI249" i="30"/>
  <c r="QRJ249" i="30"/>
  <c r="QRK249" i="30"/>
  <c r="QRL249" i="30"/>
  <c r="QRM249" i="30"/>
  <c r="QRN249" i="30"/>
  <c r="QRO249" i="30"/>
  <c r="QRP249" i="30"/>
  <c r="QRQ249" i="30"/>
  <c r="QRR249" i="30"/>
  <c r="QRS249" i="30"/>
  <c r="QRT249" i="30"/>
  <c r="QRU249" i="30"/>
  <c r="QRV249" i="30"/>
  <c r="QRW249" i="30"/>
  <c r="QRX249" i="30"/>
  <c r="QRY249" i="30"/>
  <c r="QRZ249" i="30"/>
  <c r="QSA249" i="30"/>
  <c r="QSB249" i="30"/>
  <c r="QSC249" i="30"/>
  <c r="QSD249" i="30"/>
  <c r="QSE249" i="30"/>
  <c r="QSF249" i="30"/>
  <c r="QSG249" i="30"/>
  <c r="QSH249" i="30"/>
  <c r="QSI249" i="30"/>
  <c r="QSJ249" i="30"/>
  <c r="QSK249" i="30"/>
  <c r="QSL249" i="30"/>
  <c r="QSM249" i="30"/>
  <c r="QSN249" i="30"/>
  <c r="QSO249" i="30"/>
  <c r="QSP249" i="30"/>
  <c r="QSQ249" i="30"/>
  <c r="QSR249" i="30"/>
  <c r="QSS249" i="30"/>
  <c r="QST249" i="30"/>
  <c r="QSU249" i="30"/>
  <c r="QSV249" i="30"/>
  <c r="QSW249" i="30"/>
  <c r="QSX249" i="30"/>
  <c r="QSY249" i="30"/>
  <c r="QSZ249" i="30"/>
  <c r="QTA249" i="30"/>
  <c r="QTB249" i="30"/>
  <c r="QTC249" i="30"/>
  <c r="QTD249" i="30"/>
  <c r="QTE249" i="30"/>
  <c r="QTF249" i="30"/>
  <c r="QTG249" i="30"/>
  <c r="QTH249" i="30"/>
  <c r="QTI249" i="30"/>
  <c r="QTJ249" i="30"/>
  <c r="QTK249" i="30"/>
  <c r="QTL249" i="30"/>
  <c r="QTM249" i="30"/>
  <c r="QTN249" i="30"/>
  <c r="QTO249" i="30"/>
  <c r="QTP249" i="30"/>
  <c r="QTQ249" i="30"/>
  <c r="QTR249" i="30"/>
  <c r="QTS249" i="30"/>
  <c r="QTT249" i="30"/>
  <c r="QTU249" i="30"/>
  <c r="QTV249" i="30"/>
  <c r="QTW249" i="30"/>
  <c r="QTX249" i="30"/>
  <c r="QTY249" i="30"/>
  <c r="QTZ249" i="30"/>
  <c r="QUA249" i="30"/>
  <c r="QUB249" i="30"/>
  <c r="QUC249" i="30"/>
  <c r="QUD249" i="30"/>
  <c r="QUE249" i="30"/>
  <c r="QUF249" i="30"/>
  <c r="QUG249" i="30"/>
  <c r="QUH249" i="30"/>
  <c r="QUI249" i="30"/>
  <c r="QUJ249" i="30"/>
  <c r="QUK249" i="30"/>
  <c r="QUL249" i="30"/>
  <c r="QUM249" i="30"/>
  <c r="QUN249" i="30"/>
  <c r="QUO249" i="30"/>
  <c r="QUP249" i="30"/>
  <c r="QUQ249" i="30"/>
  <c r="QUR249" i="30"/>
  <c r="QUS249" i="30"/>
  <c r="QUT249" i="30"/>
  <c r="QUU249" i="30"/>
  <c r="QUV249" i="30"/>
  <c r="QUW249" i="30"/>
  <c r="QUX249" i="30"/>
  <c r="QUY249" i="30"/>
  <c r="QUZ249" i="30"/>
  <c r="QVA249" i="30"/>
  <c r="QVB249" i="30"/>
  <c r="QVC249" i="30"/>
  <c r="QVD249" i="30"/>
  <c r="QVE249" i="30"/>
  <c r="QVF249" i="30"/>
  <c r="QVG249" i="30"/>
  <c r="QVH249" i="30"/>
  <c r="QVI249" i="30"/>
  <c r="QVJ249" i="30"/>
  <c r="QVK249" i="30"/>
  <c r="QVL249" i="30"/>
  <c r="QVM249" i="30"/>
  <c r="QVN249" i="30"/>
  <c r="QVO249" i="30"/>
  <c r="QVP249" i="30"/>
  <c r="QVQ249" i="30"/>
  <c r="QVR249" i="30"/>
  <c r="QVS249" i="30"/>
  <c r="QVT249" i="30"/>
  <c r="QVU249" i="30"/>
  <c r="QVV249" i="30"/>
  <c r="QVW249" i="30"/>
  <c r="QVX249" i="30"/>
  <c r="QVY249" i="30"/>
  <c r="QVZ249" i="30"/>
  <c r="QWA249" i="30"/>
  <c r="QWB249" i="30"/>
  <c r="QWC249" i="30"/>
  <c r="QWD249" i="30"/>
  <c r="QWE249" i="30"/>
  <c r="QWF249" i="30"/>
  <c r="QWG249" i="30"/>
  <c r="QWH249" i="30"/>
  <c r="QWI249" i="30"/>
  <c r="QWJ249" i="30"/>
  <c r="QWK249" i="30"/>
  <c r="QWL249" i="30"/>
  <c r="QWM249" i="30"/>
  <c r="QWN249" i="30"/>
  <c r="QWO249" i="30"/>
  <c r="QWP249" i="30"/>
  <c r="QWQ249" i="30"/>
  <c r="QWR249" i="30"/>
  <c r="QWS249" i="30"/>
  <c r="QWT249" i="30"/>
  <c r="QWU249" i="30"/>
  <c r="QWV249" i="30"/>
  <c r="QWW249" i="30"/>
  <c r="QWX249" i="30"/>
  <c r="QWY249" i="30"/>
  <c r="QWZ249" i="30"/>
  <c r="QXA249" i="30"/>
  <c r="QXB249" i="30"/>
  <c r="QXC249" i="30"/>
  <c r="QXD249" i="30"/>
  <c r="QXE249" i="30"/>
  <c r="QXF249" i="30"/>
  <c r="QXG249" i="30"/>
  <c r="QXH249" i="30"/>
  <c r="QXI249" i="30"/>
  <c r="QXJ249" i="30"/>
  <c r="QXK249" i="30"/>
  <c r="QXL249" i="30"/>
  <c r="QXM249" i="30"/>
  <c r="QXN249" i="30"/>
  <c r="QXO249" i="30"/>
  <c r="QXP249" i="30"/>
  <c r="QXQ249" i="30"/>
  <c r="QXR249" i="30"/>
  <c r="QXS249" i="30"/>
  <c r="QXT249" i="30"/>
  <c r="QXU249" i="30"/>
  <c r="QXV249" i="30"/>
  <c r="QXW249" i="30"/>
  <c r="QXX249" i="30"/>
  <c r="QXY249" i="30"/>
  <c r="QXZ249" i="30"/>
  <c r="QYA249" i="30"/>
  <c r="QYB249" i="30"/>
  <c r="QYC249" i="30"/>
  <c r="QYD249" i="30"/>
  <c r="QYE249" i="30"/>
  <c r="QYF249" i="30"/>
  <c r="QYG249" i="30"/>
  <c r="QYH249" i="30"/>
  <c r="QYI249" i="30"/>
  <c r="QYJ249" i="30"/>
  <c r="QYK249" i="30"/>
  <c r="QYL249" i="30"/>
  <c r="QYM249" i="30"/>
  <c r="QYN249" i="30"/>
  <c r="QYO249" i="30"/>
  <c r="QYP249" i="30"/>
  <c r="QYQ249" i="30"/>
  <c r="QYR249" i="30"/>
  <c r="QYS249" i="30"/>
  <c r="QYT249" i="30"/>
  <c r="QYU249" i="30"/>
  <c r="QYV249" i="30"/>
  <c r="QYW249" i="30"/>
  <c r="QYX249" i="30"/>
  <c r="QYY249" i="30"/>
  <c r="QYZ249" i="30"/>
  <c r="QZA249" i="30"/>
  <c r="QZB249" i="30"/>
  <c r="QZC249" i="30"/>
  <c r="QZD249" i="30"/>
  <c r="QZE249" i="30"/>
  <c r="QZF249" i="30"/>
  <c r="QZG249" i="30"/>
  <c r="QZH249" i="30"/>
  <c r="QZI249" i="30"/>
  <c r="QZJ249" i="30"/>
  <c r="QZK249" i="30"/>
  <c r="QZL249" i="30"/>
  <c r="QZM249" i="30"/>
  <c r="QZN249" i="30"/>
  <c r="QZO249" i="30"/>
  <c r="QZP249" i="30"/>
  <c r="QZQ249" i="30"/>
  <c r="QZR249" i="30"/>
  <c r="QZS249" i="30"/>
  <c r="QZT249" i="30"/>
  <c r="QZU249" i="30"/>
  <c r="QZV249" i="30"/>
  <c r="QZW249" i="30"/>
  <c r="QZX249" i="30"/>
  <c r="QZY249" i="30"/>
  <c r="QZZ249" i="30"/>
  <c r="RAA249" i="30"/>
  <c r="RAB249" i="30"/>
  <c r="RAC249" i="30"/>
  <c r="RAD249" i="30"/>
  <c r="RAE249" i="30"/>
  <c r="RAF249" i="30"/>
  <c r="RAG249" i="30"/>
  <c r="RAH249" i="30"/>
  <c r="RAI249" i="30"/>
  <c r="RAJ249" i="30"/>
  <c r="RAK249" i="30"/>
  <c r="RAL249" i="30"/>
  <c r="RAM249" i="30"/>
  <c r="RAN249" i="30"/>
  <c r="RAO249" i="30"/>
  <c r="RAP249" i="30"/>
  <c r="RAQ249" i="30"/>
  <c r="RAR249" i="30"/>
  <c r="RAS249" i="30"/>
  <c r="RAT249" i="30"/>
  <c r="RAU249" i="30"/>
  <c r="RAV249" i="30"/>
  <c r="RAW249" i="30"/>
  <c r="RAX249" i="30"/>
  <c r="RAY249" i="30"/>
  <c r="RAZ249" i="30"/>
  <c r="RBA249" i="30"/>
  <c r="RBB249" i="30"/>
  <c r="RBC249" i="30"/>
  <c r="RBD249" i="30"/>
  <c r="RBE249" i="30"/>
  <c r="RBF249" i="30"/>
  <c r="RBG249" i="30"/>
  <c r="RBH249" i="30"/>
  <c r="RBI249" i="30"/>
  <c r="RBJ249" i="30"/>
  <c r="RBK249" i="30"/>
  <c r="RBL249" i="30"/>
  <c r="RBM249" i="30"/>
  <c r="RBN249" i="30"/>
  <c r="RBO249" i="30"/>
  <c r="RBP249" i="30"/>
  <c r="RBQ249" i="30"/>
  <c r="RBR249" i="30"/>
  <c r="RBS249" i="30"/>
  <c r="RBT249" i="30"/>
  <c r="RBU249" i="30"/>
  <c r="RBV249" i="30"/>
  <c r="RBW249" i="30"/>
  <c r="RBX249" i="30"/>
  <c r="RBY249" i="30"/>
  <c r="RBZ249" i="30"/>
  <c r="RCA249" i="30"/>
  <c r="RCB249" i="30"/>
  <c r="RCC249" i="30"/>
  <c r="RCD249" i="30"/>
  <c r="RCE249" i="30"/>
  <c r="RCF249" i="30"/>
  <c r="RCG249" i="30"/>
  <c r="RCH249" i="30"/>
  <c r="RCI249" i="30"/>
  <c r="RCJ249" i="30"/>
  <c r="RCK249" i="30"/>
  <c r="RCL249" i="30"/>
  <c r="RCM249" i="30"/>
  <c r="RCN249" i="30"/>
  <c r="RCO249" i="30"/>
  <c r="RCP249" i="30"/>
  <c r="RCQ249" i="30"/>
  <c r="RCR249" i="30"/>
  <c r="RCS249" i="30"/>
  <c r="RCT249" i="30"/>
  <c r="RCU249" i="30"/>
  <c r="RCV249" i="30"/>
  <c r="RCW249" i="30"/>
  <c r="RCX249" i="30"/>
  <c r="RCY249" i="30"/>
  <c r="RCZ249" i="30"/>
  <c r="RDA249" i="30"/>
  <c r="RDB249" i="30"/>
  <c r="RDC249" i="30"/>
  <c r="RDD249" i="30"/>
  <c r="RDE249" i="30"/>
  <c r="RDF249" i="30"/>
  <c r="RDG249" i="30"/>
  <c r="RDH249" i="30"/>
  <c r="RDI249" i="30"/>
  <c r="RDJ249" i="30"/>
  <c r="RDK249" i="30"/>
  <c r="RDL249" i="30"/>
  <c r="RDM249" i="30"/>
  <c r="RDN249" i="30"/>
  <c r="RDO249" i="30"/>
  <c r="RDP249" i="30"/>
  <c r="RDQ249" i="30"/>
  <c r="RDR249" i="30"/>
  <c r="RDS249" i="30"/>
  <c r="RDT249" i="30"/>
  <c r="RDU249" i="30"/>
  <c r="RDV249" i="30"/>
  <c r="RDW249" i="30"/>
  <c r="RDX249" i="30"/>
  <c r="RDY249" i="30"/>
  <c r="RDZ249" i="30"/>
  <c r="REA249" i="30"/>
  <c r="REB249" i="30"/>
  <c r="REC249" i="30"/>
  <c r="RED249" i="30"/>
  <c r="REE249" i="30"/>
  <c r="REF249" i="30"/>
  <c r="REG249" i="30"/>
  <c r="REH249" i="30"/>
  <c r="REI249" i="30"/>
  <c r="REJ249" i="30"/>
  <c r="REK249" i="30"/>
  <c r="REL249" i="30"/>
  <c r="REM249" i="30"/>
  <c r="REN249" i="30"/>
  <c r="REO249" i="30"/>
  <c r="REP249" i="30"/>
  <c r="REQ249" i="30"/>
  <c r="RER249" i="30"/>
  <c r="RES249" i="30"/>
  <c r="RET249" i="30"/>
  <c r="REU249" i="30"/>
  <c r="REV249" i="30"/>
  <c r="REW249" i="30"/>
  <c r="REX249" i="30"/>
  <c r="REY249" i="30"/>
  <c r="REZ249" i="30"/>
  <c r="RFA249" i="30"/>
  <c r="RFB249" i="30"/>
  <c r="RFC249" i="30"/>
  <c r="RFD249" i="30"/>
  <c r="RFE249" i="30"/>
  <c r="RFF249" i="30"/>
  <c r="RFG249" i="30"/>
  <c r="RFH249" i="30"/>
  <c r="RFI249" i="30"/>
  <c r="RFJ249" i="30"/>
  <c r="RFK249" i="30"/>
  <c r="RFL249" i="30"/>
  <c r="RFM249" i="30"/>
  <c r="RFN249" i="30"/>
  <c r="RFO249" i="30"/>
  <c r="RFP249" i="30"/>
  <c r="RFQ249" i="30"/>
  <c r="RFR249" i="30"/>
  <c r="RFS249" i="30"/>
  <c r="RFT249" i="30"/>
  <c r="RFU249" i="30"/>
  <c r="RFV249" i="30"/>
  <c r="RFW249" i="30"/>
  <c r="RFX249" i="30"/>
  <c r="RFY249" i="30"/>
  <c r="RFZ249" i="30"/>
  <c r="RGA249" i="30"/>
  <c r="RGB249" i="30"/>
  <c r="RGC249" i="30"/>
  <c r="RGD249" i="30"/>
  <c r="RGE249" i="30"/>
  <c r="RGF249" i="30"/>
  <c r="RGG249" i="30"/>
  <c r="RGH249" i="30"/>
  <c r="RGI249" i="30"/>
  <c r="RGJ249" i="30"/>
  <c r="RGK249" i="30"/>
  <c r="RGL249" i="30"/>
  <c r="RGM249" i="30"/>
  <c r="RGN249" i="30"/>
  <c r="RGO249" i="30"/>
  <c r="RGP249" i="30"/>
  <c r="RGQ249" i="30"/>
  <c r="RGR249" i="30"/>
  <c r="RGS249" i="30"/>
  <c r="RGT249" i="30"/>
  <c r="RGU249" i="30"/>
  <c r="RGV249" i="30"/>
  <c r="RGW249" i="30"/>
  <c r="RGX249" i="30"/>
  <c r="RGY249" i="30"/>
  <c r="RGZ249" i="30"/>
  <c r="RHA249" i="30"/>
  <c r="RHB249" i="30"/>
  <c r="RHC249" i="30"/>
  <c r="RHD249" i="30"/>
  <c r="RHE249" i="30"/>
  <c r="RHF249" i="30"/>
  <c r="RHG249" i="30"/>
  <c r="RHH249" i="30"/>
  <c r="RHI249" i="30"/>
  <c r="RHJ249" i="30"/>
  <c r="RHK249" i="30"/>
  <c r="RHL249" i="30"/>
  <c r="RHM249" i="30"/>
  <c r="RHN249" i="30"/>
  <c r="RHO249" i="30"/>
  <c r="RHP249" i="30"/>
  <c r="RHQ249" i="30"/>
  <c r="RHR249" i="30"/>
  <c r="RHS249" i="30"/>
  <c r="RHT249" i="30"/>
  <c r="RHU249" i="30"/>
  <c r="RHV249" i="30"/>
  <c r="RHW249" i="30"/>
  <c r="RHX249" i="30"/>
  <c r="RHY249" i="30"/>
  <c r="RHZ249" i="30"/>
  <c r="RIA249" i="30"/>
  <c r="RIB249" i="30"/>
  <c r="RIC249" i="30"/>
  <c r="RID249" i="30"/>
  <c r="RIE249" i="30"/>
  <c r="RIF249" i="30"/>
  <c r="RIG249" i="30"/>
  <c r="RIH249" i="30"/>
  <c r="RII249" i="30"/>
  <c r="RIJ249" i="30"/>
  <c r="RIK249" i="30"/>
  <c r="RIL249" i="30"/>
  <c r="RIM249" i="30"/>
  <c r="RIN249" i="30"/>
  <c r="RIO249" i="30"/>
  <c r="RIP249" i="30"/>
  <c r="RIQ249" i="30"/>
  <c r="RIR249" i="30"/>
  <c r="RIS249" i="30"/>
  <c r="RIT249" i="30"/>
  <c r="RIU249" i="30"/>
  <c r="RIV249" i="30"/>
  <c r="RIW249" i="30"/>
  <c r="RIX249" i="30"/>
  <c r="RIY249" i="30"/>
  <c r="RIZ249" i="30"/>
  <c r="RJA249" i="30"/>
  <c r="RJB249" i="30"/>
  <c r="RJC249" i="30"/>
  <c r="RJD249" i="30"/>
  <c r="RJE249" i="30"/>
  <c r="RJF249" i="30"/>
  <c r="RJG249" i="30"/>
  <c r="RJH249" i="30"/>
  <c r="RJI249" i="30"/>
  <c r="RJJ249" i="30"/>
  <c r="RJK249" i="30"/>
  <c r="RJL249" i="30"/>
  <c r="RJM249" i="30"/>
  <c r="RJN249" i="30"/>
  <c r="RJO249" i="30"/>
  <c r="RJP249" i="30"/>
  <c r="RJQ249" i="30"/>
  <c r="RJR249" i="30"/>
  <c r="RJS249" i="30"/>
  <c r="RJT249" i="30"/>
  <c r="RJU249" i="30"/>
  <c r="RJV249" i="30"/>
  <c r="RJW249" i="30"/>
  <c r="RJX249" i="30"/>
  <c r="RJY249" i="30"/>
  <c r="RJZ249" i="30"/>
  <c r="RKA249" i="30"/>
  <c r="RKB249" i="30"/>
  <c r="RKC249" i="30"/>
  <c r="RKD249" i="30"/>
  <c r="RKE249" i="30"/>
  <c r="RKF249" i="30"/>
  <c r="RKG249" i="30"/>
  <c r="RKH249" i="30"/>
  <c r="RKI249" i="30"/>
  <c r="RKJ249" i="30"/>
  <c r="RKK249" i="30"/>
  <c r="RKL249" i="30"/>
  <c r="RKM249" i="30"/>
  <c r="RKN249" i="30"/>
  <c r="RKO249" i="30"/>
  <c r="RKP249" i="30"/>
  <c r="RKQ249" i="30"/>
  <c r="RKR249" i="30"/>
  <c r="RKS249" i="30"/>
  <c r="RKT249" i="30"/>
  <c r="RKU249" i="30"/>
  <c r="RKV249" i="30"/>
  <c r="RKW249" i="30"/>
  <c r="RKX249" i="30"/>
  <c r="RKY249" i="30"/>
  <c r="RKZ249" i="30"/>
  <c r="RLA249" i="30"/>
  <c r="RLB249" i="30"/>
  <c r="RLC249" i="30"/>
  <c r="RLD249" i="30"/>
  <c r="RLE249" i="30"/>
  <c r="RLF249" i="30"/>
  <c r="RLG249" i="30"/>
  <c r="RLH249" i="30"/>
  <c r="RLI249" i="30"/>
  <c r="RLJ249" i="30"/>
  <c r="RLK249" i="30"/>
  <c r="RLL249" i="30"/>
  <c r="RLM249" i="30"/>
  <c r="RLN249" i="30"/>
  <c r="RLO249" i="30"/>
  <c r="RLP249" i="30"/>
  <c r="RLQ249" i="30"/>
  <c r="RLR249" i="30"/>
  <c r="RLS249" i="30"/>
  <c r="RLT249" i="30"/>
  <c r="RLU249" i="30"/>
  <c r="RLV249" i="30"/>
  <c r="RLW249" i="30"/>
  <c r="RLX249" i="30"/>
  <c r="RLY249" i="30"/>
  <c r="RLZ249" i="30"/>
  <c r="RMA249" i="30"/>
  <c r="RMB249" i="30"/>
  <c r="RMC249" i="30"/>
  <c r="RMD249" i="30"/>
  <c r="RME249" i="30"/>
  <c r="RMF249" i="30"/>
  <c r="RMG249" i="30"/>
  <c r="RMH249" i="30"/>
  <c r="RMI249" i="30"/>
  <c r="RMJ249" i="30"/>
  <c r="RMK249" i="30"/>
  <c r="RML249" i="30"/>
  <c r="RMM249" i="30"/>
  <c r="RMN249" i="30"/>
  <c r="RMO249" i="30"/>
  <c r="RMP249" i="30"/>
  <c r="RMQ249" i="30"/>
  <c r="RMR249" i="30"/>
  <c r="RMS249" i="30"/>
  <c r="RMT249" i="30"/>
  <c r="RMU249" i="30"/>
  <c r="RMV249" i="30"/>
  <c r="RMW249" i="30"/>
  <c r="RMX249" i="30"/>
  <c r="RMY249" i="30"/>
  <c r="RMZ249" i="30"/>
  <c r="RNA249" i="30"/>
  <c r="RNB249" i="30"/>
  <c r="RNC249" i="30"/>
  <c r="RND249" i="30"/>
  <c r="RNE249" i="30"/>
  <c r="RNF249" i="30"/>
  <c r="RNG249" i="30"/>
  <c r="RNH249" i="30"/>
  <c r="RNI249" i="30"/>
  <c r="RNJ249" i="30"/>
  <c r="RNK249" i="30"/>
  <c r="RNL249" i="30"/>
  <c r="RNM249" i="30"/>
  <c r="RNN249" i="30"/>
  <c r="RNO249" i="30"/>
  <c r="RNP249" i="30"/>
  <c r="RNQ249" i="30"/>
  <c r="RNR249" i="30"/>
  <c r="RNS249" i="30"/>
  <c r="RNT249" i="30"/>
  <c r="RNU249" i="30"/>
  <c r="RNV249" i="30"/>
  <c r="RNW249" i="30"/>
  <c r="RNX249" i="30"/>
  <c r="RNY249" i="30"/>
  <c r="RNZ249" i="30"/>
  <c r="ROA249" i="30"/>
  <c r="ROB249" i="30"/>
  <c r="ROC249" i="30"/>
  <c r="ROD249" i="30"/>
  <c r="ROE249" i="30"/>
  <c r="ROF249" i="30"/>
  <c r="ROG249" i="30"/>
  <c r="ROH249" i="30"/>
  <c r="ROI249" i="30"/>
  <c r="ROJ249" i="30"/>
  <c r="ROK249" i="30"/>
  <c r="ROL249" i="30"/>
  <c r="ROM249" i="30"/>
  <c r="RON249" i="30"/>
  <c r="ROO249" i="30"/>
  <c r="ROP249" i="30"/>
  <c r="ROQ249" i="30"/>
  <c r="ROR249" i="30"/>
  <c r="ROS249" i="30"/>
  <c r="ROT249" i="30"/>
  <c r="ROU249" i="30"/>
  <c r="ROV249" i="30"/>
  <c r="ROW249" i="30"/>
  <c r="ROX249" i="30"/>
  <c r="ROY249" i="30"/>
  <c r="ROZ249" i="30"/>
  <c r="RPA249" i="30"/>
  <c r="RPB249" i="30"/>
  <c r="RPC249" i="30"/>
  <c r="RPD249" i="30"/>
  <c r="RPE249" i="30"/>
  <c r="RPF249" i="30"/>
  <c r="RPG249" i="30"/>
  <c r="RPH249" i="30"/>
  <c r="RPI249" i="30"/>
  <c r="RPJ249" i="30"/>
  <c r="RPK249" i="30"/>
  <c r="RPL249" i="30"/>
  <c r="RPM249" i="30"/>
  <c r="RPN249" i="30"/>
  <c r="RPO249" i="30"/>
  <c r="RPP249" i="30"/>
  <c r="RPQ249" i="30"/>
  <c r="RPR249" i="30"/>
  <c r="RPS249" i="30"/>
  <c r="RPT249" i="30"/>
  <c r="RPU249" i="30"/>
  <c r="RPV249" i="30"/>
  <c r="RPW249" i="30"/>
  <c r="RPX249" i="30"/>
  <c r="RPY249" i="30"/>
  <c r="RPZ249" i="30"/>
  <c r="RQA249" i="30"/>
  <c r="RQB249" i="30"/>
  <c r="RQC249" i="30"/>
  <c r="RQD249" i="30"/>
  <c r="RQE249" i="30"/>
  <c r="RQF249" i="30"/>
  <c r="RQG249" i="30"/>
  <c r="RQH249" i="30"/>
  <c r="RQI249" i="30"/>
  <c r="RQJ249" i="30"/>
  <c r="RQK249" i="30"/>
  <c r="RQL249" i="30"/>
  <c r="RQM249" i="30"/>
  <c r="RQN249" i="30"/>
  <c r="RQO249" i="30"/>
  <c r="RQP249" i="30"/>
  <c r="RQQ249" i="30"/>
  <c r="RQR249" i="30"/>
  <c r="RQS249" i="30"/>
  <c r="RQT249" i="30"/>
  <c r="RQU249" i="30"/>
  <c r="RQV249" i="30"/>
  <c r="RQW249" i="30"/>
  <c r="RQX249" i="30"/>
  <c r="RQY249" i="30"/>
  <c r="RQZ249" i="30"/>
  <c r="RRA249" i="30"/>
  <c r="RRB249" i="30"/>
  <c r="RRC249" i="30"/>
  <c r="RRD249" i="30"/>
  <c r="RRE249" i="30"/>
  <c r="RRF249" i="30"/>
  <c r="RRG249" i="30"/>
  <c r="RRH249" i="30"/>
  <c r="RRI249" i="30"/>
  <c r="RRJ249" i="30"/>
  <c r="RRK249" i="30"/>
  <c r="RRL249" i="30"/>
  <c r="RRM249" i="30"/>
  <c r="RRN249" i="30"/>
  <c r="RRO249" i="30"/>
  <c r="RRP249" i="30"/>
  <c r="RRQ249" i="30"/>
  <c r="RRR249" i="30"/>
  <c r="RRS249" i="30"/>
  <c r="RRT249" i="30"/>
  <c r="RRU249" i="30"/>
  <c r="RRV249" i="30"/>
  <c r="RRW249" i="30"/>
  <c r="RRX249" i="30"/>
  <c r="RRY249" i="30"/>
  <c r="RRZ249" i="30"/>
  <c r="RSA249" i="30"/>
  <c r="RSB249" i="30"/>
  <c r="RSC249" i="30"/>
  <c r="RSD249" i="30"/>
  <c r="RSE249" i="30"/>
  <c r="RSF249" i="30"/>
  <c r="RSG249" i="30"/>
  <c r="RSH249" i="30"/>
  <c r="RSI249" i="30"/>
  <c r="RSJ249" i="30"/>
  <c r="RSK249" i="30"/>
  <c r="RSL249" i="30"/>
  <c r="RSM249" i="30"/>
  <c r="RSN249" i="30"/>
  <c r="RSO249" i="30"/>
  <c r="RSP249" i="30"/>
  <c r="RSQ249" i="30"/>
  <c r="RSR249" i="30"/>
  <c r="RSS249" i="30"/>
  <c r="RST249" i="30"/>
  <c r="RSU249" i="30"/>
  <c r="RSV249" i="30"/>
  <c r="RSW249" i="30"/>
  <c r="RSX249" i="30"/>
  <c r="RSY249" i="30"/>
  <c r="RSZ249" i="30"/>
  <c r="RTA249" i="30"/>
  <c r="RTB249" i="30"/>
  <c r="RTC249" i="30"/>
  <c r="RTD249" i="30"/>
  <c r="RTE249" i="30"/>
  <c r="RTF249" i="30"/>
  <c r="RTG249" i="30"/>
  <c r="RTH249" i="30"/>
  <c r="RTI249" i="30"/>
  <c r="RTJ249" i="30"/>
  <c r="RTK249" i="30"/>
  <c r="RTL249" i="30"/>
  <c r="RTM249" i="30"/>
  <c r="RTN249" i="30"/>
  <c r="RTO249" i="30"/>
  <c r="RTP249" i="30"/>
  <c r="RTQ249" i="30"/>
  <c r="RTR249" i="30"/>
  <c r="RTS249" i="30"/>
  <c r="RTT249" i="30"/>
  <c r="RTU249" i="30"/>
  <c r="RTV249" i="30"/>
  <c r="RTW249" i="30"/>
  <c r="RTX249" i="30"/>
  <c r="RTY249" i="30"/>
  <c r="RTZ249" i="30"/>
  <c r="RUA249" i="30"/>
  <c r="RUB249" i="30"/>
  <c r="RUC249" i="30"/>
  <c r="RUD249" i="30"/>
  <c r="RUE249" i="30"/>
  <c r="RUF249" i="30"/>
  <c r="RUG249" i="30"/>
  <c r="RUH249" i="30"/>
  <c r="RUI249" i="30"/>
  <c r="RUJ249" i="30"/>
  <c r="RUK249" i="30"/>
  <c r="RUL249" i="30"/>
  <c r="RUM249" i="30"/>
  <c r="RUN249" i="30"/>
  <c r="RUO249" i="30"/>
  <c r="RUP249" i="30"/>
  <c r="RUQ249" i="30"/>
  <c r="RUR249" i="30"/>
  <c r="RUS249" i="30"/>
  <c r="RUT249" i="30"/>
  <c r="RUU249" i="30"/>
  <c r="RUV249" i="30"/>
  <c r="RUW249" i="30"/>
  <c r="RUX249" i="30"/>
  <c r="RUY249" i="30"/>
  <c r="RUZ249" i="30"/>
  <c r="RVA249" i="30"/>
  <c r="RVB249" i="30"/>
  <c r="RVC249" i="30"/>
  <c r="RVD249" i="30"/>
  <c r="RVE249" i="30"/>
  <c r="RVF249" i="30"/>
  <c r="RVG249" i="30"/>
  <c r="RVH249" i="30"/>
  <c r="RVI249" i="30"/>
  <c r="RVJ249" i="30"/>
  <c r="RVK249" i="30"/>
  <c r="RVL249" i="30"/>
  <c r="RVM249" i="30"/>
  <c r="RVN249" i="30"/>
  <c r="RVO249" i="30"/>
  <c r="RVP249" i="30"/>
  <c r="RVQ249" i="30"/>
  <c r="RVR249" i="30"/>
  <c r="RVS249" i="30"/>
  <c r="RVT249" i="30"/>
  <c r="RVU249" i="30"/>
  <c r="RVV249" i="30"/>
  <c r="RVW249" i="30"/>
  <c r="RVX249" i="30"/>
  <c r="RVY249" i="30"/>
  <c r="RVZ249" i="30"/>
  <c r="RWA249" i="30"/>
  <c r="RWB249" i="30"/>
  <c r="RWC249" i="30"/>
  <c r="RWD249" i="30"/>
  <c r="RWE249" i="30"/>
  <c r="RWF249" i="30"/>
  <c r="RWG249" i="30"/>
  <c r="RWH249" i="30"/>
  <c r="RWI249" i="30"/>
  <c r="RWJ249" i="30"/>
  <c r="RWK249" i="30"/>
  <c r="RWL249" i="30"/>
  <c r="RWM249" i="30"/>
  <c r="RWN249" i="30"/>
  <c r="RWO249" i="30"/>
  <c r="RWP249" i="30"/>
  <c r="RWQ249" i="30"/>
  <c r="RWR249" i="30"/>
  <c r="RWS249" i="30"/>
  <c r="RWT249" i="30"/>
  <c r="RWU249" i="30"/>
  <c r="RWV249" i="30"/>
  <c r="RWW249" i="30"/>
  <c r="RWX249" i="30"/>
  <c r="RWY249" i="30"/>
  <c r="RWZ249" i="30"/>
  <c r="RXA249" i="30"/>
  <c r="RXB249" i="30"/>
  <c r="RXC249" i="30"/>
  <c r="RXD249" i="30"/>
  <c r="RXE249" i="30"/>
  <c r="RXF249" i="30"/>
  <c r="RXG249" i="30"/>
  <c r="RXH249" i="30"/>
  <c r="RXI249" i="30"/>
  <c r="RXJ249" i="30"/>
  <c r="RXK249" i="30"/>
  <c r="RXL249" i="30"/>
  <c r="RXM249" i="30"/>
  <c r="RXN249" i="30"/>
  <c r="RXO249" i="30"/>
  <c r="RXP249" i="30"/>
  <c r="RXQ249" i="30"/>
  <c r="RXR249" i="30"/>
  <c r="RXS249" i="30"/>
  <c r="RXT249" i="30"/>
  <c r="RXU249" i="30"/>
  <c r="RXV249" i="30"/>
  <c r="RXW249" i="30"/>
  <c r="RXX249" i="30"/>
  <c r="RXY249" i="30"/>
  <c r="RXZ249" i="30"/>
  <c r="RYA249" i="30"/>
  <c r="RYB249" i="30"/>
  <c r="RYC249" i="30"/>
  <c r="RYD249" i="30"/>
  <c r="RYE249" i="30"/>
  <c r="RYF249" i="30"/>
  <c r="RYG249" i="30"/>
  <c r="RYH249" i="30"/>
  <c r="RYI249" i="30"/>
  <c r="RYJ249" i="30"/>
  <c r="RYK249" i="30"/>
  <c r="RYL249" i="30"/>
  <c r="RYM249" i="30"/>
  <c r="RYN249" i="30"/>
  <c r="RYO249" i="30"/>
  <c r="RYP249" i="30"/>
  <c r="RYQ249" i="30"/>
  <c r="RYR249" i="30"/>
  <c r="RYS249" i="30"/>
  <c r="RYT249" i="30"/>
  <c r="RYU249" i="30"/>
  <c r="RYV249" i="30"/>
  <c r="RYW249" i="30"/>
  <c r="RYX249" i="30"/>
  <c r="RYY249" i="30"/>
  <c r="RYZ249" i="30"/>
  <c r="RZA249" i="30"/>
  <c r="RZB249" i="30"/>
  <c r="RZC249" i="30"/>
  <c r="RZD249" i="30"/>
  <c r="RZE249" i="30"/>
  <c r="RZF249" i="30"/>
  <c r="RZG249" i="30"/>
  <c r="RZH249" i="30"/>
  <c r="RZI249" i="30"/>
  <c r="RZJ249" i="30"/>
  <c r="RZK249" i="30"/>
  <c r="RZL249" i="30"/>
  <c r="RZM249" i="30"/>
  <c r="RZN249" i="30"/>
  <c r="RZO249" i="30"/>
  <c r="RZP249" i="30"/>
  <c r="RZQ249" i="30"/>
  <c r="RZR249" i="30"/>
  <c r="RZS249" i="30"/>
  <c r="RZT249" i="30"/>
  <c r="RZU249" i="30"/>
  <c r="RZV249" i="30"/>
  <c r="RZW249" i="30"/>
  <c r="RZX249" i="30"/>
  <c r="RZY249" i="30"/>
  <c r="RZZ249" i="30"/>
  <c r="SAA249" i="30"/>
  <c r="SAB249" i="30"/>
  <c r="SAC249" i="30"/>
  <c r="SAD249" i="30"/>
  <c r="SAE249" i="30"/>
  <c r="SAF249" i="30"/>
  <c r="SAG249" i="30"/>
  <c r="SAH249" i="30"/>
  <c r="SAI249" i="30"/>
  <c r="SAJ249" i="30"/>
  <c r="SAK249" i="30"/>
  <c r="SAL249" i="30"/>
  <c r="SAM249" i="30"/>
  <c r="SAN249" i="30"/>
  <c r="SAO249" i="30"/>
  <c r="SAP249" i="30"/>
  <c r="SAQ249" i="30"/>
  <c r="SAR249" i="30"/>
  <c r="SAS249" i="30"/>
  <c r="SAT249" i="30"/>
  <c r="SAU249" i="30"/>
  <c r="SAV249" i="30"/>
  <c r="SAW249" i="30"/>
  <c r="SAX249" i="30"/>
  <c r="SAY249" i="30"/>
  <c r="SAZ249" i="30"/>
  <c r="SBA249" i="30"/>
  <c r="SBB249" i="30"/>
  <c r="SBC249" i="30"/>
  <c r="SBD249" i="30"/>
  <c r="SBE249" i="30"/>
  <c r="SBF249" i="30"/>
  <c r="SBG249" i="30"/>
  <c r="SBH249" i="30"/>
  <c r="SBI249" i="30"/>
  <c r="SBJ249" i="30"/>
  <c r="SBK249" i="30"/>
  <c r="SBL249" i="30"/>
  <c r="SBM249" i="30"/>
  <c r="SBN249" i="30"/>
  <c r="SBO249" i="30"/>
  <c r="SBP249" i="30"/>
  <c r="SBQ249" i="30"/>
  <c r="SBR249" i="30"/>
  <c r="SBS249" i="30"/>
  <c r="SBT249" i="30"/>
  <c r="SBU249" i="30"/>
  <c r="SBV249" i="30"/>
  <c r="SBW249" i="30"/>
  <c r="SBX249" i="30"/>
  <c r="SBY249" i="30"/>
  <c r="SBZ249" i="30"/>
  <c r="SCA249" i="30"/>
  <c r="SCB249" i="30"/>
  <c r="SCC249" i="30"/>
  <c r="SCD249" i="30"/>
  <c r="SCE249" i="30"/>
  <c r="SCF249" i="30"/>
  <c r="SCG249" i="30"/>
  <c r="SCH249" i="30"/>
  <c r="SCI249" i="30"/>
  <c r="SCJ249" i="30"/>
  <c r="SCK249" i="30"/>
  <c r="SCL249" i="30"/>
  <c r="SCM249" i="30"/>
  <c r="SCN249" i="30"/>
  <c r="SCO249" i="30"/>
  <c r="SCP249" i="30"/>
  <c r="SCQ249" i="30"/>
  <c r="SCR249" i="30"/>
  <c r="SCS249" i="30"/>
  <c r="SCT249" i="30"/>
  <c r="SCU249" i="30"/>
  <c r="SCV249" i="30"/>
  <c r="SCW249" i="30"/>
  <c r="SCX249" i="30"/>
  <c r="SCY249" i="30"/>
  <c r="SCZ249" i="30"/>
  <c r="SDA249" i="30"/>
  <c r="SDB249" i="30"/>
  <c r="SDC249" i="30"/>
  <c r="SDD249" i="30"/>
  <c r="SDE249" i="30"/>
  <c r="SDF249" i="30"/>
  <c r="SDG249" i="30"/>
  <c r="SDH249" i="30"/>
  <c r="SDI249" i="30"/>
  <c r="SDJ249" i="30"/>
  <c r="SDK249" i="30"/>
  <c r="SDL249" i="30"/>
  <c r="SDM249" i="30"/>
  <c r="SDN249" i="30"/>
  <c r="SDO249" i="30"/>
  <c r="SDP249" i="30"/>
  <c r="SDQ249" i="30"/>
  <c r="SDR249" i="30"/>
  <c r="SDS249" i="30"/>
  <c r="SDT249" i="30"/>
  <c r="SDU249" i="30"/>
  <c r="SDV249" i="30"/>
  <c r="SDW249" i="30"/>
  <c r="SDX249" i="30"/>
  <c r="SDY249" i="30"/>
  <c r="SDZ249" i="30"/>
  <c r="SEA249" i="30"/>
  <c r="SEB249" i="30"/>
  <c r="SEC249" i="30"/>
  <c r="SED249" i="30"/>
  <c r="SEE249" i="30"/>
  <c r="SEF249" i="30"/>
  <c r="SEG249" i="30"/>
  <c r="SEH249" i="30"/>
  <c r="SEI249" i="30"/>
  <c r="SEJ249" i="30"/>
  <c r="SEK249" i="30"/>
  <c r="SEL249" i="30"/>
  <c r="SEM249" i="30"/>
  <c r="SEN249" i="30"/>
  <c r="SEO249" i="30"/>
  <c r="SEP249" i="30"/>
  <c r="SEQ249" i="30"/>
  <c r="SER249" i="30"/>
  <c r="SES249" i="30"/>
  <c r="SET249" i="30"/>
  <c r="SEU249" i="30"/>
  <c r="SEV249" i="30"/>
  <c r="SEW249" i="30"/>
  <c r="SEX249" i="30"/>
  <c r="SEY249" i="30"/>
  <c r="SEZ249" i="30"/>
  <c r="SFA249" i="30"/>
  <c r="SFB249" i="30"/>
  <c r="SFC249" i="30"/>
  <c r="SFD249" i="30"/>
  <c r="SFE249" i="30"/>
  <c r="SFF249" i="30"/>
  <c r="SFG249" i="30"/>
  <c r="SFH249" i="30"/>
  <c r="SFI249" i="30"/>
  <c r="SFJ249" i="30"/>
  <c r="SFK249" i="30"/>
  <c r="SFL249" i="30"/>
  <c r="SFM249" i="30"/>
  <c r="SFN249" i="30"/>
  <c r="SFO249" i="30"/>
  <c r="SFP249" i="30"/>
  <c r="SFQ249" i="30"/>
  <c r="SFR249" i="30"/>
  <c r="SFS249" i="30"/>
  <c r="SFT249" i="30"/>
  <c r="SFU249" i="30"/>
  <c r="SFV249" i="30"/>
  <c r="SFW249" i="30"/>
  <c r="SFX249" i="30"/>
  <c r="SFY249" i="30"/>
  <c r="SFZ249" i="30"/>
  <c r="SGA249" i="30"/>
  <c r="SGB249" i="30"/>
  <c r="SGC249" i="30"/>
  <c r="SGD249" i="30"/>
  <c r="SGE249" i="30"/>
  <c r="SGF249" i="30"/>
  <c r="SGG249" i="30"/>
  <c r="SGH249" i="30"/>
  <c r="SGI249" i="30"/>
  <c r="SGJ249" i="30"/>
  <c r="SGK249" i="30"/>
  <c r="SGL249" i="30"/>
  <c r="SGM249" i="30"/>
  <c r="SGN249" i="30"/>
  <c r="SGO249" i="30"/>
  <c r="SGP249" i="30"/>
  <c r="SGQ249" i="30"/>
  <c r="SGR249" i="30"/>
  <c r="SGS249" i="30"/>
  <c r="SGT249" i="30"/>
  <c r="SGU249" i="30"/>
  <c r="SGV249" i="30"/>
  <c r="SGW249" i="30"/>
  <c r="SGX249" i="30"/>
  <c r="SGY249" i="30"/>
  <c r="SGZ249" i="30"/>
  <c r="SHA249" i="30"/>
  <c r="SHB249" i="30"/>
  <c r="SHC249" i="30"/>
  <c r="SHD249" i="30"/>
  <c r="SHE249" i="30"/>
  <c r="SHF249" i="30"/>
  <c r="SHG249" i="30"/>
  <c r="SHH249" i="30"/>
  <c r="SHI249" i="30"/>
  <c r="SHJ249" i="30"/>
  <c r="SHK249" i="30"/>
  <c r="SHL249" i="30"/>
  <c r="SHM249" i="30"/>
  <c r="SHN249" i="30"/>
  <c r="SHO249" i="30"/>
  <c r="SHP249" i="30"/>
  <c r="SHQ249" i="30"/>
  <c r="SHR249" i="30"/>
  <c r="SHS249" i="30"/>
  <c r="SHT249" i="30"/>
  <c r="SHU249" i="30"/>
  <c r="SHV249" i="30"/>
  <c r="SHW249" i="30"/>
  <c r="SHX249" i="30"/>
  <c r="SHY249" i="30"/>
  <c r="SHZ249" i="30"/>
  <c r="SIA249" i="30"/>
  <c r="SIB249" i="30"/>
  <c r="SIC249" i="30"/>
  <c r="SID249" i="30"/>
  <c r="SIE249" i="30"/>
  <c r="SIF249" i="30"/>
  <c r="SIG249" i="30"/>
  <c r="SIH249" i="30"/>
  <c r="SII249" i="30"/>
  <c r="SIJ249" i="30"/>
  <c r="SIK249" i="30"/>
  <c r="SIL249" i="30"/>
  <c r="SIM249" i="30"/>
  <c r="SIN249" i="30"/>
  <c r="SIO249" i="30"/>
  <c r="SIP249" i="30"/>
  <c r="SIQ249" i="30"/>
  <c r="SIR249" i="30"/>
  <c r="SIS249" i="30"/>
  <c r="SIT249" i="30"/>
  <c r="SIU249" i="30"/>
  <c r="SIV249" i="30"/>
  <c r="SIW249" i="30"/>
  <c r="SIX249" i="30"/>
  <c r="SIY249" i="30"/>
  <c r="SIZ249" i="30"/>
  <c r="SJA249" i="30"/>
  <c r="SJB249" i="30"/>
  <c r="SJC249" i="30"/>
  <c r="SJD249" i="30"/>
  <c r="SJE249" i="30"/>
  <c r="SJF249" i="30"/>
  <c r="SJG249" i="30"/>
  <c r="SJH249" i="30"/>
  <c r="SJI249" i="30"/>
  <c r="SJJ249" i="30"/>
  <c r="SJK249" i="30"/>
  <c r="SJL249" i="30"/>
  <c r="SJM249" i="30"/>
  <c r="SJN249" i="30"/>
  <c r="SJO249" i="30"/>
  <c r="SJP249" i="30"/>
  <c r="SJQ249" i="30"/>
  <c r="SJR249" i="30"/>
  <c r="SJS249" i="30"/>
  <c r="SJT249" i="30"/>
  <c r="SJU249" i="30"/>
  <c r="SJV249" i="30"/>
  <c r="SJW249" i="30"/>
  <c r="SJX249" i="30"/>
  <c r="SJY249" i="30"/>
  <c r="SJZ249" i="30"/>
  <c r="SKA249" i="30"/>
  <c r="SKB249" i="30"/>
  <c r="SKC249" i="30"/>
  <c r="SKD249" i="30"/>
  <c r="SKE249" i="30"/>
  <c r="SKF249" i="30"/>
  <c r="SKG249" i="30"/>
  <c r="SKH249" i="30"/>
  <c r="SKI249" i="30"/>
  <c r="SKJ249" i="30"/>
  <c r="SKK249" i="30"/>
  <c r="SKL249" i="30"/>
  <c r="SKM249" i="30"/>
  <c r="SKN249" i="30"/>
  <c r="SKO249" i="30"/>
  <c r="SKP249" i="30"/>
  <c r="SKQ249" i="30"/>
  <c r="SKR249" i="30"/>
  <c r="SKS249" i="30"/>
  <c r="SKT249" i="30"/>
  <c r="SKU249" i="30"/>
  <c r="SKV249" i="30"/>
  <c r="SKW249" i="30"/>
  <c r="SKX249" i="30"/>
  <c r="SKY249" i="30"/>
  <c r="SKZ249" i="30"/>
  <c r="SLA249" i="30"/>
  <c r="SLB249" i="30"/>
  <c r="SLC249" i="30"/>
  <c r="SLD249" i="30"/>
  <c r="SLE249" i="30"/>
  <c r="SLF249" i="30"/>
  <c r="SLG249" i="30"/>
  <c r="SLH249" i="30"/>
  <c r="SLI249" i="30"/>
  <c r="SLJ249" i="30"/>
  <c r="SLK249" i="30"/>
  <c r="SLL249" i="30"/>
  <c r="SLM249" i="30"/>
  <c r="SLN249" i="30"/>
  <c r="SLO249" i="30"/>
  <c r="SLP249" i="30"/>
  <c r="SLQ249" i="30"/>
  <c r="SLR249" i="30"/>
  <c r="SLS249" i="30"/>
  <c r="SLT249" i="30"/>
  <c r="SLU249" i="30"/>
  <c r="SLV249" i="30"/>
  <c r="SLW249" i="30"/>
  <c r="SLX249" i="30"/>
  <c r="SLY249" i="30"/>
  <c r="SLZ249" i="30"/>
  <c r="SMA249" i="30"/>
  <c r="SMB249" i="30"/>
  <c r="SMC249" i="30"/>
  <c r="SMD249" i="30"/>
  <c r="SME249" i="30"/>
  <c r="SMF249" i="30"/>
  <c r="SMG249" i="30"/>
  <c r="SMH249" i="30"/>
  <c r="SMI249" i="30"/>
  <c r="SMJ249" i="30"/>
  <c r="SMK249" i="30"/>
  <c r="SML249" i="30"/>
  <c r="SMM249" i="30"/>
  <c r="SMN249" i="30"/>
  <c r="SMO249" i="30"/>
  <c r="SMP249" i="30"/>
  <c r="SMQ249" i="30"/>
  <c r="SMR249" i="30"/>
  <c r="SMS249" i="30"/>
  <c r="SMT249" i="30"/>
  <c r="SMU249" i="30"/>
  <c r="SMV249" i="30"/>
  <c r="SMW249" i="30"/>
  <c r="SMX249" i="30"/>
  <c r="SMY249" i="30"/>
  <c r="SMZ249" i="30"/>
  <c r="SNA249" i="30"/>
  <c r="SNB249" i="30"/>
  <c r="SNC249" i="30"/>
  <c r="SND249" i="30"/>
  <c r="SNE249" i="30"/>
  <c r="SNF249" i="30"/>
  <c r="SNG249" i="30"/>
  <c r="SNH249" i="30"/>
  <c r="SNI249" i="30"/>
  <c r="SNJ249" i="30"/>
  <c r="SNK249" i="30"/>
  <c r="SNL249" i="30"/>
  <c r="SNM249" i="30"/>
  <c r="SNN249" i="30"/>
  <c r="SNO249" i="30"/>
  <c r="SNP249" i="30"/>
  <c r="SNQ249" i="30"/>
  <c r="SNR249" i="30"/>
  <c r="SNS249" i="30"/>
  <c r="SNT249" i="30"/>
  <c r="SNU249" i="30"/>
  <c r="SNV249" i="30"/>
  <c r="SNW249" i="30"/>
  <c r="SNX249" i="30"/>
  <c r="SNY249" i="30"/>
  <c r="SNZ249" i="30"/>
  <c r="SOA249" i="30"/>
  <c r="SOB249" i="30"/>
  <c r="SOC249" i="30"/>
  <c r="SOD249" i="30"/>
  <c r="SOE249" i="30"/>
  <c r="SOF249" i="30"/>
  <c r="SOG249" i="30"/>
  <c r="SOH249" i="30"/>
  <c r="SOI249" i="30"/>
  <c r="SOJ249" i="30"/>
  <c r="SOK249" i="30"/>
  <c r="SOL249" i="30"/>
  <c r="SOM249" i="30"/>
  <c r="SON249" i="30"/>
  <c r="SOO249" i="30"/>
  <c r="SOP249" i="30"/>
  <c r="SOQ249" i="30"/>
  <c r="SOR249" i="30"/>
  <c r="SOS249" i="30"/>
  <c r="SOT249" i="30"/>
  <c r="SOU249" i="30"/>
  <c r="SOV249" i="30"/>
  <c r="SOW249" i="30"/>
  <c r="SOX249" i="30"/>
  <c r="SOY249" i="30"/>
  <c r="SOZ249" i="30"/>
  <c r="SPA249" i="30"/>
  <c r="SPB249" i="30"/>
  <c r="SPC249" i="30"/>
  <c r="SPD249" i="30"/>
  <c r="SPE249" i="30"/>
  <c r="SPF249" i="30"/>
  <c r="SPG249" i="30"/>
  <c r="SPH249" i="30"/>
  <c r="SPI249" i="30"/>
  <c r="SPJ249" i="30"/>
  <c r="SPK249" i="30"/>
  <c r="SPL249" i="30"/>
  <c r="SPM249" i="30"/>
  <c r="SPN249" i="30"/>
  <c r="SPO249" i="30"/>
  <c r="SPP249" i="30"/>
  <c r="SPQ249" i="30"/>
  <c r="SPR249" i="30"/>
  <c r="SPS249" i="30"/>
  <c r="SPT249" i="30"/>
  <c r="SPU249" i="30"/>
  <c r="SPV249" i="30"/>
  <c r="SPW249" i="30"/>
  <c r="SPX249" i="30"/>
  <c r="SPY249" i="30"/>
  <c r="SPZ249" i="30"/>
  <c r="SQA249" i="30"/>
  <c r="SQB249" i="30"/>
  <c r="SQC249" i="30"/>
  <c r="SQD249" i="30"/>
  <c r="SQE249" i="30"/>
  <c r="SQF249" i="30"/>
  <c r="SQG249" i="30"/>
  <c r="SQH249" i="30"/>
  <c r="SQI249" i="30"/>
  <c r="SQJ249" i="30"/>
  <c r="SQK249" i="30"/>
  <c r="SQL249" i="30"/>
  <c r="SQM249" i="30"/>
  <c r="SQN249" i="30"/>
  <c r="SQO249" i="30"/>
  <c r="SQP249" i="30"/>
  <c r="SQQ249" i="30"/>
  <c r="SQR249" i="30"/>
  <c r="SQS249" i="30"/>
  <c r="SQT249" i="30"/>
  <c r="SQU249" i="30"/>
  <c r="SQV249" i="30"/>
  <c r="SQW249" i="30"/>
  <c r="SQX249" i="30"/>
  <c r="SQY249" i="30"/>
  <c r="SQZ249" i="30"/>
  <c r="SRA249" i="30"/>
  <c r="SRB249" i="30"/>
  <c r="SRC249" i="30"/>
  <c r="SRD249" i="30"/>
  <c r="SRE249" i="30"/>
  <c r="SRF249" i="30"/>
  <c r="SRG249" i="30"/>
  <c r="SRH249" i="30"/>
  <c r="SRI249" i="30"/>
  <c r="SRJ249" i="30"/>
  <c r="SRK249" i="30"/>
  <c r="SRL249" i="30"/>
  <c r="SRM249" i="30"/>
  <c r="SRN249" i="30"/>
  <c r="SRO249" i="30"/>
  <c r="SRP249" i="30"/>
  <c r="SRQ249" i="30"/>
  <c r="SRR249" i="30"/>
  <c r="SRS249" i="30"/>
  <c r="SRT249" i="30"/>
  <c r="SRU249" i="30"/>
  <c r="SRV249" i="30"/>
  <c r="SRW249" i="30"/>
  <c r="SRX249" i="30"/>
  <c r="SRY249" i="30"/>
  <c r="SRZ249" i="30"/>
  <c r="SSA249" i="30"/>
  <c r="SSB249" i="30"/>
  <c r="SSC249" i="30"/>
  <c r="SSD249" i="30"/>
  <c r="SSE249" i="30"/>
  <c r="SSF249" i="30"/>
  <c r="SSG249" i="30"/>
  <c r="SSH249" i="30"/>
  <c r="SSI249" i="30"/>
  <c r="SSJ249" i="30"/>
  <c r="SSK249" i="30"/>
  <c r="SSL249" i="30"/>
  <c r="SSM249" i="30"/>
  <c r="SSN249" i="30"/>
  <c r="SSO249" i="30"/>
  <c r="SSP249" i="30"/>
  <c r="SSQ249" i="30"/>
  <c r="SSR249" i="30"/>
  <c r="SSS249" i="30"/>
  <c r="SST249" i="30"/>
  <c r="SSU249" i="30"/>
  <c r="SSV249" i="30"/>
  <c r="SSW249" i="30"/>
  <c r="SSX249" i="30"/>
  <c r="SSY249" i="30"/>
  <c r="SSZ249" i="30"/>
  <c r="STA249" i="30"/>
  <c r="STB249" i="30"/>
  <c r="STC249" i="30"/>
  <c r="STD249" i="30"/>
  <c r="STE249" i="30"/>
  <c r="STF249" i="30"/>
  <c r="STG249" i="30"/>
  <c r="STH249" i="30"/>
  <c r="STI249" i="30"/>
  <c r="STJ249" i="30"/>
  <c r="STK249" i="30"/>
  <c r="STL249" i="30"/>
  <c r="STM249" i="30"/>
  <c r="STN249" i="30"/>
  <c r="STO249" i="30"/>
  <c r="STP249" i="30"/>
  <c r="STQ249" i="30"/>
  <c r="STR249" i="30"/>
  <c r="STS249" i="30"/>
  <c r="STT249" i="30"/>
  <c r="STU249" i="30"/>
  <c r="STV249" i="30"/>
  <c r="STW249" i="30"/>
  <c r="STX249" i="30"/>
  <c r="STY249" i="30"/>
  <c r="STZ249" i="30"/>
  <c r="SUA249" i="30"/>
  <c r="SUB249" i="30"/>
  <c r="SUC249" i="30"/>
  <c r="SUD249" i="30"/>
  <c r="SUE249" i="30"/>
  <c r="SUF249" i="30"/>
  <c r="SUG249" i="30"/>
  <c r="SUH249" i="30"/>
  <c r="SUI249" i="30"/>
  <c r="SUJ249" i="30"/>
  <c r="SUK249" i="30"/>
  <c r="SUL249" i="30"/>
  <c r="SUM249" i="30"/>
  <c r="SUN249" i="30"/>
  <c r="SUO249" i="30"/>
  <c r="SUP249" i="30"/>
  <c r="SUQ249" i="30"/>
  <c r="SUR249" i="30"/>
  <c r="SUS249" i="30"/>
  <c r="SUT249" i="30"/>
  <c r="SUU249" i="30"/>
  <c r="SUV249" i="30"/>
  <c r="SUW249" i="30"/>
  <c r="SUX249" i="30"/>
  <c r="SUY249" i="30"/>
  <c r="SUZ249" i="30"/>
  <c r="SVA249" i="30"/>
  <c r="SVB249" i="30"/>
  <c r="SVC249" i="30"/>
  <c r="SVD249" i="30"/>
  <c r="SVE249" i="30"/>
  <c r="SVF249" i="30"/>
  <c r="SVG249" i="30"/>
  <c r="SVH249" i="30"/>
  <c r="SVI249" i="30"/>
  <c r="SVJ249" i="30"/>
  <c r="SVK249" i="30"/>
  <c r="SVL249" i="30"/>
  <c r="SVM249" i="30"/>
  <c r="SVN249" i="30"/>
  <c r="SVO249" i="30"/>
  <c r="SVP249" i="30"/>
  <c r="SVQ249" i="30"/>
  <c r="SVR249" i="30"/>
  <c r="SVS249" i="30"/>
  <c r="SVT249" i="30"/>
  <c r="SVU249" i="30"/>
  <c r="SVV249" i="30"/>
  <c r="SVW249" i="30"/>
  <c r="SVX249" i="30"/>
  <c r="SVY249" i="30"/>
  <c r="SVZ249" i="30"/>
  <c r="SWA249" i="30"/>
  <c r="SWB249" i="30"/>
  <c r="SWC249" i="30"/>
  <c r="SWD249" i="30"/>
  <c r="SWE249" i="30"/>
  <c r="SWF249" i="30"/>
  <c r="SWG249" i="30"/>
  <c r="SWH249" i="30"/>
  <c r="SWI249" i="30"/>
  <c r="SWJ249" i="30"/>
  <c r="SWK249" i="30"/>
  <c r="SWL249" i="30"/>
  <c r="SWM249" i="30"/>
  <c r="SWN249" i="30"/>
  <c r="SWO249" i="30"/>
  <c r="SWP249" i="30"/>
  <c r="SWQ249" i="30"/>
  <c r="SWR249" i="30"/>
  <c r="SWS249" i="30"/>
  <c r="SWT249" i="30"/>
  <c r="SWU249" i="30"/>
  <c r="SWV249" i="30"/>
  <c r="SWW249" i="30"/>
  <c r="SWX249" i="30"/>
  <c r="SWY249" i="30"/>
  <c r="SWZ249" i="30"/>
  <c r="SXA249" i="30"/>
  <c r="SXB249" i="30"/>
  <c r="SXC249" i="30"/>
  <c r="SXD249" i="30"/>
  <c r="SXE249" i="30"/>
  <c r="SXF249" i="30"/>
  <c r="SXG249" i="30"/>
  <c r="SXH249" i="30"/>
  <c r="SXI249" i="30"/>
  <c r="SXJ249" i="30"/>
  <c r="SXK249" i="30"/>
  <c r="SXL249" i="30"/>
  <c r="SXM249" i="30"/>
  <c r="SXN249" i="30"/>
  <c r="SXO249" i="30"/>
  <c r="SXP249" i="30"/>
  <c r="SXQ249" i="30"/>
  <c r="SXR249" i="30"/>
  <c r="SXS249" i="30"/>
  <c r="SXT249" i="30"/>
  <c r="SXU249" i="30"/>
  <c r="SXV249" i="30"/>
  <c r="SXW249" i="30"/>
  <c r="SXX249" i="30"/>
  <c r="SXY249" i="30"/>
  <c r="SXZ249" i="30"/>
  <c r="SYA249" i="30"/>
  <c r="SYB249" i="30"/>
  <c r="SYC249" i="30"/>
  <c r="SYD249" i="30"/>
  <c r="SYE249" i="30"/>
  <c r="SYF249" i="30"/>
  <c r="SYG249" i="30"/>
  <c r="SYH249" i="30"/>
  <c r="SYI249" i="30"/>
  <c r="SYJ249" i="30"/>
  <c r="SYK249" i="30"/>
  <c r="SYL249" i="30"/>
  <c r="SYM249" i="30"/>
  <c r="SYN249" i="30"/>
  <c r="SYO249" i="30"/>
  <c r="SYP249" i="30"/>
  <c r="SYQ249" i="30"/>
  <c r="SYR249" i="30"/>
  <c r="SYS249" i="30"/>
  <c r="SYT249" i="30"/>
  <c r="SYU249" i="30"/>
  <c r="SYV249" i="30"/>
  <c r="SYW249" i="30"/>
  <c r="SYX249" i="30"/>
  <c r="SYY249" i="30"/>
  <c r="SYZ249" i="30"/>
  <c r="SZA249" i="30"/>
  <c r="SZB249" i="30"/>
  <c r="SZC249" i="30"/>
  <c r="SZD249" i="30"/>
  <c r="SZE249" i="30"/>
  <c r="SZF249" i="30"/>
  <c r="SZG249" i="30"/>
  <c r="SZH249" i="30"/>
  <c r="SZI249" i="30"/>
  <c r="SZJ249" i="30"/>
  <c r="SZK249" i="30"/>
  <c r="SZL249" i="30"/>
  <c r="SZM249" i="30"/>
  <c r="SZN249" i="30"/>
  <c r="SZO249" i="30"/>
  <c r="SZP249" i="30"/>
  <c r="SZQ249" i="30"/>
  <c r="SZR249" i="30"/>
  <c r="SZS249" i="30"/>
  <c r="SZT249" i="30"/>
  <c r="SZU249" i="30"/>
  <c r="SZV249" i="30"/>
  <c r="SZW249" i="30"/>
  <c r="SZX249" i="30"/>
  <c r="SZY249" i="30"/>
  <c r="SZZ249" i="30"/>
  <c r="TAA249" i="30"/>
  <c r="TAB249" i="30"/>
  <c r="TAC249" i="30"/>
  <c r="TAD249" i="30"/>
  <c r="TAE249" i="30"/>
  <c r="TAF249" i="30"/>
  <c r="TAG249" i="30"/>
  <c r="TAH249" i="30"/>
  <c r="TAI249" i="30"/>
  <c r="TAJ249" i="30"/>
  <c r="TAK249" i="30"/>
  <c r="TAL249" i="30"/>
  <c r="TAM249" i="30"/>
  <c r="TAN249" i="30"/>
  <c r="TAO249" i="30"/>
  <c r="TAP249" i="30"/>
  <c r="TAQ249" i="30"/>
  <c r="TAR249" i="30"/>
  <c r="TAS249" i="30"/>
  <c r="TAT249" i="30"/>
  <c r="TAU249" i="30"/>
  <c r="TAV249" i="30"/>
  <c r="TAW249" i="30"/>
  <c r="TAX249" i="30"/>
  <c r="TAY249" i="30"/>
  <c r="TAZ249" i="30"/>
  <c r="TBA249" i="30"/>
  <c r="TBB249" i="30"/>
  <c r="TBC249" i="30"/>
  <c r="TBD249" i="30"/>
  <c r="TBE249" i="30"/>
  <c r="TBF249" i="30"/>
  <c r="TBG249" i="30"/>
  <c r="TBH249" i="30"/>
  <c r="TBI249" i="30"/>
  <c r="TBJ249" i="30"/>
  <c r="TBK249" i="30"/>
  <c r="TBL249" i="30"/>
  <c r="TBM249" i="30"/>
  <c r="TBN249" i="30"/>
  <c r="TBO249" i="30"/>
  <c r="TBP249" i="30"/>
  <c r="TBQ249" i="30"/>
  <c r="TBR249" i="30"/>
  <c r="TBS249" i="30"/>
  <c r="TBT249" i="30"/>
  <c r="TBU249" i="30"/>
  <c r="TBV249" i="30"/>
  <c r="TBW249" i="30"/>
  <c r="TBX249" i="30"/>
  <c r="TBY249" i="30"/>
  <c r="TBZ249" i="30"/>
  <c r="TCA249" i="30"/>
  <c r="TCB249" i="30"/>
  <c r="TCC249" i="30"/>
  <c r="TCD249" i="30"/>
  <c r="TCE249" i="30"/>
  <c r="TCF249" i="30"/>
  <c r="TCG249" i="30"/>
  <c r="TCH249" i="30"/>
  <c r="TCI249" i="30"/>
  <c r="TCJ249" i="30"/>
  <c r="TCK249" i="30"/>
  <c r="TCL249" i="30"/>
  <c r="TCM249" i="30"/>
  <c r="TCN249" i="30"/>
  <c r="TCO249" i="30"/>
  <c r="TCP249" i="30"/>
  <c r="TCQ249" i="30"/>
  <c r="TCR249" i="30"/>
  <c r="TCS249" i="30"/>
  <c r="TCT249" i="30"/>
  <c r="TCU249" i="30"/>
  <c r="TCV249" i="30"/>
  <c r="TCW249" i="30"/>
  <c r="TCX249" i="30"/>
  <c r="TCY249" i="30"/>
  <c r="TCZ249" i="30"/>
  <c r="TDA249" i="30"/>
  <c r="TDB249" i="30"/>
  <c r="TDC249" i="30"/>
  <c r="TDD249" i="30"/>
  <c r="TDE249" i="30"/>
  <c r="TDF249" i="30"/>
  <c r="TDG249" i="30"/>
  <c r="TDH249" i="30"/>
  <c r="TDI249" i="30"/>
  <c r="TDJ249" i="30"/>
  <c r="TDK249" i="30"/>
  <c r="TDL249" i="30"/>
  <c r="TDM249" i="30"/>
  <c r="TDN249" i="30"/>
  <c r="TDO249" i="30"/>
  <c r="TDP249" i="30"/>
  <c r="TDQ249" i="30"/>
  <c r="TDR249" i="30"/>
  <c r="TDS249" i="30"/>
  <c r="TDT249" i="30"/>
  <c r="TDU249" i="30"/>
  <c r="TDV249" i="30"/>
  <c r="TDW249" i="30"/>
  <c r="TDX249" i="30"/>
  <c r="TDY249" i="30"/>
  <c r="TDZ249" i="30"/>
  <c r="TEA249" i="30"/>
  <c r="TEB249" i="30"/>
  <c r="TEC249" i="30"/>
  <c r="TED249" i="30"/>
  <c r="TEE249" i="30"/>
  <c r="TEF249" i="30"/>
  <c r="TEG249" i="30"/>
  <c r="TEH249" i="30"/>
  <c r="TEI249" i="30"/>
  <c r="TEJ249" i="30"/>
  <c r="TEK249" i="30"/>
  <c r="TEL249" i="30"/>
  <c r="TEM249" i="30"/>
  <c r="TEN249" i="30"/>
  <c r="TEO249" i="30"/>
  <c r="TEP249" i="30"/>
  <c r="TEQ249" i="30"/>
  <c r="TER249" i="30"/>
  <c r="TES249" i="30"/>
  <c r="TET249" i="30"/>
  <c r="TEU249" i="30"/>
  <c r="TEV249" i="30"/>
  <c r="TEW249" i="30"/>
  <c r="TEX249" i="30"/>
  <c r="TEY249" i="30"/>
  <c r="TEZ249" i="30"/>
  <c r="TFA249" i="30"/>
  <c r="TFB249" i="30"/>
  <c r="TFC249" i="30"/>
  <c r="TFD249" i="30"/>
  <c r="TFE249" i="30"/>
  <c r="TFF249" i="30"/>
  <c r="TFG249" i="30"/>
  <c r="TFH249" i="30"/>
  <c r="TFI249" i="30"/>
  <c r="TFJ249" i="30"/>
  <c r="TFK249" i="30"/>
  <c r="TFL249" i="30"/>
  <c r="TFM249" i="30"/>
  <c r="TFN249" i="30"/>
  <c r="TFO249" i="30"/>
  <c r="TFP249" i="30"/>
  <c r="TFQ249" i="30"/>
  <c r="TFR249" i="30"/>
  <c r="TFS249" i="30"/>
  <c r="TFT249" i="30"/>
  <c r="TFU249" i="30"/>
  <c r="TFV249" i="30"/>
  <c r="TFW249" i="30"/>
  <c r="TFX249" i="30"/>
  <c r="TFY249" i="30"/>
  <c r="TFZ249" i="30"/>
  <c r="TGA249" i="30"/>
  <c r="TGB249" i="30"/>
  <c r="TGC249" i="30"/>
  <c r="TGD249" i="30"/>
  <c r="TGE249" i="30"/>
  <c r="TGF249" i="30"/>
  <c r="TGG249" i="30"/>
  <c r="TGH249" i="30"/>
  <c r="TGI249" i="30"/>
  <c r="TGJ249" i="30"/>
  <c r="TGK249" i="30"/>
  <c r="TGL249" i="30"/>
  <c r="TGM249" i="30"/>
  <c r="TGN249" i="30"/>
  <c r="TGO249" i="30"/>
  <c r="TGP249" i="30"/>
  <c r="TGQ249" i="30"/>
  <c r="TGR249" i="30"/>
  <c r="TGS249" i="30"/>
  <c r="TGT249" i="30"/>
  <c r="TGU249" i="30"/>
  <c r="TGV249" i="30"/>
  <c r="TGW249" i="30"/>
  <c r="TGX249" i="30"/>
  <c r="TGY249" i="30"/>
  <c r="TGZ249" i="30"/>
  <c r="THA249" i="30"/>
  <c r="THB249" i="30"/>
  <c r="THC249" i="30"/>
  <c r="THD249" i="30"/>
  <c r="THE249" i="30"/>
  <c r="THF249" i="30"/>
  <c r="THG249" i="30"/>
  <c r="THH249" i="30"/>
  <c r="THI249" i="30"/>
  <c r="THJ249" i="30"/>
  <c r="THK249" i="30"/>
  <c r="THL249" i="30"/>
  <c r="THM249" i="30"/>
  <c r="THN249" i="30"/>
  <c r="THO249" i="30"/>
  <c r="THP249" i="30"/>
  <c r="THQ249" i="30"/>
  <c r="THR249" i="30"/>
  <c r="THS249" i="30"/>
  <c r="THT249" i="30"/>
  <c r="THU249" i="30"/>
  <c r="THV249" i="30"/>
  <c r="THW249" i="30"/>
  <c r="THX249" i="30"/>
  <c r="THY249" i="30"/>
  <c r="THZ249" i="30"/>
  <c r="TIA249" i="30"/>
  <c r="TIB249" i="30"/>
  <c r="TIC249" i="30"/>
  <c r="TID249" i="30"/>
  <c r="TIE249" i="30"/>
  <c r="TIF249" i="30"/>
  <c r="TIG249" i="30"/>
  <c r="TIH249" i="30"/>
  <c r="TII249" i="30"/>
  <c r="TIJ249" i="30"/>
  <c r="TIK249" i="30"/>
  <c r="TIL249" i="30"/>
  <c r="TIM249" i="30"/>
  <c r="TIN249" i="30"/>
  <c r="TIO249" i="30"/>
  <c r="TIP249" i="30"/>
  <c r="TIQ249" i="30"/>
  <c r="TIR249" i="30"/>
  <c r="TIS249" i="30"/>
  <c r="TIT249" i="30"/>
  <c r="TIU249" i="30"/>
  <c r="TIV249" i="30"/>
  <c r="TIW249" i="30"/>
  <c r="TIX249" i="30"/>
  <c r="TIY249" i="30"/>
  <c r="TIZ249" i="30"/>
  <c r="TJA249" i="30"/>
  <c r="TJB249" i="30"/>
  <c r="TJC249" i="30"/>
  <c r="TJD249" i="30"/>
  <c r="TJE249" i="30"/>
  <c r="TJF249" i="30"/>
  <c r="TJG249" i="30"/>
  <c r="TJH249" i="30"/>
  <c r="TJI249" i="30"/>
  <c r="TJJ249" i="30"/>
  <c r="TJK249" i="30"/>
  <c r="TJL249" i="30"/>
  <c r="TJM249" i="30"/>
  <c r="TJN249" i="30"/>
  <c r="TJO249" i="30"/>
  <c r="TJP249" i="30"/>
  <c r="TJQ249" i="30"/>
  <c r="TJR249" i="30"/>
  <c r="TJS249" i="30"/>
  <c r="TJT249" i="30"/>
  <c r="TJU249" i="30"/>
  <c r="TJV249" i="30"/>
  <c r="TJW249" i="30"/>
  <c r="TJX249" i="30"/>
  <c r="TJY249" i="30"/>
  <c r="TJZ249" i="30"/>
  <c r="TKA249" i="30"/>
  <c r="TKB249" i="30"/>
  <c r="TKC249" i="30"/>
  <c r="TKD249" i="30"/>
  <c r="TKE249" i="30"/>
  <c r="TKF249" i="30"/>
  <c r="TKG249" i="30"/>
  <c r="TKH249" i="30"/>
  <c r="TKI249" i="30"/>
  <c r="TKJ249" i="30"/>
  <c r="TKK249" i="30"/>
  <c r="TKL249" i="30"/>
  <c r="TKM249" i="30"/>
  <c r="TKN249" i="30"/>
  <c r="TKO249" i="30"/>
  <c r="TKP249" i="30"/>
  <c r="TKQ249" i="30"/>
  <c r="TKR249" i="30"/>
  <c r="TKS249" i="30"/>
  <c r="TKT249" i="30"/>
  <c r="TKU249" i="30"/>
  <c r="TKV249" i="30"/>
  <c r="TKW249" i="30"/>
  <c r="TKX249" i="30"/>
  <c r="TKY249" i="30"/>
  <c r="TKZ249" i="30"/>
  <c r="TLA249" i="30"/>
  <c r="TLB249" i="30"/>
  <c r="TLC249" i="30"/>
  <c r="TLD249" i="30"/>
  <c r="TLE249" i="30"/>
  <c r="TLF249" i="30"/>
  <c r="TLG249" i="30"/>
  <c r="TLH249" i="30"/>
  <c r="TLI249" i="30"/>
  <c r="TLJ249" i="30"/>
  <c r="TLK249" i="30"/>
  <c r="TLL249" i="30"/>
  <c r="TLM249" i="30"/>
  <c r="TLN249" i="30"/>
  <c r="TLO249" i="30"/>
  <c r="TLP249" i="30"/>
  <c r="TLQ249" i="30"/>
  <c r="TLR249" i="30"/>
  <c r="TLS249" i="30"/>
  <c r="TLT249" i="30"/>
  <c r="TLU249" i="30"/>
  <c r="TLV249" i="30"/>
  <c r="TLW249" i="30"/>
  <c r="TLX249" i="30"/>
  <c r="TLY249" i="30"/>
  <c r="TLZ249" i="30"/>
  <c r="TMA249" i="30"/>
  <c r="TMB249" i="30"/>
  <c r="TMC249" i="30"/>
  <c r="TMD249" i="30"/>
  <c r="TME249" i="30"/>
  <c r="TMF249" i="30"/>
  <c r="TMG249" i="30"/>
  <c r="TMH249" i="30"/>
  <c r="TMI249" i="30"/>
  <c r="TMJ249" i="30"/>
  <c r="TMK249" i="30"/>
  <c r="TML249" i="30"/>
  <c r="TMM249" i="30"/>
  <c r="TMN249" i="30"/>
  <c r="TMO249" i="30"/>
  <c r="TMP249" i="30"/>
  <c r="TMQ249" i="30"/>
  <c r="TMR249" i="30"/>
  <c r="TMS249" i="30"/>
  <c r="TMT249" i="30"/>
  <c r="TMU249" i="30"/>
  <c r="TMV249" i="30"/>
  <c r="TMW249" i="30"/>
  <c r="TMX249" i="30"/>
  <c r="TMY249" i="30"/>
  <c r="TMZ249" i="30"/>
  <c r="TNA249" i="30"/>
  <c r="TNB249" i="30"/>
  <c r="TNC249" i="30"/>
  <c r="TND249" i="30"/>
  <c r="TNE249" i="30"/>
  <c r="TNF249" i="30"/>
  <c r="TNG249" i="30"/>
  <c r="TNH249" i="30"/>
  <c r="TNI249" i="30"/>
  <c r="TNJ249" i="30"/>
  <c r="TNK249" i="30"/>
  <c r="TNL249" i="30"/>
  <c r="TNM249" i="30"/>
  <c r="TNN249" i="30"/>
  <c r="TNO249" i="30"/>
  <c r="TNP249" i="30"/>
  <c r="TNQ249" i="30"/>
  <c r="TNR249" i="30"/>
  <c r="TNS249" i="30"/>
  <c r="TNT249" i="30"/>
  <c r="TNU249" i="30"/>
  <c r="TNV249" i="30"/>
  <c r="TNW249" i="30"/>
  <c r="TNX249" i="30"/>
  <c r="TNY249" i="30"/>
  <c r="TNZ249" i="30"/>
  <c r="TOA249" i="30"/>
  <c r="TOB249" i="30"/>
  <c r="TOC249" i="30"/>
  <c r="TOD249" i="30"/>
  <c r="TOE249" i="30"/>
  <c r="TOF249" i="30"/>
  <c r="TOG249" i="30"/>
  <c r="TOH249" i="30"/>
  <c r="TOI249" i="30"/>
  <c r="TOJ249" i="30"/>
  <c r="TOK249" i="30"/>
  <c r="TOL249" i="30"/>
  <c r="TOM249" i="30"/>
  <c r="TON249" i="30"/>
  <c r="TOO249" i="30"/>
  <c r="TOP249" i="30"/>
  <c r="TOQ249" i="30"/>
  <c r="TOR249" i="30"/>
  <c r="TOS249" i="30"/>
  <c r="TOT249" i="30"/>
  <c r="TOU249" i="30"/>
  <c r="TOV249" i="30"/>
  <c r="TOW249" i="30"/>
  <c r="TOX249" i="30"/>
  <c r="TOY249" i="30"/>
  <c r="TOZ249" i="30"/>
  <c r="TPA249" i="30"/>
  <c r="TPB249" i="30"/>
  <c r="TPC249" i="30"/>
  <c r="TPD249" i="30"/>
  <c r="TPE249" i="30"/>
  <c r="TPF249" i="30"/>
  <c r="TPG249" i="30"/>
  <c r="TPH249" i="30"/>
  <c r="TPI249" i="30"/>
  <c r="TPJ249" i="30"/>
  <c r="TPK249" i="30"/>
  <c r="TPL249" i="30"/>
  <c r="TPM249" i="30"/>
  <c r="TPN249" i="30"/>
  <c r="TPO249" i="30"/>
  <c r="TPP249" i="30"/>
  <c r="TPQ249" i="30"/>
  <c r="TPR249" i="30"/>
  <c r="TPS249" i="30"/>
  <c r="TPT249" i="30"/>
  <c r="TPU249" i="30"/>
  <c r="TPV249" i="30"/>
  <c r="TPW249" i="30"/>
  <c r="TPX249" i="30"/>
  <c r="TPY249" i="30"/>
  <c r="TPZ249" i="30"/>
  <c r="TQA249" i="30"/>
  <c r="TQB249" i="30"/>
  <c r="TQC249" i="30"/>
  <c r="TQD249" i="30"/>
  <c r="TQE249" i="30"/>
  <c r="TQF249" i="30"/>
  <c r="TQG249" i="30"/>
  <c r="TQH249" i="30"/>
  <c r="TQI249" i="30"/>
  <c r="TQJ249" i="30"/>
  <c r="TQK249" i="30"/>
  <c r="TQL249" i="30"/>
  <c r="TQM249" i="30"/>
  <c r="TQN249" i="30"/>
  <c r="TQO249" i="30"/>
  <c r="TQP249" i="30"/>
  <c r="TQQ249" i="30"/>
  <c r="TQR249" i="30"/>
  <c r="TQS249" i="30"/>
  <c r="TQT249" i="30"/>
  <c r="TQU249" i="30"/>
  <c r="TQV249" i="30"/>
  <c r="TQW249" i="30"/>
  <c r="TQX249" i="30"/>
  <c r="TQY249" i="30"/>
  <c r="TQZ249" i="30"/>
  <c r="TRA249" i="30"/>
  <c r="TRB249" i="30"/>
  <c r="TRC249" i="30"/>
  <c r="TRD249" i="30"/>
  <c r="TRE249" i="30"/>
  <c r="TRF249" i="30"/>
  <c r="TRG249" i="30"/>
  <c r="TRH249" i="30"/>
  <c r="TRI249" i="30"/>
  <c r="TRJ249" i="30"/>
  <c r="TRK249" i="30"/>
  <c r="TRL249" i="30"/>
  <c r="TRM249" i="30"/>
  <c r="TRN249" i="30"/>
  <c r="TRO249" i="30"/>
  <c r="TRP249" i="30"/>
  <c r="TRQ249" i="30"/>
  <c r="TRR249" i="30"/>
  <c r="TRS249" i="30"/>
  <c r="TRT249" i="30"/>
  <c r="TRU249" i="30"/>
  <c r="TRV249" i="30"/>
  <c r="TRW249" i="30"/>
  <c r="TRX249" i="30"/>
  <c r="TRY249" i="30"/>
  <c r="TRZ249" i="30"/>
  <c r="TSA249" i="30"/>
  <c r="TSB249" i="30"/>
  <c r="TSC249" i="30"/>
  <c r="TSD249" i="30"/>
  <c r="TSE249" i="30"/>
  <c r="TSF249" i="30"/>
  <c r="TSG249" i="30"/>
  <c r="TSH249" i="30"/>
  <c r="TSI249" i="30"/>
  <c r="TSJ249" i="30"/>
  <c r="TSK249" i="30"/>
  <c r="TSL249" i="30"/>
  <c r="TSM249" i="30"/>
  <c r="TSN249" i="30"/>
  <c r="TSO249" i="30"/>
  <c r="TSP249" i="30"/>
  <c r="TSQ249" i="30"/>
  <c r="TSR249" i="30"/>
  <c r="TSS249" i="30"/>
  <c r="TST249" i="30"/>
  <c r="TSU249" i="30"/>
  <c r="TSV249" i="30"/>
  <c r="TSW249" i="30"/>
  <c r="TSX249" i="30"/>
  <c r="TSY249" i="30"/>
  <c r="TSZ249" i="30"/>
  <c r="TTA249" i="30"/>
  <c r="TTB249" i="30"/>
  <c r="TTC249" i="30"/>
  <c r="TTD249" i="30"/>
  <c r="TTE249" i="30"/>
  <c r="TTF249" i="30"/>
  <c r="TTG249" i="30"/>
  <c r="TTH249" i="30"/>
  <c r="TTI249" i="30"/>
  <c r="TTJ249" i="30"/>
  <c r="TTK249" i="30"/>
  <c r="TTL249" i="30"/>
  <c r="TTM249" i="30"/>
  <c r="TTN249" i="30"/>
  <c r="TTO249" i="30"/>
  <c r="TTP249" i="30"/>
  <c r="TTQ249" i="30"/>
  <c r="TTR249" i="30"/>
  <c r="TTS249" i="30"/>
  <c r="TTT249" i="30"/>
  <c r="TTU249" i="30"/>
  <c r="TTV249" i="30"/>
  <c r="TTW249" i="30"/>
  <c r="TTX249" i="30"/>
  <c r="TTY249" i="30"/>
  <c r="TTZ249" i="30"/>
  <c r="TUA249" i="30"/>
  <c r="TUB249" i="30"/>
  <c r="TUC249" i="30"/>
  <c r="TUD249" i="30"/>
  <c r="TUE249" i="30"/>
  <c r="TUF249" i="30"/>
  <c r="TUG249" i="30"/>
  <c r="TUH249" i="30"/>
  <c r="TUI249" i="30"/>
  <c r="TUJ249" i="30"/>
  <c r="TUK249" i="30"/>
  <c r="TUL249" i="30"/>
  <c r="TUM249" i="30"/>
  <c r="TUN249" i="30"/>
  <c r="TUO249" i="30"/>
  <c r="TUP249" i="30"/>
  <c r="TUQ249" i="30"/>
  <c r="TUR249" i="30"/>
  <c r="TUS249" i="30"/>
  <c r="TUT249" i="30"/>
  <c r="TUU249" i="30"/>
  <c r="TUV249" i="30"/>
  <c r="TUW249" i="30"/>
  <c r="TUX249" i="30"/>
  <c r="TUY249" i="30"/>
  <c r="TUZ249" i="30"/>
  <c r="TVA249" i="30"/>
  <c r="TVB249" i="30"/>
  <c r="TVC249" i="30"/>
  <c r="TVD249" i="30"/>
  <c r="TVE249" i="30"/>
  <c r="TVF249" i="30"/>
  <c r="TVG249" i="30"/>
  <c r="TVH249" i="30"/>
  <c r="TVI249" i="30"/>
  <c r="TVJ249" i="30"/>
  <c r="TVK249" i="30"/>
  <c r="TVL249" i="30"/>
  <c r="TVM249" i="30"/>
  <c r="TVN249" i="30"/>
  <c r="TVO249" i="30"/>
  <c r="TVP249" i="30"/>
  <c r="TVQ249" i="30"/>
  <c r="TVR249" i="30"/>
  <c r="TVS249" i="30"/>
  <c r="TVT249" i="30"/>
  <c r="TVU249" i="30"/>
  <c r="TVV249" i="30"/>
  <c r="TVW249" i="30"/>
  <c r="TVX249" i="30"/>
  <c r="TVY249" i="30"/>
  <c r="TVZ249" i="30"/>
  <c r="TWA249" i="30"/>
  <c r="TWB249" i="30"/>
  <c r="TWC249" i="30"/>
  <c r="TWD249" i="30"/>
  <c r="TWE249" i="30"/>
  <c r="TWF249" i="30"/>
  <c r="TWG249" i="30"/>
  <c r="TWH249" i="30"/>
  <c r="TWI249" i="30"/>
  <c r="TWJ249" i="30"/>
  <c r="TWK249" i="30"/>
  <c r="TWL249" i="30"/>
  <c r="TWM249" i="30"/>
  <c r="TWN249" i="30"/>
  <c r="TWO249" i="30"/>
  <c r="TWP249" i="30"/>
  <c r="TWQ249" i="30"/>
  <c r="TWR249" i="30"/>
  <c r="TWS249" i="30"/>
  <c r="TWT249" i="30"/>
  <c r="TWU249" i="30"/>
  <c r="TWV249" i="30"/>
  <c r="TWW249" i="30"/>
  <c r="TWX249" i="30"/>
  <c r="TWY249" i="30"/>
  <c r="TWZ249" i="30"/>
  <c r="TXA249" i="30"/>
  <c r="TXB249" i="30"/>
  <c r="TXC249" i="30"/>
  <c r="TXD249" i="30"/>
  <c r="TXE249" i="30"/>
  <c r="TXF249" i="30"/>
  <c r="TXG249" i="30"/>
  <c r="TXH249" i="30"/>
  <c r="TXI249" i="30"/>
  <c r="TXJ249" i="30"/>
  <c r="TXK249" i="30"/>
  <c r="TXL249" i="30"/>
  <c r="TXM249" i="30"/>
  <c r="TXN249" i="30"/>
  <c r="TXO249" i="30"/>
  <c r="TXP249" i="30"/>
  <c r="TXQ249" i="30"/>
  <c r="TXR249" i="30"/>
  <c r="TXS249" i="30"/>
  <c r="TXT249" i="30"/>
  <c r="TXU249" i="30"/>
  <c r="TXV249" i="30"/>
  <c r="TXW249" i="30"/>
  <c r="TXX249" i="30"/>
  <c r="TXY249" i="30"/>
  <c r="TXZ249" i="30"/>
  <c r="TYA249" i="30"/>
  <c r="TYB249" i="30"/>
  <c r="TYC249" i="30"/>
  <c r="TYD249" i="30"/>
  <c r="TYE249" i="30"/>
  <c r="TYF249" i="30"/>
  <c r="TYG249" i="30"/>
  <c r="TYH249" i="30"/>
  <c r="TYI249" i="30"/>
  <c r="TYJ249" i="30"/>
  <c r="TYK249" i="30"/>
  <c r="TYL249" i="30"/>
  <c r="TYM249" i="30"/>
  <c r="TYN249" i="30"/>
  <c r="TYO249" i="30"/>
  <c r="TYP249" i="30"/>
  <c r="TYQ249" i="30"/>
  <c r="TYR249" i="30"/>
  <c r="TYS249" i="30"/>
  <c r="TYT249" i="30"/>
  <c r="TYU249" i="30"/>
  <c r="TYV249" i="30"/>
  <c r="TYW249" i="30"/>
  <c r="TYX249" i="30"/>
  <c r="TYY249" i="30"/>
  <c r="TYZ249" i="30"/>
  <c r="TZA249" i="30"/>
  <c r="TZB249" i="30"/>
  <c r="TZC249" i="30"/>
  <c r="TZD249" i="30"/>
  <c r="TZE249" i="30"/>
  <c r="TZF249" i="30"/>
  <c r="TZG249" i="30"/>
  <c r="TZH249" i="30"/>
  <c r="TZI249" i="30"/>
  <c r="TZJ249" i="30"/>
  <c r="TZK249" i="30"/>
  <c r="TZL249" i="30"/>
  <c r="TZM249" i="30"/>
  <c r="TZN249" i="30"/>
  <c r="TZO249" i="30"/>
  <c r="TZP249" i="30"/>
  <c r="TZQ249" i="30"/>
  <c r="TZR249" i="30"/>
  <c r="TZS249" i="30"/>
  <c r="TZT249" i="30"/>
  <c r="TZU249" i="30"/>
  <c r="TZV249" i="30"/>
  <c r="TZW249" i="30"/>
  <c r="TZX249" i="30"/>
  <c r="TZY249" i="30"/>
  <c r="TZZ249" i="30"/>
  <c r="UAA249" i="30"/>
  <c r="UAB249" i="30"/>
  <c r="UAC249" i="30"/>
  <c r="UAD249" i="30"/>
  <c r="UAE249" i="30"/>
  <c r="UAF249" i="30"/>
  <c r="UAG249" i="30"/>
  <c r="UAH249" i="30"/>
  <c r="UAI249" i="30"/>
  <c r="UAJ249" i="30"/>
  <c r="UAK249" i="30"/>
  <c r="UAL249" i="30"/>
  <c r="UAM249" i="30"/>
  <c r="UAN249" i="30"/>
  <c r="UAO249" i="30"/>
  <c r="UAP249" i="30"/>
  <c r="UAQ249" i="30"/>
  <c r="UAR249" i="30"/>
  <c r="UAS249" i="30"/>
  <c r="UAT249" i="30"/>
  <c r="UAU249" i="30"/>
  <c r="UAV249" i="30"/>
  <c r="UAW249" i="30"/>
  <c r="UAX249" i="30"/>
  <c r="UAY249" i="30"/>
  <c r="UAZ249" i="30"/>
  <c r="UBA249" i="30"/>
  <c r="UBB249" i="30"/>
  <c r="UBC249" i="30"/>
  <c r="UBD249" i="30"/>
  <c r="UBE249" i="30"/>
  <c r="UBF249" i="30"/>
  <c r="UBG249" i="30"/>
  <c r="UBH249" i="30"/>
  <c r="UBI249" i="30"/>
  <c r="UBJ249" i="30"/>
  <c r="UBK249" i="30"/>
  <c r="UBL249" i="30"/>
  <c r="UBM249" i="30"/>
  <c r="UBN249" i="30"/>
  <c r="UBO249" i="30"/>
  <c r="UBP249" i="30"/>
  <c r="UBQ249" i="30"/>
  <c r="UBR249" i="30"/>
  <c r="UBS249" i="30"/>
  <c r="UBT249" i="30"/>
  <c r="UBU249" i="30"/>
  <c r="UBV249" i="30"/>
  <c r="UBW249" i="30"/>
  <c r="UBX249" i="30"/>
  <c r="UBY249" i="30"/>
  <c r="UBZ249" i="30"/>
  <c r="UCA249" i="30"/>
  <c r="UCB249" i="30"/>
  <c r="UCC249" i="30"/>
  <c r="UCD249" i="30"/>
  <c r="UCE249" i="30"/>
  <c r="UCF249" i="30"/>
  <c r="UCG249" i="30"/>
  <c r="UCH249" i="30"/>
  <c r="UCI249" i="30"/>
  <c r="UCJ249" i="30"/>
  <c r="UCK249" i="30"/>
  <c r="UCL249" i="30"/>
  <c r="UCM249" i="30"/>
  <c r="UCN249" i="30"/>
  <c r="UCO249" i="30"/>
  <c r="UCP249" i="30"/>
  <c r="UCQ249" i="30"/>
  <c r="UCR249" i="30"/>
  <c r="UCS249" i="30"/>
  <c r="UCT249" i="30"/>
  <c r="UCU249" i="30"/>
  <c r="UCV249" i="30"/>
  <c r="UCW249" i="30"/>
  <c r="UCX249" i="30"/>
  <c r="UCY249" i="30"/>
  <c r="UCZ249" i="30"/>
  <c r="UDA249" i="30"/>
  <c r="UDB249" i="30"/>
  <c r="UDC249" i="30"/>
  <c r="UDD249" i="30"/>
  <c r="UDE249" i="30"/>
  <c r="UDF249" i="30"/>
  <c r="UDG249" i="30"/>
  <c r="UDH249" i="30"/>
  <c r="UDI249" i="30"/>
  <c r="UDJ249" i="30"/>
  <c r="UDK249" i="30"/>
  <c r="UDL249" i="30"/>
  <c r="UDM249" i="30"/>
  <c r="UDN249" i="30"/>
  <c r="UDO249" i="30"/>
  <c r="UDP249" i="30"/>
  <c r="UDQ249" i="30"/>
  <c r="UDR249" i="30"/>
  <c r="UDS249" i="30"/>
  <c r="UDT249" i="30"/>
  <c r="UDU249" i="30"/>
  <c r="UDV249" i="30"/>
  <c r="UDW249" i="30"/>
  <c r="UDX249" i="30"/>
  <c r="UDY249" i="30"/>
  <c r="UDZ249" i="30"/>
  <c r="UEA249" i="30"/>
  <c r="UEB249" i="30"/>
  <c r="UEC249" i="30"/>
  <c r="UED249" i="30"/>
  <c r="UEE249" i="30"/>
  <c r="UEF249" i="30"/>
  <c r="UEG249" i="30"/>
  <c r="UEH249" i="30"/>
  <c r="UEI249" i="30"/>
  <c r="UEJ249" i="30"/>
  <c r="UEK249" i="30"/>
  <c r="UEL249" i="30"/>
  <c r="UEM249" i="30"/>
  <c r="UEN249" i="30"/>
  <c r="UEO249" i="30"/>
  <c r="UEP249" i="30"/>
  <c r="UEQ249" i="30"/>
  <c r="UER249" i="30"/>
  <c r="UES249" i="30"/>
  <c r="UET249" i="30"/>
  <c r="UEU249" i="30"/>
  <c r="UEV249" i="30"/>
  <c r="UEW249" i="30"/>
  <c r="UEX249" i="30"/>
  <c r="UEY249" i="30"/>
  <c r="UEZ249" i="30"/>
  <c r="UFA249" i="30"/>
  <c r="UFB249" i="30"/>
  <c r="UFC249" i="30"/>
  <c r="UFD249" i="30"/>
  <c r="UFE249" i="30"/>
  <c r="UFF249" i="30"/>
  <c r="UFG249" i="30"/>
  <c r="UFH249" i="30"/>
  <c r="UFI249" i="30"/>
  <c r="UFJ249" i="30"/>
  <c r="UFK249" i="30"/>
  <c r="UFL249" i="30"/>
  <c r="UFM249" i="30"/>
  <c r="UFN249" i="30"/>
  <c r="UFO249" i="30"/>
  <c r="UFP249" i="30"/>
  <c r="UFQ249" i="30"/>
  <c r="UFR249" i="30"/>
  <c r="UFS249" i="30"/>
  <c r="UFT249" i="30"/>
  <c r="UFU249" i="30"/>
  <c r="UFV249" i="30"/>
  <c r="UFW249" i="30"/>
  <c r="UFX249" i="30"/>
  <c r="UFY249" i="30"/>
  <c r="UFZ249" i="30"/>
  <c r="UGA249" i="30"/>
  <c r="UGB249" i="30"/>
  <c r="UGC249" i="30"/>
  <c r="UGD249" i="30"/>
  <c r="UGE249" i="30"/>
  <c r="UGF249" i="30"/>
  <c r="UGG249" i="30"/>
  <c r="UGH249" i="30"/>
  <c r="UGI249" i="30"/>
  <c r="UGJ249" i="30"/>
  <c r="UGK249" i="30"/>
  <c r="UGL249" i="30"/>
  <c r="UGM249" i="30"/>
  <c r="UGN249" i="30"/>
  <c r="UGO249" i="30"/>
  <c r="UGP249" i="30"/>
  <c r="UGQ249" i="30"/>
  <c r="UGR249" i="30"/>
  <c r="UGS249" i="30"/>
  <c r="UGT249" i="30"/>
  <c r="UGU249" i="30"/>
  <c r="UGV249" i="30"/>
  <c r="UGW249" i="30"/>
  <c r="UGX249" i="30"/>
  <c r="UGY249" i="30"/>
  <c r="UGZ249" i="30"/>
  <c r="UHA249" i="30"/>
  <c r="UHB249" i="30"/>
  <c r="UHC249" i="30"/>
  <c r="UHD249" i="30"/>
  <c r="UHE249" i="30"/>
  <c r="UHF249" i="30"/>
  <c r="UHG249" i="30"/>
  <c r="UHH249" i="30"/>
  <c r="UHI249" i="30"/>
  <c r="UHJ249" i="30"/>
  <c r="UHK249" i="30"/>
  <c r="UHL249" i="30"/>
  <c r="UHM249" i="30"/>
  <c r="UHN249" i="30"/>
  <c r="UHO249" i="30"/>
  <c r="UHP249" i="30"/>
  <c r="UHQ249" i="30"/>
  <c r="UHR249" i="30"/>
  <c r="UHS249" i="30"/>
  <c r="UHT249" i="30"/>
  <c r="UHU249" i="30"/>
  <c r="UHV249" i="30"/>
  <c r="UHW249" i="30"/>
  <c r="UHX249" i="30"/>
  <c r="UHY249" i="30"/>
  <c r="UHZ249" i="30"/>
  <c r="UIA249" i="30"/>
  <c r="UIB249" i="30"/>
  <c r="UIC249" i="30"/>
  <c r="UID249" i="30"/>
  <c r="UIE249" i="30"/>
  <c r="UIF249" i="30"/>
  <c r="UIG249" i="30"/>
  <c r="UIH249" i="30"/>
  <c r="UII249" i="30"/>
  <c r="UIJ249" i="30"/>
  <c r="UIK249" i="30"/>
  <c r="UIL249" i="30"/>
  <c r="UIM249" i="30"/>
  <c r="UIN249" i="30"/>
  <c r="UIO249" i="30"/>
  <c r="UIP249" i="30"/>
  <c r="UIQ249" i="30"/>
  <c r="UIR249" i="30"/>
  <c r="UIS249" i="30"/>
  <c r="UIT249" i="30"/>
  <c r="UIU249" i="30"/>
  <c r="UIV249" i="30"/>
  <c r="UIW249" i="30"/>
  <c r="UIX249" i="30"/>
  <c r="UIY249" i="30"/>
  <c r="UIZ249" i="30"/>
  <c r="UJA249" i="30"/>
  <c r="UJB249" i="30"/>
  <c r="UJC249" i="30"/>
  <c r="UJD249" i="30"/>
  <c r="UJE249" i="30"/>
  <c r="UJF249" i="30"/>
  <c r="UJG249" i="30"/>
  <c r="UJH249" i="30"/>
  <c r="UJI249" i="30"/>
  <c r="UJJ249" i="30"/>
  <c r="UJK249" i="30"/>
  <c r="UJL249" i="30"/>
  <c r="UJM249" i="30"/>
  <c r="UJN249" i="30"/>
  <c r="UJO249" i="30"/>
  <c r="UJP249" i="30"/>
  <c r="UJQ249" i="30"/>
  <c r="UJR249" i="30"/>
  <c r="UJS249" i="30"/>
  <c r="UJT249" i="30"/>
  <c r="UJU249" i="30"/>
  <c r="UJV249" i="30"/>
  <c r="UJW249" i="30"/>
  <c r="UJX249" i="30"/>
  <c r="UJY249" i="30"/>
  <c r="UJZ249" i="30"/>
  <c r="UKA249" i="30"/>
  <c r="UKB249" i="30"/>
  <c r="UKC249" i="30"/>
  <c r="UKD249" i="30"/>
  <c r="UKE249" i="30"/>
  <c r="UKF249" i="30"/>
  <c r="UKG249" i="30"/>
  <c r="UKH249" i="30"/>
  <c r="UKI249" i="30"/>
  <c r="UKJ249" i="30"/>
  <c r="UKK249" i="30"/>
  <c r="UKL249" i="30"/>
  <c r="UKM249" i="30"/>
  <c r="UKN249" i="30"/>
  <c r="UKO249" i="30"/>
  <c r="UKP249" i="30"/>
  <c r="UKQ249" i="30"/>
  <c r="UKR249" i="30"/>
  <c r="UKS249" i="30"/>
  <c r="UKT249" i="30"/>
  <c r="UKU249" i="30"/>
  <c r="UKV249" i="30"/>
  <c r="UKW249" i="30"/>
  <c r="UKX249" i="30"/>
  <c r="UKY249" i="30"/>
  <c r="UKZ249" i="30"/>
  <c r="ULA249" i="30"/>
  <c r="ULB249" i="30"/>
  <c r="ULC249" i="30"/>
  <c r="ULD249" i="30"/>
  <c r="ULE249" i="30"/>
  <c r="ULF249" i="30"/>
  <c r="ULG249" i="30"/>
  <c r="ULH249" i="30"/>
  <c r="ULI249" i="30"/>
  <c r="ULJ249" i="30"/>
  <c r="ULK249" i="30"/>
  <c r="ULL249" i="30"/>
  <c r="ULM249" i="30"/>
  <c r="ULN249" i="30"/>
  <c r="ULO249" i="30"/>
  <c r="ULP249" i="30"/>
  <c r="ULQ249" i="30"/>
  <c r="ULR249" i="30"/>
  <c r="ULS249" i="30"/>
  <c r="ULT249" i="30"/>
  <c r="ULU249" i="30"/>
  <c r="ULV249" i="30"/>
  <c r="ULW249" i="30"/>
  <c r="ULX249" i="30"/>
  <c r="ULY249" i="30"/>
  <c r="ULZ249" i="30"/>
  <c r="UMA249" i="30"/>
  <c r="UMB249" i="30"/>
  <c r="UMC249" i="30"/>
  <c r="UMD249" i="30"/>
  <c r="UME249" i="30"/>
  <c r="UMF249" i="30"/>
  <c r="UMG249" i="30"/>
  <c r="UMH249" i="30"/>
  <c r="UMI249" i="30"/>
  <c r="UMJ249" i="30"/>
  <c r="UMK249" i="30"/>
  <c r="UML249" i="30"/>
  <c r="UMM249" i="30"/>
  <c r="UMN249" i="30"/>
  <c r="UMO249" i="30"/>
  <c r="UMP249" i="30"/>
  <c r="UMQ249" i="30"/>
  <c r="UMR249" i="30"/>
  <c r="UMS249" i="30"/>
  <c r="UMT249" i="30"/>
  <c r="UMU249" i="30"/>
  <c r="UMV249" i="30"/>
  <c r="UMW249" i="30"/>
  <c r="UMX249" i="30"/>
  <c r="UMY249" i="30"/>
  <c r="UMZ249" i="30"/>
  <c r="UNA249" i="30"/>
  <c r="UNB249" i="30"/>
  <c r="UNC249" i="30"/>
  <c r="UND249" i="30"/>
  <c r="UNE249" i="30"/>
  <c r="UNF249" i="30"/>
  <c r="UNG249" i="30"/>
  <c r="UNH249" i="30"/>
  <c r="UNI249" i="30"/>
  <c r="UNJ249" i="30"/>
  <c r="UNK249" i="30"/>
  <c r="UNL249" i="30"/>
  <c r="UNM249" i="30"/>
  <c r="UNN249" i="30"/>
  <c r="UNO249" i="30"/>
  <c r="UNP249" i="30"/>
  <c r="UNQ249" i="30"/>
  <c r="UNR249" i="30"/>
  <c r="UNS249" i="30"/>
  <c r="UNT249" i="30"/>
  <c r="UNU249" i="30"/>
  <c r="UNV249" i="30"/>
  <c r="UNW249" i="30"/>
  <c r="UNX249" i="30"/>
  <c r="UNY249" i="30"/>
  <c r="UNZ249" i="30"/>
  <c r="UOA249" i="30"/>
  <c r="UOB249" i="30"/>
  <c r="UOC249" i="30"/>
  <c r="UOD249" i="30"/>
  <c r="UOE249" i="30"/>
  <c r="UOF249" i="30"/>
  <c r="UOG249" i="30"/>
  <c r="UOH249" i="30"/>
  <c r="UOI249" i="30"/>
  <c r="UOJ249" i="30"/>
  <c r="UOK249" i="30"/>
  <c r="UOL249" i="30"/>
  <c r="UOM249" i="30"/>
  <c r="UON249" i="30"/>
  <c r="UOO249" i="30"/>
  <c r="UOP249" i="30"/>
  <c r="UOQ249" i="30"/>
  <c r="UOR249" i="30"/>
  <c r="UOS249" i="30"/>
  <c r="UOT249" i="30"/>
  <c r="UOU249" i="30"/>
  <c r="UOV249" i="30"/>
  <c r="UOW249" i="30"/>
  <c r="UOX249" i="30"/>
  <c r="UOY249" i="30"/>
  <c r="UOZ249" i="30"/>
  <c r="UPA249" i="30"/>
  <c r="UPB249" i="30"/>
  <c r="UPC249" i="30"/>
  <c r="UPD249" i="30"/>
  <c r="UPE249" i="30"/>
  <c r="UPF249" i="30"/>
  <c r="UPG249" i="30"/>
  <c r="UPH249" i="30"/>
  <c r="UPI249" i="30"/>
  <c r="UPJ249" i="30"/>
  <c r="UPK249" i="30"/>
  <c r="UPL249" i="30"/>
  <c r="UPM249" i="30"/>
  <c r="UPN249" i="30"/>
  <c r="UPO249" i="30"/>
  <c r="UPP249" i="30"/>
  <c r="UPQ249" i="30"/>
  <c r="UPR249" i="30"/>
  <c r="UPS249" i="30"/>
  <c r="UPT249" i="30"/>
  <c r="UPU249" i="30"/>
  <c r="UPV249" i="30"/>
  <c r="UPW249" i="30"/>
  <c r="UPX249" i="30"/>
  <c r="UPY249" i="30"/>
  <c r="UPZ249" i="30"/>
  <c r="UQA249" i="30"/>
  <c r="UQB249" i="30"/>
  <c r="UQC249" i="30"/>
  <c r="UQD249" i="30"/>
  <c r="UQE249" i="30"/>
  <c r="UQF249" i="30"/>
  <c r="UQG249" i="30"/>
  <c r="UQH249" i="30"/>
  <c r="UQI249" i="30"/>
  <c r="UQJ249" i="30"/>
  <c r="UQK249" i="30"/>
  <c r="UQL249" i="30"/>
  <c r="UQM249" i="30"/>
  <c r="UQN249" i="30"/>
  <c r="UQO249" i="30"/>
  <c r="UQP249" i="30"/>
  <c r="UQQ249" i="30"/>
  <c r="UQR249" i="30"/>
  <c r="UQS249" i="30"/>
  <c r="UQT249" i="30"/>
  <c r="UQU249" i="30"/>
  <c r="UQV249" i="30"/>
  <c r="UQW249" i="30"/>
  <c r="UQX249" i="30"/>
  <c r="UQY249" i="30"/>
  <c r="UQZ249" i="30"/>
  <c r="URA249" i="30"/>
  <c r="URB249" i="30"/>
  <c r="URC249" i="30"/>
  <c r="URD249" i="30"/>
  <c r="URE249" i="30"/>
  <c r="URF249" i="30"/>
  <c r="URG249" i="30"/>
  <c r="URH249" i="30"/>
  <c r="URI249" i="30"/>
  <c r="URJ249" i="30"/>
  <c r="URK249" i="30"/>
  <c r="URL249" i="30"/>
  <c r="URM249" i="30"/>
  <c r="URN249" i="30"/>
  <c r="URO249" i="30"/>
  <c r="URP249" i="30"/>
  <c r="URQ249" i="30"/>
  <c r="URR249" i="30"/>
  <c r="URS249" i="30"/>
  <c r="URT249" i="30"/>
  <c r="URU249" i="30"/>
  <c r="URV249" i="30"/>
  <c r="URW249" i="30"/>
  <c r="URX249" i="30"/>
  <c r="URY249" i="30"/>
  <c r="URZ249" i="30"/>
  <c r="USA249" i="30"/>
  <c r="USB249" i="30"/>
  <c r="USC249" i="30"/>
  <c r="USD249" i="30"/>
  <c r="USE249" i="30"/>
  <c r="USF249" i="30"/>
  <c r="USG249" i="30"/>
  <c r="USH249" i="30"/>
  <c r="USI249" i="30"/>
  <c r="USJ249" i="30"/>
  <c r="USK249" i="30"/>
  <c r="USL249" i="30"/>
  <c r="USM249" i="30"/>
  <c r="USN249" i="30"/>
  <c r="USO249" i="30"/>
  <c r="USP249" i="30"/>
  <c r="USQ249" i="30"/>
  <c r="USR249" i="30"/>
  <c r="USS249" i="30"/>
  <c r="UST249" i="30"/>
  <c r="USU249" i="30"/>
  <c r="USV249" i="30"/>
  <c r="USW249" i="30"/>
  <c r="USX249" i="30"/>
  <c r="USY249" i="30"/>
  <c r="USZ249" i="30"/>
  <c r="UTA249" i="30"/>
  <c r="UTB249" i="30"/>
  <c r="UTC249" i="30"/>
  <c r="UTD249" i="30"/>
  <c r="UTE249" i="30"/>
  <c r="UTF249" i="30"/>
  <c r="UTG249" i="30"/>
  <c r="UTH249" i="30"/>
  <c r="UTI249" i="30"/>
  <c r="UTJ249" i="30"/>
  <c r="UTK249" i="30"/>
  <c r="UTL249" i="30"/>
  <c r="UTM249" i="30"/>
  <c r="UTN249" i="30"/>
  <c r="UTO249" i="30"/>
  <c r="UTP249" i="30"/>
  <c r="UTQ249" i="30"/>
  <c r="UTR249" i="30"/>
  <c r="UTS249" i="30"/>
  <c r="UTT249" i="30"/>
  <c r="UTU249" i="30"/>
  <c r="UTV249" i="30"/>
  <c r="UTW249" i="30"/>
  <c r="UTX249" i="30"/>
  <c r="UTY249" i="30"/>
  <c r="UTZ249" i="30"/>
  <c r="UUA249" i="30"/>
  <c r="UUB249" i="30"/>
  <c r="UUC249" i="30"/>
  <c r="UUD249" i="30"/>
  <c r="UUE249" i="30"/>
  <c r="UUF249" i="30"/>
  <c r="UUG249" i="30"/>
  <c r="UUH249" i="30"/>
  <c r="UUI249" i="30"/>
  <c r="UUJ249" i="30"/>
  <c r="UUK249" i="30"/>
  <c r="UUL249" i="30"/>
  <c r="UUM249" i="30"/>
  <c r="UUN249" i="30"/>
  <c r="UUO249" i="30"/>
  <c r="UUP249" i="30"/>
  <c r="UUQ249" i="30"/>
  <c r="UUR249" i="30"/>
  <c r="UUS249" i="30"/>
  <c r="UUT249" i="30"/>
  <c r="UUU249" i="30"/>
  <c r="UUV249" i="30"/>
  <c r="UUW249" i="30"/>
  <c r="UUX249" i="30"/>
  <c r="UUY249" i="30"/>
  <c r="UUZ249" i="30"/>
  <c r="UVA249" i="30"/>
  <c r="UVB249" i="30"/>
  <c r="UVC249" i="30"/>
  <c r="UVD249" i="30"/>
  <c r="UVE249" i="30"/>
  <c r="UVF249" i="30"/>
  <c r="UVG249" i="30"/>
  <c r="UVH249" i="30"/>
  <c r="UVI249" i="30"/>
  <c r="UVJ249" i="30"/>
  <c r="UVK249" i="30"/>
  <c r="UVL249" i="30"/>
  <c r="UVM249" i="30"/>
  <c r="UVN249" i="30"/>
  <c r="UVO249" i="30"/>
  <c r="UVP249" i="30"/>
  <c r="UVQ249" i="30"/>
  <c r="UVR249" i="30"/>
  <c r="UVS249" i="30"/>
  <c r="UVT249" i="30"/>
  <c r="UVU249" i="30"/>
  <c r="UVV249" i="30"/>
  <c r="UVW249" i="30"/>
  <c r="UVX249" i="30"/>
  <c r="UVY249" i="30"/>
  <c r="UVZ249" i="30"/>
  <c r="UWA249" i="30"/>
  <c r="UWB249" i="30"/>
  <c r="UWC249" i="30"/>
  <c r="UWD249" i="30"/>
  <c r="UWE249" i="30"/>
  <c r="UWF249" i="30"/>
  <c r="UWG249" i="30"/>
  <c r="UWH249" i="30"/>
  <c r="UWI249" i="30"/>
  <c r="UWJ249" i="30"/>
  <c r="UWK249" i="30"/>
  <c r="UWL249" i="30"/>
  <c r="UWM249" i="30"/>
  <c r="UWN249" i="30"/>
  <c r="UWO249" i="30"/>
  <c r="UWP249" i="30"/>
  <c r="UWQ249" i="30"/>
  <c r="UWR249" i="30"/>
  <c r="UWS249" i="30"/>
  <c r="UWT249" i="30"/>
  <c r="UWU249" i="30"/>
  <c r="UWV249" i="30"/>
  <c r="UWW249" i="30"/>
  <c r="UWX249" i="30"/>
  <c r="UWY249" i="30"/>
  <c r="UWZ249" i="30"/>
  <c r="UXA249" i="30"/>
  <c r="UXB249" i="30"/>
  <c r="UXC249" i="30"/>
  <c r="UXD249" i="30"/>
  <c r="UXE249" i="30"/>
  <c r="UXF249" i="30"/>
  <c r="UXG249" i="30"/>
  <c r="UXH249" i="30"/>
  <c r="UXI249" i="30"/>
  <c r="UXJ249" i="30"/>
  <c r="UXK249" i="30"/>
  <c r="UXL249" i="30"/>
  <c r="UXM249" i="30"/>
  <c r="UXN249" i="30"/>
  <c r="UXO249" i="30"/>
  <c r="UXP249" i="30"/>
  <c r="UXQ249" i="30"/>
  <c r="UXR249" i="30"/>
  <c r="UXS249" i="30"/>
  <c r="UXT249" i="30"/>
  <c r="UXU249" i="30"/>
  <c r="UXV249" i="30"/>
  <c r="UXW249" i="30"/>
  <c r="UXX249" i="30"/>
  <c r="UXY249" i="30"/>
  <c r="UXZ249" i="30"/>
  <c r="UYA249" i="30"/>
  <c r="UYB249" i="30"/>
  <c r="UYC249" i="30"/>
  <c r="UYD249" i="30"/>
  <c r="UYE249" i="30"/>
  <c r="UYF249" i="30"/>
  <c r="UYG249" i="30"/>
  <c r="UYH249" i="30"/>
  <c r="UYI249" i="30"/>
  <c r="UYJ249" i="30"/>
  <c r="UYK249" i="30"/>
  <c r="UYL249" i="30"/>
  <c r="UYM249" i="30"/>
  <c r="UYN249" i="30"/>
  <c r="UYO249" i="30"/>
  <c r="UYP249" i="30"/>
  <c r="UYQ249" i="30"/>
  <c r="UYR249" i="30"/>
  <c r="UYS249" i="30"/>
  <c r="UYT249" i="30"/>
  <c r="UYU249" i="30"/>
  <c r="UYV249" i="30"/>
  <c r="UYW249" i="30"/>
  <c r="UYX249" i="30"/>
  <c r="UYY249" i="30"/>
  <c r="UYZ249" i="30"/>
  <c r="UZA249" i="30"/>
  <c r="UZB249" i="30"/>
  <c r="UZC249" i="30"/>
  <c r="UZD249" i="30"/>
  <c r="UZE249" i="30"/>
  <c r="UZF249" i="30"/>
  <c r="UZG249" i="30"/>
  <c r="UZH249" i="30"/>
  <c r="UZI249" i="30"/>
  <c r="UZJ249" i="30"/>
  <c r="UZK249" i="30"/>
  <c r="UZL249" i="30"/>
  <c r="UZM249" i="30"/>
  <c r="UZN249" i="30"/>
  <c r="UZO249" i="30"/>
  <c r="UZP249" i="30"/>
  <c r="UZQ249" i="30"/>
  <c r="UZR249" i="30"/>
  <c r="UZS249" i="30"/>
  <c r="UZT249" i="30"/>
  <c r="UZU249" i="30"/>
  <c r="UZV249" i="30"/>
  <c r="UZW249" i="30"/>
  <c r="UZX249" i="30"/>
  <c r="UZY249" i="30"/>
  <c r="UZZ249" i="30"/>
  <c r="VAA249" i="30"/>
  <c r="VAB249" i="30"/>
  <c r="VAC249" i="30"/>
  <c r="VAD249" i="30"/>
  <c r="VAE249" i="30"/>
  <c r="VAF249" i="30"/>
  <c r="VAG249" i="30"/>
  <c r="VAH249" i="30"/>
  <c r="VAI249" i="30"/>
  <c r="VAJ249" i="30"/>
  <c r="VAK249" i="30"/>
  <c r="VAL249" i="30"/>
  <c r="VAM249" i="30"/>
  <c r="VAN249" i="30"/>
  <c r="VAO249" i="30"/>
  <c r="VAP249" i="30"/>
  <c r="VAQ249" i="30"/>
  <c r="VAR249" i="30"/>
  <c r="VAS249" i="30"/>
  <c r="VAT249" i="30"/>
  <c r="VAU249" i="30"/>
  <c r="VAV249" i="30"/>
  <c r="VAW249" i="30"/>
  <c r="VAX249" i="30"/>
  <c r="VAY249" i="30"/>
  <c r="VAZ249" i="30"/>
  <c r="VBA249" i="30"/>
  <c r="VBB249" i="30"/>
  <c r="VBC249" i="30"/>
  <c r="VBD249" i="30"/>
  <c r="VBE249" i="30"/>
  <c r="VBF249" i="30"/>
  <c r="VBG249" i="30"/>
  <c r="VBH249" i="30"/>
  <c r="VBI249" i="30"/>
  <c r="VBJ249" i="30"/>
  <c r="VBK249" i="30"/>
  <c r="VBL249" i="30"/>
  <c r="VBM249" i="30"/>
  <c r="VBN249" i="30"/>
  <c r="VBO249" i="30"/>
  <c r="VBP249" i="30"/>
  <c r="VBQ249" i="30"/>
  <c r="VBR249" i="30"/>
  <c r="VBS249" i="30"/>
  <c r="VBT249" i="30"/>
  <c r="VBU249" i="30"/>
  <c r="VBV249" i="30"/>
  <c r="VBW249" i="30"/>
  <c r="VBX249" i="30"/>
  <c r="VBY249" i="30"/>
  <c r="VBZ249" i="30"/>
  <c r="VCA249" i="30"/>
  <c r="VCB249" i="30"/>
  <c r="VCC249" i="30"/>
  <c r="VCD249" i="30"/>
  <c r="VCE249" i="30"/>
  <c r="VCF249" i="30"/>
  <c r="VCG249" i="30"/>
  <c r="VCH249" i="30"/>
  <c r="VCI249" i="30"/>
  <c r="VCJ249" i="30"/>
  <c r="VCK249" i="30"/>
  <c r="VCL249" i="30"/>
  <c r="VCM249" i="30"/>
  <c r="VCN249" i="30"/>
  <c r="VCO249" i="30"/>
  <c r="VCP249" i="30"/>
  <c r="VCQ249" i="30"/>
  <c r="VCR249" i="30"/>
  <c r="VCS249" i="30"/>
  <c r="VCT249" i="30"/>
  <c r="VCU249" i="30"/>
  <c r="VCV249" i="30"/>
  <c r="VCW249" i="30"/>
  <c r="VCX249" i="30"/>
  <c r="VCY249" i="30"/>
  <c r="VCZ249" i="30"/>
  <c r="VDA249" i="30"/>
  <c r="VDB249" i="30"/>
  <c r="VDC249" i="30"/>
  <c r="VDD249" i="30"/>
  <c r="VDE249" i="30"/>
  <c r="VDF249" i="30"/>
  <c r="VDG249" i="30"/>
  <c r="VDH249" i="30"/>
  <c r="VDI249" i="30"/>
  <c r="VDJ249" i="30"/>
  <c r="VDK249" i="30"/>
  <c r="VDL249" i="30"/>
  <c r="VDM249" i="30"/>
  <c r="VDN249" i="30"/>
  <c r="VDO249" i="30"/>
  <c r="VDP249" i="30"/>
  <c r="VDQ249" i="30"/>
  <c r="VDR249" i="30"/>
  <c r="VDS249" i="30"/>
  <c r="VDT249" i="30"/>
  <c r="VDU249" i="30"/>
  <c r="VDV249" i="30"/>
  <c r="VDW249" i="30"/>
  <c r="VDX249" i="30"/>
  <c r="VDY249" i="30"/>
  <c r="VDZ249" i="30"/>
  <c r="VEA249" i="30"/>
  <c r="VEB249" i="30"/>
  <c r="VEC249" i="30"/>
  <c r="VED249" i="30"/>
  <c r="VEE249" i="30"/>
  <c r="VEF249" i="30"/>
  <c r="VEG249" i="30"/>
  <c r="VEH249" i="30"/>
  <c r="VEI249" i="30"/>
  <c r="VEJ249" i="30"/>
  <c r="VEK249" i="30"/>
  <c r="VEL249" i="30"/>
  <c r="VEM249" i="30"/>
  <c r="VEN249" i="30"/>
  <c r="VEO249" i="30"/>
  <c r="VEP249" i="30"/>
  <c r="VEQ249" i="30"/>
  <c r="VER249" i="30"/>
  <c r="VES249" i="30"/>
  <c r="VET249" i="30"/>
  <c r="VEU249" i="30"/>
  <c r="VEV249" i="30"/>
  <c r="VEW249" i="30"/>
  <c r="VEX249" i="30"/>
  <c r="VEY249" i="30"/>
  <c r="VEZ249" i="30"/>
  <c r="VFA249" i="30"/>
  <c r="VFB249" i="30"/>
  <c r="VFC249" i="30"/>
  <c r="VFD249" i="30"/>
  <c r="VFE249" i="30"/>
  <c r="VFF249" i="30"/>
  <c r="VFG249" i="30"/>
  <c r="VFH249" i="30"/>
  <c r="VFI249" i="30"/>
  <c r="VFJ249" i="30"/>
  <c r="VFK249" i="30"/>
  <c r="VFL249" i="30"/>
  <c r="VFM249" i="30"/>
  <c r="VFN249" i="30"/>
  <c r="VFO249" i="30"/>
  <c r="VFP249" i="30"/>
  <c r="VFQ249" i="30"/>
  <c r="VFR249" i="30"/>
  <c r="VFS249" i="30"/>
  <c r="VFT249" i="30"/>
  <c r="VFU249" i="30"/>
  <c r="VFV249" i="30"/>
  <c r="VFW249" i="30"/>
  <c r="VFX249" i="30"/>
  <c r="VFY249" i="30"/>
  <c r="VFZ249" i="30"/>
  <c r="VGA249" i="30"/>
  <c r="VGB249" i="30"/>
  <c r="VGC249" i="30"/>
  <c r="VGD249" i="30"/>
  <c r="VGE249" i="30"/>
  <c r="VGF249" i="30"/>
  <c r="VGG249" i="30"/>
  <c r="VGH249" i="30"/>
  <c r="VGI249" i="30"/>
  <c r="VGJ249" i="30"/>
  <c r="VGK249" i="30"/>
  <c r="VGL249" i="30"/>
  <c r="VGM249" i="30"/>
  <c r="VGN249" i="30"/>
  <c r="VGO249" i="30"/>
  <c r="VGP249" i="30"/>
  <c r="VGQ249" i="30"/>
  <c r="VGR249" i="30"/>
  <c r="VGS249" i="30"/>
  <c r="VGT249" i="30"/>
  <c r="VGU249" i="30"/>
  <c r="VGV249" i="30"/>
  <c r="VGW249" i="30"/>
  <c r="VGX249" i="30"/>
  <c r="VGY249" i="30"/>
  <c r="VGZ249" i="30"/>
  <c r="VHA249" i="30"/>
  <c r="VHB249" i="30"/>
  <c r="VHC249" i="30"/>
  <c r="VHD249" i="30"/>
  <c r="VHE249" i="30"/>
  <c r="VHF249" i="30"/>
  <c r="VHG249" i="30"/>
  <c r="VHH249" i="30"/>
  <c r="VHI249" i="30"/>
  <c r="VHJ249" i="30"/>
  <c r="VHK249" i="30"/>
  <c r="VHL249" i="30"/>
  <c r="VHM249" i="30"/>
  <c r="VHN249" i="30"/>
  <c r="VHO249" i="30"/>
  <c r="VHP249" i="30"/>
  <c r="VHQ249" i="30"/>
  <c r="VHR249" i="30"/>
  <c r="VHS249" i="30"/>
  <c r="VHT249" i="30"/>
  <c r="VHU249" i="30"/>
  <c r="VHV249" i="30"/>
  <c r="VHW249" i="30"/>
  <c r="VHX249" i="30"/>
  <c r="VHY249" i="30"/>
  <c r="VHZ249" i="30"/>
  <c r="VIA249" i="30"/>
  <c r="VIB249" i="30"/>
  <c r="VIC249" i="30"/>
  <c r="VID249" i="30"/>
  <c r="VIE249" i="30"/>
  <c r="VIF249" i="30"/>
  <c r="VIG249" i="30"/>
  <c r="VIH249" i="30"/>
  <c r="VII249" i="30"/>
  <c r="VIJ249" i="30"/>
  <c r="VIK249" i="30"/>
  <c r="VIL249" i="30"/>
  <c r="VIM249" i="30"/>
  <c r="VIN249" i="30"/>
  <c r="VIO249" i="30"/>
  <c r="VIP249" i="30"/>
  <c r="VIQ249" i="30"/>
  <c r="VIR249" i="30"/>
  <c r="VIS249" i="30"/>
  <c r="VIT249" i="30"/>
  <c r="VIU249" i="30"/>
  <c r="VIV249" i="30"/>
  <c r="VIW249" i="30"/>
  <c r="VIX249" i="30"/>
  <c r="VIY249" i="30"/>
  <c r="VIZ249" i="30"/>
  <c r="VJA249" i="30"/>
  <c r="VJB249" i="30"/>
  <c r="VJC249" i="30"/>
  <c r="VJD249" i="30"/>
  <c r="VJE249" i="30"/>
  <c r="VJF249" i="30"/>
  <c r="VJG249" i="30"/>
  <c r="VJH249" i="30"/>
  <c r="VJI249" i="30"/>
  <c r="VJJ249" i="30"/>
  <c r="VJK249" i="30"/>
  <c r="VJL249" i="30"/>
  <c r="VJM249" i="30"/>
  <c r="VJN249" i="30"/>
  <c r="VJO249" i="30"/>
  <c r="VJP249" i="30"/>
  <c r="VJQ249" i="30"/>
  <c r="VJR249" i="30"/>
  <c r="VJS249" i="30"/>
  <c r="VJT249" i="30"/>
  <c r="VJU249" i="30"/>
  <c r="VJV249" i="30"/>
  <c r="VJW249" i="30"/>
  <c r="VJX249" i="30"/>
  <c r="VJY249" i="30"/>
  <c r="VJZ249" i="30"/>
  <c r="VKA249" i="30"/>
  <c r="VKB249" i="30"/>
  <c r="VKC249" i="30"/>
  <c r="VKD249" i="30"/>
  <c r="VKE249" i="30"/>
  <c r="VKF249" i="30"/>
  <c r="VKG249" i="30"/>
  <c r="VKH249" i="30"/>
  <c r="VKI249" i="30"/>
  <c r="VKJ249" i="30"/>
  <c r="VKK249" i="30"/>
  <c r="VKL249" i="30"/>
  <c r="VKM249" i="30"/>
  <c r="VKN249" i="30"/>
  <c r="VKO249" i="30"/>
  <c r="VKP249" i="30"/>
  <c r="VKQ249" i="30"/>
  <c r="VKR249" i="30"/>
  <c r="VKS249" i="30"/>
  <c r="VKT249" i="30"/>
  <c r="VKU249" i="30"/>
  <c r="VKV249" i="30"/>
  <c r="VKW249" i="30"/>
  <c r="VKX249" i="30"/>
  <c r="VKY249" i="30"/>
  <c r="VKZ249" i="30"/>
  <c r="VLA249" i="30"/>
  <c r="VLB249" i="30"/>
  <c r="VLC249" i="30"/>
  <c r="VLD249" i="30"/>
  <c r="VLE249" i="30"/>
  <c r="VLF249" i="30"/>
  <c r="VLG249" i="30"/>
  <c r="VLH249" i="30"/>
  <c r="VLI249" i="30"/>
  <c r="VLJ249" i="30"/>
  <c r="VLK249" i="30"/>
  <c r="VLL249" i="30"/>
  <c r="VLM249" i="30"/>
  <c r="VLN249" i="30"/>
  <c r="VLO249" i="30"/>
  <c r="VLP249" i="30"/>
  <c r="VLQ249" i="30"/>
  <c r="VLR249" i="30"/>
  <c r="VLS249" i="30"/>
  <c r="VLT249" i="30"/>
  <c r="VLU249" i="30"/>
  <c r="VLV249" i="30"/>
  <c r="VLW249" i="30"/>
  <c r="VLX249" i="30"/>
  <c r="VLY249" i="30"/>
  <c r="VLZ249" i="30"/>
  <c r="VMA249" i="30"/>
  <c r="VMB249" i="30"/>
  <c r="VMC249" i="30"/>
  <c r="VMD249" i="30"/>
  <c r="VME249" i="30"/>
  <c r="VMF249" i="30"/>
  <c r="VMG249" i="30"/>
  <c r="VMH249" i="30"/>
  <c r="VMI249" i="30"/>
  <c r="VMJ249" i="30"/>
  <c r="VMK249" i="30"/>
  <c r="VML249" i="30"/>
  <c r="VMM249" i="30"/>
  <c r="VMN249" i="30"/>
  <c r="VMO249" i="30"/>
  <c r="VMP249" i="30"/>
  <c r="VMQ249" i="30"/>
  <c r="VMR249" i="30"/>
  <c r="VMS249" i="30"/>
  <c r="VMT249" i="30"/>
  <c r="VMU249" i="30"/>
  <c r="VMV249" i="30"/>
  <c r="VMW249" i="30"/>
  <c r="VMX249" i="30"/>
  <c r="VMY249" i="30"/>
  <c r="VMZ249" i="30"/>
  <c r="VNA249" i="30"/>
  <c r="VNB249" i="30"/>
  <c r="VNC249" i="30"/>
  <c r="VND249" i="30"/>
  <c r="VNE249" i="30"/>
  <c r="VNF249" i="30"/>
  <c r="VNG249" i="30"/>
  <c r="VNH249" i="30"/>
  <c r="VNI249" i="30"/>
  <c r="VNJ249" i="30"/>
  <c r="VNK249" i="30"/>
  <c r="VNL249" i="30"/>
  <c r="VNM249" i="30"/>
  <c r="VNN249" i="30"/>
  <c r="VNO249" i="30"/>
  <c r="VNP249" i="30"/>
  <c r="VNQ249" i="30"/>
  <c r="VNR249" i="30"/>
  <c r="VNS249" i="30"/>
  <c r="VNT249" i="30"/>
  <c r="VNU249" i="30"/>
  <c r="VNV249" i="30"/>
  <c r="VNW249" i="30"/>
  <c r="VNX249" i="30"/>
  <c r="VNY249" i="30"/>
  <c r="VNZ249" i="30"/>
  <c r="VOA249" i="30"/>
  <c r="VOB249" i="30"/>
  <c r="VOC249" i="30"/>
  <c r="VOD249" i="30"/>
  <c r="VOE249" i="30"/>
  <c r="VOF249" i="30"/>
  <c r="VOG249" i="30"/>
  <c r="VOH249" i="30"/>
  <c r="VOI249" i="30"/>
  <c r="VOJ249" i="30"/>
  <c r="VOK249" i="30"/>
  <c r="VOL249" i="30"/>
  <c r="VOM249" i="30"/>
  <c r="VON249" i="30"/>
  <c r="VOO249" i="30"/>
  <c r="VOP249" i="30"/>
  <c r="VOQ249" i="30"/>
  <c r="VOR249" i="30"/>
  <c r="VOS249" i="30"/>
  <c r="VOT249" i="30"/>
  <c r="VOU249" i="30"/>
  <c r="VOV249" i="30"/>
  <c r="VOW249" i="30"/>
  <c r="VOX249" i="30"/>
  <c r="VOY249" i="30"/>
  <c r="VOZ249" i="30"/>
  <c r="VPA249" i="30"/>
  <c r="VPB249" i="30"/>
  <c r="VPC249" i="30"/>
  <c r="VPD249" i="30"/>
  <c r="VPE249" i="30"/>
  <c r="VPF249" i="30"/>
  <c r="VPG249" i="30"/>
  <c r="VPH249" i="30"/>
  <c r="VPI249" i="30"/>
  <c r="VPJ249" i="30"/>
  <c r="VPK249" i="30"/>
  <c r="VPL249" i="30"/>
  <c r="VPM249" i="30"/>
  <c r="VPN249" i="30"/>
  <c r="VPO249" i="30"/>
  <c r="VPP249" i="30"/>
  <c r="VPQ249" i="30"/>
  <c r="VPR249" i="30"/>
  <c r="VPS249" i="30"/>
  <c r="VPT249" i="30"/>
  <c r="VPU249" i="30"/>
  <c r="VPV249" i="30"/>
  <c r="VPW249" i="30"/>
  <c r="VPX249" i="30"/>
  <c r="VPY249" i="30"/>
  <c r="VPZ249" i="30"/>
  <c r="VQA249" i="30"/>
  <c r="VQB249" i="30"/>
  <c r="VQC249" i="30"/>
  <c r="VQD249" i="30"/>
  <c r="VQE249" i="30"/>
  <c r="VQF249" i="30"/>
  <c r="VQG249" i="30"/>
  <c r="VQH249" i="30"/>
  <c r="VQI249" i="30"/>
  <c r="VQJ249" i="30"/>
  <c r="VQK249" i="30"/>
  <c r="VQL249" i="30"/>
  <c r="VQM249" i="30"/>
  <c r="VQN249" i="30"/>
  <c r="VQO249" i="30"/>
  <c r="VQP249" i="30"/>
  <c r="VQQ249" i="30"/>
  <c r="VQR249" i="30"/>
  <c r="VQS249" i="30"/>
  <c r="VQT249" i="30"/>
  <c r="VQU249" i="30"/>
  <c r="VQV249" i="30"/>
  <c r="VQW249" i="30"/>
  <c r="VQX249" i="30"/>
  <c r="VQY249" i="30"/>
  <c r="VQZ249" i="30"/>
  <c r="VRA249" i="30"/>
  <c r="VRB249" i="30"/>
  <c r="VRC249" i="30"/>
  <c r="VRD249" i="30"/>
  <c r="VRE249" i="30"/>
  <c r="VRF249" i="30"/>
  <c r="VRG249" i="30"/>
  <c r="VRH249" i="30"/>
  <c r="VRI249" i="30"/>
  <c r="VRJ249" i="30"/>
  <c r="VRK249" i="30"/>
  <c r="VRL249" i="30"/>
  <c r="VRM249" i="30"/>
  <c r="VRN249" i="30"/>
  <c r="VRO249" i="30"/>
  <c r="VRP249" i="30"/>
  <c r="VRQ249" i="30"/>
  <c r="VRR249" i="30"/>
  <c r="VRS249" i="30"/>
  <c r="VRT249" i="30"/>
  <c r="VRU249" i="30"/>
  <c r="VRV249" i="30"/>
  <c r="VRW249" i="30"/>
  <c r="VRX249" i="30"/>
  <c r="VRY249" i="30"/>
  <c r="VRZ249" i="30"/>
  <c r="VSA249" i="30"/>
  <c r="VSB249" i="30"/>
  <c r="VSC249" i="30"/>
  <c r="VSD249" i="30"/>
  <c r="VSE249" i="30"/>
  <c r="VSF249" i="30"/>
  <c r="VSG249" i="30"/>
  <c r="VSH249" i="30"/>
  <c r="VSI249" i="30"/>
  <c r="VSJ249" i="30"/>
  <c r="VSK249" i="30"/>
  <c r="VSL249" i="30"/>
  <c r="VSM249" i="30"/>
  <c r="VSN249" i="30"/>
  <c r="VSO249" i="30"/>
  <c r="VSP249" i="30"/>
  <c r="VSQ249" i="30"/>
  <c r="VSR249" i="30"/>
  <c r="VSS249" i="30"/>
  <c r="VST249" i="30"/>
  <c r="VSU249" i="30"/>
  <c r="VSV249" i="30"/>
  <c r="VSW249" i="30"/>
  <c r="VSX249" i="30"/>
  <c r="VSY249" i="30"/>
  <c r="VSZ249" i="30"/>
  <c r="VTA249" i="30"/>
  <c r="VTB249" i="30"/>
  <c r="VTC249" i="30"/>
  <c r="VTD249" i="30"/>
  <c r="VTE249" i="30"/>
  <c r="VTF249" i="30"/>
  <c r="VTG249" i="30"/>
  <c r="VTH249" i="30"/>
  <c r="VTI249" i="30"/>
  <c r="VTJ249" i="30"/>
  <c r="VTK249" i="30"/>
  <c r="VTL249" i="30"/>
  <c r="VTM249" i="30"/>
  <c r="VTN249" i="30"/>
  <c r="VTO249" i="30"/>
  <c r="VTP249" i="30"/>
  <c r="VTQ249" i="30"/>
  <c r="VTR249" i="30"/>
  <c r="VTS249" i="30"/>
  <c r="VTT249" i="30"/>
  <c r="VTU249" i="30"/>
  <c r="VTV249" i="30"/>
  <c r="VTW249" i="30"/>
  <c r="VTX249" i="30"/>
  <c r="VTY249" i="30"/>
  <c r="VTZ249" i="30"/>
  <c r="VUA249" i="30"/>
  <c r="VUB249" i="30"/>
  <c r="VUC249" i="30"/>
  <c r="VUD249" i="30"/>
  <c r="VUE249" i="30"/>
  <c r="VUF249" i="30"/>
  <c r="VUG249" i="30"/>
  <c r="VUH249" i="30"/>
  <c r="VUI249" i="30"/>
  <c r="VUJ249" i="30"/>
  <c r="VUK249" i="30"/>
  <c r="VUL249" i="30"/>
  <c r="VUM249" i="30"/>
  <c r="VUN249" i="30"/>
  <c r="VUO249" i="30"/>
  <c r="VUP249" i="30"/>
  <c r="VUQ249" i="30"/>
  <c r="VUR249" i="30"/>
  <c r="VUS249" i="30"/>
  <c r="VUT249" i="30"/>
  <c r="VUU249" i="30"/>
  <c r="VUV249" i="30"/>
  <c r="VUW249" i="30"/>
  <c r="VUX249" i="30"/>
  <c r="VUY249" i="30"/>
  <c r="VUZ249" i="30"/>
  <c r="VVA249" i="30"/>
  <c r="VVB249" i="30"/>
  <c r="VVC249" i="30"/>
  <c r="VVD249" i="30"/>
  <c r="VVE249" i="30"/>
  <c r="VVF249" i="30"/>
  <c r="VVG249" i="30"/>
  <c r="VVH249" i="30"/>
  <c r="VVI249" i="30"/>
  <c r="VVJ249" i="30"/>
  <c r="VVK249" i="30"/>
  <c r="VVL249" i="30"/>
  <c r="VVM249" i="30"/>
  <c r="VVN249" i="30"/>
  <c r="VVO249" i="30"/>
  <c r="VVP249" i="30"/>
  <c r="VVQ249" i="30"/>
  <c r="VVR249" i="30"/>
  <c r="VVS249" i="30"/>
  <c r="VVT249" i="30"/>
  <c r="VVU249" i="30"/>
  <c r="VVV249" i="30"/>
  <c r="VVW249" i="30"/>
  <c r="VVX249" i="30"/>
  <c r="VVY249" i="30"/>
  <c r="VVZ249" i="30"/>
  <c r="VWA249" i="30"/>
  <c r="VWB249" i="30"/>
  <c r="VWC249" i="30"/>
  <c r="VWD249" i="30"/>
  <c r="VWE249" i="30"/>
  <c r="VWF249" i="30"/>
  <c r="VWG249" i="30"/>
  <c r="VWH249" i="30"/>
  <c r="VWI249" i="30"/>
  <c r="VWJ249" i="30"/>
  <c r="VWK249" i="30"/>
  <c r="VWL249" i="30"/>
  <c r="VWM249" i="30"/>
  <c r="VWN249" i="30"/>
  <c r="VWO249" i="30"/>
  <c r="VWP249" i="30"/>
  <c r="VWQ249" i="30"/>
  <c r="VWR249" i="30"/>
  <c r="VWS249" i="30"/>
  <c r="VWT249" i="30"/>
  <c r="VWU249" i="30"/>
  <c r="VWV249" i="30"/>
  <c r="VWW249" i="30"/>
  <c r="VWX249" i="30"/>
  <c r="VWY249" i="30"/>
  <c r="VWZ249" i="30"/>
  <c r="VXA249" i="30"/>
  <c r="VXB249" i="30"/>
  <c r="VXC249" i="30"/>
  <c r="VXD249" i="30"/>
  <c r="VXE249" i="30"/>
  <c r="VXF249" i="30"/>
  <c r="VXG249" i="30"/>
  <c r="VXH249" i="30"/>
  <c r="VXI249" i="30"/>
  <c r="VXJ249" i="30"/>
  <c r="VXK249" i="30"/>
  <c r="VXL249" i="30"/>
  <c r="VXM249" i="30"/>
  <c r="VXN249" i="30"/>
  <c r="VXO249" i="30"/>
  <c r="VXP249" i="30"/>
  <c r="VXQ249" i="30"/>
  <c r="VXR249" i="30"/>
  <c r="VXS249" i="30"/>
  <c r="VXT249" i="30"/>
  <c r="VXU249" i="30"/>
  <c r="VXV249" i="30"/>
  <c r="VXW249" i="30"/>
  <c r="VXX249" i="30"/>
  <c r="VXY249" i="30"/>
  <c r="VXZ249" i="30"/>
  <c r="VYA249" i="30"/>
  <c r="VYB249" i="30"/>
  <c r="VYC249" i="30"/>
  <c r="VYD249" i="30"/>
  <c r="VYE249" i="30"/>
  <c r="VYF249" i="30"/>
  <c r="VYG249" i="30"/>
  <c r="VYH249" i="30"/>
  <c r="VYI249" i="30"/>
  <c r="VYJ249" i="30"/>
  <c r="VYK249" i="30"/>
  <c r="VYL249" i="30"/>
  <c r="VYM249" i="30"/>
  <c r="VYN249" i="30"/>
  <c r="VYO249" i="30"/>
  <c r="VYP249" i="30"/>
  <c r="VYQ249" i="30"/>
  <c r="VYR249" i="30"/>
  <c r="VYS249" i="30"/>
  <c r="VYT249" i="30"/>
  <c r="VYU249" i="30"/>
  <c r="VYV249" i="30"/>
  <c r="VYW249" i="30"/>
  <c r="VYX249" i="30"/>
  <c r="VYY249" i="30"/>
  <c r="VYZ249" i="30"/>
  <c r="VZA249" i="30"/>
  <c r="VZB249" i="30"/>
  <c r="VZC249" i="30"/>
  <c r="VZD249" i="30"/>
  <c r="VZE249" i="30"/>
  <c r="VZF249" i="30"/>
  <c r="VZG249" i="30"/>
  <c r="VZH249" i="30"/>
  <c r="VZI249" i="30"/>
  <c r="VZJ249" i="30"/>
  <c r="VZK249" i="30"/>
  <c r="VZL249" i="30"/>
  <c r="VZM249" i="30"/>
  <c r="VZN249" i="30"/>
  <c r="VZO249" i="30"/>
  <c r="VZP249" i="30"/>
  <c r="VZQ249" i="30"/>
  <c r="VZR249" i="30"/>
  <c r="VZS249" i="30"/>
  <c r="VZT249" i="30"/>
  <c r="VZU249" i="30"/>
  <c r="VZV249" i="30"/>
  <c r="VZW249" i="30"/>
  <c r="VZX249" i="30"/>
  <c r="VZY249" i="30"/>
  <c r="VZZ249" i="30"/>
  <c r="WAA249" i="30"/>
  <c r="WAB249" i="30"/>
  <c r="WAC249" i="30"/>
  <c r="WAD249" i="30"/>
  <c r="WAE249" i="30"/>
  <c r="WAF249" i="30"/>
  <c r="WAG249" i="30"/>
  <c r="WAH249" i="30"/>
  <c r="WAI249" i="30"/>
  <c r="WAJ249" i="30"/>
  <c r="WAK249" i="30"/>
  <c r="WAL249" i="30"/>
  <c r="WAM249" i="30"/>
  <c r="WAN249" i="30"/>
  <c r="WAO249" i="30"/>
  <c r="WAP249" i="30"/>
  <c r="WAQ249" i="30"/>
  <c r="WAR249" i="30"/>
  <c r="WAS249" i="30"/>
  <c r="WAT249" i="30"/>
  <c r="WAU249" i="30"/>
  <c r="WAV249" i="30"/>
  <c r="WAW249" i="30"/>
  <c r="WAX249" i="30"/>
  <c r="WAY249" i="30"/>
  <c r="WAZ249" i="30"/>
  <c r="WBA249" i="30"/>
  <c r="WBB249" i="30"/>
  <c r="WBC249" i="30"/>
  <c r="WBD249" i="30"/>
  <c r="WBE249" i="30"/>
  <c r="WBF249" i="30"/>
  <c r="WBG249" i="30"/>
  <c r="WBH249" i="30"/>
  <c r="WBI249" i="30"/>
  <c r="WBJ249" i="30"/>
  <c r="WBK249" i="30"/>
  <c r="WBL249" i="30"/>
  <c r="WBM249" i="30"/>
  <c r="WBN249" i="30"/>
  <c r="WBO249" i="30"/>
  <c r="WBP249" i="30"/>
  <c r="WBQ249" i="30"/>
  <c r="WBR249" i="30"/>
  <c r="WBS249" i="30"/>
  <c r="WBT249" i="30"/>
  <c r="WBU249" i="30"/>
  <c r="WBV249" i="30"/>
  <c r="WBW249" i="30"/>
  <c r="WBX249" i="30"/>
  <c r="WBY249" i="30"/>
  <c r="WBZ249" i="30"/>
  <c r="WCA249" i="30"/>
  <c r="WCB249" i="30"/>
  <c r="WCC249" i="30"/>
  <c r="WCD249" i="30"/>
  <c r="WCE249" i="30"/>
  <c r="WCF249" i="30"/>
  <c r="WCG249" i="30"/>
  <c r="WCH249" i="30"/>
  <c r="WCI249" i="30"/>
  <c r="WCJ249" i="30"/>
  <c r="WCK249" i="30"/>
  <c r="WCL249" i="30"/>
  <c r="WCM249" i="30"/>
  <c r="WCN249" i="30"/>
  <c r="WCO249" i="30"/>
  <c r="WCP249" i="30"/>
  <c r="WCQ249" i="30"/>
  <c r="WCR249" i="30"/>
  <c r="WCS249" i="30"/>
  <c r="WCT249" i="30"/>
  <c r="WCU249" i="30"/>
  <c r="WCV249" i="30"/>
  <c r="WCW249" i="30"/>
  <c r="WCX249" i="30"/>
  <c r="WCY249" i="30"/>
  <c r="WCZ249" i="30"/>
  <c r="WDA249" i="30"/>
  <c r="WDB249" i="30"/>
  <c r="WDC249" i="30"/>
  <c r="WDD249" i="30"/>
  <c r="WDE249" i="30"/>
  <c r="WDF249" i="30"/>
  <c r="WDG249" i="30"/>
  <c r="WDH249" i="30"/>
  <c r="WDI249" i="30"/>
  <c r="WDJ249" i="30"/>
  <c r="WDK249" i="30"/>
  <c r="WDL249" i="30"/>
  <c r="WDM249" i="30"/>
  <c r="WDN249" i="30"/>
  <c r="WDO249" i="30"/>
  <c r="WDP249" i="30"/>
  <c r="WDQ249" i="30"/>
  <c r="WDR249" i="30"/>
  <c r="WDS249" i="30"/>
  <c r="WDT249" i="30"/>
  <c r="WDU249" i="30"/>
  <c r="WDV249" i="30"/>
  <c r="WDW249" i="30"/>
  <c r="WDX249" i="30"/>
  <c r="WDY249" i="30"/>
  <c r="WDZ249" i="30"/>
  <c r="WEA249" i="30"/>
  <c r="WEB249" i="30"/>
  <c r="WEC249" i="30"/>
  <c r="WED249" i="30"/>
  <c r="WEE249" i="30"/>
  <c r="WEF249" i="30"/>
  <c r="WEG249" i="30"/>
  <c r="WEH249" i="30"/>
  <c r="WEI249" i="30"/>
  <c r="WEJ249" i="30"/>
  <c r="WEK249" i="30"/>
  <c r="WEL249" i="30"/>
  <c r="WEM249" i="30"/>
  <c r="WEN249" i="30"/>
  <c r="WEO249" i="30"/>
  <c r="WEP249" i="30"/>
  <c r="WEQ249" i="30"/>
  <c r="WER249" i="30"/>
  <c r="WES249" i="30"/>
  <c r="WET249" i="30"/>
  <c r="WEU249" i="30"/>
  <c r="WEV249" i="30"/>
  <c r="WEW249" i="30"/>
  <c r="WEX249" i="30"/>
  <c r="WEY249" i="30"/>
  <c r="WEZ249" i="30"/>
  <c r="WFA249" i="30"/>
  <c r="WFB249" i="30"/>
  <c r="WFC249" i="30"/>
  <c r="WFD249" i="30"/>
  <c r="WFE249" i="30"/>
  <c r="WFF249" i="30"/>
  <c r="WFG249" i="30"/>
  <c r="WFH249" i="30"/>
  <c r="WFI249" i="30"/>
  <c r="WFJ249" i="30"/>
  <c r="WFK249" i="30"/>
  <c r="WFL249" i="30"/>
  <c r="WFM249" i="30"/>
  <c r="WFN249" i="30"/>
  <c r="WFO249" i="30"/>
  <c r="WFP249" i="30"/>
  <c r="WFQ249" i="30"/>
  <c r="WFR249" i="30"/>
  <c r="WFS249" i="30"/>
  <c r="WFT249" i="30"/>
  <c r="WFU249" i="30"/>
  <c r="WFV249" i="30"/>
  <c r="WFW249" i="30"/>
  <c r="WFX249" i="30"/>
  <c r="WFY249" i="30"/>
  <c r="WFZ249" i="30"/>
  <c r="WGA249" i="30"/>
  <c r="WGB249" i="30"/>
  <c r="WGC249" i="30"/>
  <c r="WGD249" i="30"/>
  <c r="WGE249" i="30"/>
  <c r="WGF249" i="30"/>
  <c r="WGG249" i="30"/>
  <c r="WGH249" i="30"/>
  <c r="WGI249" i="30"/>
  <c r="WGJ249" i="30"/>
  <c r="WGK249" i="30"/>
  <c r="WGL249" i="30"/>
  <c r="WGM249" i="30"/>
  <c r="WGN249" i="30"/>
  <c r="WGO249" i="30"/>
  <c r="WGP249" i="30"/>
  <c r="WGQ249" i="30"/>
  <c r="WGR249" i="30"/>
  <c r="WGS249" i="30"/>
  <c r="WGT249" i="30"/>
  <c r="WGU249" i="30"/>
  <c r="WGV249" i="30"/>
  <c r="WGW249" i="30"/>
  <c r="WGX249" i="30"/>
  <c r="WGY249" i="30"/>
  <c r="WGZ249" i="30"/>
  <c r="WHA249" i="30"/>
  <c r="WHB249" i="30"/>
  <c r="WHC249" i="30"/>
  <c r="WHD249" i="30"/>
  <c r="WHE249" i="30"/>
  <c r="WHF249" i="30"/>
  <c r="WHG249" i="30"/>
  <c r="WHH249" i="30"/>
  <c r="WHI249" i="30"/>
  <c r="WHJ249" i="30"/>
  <c r="WHK249" i="30"/>
  <c r="WHL249" i="30"/>
  <c r="WHM249" i="30"/>
  <c r="WHN249" i="30"/>
  <c r="WHO249" i="30"/>
  <c r="WHP249" i="30"/>
  <c r="WHQ249" i="30"/>
  <c r="WHR249" i="30"/>
  <c r="WHS249" i="30"/>
  <c r="WHT249" i="30"/>
  <c r="WHU249" i="30"/>
  <c r="WHV249" i="30"/>
  <c r="WHW249" i="30"/>
  <c r="WHX249" i="30"/>
  <c r="WHY249" i="30"/>
  <c r="WHZ249" i="30"/>
  <c r="WIA249" i="30"/>
  <c r="WIB249" i="30"/>
  <c r="WIC249" i="30"/>
  <c r="WID249" i="30"/>
  <c r="WIE249" i="30"/>
  <c r="WIF249" i="30"/>
  <c r="WIG249" i="30"/>
  <c r="WIH249" i="30"/>
  <c r="WII249" i="30"/>
  <c r="WIJ249" i="30"/>
  <c r="WIK249" i="30"/>
  <c r="WIL249" i="30"/>
  <c r="WIM249" i="30"/>
  <c r="WIN249" i="30"/>
  <c r="WIO249" i="30"/>
  <c r="WIP249" i="30"/>
  <c r="WIQ249" i="30"/>
  <c r="WIR249" i="30"/>
  <c r="WIS249" i="30"/>
  <c r="WIT249" i="30"/>
  <c r="WIU249" i="30"/>
  <c r="WIV249" i="30"/>
  <c r="WIW249" i="30"/>
  <c r="WIX249" i="30"/>
  <c r="WIY249" i="30"/>
  <c r="WIZ249" i="30"/>
  <c r="WJA249" i="30"/>
  <c r="WJB249" i="30"/>
  <c r="WJC249" i="30"/>
  <c r="WJD249" i="30"/>
  <c r="WJE249" i="30"/>
  <c r="WJF249" i="30"/>
  <c r="WJG249" i="30"/>
  <c r="WJH249" i="30"/>
  <c r="WJI249" i="30"/>
  <c r="WJJ249" i="30"/>
  <c r="WJK249" i="30"/>
  <c r="WJL249" i="30"/>
  <c r="WJM249" i="30"/>
  <c r="WJN249" i="30"/>
  <c r="WJO249" i="30"/>
  <c r="WJP249" i="30"/>
  <c r="WJQ249" i="30"/>
  <c r="WJR249" i="30"/>
  <c r="WJS249" i="30"/>
  <c r="WJT249" i="30"/>
  <c r="WJU249" i="30"/>
  <c r="WJV249" i="30"/>
  <c r="WJW249" i="30"/>
  <c r="WJX249" i="30"/>
  <c r="WJY249" i="30"/>
  <c r="WJZ249" i="30"/>
  <c r="WKA249" i="30"/>
  <c r="WKB249" i="30"/>
  <c r="WKC249" i="30"/>
  <c r="WKD249" i="30"/>
  <c r="WKE249" i="30"/>
  <c r="WKF249" i="30"/>
  <c r="WKG249" i="30"/>
  <c r="WKH249" i="30"/>
  <c r="WKI249" i="30"/>
  <c r="WKJ249" i="30"/>
  <c r="WKK249" i="30"/>
  <c r="WKL249" i="30"/>
  <c r="WKM249" i="30"/>
  <c r="WKN249" i="30"/>
  <c r="WKO249" i="30"/>
  <c r="WKP249" i="30"/>
  <c r="WKQ249" i="30"/>
  <c r="WKR249" i="30"/>
  <c r="WKS249" i="30"/>
  <c r="WKT249" i="30"/>
  <c r="WKU249" i="30"/>
  <c r="WKV249" i="30"/>
  <c r="WKW249" i="30"/>
  <c r="WKX249" i="30"/>
  <c r="WKY249" i="30"/>
  <c r="WKZ249" i="30"/>
  <c r="WLA249" i="30"/>
  <c r="WLB249" i="30"/>
  <c r="WLC249" i="30"/>
  <c r="WLD249" i="30"/>
  <c r="WLE249" i="30"/>
  <c r="WLF249" i="30"/>
  <c r="WLG249" i="30"/>
  <c r="WLH249" i="30"/>
  <c r="WLI249" i="30"/>
  <c r="WLJ249" i="30"/>
  <c r="WLK249" i="30"/>
  <c r="WLL249" i="30"/>
  <c r="WLM249" i="30"/>
  <c r="WLN249" i="30"/>
  <c r="WLO249" i="30"/>
  <c r="WLP249" i="30"/>
  <c r="WLQ249" i="30"/>
  <c r="WLR249" i="30"/>
  <c r="WLS249" i="30"/>
  <c r="WLT249" i="30"/>
  <c r="WLU249" i="30"/>
  <c r="WLV249" i="30"/>
  <c r="WLW249" i="30"/>
  <c r="WLX249" i="30"/>
  <c r="WLY249" i="30"/>
  <c r="WLZ249" i="30"/>
  <c r="WMA249" i="30"/>
  <c r="WMB249" i="30"/>
  <c r="WMC249" i="30"/>
  <c r="WMD249" i="30"/>
  <c r="WME249" i="30"/>
  <c r="WMF249" i="30"/>
  <c r="WMG249" i="30"/>
  <c r="WMH249" i="30"/>
  <c r="WMI249" i="30"/>
  <c r="WMJ249" i="30"/>
  <c r="WMK249" i="30"/>
  <c r="WML249" i="30"/>
  <c r="WMM249" i="30"/>
  <c r="WMN249" i="30"/>
  <c r="WMO249" i="30"/>
  <c r="WMP249" i="30"/>
  <c r="WMQ249" i="30"/>
  <c r="WMR249" i="30"/>
  <c r="WMS249" i="30"/>
  <c r="WMT249" i="30"/>
  <c r="WMU249" i="30"/>
  <c r="WMV249" i="30"/>
  <c r="WMW249" i="30"/>
  <c r="WMX249" i="30"/>
  <c r="WMY249" i="30"/>
  <c r="WMZ249" i="30"/>
  <c r="WNA249" i="30"/>
  <c r="WNB249" i="30"/>
  <c r="WNC249" i="30"/>
  <c r="WND249" i="30"/>
  <c r="WNE249" i="30"/>
  <c r="WNF249" i="30"/>
  <c r="WNG249" i="30"/>
  <c r="WNH249" i="30"/>
  <c r="WNI249" i="30"/>
  <c r="WNJ249" i="30"/>
  <c r="WNK249" i="30"/>
  <c r="WNL249" i="30"/>
  <c r="WNM249" i="30"/>
  <c r="WNN249" i="30"/>
  <c r="WNO249" i="30"/>
  <c r="WNP249" i="30"/>
  <c r="WNQ249" i="30"/>
  <c r="WNR249" i="30"/>
  <c r="WNS249" i="30"/>
  <c r="WNT249" i="30"/>
  <c r="WNU249" i="30"/>
  <c r="WNV249" i="30"/>
  <c r="WNW249" i="30"/>
  <c r="WNX249" i="30"/>
  <c r="WNY249" i="30"/>
  <c r="WNZ249" i="30"/>
  <c r="WOA249" i="30"/>
  <c r="WOB249" i="30"/>
  <c r="WOC249" i="30"/>
  <c r="WOD249" i="30"/>
  <c r="WOE249" i="30"/>
  <c r="WOF249" i="30"/>
  <c r="WOG249" i="30"/>
  <c r="WOH249" i="30"/>
  <c r="WOI249" i="30"/>
  <c r="WOJ249" i="30"/>
  <c r="WOK249" i="30"/>
  <c r="WOL249" i="30"/>
  <c r="WOM249" i="30"/>
  <c r="WON249" i="30"/>
  <c r="WOO249" i="30"/>
  <c r="WOP249" i="30"/>
  <c r="WOQ249" i="30"/>
  <c r="WOR249" i="30"/>
  <c r="WOS249" i="30"/>
  <c r="WOT249" i="30"/>
  <c r="WOU249" i="30"/>
  <c r="WOV249" i="30"/>
  <c r="WOW249" i="30"/>
  <c r="WOX249" i="30"/>
  <c r="WOY249" i="30"/>
  <c r="WOZ249" i="30"/>
  <c r="WPA249" i="30"/>
  <c r="WPB249" i="30"/>
  <c r="WPC249" i="30"/>
  <c r="WPD249" i="30"/>
  <c r="WPE249" i="30"/>
  <c r="WPF249" i="30"/>
  <c r="WPG249" i="30"/>
  <c r="WPH249" i="30"/>
  <c r="WPI249" i="30"/>
  <c r="WPJ249" i="30"/>
  <c r="WPK249" i="30"/>
  <c r="WPL249" i="30"/>
  <c r="WPM249" i="30"/>
  <c r="WPN249" i="30"/>
  <c r="WPO249" i="30"/>
  <c r="WPP249" i="30"/>
  <c r="WPQ249" i="30"/>
  <c r="WPR249" i="30"/>
  <c r="WPS249" i="30"/>
  <c r="WPT249" i="30"/>
  <c r="WPU249" i="30"/>
  <c r="WPV249" i="30"/>
  <c r="WPW249" i="30"/>
  <c r="WPX249" i="30"/>
  <c r="WPY249" i="30"/>
  <c r="WPZ249" i="30"/>
  <c r="WQA249" i="30"/>
  <c r="WQB249" i="30"/>
  <c r="WQC249" i="30"/>
  <c r="WQD249" i="30"/>
  <c r="WQE249" i="30"/>
  <c r="WQF249" i="30"/>
  <c r="WQG249" i="30"/>
  <c r="WQH249" i="30"/>
  <c r="WQI249" i="30"/>
  <c r="WQJ249" i="30"/>
  <c r="WQK249" i="30"/>
  <c r="WQL249" i="30"/>
  <c r="WQM249" i="30"/>
  <c r="WQN249" i="30"/>
  <c r="WQO249" i="30"/>
  <c r="WQP249" i="30"/>
  <c r="WQQ249" i="30"/>
  <c r="WQR249" i="30"/>
  <c r="WQS249" i="30"/>
  <c r="WQT249" i="30"/>
  <c r="WQU249" i="30"/>
  <c r="WQV249" i="30"/>
  <c r="WQW249" i="30"/>
  <c r="WQX249" i="30"/>
  <c r="WQY249" i="30"/>
  <c r="WQZ249" i="30"/>
  <c r="WRA249" i="30"/>
  <c r="WRB249" i="30"/>
  <c r="WRC249" i="30"/>
  <c r="WRD249" i="30"/>
  <c r="WRE249" i="30"/>
  <c r="WRF249" i="30"/>
  <c r="WRG249" i="30"/>
  <c r="WRH249" i="30"/>
  <c r="WRI249" i="30"/>
  <c r="WRJ249" i="30"/>
  <c r="WRK249" i="30"/>
  <c r="WRL249" i="30"/>
  <c r="WRM249" i="30"/>
  <c r="WRN249" i="30"/>
  <c r="WRO249" i="30"/>
  <c r="WRP249" i="30"/>
  <c r="WRQ249" i="30"/>
  <c r="WRR249" i="30"/>
  <c r="WRS249" i="30"/>
  <c r="WRT249" i="30"/>
  <c r="WRU249" i="30"/>
  <c r="WRV249" i="30"/>
  <c r="WRW249" i="30"/>
  <c r="WRX249" i="30"/>
  <c r="WRY249" i="30"/>
  <c r="WRZ249" i="30"/>
  <c r="WSA249" i="30"/>
  <c r="WSB249" i="30"/>
  <c r="WSC249" i="30"/>
  <c r="WSD249" i="30"/>
  <c r="WSE249" i="30"/>
  <c r="WSF249" i="30"/>
  <c r="WSG249" i="30"/>
  <c r="WSH249" i="30"/>
  <c r="WSI249" i="30"/>
  <c r="WSJ249" i="30"/>
  <c r="WSK249" i="30"/>
  <c r="WSL249" i="30"/>
  <c r="WSM249" i="30"/>
  <c r="WSN249" i="30"/>
  <c r="WSO249" i="30"/>
  <c r="WSP249" i="30"/>
  <c r="WSQ249" i="30"/>
  <c r="WSR249" i="30"/>
  <c r="WSS249" i="30"/>
  <c r="WST249" i="30"/>
  <c r="WSU249" i="30"/>
  <c r="WSV249" i="30"/>
  <c r="WSW249" i="30"/>
  <c r="WSX249" i="30"/>
  <c r="WSY249" i="30"/>
  <c r="WSZ249" i="30"/>
  <c r="WTA249" i="30"/>
  <c r="WTB249" i="30"/>
  <c r="WTC249" i="30"/>
  <c r="WTD249" i="30"/>
  <c r="WTE249" i="30"/>
  <c r="WTF249" i="30"/>
  <c r="WTG249" i="30"/>
  <c r="WTH249" i="30"/>
  <c r="WTI249" i="30"/>
  <c r="WTJ249" i="30"/>
  <c r="WTK249" i="30"/>
  <c r="WTL249" i="30"/>
  <c r="WTM249" i="30"/>
  <c r="WTN249" i="30"/>
  <c r="WTO249" i="30"/>
  <c r="WTP249" i="30"/>
  <c r="WTQ249" i="30"/>
  <c r="WTR249" i="30"/>
  <c r="WTS249" i="30"/>
  <c r="WTT249" i="30"/>
  <c r="WTU249" i="30"/>
  <c r="WTV249" i="30"/>
  <c r="WTW249" i="30"/>
  <c r="WTX249" i="30"/>
  <c r="WTY249" i="30"/>
  <c r="WTZ249" i="30"/>
  <c r="WUA249" i="30"/>
  <c r="WUB249" i="30"/>
  <c r="WUC249" i="30"/>
  <c r="WUD249" i="30"/>
  <c r="WUE249" i="30"/>
  <c r="WUF249" i="30"/>
  <c r="WUG249" i="30"/>
  <c r="WUH249" i="30"/>
  <c r="WUI249" i="30"/>
  <c r="WUJ249" i="30"/>
  <c r="WUK249" i="30"/>
  <c r="WUL249" i="30"/>
  <c r="WUM249" i="30"/>
  <c r="WUN249" i="30"/>
  <c r="WUO249" i="30"/>
  <c r="WUP249" i="30"/>
  <c r="WUQ249" i="30"/>
  <c r="WUR249" i="30"/>
  <c r="WUS249" i="30"/>
  <c r="WUT249" i="30"/>
  <c r="WUU249" i="30"/>
  <c r="WUV249" i="30"/>
  <c r="WUW249" i="30"/>
  <c r="WUX249" i="30"/>
  <c r="WUY249" i="30"/>
  <c r="WUZ249" i="30"/>
  <c r="WVA249" i="30"/>
  <c r="WVB249" i="30"/>
  <c r="WVC249" i="30"/>
  <c r="WVD249" i="30"/>
  <c r="WVE249" i="30"/>
  <c r="WVF249" i="30"/>
  <c r="WVG249" i="30"/>
  <c r="WVH249" i="30"/>
  <c r="WVI249" i="30"/>
  <c r="WVJ249" i="30"/>
  <c r="WVK249" i="30"/>
  <c r="WVL249" i="30"/>
  <c r="WVM249" i="30"/>
  <c r="WVN249" i="30"/>
  <c r="WVO249" i="30"/>
  <c r="WVP249" i="30"/>
  <c r="WVQ249" i="30"/>
  <c r="WVR249" i="30"/>
  <c r="WVS249" i="30"/>
  <c r="WVT249" i="30"/>
  <c r="WVU249" i="30"/>
  <c r="WVV249" i="30"/>
  <c r="WVW249" i="30"/>
  <c r="WVX249" i="30"/>
  <c r="WVY249" i="30"/>
  <c r="WVZ249" i="30"/>
  <c r="WWA249" i="30"/>
  <c r="WWB249" i="30"/>
  <c r="WWC249" i="30"/>
  <c r="WWD249" i="30"/>
  <c r="WWE249" i="30"/>
  <c r="WWF249" i="30"/>
  <c r="WWG249" i="30"/>
  <c r="WWH249" i="30"/>
  <c r="WWI249" i="30"/>
  <c r="WWJ249" i="30"/>
  <c r="WWK249" i="30"/>
  <c r="WWL249" i="30"/>
  <c r="WWM249" i="30"/>
  <c r="WWN249" i="30"/>
  <c r="WWO249" i="30"/>
  <c r="WWP249" i="30"/>
  <c r="WWQ249" i="30"/>
  <c r="WWR249" i="30"/>
  <c r="WWS249" i="30"/>
  <c r="WWT249" i="30"/>
  <c r="WWU249" i="30"/>
  <c r="WWV249" i="30"/>
  <c r="WWW249" i="30"/>
  <c r="WWX249" i="30"/>
  <c r="WWY249" i="30"/>
  <c r="WWZ249" i="30"/>
  <c r="WXA249" i="30"/>
  <c r="WXB249" i="30"/>
  <c r="WXC249" i="30"/>
  <c r="WXD249" i="30"/>
  <c r="WXE249" i="30"/>
  <c r="WXF249" i="30"/>
  <c r="WXG249" i="30"/>
  <c r="WXH249" i="30"/>
  <c r="WXI249" i="30"/>
  <c r="WXJ249" i="30"/>
  <c r="WXK249" i="30"/>
  <c r="WXL249" i="30"/>
  <c r="WXM249" i="30"/>
  <c r="WXN249" i="30"/>
  <c r="WXO249" i="30"/>
  <c r="WXP249" i="30"/>
  <c r="WXQ249" i="30"/>
  <c r="WXR249" i="30"/>
  <c r="WXS249" i="30"/>
  <c r="WXT249" i="30"/>
  <c r="WXU249" i="30"/>
  <c r="WXV249" i="30"/>
  <c r="WXW249" i="30"/>
  <c r="WXX249" i="30"/>
  <c r="WXY249" i="30"/>
  <c r="WXZ249" i="30"/>
  <c r="WYA249" i="30"/>
  <c r="WYB249" i="30"/>
  <c r="WYC249" i="30"/>
  <c r="WYD249" i="30"/>
  <c r="WYE249" i="30"/>
  <c r="WYF249" i="30"/>
  <c r="WYG249" i="30"/>
  <c r="WYH249" i="30"/>
  <c r="WYI249" i="30"/>
  <c r="WYJ249" i="30"/>
  <c r="WYK249" i="30"/>
  <c r="WYL249" i="30"/>
  <c r="WYM249" i="30"/>
  <c r="WYN249" i="30"/>
  <c r="WYO249" i="30"/>
  <c r="WYP249" i="30"/>
  <c r="WYQ249" i="30"/>
  <c r="WYR249" i="30"/>
  <c r="WYS249" i="30"/>
  <c r="WYT249" i="30"/>
  <c r="WYU249" i="30"/>
  <c r="WYV249" i="30"/>
  <c r="WYW249" i="30"/>
  <c r="WYX249" i="30"/>
  <c r="WYY249" i="30"/>
  <c r="WYZ249" i="30"/>
  <c r="WZA249" i="30"/>
  <c r="WZB249" i="30"/>
  <c r="WZC249" i="30"/>
  <c r="WZD249" i="30"/>
  <c r="WZE249" i="30"/>
  <c r="WZF249" i="30"/>
  <c r="WZG249" i="30"/>
  <c r="WZH249" i="30"/>
  <c r="WZI249" i="30"/>
  <c r="WZJ249" i="30"/>
  <c r="WZK249" i="30"/>
  <c r="WZL249" i="30"/>
  <c r="WZM249" i="30"/>
  <c r="WZN249" i="30"/>
  <c r="WZO249" i="30"/>
  <c r="WZP249" i="30"/>
  <c r="WZQ249" i="30"/>
  <c r="WZR249" i="30"/>
  <c r="WZS249" i="30"/>
  <c r="WZT249" i="30"/>
  <c r="WZU249" i="30"/>
  <c r="WZV249" i="30"/>
  <c r="WZW249" i="30"/>
  <c r="WZX249" i="30"/>
  <c r="WZY249" i="30"/>
  <c r="WZZ249" i="30"/>
  <c r="XAA249" i="30"/>
  <c r="XAB249" i="30"/>
  <c r="XAC249" i="30"/>
  <c r="XAD249" i="30"/>
  <c r="XAE249" i="30"/>
  <c r="XAF249" i="30"/>
  <c r="XAG249" i="30"/>
  <c r="XAH249" i="30"/>
  <c r="XAI249" i="30"/>
  <c r="XAJ249" i="30"/>
  <c r="XAK249" i="30"/>
  <c r="XAL249" i="30"/>
  <c r="XAM249" i="30"/>
  <c r="XAN249" i="30"/>
  <c r="XAO249" i="30"/>
  <c r="XAP249" i="30"/>
  <c r="XAQ249" i="30"/>
  <c r="XAR249" i="30"/>
  <c r="XAS249" i="30"/>
  <c r="XAT249" i="30"/>
  <c r="XAU249" i="30"/>
  <c r="XAV249" i="30"/>
  <c r="XAW249" i="30"/>
  <c r="XAX249" i="30"/>
  <c r="XAY249" i="30"/>
  <c r="XAZ249" i="30"/>
  <c r="XBA249" i="30"/>
  <c r="XBB249" i="30"/>
  <c r="XBC249" i="30"/>
  <c r="XBD249" i="30"/>
  <c r="XBE249" i="30"/>
  <c r="XBF249" i="30"/>
  <c r="XBG249" i="30"/>
  <c r="XBH249" i="30"/>
  <c r="XBI249" i="30"/>
  <c r="XBJ249" i="30"/>
  <c r="XBK249" i="30"/>
  <c r="XBL249" i="30"/>
  <c r="XBM249" i="30"/>
  <c r="XBN249" i="30"/>
  <c r="XBO249" i="30"/>
  <c r="XBP249" i="30"/>
  <c r="XBQ249" i="30"/>
  <c r="XBR249" i="30"/>
  <c r="XBS249" i="30"/>
  <c r="XBT249" i="30"/>
  <c r="XBU249" i="30"/>
  <c r="XBV249" i="30"/>
  <c r="XBW249" i="30"/>
  <c r="XBX249" i="30"/>
  <c r="XBY249" i="30"/>
  <c r="XBZ249" i="30"/>
  <c r="XCA249" i="30"/>
  <c r="XCB249" i="30"/>
  <c r="XCC249" i="30"/>
  <c r="XCD249" i="30"/>
  <c r="XCE249" i="30"/>
  <c r="XCF249" i="30"/>
  <c r="XCG249" i="30"/>
  <c r="XCH249" i="30"/>
  <c r="XCI249" i="30"/>
  <c r="XCJ249" i="30"/>
  <c r="XCK249" i="30"/>
  <c r="XCL249" i="30"/>
  <c r="XCM249" i="30"/>
  <c r="XCN249" i="30"/>
  <c r="XCO249" i="30"/>
  <c r="XCP249" i="30"/>
  <c r="XCQ249" i="30"/>
  <c r="XCR249" i="30"/>
  <c r="XCS249" i="30"/>
  <c r="XCT249" i="30"/>
  <c r="XCU249" i="30"/>
  <c r="XCV249" i="30"/>
  <c r="XCW249" i="30"/>
  <c r="XCX249" i="30"/>
  <c r="XCY249" i="30"/>
  <c r="XCZ249" i="30"/>
  <c r="XDA249" i="30"/>
  <c r="XDB249" i="30"/>
  <c r="XDC249" i="30"/>
  <c r="XDD249" i="30"/>
  <c r="XDE249" i="30"/>
  <c r="XDF249" i="30"/>
  <c r="XDG249" i="30"/>
  <c r="XDH249" i="30"/>
  <c r="XDI249" i="30"/>
  <c r="XDJ249" i="30"/>
  <c r="XDK249" i="30"/>
  <c r="XDL249" i="30"/>
  <c r="XDM249" i="30"/>
  <c r="XDN249" i="30"/>
  <c r="XDO249" i="30"/>
  <c r="XDP249" i="30"/>
  <c r="XDQ249" i="30"/>
  <c r="XDR249" i="30"/>
  <c r="XDS249" i="30"/>
  <c r="XDT249" i="30"/>
  <c r="XDU249" i="30"/>
  <c r="XDV249" i="30"/>
  <c r="XDW249" i="30"/>
  <c r="XDX249" i="30"/>
  <c r="XDY249" i="30"/>
  <c r="XDZ249" i="30"/>
  <c r="XEA249" i="30"/>
  <c r="XEB249" i="30"/>
  <c r="XEC249" i="30"/>
  <c r="XED249" i="30"/>
  <c r="XEE249" i="30"/>
  <c r="XEF249" i="30"/>
  <c r="XEG249" i="30"/>
  <c r="XEH249" i="30"/>
  <c r="XEI249" i="30"/>
  <c r="XEJ249" i="30"/>
  <c r="XEK249" i="30"/>
  <c r="XEL249" i="30"/>
  <c r="XEM249" i="30"/>
  <c r="XEN249" i="30"/>
  <c r="XEO249" i="30"/>
  <c r="XEP249" i="30"/>
  <c r="XEQ249" i="30"/>
  <c r="XER249" i="30"/>
  <c r="XES249" i="30"/>
  <c r="XET249" i="30"/>
  <c r="XEU249" i="30"/>
  <c r="XEV249" i="30"/>
  <c r="XEW249" i="30"/>
  <c r="XEX249" i="30"/>
  <c r="XEY249" i="30"/>
  <c r="XEZ249" i="30"/>
  <c r="XFA249" i="30"/>
  <c r="XFB249" i="30"/>
  <c r="XFC249" i="30"/>
  <c r="XFD249" i="30"/>
  <c r="J244" i="28" l="1"/>
  <c r="I244" i="28"/>
  <c r="G244" i="28"/>
  <c r="L26" i="23"/>
  <c r="K244" i="28" l="1"/>
  <c r="J214" i="28" l="1"/>
  <c r="I214" i="28"/>
  <c r="G214" i="28"/>
  <c r="K214" i="28" l="1"/>
  <c r="J184" i="28"/>
  <c r="I184" i="28"/>
  <c r="G184" i="28"/>
  <c r="K184" i="28" l="1"/>
  <c r="J154" i="28" l="1"/>
  <c r="I154" i="28"/>
  <c r="G154" i="28"/>
  <c r="J135" i="28"/>
  <c r="K154" i="28" l="1"/>
  <c r="P122" i="30" l="1"/>
  <c r="O122" i="30"/>
  <c r="G122" i="30"/>
  <c r="D122" i="30"/>
  <c r="Q122" i="30" l="1"/>
  <c r="P49" i="30" l="1"/>
  <c r="G49" i="30"/>
  <c r="Q49" i="30" s="1"/>
  <c r="P9" i="29" l="1"/>
  <c r="G9" i="29"/>
  <c r="Q9" i="29" s="1"/>
  <c r="O10" i="28"/>
  <c r="K34" i="30" l="1"/>
  <c r="G7" i="23"/>
  <c r="G18" i="29" s="1"/>
  <c r="G7" i="22"/>
  <c r="G17" i="28" s="1"/>
  <c r="J7" i="22"/>
  <c r="B46" i="28" s="1"/>
  <c r="J17" i="28" l="1"/>
  <c r="O7" i="25"/>
  <c r="O7" i="28" s="1"/>
  <c r="J9" i="22" l="1"/>
  <c r="J46" i="28" s="1"/>
  <c r="D9" i="22"/>
  <c r="D46" i="28" s="1"/>
  <c r="J8" i="26"/>
  <c r="J8" i="29" s="1"/>
  <c r="J7" i="25"/>
  <c r="J7" i="28" s="1"/>
  <c r="J11" i="22" l="1"/>
  <c r="J48" i="28" s="1"/>
  <c r="K9" i="22"/>
  <c r="K46" i="28" s="1"/>
  <c r="B11" i="15"/>
  <c r="D10" i="15"/>
  <c r="K11" i="22" l="1"/>
  <c r="K48" i="28" s="1"/>
  <c r="I53" i="15"/>
  <c r="I49" i="15"/>
  <c r="I39" i="14"/>
  <c r="I38" i="14"/>
  <c r="I39" i="12"/>
  <c r="I37" i="12"/>
  <c r="I45" i="15"/>
  <c r="I36" i="14"/>
  <c r="I35" i="12"/>
  <c r="I41" i="15"/>
  <c r="I33" i="12"/>
  <c r="I34" i="14"/>
  <c r="G38" i="25"/>
  <c r="G31" i="12"/>
  <c r="K38" i="25"/>
  <c r="H38" i="25"/>
  <c r="E38" i="25"/>
  <c r="I31" i="12"/>
  <c r="I37" i="15"/>
  <c r="I32" i="14"/>
  <c r="I33" i="15"/>
  <c r="I30" i="14"/>
  <c r="I29" i="12"/>
  <c r="I29" i="15"/>
  <c r="I28" i="14"/>
  <c r="I27" i="12"/>
  <c r="H25" i="12"/>
  <c r="I24" i="12"/>
  <c r="I15" i="12"/>
  <c r="I19" i="12"/>
  <c r="I23" i="12"/>
  <c r="I7" i="12"/>
  <c r="I11" i="12"/>
  <c r="H26" i="14"/>
  <c r="I25" i="14"/>
  <c r="I25" i="15"/>
  <c r="I24" i="14"/>
  <c r="P9" i="27"/>
  <c r="B48" i="30" s="1"/>
  <c r="P8" i="26"/>
  <c r="P7" i="25"/>
  <c r="N57" i="27"/>
  <c r="E57" i="27"/>
  <c r="O9" i="27"/>
  <c r="O8" i="30" s="1"/>
  <c r="D9" i="27"/>
  <c r="E32" i="26"/>
  <c r="G32" i="26"/>
  <c r="O8" i="26"/>
  <c r="D8" i="26"/>
  <c r="N38" i="25"/>
  <c r="D7" i="25"/>
  <c r="D7" i="28" s="1"/>
  <c r="I21" i="15"/>
  <c r="I20" i="14"/>
  <c r="I7" i="18"/>
  <c r="I26" i="28" s="1"/>
  <c r="L19" i="24"/>
  <c r="G8" i="18"/>
  <c r="E36" i="24"/>
  <c r="J7" i="24"/>
  <c r="I7" i="24"/>
  <c r="I20" i="30" s="1"/>
  <c r="D7" i="24"/>
  <c r="D20" i="30" s="1"/>
  <c r="E36" i="23"/>
  <c r="J7" i="23"/>
  <c r="B13" i="23" s="1"/>
  <c r="B51" i="29" s="1"/>
  <c r="I18" i="29"/>
  <c r="D7" i="23"/>
  <c r="D18" i="29" s="1"/>
  <c r="E38" i="22"/>
  <c r="I7" i="22"/>
  <c r="I17" i="28" s="1"/>
  <c r="D7" i="22"/>
  <c r="D17" i="28" s="1"/>
  <c r="G30" i="21"/>
  <c r="E30" i="21"/>
  <c r="J7" i="21"/>
  <c r="I7" i="21"/>
  <c r="I31" i="30" s="1"/>
  <c r="D7" i="21"/>
  <c r="D31" i="30" s="1"/>
  <c r="G31" i="20"/>
  <c r="E31" i="20"/>
  <c r="J7" i="20"/>
  <c r="I7" i="20"/>
  <c r="I28" i="29" s="1"/>
  <c r="D7" i="20"/>
  <c r="D28" i="29" s="1"/>
  <c r="E37" i="18"/>
  <c r="J7" i="18"/>
  <c r="D7" i="18"/>
  <c r="D26" i="28" s="1"/>
  <c r="I16" i="14"/>
  <c r="I17" i="15"/>
  <c r="B36" i="28" l="1"/>
  <c r="B38" i="28"/>
  <c r="J31" i="30"/>
  <c r="B57" i="28"/>
  <c r="H9" i="18"/>
  <c r="P9" i="25"/>
  <c r="P9" i="28" s="1"/>
  <c r="P7" i="28"/>
  <c r="P11" i="27"/>
  <c r="P10" i="30" s="1"/>
  <c r="P8" i="30"/>
  <c r="D8" i="30"/>
  <c r="D11" i="27"/>
  <c r="D10" i="30" s="1"/>
  <c r="O10" i="30"/>
  <c r="D9" i="25"/>
  <c r="D9" i="28" s="1"/>
  <c r="J20" i="30"/>
  <c r="J18" i="29"/>
  <c r="J28" i="29"/>
  <c r="J26" i="28"/>
  <c r="J9" i="23"/>
  <c r="D9" i="23"/>
  <c r="D20" i="29" s="1"/>
  <c r="Q8" i="26"/>
  <c r="Q9" i="27"/>
  <c r="Q8" i="30" s="1"/>
  <c r="G37" i="18"/>
  <c r="I26" i="14"/>
  <c r="I25" i="12"/>
  <c r="Q7" i="25"/>
  <c r="Q7" i="28" s="1"/>
  <c r="G36" i="23"/>
  <c r="K7" i="23"/>
  <c r="K18" i="29" s="1"/>
  <c r="K7" i="21"/>
  <c r="K31" i="30" s="1"/>
  <c r="J38" i="22"/>
  <c r="G38" i="22"/>
  <c r="G36" i="24"/>
  <c r="O57" i="27"/>
  <c r="O38" i="25"/>
  <c r="K7" i="24"/>
  <c r="K20" i="30" s="1"/>
  <c r="K7" i="22"/>
  <c r="K17" i="28" s="1"/>
  <c r="K7" i="20"/>
  <c r="K28" i="29" s="1"/>
  <c r="K7" i="18"/>
  <c r="K26" i="28" s="1"/>
  <c r="J8" i="12"/>
  <c r="J12" i="12" s="1"/>
  <c r="B16" i="12" s="1"/>
  <c r="J16" i="12" s="1"/>
  <c r="B20" i="12" s="1"/>
  <c r="J20" i="12" s="1"/>
  <c r="B24" i="12" s="1"/>
  <c r="J24" i="12" s="1"/>
  <c r="G8" i="12"/>
  <c r="K8" i="12" s="1"/>
  <c r="K12" i="12" s="1"/>
  <c r="K16" i="12" s="1"/>
  <c r="K20" i="12" s="1"/>
  <c r="K24" i="12" s="1"/>
  <c r="D27" i="12" s="1"/>
  <c r="K27" i="12" s="1"/>
  <c r="D29" i="12" s="1"/>
  <c r="K29" i="12" s="1"/>
  <c r="D31" i="12" s="1"/>
  <c r="K31" i="12" s="1"/>
  <c r="D33" i="12" s="1"/>
  <c r="K33" i="12" s="1"/>
  <c r="D35" i="12" s="1"/>
  <c r="K35" i="12" s="1"/>
  <c r="D37" i="12" s="1"/>
  <c r="K37" i="12" s="1"/>
  <c r="D39" i="12" s="1"/>
  <c r="K39" i="12" s="1"/>
  <c r="J9" i="14"/>
  <c r="J13" i="14" s="1"/>
  <c r="B17" i="14" s="1"/>
  <c r="J17" i="14" s="1"/>
  <c r="B21" i="14" s="1"/>
  <c r="J21" i="14" s="1"/>
  <c r="B25" i="14" s="1"/>
  <c r="J25" i="14" s="1"/>
  <c r="G9" i="14"/>
  <c r="K9" i="14" s="1"/>
  <c r="D13" i="14" s="1"/>
  <c r="K13" i="14" s="1"/>
  <c r="D17" i="14" s="1"/>
  <c r="K17" i="14" s="1"/>
  <c r="D21" i="14" s="1"/>
  <c r="K21" i="14" s="1"/>
  <c r="D25" i="14" s="1"/>
  <c r="K25" i="14" s="1"/>
  <c r="D28" i="14" s="1"/>
  <c r="K28" i="14" s="1"/>
  <c r="D30" i="14" s="1"/>
  <c r="K30" i="14" s="1"/>
  <c r="D32" i="14" s="1"/>
  <c r="K32" i="14" s="1"/>
  <c r="D34" i="14" s="1"/>
  <c r="K34" i="14" s="1"/>
  <c r="D36" i="14" s="1"/>
  <c r="K36" i="14" s="1"/>
  <c r="D38" i="14" s="1"/>
  <c r="K38" i="14" s="1"/>
  <c r="D39" i="14" s="1"/>
  <c r="K39" i="14" s="1"/>
  <c r="J10" i="15"/>
  <c r="J14" i="15" s="1"/>
  <c r="B18" i="15" s="1"/>
  <c r="J18" i="15" s="1"/>
  <c r="B22" i="15" s="1"/>
  <c r="J22" i="15" s="1"/>
  <c r="B26" i="15" s="1"/>
  <c r="J26" i="15" s="1"/>
  <c r="G10" i="15"/>
  <c r="K10" i="15" s="1"/>
  <c r="D14" i="15" s="1"/>
  <c r="K14" i="15" s="1"/>
  <c r="D18" i="15" s="1"/>
  <c r="K18" i="15" s="1"/>
  <c r="D22" i="15" s="1"/>
  <c r="K22" i="15" s="1"/>
  <c r="D26" i="15" s="1"/>
  <c r="K26" i="15" s="1"/>
  <c r="D30" i="15" s="1"/>
  <c r="K30" i="15" s="1"/>
  <c r="D34" i="15" s="1"/>
  <c r="K34" i="15" s="1"/>
  <c r="D38" i="15" s="1"/>
  <c r="K38" i="15" s="1"/>
  <c r="D42" i="15" s="1"/>
  <c r="K42" i="15" s="1"/>
  <c r="D46" i="15" s="1"/>
  <c r="K46" i="15" s="1"/>
  <c r="D50" i="15" s="1"/>
  <c r="K50" i="15" s="1"/>
  <c r="D54" i="15" s="1"/>
  <c r="K54" i="15" s="1"/>
  <c r="H59" i="28" l="1"/>
  <c r="H57" i="28"/>
  <c r="I9" i="18"/>
  <c r="B39" i="29"/>
  <c r="D10" i="26"/>
  <c r="D39" i="29" s="1"/>
  <c r="P10" i="26"/>
  <c r="P39" i="29" s="1"/>
  <c r="Q11" i="27"/>
  <c r="Q10" i="30" s="1"/>
  <c r="Q9" i="25"/>
  <c r="Q9" i="28" s="1"/>
  <c r="B69" i="30"/>
  <c r="J9" i="21"/>
  <c r="D9" i="21"/>
  <c r="D69" i="30" s="1"/>
  <c r="B46" i="30"/>
  <c r="P14" i="27"/>
  <c r="D14" i="27"/>
  <c r="B58" i="30"/>
  <c r="J9" i="24"/>
  <c r="D9" i="24"/>
  <c r="D58" i="30" s="1"/>
  <c r="J20" i="29"/>
  <c r="B49" i="29"/>
  <c r="D11" i="23"/>
  <c r="J11" i="23"/>
  <c r="B61" i="29"/>
  <c r="J9" i="20"/>
  <c r="D9" i="20"/>
  <c r="D61" i="29" s="1"/>
  <c r="D11" i="25"/>
  <c r="P11" i="25"/>
  <c r="J9" i="18"/>
  <c r="D9" i="18"/>
  <c r="D57" i="28" s="1"/>
  <c r="K9" i="23"/>
  <c r="K20" i="29" s="1"/>
  <c r="B30" i="15"/>
  <c r="J30" i="15" s="1"/>
  <c r="L26" i="15"/>
  <c r="R22" i="27" s="1"/>
  <c r="J27" i="12"/>
  <c r="L24" i="12"/>
  <c r="L21" i="22"/>
  <c r="J28" i="14"/>
  <c r="M26" i="14"/>
  <c r="J36" i="24"/>
  <c r="L20" i="24"/>
  <c r="K38" i="22"/>
  <c r="I12" i="14"/>
  <c r="I13" i="15"/>
  <c r="B95" i="29" l="1"/>
  <c r="J61" i="29"/>
  <c r="J13" i="23"/>
  <c r="J51" i="29" s="1"/>
  <c r="J49" i="29"/>
  <c r="D13" i="23"/>
  <c r="D51" i="29" s="1"/>
  <c r="D49" i="29"/>
  <c r="Q10" i="26"/>
  <c r="Q39" i="29" s="1"/>
  <c r="K9" i="21"/>
  <c r="K69" i="30" s="1"/>
  <c r="B92" i="30"/>
  <c r="J11" i="24"/>
  <c r="D11" i="24"/>
  <c r="D92" i="30" s="1"/>
  <c r="P36" i="28"/>
  <c r="P13" i="25"/>
  <c r="P38" i="28" s="1"/>
  <c r="I57" i="28"/>
  <c r="D46" i="30"/>
  <c r="D16" i="27"/>
  <c r="D48" i="30" s="1"/>
  <c r="B73" i="29"/>
  <c r="J57" i="28"/>
  <c r="D13" i="25"/>
  <c r="D38" i="28" s="1"/>
  <c r="D36" i="28"/>
  <c r="J11" i="20"/>
  <c r="D11" i="20"/>
  <c r="D95" i="29" s="1"/>
  <c r="J10" i="18"/>
  <c r="J11" i="18" s="1"/>
  <c r="J59" i="28" s="1"/>
  <c r="I10" i="18"/>
  <c r="I58" i="28" s="1"/>
  <c r="H58" i="28"/>
  <c r="J69" i="30"/>
  <c r="P46" i="30"/>
  <c r="Q14" i="27"/>
  <c r="P16" i="27"/>
  <c r="P48" i="30" s="1"/>
  <c r="J58" i="30"/>
  <c r="K9" i="24"/>
  <c r="K58" i="30" s="1"/>
  <c r="K11" i="23"/>
  <c r="K9" i="20"/>
  <c r="K61" i="29" s="1"/>
  <c r="K9" i="18"/>
  <c r="Q11" i="25"/>
  <c r="J36" i="23"/>
  <c r="M28" i="14"/>
  <c r="J30" i="14"/>
  <c r="J32" i="14" s="1"/>
  <c r="J34" i="14" s="1"/>
  <c r="J36" i="14" s="1"/>
  <c r="J38" i="14" s="1"/>
  <c r="B34" i="15"/>
  <c r="J34" i="15" s="1"/>
  <c r="B38" i="15" s="1"/>
  <c r="J38" i="15" s="1"/>
  <c r="L30" i="15"/>
  <c r="J29" i="12"/>
  <c r="J31" i="12" s="1"/>
  <c r="J33" i="12" s="1"/>
  <c r="J35" i="12" s="1"/>
  <c r="J37" i="12" s="1"/>
  <c r="L27" i="12"/>
  <c r="L25" i="22"/>
  <c r="K36" i="24"/>
  <c r="K36" i="23"/>
  <c r="J13" i="24" l="1"/>
  <c r="J94" i="30" s="1"/>
  <c r="J92" i="30"/>
  <c r="K13" i="23"/>
  <c r="K51" i="29" s="1"/>
  <c r="K49" i="29"/>
  <c r="J95" i="29"/>
  <c r="J13" i="20"/>
  <c r="K11" i="24"/>
  <c r="P12" i="26"/>
  <c r="D12" i="26"/>
  <c r="D73" i="29" s="1"/>
  <c r="B104" i="30"/>
  <c r="J11" i="21"/>
  <c r="D11" i="21"/>
  <c r="D104" i="30" s="1"/>
  <c r="I11" i="18"/>
  <c r="I59" i="28" s="1"/>
  <c r="K11" i="20"/>
  <c r="Q13" i="25"/>
  <c r="Q38" i="28" s="1"/>
  <c r="Q36" i="28"/>
  <c r="K57" i="28"/>
  <c r="K10" i="18"/>
  <c r="K58" i="28" s="1"/>
  <c r="J58" i="28"/>
  <c r="Q16" i="27"/>
  <c r="Q48" i="30" s="1"/>
  <c r="Q46" i="30"/>
  <c r="S20" i="26"/>
  <c r="L20" i="23"/>
  <c r="L27" i="22"/>
  <c r="L27" i="20"/>
  <c r="J39" i="14"/>
  <c r="M38" i="14"/>
  <c r="J39" i="12"/>
  <c r="L37" i="12"/>
  <c r="L24" i="24"/>
  <c r="L38" i="15"/>
  <c r="B42" i="15"/>
  <c r="J42" i="15" s="1"/>
  <c r="B46" i="15" s="1"/>
  <c r="J46" i="15" s="1"/>
  <c r="B50" i="15" s="1"/>
  <c r="J50" i="15" s="1"/>
  <c r="Q38" i="25"/>
  <c r="L28" i="12"/>
  <c r="I42" i="16"/>
  <c r="D7" i="12"/>
  <c r="K7" i="12" s="1"/>
  <c r="B164" i="29" l="1"/>
  <c r="J15" i="20"/>
  <c r="D15" i="20"/>
  <c r="D164" i="29" s="1"/>
  <c r="J104" i="30"/>
  <c r="J13" i="21"/>
  <c r="K92" i="30"/>
  <c r="K13" i="24"/>
  <c r="K94" i="30" s="1"/>
  <c r="P73" i="29"/>
  <c r="P14" i="26"/>
  <c r="D14" i="18"/>
  <c r="D89" i="28" s="1"/>
  <c r="B89" i="28"/>
  <c r="J14" i="18"/>
  <c r="K95" i="29"/>
  <c r="K13" i="20"/>
  <c r="K16" i="20"/>
  <c r="J97" i="29"/>
  <c r="J129" i="29"/>
  <c r="Q12" i="26"/>
  <c r="K11" i="21"/>
  <c r="K11" i="18"/>
  <c r="K59" i="28" s="1"/>
  <c r="K90" i="28"/>
  <c r="K91" i="28" s="1"/>
  <c r="K165" i="29"/>
  <c r="K166" i="29"/>
  <c r="S24" i="26"/>
  <c r="L31" i="23"/>
  <c r="B54" i="15"/>
  <c r="J54" i="15" s="1"/>
  <c r="L50" i="15"/>
  <c r="L26" i="24"/>
  <c r="R27" i="27"/>
  <c r="K42" i="14"/>
  <c r="J42" i="14"/>
  <c r="H42" i="14"/>
  <c r="K42" i="16"/>
  <c r="H41" i="12"/>
  <c r="K41" i="12"/>
  <c r="J41" i="12"/>
  <c r="P16" i="26" l="1"/>
  <c r="B142" i="29"/>
  <c r="D16" i="26"/>
  <c r="D142" i="29" s="1"/>
  <c r="B176" i="30"/>
  <c r="D15" i="21"/>
  <c r="D176" i="30" s="1"/>
  <c r="J15" i="21"/>
  <c r="J164" i="29"/>
  <c r="K15" i="20"/>
  <c r="J31" i="20"/>
  <c r="B122" i="28"/>
  <c r="J19" i="18"/>
  <c r="D19" i="18"/>
  <c r="D122" i="28" s="1"/>
  <c r="K13" i="21"/>
  <c r="K104" i="30"/>
  <c r="Q14" i="26"/>
  <c r="Q73" i="29"/>
  <c r="K97" i="29"/>
  <c r="K129" i="29"/>
  <c r="P75" i="29"/>
  <c r="P107" i="29"/>
  <c r="J106" i="30"/>
  <c r="J141" i="30"/>
  <c r="J89" i="28"/>
  <c r="K14" i="18"/>
  <c r="J37" i="18"/>
  <c r="L27" i="21"/>
  <c r="L33" i="18"/>
  <c r="L24" i="23"/>
  <c r="L32" i="24"/>
  <c r="L33" i="22"/>
  <c r="Q16" i="26" l="1"/>
  <c r="Q142" i="29" s="1"/>
  <c r="P142" i="29"/>
  <c r="K15" i="21"/>
  <c r="J176" i="30"/>
  <c r="J178" i="30" s="1"/>
  <c r="K164" i="29"/>
  <c r="K31" i="20"/>
  <c r="K19" i="18"/>
  <c r="J122" i="28"/>
  <c r="Q75" i="29"/>
  <c r="Q107" i="29"/>
  <c r="K89" i="28"/>
  <c r="K37" i="18"/>
  <c r="K106" i="30"/>
  <c r="K141" i="30"/>
  <c r="R32" i="27"/>
  <c r="R25" i="25"/>
  <c r="P38" i="25"/>
  <c r="R28" i="27"/>
  <c r="H57" i="15"/>
  <c r="K176" i="30" l="1"/>
  <c r="K178" i="30" s="1"/>
  <c r="K30" i="21"/>
  <c r="K122" i="28"/>
  <c r="R22" i="25"/>
  <c r="R27" i="25"/>
  <c r="R29" i="25" l="1"/>
  <c r="G41" i="12"/>
  <c r="E42" i="16"/>
  <c r="R31" i="25" l="1"/>
  <c r="G42" i="16"/>
  <c r="R33" i="25" l="1"/>
  <c r="R33" i="27"/>
  <c r="L31" i="15" l="1"/>
  <c r="I8" i="14"/>
  <c r="I42" i="14" s="1"/>
  <c r="D9" i="15"/>
  <c r="D11" i="15" s="1"/>
  <c r="J8" i="14"/>
  <c r="D8" i="14"/>
  <c r="P57" i="27" l="1"/>
  <c r="J10" i="14"/>
  <c r="J42" i="16"/>
  <c r="K8" i="14"/>
  <c r="G57" i="15"/>
  <c r="E57" i="15"/>
  <c r="E41" i="12"/>
  <c r="E42" i="14"/>
  <c r="J12" i="14" l="1"/>
  <c r="B14" i="14"/>
  <c r="D12" i="14"/>
  <c r="K10" i="14"/>
  <c r="L42" i="16"/>
  <c r="Q57" i="27" l="1"/>
  <c r="R40" i="27"/>
  <c r="K12" i="14"/>
  <c r="D14" i="14"/>
  <c r="J14" i="14"/>
  <c r="G42" i="14"/>
  <c r="J16" i="14" l="1"/>
  <c r="B18" i="14"/>
  <c r="K14" i="14"/>
  <c r="D16" i="14"/>
  <c r="I9" i="15"/>
  <c r="I57" i="15" s="1"/>
  <c r="J9" i="15"/>
  <c r="J7" i="12"/>
  <c r="D18" i="14" l="1"/>
  <c r="K16" i="14"/>
  <c r="J18" i="14"/>
  <c r="J9" i="12"/>
  <c r="J11" i="15"/>
  <c r="I41" i="12"/>
  <c r="K9" i="15"/>
  <c r="J13" i="15" l="1"/>
  <c r="B15" i="15"/>
  <c r="B22" i="14"/>
  <c r="J20" i="14"/>
  <c r="K18" i="14"/>
  <c r="D20" i="14"/>
  <c r="J11" i="12"/>
  <c r="B13" i="12"/>
  <c r="D13" i="15"/>
  <c r="K11" i="15"/>
  <c r="K13" i="15" l="1"/>
  <c r="D15" i="15"/>
  <c r="J15" i="15"/>
  <c r="D22" i="14"/>
  <c r="K20" i="14"/>
  <c r="J22" i="14"/>
  <c r="J13" i="12"/>
  <c r="K11" i="12"/>
  <c r="K9" i="12"/>
  <c r="B19" i="15" l="1"/>
  <c r="J17" i="15"/>
  <c r="K15" i="15"/>
  <c r="D17" i="15"/>
  <c r="J24" i="14"/>
  <c r="J26" i="14" s="1"/>
  <c r="B26" i="14"/>
  <c r="K22" i="14"/>
  <c r="D24" i="14"/>
  <c r="B17" i="12"/>
  <c r="J15" i="12"/>
  <c r="D19" i="15" l="1"/>
  <c r="K17" i="15"/>
  <c r="J19" i="15"/>
  <c r="K24" i="14"/>
  <c r="K26" i="14" s="1"/>
  <c r="D26" i="14"/>
  <c r="J17" i="12"/>
  <c r="K13" i="12"/>
  <c r="K15" i="12"/>
  <c r="J21" i="15" l="1"/>
  <c r="B23" i="15"/>
  <c r="K19" i="15"/>
  <c r="D21" i="15"/>
  <c r="B21" i="12"/>
  <c r="J19" i="12"/>
  <c r="K21" i="15" l="1"/>
  <c r="D23" i="15"/>
  <c r="J23" i="15"/>
  <c r="J21" i="12"/>
  <c r="K17" i="12"/>
  <c r="J25" i="15" l="1"/>
  <c r="B27" i="15"/>
  <c r="K23" i="15"/>
  <c r="D25" i="15"/>
  <c r="K19" i="12"/>
  <c r="J23" i="12"/>
  <c r="J25" i="12" s="1"/>
  <c r="B25" i="12"/>
  <c r="D27" i="15" l="1"/>
  <c r="K25" i="15"/>
  <c r="J27" i="15"/>
  <c r="L25" i="15"/>
  <c r="K21" i="12"/>
  <c r="B31" i="15" l="1"/>
  <c r="J29" i="15"/>
  <c r="K27" i="15"/>
  <c r="D29" i="15"/>
  <c r="K23" i="12"/>
  <c r="K25" i="12" s="1"/>
  <c r="D31" i="15" l="1"/>
  <c r="K29" i="15"/>
  <c r="J31" i="15"/>
  <c r="L29" i="15"/>
  <c r="K31" i="15" l="1"/>
  <c r="D33" i="15"/>
  <c r="J33" i="15"/>
  <c r="B35" i="15"/>
  <c r="K33" i="15" l="1"/>
  <c r="D35" i="15"/>
  <c r="J35" i="15"/>
  <c r="J37" i="15" l="1"/>
  <c r="B39" i="15"/>
  <c r="D37" i="15"/>
  <c r="K35" i="15"/>
  <c r="B43" i="15" l="1"/>
  <c r="J41" i="15"/>
  <c r="K37" i="15"/>
  <c r="D39" i="15"/>
  <c r="L37" i="15"/>
  <c r="J39" i="15"/>
  <c r="J57" i="15" s="1"/>
  <c r="K39" i="15" l="1"/>
  <c r="K57" i="15" s="1"/>
  <c r="D41" i="15"/>
  <c r="J43" i="15"/>
  <c r="J45" i="15" l="1"/>
  <c r="B47" i="15"/>
  <c r="D43" i="15"/>
  <c r="K41" i="15"/>
  <c r="J47" i="15" l="1"/>
  <c r="K43" i="15"/>
  <c r="D45" i="15"/>
  <c r="J49" i="15" l="1"/>
  <c r="L49" i="15" s="1"/>
  <c r="B51" i="15"/>
  <c r="K45" i="15"/>
  <c r="D47" i="15"/>
  <c r="K47" i="15" l="1"/>
  <c r="D49" i="15"/>
  <c r="J51" i="15"/>
  <c r="J53" i="15" l="1"/>
  <c r="J55" i="15" s="1"/>
  <c r="B55" i="15"/>
  <c r="K49" i="15"/>
  <c r="D51" i="15"/>
  <c r="K51" i="15" l="1"/>
  <c r="D53" i="15"/>
  <c r="K53" i="15" l="1"/>
  <c r="K55" i="15" s="1"/>
  <c r="D55" i="15"/>
  <c r="G57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<sst xmlns="http://schemas.openxmlformats.org/spreadsheetml/2006/main" count="3700" uniqueCount="119">
  <si>
    <t>BULAN</t>
  </si>
  <si>
    <t>Januari</t>
  </si>
  <si>
    <t>TAWAS</t>
  </si>
  <si>
    <t>KAPORIT</t>
  </si>
  <si>
    <t>PEMAKAIAN</t>
  </si>
  <si>
    <t>PENAMBAHAN</t>
  </si>
  <si>
    <t>SALDO AKHIR</t>
  </si>
  <si>
    <t>SALDO AWAL</t>
  </si>
  <si>
    <t>Volume</t>
  </si>
  <si>
    <t>Hrg/Kg</t>
  </si>
  <si>
    <t>Jumlah</t>
  </si>
  <si>
    <t>Soda Ash</t>
  </si>
  <si>
    <t>LAPORAN PERSEDIAAN BAHAN KIMIA</t>
  </si>
  <si>
    <t>Jumlah (Rp)</t>
  </si>
  <si>
    <t>Hrg/Kg (Rp)</t>
  </si>
  <si>
    <t>Jumlahm (Rp)</t>
  </si>
  <si>
    <t>JUMLAH</t>
  </si>
  <si>
    <t>JUMLAH PEMAKAIAN &amp; PEMBELIAN KAPORIT</t>
  </si>
  <si>
    <t>JUMLAH PEMBELIAN &amp; PEMAKAIAN TAWAS</t>
  </si>
  <si>
    <t>JUMLAH PEMBELIAN &amp; PEMAKAIAN  SODA ASH</t>
  </si>
  <si>
    <t>Feb</t>
  </si>
  <si>
    <t>Februari</t>
  </si>
  <si>
    <t>Maret</t>
  </si>
  <si>
    <t>SODA ASH</t>
  </si>
  <si>
    <t>April</t>
  </si>
  <si>
    <t>MUTASI KARTIKA BHAKTI</t>
  </si>
  <si>
    <t>MUTASI HANAU</t>
  </si>
  <si>
    <t>Mei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</si>
  <si>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</si>
  <si>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</si>
  <si>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</si>
  <si>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</si>
  <si>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</si>
  <si>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</si>
  <si>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</si>
  <si>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</si>
  <si>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NOIVEMBER</t>
  </si>
  <si>
    <t xml:space="preserve">       </t>
  </si>
  <si>
    <t>PDAM KAB SERUYAN TAHUN 2022</t>
  </si>
  <si>
    <t xml:space="preserve"> </t>
  </si>
  <si>
    <t>TAWAS PUSAT</t>
  </si>
  <si>
    <t>TAWAS KARTIKA BHAKTI</t>
  </si>
  <si>
    <t xml:space="preserve">TAWAS HANAU                </t>
  </si>
  <si>
    <t>KAPORIT PUSAT</t>
  </si>
  <si>
    <t>KAPORIT KARTIKA BHAKTI</t>
  </si>
  <si>
    <t>Soda Ash PUSAT</t>
  </si>
  <si>
    <t>SODA ASH KARTIKA BHAKTI</t>
  </si>
  <si>
    <t>SODA ASH HANAU</t>
  </si>
  <si>
    <t xml:space="preserve">April </t>
  </si>
  <si>
    <t>KAPORIT HANAU</t>
  </si>
  <si>
    <t xml:space="preserve">                           </t>
  </si>
  <si>
    <t>Juni</t>
  </si>
  <si>
    <t>Juli</t>
  </si>
  <si>
    <t>Agustus</t>
  </si>
  <si>
    <t>September</t>
  </si>
  <si>
    <t>Oktober</t>
  </si>
  <si>
    <t>November</t>
  </si>
  <si>
    <t>Desember</t>
  </si>
  <si>
    <t>DEXLITE</t>
  </si>
  <si>
    <t>KAPOIT HANAU</t>
  </si>
  <si>
    <t xml:space="preserve">   </t>
  </si>
  <si>
    <t>HARGA</t>
  </si>
  <si>
    <t xml:space="preserve">JUMLAH TOTAL </t>
  </si>
  <si>
    <t xml:space="preserve">                                                            </t>
  </si>
  <si>
    <t xml:space="preserve">November </t>
  </si>
  <si>
    <t xml:space="preserve">Desember </t>
  </si>
  <si>
    <t xml:space="preserve">JUMLAH PEMBELIAN &amp; PEMAKAIAN  </t>
  </si>
  <si>
    <t xml:space="preserve">POLIMER </t>
  </si>
  <si>
    <t>MAGNAFOC</t>
  </si>
  <si>
    <t>MAGNALFOG PUSAT</t>
  </si>
  <si>
    <t>MAGNAFLOG KARTIKA BHAKTI</t>
  </si>
  <si>
    <t>MAGNAFLOC HANAU</t>
  </si>
  <si>
    <t xml:space="preserve">Maret </t>
  </si>
  <si>
    <t>STOK AWAL</t>
  </si>
  <si>
    <t>STOK AKHIR</t>
  </si>
  <si>
    <t>PERSEDIAAN BAHAN KIMIA HANAU</t>
  </si>
  <si>
    <t>JANUARI</t>
  </si>
  <si>
    <t>FEBRUARI</t>
  </si>
  <si>
    <t>MARET</t>
  </si>
  <si>
    <t>APRIL</t>
  </si>
  <si>
    <t xml:space="preserve">JUMLAH </t>
  </si>
  <si>
    <t>PERSEDIAAN BAHAN KIMIA PUSAT</t>
  </si>
  <si>
    <t>PERSEDIAAN BAHAN KIMIA KARTIKA BHAKTI</t>
  </si>
  <si>
    <t>STOK DIPEMBUKUAN</t>
  </si>
  <si>
    <t>STOK TIDAK MASUK PEMBUKUAN</t>
  </si>
  <si>
    <t>BAHAN KIMIA</t>
  </si>
  <si>
    <t>STOK PER TANGGAL 13 MEI 2024</t>
  </si>
  <si>
    <t>PEMAKAIAN RATA-RATA</t>
  </si>
  <si>
    <t>PUSAT</t>
  </si>
  <si>
    <t>KARTIKA BHAKTI</t>
  </si>
  <si>
    <t>HANAU</t>
  </si>
  <si>
    <t>PERUMDAM TIRTA SERUYAN TAHUN 2024</t>
  </si>
  <si>
    <t>PERUMDAM SERUYAN TAHUN 2024</t>
  </si>
  <si>
    <t xml:space="preserve">Agustus </t>
  </si>
  <si>
    <t xml:space="preserve">September </t>
  </si>
  <si>
    <t xml:space="preserve">Septembwe </t>
  </si>
  <si>
    <t xml:space="preserve">Desenber </t>
  </si>
  <si>
    <t>FEBRUARI 2025</t>
  </si>
  <si>
    <t>MEI 2025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</si>
  <si>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</si>
  <si>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bagsfa </t>
  </si>
  <si>
    <t>JUNI 2025</t>
  </si>
  <si>
    <t>JULI 2025</t>
  </si>
  <si>
    <t>AGUSTUS 2025</t>
  </si>
  <si>
    <t xml:space="preserve">SEPTEMBER </t>
  </si>
  <si>
    <t xml:space="preserve">OKTOBER </t>
  </si>
  <si>
    <t>OKTOBER 2025</t>
  </si>
  <si>
    <t>DESEMBER 2025</t>
  </si>
  <si>
    <t>PERUMDAM TIRTA SERUYAN TAHUN 2026</t>
  </si>
  <si>
    <t>JUMLAH PEMBELIAN &amp; PEMAKAIAN HAPORIT</t>
  </si>
  <si>
    <t>JUMLAH PEMBELIAN &amp; PEMAKAIAN SODA ASH</t>
  </si>
  <si>
    <t>PERUMDAM TIRTA SERUYAN TAHUN 2025</t>
  </si>
  <si>
    <t>PERUMDAM SERUYAN TAHUN 2026</t>
  </si>
  <si>
    <t>JUMLAH PEMBELIAN &amp; PEMAKAIAN KAPORIT</t>
  </si>
  <si>
    <t>JANUARI 2026</t>
  </si>
  <si>
    <t>FEBRUARI 2026</t>
  </si>
  <si>
    <t>MARET 2026</t>
  </si>
  <si>
    <t>MARET  2026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</si>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</sst>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(* #,##0.0000_);_(* \(#,##0.0000\);_(* &quot;-&quot;????_);_(@_)"/>
    <numFmt numFmtId="166" formatCode="_(* #,##0_);_(* \(#,##0\);_(* &quot;-&quot;??_);_(@_)"/>
    <numFmt numFmtId="167" formatCode="_(* #,##0.00_);_(* \(#,##0.00\);_(* &quot;-&quot;_);_(@_)"/>
    <numFmt numFmtId="168" formatCode="_(* #,##0.0_);_(* \(#,##0.0\);_(* &quot;-&quot;??_);_(@_)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7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78">
    <xf numFmtId="0" fontId="0" fillId="0" borderId="0" xfId="0"/>
    <xf numFmtId="41" fontId="0" fillId="0" borderId="0" xfId="1" applyFont="1"/>
    <xf numFmtId="0" fontId="3" fillId="0" borderId="0" xfId="0" applyFont="1"/>
    <xf numFmtId="41" fontId="0" fillId="0" borderId="0" xfId="0" applyNumberFormat="1"/>
    <xf numFmtId="43" fontId="0" fillId="0" borderId="0" xfId="1" applyNumberFormat="1" applyFont="1"/>
    <xf numFmtId="43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41" fontId="3" fillId="0" borderId="0" xfId="1" applyFont="1"/>
    <xf numFmtId="43" fontId="5" fillId="0" borderId="0" xfId="1" applyNumberFormat="1" applyFont="1" applyBorder="1"/>
    <xf numFmtId="0" fontId="3" fillId="0" borderId="2" xfId="0" applyFont="1" applyBorder="1"/>
    <xf numFmtId="41" fontId="5" fillId="0" borderId="0" xfId="1" applyFont="1" applyBorder="1"/>
    <xf numFmtId="165" fontId="0" fillId="0" borderId="0" xfId="1" applyNumberFormat="1" applyFont="1" applyBorder="1"/>
    <xf numFmtId="41" fontId="5" fillId="0" borderId="0" xfId="1" applyFont="1" applyBorder="1" applyAlignment="1">
      <alignment horizontal="center"/>
    </xf>
    <xf numFmtId="43" fontId="5" fillId="0" borderId="0" xfId="0" applyNumberFormat="1" applyFont="1" applyAlignment="1">
      <alignment horizontal="center"/>
    </xf>
    <xf numFmtId="41" fontId="0" fillId="0" borderId="0" xfId="1" applyFont="1" applyBorder="1"/>
    <xf numFmtId="41" fontId="0" fillId="0" borderId="0" xfId="1" applyFont="1" applyBorder="1" applyAlignment="1">
      <alignment horizontal="center"/>
    </xf>
    <xf numFmtId="43" fontId="0" fillId="0" borderId="0" xfId="1" applyNumberFormat="1" applyFont="1" applyBorder="1"/>
    <xf numFmtId="0" fontId="0" fillId="0" borderId="0" xfId="0" applyAlignment="1">
      <alignment horizontal="left"/>
    </xf>
    <xf numFmtId="41" fontId="2" fillId="0" borderId="0" xfId="1" applyFont="1" applyBorder="1" applyAlignment="1">
      <alignment horizontal="center"/>
    </xf>
    <xf numFmtId="43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41" fontId="4" fillId="0" borderId="0" xfId="1" applyFont="1" applyBorder="1" applyAlignment="1">
      <alignment horizontal="center"/>
    </xf>
    <xf numFmtId="43" fontId="4" fillId="0" borderId="0" xfId="0" applyNumberFormat="1" applyFont="1" applyAlignment="1">
      <alignment horizontal="center"/>
    </xf>
    <xf numFmtId="41" fontId="1" fillId="0" borderId="0" xfId="1" applyFont="1" applyBorder="1"/>
    <xf numFmtId="41" fontId="4" fillId="0" borderId="5" xfId="1" applyFont="1" applyBorder="1" applyAlignment="1">
      <alignment horizontal="center"/>
    </xf>
    <xf numFmtId="43" fontId="4" fillId="0" borderId="5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6" fontId="4" fillId="0" borderId="5" xfId="2" applyNumberFormat="1" applyFont="1" applyBorder="1" applyAlignment="1">
      <alignment horizontal="center"/>
    </xf>
    <xf numFmtId="41" fontId="4" fillId="0" borderId="5" xfId="0" applyNumberFormat="1" applyFont="1" applyBorder="1" applyAlignment="1">
      <alignment horizontal="center"/>
    </xf>
    <xf numFmtId="41" fontId="8" fillId="0" borderId="1" xfId="1" applyFont="1" applyBorder="1" applyAlignment="1">
      <alignment vertical="center"/>
    </xf>
    <xf numFmtId="41" fontId="3" fillId="0" borderId="0" xfId="1" applyFont="1" applyBorder="1"/>
    <xf numFmtId="41" fontId="6" fillId="0" borderId="0" xfId="1" applyFont="1" applyBorder="1"/>
    <xf numFmtId="0" fontId="8" fillId="0" borderId="5" xfId="0" applyFont="1" applyBorder="1" applyAlignment="1">
      <alignment horizontal="center" vertical="center"/>
    </xf>
    <xf numFmtId="43" fontId="8" fillId="0" borderId="5" xfId="1" applyNumberFormat="1" applyFont="1" applyBorder="1" applyAlignment="1">
      <alignment vertical="center"/>
    </xf>
    <xf numFmtId="166" fontId="4" fillId="0" borderId="5" xfId="1" applyNumberFormat="1" applyFont="1" applyBorder="1" applyAlignment="1">
      <alignment vertical="center"/>
    </xf>
    <xf numFmtId="43" fontId="4" fillId="0" borderId="5" xfId="1" applyNumberFormat="1" applyFont="1" applyBorder="1" applyAlignment="1">
      <alignment vertical="center"/>
    </xf>
    <xf numFmtId="41" fontId="4" fillId="0" borderId="5" xfId="1" applyFont="1" applyBorder="1" applyAlignment="1">
      <alignment vertical="center"/>
    </xf>
    <xf numFmtId="41" fontId="4" fillId="0" borderId="5" xfId="1" applyFont="1" applyBorder="1"/>
    <xf numFmtId="0" fontId="4" fillId="0" borderId="0" xfId="0" applyFont="1" applyAlignment="1">
      <alignment vertical="center"/>
    </xf>
    <xf numFmtId="41" fontId="4" fillId="0" borderId="0" xfId="1" applyFont="1" applyBorder="1"/>
    <xf numFmtId="165" fontId="4" fillId="0" borderId="0" xfId="1" applyNumberFormat="1" applyFont="1" applyBorder="1"/>
    <xf numFmtId="43" fontId="8" fillId="0" borderId="0" xfId="1" applyNumberFormat="1" applyFont="1" applyBorder="1"/>
    <xf numFmtId="43" fontId="4" fillId="0" borderId="0" xfId="1" applyNumberFormat="1" applyFont="1" applyBorder="1"/>
    <xf numFmtId="0" fontId="4" fillId="0" borderId="0" xfId="0" applyFont="1" applyAlignment="1">
      <alignment horizontal="left"/>
    </xf>
    <xf numFmtId="43" fontId="8" fillId="0" borderId="1" xfId="1" applyNumberFormat="1" applyFont="1" applyBorder="1" applyAlignment="1">
      <alignment vertical="center"/>
    </xf>
    <xf numFmtId="41" fontId="8" fillId="0" borderId="5" xfId="1" applyFont="1" applyBorder="1" applyAlignment="1">
      <alignment vertical="center"/>
    </xf>
    <xf numFmtId="0" fontId="7" fillId="0" borderId="0" xfId="0" applyFont="1"/>
    <xf numFmtId="41" fontId="8" fillId="0" borderId="6" xfId="1" applyFont="1" applyBorder="1" applyAlignment="1">
      <alignment horizontal="center" vertical="center"/>
    </xf>
    <xf numFmtId="43" fontId="8" fillId="0" borderId="6" xfId="0" applyNumberFormat="1" applyFont="1" applyBorder="1" applyAlignment="1">
      <alignment horizontal="center" vertical="center"/>
    </xf>
    <xf numFmtId="1" fontId="0" fillId="0" borderId="0" xfId="0" applyNumberFormat="1"/>
    <xf numFmtId="1" fontId="7" fillId="0" borderId="0" xfId="0" applyNumberFormat="1" applyFont="1" applyAlignment="1">
      <alignment horizont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/>
    </xf>
    <xf numFmtId="1" fontId="0" fillId="0" borderId="0" xfId="1" applyNumberFormat="1" applyFont="1" applyBorder="1"/>
    <xf numFmtId="1" fontId="0" fillId="0" borderId="0" xfId="1" applyNumberFormat="1" applyFont="1"/>
    <xf numFmtId="0" fontId="4" fillId="0" borderId="0" xfId="0" applyFont="1"/>
    <xf numFmtId="41" fontId="4" fillId="0" borderId="0" xfId="0" applyNumberFormat="1" applyFont="1"/>
    <xf numFmtId="0" fontId="9" fillId="0" borderId="0" xfId="0" applyFont="1" applyAlignment="1">
      <alignment horizontal="center" vertical="center"/>
    </xf>
    <xf numFmtId="41" fontId="9" fillId="0" borderId="0" xfId="0" applyNumberFormat="1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1" fontId="8" fillId="0" borderId="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41" fontId="8" fillId="0" borderId="2" xfId="0" applyNumberFormat="1" applyFont="1" applyBorder="1" applyAlignment="1">
      <alignment horizontal="center"/>
    </xf>
    <xf numFmtId="41" fontId="4" fillId="0" borderId="5" xfId="1" applyFont="1" applyBorder="1" applyAlignment="1">
      <alignment horizontal="right"/>
    </xf>
    <xf numFmtId="43" fontId="4" fillId="0" borderId="5" xfId="1" applyNumberFormat="1" applyFont="1" applyBorder="1" applyAlignment="1">
      <alignment horizontal="center"/>
    </xf>
    <xf numFmtId="43" fontId="4" fillId="0" borderId="0" xfId="0" applyNumberFormat="1" applyFont="1"/>
    <xf numFmtId="41" fontId="8" fillId="0" borderId="0" xfId="1" applyFont="1" applyBorder="1"/>
    <xf numFmtId="41" fontId="8" fillId="0" borderId="0" xfId="1" applyFont="1" applyBorder="1" applyAlignment="1">
      <alignment horizontal="center"/>
    </xf>
    <xf numFmtId="43" fontId="8" fillId="0" borderId="0" xfId="0" applyNumberFormat="1" applyFont="1" applyAlignment="1">
      <alignment horizontal="center"/>
    </xf>
    <xf numFmtId="0" fontId="8" fillId="0" borderId="0" xfId="0" applyFont="1"/>
    <xf numFmtId="41" fontId="4" fillId="0" borderId="0" xfId="1" applyFont="1"/>
    <xf numFmtId="165" fontId="4" fillId="0" borderId="0" xfId="1" applyNumberFormat="1" applyFont="1"/>
    <xf numFmtId="43" fontId="4" fillId="0" borderId="0" xfId="1" applyNumberFormat="1" applyFont="1"/>
    <xf numFmtId="165" fontId="4" fillId="0" borderId="0" xfId="0" applyNumberFormat="1" applyFont="1"/>
    <xf numFmtId="41" fontId="8" fillId="0" borderId="6" xfId="1" applyFont="1" applyBorder="1" applyAlignment="1">
      <alignment vertical="center"/>
    </xf>
    <xf numFmtId="41" fontId="0" fillId="0" borderId="0" xfId="1" applyFont="1" applyBorder="1" applyAlignment="1">
      <alignment horizontal="left"/>
    </xf>
    <xf numFmtId="41" fontId="2" fillId="0" borderId="0" xfId="1" applyFont="1" applyBorder="1"/>
    <xf numFmtId="166" fontId="8" fillId="0" borderId="6" xfId="1" applyNumberFormat="1" applyFont="1" applyBorder="1" applyAlignment="1">
      <alignment vertical="center"/>
    </xf>
    <xf numFmtId="41" fontId="1" fillId="0" borderId="8" xfId="1" applyFont="1" applyBorder="1" applyAlignment="1">
      <alignment vertical="center"/>
    </xf>
    <xf numFmtId="41" fontId="8" fillId="0" borderId="1" xfId="0" applyNumberFormat="1" applyFont="1" applyBorder="1" applyAlignment="1">
      <alignment vertical="center"/>
    </xf>
    <xf numFmtId="0" fontId="10" fillId="0" borderId="0" xfId="0" applyFont="1"/>
    <xf numFmtId="0" fontId="10" fillId="0" borderId="2" xfId="0" applyFont="1" applyBorder="1"/>
    <xf numFmtId="41" fontId="10" fillId="0" borderId="0" xfId="1" applyFont="1" applyBorder="1"/>
    <xf numFmtId="41" fontId="10" fillId="0" borderId="0" xfId="1" applyFont="1"/>
    <xf numFmtId="0" fontId="10" fillId="0" borderId="2" xfId="0" applyFont="1" applyBorder="1" applyAlignment="1">
      <alignment horizontal="center"/>
    </xf>
    <xf numFmtId="41" fontId="1" fillId="0" borderId="6" xfId="1" applyFont="1" applyBorder="1" applyAlignment="1">
      <alignment vertical="center"/>
    </xf>
    <xf numFmtId="41" fontId="8" fillId="0" borderId="6" xfId="0" applyNumberFormat="1" applyFont="1" applyBorder="1" applyAlignment="1">
      <alignment vertical="center"/>
    </xf>
    <xf numFmtId="0" fontId="12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1" fillId="0" borderId="4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5" xfId="0" applyFont="1" applyBorder="1"/>
    <xf numFmtId="41" fontId="3" fillId="0" borderId="5" xfId="1" applyFont="1" applyBorder="1"/>
    <xf numFmtId="41" fontId="10" fillId="0" borderId="5" xfId="1" applyFont="1" applyBorder="1"/>
    <xf numFmtId="41" fontId="10" fillId="0" borderId="5" xfId="0" applyNumberFormat="1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41" fontId="17" fillId="0" borderId="6" xfId="0" applyNumberFormat="1" applyFont="1" applyBorder="1" applyAlignment="1">
      <alignment vertical="center"/>
    </xf>
    <xf numFmtId="0" fontId="6" fillId="0" borderId="0" xfId="0" applyFont="1"/>
    <xf numFmtId="41" fontId="6" fillId="0" borderId="0" xfId="0" applyNumberFormat="1" applyFont="1"/>
    <xf numFmtId="41" fontId="10" fillId="0" borderId="0" xfId="0" applyNumberFormat="1" applyFont="1"/>
    <xf numFmtId="43" fontId="3" fillId="0" borderId="0" xfId="1" applyNumberFormat="1" applyFont="1" applyBorder="1"/>
    <xf numFmtId="41" fontId="3" fillId="0" borderId="0" xfId="1" applyFont="1" applyBorder="1" applyAlignment="1">
      <alignment horizontal="center"/>
    </xf>
    <xf numFmtId="43" fontId="6" fillId="0" borderId="0" xfId="0" applyNumberFormat="1" applyFont="1" applyAlignment="1">
      <alignment horizontal="center"/>
    </xf>
    <xf numFmtId="165" fontId="3" fillId="0" borderId="0" xfId="0" applyNumberFormat="1" applyFont="1"/>
    <xf numFmtId="43" fontId="3" fillId="0" borderId="0" xfId="0" applyNumberFormat="1" applyFont="1"/>
    <xf numFmtId="0" fontId="13" fillId="0" borderId="0" xfId="0" applyFont="1"/>
    <xf numFmtId="41" fontId="0" fillId="0" borderId="0" xfId="1" applyFont="1" applyBorder="1" applyAlignment="1"/>
    <xf numFmtId="0" fontId="10" fillId="0" borderId="3" xfId="0" applyFont="1" applyBorder="1" applyAlignment="1">
      <alignment horizontal="center" vertical="center"/>
    </xf>
    <xf numFmtId="41" fontId="10" fillId="0" borderId="3" xfId="0" applyNumberFormat="1" applyFont="1" applyBorder="1" applyAlignment="1">
      <alignment vertical="center"/>
    </xf>
    <xf numFmtId="41" fontId="10" fillId="0" borderId="3" xfId="1" applyFont="1" applyBorder="1"/>
    <xf numFmtId="0" fontId="3" fillId="0" borderId="3" xfId="0" applyFont="1" applyBorder="1"/>
    <xf numFmtId="41" fontId="3" fillId="0" borderId="3" xfId="1" applyFont="1" applyBorder="1"/>
    <xf numFmtId="41" fontId="8" fillId="0" borderId="5" xfId="1" applyFont="1" applyBorder="1" applyAlignment="1">
      <alignment horizontal="left"/>
    </xf>
    <xf numFmtId="41" fontId="1" fillId="0" borderId="5" xfId="1" applyFont="1" applyBorder="1" applyAlignment="1">
      <alignment horizontal="left" vertical="center"/>
    </xf>
    <xf numFmtId="43" fontId="3" fillId="0" borderId="0" xfId="1" applyNumberFormat="1" applyFont="1"/>
    <xf numFmtId="41" fontId="8" fillId="0" borderId="5" xfId="1" applyFont="1" applyBorder="1"/>
    <xf numFmtId="41" fontId="3" fillId="0" borderId="0" xfId="0" applyNumberFormat="1" applyFont="1"/>
    <xf numFmtId="166" fontId="8" fillId="0" borderId="5" xfId="1" applyNumberFormat="1" applyFont="1" applyBorder="1" applyAlignment="1">
      <alignment vertical="center"/>
    </xf>
    <xf numFmtId="43" fontId="8" fillId="0" borderId="5" xfId="0" applyNumberFormat="1" applyFont="1" applyBorder="1" applyAlignment="1">
      <alignment horizontal="center"/>
    </xf>
    <xf numFmtId="41" fontId="8" fillId="0" borderId="5" xfId="1" applyFont="1" applyBorder="1" applyAlignment="1">
      <alignment horizontal="center"/>
    </xf>
    <xf numFmtId="41" fontId="4" fillId="0" borderId="2" xfId="1" applyFont="1" applyBorder="1" applyAlignment="1">
      <alignment horizontal="center"/>
    </xf>
    <xf numFmtId="43" fontId="4" fillId="0" borderId="2" xfId="0" applyNumberFormat="1" applyFont="1" applyBorder="1" applyAlignment="1">
      <alignment horizontal="center"/>
    </xf>
    <xf numFmtId="41" fontId="8" fillId="0" borderId="2" xfId="1" applyFont="1" applyBorder="1" applyAlignment="1">
      <alignment horizontal="center"/>
    </xf>
    <xf numFmtId="166" fontId="4" fillId="0" borderId="2" xfId="1" applyNumberFormat="1" applyFont="1" applyBorder="1" applyAlignment="1">
      <alignment vertical="center"/>
    </xf>
    <xf numFmtId="43" fontId="8" fillId="0" borderId="2" xfId="0" applyNumberFormat="1" applyFont="1" applyBorder="1" applyAlignment="1">
      <alignment horizontal="center"/>
    </xf>
    <xf numFmtId="43" fontId="4" fillId="0" borderId="2" xfId="1" applyNumberFormat="1" applyFont="1" applyBorder="1" applyAlignment="1">
      <alignment vertical="center"/>
    </xf>
    <xf numFmtId="43" fontId="1" fillId="0" borderId="2" xfId="0" applyNumberFormat="1" applyFont="1" applyBorder="1" applyAlignment="1">
      <alignment horizontal="center"/>
    </xf>
    <xf numFmtId="41" fontId="0" fillId="0" borderId="12" xfId="1" applyFont="1" applyBorder="1"/>
    <xf numFmtId="41" fontId="1" fillId="0" borderId="12" xfId="1" applyFont="1" applyBorder="1"/>
    <xf numFmtId="41" fontId="4" fillId="0" borderId="12" xfId="0" applyNumberFormat="1" applyFont="1" applyBorder="1"/>
    <xf numFmtId="167" fontId="0" fillId="0" borderId="0" xfId="1" applyNumberFormat="1" applyFont="1" applyBorder="1"/>
    <xf numFmtId="43" fontId="4" fillId="0" borderId="2" xfId="1" applyNumberFormat="1" applyFont="1" applyBorder="1" applyAlignment="1">
      <alignment horizontal="center"/>
    </xf>
    <xf numFmtId="41" fontId="8" fillId="0" borderId="12" xfId="0" applyNumberFormat="1" applyFont="1" applyBorder="1"/>
    <xf numFmtId="43" fontId="8" fillId="0" borderId="5" xfId="1" applyNumberFormat="1" applyFont="1" applyBorder="1" applyAlignment="1">
      <alignment horizontal="center"/>
    </xf>
    <xf numFmtId="41" fontId="4" fillId="0" borderId="2" xfId="1" applyFont="1" applyBorder="1" applyAlignment="1">
      <alignment horizontal="right"/>
    </xf>
    <xf numFmtId="0" fontId="19" fillId="0" borderId="0" xfId="0" applyFont="1"/>
    <xf numFmtId="0" fontId="20" fillId="0" borderId="0" xfId="0" applyFont="1"/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43" fontId="22" fillId="0" borderId="5" xfId="0" applyNumberFormat="1" applyFont="1" applyBorder="1" applyAlignment="1">
      <alignment horizontal="center"/>
    </xf>
    <xf numFmtId="41" fontId="22" fillId="0" borderId="5" xfId="0" applyNumberFormat="1" applyFont="1" applyBorder="1" applyAlignment="1">
      <alignment horizontal="center"/>
    </xf>
    <xf numFmtId="41" fontId="22" fillId="0" borderId="5" xfId="1" applyFont="1" applyBorder="1" applyAlignment="1">
      <alignment horizontal="center"/>
    </xf>
    <xf numFmtId="43" fontId="22" fillId="0" borderId="5" xfId="1" applyNumberFormat="1" applyFont="1" applyBorder="1" applyAlignment="1">
      <alignment vertical="center"/>
    </xf>
    <xf numFmtId="166" fontId="22" fillId="0" borderId="5" xfId="1" applyNumberFormat="1" applyFont="1" applyBorder="1" applyAlignment="1">
      <alignment vertical="center"/>
    </xf>
    <xf numFmtId="41" fontId="22" fillId="0" borderId="5" xfId="1" applyFont="1" applyBorder="1" applyAlignment="1">
      <alignment vertical="center"/>
    </xf>
    <xf numFmtId="43" fontId="21" fillId="0" borderId="5" xfId="0" applyNumberFormat="1" applyFont="1" applyBorder="1" applyAlignment="1">
      <alignment horizontal="center"/>
    </xf>
    <xf numFmtId="41" fontId="21" fillId="0" borderId="5" xfId="1" applyFont="1" applyBorder="1" applyAlignment="1">
      <alignment horizontal="center"/>
    </xf>
    <xf numFmtId="43" fontId="21" fillId="0" borderId="5" xfId="1" applyNumberFormat="1" applyFont="1" applyBorder="1" applyAlignment="1">
      <alignment vertical="center"/>
    </xf>
    <xf numFmtId="43" fontId="23" fillId="0" borderId="5" xfId="0" applyNumberFormat="1" applyFont="1" applyBorder="1" applyAlignment="1">
      <alignment horizontal="center"/>
    </xf>
    <xf numFmtId="0" fontId="24" fillId="0" borderId="0" xfId="0" applyFont="1"/>
    <xf numFmtId="0" fontId="25" fillId="0" borderId="0" xfId="0" applyFont="1"/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0" fontId="26" fillId="0" borderId="5" xfId="0" applyFont="1" applyBorder="1" applyAlignment="1">
      <alignment horizontal="center" vertical="center"/>
    </xf>
    <xf numFmtId="166" fontId="23" fillId="0" borderId="5" xfId="2" applyNumberFormat="1" applyFont="1" applyBorder="1" applyAlignment="1">
      <alignment horizontal="center"/>
    </xf>
    <xf numFmtId="41" fontId="23" fillId="0" borderId="5" xfId="0" applyNumberFormat="1" applyFont="1" applyBorder="1" applyAlignment="1">
      <alignment horizontal="center"/>
    </xf>
    <xf numFmtId="41" fontId="23" fillId="0" borderId="5" xfId="1" applyFont="1" applyBorder="1" applyAlignment="1">
      <alignment horizontal="center"/>
    </xf>
    <xf numFmtId="43" fontId="23" fillId="0" borderId="5" xfId="1" applyNumberFormat="1" applyFont="1" applyBorder="1" applyAlignment="1">
      <alignment vertical="center"/>
    </xf>
    <xf numFmtId="166" fontId="23" fillId="0" borderId="5" xfId="1" applyNumberFormat="1" applyFont="1" applyBorder="1" applyAlignment="1">
      <alignment vertical="center"/>
    </xf>
    <xf numFmtId="41" fontId="23" fillId="0" borderId="5" xfId="1" applyFont="1" applyBorder="1" applyAlignment="1">
      <alignment vertical="center"/>
    </xf>
    <xf numFmtId="166" fontId="26" fillId="0" borderId="5" xfId="1" applyNumberFormat="1" applyFont="1" applyBorder="1" applyAlignment="1">
      <alignment vertical="center"/>
    </xf>
    <xf numFmtId="43" fontId="26" fillId="0" borderId="5" xfId="0" applyNumberFormat="1" applyFont="1" applyBorder="1" applyAlignment="1">
      <alignment horizontal="center"/>
    </xf>
    <xf numFmtId="41" fontId="26" fillId="0" borderId="5" xfId="1" applyFont="1" applyBorder="1" applyAlignment="1">
      <alignment horizontal="center"/>
    </xf>
    <xf numFmtId="43" fontId="26" fillId="0" borderId="5" xfId="1" applyNumberFormat="1" applyFont="1" applyBorder="1" applyAlignment="1">
      <alignment vertical="center"/>
    </xf>
    <xf numFmtId="41" fontId="26" fillId="0" borderId="6" xfId="0" applyNumberFormat="1" applyFont="1" applyBorder="1" applyAlignment="1">
      <alignment vertical="center"/>
    </xf>
    <xf numFmtId="166" fontId="26" fillId="0" borderId="6" xfId="1" applyNumberFormat="1" applyFont="1" applyBorder="1" applyAlignment="1">
      <alignment vertical="center"/>
    </xf>
    <xf numFmtId="41" fontId="26" fillId="0" borderId="6" xfId="1" applyFont="1" applyBorder="1" applyAlignment="1">
      <alignment horizontal="center" vertical="center"/>
    </xf>
    <xf numFmtId="43" fontId="26" fillId="0" borderId="6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41" fontId="23" fillId="0" borderId="0" xfId="1" applyFont="1" applyBorder="1"/>
    <xf numFmtId="165" fontId="23" fillId="0" borderId="0" xfId="1" applyNumberFormat="1" applyFont="1" applyBorder="1"/>
    <xf numFmtId="43" fontId="26" fillId="0" borderId="0" xfId="1" applyNumberFormat="1" applyFont="1" applyBorder="1"/>
    <xf numFmtId="43" fontId="23" fillId="0" borderId="0" xfId="1" applyNumberFormat="1" applyFont="1" applyBorder="1"/>
    <xf numFmtId="41" fontId="23" fillId="0" borderId="0" xfId="1" applyFont="1" applyBorder="1" applyAlignment="1">
      <alignment horizontal="center"/>
    </xf>
    <xf numFmtId="43" fontId="23" fillId="0" borderId="0" xfId="0" applyNumberFormat="1" applyFont="1" applyAlignment="1">
      <alignment horizontal="center"/>
    </xf>
    <xf numFmtId="1" fontId="20" fillId="0" borderId="0" xfId="0" applyNumberFormat="1" applyFont="1"/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0" fontId="19" fillId="0" borderId="3" xfId="0" applyFont="1" applyBorder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/>
    </xf>
    <xf numFmtId="1" fontId="19" fillId="0" borderId="2" xfId="0" applyNumberFormat="1" applyFont="1" applyBorder="1" applyAlignment="1">
      <alignment horizontal="center"/>
    </xf>
    <xf numFmtId="41" fontId="19" fillId="0" borderId="5" xfId="1" applyFont="1" applyBorder="1" applyAlignment="1">
      <alignment horizontal="left" vertical="center"/>
    </xf>
    <xf numFmtId="41" fontId="22" fillId="0" borderId="5" xfId="1" applyFont="1" applyBorder="1" applyAlignment="1">
      <alignment horizontal="right"/>
    </xf>
    <xf numFmtId="41" fontId="22" fillId="0" borderId="5" xfId="1" applyFont="1" applyBorder="1"/>
    <xf numFmtId="41" fontId="21" fillId="0" borderId="5" xfId="1" applyFont="1" applyBorder="1" applyAlignment="1">
      <alignment horizontal="left"/>
    </xf>
    <xf numFmtId="41" fontId="21" fillId="0" borderId="5" xfId="1" applyFont="1" applyBorder="1"/>
    <xf numFmtId="41" fontId="19" fillId="0" borderId="6" xfId="1" applyFont="1" applyBorder="1" applyAlignment="1">
      <alignment vertical="center"/>
    </xf>
    <xf numFmtId="41" fontId="19" fillId="0" borderId="8" xfId="1" applyFont="1" applyBorder="1" applyAlignment="1">
      <alignment vertical="center"/>
    </xf>
    <xf numFmtId="41" fontId="21" fillId="0" borderId="6" xfId="1" applyFont="1" applyBorder="1" applyAlignment="1">
      <alignment vertical="center"/>
    </xf>
    <xf numFmtId="0" fontId="22" fillId="0" borderId="0" xfId="0" applyFont="1"/>
    <xf numFmtId="41" fontId="22" fillId="0" borderId="0" xfId="0" applyNumberFormat="1" applyFont="1"/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1" fontId="21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41" fontId="21" fillId="0" borderId="3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41" fontId="21" fillId="0" borderId="2" xfId="0" applyNumberFormat="1" applyFont="1" applyBorder="1" applyAlignment="1">
      <alignment horizontal="center"/>
    </xf>
    <xf numFmtId="43" fontId="22" fillId="0" borderId="5" xfId="1" applyNumberFormat="1" applyFont="1" applyBorder="1" applyAlignment="1">
      <alignment horizontal="center"/>
    </xf>
    <xf numFmtId="41" fontId="21" fillId="0" borderId="12" xfId="0" applyNumberFormat="1" applyFont="1" applyBorder="1"/>
    <xf numFmtId="43" fontId="21" fillId="0" borderId="5" xfId="1" applyNumberFormat="1" applyFont="1" applyBorder="1" applyAlignment="1">
      <alignment horizontal="center"/>
    </xf>
    <xf numFmtId="41" fontId="21" fillId="0" borderId="5" xfId="1" applyFont="1" applyBorder="1" applyAlignment="1">
      <alignment vertical="center"/>
    </xf>
    <xf numFmtId="0" fontId="27" fillId="0" borderId="5" xfId="0" applyFont="1" applyBorder="1" applyAlignment="1">
      <alignment horizontal="center" vertical="center"/>
    </xf>
    <xf numFmtId="41" fontId="21" fillId="0" borderId="5" xfId="1" applyFont="1" applyBorder="1" applyAlignment="1">
      <alignment horizontal="center" vertical="center"/>
    </xf>
    <xf numFmtId="43" fontId="21" fillId="0" borderId="5" xfId="0" applyNumberFormat="1" applyFont="1" applyBorder="1" applyAlignment="1">
      <alignment horizontal="center" vertical="center"/>
    </xf>
    <xf numFmtId="41" fontId="21" fillId="0" borderId="1" xfId="0" applyNumberFormat="1" applyFont="1" applyBorder="1" applyAlignment="1">
      <alignment vertical="center"/>
    </xf>
    <xf numFmtId="41" fontId="21" fillId="0" borderId="1" xfId="1" applyFont="1" applyBorder="1" applyAlignment="1">
      <alignment vertical="center"/>
    </xf>
    <xf numFmtId="43" fontId="21" fillId="0" borderId="1" xfId="1" applyNumberFormat="1" applyFont="1" applyBorder="1" applyAlignment="1">
      <alignment vertical="center"/>
    </xf>
    <xf numFmtId="0" fontId="26" fillId="0" borderId="3" xfId="0" applyFont="1" applyBorder="1" applyAlignment="1">
      <alignment horizontal="center" vertical="center"/>
    </xf>
    <xf numFmtId="166" fontId="23" fillId="0" borderId="3" xfId="2" applyNumberFormat="1" applyFont="1" applyBorder="1" applyAlignment="1">
      <alignment horizontal="center"/>
    </xf>
    <xf numFmtId="43" fontId="23" fillId="0" borderId="3" xfId="0" applyNumberFormat="1" applyFont="1" applyBorder="1" applyAlignment="1">
      <alignment horizontal="center"/>
    </xf>
    <xf numFmtId="41" fontId="23" fillId="0" borderId="3" xfId="0" applyNumberFormat="1" applyFont="1" applyBorder="1" applyAlignment="1">
      <alignment horizontal="center"/>
    </xf>
    <xf numFmtId="41" fontId="23" fillId="0" borderId="3" xfId="1" applyFont="1" applyBorder="1" applyAlignment="1">
      <alignment horizontal="center"/>
    </xf>
    <xf numFmtId="0" fontId="28" fillId="0" borderId="0" xfId="0" applyFont="1" applyAlignment="1">
      <alignment horizontal="center"/>
    </xf>
    <xf numFmtId="1" fontId="28" fillId="0" borderId="0" xfId="0" applyNumberFormat="1" applyFont="1" applyAlignment="1">
      <alignment horizontal="center"/>
    </xf>
    <xf numFmtId="0" fontId="28" fillId="0" borderId="3" xfId="0" applyFont="1" applyBorder="1" applyAlignment="1">
      <alignment horizontal="center" vertical="center"/>
    </xf>
    <xf numFmtId="1" fontId="28" fillId="0" borderId="3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/>
    </xf>
    <xf numFmtId="1" fontId="28" fillId="0" borderId="2" xfId="0" applyNumberFormat="1" applyFont="1" applyBorder="1" applyAlignment="1">
      <alignment horizontal="center"/>
    </xf>
    <xf numFmtId="41" fontId="28" fillId="0" borderId="5" xfId="1" applyFont="1" applyBorder="1" applyAlignment="1">
      <alignment horizontal="left" vertical="center"/>
    </xf>
    <xf numFmtId="41" fontId="29" fillId="0" borderId="5" xfId="1" applyFont="1" applyBorder="1" applyAlignment="1">
      <alignment horizontal="right"/>
    </xf>
    <xf numFmtId="41" fontId="29" fillId="0" borderId="5" xfId="1" applyFont="1" applyBorder="1" applyAlignment="1">
      <alignment horizontal="center"/>
    </xf>
    <xf numFmtId="41" fontId="29" fillId="0" borderId="5" xfId="1" applyFont="1" applyBorder="1"/>
    <xf numFmtId="41" fontId="28" fillId="0" borderId="3" xfId="1" applyFont="1" applyBorder="1" applyAlignment="1">
      <alignment horizontal="left" vertical="center"/>
    </xf>
    <xf numFmtId="41" fontId="29" fillId="0" borderId="3" xfId="1" applyFont="1" applyBorder="1" applyAlignment="1">
      <alignment horizontal="right"/>
    </xf>
    <xf numFmtId="41" fontId="29" fillId="0" borderId="3" xfId="1" applyFont="1" applyBorder="1" applyAlignment="1">
      <alignment horizontal="center"/>
    </xf>
    <xf numFmtId="0" fontId="31" fillId="0" borderId="0" xfId="0" applyFont="1"/>
    <xf numFmtId="0" fontId="30" fillId="0" borderId="5" xfId="0" applyFont="1" applyBorder="1" applyAlignment="1">
      <alignment horizontal="center" vertical="center"/>
    </xf>
    <xf numFmtId="166" fontId="29" fillId="0" borderId="5" xfId="2" applyNumberFormat="1" applyFont="1" applyBorder="1" applyAlignment="1">
      <alignment horizontal="center"/>
    </xf>
    <xf numFmtId="43" fontId="29" fillId="0" borderId="5" xfId="0" applyNumberFormat="1" applyFont="1" applyBorder="1" applyAlignment="1">
      <alignment horizontal="center"/>
    </xf>
    <xf numFmtId="41" fontId="29" fillId="0" borderId="5" xfId="0" applyNumberFormat="1" applyFont="1" applyBorder="1" applyAlignment="1">
      <alignment horizontal="center"/>
    </xf>
    <xf numFmtId="0" fontId="30" fillId="0" borderId="3" xfId="0" applyFont="1" applyBorder="1" applyAlignment="1">
      <alignment horizontal="center" vertical="center"/>
    </xf>
    <xf numFmtId="166" fontId="29" fillId="0" borderId="3" xfId="1" applyNumberFormat="1" applyFont="1" applyBorder="1" applyAlignment="1">
      <alignment vertical="center"/>
    </xf>
    <xf numFmtId="43" fontId="29" fillId="0" borderId="3" xfId="1" applyNumberFormat="1" applyFont="1" applyBorder="1" applyAlignment="1">
      <alignment vertical="center"/>
    </xf>
    <xf numFmtId="41" fontId="29" fillId="0" borderId="3" xfId="1" applyFont="1" applyBorder="1" applyAlignment="1">
      <alignment vertical="center"/>
    </xf>
    <xf numFmtId="43" fontId="29" fillId="0" borderId="3" xfId="0" applyNumberFormat="1" applyFont="1" applyBorder="1" applyAlignment="1">
      <alignment horizontal="center"/>
    </xf>
    <xf numFmtId="166" fontId="23" fillId="0" borderId="3" xfId="1" applyNumberFormat="1" applyFont="1" applyBorder="1" applyAlignment="1">
      <alignment vertical="center"/>
    </xf>
    <xf numFmtId="43" fontId="23" fillId="0" borderId="3" xfId="1" applyNumberFormat="1" applyFont="1" applyBorder="1" applyAlignment="1">
      <alignment vertical="center"/>
    </xf>
    <xf numFmtId="41" fontId="23" fillId="0" borderId="3" xfId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41" fontId="30" fillId="0" borderId="0" xfId="0" applyNumberFormat="1" applyFont="1" applyAlignment="1">
      <alignment horizontal="center" vertical="center"/>
    </xf>
    <xf numFmtId="41" fontId="30" fillId="0" borderId="3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/>
    </xf>
    <xf numFmtId="41" fontId="30" fillId="0" borderId="2" xfId="0" applyNumberFormat="1" applyFont="1" applyBorder="1" applyAlignment="1">
      <alignment horizontal="center"/>
    </xf>
    <xf numFmtId="43" fontId="29" fillId="0" borderId="5" xfId="1" applyNumberFormat="1" applyFont="1" applyBorder="1" applyAlignment="1">
      <alignment horizontal="center"/>
    </xf>
    <xf numFmtId="41" fontId="29" fillId="0" borderId="2" xfId="1" applyFont="1" applyBorder="1" applyAlignment="1">
      <alignment horizontal="right"/>
    </xf>
    <xf numFmtId="43" fontId="29" fillId="0" borderId="2" xfId="1" applyNumberFormat="1" applyFont="1" applyBorder="1" applyAlignment="1">
      <alignment horizontal="center"/>
    </xf>
    <xf numFmtId="43" fontId="29" fillId="0" borderId="2" xfId="0" applyNumberFormat="1" applyFont="1" applyBorder="1" applyAlignment="1">
      <alignment horizontal="center"/>
    </xf>
    <xf numFmtId="43" fontId="29" fillId="0" borderId="3" xfId="1" applyNumberFormat="1" applyFont="1" applyBorder="1" applyAlignment="1">
      <alignment horizontal="center"/>
    </xf>
    <xf numFmtId="41" fontId="29" fillId="0" borderId="3" xfId="0" applyNumberFormat="1" applyFont="1" applyBorder="1" applyAlignment="1">
      <alignment horizontal="center"/>
    </xf>
    <xf numFmtId="43" fontId="28" fillId="0" borderId="2" xfId="0" applyNumberFormat="1" applyFont="1" applyBorder="1" applyAlignment="1">
      <alignment horizontal="center"/>
    </xf>
    <xf numFmtId="166" fontId="29" fillId="0" borderId="5" xfId="1" applyNumberFormat="1" applyFont="1" applyBorder="1" applyAlignment="1">
      <alignment vertical="center"/>
    </xf>
    <xf numFmtId="43" fontId="29" fillId="0" borderId="5" xfId="1" applyNumberFormat="1" applyFont="1" applyBorder="1" applyAlignment="1">
      <alignment vertical="center"/>
    </xf>
    <xf numFmtId="43" fontId="23" fillId="0" borderId="12" xfId="0" applyNumberFormat="1" applyFont="1" applyBorder="1" applyAlignment="1">
      <alignment horizontal="center"/>
    </xf>
    <xf numFmtId="41" fontId="29" fillId="0" borderId="14" xfId="1" applyFont="1" applyBorder="1" applyAlignment="1">
      <alignment horizontal="center"/>
    </xf>
    <xf numFmtId="41" fontId="30" fillId="0" borderId="15" xfId="1" applyFont="1" applyBorder="1" applyAlignment="1">
      <alignment horizontal="center"/>
    </xf>
    <xf numFmtId="41" fontId="30" fillId="0" borderId="3" xfId="1" applyFont="1" applyBorder="1" applyAlignment="1">
      <alignment horizontal="center"/>
    </xf>
    <xf numFmtId="43" fontId="29" fillId="0" borderId="14" xfId="0" applyNumberFormat="1" applyFont="1" applyBorder="1" applyAlignment="1">
      <alignment horizontal="center"/>
    </xf>
    <xf numFmtId="43" fontId="29" fillId="0" borderId="15" xfId="0" applyNumberFormat="1" applyFont="1" applyBorder="1" applyAlignment="1">
      <alignment horizontal="center"/>
    </xf>
    <xf numFmtId="41" fontId="28" fillId="0" borderId="5" xfId="1" applyFont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7" fillId="2" borderId="0" xfId="0" applyFont="1" applyFill="1"/>
    <xf numFmtId="41" fontId="28" fillId="0" borderId="12" xfId="1" applyFont="1" applyBorder="1" applyAlignment="1">
      <alignment horizontal="left" vertical="center"/>
    </xf>
    <xf numFmtId="41" fontId="29" fillId="0" borderId="16" xfId="1" applyFont="1" applyBorder="1" applyAlignment="1">
      <alignment horizontal="center"/>
    </xf>
    <xf numFmtId="41" fontId="29" fillId="0" borderId="0" xfId="1" applyFont="1" applyBorder="1" applyAlignment="1">
      <alignment horizontal="center"/>
    </xf>
    <xf numFmtId="41" fontId="29" fillId="0" borderId="12" xfId="1" applyFont="1" applyBorder="1" applyAlignment="1">
      <alignment horizontal="center"/>
    </xf>
    <xf numFmtId="43" fontId="29" fillId="0" borderId="12" xfId="0" applyNumberFormat="1" applyFont="1" applyBorder="1" applyAlignment="1">
      <alignment horizontal="center"/>
    </xf>
    <xf numFmtId="41" fontId="29" fillId="0" borderId="17" xfId="1" applyFont="1" applyBorder="1" applyAlignment="1">
      <alignment horizontal="center"/>
    </xf>
    <xf numFmtId="0" fontId="30" fillId="2" borderId="5" xfId="0" applyFont="1" applyFill="1" applyBorder="1" applyAlignment="1">
      <alignment horizontal="center" vertical="center"/>
    </xf>
    <xf numFmtId="41" fontId="28" fillId="2" borderId="5" xfId="1" applyFont="1" applyFill="1" applyBorder="1" applyAlignment="1">
      <alignment horizontal="center" vertical="center"/>
    </xf>
    <xf numFmtId="0" fontId="30" fillId="0" borderId="13" xfId="0" applyFont="1" applyBorder="1" applyAlignment="1">
      <alignment horizontal="center"/>
    </xf>
    <xf numFmtId="0" fontId="30" fillId="0" borderId="17" xfId="0" applyFont="1" applyBorder="1" applyAlignment="1">
      <alignment horizontal="center"/>
    </xf>
    <xf numFmtId="41" fontId="22" fillId="2" borderId="5" xfId="1" applyFont="1" applyFill="1" applyBorder="1" applyAlignment="1">
      <alignment horizontal="center"/>
    </xf>
    <xf numFmtId="41" fontId="22" fillId="2" borderId="5" xfId="1" applyFont="1" applyFill="1" applyBorder="1" applyAlignment="1">
      <alignment vertical="center"/>
    </xf>
    <xf numFmtId="43" fontId="22" fillId="2" borderId="5" xfId="0" applyNumberFormat="1" applyFont="1" applyFill="1" applyBorder="1" applyAlignment="1">
      <alignment horizontal="center"/>
    </xf>
    <xf numFmtId="166" fontId="23" fillId="2" borderId="5" xfId="1" applyNumberFormat="1" applyFont="1" applyFill="1" applyBorder="1" applyAlignment="1">
      <alignment vertical="center"/>
    </xf>
    <xf numFmtId="43" fontId="23" fillId="2" borderId="5" xfId="0" applyNumberFormat="1" applyFont="1" applyFill="1" applyBorder="1" applyAlignment="1">
      <alignment horizontal="center"/>
    </xf>
    <xf numFmtId="166" fontId="23" fillId="0" borderId="2" xfId="2" applyNumberFormat="1" applyFont="1" applyBorder="1" applyAlignment="1">
      <alignment horizontal="center"/>
    </xf>
    <xf numFmtId="0" fontId="31" fillId="0" borderId="18" xfId="0" applyFont="1" applyBorder="1"/>
    <xf numFmtId="166" fontId="29" fillId="0" borderId="2" xfId="2" applyNumberFormat="1" applyFont="1" applyBorder="1" applyAlignment="1">
      <alignment horizontal="center"/>
    </xf>
    <xf numFmtId="0" fontId="0" fillId="2" borderId="0" xfId="0" applyFill="1"/>
    <xf numFmtId="0" fontId="24" fillId="2" borderId="1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/>
    </xf>
    <xf numFmtId="166" fontId="23" fillId="2" borderId="5" xfId="2" applyNumberFormat="1" applyFont="1" applyFill="1" applyBorder="1" applyAlignment="1">
      <alignment horizontal="center"/>
    </xf>
    <xf numFmtId="41" fontId="23" fillId="2" borderId="5" xfId="0" applyNumberFormat="1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1" fontId="28" fillId="2" borderId="0" xfId="0" applyNumberFormat="1" applyFont="1" applyFill="1" applyAlignment="1">
      <alignment horizontal="center"/>
    </xf>
    <xf numFmtId="0" fontId="28" fillId="2" borderId="3" xfId="0" applyFont="1" applyFill="1" applyBorder="1" applyAlignment="1">
      <alignment horizontal="center" vertical="center"/>
    </xf>
    <xf numFmtId="1" fontId="28" fillId="2" borderId="3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/>
    </xf>
    <xf numFmtId="1" fontId="28" fillId="2" borderId="2" xfId="0" applyNumberFormat="1" applyFont="1" applyFill="1" applyBorder="1" applyAlignment="1">
      <alignment horizontal="center"/>
    </xf>
    <xf numFmtId="41" fontId="29" fillId="2" borderId="5" xfId="1" applyFont="1" applyFill="1" applyBorder="1" applyAlignment="1">
      <alignment horizontal="right"/>
    </xf>
    <xf numFmtId="41" fontId="29" fillId="2" borderId="5" xfId="1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41" fontId="30" fillId="2" borderId="0" xfId="0" applyNumberFormat="1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41" fontId="30" fillId="2" borderId="3" xfId="0" applyNumberFormat="1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/>
    </xf>
    <xf numFmtId="41" fontId="30" fillId="2" borderId="2" xfId="0" applyNumberFormat="1" applyFont="1" applyFill="1" applyBorder="1" applyAlignment="1">
      <alignment horizontal="center"/>
    </xf>
    <xf numFmtId="0" fontId="30" fillId="2" borderId="13" xfId="0" applyFont="1" applyFill="1" applyBorder="1" applyAlignment="1">
      <alignment horizontal="center"/>
    </xf>
    <xf numFmtId="0" fontId="30" fillId="2" borderId="17" xfId="0" applyFont="1" applyFill="1" applyBorder="1" applyAlignment="1">
      <alignment horizontal="center"/>
    </xf>
    <xf numFmtId="43" fontId="29" fillId="2" borderId="5" xfId="1" applyNumberFormat="1" applyFont="1" applyFill="1" applyBorder="1" applyAlignment="1">
      <alignment horizontal="center"/>
    </xf>
    <xf numFmtId="43" fontId="29" fillId="2" borderId="5" xfId="0" applyNumberFormat="1" applyFont="1" applyFill="1" applyBorder="1" applyAlignment="1">
      <alignment horizontal="center"/>
    </xf>
    <xf numFmtId="41" fontId="29" fillId="2" borderId="5" xfId="0" applyNumberFormat="1" applyFont="1" applyFill="1" applyBorder="1" applyAlignment="1">
      <alignment horizontal="center"/>
    </xf>
    <xf numFmtId="166" fontId="29" fillId="2" borderId="5" xfId="0" applyNumberFormat="1" applyFont="1" applyFill="1" applyBorder="1" applyAlignment="1">
      <alignment horizontal="center"/>
    </xf>
    <xf numFmtId="166" fontId="29" fillId="0" borderId="5" xfId="0" applyNumberFormat="1" applyFont="1" applyBorder="1" applyAlignment="1">
      <alignment horizontal="center"/>
    </xf>
    <xf numFmtId="41" fontId="29" fillId="0" borderId="16" xfId="0" applyNumberFormat="1" applyFont="1" applyBorder="1" applyAlignment="1">
      <alignment horizontal="center"/>
    </xf>
    <xf numFmtId="43" fontId="29" fillId="0" borderId="16" xfId="0" applyNumberFormat="1" applyFont="1" applyBorder="1" applyAlignment="1">
      <alignment horizontal="center"/>
    </xf>
    <xf numFmtId="43" fontId="29" fillId="0" borderId="0" xfId="0" applyNumberFormat="1" applyFont="1" applyAlignment="1">
      <alignment horizontal="center"/>
    </xf>
    <xf numFmtId="0" fontId="30" fillId="0" borderId="12" xfId="0" applyFont="1" applyBorder="1" applyAlignment="1">
      <alignment horizontal="center" vertical="center"/>
    </xf>
    <xf numFmtId="166" fontId="29" fillId="0" borderId="0" xfId="1" applyNumberFormat="1" applyFont="1" applyBorder="1" applyAlignment="1">
      <alignment vertical="center"/>
    </xf>
    <xf numFmtId="43" fontId="29" fillId="0" borderId="0" xfId="1" applyNumberFormat="1" applyFont="1" applyBorder="1" applyAlignment="1">
      <alignment vertical="center"/>
    </xf>
    <xf numFmtId="41" fontId="29" fillId="0" borderId="0" xfId="1" applyFont="1" applyBorder="1" applyAlignment="1">
      <alignment vertical="center"/>
    </xf>
    <xf numFmtId="43" fontId="29" fillId="0" borderId="4" xfId="0" applyNumberFormat="1" applyFont="1" applyBorder="1" applyAlignment="1">
      <alignment horizontal="center"/>
    </xf>
    <xf numFmtId="41" fontId="29" fillId="0" borderId="15" xfId="0" applyNumberFormat="1" applyFont="1" applyBorder="1" applyAlignment="1">
      <alignment horizontal="center"/>
    </xf>
    <xf numFmtId="41" fontId="22" fillId="0" borderId="12" xfId="0" applyNumberFormat="1" applyFont="1" applyBorder="1"/>
    <xf numFmtId="0" fontId="21" fillId="0" borderId="12" xfId="0" applyFont="1" applyBorder="1" applyAlignment="1">
      <alignment horizontal="center" vertical="center"/>
    </xf>
    <xf numFmtId="41" fontId="22" fillId="0" borderId="16" xfId="1" applyFont="1" applyBorder="1" applyAlignment="1">
      <alignment vertical="center"/>
    </xf>
    <xf numFmtId="43" fontId="21" fillId="0" borderId="0" xfId="1" applyNumberFormat="1" applyFont="1" applyBorder="1" applyAlignment="1">
      <alignment horizontal="center"/>
    </xf>
    <xf numFmtId="41" fontId="21" fillId="0" borderId="5" xfId="0" applyNumberFormat="1" applyFont="1" applyBorder="1"/>
    <xf numFmtId="43" fontId="22" fillId="0" borderId="12" xfId="1" applyNumberFormat="1" applyFont="1" applyBorder="1" applyAlignment="1">
      <alignment vertical="center"/>
    </xf>
    <xf numFmtId="43" fontId="22" fillId="0" borderId="16" xfId="1" applyNumberFormat="1" applyFont="1" applyBorder="1" applyAlignment="1">
      <alignment vertical="center"/>
    </xf>
    <xf numFmtId="43" fontId="22" fillId="0" borderId="0" xfId="1" applyNumberFormat="1" applyFont="1" applyBorder="1" applyAlignment="1">
      <alignment vertical="center"/>
    </xf>
    <xf numFmtId="0" fontId="30" fillId="0" borderId="14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66" fontId="29" fillId="0" borderId="3" xfId="2" applyNumberFormat="1" applyFont="1" applyBorder="1" applyAlignment="1">
      <alignment horizontal="center"/>
    </xf>
    <xf numFmtId="0" fontId="28" fillId="0" borderId="17" xfId="0" applyFont="1" applyBorder="1" applyAlignment="1">
      <alignment horizontal="center"/>
    </xf>
    <xf numFmtId="43" fontId="28" fillId="0" borderId="18" xfId="0" applyNumberFormat="1" applyFont="1" applyBorder="1" applyAlignment="1">
      <alignment horizontal="center"/>
    </xf>
    <xf numFmtId="43" fontId="29" fillId="0" borderId="14" xfId="1" applyNumberFormat="1" applyFont="1" applyBorder="1" applyAlignment="1">
      <alignment vertical="center"/>
    </xf>
    <xf numFmtId="43" fontId="21" fillId="0" borderId="0" xfId="1" applyNumberFormat="1" applyFont="1" applyBorder="1" applyAlignment="1">
      <alignment vertical="center"/>
    </xf>
    <xf numFmtId="166" fontId="4" fillId="0" borderId="3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center"/>
    </xf>
    <xf numFmtId="41" fontId="4" fillId="0" borderId="3" xfId="1" applyFont="1" applyBorder="1" applyAlignment="1">
      <alignment horizontal="center"/>
    </xf>
    <xf numFmtId="41" fontId="3" fillId="0" borderId="5" xfId="0" applyNumberFormat="1" applyFont="1" applyBorder="1"/>
    <xf numFmtId="166" fontId="29" fillId="0" borderId="4" xfId="1" applyNumberFormat="1" applyFont="1" applyBorder="1" applyAlignment="1">
      <alignment vertical="center"/>
    </xf>
    <xf numFmtId="43" fontId="29" fillId="0" borderId="4" xfId="1" applyNumberFormat="1" applyFont="1" applyBorder="1" applyAlignment="1">
      <alignment vertical="center"/>
    </xf>
    <xf numFmtId="43" fontId="23" fillId="2" borderId="5" xfId="1" applyNumberFormat="1" applyFont="1" applyFill="1" applyBorder="1" applyAlignment="1">
      <alignment vertical="center"/>
    </xf>
    <xf numFmtId="0" fontId="32" fillId="0" borderId="0" xfId="0" applyFont="1"/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41" fontId="1" fillId="0" borderId="0" xfId="1" applyFont="1" applyBorder="1" applyAlignment="1"/>
    <xf numFmtId="166" fontId="29" fillId="0" borderId="14" xfId="1" applyNumberFormat="1" applyFont="1" applyBorder="1" applyAlignment="1">
      <alignment vertical="center"/>
    </xf>
    <xf numFmtId="164" fontId="19" fillId="0" borderId="2" xfId="0" applyNumberFormat="1" applyFont="1" applyBorder="1" applyAlignment="1">
      <alignment horizontal="center" vertical="center"/>
    </xf>
    <xf numFmtId="164" fontId="22" fillId="0" borderId="2" xfId="0" applyNumberFormat="1" applyFont="1" applyBorder="1" applyAlignment="1">
      <alignment horizontal="center"/>
    </xf>
    <xf numFmtId="164" fontId="21" fillId="0" borderId="2" xfId="0" applyNumberFormat="1" applyFont="1" applyBorder="1" applyAlignment="1">
      <alignment horizontal="center"/>
    </xf>
    <xf numFmtId="164" fontId="21" fillId="0" borderId="5" xfId="0" applyNumberFormat="1" applyFont="1" applyBorder="1" applyAlignment="1">
      <alignment horizontal="center" vertical="center"/>
    </xf>
    <xf numFmtId="164" fontId="22" fillId="0" borderId="5" xfId="1" applyNumberFormat="1" applyFont="1" applyBorder="1" applyAlignment="1">
      <alignment horizontal="right"/>
    </xf>
    <xf numFmtId="164" fontId="22" fillId="0" borderId="5" xfId="1" applyNumberFormat="1" applyFont="1" applyBorder="1" applyAlignment="1">
      <alignment horizontal="center"/>
    </xf>
    <xf numFmtId="164" fontId="22" fillId="0" borderId="5" xfId="0" applyNumberFormat="1" applyFont="1" applyBorder="1" applyAlignment="1">
      <alignment horizontal="center"/>
    </xf>
    <xf numFmtId="164" fontId="22" fillId="0" borderId="5" xfId="1" applyNumberFormat="1" applyFont="1" applyBorder="1" applyAlignment="1">
      <alignment vertical="center"/>
    </xf>
    <xf numFmtId="164" fontId="22" fillId="2" borderId="5" xfId="1" applyNumberFormat="1" applyFont="1" applyFill="1" applyBorder="1" applyAlignment="1">
      <alignment vertical="center"/>
    </xf>
    <xf numFmtId="164" fontId="21" fillId="0" borderId="1" xfId="0" applyNumberFormat="1" applyFont="1" applyBorder="1" applyAlignment="1">
      <alignment vertical="center"/>
    </xf>
    <xf numFmtId="164" fontId="22" fillId="0" borderId="12" xfId="0" applyNumberFormat="1" applyFont="1" applyBorder="1"/>
    <xf numFmtId="166" fontId="29" fillId="0" borderId="1" xfId="2" applyNumberFormat="1" applyFont="1" applyBorder="1" applyAlignment="1">
      <alignment horizontal="center"/>
    </xf>
    <xf numFmtId="41" fontId="29" fillId="0" borderId="12" xfId="1" applyFont="1" applyBorder="1" applyAlignment="1">
      <alignment horizontal="right"/>
    </xf>
    <xf numFmtId="41" fontId="29" fillId="0" borderId="0" xfId="1" applyFont="1" applyBorder="1" applyAlignment="1">
      <alignment horizontal="right"/>
    </xf>
    <xf numFmtId="0" fontId="13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41" fontId="29" fillId="2" borderId="3" xfId="1" applyFont="1" applyFill="1" applyBorder="1" applyAlignment="1">
      <alignment horizontal="right"/>
    </xf>
    <xf numFmtId="41" fontId="29" fillId="2" borderId="1" xfId="1" applyFont="1" applyFill="1" applyBorder="1" applyAlignment="1">
      <alignment horizontal="right"/>
    </xf>
    <xf numFmtId="164" fontId="22" fillId="0" borderId="12" xfId="1" applyNumberFormat="1" applyFont="1" applyBorder="1" applyAlignment="1">
      <alignment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3" fontId="4" fillId="0" borderId="1" xfId="1" applyNumberFormat="1" applyFont="1" applyBorder="1"/>
    <xf numFmtId="43" fontId="22" fillId="0" borderId="2" xfId="0" applyNumberFormat="1" applyFont="1" applyBorder="1" applyAlignment="1">
      <alignment horizontal="center"/>
    </xf>
    <xf numFmtId="41" fontId="29" fillId="0" borderId="1" xfId="1" applyFont="1" applyBorder="1" applyAlignment="1">
      <alignment horizontal="right"/>
    </xf>
    <xf numFmtId="164" fontId="31" fillId="0" borderId="0" xfId="0" applyNumberFormat="1" applyFont="1"/>
    <xf numFmtId="164" fontId="31" fillId="0" borderId="5" xfId="0" applyNumberFormat="1" applyFont="1" applyBorder="1"/>
    <xf numFmtId="168" fontId="4" fillId="0" borderId="5" xfId="1" applyNumberFormat="1" applyFont="1" applyBorder="1" applyAlignment="1">
      <alignment vertical="center"/>
    </xf>
    <xf numFmtId="17" fontId="7" fillId="2" borderId="0" xfId="0" applyNumberFormat="1" applyFont="1" applyFill="1"/>
    <xf numFmtId="166" fontId="23" fillId="2" borderId="3" xfId="2" applyNumberFormat="1" applyFont="1" applyFill="1" applyBorder="1" applyAlignment="1">
      <alignment horizontal="center"/>
    </xf>
    <xf numFmtId="166" fontId="25" fillId="0" borderId="0" xfId="0" applyNumberFormat="1" applyFont="1"/>
    <xf numFmtId="41" fontId="31" fillId="0" borderId="0" xfId="0" applyNumberFormat="1" applyFont="1"/>
    <xf numFmtId="41" fontId="28" fillId="0" borderId="14" xfId="1" applyFont="1" applyBorder="1" applyAlignment="1">
      <alignment horizontal="left" vertical="center"/>
    </xf>
    <xf numFmtId="0" fontId="24" fillId="2" borderId="5" xfId="0" applyFont="1" applyFill="1" applyBorder="1" applyAlignment="1">
      <alignment horizontal="center" vertical="center"/>
    </xf>
    <xf numFmtId="3" fontId="25" fillId="2" borderId="5" xfId="0" applyNumberFormat="1" applyFont="1" applyFill="1" applyBorder="1" applyAlignment="1">
      <alignment horizontal="center"/>
    </xf>
    <xf numFmtId="41" fontId="28" fillId="2" borderId="12" xfId="1" applyFont="1" applyFill="1" applyBorder="1" applyAlignment="1">
      <alignment horizontal="center" vertical="center"/>
    </xf>
    <xf numFmtId="3" fontId="31" fillId="0" borderId="5" xfId="0" applyNumberFormat="1" applyFont="1" applyBorder="1"/>
    <xf numFmtId="164" fontId="22" fillId="0" borderId="14" xfId="1" applyNumberFormat="1" applyFont="1" applyBorder="1" applyAlignment="1">
      <alignment vertical="center"/>
    </xf>
    <xf numFmtId="164" fontId="22" fillId="0" borderId="12" xfId="1" applyNumberFormat="1" applyFont="1" applyBorder="1" applyAlignment="1">
      <alignment horizontal="center"/>
    </xf>
    <xf numFmtId="164" fontId="22" fillId="0" borderId="14" xfId="1" applyNumberFormat="1" applyFont="1" applyBorder="1" applyAlignment="1">
      <alignment horizontal="center"/>
    </xf>
    <xf numFmtId="164" fontId="22" fillId="0" borderId="3" xfId="1" applyNumberFormat="1" applyFont="1" applyBorder="1" applyAlignment="1">
      <alignment vertical="center"/>
    </xf>
    <xf numFmtId="41" fontId="29" fillId="2" borderId="2" xfId="1" applyFont="1" applyFill="1" applyBorder="1" applyAlignment="1">
      <alignment horizontal="right"/>
    </xf>
    <xf numFmtId="41" fontId="28" fillId="2" borderId="0" xfId="1" applyFont="1" applyFill="1" applyBorder="1" applyAlignment="1">
      <alignment horizontal="center" vertical="center"/>
    </xf>
    <xf numFmtId="41" fontId="29" fillId="2" borderId="0" xfId="1" applyFont="1" applyFill="1" applyBorder="1" applyAlignment="1">
      <alignment horizontal="right"/>
    </xf>
    <xf numFmtId="41" fontId="28" fillId="2" borderId="14" xfId="1" applyFont="1" applyFill="1" applyBorder="1" applyAlignment="1">
      <alignment horizontal="center" vertical="center"/>
    </xf>
    <xf numFmtId="164" fontId="0" fillId="0" borderId="0" xfId="0" applyNumberFormat="1"/>
    <xf numFmtId="3" fontId="1" fillId="2" borderId="1" xfId="0" applyNumberFormat="1" applyFont="1" applyFill="1" applyBorder="1" applyAlignment="1">
      <alignment horizontal="center" vertical="center"/>
    </xf>
    <xf numFmtId="0" fontId="25" fillId="0" borderId="18" xfId="0" applyFont="1" applyBorder="1"/>
    <xf numFmtId="0" fontId="0" fillId="0" borderId="18" xfId="0" applyBorder="1"/>
    <xf numFmtId="166" fontId="29" fillId="0" borderId="0" xfId="2" applyNumberFormat="1" applyFont="1" applyBorder="1" applyAlignment="1">
      <alignment horizontal="center"/>
    </xf>
    <xf numFmtId="41" fontId="4" fillId="2" borderId="5" xfId="1" applyFont="1" applyFill="1" applyBorder="1" applyAlignment="1">
      <alignment vertical="center"/>
    </xf>
    <xf numFmtId="43" fontId="4" fillId="2" borderId="5" xfId="1" applyNumberFormat="1" applyFont="1" applyFill="1" applyBorder="1" applyAlignment="1">
      <alignment vertical="center"/>
    </xf>
    <xf numFmtId="3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1" fontId="29" fillId="0" borderId="1" xfId="1" applyFont="1" applyBorder="1" applyAlignment="1">
      <alignment horizontal="center"/>
    </xf>
    <xf numFmtId="43" fontId="29" fillId="0" borderId="1" xfId="0" applyNumberFormat="1" applyFont="1" applyBorder="1" applyAlignment="1">
      <alignment horizontal="center"/>
    </xf>
    <xf numFmtId="164" fontId="25" fillId="0" borderId="5" xfId="0" applyNumberFormat="1" applyFont="1" applyBorder="1"/>
    <xf numFmtId="166" fontId="31" fillId="0" borderId="0" xfId="0" applyNumberFormat="1" applyFont="1"/>
    <xf numFmtId="166" fontId="23" fillId="2" borderId="0" xfId="2" applyNumberFormat="1" applyFont="1" applyFill="1" applyBorder="1" applyAlignment="1">
      <alignment horizontal="center"/>
    </xf>
    <xf numFmtId="3" fontId="31" fillId="0" borderId="1" xfId="0" applyNumberFormat="1" applyFont="1" applyBorder="1"/>
    <xf numFmtId="43" fontId="22" fillId="0" borderId="0" xfId="1" applyNumberFormat="1" applyFont="1" applyBorder="1" applyAlignment="1">
      <alignment horizontal="center"/>
    </xf>
    <xf numFmtId="41" fontId="4" fillId="2" borderId="5" xfId="1" applyFont="1" applyFill="1" applyBorder="1" applyAlignment="1">
      <alignment horizontal="center"/>
    </xf>
    <xf numFmtId="166" fontId="4" fillId="2" borderId="5" xfId="1" applyNumberFormat="1" applyFont="1" applyFill="1" applyBorder="1" applyAlignment="1">
      <alignment vertical="center"/>
    </xf>
    <xf numFmtId="43" fontId="4" fillId="2" borderId="5" xfId="0" applyNumberFormat="1" applyFont="1" applyFill="1" applyBorder="1" applyAlignment="1">
      <alignment horizontal="center"/>
    </xf>
    <xf numFmtId="43" fontId="22" fillId="2" borderId="5" xfId="1" applyNumberFormat="1" applyFont="1" applyFill="1" applyBorder="1" applyAlignment="1">
      <alignment vertical="center"/>
    </xf>
    <xf numFmtId="0" fontId="0" fillId="0" borderId="4" xfId="0" applyBorder="1"/>
    <xf numFmtId="41" fontId="8" fillId="0" borderId="3" xfId="0" applyNumberFormat="1" applyFont="1" applyBorder="1" applyAlignment="1">
      <alignment vertical="center"/>
    </xf>
    <xf numFmtId="41" fontId="23" fillId="0" borderId="2" xfId="1" applyFont="1" applyBorder="1" applyAlignment="1">
      <alignment horizontal="center"/>
    </xf>
    <xf numFmtId="43" fontId="23" fillId="0" borderId="2" xfId="0" applyNumberFormat="1" applyFont="1" applyBorder="1" applyAlignment="1">
      <alignment horizontal="center"/>
    </xf>
    <xf numFmtId="164" fontId="22" fillId="2" borderId="5" xfId="0" applyNumberFormat="1" applyFont="1" applyFill="1" applyBorder="1" applyAlignment="1">
      <alignment horizontal="center"/>
    </xf>
    <xf numFmtId="166" fontId="23" fillId="2" borderId="2" xfId="2" applyNumberFormat="1" applyFont="1" applyFill="1" applyBorder="1" applyAlignment="1">
      <alignment horizontal="center"/>
    </xf>
    <xf numFmtId="43" fontId="4" fillId="0" borderId="3" xfId="1" applyNumberFormat="1" applyFont="1" applyBorder="1" applyAlignment="1">
      <alignment vertical="center"/>
    </xf>
    <xf numFmtId="41" fontId="4" fillId="0" borderId="3" xfId="1" applyFont="1" applyBorder="1" applyAlignment="1">
      <alignment vertical="center"/>
    </xf>
    <xf numFmtId="0" fontId="1" fillId="0" borderId="0" xfId="0" applyFont="1" applyAlignment="1">
      <alignment horizontal="center"/>
    </xf>
    <xf numFmtId="164" fontId="22" fillId="0" borderId="3" xfId="0" applyNumberFormat="1" applyFont="1" applyBorder="1" applyAlignment="1">
      <alignment horizontal="center"/>
    </xf>
    <xf numFmtId="41" fontId="22" fillId="0" borderId="3" xfId="1" applyFont="1" applyBorder="1"/>
    <xf numFmtId="43" fontId="21" fillId="0" borderId="0" xfId="0" applyNumberFormat="1" applyFont="1" applyAlignment="1">
      <alignment horizontal="center"/>
    </xf>
    <xf numFmtId="41" fontId="22" fillId="0" borderId="2" xfId="0" applyNumberFormat="1" applyFont="1" applyBorder="1" applyAlignment="1">
      <alignment horizontal="center"/>
    </xf>
    <xf numFmtId="41" fontId="23" fillId="2" borderId="5" xfId="1" applyFont="1" applyFill="1" applyBorder="1" applyAlignment="1">
      <alignment horizontal="center"/>
    </xf>
    <xf numFmtId="41" fontId="4" fillId="0" borderId="2" xfId="1" applyFont="1" applyBorder="1" applyAlignment="1">
      <alignment vertical="center"/>
    </xf>
    <xf numFmtId="41" fontId="22" fillId="0" borderId="2" xfId="1" applyFont="1" applyBorder="1" applyAlignment="1">
      <alignment vertical="center"/>
    </xf>
    <xf numFmtId="41" fontId="22" fillId="0" borderId="2" xfId="1" applyFont="1" applyBorder="1" applyAlignment="1">
      <alignment horizontal="center"/>
    </xf>
    <xf numFmtId="43" fontId="21" fillId="2" borderId="2" xfId="1" applyNumberFormat="1" applyFont="1" applyFill="1" applyBorder="1" applyAlignment="1">
      <alignment vertical="center"/>
    </xf>
    <xf numFmtId="166" fontId="23" fillId="2" borderId="2" xfId="1" applyNumberFormat="1" applyFont="1" applyFill="1" applyBorder="1" applyAlignment="1">
      <alignment vertical="center"/>
    </xf>
    <xf numFmtId="167" fontId="4" fillId="0" borderId="5" xfId="1" applyNumberFormat="1" applyFont="1" applyBorder="1" applyAlignment="1">
      <alignment horizontal="center"/>
    </xf>
    <xf numFmtId="0" fontId="34" fillId="0" borderId="1" xfId="0" applyFont="1" applyBorder="1" applyAlignment="1">
      <alignment horizontal="center" vertical="center"/>
    </xf>
    <xf numFmtId="3" fontId="35" fillId="0" borderId="1" xfId="0" applyNumberFormat="1" applyFont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3" fontId="34" fillId="0" borderId="1" xfId="0" applyNumberFormat="1" applyFont="1" applyBorder="1" applyAlignment="1">
      <alignment horizontal="center" vertical="center"/>
    </xf>
    <xf numFmtId="0" fontId="35" fillId="0" borderId="0" xfId="0" applyFont="1"/>
    <xf numFmtId="3" fontId="34" fillId="2" borderId="1" xfId="0" applyNumberFormat="1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3" fontId="37" fillId="0" borderId="1" xfId="0" applyNumberFormat="1" applyFont="1" applyBorder="1" applyAlignment="1">
      <alignment horizontal="center"/>
    </xf>
    <xf numFmtId="0" fontId="36" fillId="0" borderId="1" xfId="0" applyFont="1" applyBorder="1" applyAlignment="1">
      <alignment horizontal="center" vertical="center" wrapText="1"/>
    </xf>
    <xf numFmtId="3" fontId="36" fillId="0" borderId="1" xfId="0" applyNumberFormat="1" applyFont="1" applyBorder="1" applyAlignment="1">
      <alignment horizontal="center" vertical="center"/>
    </xf>
    <xf numFmtId="0" fontId="37" fillId="0" borderId="0" xfId="0" applyFont="1"/>
    <xf numFmtId="3" fontId="37" fillId="2" borderId="1" xfId="0" applyNumberFormat="1" applyFont="1" applyFill="1" applyBorder="1" applyAlignment="1">
      <alignment horizontal="center"/>
    </xf>
    <xf numFmtId="3" fontId="36" fillId="2" borderId="1" xfId="0" applyNumberFormat="1" applyFont="1" applyFill="1" applyBorder="1" applyAlignment="1">
      <alignment horizontal="center" vertical="center"/>
    </xf>
    <xf numFmtId="0" fontId="37" fillId="2" borderId="0" xfId="0" applyFont="1" applyFill="1"/>
    <xf numFmtId="0" fontId="36" fillId="2" borderId="1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3" fontId="8" fillId="0" borderId="0" xfId="1" applyNumberFormat="1" applyFont="1" applyBorder="1" applyAlignment="1">
      <alignment horizontal="center"/>
    </xf>
    <xf numFmtId="43" fontId="4" fillId="0" borderId="0" xfId="1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41" fontId="1" fillId="0" borderId="0" xfId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1" fontId="0" fillId="0" borderId="0" xfId="1" applyFont="1" applyBorder="1" applyAlignment="1">
      <alignment horizontal="center"/>
    </xf>
    <xf numFmtId="41" fontId="4" fillId="0" borderId="0" xfId="1" applyFont="1" applyBorder="1" applyAlignment="1">
      <alignment horizontal="center"/>
    </xf>
    <xf numFmtId="41" fontId="8" fillId="0" borderId="0" xfId="1" applyFont="1" applyBorder="1" applyAlignment="1">
      <alignment horizontal="center"/>
    </xf>
    <xf numFmtId="41" fontId="1" fillId="0" borderId="7" xfId="1" applyFont="1" applyBorder="1" applyAlignment="1">
      <alignment horizontal="center" vertical="center"/>
    </xf>
    <xf numFmtId="41" fontId="1" fillId="0" borderId="8" xfId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3" fontId="3" fillId="0" borderId="0" xfId="1" applyNumberFormat="1" applyFont="1" applyBorder="1" applyAlignment="1">
      <alignment horizontal="center"/>
    </xf>
    <xf numFmtId="43" fontId="10" fillId="0" borderId="0" xfId="1" applyNumberFormat="1" applyFont="1" applyBorder="1" applyAlignment="1">
      <alignment horizontal="center"/>
    </xf>
    <xf numFmtId="43" fontId="11" fillId="0" borderId="0" xfId="1" applyNumberFormat="1" applyFont="1" applyBorder="1" applyAlignment="1">
      <alignment horizont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64" fontId="21" fillId="0" borderId="9" xfId="0" applyNumberFormat="1" applyFont="1" applyBorder="1" applyAlignment="1">
      <alignment horizontal="center" vertical="center"/>
    </xf>
    <xf numFmtId="164" fontId="21" fillId="0" borderId="10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41" fontId="19" fillId="0" borderId="7" xfId="1" applyFont="1" applyBorder="1" applyAlignment="1">
      <alignment horizontal="center" vertical="center"/>
    </xf>
    <xf numFmtId="41" fontId="19" fillId="0" borderId="8" xfId="1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7" fontId="7" fillId="2" borderId="0" xfId="0" applyNumberFormat="1" applyFont="1" applyFill="1" applyAlignment="1">
      <alignment horizontal="center"/>
    </xf>
    <xf numFmtId="0" fontId="13" fillId="0" borderId="0" xfId="0" applyFont="1" applyAlignment="1">
      <alignment horizontal="center" wrapText="1"/>
    </xf>
    <xf numFmtId="41" fontId="1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/>
    </xf>
    <xf numFmtId="0" fontId="28" fillId="2" borderId="2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9" xfId="0" applyFont="1" applyFill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/>
    </xf>
    <xf numFmtId="0" fontId="28" fillId="2" borderId="1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7" fontId="33" fillId="2" borderId="0" xfId="0" applyNumberFormat="1" applyFont="1" applyFill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34" fillId="0" borderId="2" xfId="0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41" fontId="4" fillId="3" borderId="5" xfId="1" applyFont="1" applyFill="1" applyBorder="1" applyAlignment="1">
      <alignment horizontal="center"/>
    </xf>
    <xf numFmtId="43" fontId="4" fillId="3" borderId="5" xfId="0" applyNumberFormat="1" applyFont="1" applyFill="1" applyBorder="1" applyAlignment="1">
      <alignment horizontal="center"/>
    </xf>
    <xf numFmtId="41" fontId="4" fillId="3" borderId="5" xfId="0" applyNumberFormat="1" applyFont="1" applyFill="1" applyBorder="1" applyAlignment="1">
      <alignment horizontal="center"/>
    </xf>
    <xf numFmtId="166" fontId="4" fillId="3" borderId="5" xfId="2" applyNumberFormat="1" applyFont="1" applyFill="1" applyBorder="1" applyAlignment="1">
      <alignment horizontal="center"/>
    </xf>
    <xf numFmtId="43" fontId="4" fillId="3" borderId="5" xfId="1" applyNumberFormat="1" applyFont="1" applyFill="1" applyBorder="1" applyAlignment="1">
      <alignment vertical="center"/>
    </xf>
    <xf numFmtId="0" fontId="0" fillId="3" borderId="0" xfId="0" applyFill="1"/>
    <xf numFmtId="0" fontId="13" fillId="0" borderId="2" xfId="0" applyFont="1" applyBorder="1" applyAlignment="1">
      <alignment horizontal="center"/>
    </xf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5"/>
  <sheetViews>
    <sheetView showWhiteSpace="0" view="pageLayout" zoomScale="75" zoomScaleNormal="75" zoomScalePageLayoutView="75" workbookViewId="0">
      <selection activeCell="K16" sqref="K16"/>
    </sheetView>
  </sheetViews>
  <sheetFormatPr defaultRowHeight="15" customHeight="1" x14ac:dyDescent="0.25"/>
  <cols>
    <col min="1" max="1" width="12" customWidth="1"/>
    <col min="2" max="2" width="11.85546875" customWidth="1"/>
    <col min="3" max="3" width="14.28515625" customWidth="1"/>
    <col min="4" max="4" width="17.28515625" customWidth="1"/>
    <col min="5" max="5" width="8.5703125" customWidth="1"/>
    <col min="6" max="6" width="10.5703125" customWidth="1"/>
    <col min="7" max="7" width="16.85546875" customWidth="1"/>
    <col min="8" max="8" width="11.42578125" bestFit="1" customWidth="1"/>
    <col min="9" max="9" width="18.28515625" customWidth="1"/>
    <col min="10" max="10" width="11.5703125" customWidth="1"/>
    <col min="11" max="11" width="18" customWidth="1"/>
    <col min="12" max="12" width="22" customWidth="1"/>
  </cols>
  <sheetData>
    <row r="1" spans="1:12" s="95" customFormat="1" ht="15" customHeight="1" x14ac:dyDescent="0.25">
      <c r="A1" s="116" t="s">
        <v>12</v>
      </c>
    </row>
    <row r="2" spans="1:12" s="95" customFormat="1" ht="15" customHeight="1" x14ac:dyDescent="0.25">
      <c r="A2" s="116" t="s">
        <v>38</v>
      </c>
    </row>
    <row r="3" spans="1:12" s="95" customFormat="1" ht="23.25" customHeight="1" x14ac:dyDescent="0.25">
      <c r="A3" s="475" t="s">
        <v>2</v>
      </c>
      <c r="B3" s="475"/>
      <c r="C3" s="475"/>
      <c r="D3" s="475"/>
      <c r="E3" s="475"/>
      <c r="F3" s="475"/>
      <c r="G3" s="475"/>
      <c r="H3" s="475"/>
      <c r="I3" s="475"/>
      <c r="J3" s="475"/>
      <c r="K3" s="475"/>
    </row>
    <row r="4" spans="1:12" ht="18.75" customHeight="1" x14ac:dyDescent="0.25">
      <c r="A4" s="476" t="s">
        <v>0</v>
      </c>
      <c r="B4" s="476" t="s">
        <v>7</v>
      </c>
      <c r="C4" s="476"/>
      <c r="D4" s="476"/>
      <c r="E4" s="476" t="s">
        <v>5</v>
      </c>
      <c r="F4" s="476"/>
      <c r="G4" s="476"/>
      <c r="H4" s="476" t="s">
        <v>4</v>
      </c>
      <c r="I4" s="476"/>
      <c r="J4" s="476" t="s">
        <v>6</v>
      </c>
      <c r="K4" s="476"/>
    </row>
    <row r="5" spans="1:12" ht="21" customHeight="1" x14ac:dyDescent="0.25">
      <c r="A5" s="476"/>
      <c r="B5" s="28" t="s">
        <v>8</v>
      </c>
      <c r="C5" s="28" t="s">
        <v>14</v>
      </c>
      <c r="D5" s="28" t="s">
        <v>13</v>
      </c>
      <c r="E5" s="28" t="s">
        <v>8</v>
      </c>
      <c r="F5" s="28" t="s">
        <v>14</v>
      </c>
      <c r="G5" s="28" t="s">
        <v>10</v>
      </c>
      <c r="H5" s="28" t="s">
        <v>8</v>
      </c>
      <c r="I5" s="28" t="s">
        <v>13</v>
      </c>
      <c r="J5" s="28" t="s">
        <v>8</v>
      </c>
      <c r="K5" s="28" t="s">
        <v>15</v>
      </c>
    </row>
    <row r="6" spans="1:12" ht="11.25" customHeight="1" x14ac:dyDescent="0.25">
      <c r="A6" s="29"/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12" ht="15" customHeight="1" x14ac:dyDescent="0.25">
      <c r="A7" s="570" t="s">
        <v>1</v>
      </c>
      <c r="B7" s="571">
        <v>2</v>
      </c>
      <c r="C7" s="572">
        <v>6100</v>
      </c>
      <c r="D7" s="572">
        <f>B7*C7</f>
        <v>12200</v>
      </c>
      <c r="E7" s="573"/>
      <c r="F7" s="572"/>
      <c r="G7" s="572"/>
      <c r="H7" s="573"/>
      <c r="I7" s="572">
        <f>H7*C7</f>
        <v>0</v>
      </c>
      <c r="J7" s="571">
        <f>B7+E7-H7</f>
        <v>2</v>
      </c>
      <c r="K7" s="572">
        <f>D7+G7-I7</f>
        <v>12200</v>
      </c>
      <c r="L7" s="576"/>
    </row>
    <row r="8" spans="1:12" ht="15" customHeight="1" x14ac:dyDescent="0.25">
      <c r="A8" s="570"/>
      <c r="B8" s="574"/>
      <c r="C8" s="572"/>
      <c r="D8" s="572"/>
      <c r="E8" s="573"/>
      <c r="F8" s="572"/>
      <c r="G8" s="575">
        <f>E8*F8</f>
        <v>0</v>
      </c>
      <c r="H8" s="573"/>
      <c r="I8" s="572"/>
      <c r="J8" s="571">
        <f>B8+E8-H8</f>
        <v>0</v>
      </c>
      <c r="K8" s="572">
        <f>D8+G8-I8</f>
        <v>0</v>
      </c>
      <c r="L8" s="576" t="s">
        <v>118</v>
      </c>
    </row>
    <row r="9" spans="1:12" ht="15" customHeight="1" x14ac:dyDescent="0.25">
      <c r="A9" s="570"/>
      <c r="B9" s="574"/>
      <c r="C9" s="572"/>
      <c r="D9" s="572"/>
      <c r="E9" s="573"/>
      <c r="F9" s="572"/>
      <c r="G9" s="572"/>
      <c r="H9" s="573"/>
      <c r="I9" s="572"/>
      <c r="J9" s="571">
        <f>SUM(J7:J8)</f>
        <v>2</v>
      </c>
      <c r="K9" s="572">
        <f>SUM(K7:K8)</f>
        <v>12200</v>
      </c>
      <c r="L9" s="576"/>
    </row>
    <row r="10" spans="1:12" ht="15" customHeight="1" x14ac:dyDescent="0.25">
      <c r="A10" s="40"/>
      <c r="B10" s="35"/>
      <c r="C10" s="27"/>
      <c r="D10" s="27"/>
      <c r="E10" s="36"/>
      <c r="F10" s="27"/>
      <c r="G10" s="27"/>
      <c r="H10" s="36"/>
      <c r="I10" s="27"/>
      <c r="J10" s="26"/>
      <c r="K10" s="27"/>
    </row>
    <row r="11" spans="1:12" ht="15" customHeight="1" x14ac:dyDescent="0.25">
      <c r="A11" s="40" t="s">
        <v>21</v>
      </c>
      <c r="B11" s="35"/>
      <c r="C11" s="27"/>
      <c r="D11" s="27"/>
      <c r="E11" s="36"/>
      <c r="F11" s="27"/>
      <c r="G11" s="27"/>
      <c r="H11" s="36"/>
      <c r="I11" s="27">
        <f>H11*C11</f>
        <v>0</v>
      </c>
      <c r="J11" s="26">
        <f>B11+E11-H11</f>
        <v>0</v>
      </c>
      <c r="K11" s="27">
        <f>D11+G11-I11</f>
        <v>0</v>
      </c>
    </row>
    <row r="12" spans="1:12" ht="15" customHeight="1" x14ac:dyDescent="0.25">
      <c r="A12" s="40"/>
      <c r="B12" s="35"/>
      <c r="C12" s="27"/>
      <c r="D12" s="27"/>
      <c r="E12" s="36"/>
      <c r="F12" s="27"/>
      <c r="G12" s="27"/>
      <c r="H12" s="36"/>
      <c r="I12" s="27"/>
      <c r="J12" s="26">
        <f>B12+E12-H12</f>
        <v>0</v>
      </c>
      <c r="K12" s="27">
        <f>D12+G12-I12</f>
        <v>0</v>
      </c>
    </row>
    <row r="13" spans="1:12" ht="15" customHeight="1" x14ac:dyDescent="0.25">
      <c r="A13" s="40"/>
      <c r="B13" s="140">
        <f>SUM(B11:B12)</f>
        <v>0</v>
      </c>
      <c r="C13" s="42"/>
      <c r="D13" s="27"/>
      <c r="E13" s="44"/>
      <c r="F13" s="43"/>
      <c r="G13" s="43"/>
      <c r="H13" s="36"/>
      <c r="I13" s="27"/>
      <c r="J13" s="26">
        <f>SUM(J11:J12)</f>
        <v>0</v>
      </c>
      <c r="K13" s="27">
        <f>SUM(K11:K12)</f>
        <v>0</v>
      </c>
      <c r="L13" s="15"/>
    </row>
    <row r="14" spans="1:12" ht="15" customHeight="1" x14ac:dyDescent="0.25">
      <c r="A14" s="40"/>
      <c r="B14" s="42"/>
      <c r="C14" s="42"/>
      <c r="D14" s="27"/>
      <c r="E14" s="44"/>
      <c r="F14" s="43"/>
      <c r="G14" s="43"/>
      <c r="H14" s="128"/>
      <c r="I14" s="129"/>
      <c r="J14" s="130"/>
      <c r="K14" s="129"/>
      <c r="L14" s="15"/>
    </row>
    <row r="15" spans="1:12" ht="15" customHeight="1" x14ac:dyDescent="0.25">
      <c r="A15" s="40" t="s">
        <v>22</v>
      </c>
      <c r="B15" s="35"/>
      <c r="C15" s="27"/>
      <c r="D15" s="27"/>
      <c r="E15" s="44"/>
      <c r="F15" s="43"/>
      <c r="G15" s="43"/>
      <c r="H15" s="42"/>
      <c r="I15" s="27">
        <f>H15*C15</f>
        <v>0</v>
      </c>
      <c r="J15" s="26">
        <f>B15+E15-H15</f>
        <v>0</v>
      </c>
      <c r="K15" s="27">
        <f>D15+G15-I15</f>
        <v>0</v>
      </c>
      <c r="L15" s="15"/>
    </row>
    <row r="16" spans="1:12" ht="15" customHeight="1" x14ac:dyDescent="0.25">
      <c r="A16" s="40"/>
      <c r="B16" s="35">
        <f>J12</f>
        <v>0</v>
      </c>
      <c r="C16" s="27"/>
      <c r="D16" s="27"/>
      <c r="E16" s="44"/>
      <c r="F16" s="43"/>
      <c r="G16" s="43"/>
      <c r="H16" s="42"/>
      <c r="I16" s="27"/>
      <c r="J16" s="26">
        <f>B16+E16-H16</f>
        <v>0</v>
      </c>
      <c r="K16" s="27">
        <f>D16+G16-I16</f>
        <v>0</v>
      </c>
      <c r="L16" s="15"/>
    </row>
    <row r="17" spans="1:12" ht="15" customHeight="1" x14ac:dyDescent="0.25">
      <c r="A17" s="40"/>
      <c r="B17" s="140">
        <f>SUM(B15:B16)</f>
        <v>0</v>
      </c>
      <c r="C17" s="42"/>
      <c r="D17" s="27"/>
      <c r="E17" s="44"/>
      <c r="F17" s="43"/>
      <c r="G17" s="43"/>
      <c r="H17" s="128"/>
      <c r="I17" s="129"/>
      <c r="J17" s="26">
        <f>SUM(J15:J16)</f>
        <v>0</v>
      </c>
      <c r="K17" s="27">
        <f>SUM(K15:K16)</f>
        <v>0</v>
      </c>
      <c r="L17" s="15"/>
    </row>
    <row r="18" spans="1:12" ht="15" customHeight="1" x14ac:dyDescent="0.25">
      <c r="A18" s="40"/>
      <c r="B18" s="42"/>
      <c r="C18" s="42"/>
      <c r="D18" s="27"/>
      <c r="E18" s="44"/>
      <c r="F18" s="43"/>
      <c r="G18" s="43"/>
      <c r="H18" s="42"/>
      <c r="I18" s="27"/>
      <c r="J18" s="130"/>
      <c r="K18" s="129"/>
      <c r="L18" s="15"/>
    </row>
    <row r="19" spans="1:12" ht="15" customHeight="1" x14ac:dyDescent="0.25">
      <c r="A19" s="40" t="s">
        <v>24</v>
      </c>
      <c r="B19" s="35"/>
      <c r="C19" s="27"/>
      <c r="D19" s="27"/>
      <c r="E19" s="44"/>
      <c r="F19" s="43"/>
      <c r="G19" s="43"/>
      <c r="H19" s="42"/>
      <c r="I19" s="27">
        <f>H19*C19</f>
        <v>0</v>
      </c>
      <c r="J19" s="26">
        <f>B19+E19-H19</f>
        <v>0</v>
      </c>
      <c r="K19" s="27">
        <f>D19+G19-I19</f>
        <v>0</v>
      </c>
      <c r="L19" s="15"/>
    </row>
    <row r="20" spans="1:12" ht="15" customHeight="1" x14ac:dyDescent="0.25">
      <c r="A20" s="40"/>
      <c r="B20" s="35">
        <f>J16</f>
        <v>0</v>
      </c>
      <c r="C20" s="27"/>
      <c r="D20" s="27"/>
      <c r="E20" s="44"/>
      <c r="F20" s="43"/>
      <c r="G20" s="43"/>
      <c r="H20" s="42"/>
      <c r="I20" s="27"/>
      <c r="J20" s="26">
        <f>B20+E20-H20</f>
        <v>0</v>
      </c>
      <c r="K20" s="27">
        <f>D20+G20-I20</f>
        <v>0</v>
      </c>
      <c r="L20" s="15"/>
    </row>
    <row r="21" spans="1:12" ht="15" customHeight="1" x14ac:dyDescent="0.25">
      <c r="A21" s="40"/>
      <c r="B21" s="140">
        <f>SUM(B19:B20)</f>
        <v>0</v>
      </c>
      <c r="C21" s="42"/>
      <c r="D21" s="27"/>
      <c r="E21" s="44"/>
      <c r="F21" s="43"/>
      <c r="G21" s="43"/>
      <c r="H21" s="128"/>
      <c r="I21" s="129"/>
      <c r="J21" s="26">
        <f>SUM(J19:J20)</f>
        <v>0</v>
      </c>
      <c r="K21" s="27">
        <f>SUM(K19:K20)</f>
        <v>0</v>
      </c>
      <c r="L21" s="138"/>
    </row>
    <row r="22" spans="1:12" ht="15" customHeight="1" x14ac:dyDescent="0.25">
      <c r="A22" s="40"/>
      <c r="B22" s="140"/>
      <c r="C22" s="42"/>
      <c r="D22" s="27"/>
      <c r="E22" s="44"/>
      <c r="F22" s="43"/>
      <c r="G22" s="43"/>
      <c r="H22" s="128"/>
      <c r="I22" s="129"/>
      <c r="J22" s="26"/>
      <c r="K22" s="27"/>
      <c r="L22" s="138"/>
    </row>
    <row r="23" spans="1:12" ht="15" customHeight="1" x14ac:dyDescent="0.25">
      <c r="A23" s="40" t="s">
        <v>27</v>
      </c>
      <c r="B23" s="35"/>
      <c r="C23" s="27"/>
      <c r="D23" s="27"/>
      <c r="E23" s="44"/>
      <c r="F23" s="43"/>
      <c r="G23" s="43"/>
      <c r="H23" s="42"/>
      <c r="I23" s="27">
        <f>H23*C23</f>
        <v>0</v>
      </c>
      <c r="J23" s="26">
        <f>B23+E23-H23</f>
        <v>0</v>
      </c>
      <c r="K23" s="27">
        <f>D23+G23-I23</f>
        <v>0</v>
      </c>
      <c r="L23" s="138"/>
    </row>
    <row r="24" spans="1:12" ht="15" customHeight="1" x14ac:dyDescent="0.25">
      <c r="A24" s="40"/>
      <c r="B24" s="35">
        <f>J20</f>
        <v>0</v>
      </c>
      <c r="C24" s="27"/>
      <c r="D24" s="27"/>
      <c r="E24" s="44"/>
      <c r="F24" s="43"/>
      <c r="G24" s="43"/>
      <c r="H24" s="42"/>
      <c r="I24" s="27">
        <f>C24*H24</f>
        <v>0</v>
      </c>
      <c r="J24" s="26">
        <f>B24+E24-H24</f>
        <v>0</v>
      </c>
      <c r="K24" s="27">
        <f>D24+G24-I24</f>
        <v>0</v>
      </c>
      <c r="L24" s="138">
        <f>J24*C24</f>
        <v>0</v>
      </c>
    </row>
    <row r="25" spans="1:12" ht="15" customHeight="1" x14ac:dyDescent="0.25">
      <c r="A25" s="40"/>
      <c r="B25" s="140">
        <f>SUM(B23:B24)</f>
        <v>0</v>
      </c>
      <c r="C25" s="42"/>
      <c r="D25" s="27"/>
      <c r="E25" s="44"/>
      <c r="F25" s="43"/>
      <c r="G25" s="43"/>
      <c r="H25" s="128">
        <f>SUM(H23:H24)</f>
        <v>0</v>
      </c>
      <c r="I25" s="129">
        <f>SUM(I23:I24)</f>
        <v>0</v>
      </c>
      <c r="J25" s="26">
        <f>SUM(J23:J24)</f>
        <v>0</v>
      </c>
      <c r="K25" s="27">
        <f>SUM(K23:K24)</f>
        <v>0</v>
      </c>
      <c r="L25" s="139"/>
    </row>
    <row r="26" spans="1:12" ht="15" customHeight="1" x14ac:dyDescent="0.25">
      <c r="A26" s="40"/>
      <c r="B26" s="42"/>
      <c r="C26" s="42"/>
      <c r="D26" s="43"/>
      <c r="E26" s="44"/>
      <c r="F26" s="43"/>
      <c r="G26" s="43"/>
      <c r="H26" s="42"/>
      <c r="I26" s="27"/>
      <c r="J26" s="26"/>
      <c r="K26" s="27"/>
      <c r="L26" s="138"/>
    </row>
    <row r="27" spans="1:12" ht="15" customHeight="1" x14ac:dyDescent="0.25">
      <c r="A27" s="40" t="s">
        <v>29</v>
      </c>
      <c r="B27" s="35"/>
      <c r="C27" s="27"/>
      <c r="D27" s="27">
        <f>K24</f>
        <v>0</v>
      </c>
      <c r="E27" s="44"/>
      <c r="F27" s="43"/>
      <c r="G27" s="43"/>
      <c r="H27" s="42"/>
      <c r="I27" s="27">
        <f>C27*H27</f>
        <v>0</v>
      </c>
      <c r="J27" s="26">
        <f>B27+E27-H27</f>
        <v>0</v>
      </c>
      <c r="K27" s="27">
        <f>D27+G27-I27</f>
        <v>0</v>
      </c>
      <c r="L27" s="138">
        <f>J27*C27</f>
        <v>0</v>
      </c>
    </row>
    <row r="28" spans="1:12" ht="15" customHeight="1" x14ac:dyDescent="0.25">
      <c r="A28" s="40"/>
      <c r="B28" s="42"/>
      <c r="C28" s="42"/>
      <c r="D28" s="43"/>
      <c r="E28" s="44"/>
      <c r="F28" s="43"/>
      <c r="G28" s="43"/>
      <c r="H28" s="42"/>
      <c r="I28" s="27"/>
      <c r="J28" s="26"/>
      <c r="K28" s="27"/>
      <c r="L28" s="139" t="e">
        <f>'TAWAS BENAR'!Q25+'TAWAS BENAR'!J16+'TAWAS BENAR'!J21+'TAWAS BENAR'!#REF!+'TAWAS BENAR'!M8</f>
        <v>#REF!</v>
      </c>
    </row>
    <row r="29" spans="1:12" ht="15" customHeight="1" x14ac:dyDescent="0.25">
      <c r="A29" s="40" t="s">
        <v>30</v>
      </c>
      <c r="B29" s="35"/>
      <c r="C29" s="27"/>
      <c r="D29" s="27">
        <f>K27</f>
        <v>0</v>
      </c>
      <c r="E29" s="44"/>
      <c r="F29" s="43"/>
      <c r="G29" s="43"/>
      <c r="H29" s="42"/>
      <c r="I29" s="27">
        <f>C29*H29</f>
        <v>0</v>
      </c>
      <c r="J29" s="26">
        <f>B29+E29-H29</f>
        <v>0</v>
      </c>
      <c r="K29" s="27">
        <f>D29+G29-I29</f>
        <v>0</v>
      </c>
      <c r="L29" s="141"/>
    </row>
    <row r="30" spans="1:12" ht="15" customHeight="1" x14ac:dyDescent="0.25">
      <c r="A30" s="40"/>
      <c r="B30" s="128"/>
      <c r="C30" s="128"/>
      <c r="D30" s="41"/>
      <c r="E30" s="44"/>
      <c r="F30" s="43"/>
      <c r="G30" s="43"/>
      <c r="H30" s="42"/>
      <c r="I30" s="27"/>
      <c r="J30" s="130"/>
      <c r="K30" s="129"/>
      <c r="L30" s="15"/>
    </row>
    <row r="31" spans="1:12" ht="15" customHeight="1" x14ac:dyDescent="0.25">
      <c r="A31" s="40" t="s">
        <v>31</v>
      </c>
      <c r="B31" s="35"/>
      <c r="C31" s="27"/>
      <c r="D31" s="27">
        <f>K29</f>
        <v>0</v>
      </c>
      <c r="E31" s="44"/>
      <c r="F31" s="43"/>
      <c r="G31" s="43">
        <f>E31*F31</f>
        <v>0</v>
      </c>
      <c r="H31" s="42"/>
      <c r="I31" s="27">
        <f>C31*H31</f>
        <v>0</v>
      </c>
      <c r="J31" s="26">
        <f>B31+E31-H31</f>
        <v>0</v>
      </c>
      <c r="K31" s="27">
        <f>D31+G31-I31</f>
        <v>0</v>
      </c>
      <c r="L31" s="15"/>
    </row>
    <row r="32" spans="1:12" ht="15" customHeight="1" x14ac:dyDescent="0.25">
      <c r="A32" s="40"/>
      <c r="B32" s="42"/>
      <c r="C32" s="42"/>
      <c r="D32" s="43"/>
      <c r="E32" s="44"/>
      <c r="F32" s="43"/>
      <c r="G32" s="43"/>
      <c r="H32" s="42"/>
      <c r="I32" s="27"/>
      <c r="J32" s="26"/>
      <c r="K32" s="27"/>
      <c r="L32" s="15"/>
    </row>
    <row r="33" spans="1:12" ht="15" customHeight="1" x14ac:dyDescent="0.25">
      <c r="A33" s="40" t="s">
        <v>32</v>
      </c>
      <c r="B33" s="35"/>
      <c r="C33" s="27"/>
      <c r="D33" s="27">
        <f>K31</f>
        <v>0</v>
      </c>
      <c r="E33" s="44"/>
      <c r="F33" s="43"/>
      <c r="G33" s="43"/>
      <c r="H33" s="42"/>
      <c r="I33" s="27">
        <f>C33*H33</f>
        <v>0</v>
      </c>
      <c r="J33" s="26">
        <f>B33+E33-H33</f>
        <v>0</v>
      </c>
      <c r="K33" s="27">
        <f>D33+G33-I33</f>
        <v>0</v>
      </c>
      <c r="L33" s="15"/>
    </row>
    <row r="34" spans="1:12" ht="15" customHeight="1" x14ac:dyDescent="0.25">
      <c r="A34" s="40"/>
      <c r="B34" s="42"/>
      <c r="C34" s="42"/>
      <c r="D34" s="43"/>
      <c r="E34" s="44"/>
      <c r="F34" s="43"/>
      <c r="G34" s="43"/>
      <c r="H34" s="42"/>
      <c r="I34" s="27"/>
      <c r="J34" s="26"/>
      <c r="K34" s="27"/>
      <c r="L34" s="15"/>
    </row>
    <row r="35" spans="1:12" ht="15" customHeight="1" x14ac:dyDescent="0.25">
      <c r="A35" s="123" t="s">
        <v>33</v>
      </c>
      <c r="B35" s="35"/>
      <c r="C35" s="27"/>
      <c r="D35" s="27">
        <f>K33</f>
        <v>0</v>
      </c>
      <c r="E35" s="44"/>
      <c r="F35" s="43"/>
      <c r="G35" s="43"/>
      <c r="H35" s="42"/>
      <c r="I35" s="27">
        <f>C35*H35</f>
        <v>0</v>
      </c>
      <c r="J35" s="26">
        <f>B35+E35-H35</f>
        <v>0</v>
      </c>
      <c r="K35" s="27">
        <f>D35+G35-I35</f>
        <v>0</v>
      </c>
      <c r="L35" s="15"/>
    </row>
    <row r="36" spans="1:12" ht="15" customHeight="1" x14ac:dyDescent="0.25">
      <c r="A36" s="123"/>
      <c r="B36" s="35"/>
      <c r="C36" s="27"/>
      <c r="D36" s="27"/>
      <c r="E36" s="44"/>
      <c r="F36" s="43"/>
      <c r="G36" s="43"/>
      <c r="H36" s="42"/>
      <c r="I36" s="27"/>
      <c r="J36" s="26"/>
      <c r="K36" s="27"/>
      <c r="L36" s="15"/>
    </row>
    <row r="37" spans="1:12" ht="15" customHeight="1" x14ac:dyDescent="0.25">
      <c r="A37" s="123" t="s">
        <v>34</v>
      </c>
      <c r="B37" s="35"/>
      <c r="C37" s="27"/>
      <c r="D37" s="27">
        <f>K35</f>
        <v>0</v>
      </c>
      <c r="E37" s="44"/>
      <c r="F37" s="43"/>
      <c r="G37" s="43"/>
      <c r="H37" s="42"/>
      <c r="I37" s="27">
        <f>C37*H37</f>
        <v>0</v>
      </c>
      <c r="J37" s="26">
        <f>B37+E37-H37</f>
        <v>0</v>
      </c>
      <c r="K37" s="27">
        <f>D37+G37-I37</f>
        <v>0</v>
      </c>
      <c r="L37" s="15">
        <f>J37*C37</f>
        <v>0</v>
      </c>
    </row>
    <row r="38" spans="1:12" ht="15" customHeight="1" x14ac:dyDescent="0.25">
      <c r="A38" s="123"/>
      <c r="B38" s="35"/>
      <c r="C38" s="27"/>
      <c r="D38" s="27"/>
      <c r="E38" s="44"/>
      <c r="F38" s="43"/>
      <c r="G38" s="43"/>
      <c r="H38" s="42"/>
      <c r="I38" s="27"/>
      <c r="J38" s="26"/>
      <c r="K38" s="27"/>
      <c r="L38" s="15"/>
    </row>
    <row r="39" spans="1:12" ht="15" customHeight="1" x14ac:dyDescent="0.25">
      <c r="A39" s="123" t="s">
        <v>35</v>
      </c>
      <c r="B39" s="35"/>
      <c r="C39" s="27"/>
      <c r="D39" s="27">
        <f>K37</f>
        <v>0</v>
      </c>
      <c r="E39" s="44"/>
      <c r="F39" s="43"/>
      <c r="G39" s="43"/>
      <c r="H39" s="42"/>
      <c r="I39" s="27">
        <f>C39*H39</f>
        <v>0</v>
      </c>
      <c r="J39" s="26">
        <f>B39+E39-H39</f>
        <v>0</v>
      </c>
      <c r="K39" s="27">
        <f>D39+G39-I39</f>
        <v>0</v>
      </c>
      <c r="L39" s="15"/>
    </row>
    <row r="40" spans="1:12" ht="15" customHeight="1" x14ac:dyDescent="0.25">
      <c r="A40" s="40"/>
      <c r="B40" s="42"/>
      <c r="C40" s="42"/>
      <c r="D40" s="43"/>
      <c r="E40" s="44"/>
      <c r="F40" s="43"/>
      <c r="G40" s="43"/>
      <c r="H40" s="42"/>
      <c r="I40" s="27"/>
      <c r="J40" s="26"/>
      <c r="K40" s="27"/>
      <c r="L40" s="15"/>
    </row>
    <row r="41" spans="1:12" ht="27" customHeight="1" thickBot="1" x14ac:dyDescent="0.3">
      <c r="A41" s="471" t="s">
        <v>18</v>
      </c>
      <c r="B41" s="472"/>
      <c r="C41" s="472"/>
      <c r="D41" s="472"/>
      <c r="E41" s="94">
        <f>SUM(E13:E40)</f>
        <v>0</v>
      </c>
      <c r="F41" s="94"/>
      <c r="G41" s="94">
        <f>SUM(G13:G40)</f>
        <v>0</v>
      </c>
      <c r="H41" s="85">
        <f>H7+H11+H12+H15+H16+H17+H18+H19+H20+H21+H27+H28</f>
        <v>0</v>
      </c>
      <c r="I41" s="85">
        <f>I7+I11+I12+I15+I16+I17+I18+I19+I20+I21+I27+I28</f>
        <v>0</v>
      </c>
      <c r="J41" s="55">
        <f>J28</f>
        <v>0</v>
      </c>
      <c r="K41" s="56">
        <f>K28</f>
        <v>0</v>
      </c>
      <c r="L41" s="15"/>
    </row>
    <row r="42" spans="1:12" ht="15" customHeight="1" x14ac:dyDescent="0.25">
      <c r="A42" s="46"/>
      <c r="B42" s="47"/>
      <c r="C42" s="48"/>
      <c r="D42" s="49"/>
      <c r="E42" s="50"/>
      <c r="F42" s="50"/>
      <c r="G42" s="50"/>
      <c r="H42" s="47"/>
      <c r="I42" s="50"/>
      <c r="J42" s="23"/>
      <c r="K42" s="24"/>
      <c r="L42" s="15"/>
    </row>
    <row r="43" spans="1:12" ht="15" customHeight="1" x14ac:dyDescent="0.25">
      <c r="A43" s="46"/>
      <c r="B43" s="47"/>
      <c r="C43" s="48"/>
      <c r="D43" s="49"/>
      <c r="E43" s="50"/>
      <c r="F43" s="50"/>
      <c r="G43" s="50"/>
      <c r="H43" s="47"/>
      <c r="I43" s="50"/>
      <c r="J43" s="23"/>
      <c r="K43" s="24"/>
      <c r="L43" s="15"/>
    </row>
    <row r="44" spans="1:12" ht="15" customHeight="1" x14ac:dyDescent="0.25">
      <c r="A44" s="51"/>
      <c r="B44" s="47"/>
      <c r="C44" s="48"/>
      <c r="D44" s="50"/>
      <c r="E44" s="50"/>
      <c r="F44" s="50"/>
      <c r="G44" s="50"/>
      <c r="H44" s="47"/>
      <c r="I44" s="474"/>
      <c r="J44" s="474"/>
      <c r="K44" s="474"/>
      <c r="L44" s="15"/>
    </row>
    <row r="45" spans="1:12" ht="15" customHeight="1" x14ac:dyDescent="0.25">
      <c r="A45" s="51"/>
      <c r="B45" s="47"/>
      <c r="C45" s="48"/>
      <c r="D45" s="49"/>
      <c r="E45" s="50"/>
      <c r="F45" s="50"/>
      <c r="G45" s="50"/>
      <c r="H45" s="47"/>
      <c r="I45" s="474"/>
      <c r="J45" s="474"/>
      <c r="K45" s="474"/>
      <c r="L45" s="15"/>
    </row>
    <row r="46" spans="1:12" ht="15" customHeight="1" x14ac:dyDescent="0.25">
      <c r="A46" s="63"/>
      <c r="B46" s="47"/>
      <c r="C46" s="48"/>
      <c r="D46" s="50"/>
      <c r="E46" s="50"/>
      <c r="F46" s="50"/>
      <c r="G46" s="50"/>
      <c r="H46" s="47"/>
      <c r="I46" s="474"/>
      <c r="J46" s="474"/>
      <c r="K46" s="474"/>
      <c r="L46" s="15"/>
    </row>
    <row r="47" spans="1:12" ht="15" customHeight="1" x14ac:dyDescent="0.25">
      <c r="A47" s="63"/>
      <c r="B47" s="47"/>
      <c r="C47" s="48"/>
      <c r="D47" s="50"/>
      <c r="E47" s="50"/>
      <c r="F47" s="50"/>
      <c r="G47" s="50"/>
      <c r="H47" s="47"/>
      <c r="I47" s="474"/>
      <c r="J47" s="474"/>
      <c r="K47" s="474"/>
      <c r="L47" s="15"/>
    </row>
    <row r="48" spans="1:12" ht="15" customHeight="1" x14ac:dyDescent="0.25">
      <c r="A48" s="63"/>
      <c r="B48" s="47"/>
      <c r="C48" s="48"/>
      <c r="D48" s="49"/>
      <c r="E48" s="50"/>
      <c r="F48" s="50"/>
      <c r="G48" s="50"/>
      <c r="H48" s="47"/>
      <c r="I48" s="474"/>
      <c r="J48" s="474"/>
      <c r="K48" s="474"/>
      <c r="L48" s="15"/>
    </row>
    <row r="49" spans="1:12" ht="15" customHeight="1" x14ac:dyDescent="0.25">
      <c r="A49" s="63"/>
      <c r="B49" s="47"/>
      <c r="C49" s="48"/>
      <c r="D49" s="50"/>
      <c r="E49" s="50"/>
      <c r="F49" s="50"/>
      <c r="G49" s="50"/>
      <c r="H49" s="47"/>
      <c r="I49" s="473"/>
      <c r="J49" s="473"/>
      <c r="K49" s="473"/>
      <c r="L49" s="15"/>
    </row>
    <row r="50" spans="1:12" ht="15" customHeight="1" x14ac:dyDescent="0.25">
      <c r="A50" s="63"/>
      <c r="B50" s="47"/>
      <c r="C50" s="48"/>
      <c r="D50" s="50"/>
      <c r="E50" s="50"/>
      <c r="F50" s="50"/>
      <c r="G50" s="50"/>
      <c r="H50" s="47"/>
      <c r="I50" s="473"/>
      <c r="J50" s="473"/>
      <c r="K50" s="473"/>
      <c r="L50" s="15"/>
    </row>
    <row r="51" spans="1:12" ht="15" customHeight="1" x14ac:dyDescent="0.25">
      <c r="A51" s="63"/>
      <c r="B51" s="47"/>
      <c r="C51" s="48"/>
      <c r="D51" s="49"/>
      <c r="E51" s="50"/>
      <c r="F51" s="50"/>
      <c r="G51" s="50"/>
      <c r="H51" s="47"/>
      <c r="I51" s="474"/>
      <c r="J51" s="474"/>
      <c r="K51" s="474"/>
      <c r="L51" s="15"/>
    </row>
    <row r="52" spans="1:12" ht="15" customHeight="1" x14ac:dyDescent="0.25">
      <c r="A52" s="63"/>
      <c r="B52" s="47"/>
      <c r="C52" s="48"/>
      <c r="D52" s="50"/>
      <c r="E52" s="50"/>
      <c r="F52" s="50"/>
      <c r="G52" s="50"/>
      <c r="H52" s="47"/>
      <c r="I52" s="50"/>
      <c r="J52" s="23"/>
      <c r="K52" s="24"/>
      <c r="L52" s="15"/>
    </row>
    <row r="53" spans="1:12" ht="15" customHeight="1" x14ac:dyDescent="0.25">
      <c r="A53" s="63"/>
      <c r="B53" s="47"/>
      <c r="C53" s="48"/>
      <c r="D53" s="50"/>
      <c r="E53" s="50"/>
      <c r="F53" s="50"/>
      <c r="G53" s="50"/>
      <c r="H53" s="47"/>
      <c r="I53" s="50"/>
      <c r="J53" s="23"/>
      <c r="K53" s="24"/>
      <c r="L53" s="15"/>
    </row>
    <row r="54" spans="1:12" ht="15" customHeight="1" x14ac:dyDescent="0.25">
      <c r="B54" s="15"/>
      <c r="C54" s="12"/>
      <c r="D54" s="9"/>
      <c r="E54" s="17"/>
      <c r="F54" s="17"/>
      <c r="G54" s="17"/>
      <c r="H54" s="15"/>
      <c r="I54" s="9"/>
      <c r="J54" s="19"/>
      <c r="K54" s="14"/>
      <c r="L54" s="15"/>
    </row>
    <row r="55" spans="1:12" ht="15" customHeight="1" x14ac:dyDescent="0.25">
      <c r="B55" s="15"/>
      <c r="D55" s="17"/>
      <c r="E55" s="17"/>
      <c r="F55" s="17"/>
      <c r="G55" s="17"/>
      <c r="H55" s="15"/>
      <c r="I55" s="17"/>
      <c r="J55" s="19"/>
      <c r="K55" s="20"/>
      <c r="L55" s="15"/>
    </row>
    <row r="56" spans="1:12" ht="15" customHeight="1" x14ac:dyDescent="0.25">
      <c r="B56" s="15"/>
      <c r="D56" s="17"/>
      <c r="E56" s="17"/>
      <c r="F56" s="17"/>
      <c r="G56" s="17"/>
      <c r="H56" s="15"/>
      <c r="I56" s="17"/>
      <c r="J56" s="19"/>
      <c r="K56" s="20"/>
      <c r="L56" s="15"/>
    </row>
    <row r="57" spans="1:12" ht="15" customHeight="1" x14ac:dyDescent="0.25">
      <c r="B57" s="15"/>
      <c r="C57" s="12"/>
      <c r="D57" s="9"/>
      <c r="E57" s="17"/>
      <c r="F57" s="17"/>
      <c r="G57" s="17"/>
      <c r="H57" s="15"/>
      <c r="I57" s="9"/>
      <c r="J57" s="19"/>
      <c r="K57" s="14"/>
      <c r="L57" s="15"/>
    </row>
    <row r="58" spans="1:12" ht="15" customHeight="1" x14ac:dyDescent="0.25">
      <c r="B58" s="15"/>
      <c r="C58" s="12"/>
      <c r="D58" s="17"/>
      <c r="E58" s="17"/>
      <c r="F58" s="17"/>
      <c r="G58" s="17"/>
      <c r="H58" s="15"/>
      <c r="I58" s="17"/>
      <c r="J58" s="19"/>
      <c r="K58" s="20"/>
      <c r="L58" s="15"/>
    </row>
    <row r="59" spans="1:12" ht="15" customHeight="1" x14ac:dyDescent="0.25">
      <c r="B59" s="15"/>
      <c r="C59" s="12"/>
      <c r="D59" s="17"/>
      <c r="E59" s="17"/>
      <c r="F59" s="17"/>
      <c r="G59" s="17"/>
      <c r="H59" s="15"/>
      <c r="I59" s="17"/>
      <c r="J59" s="19"/>
      <c r="K59" s="20"/>
      <c r="L59" s="15"/>
    </row>
    <row r="60" spans="1:12" ht="15" customHeight="1" x14ac:dyDescent="0.25">
      <c r="B60" s="15"/>
      <c r="C60" s="12"/>
      <c r="D60" s="9"/>
      <c r="E60" s="17"/>
      <c r="F60" s="17"/>
      <c r="G60" s="17"/>
      <c r="H60" s="15"/>
      <c r="I60" s="9"/>
      <c r="J60" s="19"/>
      <c r="K60" s="14"/>
      <c r="L60" s="15"/>
    </row>
    <row r="61" spans="1:12" ht="15" customHeight="1" x14ac:dyDescent="0.25">
      <c r="B61" s="15"/>
      <c r="C61" s="12"/>
      <c r="D61" s="17"/>
      <c r="E61" s="17"/>
      <c r="F61" s="17"/>
      <c r="G61" s="17"/>
      <c r="H61" s="15"/>
      <c r="I61" s="17"/>
      <c r="J61" s="19"/>
      <c r="K61" s="20"/>
      <c r="L61" s="15"/>
    </row>
    <row r="62" spans="1:12" ht="15" customHeight="1" x14ac:dyDescent="0.25">
      <c r="B62" s="15"/>
      <c r="C62" s="12"/>
      <c r="D62" s="17"/>
      <c r="E62" s="17"/>
      <c r="F62" s="17"/>
      <c r="G62" s="17"/>
      <c r="H62" s="15"/>
      <c r="I62" s="17"/>
      <c r="J62" s="19"/>
      <c r="K62" s="20"/>
      <c r="L62" s="15"/>
    </row>
    <row r="63" spans="1:12" ht="15" customHeight="1" x14ac:dyDescent="0.25">
      <c r="B63" s="15"/>
      <c r="C63" s="12"/>
      <c r="D63" s="9"/>
      <c r="E63" s="17"/>
      <c r="F63" s="17"/>
      <c r="G63" s="17"/>
      <c r="H63" s="15"/>
      <c r="I63" s="9"/>
      <c r="J63" s="19"/>
      <c r="K63" s="14"/>
      <c r="L63" s="15"/>
    </row>
    <row r="64" spans="1:12" ht="15" customHeight="1" x14ac:dyDescent="0.25">
      <c r="B64" s="15"/>
      <c r="C64" s="12"/>
      <c r="D64" s="17"/>
      <c r="E64" s="17"/>
      <c r="F64" s="17"/>
      <c r="G64" s="17"/>
      <c r="H64" s="15"/>
      <c r="I64" s="17"/>
      <c r="J64" s="15"/>
      <c r="K64" s="17"/>
      <c r="L64" s="15"/>
    </row>
    <row r="65" spans="1:12" ht="15" customHeight="1" x14ac:dyDescent="0.25">
      <c r="B65" s="15"/>
      <c r="C65" s="12"/>
      <c r="D65" s="17"/>
      <c r="E65" s="17"/>
      <c r="F65" s="17"/>
      <c r="G65" s="17"/>
      <c r="H65" s="15"/>
      <c r="I65" s="17"/>
      <c r="J65" s="15"/>
      <c r="K65" s="17"/>
      <c r="L65" s="15"/>
    </row>
    <row r="66" spans="1:12" ht="15" customHeight="1" x14ac:dyDescent="0.25">
      <c r="B66" s="15"/>
      <c r="C66" s="12"/>
      <c r="D66" s="9"/>
      <c r="E66" s="17"/>
      <c r="F66" s="17"/>
      <c r="G66" s="17"/>
      <c r="H66" s="15"/>
      <c r="I66" s="9"/>
      <c r="J66" s="15"/>
      <c r="K66" s="9"/>
      <c r="L66" s="15"/>
    </row>
    <row r="67" spans="1:12" ht="15" customHeight="1" x14ac:dyDescent="0.25">
      <c r="B67" s="15"/>
      <c r="C67" s="12"/>
      <c r="D67" s="17"/>
      <c r="E67" s="17"/>
      <c r="F67" s="17"/>
      <c r="G67" s="17"/>
      <c r="H67" s="15"/>
      <c r="I67" s="17"/>
      <c r="J67" s="15"/>
      <c r="K67" s="17"/>
      <c r="L67" s="15"/>
    </row>
    <row r="68" spans="1:12" ht="15" customHeight="1" x14ac:dyDescent="0.25">
      <c r="B68" s="15"/>
      <c r="C68" s="12"/>
      <c r="D68" s="17"/>
      <c r="E68" s="17"/>
      <c r="F68" s="17"/>
      <c r="G68" s="17"/>
      <c r="H68" s="15"/>
      <c r="I68" s="17"/>
      <c r="J68" s="15"/>
      <c r="K68" s="17"/>
      <c r="L68" s="15"/>
    </row>
    <row r="69" spans="1:12" ht="15" customHeight="1" x14ac:dyDescent="0.25">
      <c r="B69" s="15"/>
      <c r="C69" s="12"/>
      <c r="D69" s="9"/>
      <c r="E69" s="15"/>
      <c r="F69" s="17"/>
      <c r="G69" s="17"/>
      <c r="H69" s="15"/>
      <c r="I69" s="17"/>
      <c r="J69" s="15"/>
      <c r="K69" s="9"/>
      <c r="L69" s="15"/>
    </row>
    <row r="70" spans="1:12" ht="15" customHeight="1" x14ac:dyDescent="0.25">
      <c r="B70" s="15"/>
      <c r="C70" s="15"/>
      <c r="D70" s="9"/>
      <c r="E70" s="17"/>
      <c r="F70" s="17"/>
      <c r="G70" s="17"/>
      <c r="H70" s="15"/>
      <c r="I70" s="17"/>
      <c r="J70" s="15"/>
      <c r="K70" s="17"/>
      <c r="L70" s="15"/>
    </row>
    <row r="71" spans="1:12" ht="15" customHeight="1" x14ac:dyDescent="0.25">
      <c r="B71" s="15"/>
      <c r="C71" s="12"/>
      <c r="D71" s="17"/>
      <c r="E71" s="17"/>
      <c r="F71" s="17"/>
      <c r="G71" s="17"/>
      <c r="H71" s="15"/>
      <c r="I71" s="17"/>
      <c r="J71" s="15"/>
      <c r="K71" s="17"/>
      <c r="L71" s="1"/>
    </row>
    <row r="72" spans="1:12" ht="15" customHeight="1" x14ac:dyDescent="0.25">
      <c r="B72" s="15"/>
      <c r="C72" s="12"/>
      <c r="D72" s="9"/>
      <c r="E72" s="17"/>
      <c r="F72" s="17"/>
      <c r="G72" s="17"/>
      <c r="H72" s="15"/>
      <c r="I72" s="17"/>
      <c r="J72" s="15"/>
      <c r="K72" s="9"/>
      <c r="L72" s="1"/>
    </row>
    <row r="73" spans="1:12" ht="15" customHeight="1" x14ac:dyDescent="0.25">
      <c r="B73" s="15"/>
      <c r="C73" s="12"/>
      <c r="D73" s="17"/>
      <c r="E73" s="17"/>
      <c r="F73" s="17"/>
      <c r="G73" s="17"/>
      <c r="H73" s="15"/>
      <c r="I73" s="17"/>
      <c r="J73" s="15"/>
      <c r="K73" s="17"/>
      <c r="L73" s="1"/>
    </row>
    <row r="74" spans="1:12" ht="15" customHeight="1" x14ac:dyDescent="0.25">
      <c r="B74" s="15"/>
      <c r="C74" s="12"/>
      <c r="D74" s="17"/>
      <c r="E74" s="17"/>
      <c r="F74" s="17"/>
      <c r="G74" s="17"/>
      <c r="H74" s="15"/>
      <c r="I74" s="17"/>
      <c r="J74" s="15"/>
      <c r="K74" s="17"/>
      <c r="L74" s="1"/>
    </row>
    <row r="75" spans="1:12" ht="15" customHeight="1" x14ac:dyDescent="0.25">
      <c r="A75" s="32"/>
      <c r="B75" s="32"/>
      <c r="C75" s="32"/>
      <c r="D75" s="32"/>
      <c r="E75" s="17"/>
      <c r="F75" s="17"/>
      <c r="G75" s="17"/>
      <c r="H75" s="25"/>
      <c r="I75" s="25"/>
      <c r="J75" s="15"/>
      <c r="K75" s="17"/>
      <c r="L75" s="1"/>
    </row>
    <row r="76" spans="1:12" ht="15" customHeight="1" x14ac:dyDescent="0.25">
      <c r="B76" s="15"/>
      <c r="C76" s="12"/>
      <c r="D76" s="17"/>
      <c r="E76" s="17"/>
      <c r="F76" s="17"/>
      <c r="G76" s="17"/>
      <c r="H76" s="15"/>
      <c r="I76" s="17"/>
      <c r="J76" s="15"/>
      <c r="K76" s="17"/>
      <c r="L76" s="1"/>
    </row>
    <row r="77" spans="1:12" ht="15" customHeight="1" x14ac:dyDescent="0.25">
      <c r="B77" s="15"/>
      <c r="C77" s="12"/>
      <c r="D77" s="17"/>
      <c r="E77" s="17"/>
      <c r="F77" s="17"/>
      <c r="G77" s="17"/>
      <c r="H77" s="15"/>
      <c r="I77" s="17"/>
      <c r="J77" s="15"/>
      <c r="K77" s="17"/>
      <c r="L77" s="1"/>
    </row>
    <row r="78" spans="1:12" ht="15" customHeight="1" x14ac:dyDescent="0.25">
      <c r="B78" s="15"/>
      <c r="C78" s="12"/>
      <c r="D78" s="17"/>
      <c r="E78" s="17"/>
      <c r="F78" s="17"/>
      <c r="G78" s="17"/>
      <c r="H78" s="15"/>
      <c r="I78" s="17"/>
      <c r="J78" s="15"/>
      <c r="K78" s="17"/>
      <c r="L78" s="1"/>
    </row>
    <row r="79" spans="1:12" ht="15" customHeight="1" x14ac:dyDescent="0.25">
      <c r="B79" s="15"/>
      <c r="C79" s="12"/>
      <c r="D79" s="17"/>
      <c r="E79" s="17"/>
      <c r="F79" s="17"/>
      <c r="G79" s="17"/>
      <c r="H79" s="15"/>
      <c r="I79" s="17"/>
      <c r="J79" s="15"/>
      <c r="K79" s="17"/>
      <c r="L79" s="1"/>
    </row>
    <row r="80" spans="1:12" ht="15" customHeight="1" x14ac:dyDescent="0.25">
      <c r="B80" s="15"/>
      <c r="C80" s="12"/>
      <c r="D80" s="17"/>
      <c r="E80" s="17"/>
      <c r="F80" s="17"/>
      <c r="G80" s="17"/>
      <c r="H80" s="15"/>
      <c r="I80" s="17"/>
      <c r="J80" s="15"/>
      <c r="K80" s="17"/>
      <c r="L80" s="1"/>
    </row>
    <row r="81" spans="2:12" ht="15" customHeight="1" x14ac:dyDescent="0.25">
      <c r="B81" s="15"/>
      <c r="C81" s="12"/>
      <c r="D81" s="17"/>
      <c r="E81" s="17"/>
      <c r="F81" s="17"/>
      <c r="G81" s="17"/>
      <c r="H81" s="15"/>
      <c r="I81" s="17"/>
      <c r="J81" s="17"/>
      <c r="K81" s="17"/>
      <c r="L81" s="1"/>
    </row>
    <row r="82" spans="2:12" ht="15" customHeight="1" x14ac:dyDescent="0.25">
      <c r="B82" s="15"/>
      <c r="C82" s="12"/>
      <c r="D82" s="17"/>
      <c r="E82" s="17"/>
      <c r="F82" s="17"/>
      <c r="G82" s="17"/>
      <c r="H82" s="15"/>
      <c r="I82" s="17"/>
      <c r="J82" s="17"/>
      <c r="K82" s="17"/>
      <c r="L82" s="1"/>
    </row>
    <row r="83" spans="2:12" ht="15" customHeight="1" x14ac:dyDescent="0.25">
      <c r="B83" s="15"/>
      <c r="C83" s="12"/>
      <c r="D83" s="17"/>
      <c r="E83" s="17"/>
      <c r="F83" s="17"/>
      <c r="G83" s="17"/>
      <c r="H83" s="15"/>
      <c r="I83" s="17"/>
      <c r="J83" s="17"/>
      <c r="K83" s="17"/>
      <c r="L83" s="1"/>
    </row>
    <row r="84" spans="2:12" ht="15" customHeight="1" x14ac:dyDescent="0.25">
      <c r="B84" s="15"/>
      <c r="C84" s="12"/>
      <c r="D84" s="17"/>
      <c r="E84" s="17"/>
      <c r="F84" s="17"/>
      <c r="G84" s="17"/>
      <c r="H84" s="15"/>
      <c r="I84" s="17"/>
      <c r="J84" s="17"/>
      <c r="K84" s="17"/>
      <c r="L84" s="1"/>
    </row>
    <row r="85" spans="2:12" ht="15" customHeight="1" x14ac:dyDescent="0.25">
      <c r="B85" s="15"/>
      <c r="C85" s="12"/>
      <c r="D85" s="17"/>
      <c r="E85" s="17"/>
      <c r="F85" s="17"/>
      <c r="G85" s="17"/>
      <c r="H85" s="15"/>
      <c r="I85" s="17"/>
      <c r="J85" s="17"/>
      <c r="K85" s="17"/>
      <c r="L85" s="1"/>
    </row>
    <row r="86" spans="2:12" ht="15" customHeight="1" x14ac:dyDescent="0.25">
      <c r="B86" s="15"/>
      <c r="C86" s="12"/>
      <c r="D86" s="17"/>
      <c r="E86" s="17"/>
      <c r="F86" s="17"/>
      <c r="G86" s="17"/>
      <c r="H86" s="15"/>
      <c r="I86" s="17"/>
      <c r="J86" s="17"/>
      <c r="K86" s="17"/>
      <c r="L86" s="1"/>
    </row>
    <row r="87" spans="2:12" ht="15" customHeight="1" x14ac:dyDescent="0.25">
      <c r="B87" s="15"/>
      <c r="C87" s="12"/>
      <c r="D87" s="17"/>
      <c r="E87" s="17"/>
      <c r="F87" s="17"/>
      <c r="G87" s="17"/>
      <c r="H87" s="15"/>
      <c r="I87" s="17"/>
      <c r="J87" s="17"/>
      <c r="K87" s="17"/>
      <c r="L87" s="1"/>
    </row>
    <row r="88" spans="2:12" ht="15" customHeight="1" x14ac:dyDescent="0.25">
      <c r="B88" s="15"/>
      <c r="C88" s="12"/>
      <c r="D88" s="17"/>
      <c r="E88" s="17"/>
      <c r="F88" s="17"/>
      <c r="G88" s="17"/>
      <c r="H88" s="15"/>
      <c r="I88" s="17"/>
      <c r="J88" s="17"/>
      <c r="K88" s="17"/>
      <c r="L88" s="1"/>
    </row>
    <row r="89" spans="2:12" ht="15" customHeight="1" x14ac:dyDescent="0.25">
      <c r="B89" s="15"/>
      <c r="C89" s="12"/>
      <c r="D89" s="17"/>
      <c r="E89" s="17"/>
      <c r="F89" s="17"/>
      <c r="G89" s="17"/>
      <c r="H89" s="15"/>
      <c r="I89" s="17"/>
      <c r="J89" s="17"/>
      <c r="K89" s="17"/>
      <c r="L89" s="1"/>
    </row>
    <row r="90" spans="2:12" ht="15" customHeight="1" x14ac:dyDescent="0.25">
      <c r="B90" s="15"/>
      <c r="C90" s="12"/>
      <c r="D90" s="15"/>
      <c r="E90" s="15"/>
      <c r="F90" s="15"/>
      <c r="G90" s="15"/>
      <c r="H90" s="15"/>
      <c r="I90" s="15"/>
      <c r="J90" s="15"/>
      <c r="K90" s="15"/>
      <c r="L90" s="1"/>
    </row>
    <row r="91" spans="2:12" ht="15" customHeight="1" x14ac:dyDescent="0.25">
      <c r="B91" s="15"/>
      <c r="C91" s="12"/>
      <c r="D91" s="15"/>
      <c r="E91" s="15"/>
      <c r="F91" s="15"/>
      <c r="G91" s="15"/>
      <c r="H91" s="15"/>
      <c r="I91" s="15"/>
      <c r="J91" s="15"/>
      <c r="K91" s="15"/>
      <c r="L91" s="1"/>
    </row>
    <row r="92" spans="2:12" ht="15" customHeight="1" x14ac:dyDescent="0.25">
      <c r="B92" s="15"/>
      <c r="C92" s="12"/>
      <c r="D92" s="15"/>
      <c r="E92" s="15"/>
      <c r="F92" s="15"/>
      <c r="G92" s="15"/>
      <c r="H92" s="15"/>
      <c r="I92" s="15"/>
      <c r="J92" s="15"/>
      <c r="K92" s="15"/>
      <c r="L92" s="1"/>
    </row>
    <row r="93" spans="2:12" ht="15" customHeight="1" x14ac:dyDescent="0.25">
      <c r="B93" s="15"/>
      <c r="C93" s="12"/>
      <c r="D93" s="15"/>
      <c r="E93" s="15"/>
      <c r="F93" s="15"/>
      <c r="G93" s="15"/>
      <c r="H93" s="15"/>
      <c r="I93" s="15"/>
      <c r="J93" s="15"/>
      <c r="K93" s="15"/>
      <c r="L93" s="1"/>
    </row>
    <row r="94" spans="2:12" ht="15" customHeight="1" x14ac:dyDescent="0.25">
      <c r="B94" s="15"/>
      <c r="C94" s="12"/>
      <c r="D94" s="15"/>
      <c r="E94" s="15"/>
      <c r="F94" s="15"/>
      <c r="G94" s="15"/>
      <c r="H94" s="15"/>
      <c r="I94" s="15"/>
      <c r="J94" s="15"/>
      <c r="K94" s="15"/>
      <c r="L94" s="1"/>
    </row>
    <row r="95" spans="2:12" ht="15" customHeight="1" x14ac:dyDescent="0.25">
      <c r="B95" s="15"/>
      <c r="C95" s="12"/>
      <c r="D95" s="15"/>
      <c r="E95" s="15"/>
      <c r="F95" s="15"/>
      <c r="G95" s="15"/>
      <c r="H95" s="15"/>
      <c r="I95" s="15"/>
      <c r="J95" s="15"/>
      <c r="K95" s="15"/>
      <c r="L95" s="1"/>
    </row>
    <row r="96" spans="2:12" ht="15" customHeight="1" x14ac:dyDescent="0.25">
      <c r="B96" s="15"/>
      <c r="C96" s="12"/>
      <c r="D96" s="15"/>
      <c r="E96" s="15"/>
      <c r="F96" s="15"/>
      <c r="G96" s="15"/>
      <c r="H96" s="15"/>
      <c r="I96" s="15"/>
      <c r="J96" s="15"/>
      <c r="K96" s="15"/>
      <c r="L96" s="1"/>
    </row>
    <row r="97" spans="2:12" ht="15" customHeight="1" x14ac:dyDescent="0.25">
      <c r="B97" s="15"/>
      <c r="C97" s="12"/>
      <c r="D97" s="15"/>
      <c r="E97" s="15"/>
      <c r="F97" s="15"/>
      <c r="G97" s="15"/>
      <c r="H97" s="15"/>
      <c r="I97" s="15"/>
      <c r="J97" s="15"/>
      <c r="K97" s="15"/>
      <c r="L97" s="1"/>
    </row>
    <row r="98" spans="2:12" ht="15" customHeight="1" x14ac:dyDescent="0.25">
      <c r="B98" s="15"/>
      <c r="C98" s="12"/>
      <c r="D98" s="15"/>
      <c r="E98" s="15"/>
      <c r="F98" s="15"/>
      <c r="G98" s="15"/>
      <c r="H98" s="15"/>
      <c r="I98" s="15"/>
      <c r="J98" s="15"/>
      <c r="K98" s="15"/>
      <c r="L98" s="1"/>
    </row>
    <row r="99" spans="2:12" ht="15" customHeight="1" x14ac:dyDescent="0.25">
      <c r="B99" s="15"/>
      <c r="C99" s="12"/>
      <c r="D99" s="15"/>
      <c r="E99" s="15"/>
      <c r="F99" s="15"/>
      <c r="G99" s="15"/>
      <c r="H99" s="15"/>
      <c r="I99" s="15"/>
      <c r="J99" s="15"/>
      <c r="K99" s="15"/>
      <c r="L99" s="1"/>
    </row>
    <row r="100" spans="2:12" ht="15" customHeight="1" x14ac:dyDescent="0.25">
      <c r="B100" s="15"/>
      <c r="C100" s="12"/>
      <c r="D100" s="15"/>
      <c r="E100" s="15"/>
      <c r="F100" s="15"/>
      <c r="G100" s="15"/>
      <c r="H100" s="15"/>
      <c r="I100" s="15"/>
      <c r="J100" s="15"/>
      <c r="K100" s="15"/>
      <c r="L100" s="1"/>
    </row>
    <row r="101" spans="2:12" ht="15" customHeight="1" x14ac:dyDescent="0.25">
      <c r="B101" s="15"/>
      <c r="C101" s="12"/>
      <c r="D101" s="15"/>
      <c r="E101" s="15"/>
      <c r="F101" s="15"/>
      <c r="G101" s="15"/>
      <c r="H101" s="15"/>
      <c r="I101" s="15"/>
      <c r="J101" s="15"/>
      <c r="K101" s="15"/>
      <c r="L101" s="1"/>
    </row>
    <row r="102" spans="2:12" ht="15" customHeight="1" x14ac:dyDescent="0.25">
      <c r="B102" s="15"/>
      <c r="C102" s="12"/>
      <c r="D102" s="15"/>
      <c r="E102" s="15"/>
      <c r="F102" s="15"/>
      <c r="G102" s="15"/>
      <c r="H102" s="15"/>
      <c r="I102" s="15"/>
      <c r="J102" s="15"/>
      <c r="K102" s="15"/>
      <c r="L102" s="1"/>
    </row>
    <row r="103" spans="2:12" ht="15" customHeight="1" x14ac:dyDescent="0.25">
      <c r="B103" s="15"/>
      <c r="C103" s="12"/>
      <c r="D103" s="15"/>
      <c r="E103" s="15"/>
      <c r="F103" s="15"/>
      <c r="G103" s="15"/>
      <c r="H103" s="15"/>
      <c r="I103" s="15"/>
      <c r="J103" s="15"/>
      <c r="K103" s="15"/>
      <c r="L103" s="1"/>
    </row>
    <row r="104" spans="2:12" ht="15" customHeight="1" x14ac:dyDescent="0.25">
      <c r="C104" s="7"/>
      <c r="H104" s="3"/>
      <c r="L104" s="1"/>
    </row>
    <row r="105" spans="2:12" ht="15" customHeight="1" x14ac:dyDescent="0.25">
      <c r="C105" s="7"/>
      <c r="H105" s="3"/>
      <c r="L105" s="1"/>
    </row>
    <row r="106" spans="2:12" ht="15" customHeight="1" x14ac:dyDescent="0.25">
      <c r="C106" s="7"/>
      <c r="H106" s="3"/>
      <c r="L106" s="1"/>
    </row>
    <row r="107" spans="2:12" ht="15" customHeight="1" x14ac:dyDescent="0.25">
      <c r="C107" s="7"/>
      <c r="H107" s="3"/>
      <c r="L107" s="1"/>
    </row>
    <row r="108" spans="2:12" ht="15" customHeight="1" x14ac:dyDescent="0.25">
      <c r="C108" s="7"/>
      <c r="H108" s="3"/>
      <c r="L108" s="1"/>
    </row>
    <row r="109" spans="2:12" ht="15" customHeight="1" x14ac:dyDescent="0.25">
      <c r="C109" s="7"/>
      <c r="H109" s="3"/>
      <c r="L109" s="1"/>
    </row>
    <row r="110" spans="2:12" ht="15" customHeight="1" x14ac:dyDescent="0.25">
      <c r="C110" s="7"/>
      <c r="H110" s="3"/>
      <c r="L110" s="1"/>
    </row>
    <row r="111" spans="2:12" ht="15" customHeight="1" x14ac:dyDescent="0.25">
      <c r="C111" s="7"/>
      <c r="L111" s="1"/>
    </row>
    <row r="112" spans="2:12" ht="15" customHeight="1" x14ac:dyDescent="0.25">
      <c r="C112" s="7"/>
      <c r="L112" s="1"/>
    </row>
    <row r="113" spans="3:3" ht="15" customHeight="1" x14ac:dyDescent="0.25">
      <c r="C113" s="7"/>
    </row>
    <row r="114" spans="3:3" ht="15" customHeight="1" x14ac:dyDescent="0.25">
      <c r="C114" s="7"/>
    </row>
    <row r="115" spans="3:3" ht="15" customHeight="1" x14ac:dyDescent="0.25">
      <c r="C115" s="7"/>
    </row>
    <row r="116" spans="3:3" ht="15" customHeight="1" x14ac:dyDescent="0.25">
      <c r="C116" s="7"/>
    </row>
    <row r="117" spans="3:3" ht="15" customHeight="1" x14ac:dyDescent="0.25">
      <c r="C117" s="7"/>
    </row>
    <row r="118" spans="3:3" ht="15" customHeight="1" x14ac:dyDescent="0.25">
      <c r="C118" s="7"/>
    </row>
    <row r="119" spans="3:3" ht="15" customHeight="1" x14ac:dyDescent="0.25">
      <c r="C119" s="7"/>
    </row>
    <row r="120" spans="3:3" ht="15" customHeight="1" x14ac:dyDescent="0.25">
      <c r="C120" s="7"/>
    </row>
    <row r="121" spans="3:3" ht="15" customHeight="1" x14ac:dyDescent="0.25">
      <c r="C121" s="7"/>
    </row>
    <row r="122" spans="3:3" ht="15" customHeight="1" x14ac:dyDescent="0.25">
      <c r="C122" s="7"/>
    </row>
    <row r="123" spans="3:3" ht="15" customHeight="1" x14ac:dyDescent="0.25">
      <c r="C123" s="7"/>
    </row>
    <row r="124" spans="3:3" ht="15" customHeight="1" x14ac:dyDescent="0.25">
      <c r="C124" s="7"/>
    </row>
    <row r="125" spans="3:3" ht="15" customHeight="1" x14ac:dyDescent="0.25">
      <c r="C125" s="7"/>
    </row>
    <row r="126" spans="3:3" ht="15" customHeight="1" x14ac:dyDescent="0.25">
      <c r="C126" s="7"/>
    </row>
    <row r="127" spans="3:3" ht="15" customHeight="1" x14ac:dyDescent="0.25">
      <c r="C127" s="7"/>
    </row>
    <row r="128" spans="3:3" ht="15" customHeight="1" x14ac:dyDescent="0.25">
      <c r="C128" s="7"/>
    </row>
    <row r="129" spans="3:3" ht="15" customHeight="1" x14ac:dyDescent="0.25">
      <c r="C129" s="7"/>
    </row>
    <row r="130" spans="3:3" ht="15" customHeight="1" x14ac:dyDescent="0.25">
      <c r="C130" s="7"/>
    </row>
    <row r="131" spans="3:3" ht="15" customHeight="1" x14ac:dyDescent="0.25">
      <c r="C131" s="7"/>
    </row>
    <row r="132" spans="3:3" ht="15" customHeight="1" x14ac:dyDescent="0.25">
      <c r="C132" s="7"/>
    </row>
    <row r="133" spans="3:3" ht="15" customHeight="1" x14ac:dyDescent="0.25">
      <c r="C133" s="5"/>
    </row>
    <row r="134" spans="3:3" ht="15" customHeight="1" x14ac:dyDescent="0.25">
      <c r="C134" s="5"/>
    </row>
    <row r="135" spans="3:3" ht="15" customHeight="1" x14ac:dyDescent="0.25">
      <c r="C135" s="5"/>
    </row>
    <row r="136" spans="3:3" ht="15" customHeight="1" x14ac:dyDescent="0.25">
      <c r="C136" s="5"/>
    </row>
    <row r="137" spans="3:3" ht="15" customHeight="1" x14ac:dyDescent="0.25">
      <c r="C137" s="5"/>
    </row>
    <row r="138" spans="3:3" ht="15" customHeight="1" x14ac:dyDescent="0.25">
      <c r="C138" s="5"/>
    </row>
    <row r="139" spans="3:3" ht="15" customHeight="1" x14ac:dyDescent="0.25">
      <c r="C139" s="5"/>
    </row>
    <row r="140" spans="3:3" ht="15" customHeight="1" x14ac:dyDescent="0.25">
      <c r="C140" s="5"/>
    </row>
    <row r="141" spans="3:3" ht="15" customHeight="1" x14ac:dyDescent="0.25">
      <c r="C141" s="5"/>
    </row>
    <row r="142" spans="3:3" ht="15" customHeight="1" x14ac:dyDescent="0.25">
      <c r="C142" s="5"/>
    </row>
    <row r="143" spans="3:3" ht="15" customHeight="1" x14ac:dyDescent="0.25">
      <c r="C143" s="5"/>
    </row>
    <row r="144" spans="3:3" ht="15" customHeight="1" x14ac:dyDescent="0.25">
      <c r="C144" s="5"/>
    </row>
    <row r="145" spans="3:3" ht="15" customHeight="1" x14ac:dyDescent="0.25">
      <c r="C145" s="5"/>
    </row>
    <row r="146" spans="3:3" ht="15" customHeight="1" x14ac:dyDescent="0.25">
      <c r="C146" s="5"/>
    </row>
    <row r="147" spans="3:3" ht="15" customHeight="1" x14ac:dyDescent="0.25">
      <c r="C147" s="5"/>
    </row>
    <row r="148" spans="3:3" ht="15" customHeight="1" x14ac:dyDescent="0.25">
      <c r="C148" s="5"/>
    </row>
    <row r="149" spans="3:3" ht="15" customHeight="1" x14ac:dyDescent="0.25">
      <c r="C149" s="5"/>
    </row>
    <row r="150" spans="3:3" ht="15" customHeight="1" x14ac:dyDescent="0.25">
      <c r="C150" s="5"/>
    </row>
    <row r="151" spans="3:3" ht="15" customHeight="1" x14ac:dyDescent="0.25">
      <c r="C151" s="5"/>
    </row>
    <row r="152" spans="3:3" ht="15" customHeight="1" x14ac:dyDescent="0.25">
      <c r="C152" s="5"/>
    </row>
    <row r="153" spans="3:3" ht="15" customHeight="1" x14ac:dyDescent="0.25">
      <c r="C153" s="5"/>
    </row>
    <row r="154" spans="3:3" ht="15" customHeight="1" x14ac:dyDescent="0.25">
      <c r="C154" s="5"/>
    </row>
    <row r="155" spans="3:3" ht="15" customHeight="1" x14ac:dyDescent="0.25">
      <c r="C155" s="5"/>
    </row>
    <row r="156" spans="3:3" ht="15" customHeight="1" x14ac:dyDescent="0.25">
      <c r="C156" s="5"/>
    </row>
    <row r="157" spans="3:3" ht="15" customHeight="1" x14ac:dyDescent="0.25">
      <c r="C157" s="5"/>
    </row>
    <row r="158" spans="3:3" ht="15" customHeight="1" x14ac:dyDescent="0.25">
      <c r="C158" s="5"/>
    </row>
    <row r="159" spans="3:3" ht="15" customHeight="1" x14ac:dyDescent="0.25">
      <c r="C159" s="5"/>
    </row>
    <row r="160" spans="3:3" ht="15" customHeight="1" x14ac:dyDescent="0.25">
      <c r="C160" s="5"/>
    </row>
    <row r="161" spans="3:3" ht="15" customHeight="1" x14ac:dyDescent="0.25">
      <c r="C161" s="5"/>
    </row>
    <row r="162" spans="3:3" ht="15" customHeight="1" x14ac:dyDescent="0.25">
      <c r="C162" s="5"/>
    </row>
    <row r="163" spans="3:3" ht="15" customHeight="1" x14ac:dyDescent="0.25">
      <c r="C163" s="5"/>
    </row>
    <row r="164" spans="3:3" ht="15" customHeight="1" x14ac:dyDescent="0.25">
      <c r="C164" s="5"/>
    </row>
    <row r="165" spans="3:3" ht="15" customHeight="1" x14ac:dyDescent="0.25">
      <c r="C165" s="5"/>
    </row>
  </sheetData>
  <mergeCells count="15">
    <mergeCell ref="A3:K3"/>
    <mergeCell ref="B4:D4"/>
    <mergeCell ref="H4:I4"/>
    <mergeCell ref="J4:K4"/>
    <mergeCell ref="A4:A5"/>
    <mergeCell ref="E4:G4"/>
    <mergeCell ref="A41:D41"/>
    <mergeCell ref="I49:K49"/>
    <mergeCell ref="I50:K50"/>
    <mergeCell ref="I51:K51"/>
    <mergeCell ref="I44:K44"/>
    <mergeCell ref="I45:K45"/>
    <mergeCell ref="I46:K46"/>
    <mergeCell ref="I47:K47"/>
    <mergeCell ref="I48:K48"/>
  </mergeCells>
  <pageMargins left="0.31496062992125984" right="0.31496062992125984" top="0.35433070866141736" bottom="0.74803149606299213" header="0.31496062992125984" footer="0.31496062992125984"/>
  <pageSetup paperSize="5" scale="95" orientation="landscape" horizontalDpi="4294967293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7"/>
  <sheetViews>
    <sheetView view="pageLayout" topLeftCell="A13" zoomScale="80" zoomScaleNormal="75" zoomScalePageLayoutView="80" workbookViewId="0">
      <selection activeCell="M16" sqref="M16"/>
    </sheetView>
  </sheetViews>
  <sheetFormatPr defaultRowHeight="15" customHeight="1" x14ac:dyDescent="0.25"/>
  <cols>
    <col min="1" max="1" width="12" customWidth="1"/>
    <col min="2" max="2" width="11.42578125" bestFit="1" customWidth="1"/>
    <col min="3" max="3" width="14.28515625" customWidth="1"/>
    <col min="4" max="4" width="17.42578125" customWidth="1"/>
    <col min="5" max="5" width="8.42578125" customWidth="1"/>
    <col min="6" max="6" width="10.42578125" style="57" customWidth="1"/>
    <col min="7" max="7" width="13.85546875" customWidth="1"/>
    <col min="8" max="8" width="10.42578125" bestFit="1" customWidth="1"/>
    <col min="9" max="9" width="19.42578125" customWidth="1"/>
    <col min="10" max="10" width="11.5703125" bestFit="1" customWidth="1"/>
    <col min="11" max="11" width="17.85546875" customWidth="1"/>
    <col min="13" max="13" width="27.140625" style="1" customWidth="1"/>
  </cols>
  <sheetData>
    <row r="1" spans="1:12" ht="15" customHeight="1" x14ac:dyDescent="0.25">
      <c r="A1" s="32" t="s">
        <v>12</v>
      </c>
    </row>
    <row r="2" spans="1:12" ht="15" customHeight="1" x14ac:dyDescent="0.25">
      <c r="A2" s="116" t="s">
        <v>38</v>
      </c>
      <c r="B2" s="95"/>
      <c r="C2" s="95"/>
      <c r="D2" s="95"/>
      <c r="E2" s="95"/>
      <c r="F2" s="95"/>
      <c r="G2" s="95"/>
    </row>
    <row r="3" spans="1:12" ht="15" customHeight="1" x14ac:dyDescent="0.35">
      <c r="A3" s="477" t="s">
        <v>3</v>
      </c>
      <c r="B3" s="477"/>
      <c r="C3" s="477"/>
      <c r="D3" s="477"/>
      <c r="E3" s="477"/>
      <c r="F3" s="477"/>
      <c r="G3" s="477"/>
      <c r="H3" s="477"/>
      <c r="I3" s="477"/>
      <c r="J3" s="477"/>
      <c r="K3" s="477"/>
      <c r="L3" s="54"/>
    </row>
    <row r="4" spans="1:12" ht="12" customHeight="1" x14ac:dyDescent="0.35">
      <c r="A4" s="21"/>
      <c r="B4" s="21"/>
      <c r="C4" s="21"/>
      <c r="D4" s="21"/>
      <c r="E4" s="21"/>
      <c r="F4" s="58"/>
      <c r="G4" s="21"/>
      <c r="H4" s="21"/>
      <c r="I4" s="21"/>
      <c r="J4" s="21"/>
      <c r="K4" s="21"/>
      <c r="L4" s="21"/>
    </row>
    <row r="5" spans="1:12" ht="15" customHeight="1" x14ac:dyDescent="0.25">
      <c r="A5" s="479" t="s">
        <v>0</v>
      </c>
      <c r="B5" s="476" t="s">
        <v>7</v>
      </c>
      <c r="C5" s="476"/>
      <c r="D5" s="476"/>
      <c r="E5" s="476" t="s">
        <v>5</v>
      </c>
      <c r="F5" s="476"/>
      <c r="G5" s="476"/>
      <c r="H5" s="476" t="s">
        <v>4</v>
      </c>
      <c r="I5" s="476"/>
      <c r="J5" s="476" t="s">
        <v>6</v>
      </c>
      <c r="K5" s="476"/>
    </row>
    <row r="6" spans="1:12" ht="15" customHeight="1" x14ac:dyDescent="0.25">
      <c r="A6" s="480"/>
      <c r="B6" s="30" t="s">
        <v>8</v>
      </c>
      <c r="C6" s="30" t="s">
        <v>9</v>
      </c>
      <c r="D6" s="30" t="s">
        <v>13</v>
      </c>
      <c r="E6" s="30" t="s">
        <v>8</v>
      </c>
      <c r="F6" s="59" t="s">
        <v>9</v>
      </c>
      <c r="G6" s="30" t="s">
        <v>10</v>
      </c>
      <c r="H6" s="30" t="s">
        <v>8</v>
      </c>
      <c r="I6" s="30" t="s">
        <v>13</v>
      </c>
      <c r="J6" s="30" t="s">
        <v>8</v>
      </c>
      <c r="K6" s="30" t="s">
        <v>13</v>
      </c>
    </row>
    <row r="7" spans="1:12" ht="15" customHeight="1" x14ac:dyDescent="0.25">
      <c r="A7" s="29"/>
      <c r="B7" s="33"/>
      <c r="C7" s="33"/>
      <c r="D7" s="33"/>
      <c r="E7" s="33"/>
      <c r="F7" s="60"/>
      <c r="G7" s="33"/>
      <c r="H7" s="33"/>
      <c r="I7" s="33"/>
      <c r="J7" s="33"/>
      <c r="K7" s="33"/>
    </row>
    <row r="8" spans="1:12" ht="15" customHeight="1" x14ac:dyDescent="0.25">
      <c r="A8" s="124" t="s">
        <v>1</v>
      </c>
      <c r="B8" s="71"/>
      <c r="C8" s="26"/>
      <c r="D8" s="26">
        <f>B8*C8</f>
        <v>0</v>
      </c>
      <c r="E8" s="26"/>
      <c r="F8" s="26"/>
      <c r="G8" s="26"/>
      <c r="H8" s="26"/>
      <c r="I8" s="26">
        <f>H8*C8</f>
        <v>0</v>
      </c>
      <c r="J8" s="26">
        <f>B8+E8-H8</f>
        <v>0</v>
      </c>
      <c r="K8" s="26">
        <f>D8+G8-I8</f>
        <v>0</v>
      </c>
    </row>
    <row r="9" spans="1:12" ht="15" customHeight="1" x14ac:dyDescent="0.25">
      <c r="A9" s="124"/>
      <c r="B9" s="71"/>
      <c r="C9" s="26"/>
      <c r="D9" s="26"/>
      <c r="E9" s="26"/>
      <c r="F9" s="26"/>
      <c r="G9" s="45">
        <f>E9*F9</f>
        <v>0</v>
      </c>
      <c r="H9" s="26"/>
      <c r="I9" s="26"/>
      <c r="J9" s="26">
        <f>B9+E9-H9</f>
        <v>0</v>
      </c>
      <c r="K9" s="26">
        <f>D9+G9-I9</f>
        <v>0</v>
      </c>
    </row>
    <row r="10" spans="1:12" ht="15" customHeight="1" x14ac:dyDescent="0.25">
      <c r="A10" s="124"/>
      <c r="B10" s="71"/>
      <c r="C10" s="26"/>
      <c r="D10" s="26"/>
      <c r="E10" s="26"/>
      <c r="F10" s="26"/>
      <c r="G10" s="26"/>
      <c r="H10" s="26"/>
      <c r="I10" s="26"/>
      <c r="J10" s="130">
        <f>SUM(J8:J9)</f>
        <v>0</v>
      </c>
      <c r="K10" s="130">
        <f>SUM(K8:K9)</f>
        <v>0</v>
      </c>
    </row>
    <row r="11" spans="1:12" ht="15" customHeight="1" x14ac:dyDescent="0.25">
      <c r="A11" s="124"/>
      <c r="B11" s="71"/>
      <c r="C11" s="26"/>
      <c r="D11" s="26"/>
      <c r="E11" s="26"/>
      <c r="F11" s="26"/>
      <c r="G11" s="26"/>
      <c r="H11" s="26"/>
      <c r="I11" s="26"/>
      <c r="J11" s="26"/>
      <c r="K11" s="26"/>
    </row>
    <row r="12" spans="1:12" ht="15" customHeight="1" x14ac:dyDescent="0.25">
      <c r="A12" s="123" t="s">
        <v>21</v>
      </c>
      <c r="B12" s="45"/>
      <c r="C12" s="26"/>
      <c r="D12" s="26">
        <f>K8</f>
        <v>0</v>
      </c>
      <c r="E12" s="45"/>
      <c r="F12" s="45"/>
      <c r="G12" s="45"/>
      <c r="H12" s="26"/>
      <c r="I12" s="26">
        <f>H12*C12</f>
        <v>0</v>
      </c>
      <c r="J12" s="26">
        <f>B12+E12-H12</f>
        <v>0</v>
      </c>
      <c r="K12" s="26">
        <f>D12+G12-I12</f>
        <v>0</v>
      </c>
      <c r="L12" s="1"/>
    </row>
    <row r="13" spans="1:12" ht="15" customHeight="1" x14ac:dyDescent="0.25">
      <c r="A13" s="123"/>
      <c r="B13" s="45"/>
      <c r="C13" s="45"/>
      <c r="D13" s="45">
        <f>K9</f>
        <v>0</v>
      </c>
      <c r="E13" s="45"/>
      <c r="F13" s="45"/>
      <c r="G13" s="45"/>
      <c r="H13" s="26"/>
      <c r="I13" s="26"/>
      <c r="J13" s="26">
        <f>B13+E13-H13</f>
        <v>0</v>
      </c>
      <c r="K13" s="26">
        <f>D13+G13-I13</f>
        <v>0</v>
      </c>
      <c r="L13" s="1"/>
    </row>
    <row r="14" spans="1:12" ht="15" customHeight="1" x14ac:dyDescent="0.25">
      <c r="A14" s="123"/>
      <c r="B14" s="130">
        <f>SUM(B12:B13)</f>
        <v>0</v>
      </c>
      <c r="C14" s="130"/>
      <c r="D14" s="45">
        <f>SUM(D12:D13)</f>
        <v>0</v>
      </c>
      <c r="E14" s="45"/>
      <c r="F14" s="45"/>
      <c r="G14" s="45"/>
      <c r="H14" s="26"/>
      <c r="I14" s="26"/>
      <c r="J14" s="130">
        <f>SUM(J12:J13)</f>
        <v>0</v>
      </c>
      <c r="K14" s="130">
        <f>SUM(K12:K13)</f>
        <v>0</v>
      </c>
      <c r="L14" s="1"/>
    </row>
    <row r="15" spans="1:12" ht="15" customHeight="1" x14ac:dyDescent="0.25">
      <c r="A15" s="123"/>
      <c r="B15" s="45"/>
      <c r="C15" s="45"/>
      <c r="D15" s="45"/>
      <c r="E15" s="45"/>
      <c r="F15" s="45"/>
      <c r="G15" s="45"/>
      <c r="H15" s="126"/>
      <c r="I15" s="126"/>
      <c r="J15" s="26"/>
      <c r="K15" s="26"/>
      <c r="L15" s="1"/>
    </row>
    <row r="16" spans="1:12" ht="15" customHeight="1" x14ac:dyDescent="0.25">
      <c r="A16" s="123" t="s">
        <v>22</v>
      </c>
      <c r="B16" s="45"/>
      <c r="C16" s="26"/>
      <c r="D16" s="26">
        <f>K12</f>
        <v>0</v>
      </c>
      <c r="E16" s="45"/>
      <c r="F16" s="45"/>
      <c r="G16" s="45"/>
      <c r="H16" s="26"/>
      <c r="I16" s="26">
        <f>H16*C16</f>
        <v>0</v>
      </c>
      <c r="J16" s="26">
        <f>B16+E16-H16</f>
        <v>0</v>
      </c>
      <c r="K16" s="26">
        <f>D16+G16-I16</f>
        <v>0</v>
      </c>
      <c r="L16" s="1"/>
    </row>
    <row r="17" spans="1:13" ht="15" customHeight="1" x14ac:dyDescent="0.25">
      <c r="A17" s="123"/>
      <c r="B17" s="45">
        <f>J13</f>
        <v>0</v>
      </c>
      <c r="C17" s="45"/>
      <c r="D17" s="45">
        <f>K13</f>
        <v>0</v>
      </c>
      <c r="E17" s="45"/>
      <c r="F17" s="45"/>
      <c r="G17" s="45"/>
      <c r="H17" s="45"/>
      <c r="I17" s="45"/>
      <c r="J17" s="26">
        <f>B17+E17-H17</f>
        <v>0</v>
      </c>
      <c r="K17" s="26">
        <f>D17+G17-I17</f>
        <v>0</v>
      </c>
      <c r="L17" s="1"/>
      <c r="M17" s="15"/>
    </row>
    <row r="18" spans="1:13" ht="15" customHeight="1" x14ac:dyDescent="0.25">
      <c r="A18" s="123"/>
      <c r="B18" s="130">
        <f>SUM(B16:B17)</f>
        <v>0</v>
      </c>
      <c r="C18" s="130"/>
      <c r="D18" s="45">
        <f>SUM(D16:D17)</f>
        <v>0</v>
      </c>
      <c r="E18" s="45"/>
      <c r="F18" s="45"/>
      <c r="G18" s="45"/>
      <c r="H18" s="126"/>
      <c r="I18" s="126"/>
      <c r="J18" s="130">
        <f>SUM(J16:J17)</f>
        <v>0</v>
      </c>
      <c r="K18" s="130">
        <f>SUM(K16:K17)</f>
        <v>0</v>
      </c>
      <c r="L18" s="1"/>
      <c r="M18" s="15"/>
    </row>
    <row r="19" spans="1:13" ht="15" customHeight="1" x14ac:dyDescent="0.25">
      <c r="A19" s="123"/>
      <c r="B19" s="45"/>
      <c r="C19" s="45"/>
      <c r="D19" s="45"/>
      <c r="E19" s="45"/>
      <c r="F19" s="45"/>
      <c r="G19" s="45"/>
      <c r="H19" s="26"/>
      <c r="I19" s="26"/>
      <c r="J19" s="26"/>
      <c r="K19" s="26"/>
      <c r="L19" s="1"/>
      <c r="M19" s="15"/>
    </row>
    <row r="20" spans="1:13" ht="15" customHeight="1" x14ac:dyDescent="0.25">
      <c r="A20" s="123" t="s">
        <v>24</v>
      </c>
      <c r="B20" s="45"/>
      <c r="C20" s="26"/>
      <c r="D20" s="26">
        <f>K16</f>
        <v>0</v>
      </c>
      <c r="E20" s="45"/>
      <c r="F20" s="45"/>
      <c r="G20" s="45"/>
      <c r="H20" s="26"/>
      <c r="I20" s="26">
        <f>H20*C20</f>
        <v>0</v>
      </c>
      <c r="J20" s="26">
        <f>B20+E20-H20</f>
        <v>0</v>
      </c>
      <c r="K20" s="26">
        <f>D20+G20-I20</f>
        <v>0</v>
      </c>
      <c r="L20" s="1"/>
      <c r="M20" s="25"/>
    </row>
    <row r="21" spans="1:13" ht="15" customHeight="1" x14ac:dyDescent="0.25">
      <c r="A21" s="123"/>
      <c r="B21" s="45">
        <f>J17</f>
        <v>0</v>
      </c>
      <c r="C21" s="45"/>
      <c r="D21" s="45">
        <f>K17</f>
        <v>0</v>
      </c>
      <c r="E21" s="45"/>
      <c r="F21" s="45"/>
      <c r="G21" s="45"/>
      <c r="H21" s="45"/>
      <c r="I21" s="45"/>
      <c r="J21" s="26">
        <f>B21+E21-H21</f>
        <v>0</v>
      </c>
      <c r="K21" s="26">
        <f>D21+G21-I21</f>
        <v>0</v>
      </c>
      <c r="L21" s="1"/>
      <c r="M21" s="15"/>
    </row>
    <row r="22" spans="1:13" ht="15" customHeight="1" x14ac:dyDescent="0.25">
      <c r="A22" s="123"/>
      <c r="B22" s="130">
        <f>SUM(B20:B21)</f>
        <v>0</v>
      </c>
      <c r="C22" s="130"/>
      <c r="D22" s="45">
        <f>SUM(D20:D21)</f>
        <v>0</v>
      </c>
      <c r="E22" s="45"/>
      <c r="F22" s="45"/>
      <c r="G22" s="45"/>
      <c r="H22" s="126"/>
      <c r="I22" s="126"/>
      <c r="J22" s="130">
        <f>SUM(J20:J21)</f>
        <v>0</v>
      </c>
      <c r="K22" s="130">
        <f>SUM(K20:K21)</f>
        <v>0</v>
      </c>
      <c r="L22" s="1"/>
      <c r="M22" s="15"/>
    </row>
    <row r="23" spans="1:13" ht="15" customHeight="1" x14ac:dyDescent="0.25">
      <c r="A23" s="123"/>
      <c r="B23" s="45"/>
      <c r="C23" s="45"/>
      <c r="D23" s="45"/>
      <c r="E23" s="45"/>
      <c r="F23" s="45"/>
      <c r="G23" s="45"/>
      <c r="H23" s="45"/>
      <c r="I23" s="45"/>
      <c r="J23" s="26"/>
      <c r="K23" s="26"/>
      <c r="L23" s="1"/>
      <c r="M23" s="25"/>
    </row>
    <row r="24" spans="1:13" ht="15" customHeight="1" x14ac:dyDescent="0.25">
      <c r="A24" s="123" t="s">
        <v>28</v>
      </c>
      <c r="B24" s="45"/>
      <c r="C24" s="26"/>
      <c r="D24" s="26">
        <f>K20</f>
        <v>0</v>
      </c>
      <c r="E24" s="45"/>
      <c r="F24" s="45"/>
      <c r="G24" s="45"/>
      <c r="H24" s="26"/>
      <c r="I24" s="26">
        <f>H24*C24</f>
        <v>0</v>
      </c>
      <c r="J24" s="26">
        <f>B24+E24-H24</f>
        <v>0</v>
      </c>
      <c r="K24" s="26">
        <f>D24+G24-I24</f>
        <v>0</v>
      </c>
      <c r="L24" s="1"/>
      <c r="M24" s="15"/>
    </row>
    <row r="25" spans="1:13" ht="15" customHeight="1" x14ac:dyDescent="0.25">
      <c r="A25" s="123"/>
      <c r="B25" s="45">
        <f>J21</f>
        <v>0</v>
      </c>
      <c r="C25" s="45"/>
      <c r="D25" s="45">
        <f>K21</f>
        <v>0</v>
      </c>
      <c r="E25" s="45"/>
      <c r="F25" s="45"/>
      <c r="G25" s="45"/>
      <c r="H25" s="45"/>
      <c r="I25" s="26">
        <f>H25*C25</f>
        <v>0</v>
      </c>
      <c r="J25" s="26">
        <f>B25+E25-H25</f>
        <v>0</v>
      </c>
      <c r="K25" s="26">
        <f>D25+G25-I25</f>
        <v>0</v>
      </c>
      <c r="L25" s="1"/>
    </row>
    <row r="26" spans="1:13" ht="15" customHeight="1" x14ac:dyDescent="0.25">
      <c r="A26" s="123"/>
      <c r="B26" s="130">
        <f>SUM(B24:B25)</f>
        <v>0</v>
      </c>
      <c r="C26" s="130"/>
      <c r="D26" s="45">
        <f>SUM(D24:D25)</f>
        <v>0</v>
      </c>
      <c r="E26" s="45"/>
      <c r="F26" s="45"/>
      <c r="G26" s="45"/>
      <c r="H26" s="126">
        <f>SUM(H24:H25)</f>
        <v>0</v>
      </c>
      <c r="I26" s="126">
        <f>SUM(I24:I25)</f>
        <v>0</v>
      </c>
      <c r="J26" s="130">
        <f>SUM(J24:J25)</f>
        <v>0</v>
      </c>
      <c r="K26" s="130">
        <f>SUM(K24:K25)</f>
        <v>0</v>
      </c>
      <c r="L26" s="1"/>
      <c r="M26" s="1">
        <f>J25*C25</f>
        <v>0</v>
      </c>
    </row>
    <row r="27" spans="1:13" ht="15" customHeight="1" x14ac:dyDescent="0.25">
      <c r="A27" s="123"/>
      <c r="B27" s="126"/>
      <c r="C27" s="126"/>
      <c r="D27" s="126"/>
      <c r="E27" s="45"/>
      <c r="F27" s="45"/>
      <c r="G27" s="45"/>
      <c r="H27" s="126"/>
      <c r="I27" s="126"/>
      <c r="J27" s="126"/>
      <c r="K27" s="126"/>
      <c r="L27" s="1"/>
    </row>
    <row r="28" spans="1:13" ht="15" customHeight="1" x14ac:dyDescent="0.25">
      <c r="A28" s="123" t="s">
        <v>29</v>
      </c>
      <c r="B28" s="45"/>
      <c r="C28" s="45"/>
      <c r="D28" s="45">
        <f>K25</f>
        <v>0</v>
      </c>
      <c r="E28" s="45"/>
      <c r="F28" s="45"/>
      <c r="G28" s="45"/>
      <c r="H28" s="45"/>
      <c r="I28" s="26">
        <f>H28*C28</f>
        <v>0</v>
      </c>
      <c r="J28" s="26">
        <f>B28+E28-H28</f>
        <v>0</v>
      </c>
      <c r="K28" s="26">
        <f>D28+G28-I28</f>
        <v>0</v>
      </c>
      <c r="L28" s="1"/>
      <c r="M28" s="1">
        <f>C28*J28</f>
        <v>0</v>
      </c>
    </row>
    <row r="29" spans="1:13" ht="15" customHeight="1" x14ac:dyDescent="0.25">
      <c r="A29" s="123"/>
      <c r="B29" s="126"/>
      <c r="C29" s="126"/>
      <c r="D29" s="126"/>
      <c r="E29" s="45"/>
      <c r="F29" s="45"/>
      <c r="G29" s="45"/>
      <c r="H29" s="126"/>
      <c r="I29" s="26"/>
      <c r="J29" s="26"/>
      <c r="K29" s="26"/>
      <c r="L29" s="1"/>
    </row>
    <row r="30" spans="1:13" ht="15" customHeight="1" x14ac:dyDescent="0.25">
      <c r="A30" s="123" t="s">
        <v>30</v>
      </c>
      <c r="B30" s="45"/>
      <c r="C30" s="45"/>
      <c r="D30" s="45">
        <f>K28</f>
        <v>0</v>
      </c>
      <c r="E30" s="45"/>
      <c r="F30" s="45"/>
      <c r="G30" s="45"/>
      <c r="H30" s="45"/>
      <c r="I30" s="26">
        <f>H30*C30</f>
        <v>0</v>
      </c>
      <c r="J30" s="26">
        <f>B30+E30-H30</f>
        <v>0</v>
      </c>
      <c r="K30" s="26">
        <f>D30+G30-I30</f>
        <v>0</v>
      </c>
      <c r="L30" s="1"/>
    </row>
    <row r="31" spans="1:13" ht="15" customHeight="1" x14ac:dyDescent="0.25">
      <c r="A31" s="123"/>
      <c r="B31" s="126"/>
      <c r="C31" s="126"/>
      <c r="D31" s="126"/>
      <c r="E31" s="45"/>
      <c r="F31" s="45"/>
      <c r="G31" s="45"/>
      <c r="H31" s="126"/>
      <c r="I31" s="26"/>
      <c r="J31" s="26"/>
      <c r="K31" s="26"/>
      <c r="L31" s="1"/>
    </row>
    <row r="32" spans="1:13" ht="15" customHeight="1" x14ac:dyDescent="0.25">
      <c r="A32" s="123" t="s">
        <v>31</v>
      </c>
      <c r="B32" s="45"/>
      <c r="C32" s="45"/>
      <c r="D32" s="45">
        <f>K30</f>
        <v>0</v>
      </c>
      <c r="E32" s="45"/>
      <c r="F32" s="45"/>
      <c r="G32" s="45"/>
      <c r="H32" s="45"/>
      <c r="I32" s="26">
        <f>H32*C32</f>
        <v>0</v>
      </c>
      <c r="J32" s="26">
        <f>B32+E32-H32</f>
        <v>0</v>
      </c>
      <c r="K32" s="26">
        <f>D32+G32-I32</f>
        <v>0</v>
      </c>
      <c r="L32" s="1"/>
    </row>
    <row r="33" spans="1:13" ht="15" customHeight="1" x14ac:dyDescent="0.25">
      <c r="A33" s="123"/>
      <c r="B33" s="45"/>
      <c r="C33" s="45"/>
      <c r="D33" s="45"/>
      <c r="E33" s="45"/>
      <c r="F33" s="45"/>
      <c r="G33" s="45"/>
      <c r="H33" s="45"/>
      <c r="I33" s="26"/>
      <c r="J33" s="26"/>
      <c r="K33" s="26"/>
      <c r="L33" s="1"/>
    </row>
    <row r="34" spans="1:13" ht="15" customHeight="1" x14ac:dyDescent="0.25">
      <c r="A34" s="123" t="s">
        <v>32</v>
      </c>
      <c r="B34" s="45"/>
      <c r="C34" s="45"/>
      <c r="D34" s="45">
        <f>K32</f>
        <v>0</v>
      </c>
      <c r="E34" s="45"/>
      <c r="F34" s="45"/>
      <c r="G34" s="45"/>
      <c r="H34" s="45"/>
      <c r="I34" s="26">
        <f>H34*C34</f>
        <v>0</v>
      </c>
      <c r="J34" s="26">
        <f>B34+E34-H34</f>
        <v>0</v>
      </c>
      <c r="K34" s="26">
        <f>D34+G34-I34</f>
        <v>0</v>
      </c>
      <c r="L34" s="1"/>
    </row>
    <row r="35" spans="1:13" ht="15" customHeight="1" x14ac:dyDescent="0.25">
      <c r="A35" s="123"/>
      <c r="B35" s="45"/>
      <c r="C35" s="45"/>
      <c r="D35" s="45"/>
      <c r="E35" s="45"/>
      <c r="F35" s="45"/>
      <c r="G35" s="45"/>
      <c r="H35" s="45"/>
      <c r="I35" s="26"/>
      <c r="J35" s="26"/>
      <c r="K35" s="26"/>
      <c r="L35" s="1"/>
    </row>
    <row r="36" spans="1:13" ht="15" customHeight="1" x14ac:dyDescent="0.25">
      <c r="A36" s="123" t="s">
        <v>33</v>
      </c>
      <c r="B36" s="45"/>
      <c r="C36" s="45"/>
      <c r="D36" s="45">
        <f>K34</f>
        <v>0</v>
      </c>
      <c r="E36" s="45"/>
      <c r="F36" s="45"/>
      <c r="G36" s="45"/>
      <c r="H36" s="45"/>
      <c r="I36" s="26">
        <f>H36*C36</f>
        <v>0</v>
      </c>
      <c r="J36" s="26">
        <f>B36+E36-H36</f>
        <v>0</v>
      </c>
      <c r="K36" s="26">
        <f>D36+G36-I36</f>
        <v>0</v>
      </c>
      <c r="L36" s="1"/>
    </row>
    <row r="37" spans="1:13" ht="15" customHeight="1" x14ac:dyDescent="0.25">
      <c r="A37" s="123"/>
      <c r="B37" s="45"/>
      <c r="C37" s="45"/>
      <c r="D37" s="45"/>
      <c r="E37" s="45"/>
      <c r="F37" s="45"/>
      <c r="G37" s="45"/>
      <c r="H37" s="45"/>
      <c r="I37" s="26"/>
      <c r="J37" s="26"/>
      <c r="K37" s="26"/>
      <c r="L37" s="1"/>
    </row>
    <row r="38" spans="1:13" ht="15" customHeight="1" x14ac:dyDescent="0.25">
      <c r="A38" s="123" t="s">
        <v>34</v>
      </c>
      <c r="B38" s="45"/>
      <c r="C38" s="45"/>
      <c r="D38" s="45">
        <f>K36</f>
        <v>0</v>
      </c>
      <c r="E38" s="45"/>
      <c r="F38" s="45"/>
      <c r="G38" s="45"/>
      <c r="H38" s="45"/>
      <c r="I38" s="26">
        <f>H38*C38</f>
        <v>0</v>
      </c>
      <c r="J38" s="26">
        <f>B38+E38-H38</f>
        <v>0</v>
      </c>
      <c r="K38" s="26">
        <f>D38+G38-I38</f>
        <v>0</v>
      </c>
      <c r="L38" s="1"/>
      <c r="M38" s="1">
        <f>J38*C38</f>
        <v>0</v>
      </c>
    </row>
    <row r="39" spans="1:13" ht="15" customHeight="1" x14ac:dyDescent="0.25">
      <c r="A39" s="123" t="s">
        <v>35</v>
      </c>
      <c r="B39" s="45"/>
      <c r="C39" s="45"/>
      <c r="D39" s="45">
        <f>K38</f>
        <v>0</v>
      </c>
      <c r="E39" s="45"/>
      <c r="F39" s="45"/>
      <c r="G39" s="45"/>
      <c r="H39" s="45"/>
      <c r="I39" s="26">
        <f>H39*C39</f>
        <v>0</v>
      </c>
      <c r="J39" s="26">
        <f>B39+E39-H39</f>
        <v>0</v>
      </c>
      <c r="K39" s="26">
        <f>D39+G39-I39</f>
        <v>0</v>
      </c>
      <c r="L39" s="1"/>
    </row>
    <row r="40" spans="1:13" ht="15" customHeight="1" x14ac:dyDescent="0.25">
      <c r="A40" s="26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1"/>
    </row>
    <row r="41" spans="1:13" ht="15" customHeight="1" x14ac:dyDescent="0.25">
      <c r="A41" s="26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1"/>
    </row>
    <row r="42" spans="1:13" ht="24.75" customHeight="1" thickBot="1" x14ac:dyDescent="0.3">
      <c r="A42" s="484" t="s">
        <v>17</v>
      </c>
      <c r="B42" s="485"/>
      <c r="C42" s="485"/>
      <c r="D42" s="485"/>
      <c r="E42" s="93">
        <f>SUM(E8:E41)</f>
        <v>0</v>
      </c>
      <c r="F42" s="93"/>
      <c r="G42" s="86">
        <f>SUM(G8:G41)</f>
        <v>0</v>
      </c>
      <c r="H42" s="82">
        <f>SUM(H8:H41)</f>
        <v>0</v>
      </c>
      <c r="I42" s="82">
        <f>I8+I16+I17+I18+I19+I20+I21+I22+I23+I24+I32+I40</f>
        <v>0</v>
      </c>
      <c r="J42" s="82">
        <f>J40</f>
        <v>0</v>
      </c>
      <c r="K42" s="82">
        <f>K40</f>
        <v>0</v>
      </c>
      <c r="L42" s="15"/>
    </row>
    <row r="43" spans="1:13" ht="15" customHeight="1" x14ac:dyDescent="0.25">
      <c r="A43" s="83"/>
      <c r="B43" s="25"/>
      <c r="C43" s="15"/>
      <c r="D43" s="11"/>
      <c r="E43" s="15"/>
      <c r="F43" s="15"/>
      <c r="G43" s="15"/>
      <c r="H43" s="15"/>
      <c r="I43" s="84"/>
      <c r="J43" s="19"/>
      <c r="K43" s="13"/>
      <c r="L43" s="1"/>
    </row>
    <row r="44" spans="1:13" ht="15" customHeight="1" x14ac:dyDescent="0.25">
      <c r="A44" s="83"/>
      <c r="B44" s="25"/>
      <c r="C44" s="15"/>
      <c r="D44" s="11"/>
      <c r="E44" s="15"/>
      <c r="F44" s="15"/>
      <c r="G44" s="15"/>
      <c r="H44" s="15"/>
      <c r="I44" s="84"/>
      <c r="J44" s="19"/>
      <c r="K44" s="13"/>
      <c r="L44" s="1"/>
    </row>
    <row r="45" spans="1:13" ht="15" customHeight="1" x14ac:dyDescent="0.25">
      <c r="A45" s="83"/>
      <c r="B45" s="11"/>
      <c r="C45" s="11"/>
      <c r="D45" s="11"/>
      <c r="E45" s="15"/>
      <c r="F45" s="15"/>
      <c r="G45" s="15"/>
      <c r="H45" s="11"/>
      <c r="I45" s="11"/>
      <c r="J45" s="13"/>
      <c r="K45" s="13"/>
      <c r="L45" s="1"/>
    </row>
    <row r="46" spans="1:13" ht="15" customHeight="1" x14ac:dyDescent="0.25">
      <c r="A46" s="15"/>
      <c r="B46" s="25"/>
      <c r="C46" s="15"/>
      <c r="D46" s="11"/>
      <c r="E46" s="15"/>
      <c r="F46" s="15"/>
      <c r="G46" s="15"/>
      <c r="H46" s="15"/>
      <c r="I46" s="117"/>
      <c r="J46" s="117"/>
      <c r="K46" s="117"/>
      <c r="L46" s="1"/>
    </row>
    <row r="47" spans="1:13" ht="15" customHeight="1" x14ac:dyDescent="0.25">
      <c r="A47" s="15"/>
      <c r="B47" s="25"/>
      <c r="C47" s="15"/>
      <c r="D47" s="11"/>
      <c r="E47" s="15"/>
      <c r="F47" s="15"/>
      <c r="G47" s="15"/>
      <c r="H47" s="15"/>
      <c r="I47" s="481"/>
      <c r="J47" s="481"/>
      <c r="K47" s="481"/>
      <c r="L47" s="1"/>
    </row>
    <row r="48" spans="1:13" ht="15" customHeight="1" x14ac:dyDescent="0.25">
      <c r="A48" s="15"/>
      <c r="B48" s="11"/>
      <c r="C48" s="11"/>
      <c r="D48" s="11"/>
      <c r="E48" s="11"/>
      <c r="F48" s="11"/>
      <c r="G48" s="11"/>
      <c r="H48" s="11"/>
      <c r="I48" s="482"/>
      <c r="J48" s="482"/>
      <c r="K48" s="482"/>
      <c r="L48" s="1"/>
    </row>
    <row r="49" spans="1:12" ht="15" customHeight="1" x14ac:dyDescent="0.25">
      <c r="A49" s="15"/>
      <c r="B49" s="25"/>
      <c r="C49" s="15"/>
      <c r="D49" s="11"/>
      <c r="E49" s="15"/>
      <c r="F49" s="15"/>
      <c r="G49" s="15"/>
      <c r="H49" s="15"/>
      <c r="I49" s="15"/>
      <c r="J49" s="19"/>
      <c r="K49" s="13"/>
      <c r="L49" s="1"/>
    </row>
    <row r="50" spans="1:12" ht="15" customHeight="1" x14ac:dyDescent="0.25">
      <c r="A50" s="15"/>
      <c r="B50" s="25"/>
      <c r="C50" s="15"/>
      <c r="D50" s="11"/>
      <c r="E50" s="15"/>
      <c r="F50" s="15"/>
      <c r="G50" s="15"/>
      <c r="H50" s="15"/>
      <c r="I50" s="15"/>
      <c r="J50" s="19"/>
      <c r="K50" s="13"/>
      <c r="L50" s="1"/>
    </row>
    <row r="51" spans="1:12" ht="15" customHeight="1" x14ac:dyDescent="0.25">
      <c r="A51" s="15"/>
      <c r="B51" s="25"/>
      <c r="C51" s="15"/>
      <c r="D51" s="11"/>
      <c r="E51" s="15"/>
      <c r="F51" s="15"/>
      <c r="G51" s="15"/>
      <c r="H51" s="15"/>
      <c r="I51" s="15"/>
      <c r="J51" s="19"/>
      <c r="K51" s="13"/>
      <c r="L51" s="1"/>
    </row>
    <row r="52" spans="1:12" ht="15" customHeight="1" x14ac:dyDescent="0.25">
      <c r="A52" s="15"/>
      <c r="B52" s="11"/>
      <c r="C52" s="11"/>
      <c r="D52" s="11"/>
      <c r="E52" s="15"/>
      <c r="F52" s="15"/>
      <c r="G52" s="15"/>
      <c r="H52" s="11"/>
      <c r="I52" s="483"/>
      <c r="J52" s="483"/>
      <c r="K52" s="483"/>
      <c r="L52" s="1"/>
    </row>
    <row r="53" spans="1:12" ht="1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9"/>
      <c r="K53" s="16"/>
      <c r="L53" s="1"/>
    </row>
    <row r="54" spans="1:12" ht="1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9"/>
      <c r="K54" s="16"/>
      <c r="L54" s="1"/>
    </row>
    <row r="55" spans="1:12" ht="1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9"/>
      <c r="K55" s="16"/>
      <c r="L55" s="1"/>
    </row>
    <row r="56" spans="1:12" ht="15" customHeight="1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"/>
    </row>
    <row r="57" spans="1:12" ht="15" customHeight="1" x14ac:dyDescent="0.25">
      <c r="A57" s="478"/>
      <c r="B57" s="478"/>
      <c r="C57" s="478"/>
      <c r="D57" s="478"/>
      <c r="E57" s="15"/>
      <c r="F57" s="15"/>
      <c r="G57" s="15"/>
      <c r="H57" s="25"/>
      <c r="I57" s="25"/>
      <c r="J57" s="15"/>
      <c r="K57" s="15"/>
      <c r="L57" s="1"/>
    </row>
    <row r="58" spans="1:12" ht="15" customHeight="1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"/>
    </row>
    <row r="59" spans="1:12" ht="15" customHeight="1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"/>
    </row>
    <row r="60" spans="1:12" ht="15" customHeight="1" x14ac:dyDescent="0.25">
      <c r="B60" s="15"/>
      <c r="C60" s="12"/>
      <c r="D60" s="17"/>
      <c r="E60" s="17"/>
      <c r="F60" s="61"/>
      <c r="G60" s="17"/>
      <c r="H60" s="15"/>
      <c r="I60" s="17"/>
      <c r="J60" s="15"/>
      <c r="K60" s="17"/>
      <c r="L60" s="1"/>
    </row>
    <row r="61" spans="1:12" ht="15" customHeight="1" x14ac:dyDescent="0.25">
      <c r="B61" s="15"/>
      <c r="C61" s="12"/>
      <c r="D61" s="17"/>
      <c r="E61" s="17"/>
      <c r="F61" s="61"/>
      <c r="G61" s="17"/>
      <c r="H61" s="15"/>
      <c r="I61" s="17"/>
      <c r="J61" s="15"/>
      <c r="K61" s="17"/>
      <c r="L61" s="1"/>
    </row>
    <row r="62" spans="1:12" ht="15" customHeight="1" x14ac:dyDescent="0.25">
      <c r="B62" s="1"/>
      <c r="C62" s="6"/>
      <c r="D62" s="4"/>
      <c r="E62" s="4"/>
      <c r="F62" s="62"/>
      <c r="G62" s="4"/>
      <c r="H62" s="1"/>
      <c r="I62" s="4"/>
      <c r="J62" s="1"/>
      <c r="K62" s="4"/>
      <c r="L62" s="1"/>
    </row>
    <row r="63" spans="1:12" ht="15" customHeight="1" x14ac:dyDescent="0.25">
      <c r="B63" s="1"/>
      <c r="C63" s="6"/>
      <c r="D63" s="4"/>
      <c r="E63" s="4"/>
      <c r="F63" s="62"/>
      <c r="G63" s="4"/>
      <c r="H63" s="1"/>
      <c r="I63" s="4"/>
      <c r="J63" s="4"/>
      <c r="K63" s="4"/>
      <c r="L63" s="1"/>
    </row>
    <row r="64" spans="1:12" ht="15" customHeight="1" x14ac:dyDescent="0.25">
      <c r="B64" s="1"/>
      <c r="C64" s="6"/>
      <c r="D64" s="4"/>
      <c r="E64" s="4"/>
      <c r="F64" s="62"/>
      <c r="G64" s="4"/>
      <c r="H64" s="1"/>
      <c r="I64" s="4"/>
      <c r="J64" s="4"/>
      <c r="K64" s="4"/>
      <c r="L64" s="1"/>
    </row>
    <row r="65" spans="2:12" ht="15" customHeight="1" x14ac:dyDescent="0.25">
      <c r="B65" s="1"/>
      <c r="C65" s="6"/>
      <c r="D65" s="4"/>
      <c r="E65" s="4"/>
      <c r="F65" s="62"/>
      <c r="G65" s="4"/>
      <c r="H65" s="1"/>
      <c r="I65" s="4"/>
      <c r="J65" s="4"/>
      <c r="K65" s="4"/>
      <c r="L65" s="1"/>
    </row>
    <row r="66" spans="2:12" ht="15" customHeight="1" x14ac:dyDescent="0.25">
      <c r="B66" s="1"/>
      <c r="C66" s="6"/>
      <c r="D66" s="4"/>
      <c r="E66" s="4"/>
      <c r="F66" s="62"/>
      <c r="G66" s="4"/>
      <c r="H66" s="1"/>
      <c r="I66" s="4"/>
      <c r="J66" s="4"/>
      <c r="K66" s="4"/>
      <c r="L66" s="1"/>
    </row>
    <row r="67" spans="2:12" ht="15" customHeight="1" x14ac:dyDescent="0.25">
      <c r="B67" s="1"/>
      <c r="C67" s="6"/>
      <c r="D67" s="4"/>
      <c r="E67" s="4"/>
      <c r="F67" s="62"/>
      <c r="G67" s="4"/>
      <c r="H67" s="1"/>
      <c r="I67" s="4"/>
      <c r="J67" s="4"/>
      <c r="K67" s="4"/>
      <c r="L67" s="1"/>
    </row>
    <row r="68" spans="2:12" ht="15" customHeight="1" x14ac:dyDescent="0.25">
      <c r="B68" s="1"/>
      <c r="C68" s="6"/>
      <c r="D68" s="4"/>
      <c r="E68" s="4"/>
      <c r="F68" s="62"/>
      <c r="G68" s="4"/>
      <c r="H68" s="1"/>
      <c r="I68" s="4"/>
      <c r="J68" s="4"/>
      <c r="K68" s="4"/>
      <c r="L68" s="1"/>
    </row>
    <row r="69" spans="2:12" ht="15" customHeight="1" x14ac:dyDescent="0.25">
      <c r="B69" s="1"/>
      <c r="C69" s="6"/>
      <c r="D69" s="4"/>
      <c r="E69" s="4"/>
      <c r="F69" s="62"/>
      <c r="G69" s="4"/>
      <c r="H69" s="1"/>
      <c r="I69" s="4"/>
      <c r="J69" s="4"/>
      <c r="K69" s="4"/>
      <c r="L69" s="1"/>
    </row>
    <row r="70" spans="2:12" ht="15" customHeight="1" x14ac:dyDescent="0.25">
      <c r="B70" s="1"/>
      <c r="C70" s="6"/>
      <c r="D70" s="4"/>
      <c r="E70" s="4"/>
      <c r="F70" s="62"/>
      <c r="G70" s="4"/>
      <c r="H70" s="1"/>
      <c r="I70" s="4"/>
      <c r="J70" s="4"/>
      <c r="K70" s="4"/>
      <c r="L70" s="1"/>
    </row>
    <row r="71" spans="2:12" ht="15" customHeight="1" x14ac:dyDescent="0.25">
      <c r="B71" s="1"/>
      <c r="C71" s="6"/>
      <c r="D71" s="4"/>
      <c r="E71" s="4"/>
      <c r="F71" s="62"/>
      <c r="G71" s="4"/>
      <c r="H71" s="1"/>
      <c r="I71" s="4"/>
      <c r="J71" s="4"/>
      <c r="K71" s="4"/>
      <c r="L71" s="1"/>
    </row>
    <row r="72" spans="2:12" ht="15" customHeight="1" x14ac:dyDescent="0.25">
      <c r="B72" s="1"/>
      <c r="C72" s="6"/>
      <c r="D72" s="1"/>
      <c r="E72" s="1"/>
      <c r="F72" s="62"/>
      <c r="G72" s="1"/>
      <c r="H72" s="1"/>
      <c r="I72" s="1"/>
      <c r="J72" s="1"/>
      <c r="K72" s="1"/>
      <c r="L72" s="1"/>
    </row>
    <row r="73" spans="2:12" ht="15" customHeight="1" x14ac:dyDescent="0.25">
      <c r="B73" s="1"/>
      <c r="C73" s="6"/>
      <c r="D73" s="1"/>
      <c r="E73" s="1"/>
      <c r="F73" s="62"/>
      <c r="G73" s="1"/>
      <c r="H73" s="1"/>
      <c r="I73" s="1"/>
      <c r="J73" s="1"/>
      <c r="K73" s="1"/>
      <c r="L73" s="1"/>
    </row>
    <row r="74" spans="2:12" ht="15" customHeight="1" x14ac:dyDescent="0.25">
      <c r="B74" s="1"/>
      <c r="C74" s="6"/>
      <c r="D74" s="1"/>
      <c r="E74" s="1"/>
      <c r="F74" s="62"/>
      <c r="G74" s="1"/>
      <c r="H74" s="1"/>
      <c r="I74" s="1"/>
      <c r="J74" s="1"/>
      <c r="K74" s="1"/>
      <c r="L74" s="1"/>
    </row>
    <row r="75" spans="2:12" ht="15" customHeight="1" x14ac:dyDescent="0.25">
      <c r="B75" s="1"/>
      <c r="C75" s="6"/>
      <c r="D75" s="1"/>
      <c r="E75" s="1"/>
      <c r="F75" s="62"/>
      <c r="G75" s="1"/>
      <c r="H75" s="1"/>
      <c r="I75" s="1"/>
      <c r="J75" s="1"/>
      <c r="K75" s="1"/>
      <c r="L75" s="1"/>
    </row>
    <row r="76" spans="2:12" ht="15" customHeight="1" x14ac:dyDescent="0.25">
      <c r="B76" s="1"/>
      <c r="C76" s="6"/>
      <c r="D76" s="1"/>
      <c r="E76" s="1"/>
      <c r="F76" s="62"/>
      <c r="G76" s="1"/>
      <c r="H76" s="1"/>
      <c r="I76" s="1"/>
      <c r="J76" s="1"/>
      <c r="K76" s="1"/>
      <c r="L76" s="1"/>
    </row>
    <row r="77" spans="2:12" ht="15" customHeight="1" x14ac:dyDescent="0.25">
      <c r="B77" s="1"/>
      <c r="C77" s="6"/>
      <c r="D77" s="1"/>
      <c r="E77" s="1"/>
      <c r="F77" s="62"/>
      <c r="G77" s="1"/>
      <c r="H77" s="1"/>
      <c r="I77" s="1"/>
      <c r="J77" s="1"/>
      <c r="K77" s="1"/>
      <c r="L77" s="1"/>
    </row>
    <row r="78" spans="2:12" ht="15" customHeight="1" x14ac:dyDescent="0.25">
      <c r="B78" s="1"/>
      <c r="C78" s="6"/>
      <c r="D78" s="1"/>
      <c r="E78" s="1"/>
      <c r="F78" s="62"/>
      <c r="G78" s="1"/>
      <c r="H78" s="1"/>
      <c r="I78" s="1"/>
      <c r="J78" s="1"/>
      <c r="K78" s="1"/>
      <c r="L78" s="1"/>
    </row>
    <row r="79" spans="2:12" ht="15" customHeight="1" x14ac:dyDescent="0.25">
      <c r="B79" s="1"/>
      <c r="C79" s="6"/>
      <c r="D79" s="1"/>
      <c r="E79" s="1"/>
      <c r="F79" s="62"/>
      <c r="G79" s="1"/>
      <c r="H79" s="1"/>
      <c r="I79" s="1"/>
      <c r="J79" s="1"/>
      <c r="K79" s="1"/>
      <c r="L79" s="1"/>
    </row>
    <row r="80" spans="2:12" ht="15" customHeight="1" x14ac:dyDescent="0.25">
      <c r="B80" s="1"/>
      <c r="C80" s="6"/>
      <c r="D80" s="1"/>
      <c r="E80" s="1"/>
      <c r="F80" s="62"/>
      <c r="G80" s="1"/>
      <c r="H80" s="1"/>
      <c r="I80" s="1"/>
      <c r="J80" s="1"/>
      <c r="K80" s="1"/>
      <c r="L80" s="1"/>
    </row>
    <row r="81" spans="2:12" ht="15" customHeight="1" x14ac:dyDescent="0.25">
      <c r="B81" s="1"/>
      <c r="C81" s="6"/>
      <c r="D81" s="1"/>
      <c r="E81" s="1"/>
      <c r="F81" s="62"/>
      <c r="G81" s="1"/>
      <c r="H81" s="1"/>
      <c r="I81" s="1"/>
      <c r="J81" s="1"/>
      <c r="K81" s="1"/>
      <c r="L81" s="1"/>
    </row>
    <row r="82" spans="2:12" ht="15" customHeight="1" x14ac:dyDescent="0.25">
      <c r="B82" s="1"/>
      <c r="C82" s="6"/>
      <c r="D82" s="1"/>
      <c r="E82" s="1"/>
      <c r="F82" s="62"/>
      <c r="G82" s="1"/>
      <c r="H82" s="1"/>
      <c r="I82" s="1"/>
      <c r="J82" s="1"/>
      <c r="K82" s="1"/>
      <c r="L82" s="1"/>
    </row>
    <row r="83" spans="2:12" ht="15" customHeight="1" x14ac:dyDescent="0.25">
      <c r="B83" s="1"/>
      <c r="C83" s="6"/>
      <c r="D83" s="1"/>
      <c r="E83" s="1"/>
      <c r="F83" s="62"/>
      <c r="G83" s="1"/>
      <c r="H83" s="1"/>
      <c r="I83" s="1"/>
      <c r="J83" s="1"/>
      <c r="K83" s="1"/>
      <c r="L83" s="1"/>
    </row>
    <row r="84" spans="2:12" ht="15" customHeight="1" x14ac:dyDescent="0.25">
      <c r="B84" s="1"/>
      <c r="C84" s="6"/>
      <c r="D84" s="1"/>
      <c r="E84" s="1"/>
      <c r="F84" s="62"/>
      <c r="G84" s="1"/>
      <c r="H84" s="1"/>
      <c r="I84" s="1"/>
      <c r="J84" s="1"/>
      <c r="K84" s="1"/>
      <c r="L84" s="1"/>
    </row>
    <row r="85" spans="2:12" ht="15" customHeight="1" x14ac:dyDescent="0.25">
      <c r="B85" s="1"/>
      <c r="C85" s="6"/>
      <c r="D85" s="1"/>
      <c r="E85" s="1"/>
      <c r="F85" s="62"/>
      <c r="G85" s="1"/>
      <c r="H85" s="1"/>
      <c r="I85" s="1"/>
      <c r="J85" s="1"/>
      <c r="K85" s="1"/>
      <c r="L85" s="1"/>
    </row>
    <row r="86" spans="2:12" ht="15" customHeight="1" x14ac:dyDescent="0.25">
      <c r="C86" s="7"/>
      <c r="H86" s="3"/>
      <c r="L86" s="1"/>
    </row>
    <row r="87" spans="2:12" ht="15" customHeight="1" x14ac:dyDescent="0.25">
      <c r="C87" s="7"/>
      <c r="H87" s="3"/>
      <c r="L87" s="1"/>
    </row>
    <row r="88" spans="2:12" ht="15" customHeight="1" x14ac:dyDescent="0.25">
      <c r="C88" s="7"/>
      <c r="H88" s="3"/>
      <c r="L88" s="1"/>
    </row>
    <row r="89" spans="2:12" ht="15" customHeight="1" x14ac:dyDescent="0.25">
      <c r="C89" s="7"/>
      <c r="H89" s="3"/>
      <c r="L89" s="1"/>
    </row>
    <row r="90" spans="2:12" ht="15" customHeight="1" x14ac:dyDescent="0.25">
      <c r="C90" s="7"/>
      <c r="H90" s="3"/>
      <c r="L90" s="1"/>
    </row>
    <row r="91" spans="2:12" ht="15" customHeight="1" x14ac:dyDescent="0.25">
      <c r="C91" s="7"/>
      <c r="H91" s="3"/>
      <c r="L91" s="1"/>
    </row>
    <row r="92" spans="2:12" ht="15" customHeight="1" x14ac:dyDescent="0.25">
      <c r="C92" s="7"/>
      <c r="H92" s="3"/>
      <c r="L92" s="1"/>
    </row>
    <row r="93" spans="2:12" ht="15" customHeight="1" x14ac:dyDescent="0.25">
      <c r="C93" s="7"/>
      <c r="L93" s="1"/>
    </row>
    <row r="94" spans="2:12" ht="15" customHeight="1" x14ac:dyDescent="0.25">
      <c r="C94" s="7"/>
    </row>
    <row r="95" spans="2:12" ht="15" customHeight="1" x14ac:dyDescent="0.25">
      <c r="C95" s="7"/>
    </row>
    <row r="96" spans="2:12" ht="15" customHeight="1" x14ac:dyDescent="0.25">
      <c r="C96" s="7"/>
    </row>
    <row r="97" spans="3:3" ht="15" customHeight="1" x14ac:dyDescent="0.25">
      <c r="C97" s="7"/>
    </row>
    <row r="98" spans="3:3" ht="15" customHeight="1" x14ac:dyDescent="0.25">
      <c r="C98" s="7"/>
    </row>
    <row r="99" spans="3:3" ht="15" customHeight="1" x14ac:dyDescent="0.25">
      <c r="C99" s="7"/>
    </row>
    <row r="100" spans="3:3" ht="15" customHeight="1" x14ac:dyDescent="0.25">
      <c r="C100" s="7"/>
    </row>
    <row r="101" spans="3:3" ht="15" customHeight="1" x14ac:dyDescent="0.25">
      <c r="C101" s="7"/>
    </row>
    <row r="102" spans="3:3" ht="15" customHeight="1" x14ac:dyDescent="0.25">
      <c r="C102" s="7"/>
    </row>
    <row r="103" spans="3:3" ht="15" customHeight="1" x14ac:dyDescent="0.25">
      <c r="C103" s="7"/>
    </row>
    <row r="104" spans="3:3" ht="15" customHeight="1" x14ac:dyDescent="0.25">
      <c r="C104" s="7"/>
    </row>
    <row r="105" spans="3:3" ht="15" customHeight="1" x14ac:dyDescent="0.25">
      <c r="C105" s="7"/>
    </row>
    <row r="106" spans="3:3" ht="15" customHeight="1" x14ac:dyDescent="0.25">
      <c r="C106" s="7"/>
    </row>
    <row r="107" spans="3:3" ht="15" customHeight="1" x14ac:dyDescent="0.25">
      <c r="C107" s="7"/>
    </row>
    <row r="108" spans="3:3" ht="15" customHeight="1" x14ac:dyDescent="0.25">
      <c r="C108" s="7"/>
    </row>
    <row r="109" spans="3:3" ht="15" customHeight="1" x14ac:dyDescent="0.25">
      <c r="C109" s="7"/>
    </row>
    <row r="110" spans="3:3" ht="15" customHeight="1" x14ac:dyDescent="0.25">
      <c r="C110" s="7"/>
    </row>
    <row r="111" spans="3:3" ht="15" customHeight="1" x14ac:dyDescent="0.25">
      <c r="C111" s="7"/>
    </row>
    <row r="112" spans="3:3" ht="15" customHeight="1" x14ac:dyDescent="0.25">
      <c r="C112" s="7"/>
    </row>
    <row r="113" spans="3:3" ht="15" customHeight="1" x14ac:dyDescent="0.25">
      <c r="C113" s="7"/>
    </row>
    <row r="114" spans="3:3" ht="15" customHeight="1" x14ac:dyDescent="0.25">
      <c r="C114" s="7"/>
    </row>
    <row r="115" spans="3:3" ht="15" customHeight="1" x14ac:dyDescent="0.25">
      <c r="C115" s="5"/>
    </row>
    <row r="116" spans="3:3" ht="15" customHeight="1" x14ac:dyDescent="0.25">
      <c r="C116" s="5"/>
    </row>
    <row r="117" spans="3:3" ht="15" customHeight="1" x14ac:dyDescent="0.25">
      <c r="C117" s="5"/>
    </row>
    <row r="118" spans="3:3" ht="15" customHeight="1" x14ac:dyDescent="0.25">
      <c r="C118" s="5"/>
    </row>
    <row r="119" spans="3:3" ht="15" customHeight="1" x14ac:dyDescent="0.25">
      <c r="C119" s="5"/>
    </row>
    <row r="120" spans="3:3" ht="15" customHeight="1" x14ac:dyDescent="0.25">
      <c r="C120" s="5"/>
    </row>
    <row r="121" spans="3:3" ht="15" customHeight="1" x14ac:dyDescent="0.25">
      <c r="C121" s="5"/>
    </row>
    <row r="122" spans="3:3" ht="15" customHeight="1" x14ac:dyDescent="0.25">
      <c r="C122" s="5"/>
    </row>
    <row r="123" spans="3:3" ht="15" customHeight="1" x14ac:dyDescent="0.25">
      <c r="C123" s="5"/>
    </row>
    <row r="124" spans="3:3" ht="15" customHeight="1" x14ac:dyDescent="0.25">
      <c r="C124" s="5"/>
    </row>
    <row r="125" spans="3:3" ht="15" customHeight="1" x14ac:dyDescent="0.25">
      <c r="C125" s="5"/>
    </row>
    <row r="126" spans="3:3" ht="15" customHeight="1" x14ac:dyDescent="0.25">
      <c r="C126" s="5"/>
    </row>
    <row r="127" spans="3:3" ht="15" customHeight="1" x14ac:dyDescent="0.25">
      <c r="C127" s="5"/>
    </row>
    <row r="128" spans="3:3" ht="15" customHeight="1" x14ac:dyDescent="0.25">
      <c r="C128" s="5"/>
    </row>
    <row r="129" spans="3:3" ht="15" customHeight="1" x14ac:dyDescent="0.25">
      <c r="C129" s="5"/>
    </row>
    <row r="130" spans="3:3" ht="15" customHeight="1" x14ac:dyDescent="0.25">
      <c r="C130" s="5"/>
    </row>
    <row r="131" spans="3:3" ht="15" customHeight="1" x14ac:dyDescent="0.25">
      <c r="C131" s="5"/>
    </row>
    <row r="132" spans="3:3" ht="15" customHeight="1" x14ac:dyDescent="0.25">
      <c r="C132" s="5"/>
    </row>
    <row r="133" spans="3:3" ht="15" customHeight="1" x14ac:dyDescent="0.25">
      <c r="C133" s="5"/>
    </row>
    <row r="134" spans="3:3" ht="15" customHeight="1" x14ac:dyDescent="0.25">
      <c r="C134" s="5"/>
    </row>
    <row r="135" spans="3:3" ht="15" customHeight="1" x14ac:dyDescent="0.25">
      <c r="C135" s="5"/>
    </row>
    <row r="136" spans="3:3" ht="15" customHeight="1" x14ac:dyDescent="0.25">
      <c r="C136" s="5"/>
    </row>
    <row r="137" spans="3:3" ht="15" customHeight="1" x14ac:dyDescent="0.25">
      <c r="C137" s="5"/>
    </row>
    <row r="138" spans="3:3" ht="15" customHeight="1" x14ac:dyDescent="0.25">
      <c r="C138" s="5"/>
    </row>
    <row r="139" spans="3:3" ht="15" customHeight="1" x14ac:dyDescent="0.25">
      <c r="C139" s="5"/>
    </row>
    <row r="140" spans="3:3" ht="15" customHeight="1" x14ac:dyDescent="0.25">
      <c r="C140" s="5"/>
    </row>
    <row r="141" spans="3:3" ht="15" customHeight="1" x14ac:dyDescent="0.25">
      <c r="C141" s="5"/>
    </row>
    <row r="142" spans="3:3" ht="15" customHeight="1" x14ac:dyDescent="0.25">
      <c r="C142" s="5"/>
    </row>
    <row r="143" spans="3:3" ht="15" customHeight="1" x14ac:dyDescent="0.25">
      <c r="C143" s="5"/>
    </row>
    <row r="144" spans="3:3" ht="15" customHeight="1" x14ac:dyDescent="0.25">
      <c r="C144" s="5"/>
    </row>
    <row r="145" spans="3:3" ht="15" customHeight="1" x14ac:dyDescent="0.25">
      <c r="C145" s="5"/>
    </row>
    <row r="146" spans="3:3" ht="15" customHeight="1" x14ac:dyDescent="0.25">
      <c r="C146" s="5"/>
    </row>
    <row r="147" spans="3:3" ht="15" customHeight="1" x14ac:dyDescent="0.25">
      <c r="C147" s="5"/>
    </row>
  </sheetData>
  <mergeCells count="11">
    <mergeCell ref="A3:K3"/>
    <mergeCell ref="J5:K5"/>
    <mergeCell ref="A57:D57"/>
    <mergeCell ref="A5:A6"/>
    <mergeCell ref="B5:D5"/>
    <mergeCell ref="E5:G5"/>
    <mergeCell ref="H5:I5"/>
    <mergeCell ref="I47:K47"/>
    <mergeCell ref="I48:K48"/>
    <mergeCell ref="I52:K52"/>
    <mergeCell ref="A42:D42"/>
  </mergeCells>
  <pageMargins left="0.31496062992125984" right="0.31496062992125984" top="0.55118110236220474" bottom="0.74803149606299213" header="0.31496062992125984" footer="0.31496062992125984"/>
  <pageSetup paperSize="5" scale="95" orientation="landscape" horizontalDpi="4294967293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1"/>
  <sheetViews>
    <sheetView view="pageLayout" zoomScale="86" zoomScaleNormal="75" zoomScalePageLayoutView="86" workbookViewId="0">
      <selection activeCell="Q17" sqref="Q17"/>
    </sheetView>
  </sheetViews>
  <sheetFormatPr defaultRowHeight="15" customHeight="1" x14ac:dyDescent="0.25"/>
  <cols>
    <col min="1" max="1" width="12" customWidth="1"/>
    <col min="2" max="2" width="11.42578125" style="63" customWidth="1"/>
    <col min="3" max="3" width="12" style="63" customWidth="1"/>
    <col min="4" max="4" width="17.28515625" style="63" customWidth="1"/>
    <col min="5" max="5" width="10.42578125" style="64" customWidth="1"/>
    <col min="6" max="6" width="10.28515625" style="64" customWidth="1"/>
    <col min="7" max="7" width="15.5703125" style="63" customWidth="1"/>
    <col min="8" max="8" width="10.42578125" style="63" bestFit="1" customWidth="1"/>
    <col min="9" max="9" width="19.42578125" style="63" customWidth="1"/>
    <col min="10" max="10" width="11.5703125" style="63" bestFit="1" customWidth="1"/>
    <col min="11" max="11" width="18.42578125" style="63" customWidth="1"/>
    <col min="12" max="12" width="20.42578125" customWidth="1"/>
  </cols>
  <sheetData>
    <row r="1" spans="1:12" ht="15" customHeight="1" x14ac:dyDescent="0.25">
      <c r="A1" s="32" t="s">
        <v>12</v>
      </c>
    </row>
    <row r="2" spans="1:12" ht="15" customHeight="1" x14ac:dyDescent="0.25">
      <c r="A2" s="116" t="s">
        <v>38</v>
      </c>
      <c r="B2" s="95"/>
      <c r="C2" s="95"/>
      <c r="D2" s="95"/>
      <c r="E2" s="95"/>
      <c r="F2" s="95"/>
      <c r="G2" s="95"/>
    </row>
    <row r="3" spans="1:12" ht="5.25" customHeight="1" x14ac:dyDescent="0.25"/>
    <row r="4" spans="1:12" ht="15" customHeight="1" x14ac:dyDescent="0.25">
      <c r="A4" s="489" t="s">
        <v>11</v>
      </c>
      <c r="B4" s="489"/>
      <c r="C4" s="489"/>
      <c r="D4" s="489"/>
      <c r="E4" s="489"/>
      <c r="F4" s="489"/>
      <c r="G4" s="489"/>
      <c r="H4" s="489"/>
      <c r="I4" s="489"/>
      <c r="J4" s="489"/>
      <c r="K4" s="489"/>
    </row>
    <row r="5" spans="1:12" ht="8.25" customHeight="1" x14ac:dyDescent="0.25">
      <c r="A5" s="22"/>
      <c r="B5" s="65"/>
      <c r="C5" s="65"/>
      <c r="D5" s="65"/>
      <c r="E5" s="66"/>
      <c r="F5" s="66"/>
      <c r="G5" s="65"/>
      <c r="H5" s="65"/>
      <c r="I5" s="65"/>
      <c r="J5" s="65"/>
      <c r="K5" s="65"/>
    </row>
    <row r="6" spans="1:12" ht="15" customHeight="1" x14ac:dyDescent="0.25">
      <c r="A6" s="479" t="s">
        <v>0</v>
      </c>
      <c r="B6" s="488" t="s">
        <v>7</v>
      </c>
      <c r="C6" s="488"/>
      <c r="D6" s="488"/>
      <c r="E6" s="488" t="s">
        <v>5</v>
      </c>
      <c r="F6" s="488"/>
      <c r="G6" s="488"/>
      <c r="H6" s="488" t="s">
        <v>4</v>
      </c>
      <c r="I6" s="488"/>
      <c r="J6" s="488" t="s">
        <v>6</v>
      </c>
      <c r="K6" s="488"/>
    </row>
    <row r="7" spans="1:12" ht="15" customHeight="1" x14ac:dyDescent="0.25">
      <c r="A7" s="480"/>
      <c r="B7" s="67" t="s">
        <v>8</v>
      </c>
      <c r="C7" s="67" t="s">
        <v>9</v>
      </c>
      <c r="D7" s="67" t="s">
        <v>13</v>
      </c>
      <c r="E7" s="68" t="s">
        <v>8</v>
      </c>
      <c r="F7" s="68" t="s">
        <v>9</v>
      </c>
      <c r="G7" s="67" t="s">
        <v>13</v>
      </c>
      <c r="H7" s="67" t="s">
        <v>8</v>
      </c>
      <c r="I7" s="67" t="s">
        <v>13</v>
      </c>
      <c r="J7" s="67" t="s">
        <v>8</v>
      </c>
      <c r="K7" s="67" t="s">
        <v>13</v>
      </c>
    </row>
    <row r="8" spans="1:12" ht="15" customHeight="1" x14ac:dyDescent="0.25">
      <c r="A8" s="29"/>
      <c r="B8" s="69"/>
      <c r="C8" s="69"/>
      <c r="D8" s="69"/>
      <c r="E8" s="70"/>
      <c r="F8" s="70"/>
      <c r="G8" s="69"/>
      <c r="H8" s="69"/>
      <c r="I8" s="69"/>
      <c r="J8" s="69"/>
      <c r="K8" s="69"/>
    </row>
    <row r="9" spans="1:12" ht="15" customHeight="1" x14ac:dyDescent="0.25">
      <c r="A9" s="40" t="s">
        <v>1</v>
      </c>
      <c r="B9" s="71"/>
      <c r="C9" s="72"/>
      <c r="D9" s="27">
        <f>B9*C9</f>
        <v>0</v>
      </c>
      <c r="E9" s="36"/>
      <c r="F9" s="36"/>
      <c r="G9" s="27"/>
      <c r="H9" s="36"/>
      <c r="I9" s="27">
        <f>H9*C9</f>
        <v>0</v>
      </c>
      <c r="J9" s="26">
        <f>B9+E9-H9</f>
        <v>0</v>
      </c>
      <c r="K9" s="27">
        <f>D9+G9-I9</f>
        <v>0</v>
      </c>
    </row>
    <row r="10" spans="1:12" ht="15" customHeight="1" x14ac:dyDescent="0.25">
      <c r="A10" s="40"/>
      <c r="B10" s="71"/>
      <c r="C10" s="72"/>
      <c r="D10" s="27">
        <f>B10*C10</f>
        <v>0</v>
      </c>
      <c r="E10" s="36"/>
      <c r="F10" s="36"/>
      <c r="G10" s="27">
        <f>E10*F10</f>
        <v>0</v>
      </c>
      <c r="H10" s="36"/>
      <c r="I10" s="27"/>
      <c r="J10" s="26">
        <f>B10+E10-H10</f>
        <v>0</v>
      </c>
      <c r="K10" s="27">
        <f>D10+G10-I10</f>
        <v>0</v>
      </c>
    </row>
    <row r="11" spans="1:12" ht="15" customHeight="1" x14ac:dyDescent="0.25">
      <c r="A11" s="40"/>
      <c r="B11" s="145">
        <f>SUM(B9:B10)</f>
        <v>0</v>
      </c>
      <c r="C11" s="142"/>
      <c r="D11" s="132">
        <f>SUM(D9:D10)</f>
        <v>0</v>
      </c>
      <c r="E11" s="36"/>
      <c r="F11" s="36"/>
      <c r="G11" s="27"/>
      <c r="H11" s="36"/>
      <c r="I11" s="27"/>
      <c r="J11" s="133">
        <f>SUM(J9:J10)</f>
        <v>0</v>
      </c>
      <c r="K11" s="135">
        <f>SUM(K9:K10)</f>
        <v>0</v>
      </c>
    </row>
    <row r="12" spans="1:12" ht="15" customHeight="1" x14ac:dyDescent="0.25">
      <c r="A12" s="40"/>
      <c r="B12" s="71"/>
      <c r="C12" s="72"/>
      <c r="D12" s="27"/>
      <c r="E12" s="36"/>
      <c r="F12" s="36"/>
      <c r="G12" s="27"/>
      <c r="H12" s="36"/>
      <c r="I12" s="27"/>
      <c r="J12" s="26"/>
      <c r="K12" s="27"/>
    </row>
    <row r="13" spans="1:12" ht="15" customHeight="1" x14ac:dyDescent="0.25">
      <c r="A13" s="40" t="s">
        <v>21</v>
      </c>
      <c r="B13" s="44"/>
      <c r="C13" s="72"/>
      <c r="D13" s="43">
        <f>K9</f>
        <v>0</v>
      </c>
      <c r="E13" s="44"/>
      <c r="F13" s="44"/>
      <c r="G13" s="43"/>
      <c r="H13" s="36"/>
      <c r="I13" s="27">
        <f>H13*C13</f>
        <v>0</v>
      </c>
      <c r="J13" s="26">
        <f>B13+E13-H13</f>
        <v>0</v>
      </c>
      <c r="K13" s="27">
        <f>D13+G13-I13</f>
        <v>0</v>
      </c>
      <c r="L13" s="15"/>
    </row>
    <row r="14" spans="1:12" ht="15" customHeight="1" x14ac:dyDescent="0.25">
      <c r="A14" s="40"/>
      <c r="B14" s="44"/>
      <c r="C14" s="72"/>
      <c r="D14" s="43">
        <f>K10</f>
        <v>0</v>
      </c>
      <c r="E14" s="44"/>
      <c r="F14" s="44"/>
      <c r="G14" s="43"/>
      <c r="H14" s="44"/>
      <c r="I14" s="27"/>
      <c r="J14" s="26">
        <f>B14+E14-H14</f>
        <v>0</v>
      </c>
      <c r="K14" s="27">
        <f>D14+G14-I14</f>
        <v>0</v>
      </c>
      <c r="L14" s="15"/>
    </row>
    <row r="15" spans="1:12" ht="15" customHeight="1" x14ac:dyDescent="0.25">
      <c r="A15" s="40"/>
      <c r="B15" s="143">
        <f>SUM(B13:B14)</f>
        <v>0</v>
      </c>
      <c r="C15" s="144"/>
      <c r="D15" s="41">
        <f>SUM(D13:D14)</f>
        <v>0</v>
      </c>
      <c r="E15" s="44"/>
      <c r="F15" s="44"/>
      <c r="G15" s="43"/>
      <c r="H15" s="44"/>
      <c r="I15" s="27"/>
      <c r="J15" s="130">
        <f>SUM(J13:J14)</f>
        <v>0</v>
      </c>
      <c r="K15" s="129">
        <f>SUM(K13:K14)</f>
        <v>0</v>
      </c>
      <c r="L15" s="15"/>
    </row>
    <row r="16" spans="1:12" ht="15" customHeight="1" x14ac:dyDescent="0.25">
      <c r="A16" s="40"/>
      <c r="B16" s="44"/>
      <c r="C16" s="72"/>
      <c r="D16" s="44"/>
      <c r="E16" s="44"/>
      <c r="F16" s="44"/>
      <c r="G16" s="43"/>
      <c r="H16" s="53"/>
      <c r="I16" s="41"/>
      <c r="J16" s="26"/>
      <c r="K16" s="27"/>
      <c r="L16" s="15"/>
    </row>
    <row r="17" spans="1:12" ht="15" customHeight="1" x14ac:dyDescent="0.25">
      <c r="A17" s="40" t="s">
        <v>22</v>
      </c>
      <c r="B17" s="44"/>
      <c r="C17" s="72"/>
      <c r="D17" s="43">
        <f>K13</f>
        <v>0</v>
      </c>
      <c r="E17" s="44"/>
      <c r="F17" s="44"/>
      <c r="G17" s="43"/>
      <c r="H17" s="44"/>
      <c r="I17" s="27">
        <f>H17*C17</f>
        <v>0</v>
      </c>
      <c r="J17" s="26">
        <f>B17+E17-H17</f>
        <v>0</v>
      </c>
      <c r="K17" s="27">
        <f>D17+G17-I17</f>
        <v>0</v>
      </c>
      <c r="L17" s="15"/>
    </row>
    <row r="18" spans="1:12" ht="15" customHeight="1" x14ac:dyDescent="0.25">
      <c r="A18" s="40"/>
      <c r="B18" s="44">
        <f>J14</f>
        <v>0</v>
      </c>
      <c r="C18" s="72"/>
      <c r="D18" s="43">
        <f>K14</f>
        <v>0</v>
      </c>
      <c r="E18" s="44"/>
      <c r="F18" s="44"/>
      <c r="G18" s="43"/>
      <c r="H18" s="44"/>
      <c r="I18" s="43"/>
      <c r="J18" s="26">
        <f>B18+E18-H18</f>
        <v>0</v>
      </c>
      <c r="K18" s="27">
        <f>D18+G18-I18</f>
        <v>0</v>
      </c>
      <c r="L18" s="138"/>
    </row>
    <row r="19" spans="1:12" ht="15" customHeight="1" x14ac:dyDescent="0.25">
      <c r="A19" s="40"/>
      <c r="B19" s="143">
        <f>SUM(B17:B18)</f>
        <v>0</v>
      </c>
      <c r="C19" s="144"/>
      <c r="D19" s="41">
        <f>SUM(D17:D18)</f>
        <v>0</v>
      </c>
      <c r="E19" s="44"/>
      <c r="F19" s="44"/>
      <c r="G19" s="43"/>
      <c r="H19" s="53"/>
      <c r="I19" s="41"/>
      <c r="J19" s="130">
        <f>SUM(J17:J18)</f>
        <v>0</v>
      </c>
      <c r="K19" s="129">
        <f>SUM(K17:K18)</f>
        <v>0</v>
      </c>
      <c r="L19" s="138"/>
    </row>
    <row r="20" spans="1:12" ht="15" customHeight="1" x14ac:dyDescent="0.25">
      <c r="A20" s="40"/>
      <c r="B20" s="44"/>
      <c r="C20" s="72"/>
      <c r="D20" s="44"/>
      <c r="E20" s="44"/>
      <c r="F20" s="44"/>
      <c r="G20" s="43"/>
      <c r="H20" s="44"/>
      <c r="I20" s="27"/>
      <c r="J20" s="26"/>
      <c r="K20" s="27"/>
      <c r="L20" s="138"/>
    </row>
    <row r="21" spans="1:12" ht="15" customHeight="1" x14ac:dyDescent="0.25">
      <c r="A21" s="40" t="s">
        <v>24</v>
      </c>
      <c r="B21" s="44"/>
      <c r="C21" s="72"/>
      <c r="D21" s="43">
        <f>K17</f>
        <v>0</v>
      </c>
      <c r="E21" s="44"/>
      <c r="F21" s="44"/>
      <c r="G21" s="43"/>
      <c r="H21" s="44"/>
      <c r="I21" s="27">
        <f>H21*C21</f>
        <v>0</v>
      </c>
      <c r="J21" s="26">
        <f>B21+E21-H21</f>
        <v>0</v>
      </c>
      <c r="K21" s="27">
        <f>D21+G21-I21</f>
        <v>0</v>
      </c>
      <c r="L21" s="138"/>
    </row>
    <row r="22" spans="1:12" ht="15" customHeight="1" x14ac:dyDescent="0.25">
      <c r="A22" s="40"/>
      <c r="B22" s="44">
        <f>J18</f>
        <v>0</v>
      </c>
      <c r="C22" s="72"/>
      <c r="D22" s="43">
        <f>K18</f>
        <v>0</v>
      </c>
      <c r="E22" s="44"/>
      <c r="F22" s="44"/>
      <c r="G22" s="43"/>
      <c r="H22" s="44"/>
      <c r="I22" s="43"/>
      <c r="J22" s="26">
        <f>B22+E22-H22</f>
        <v>0</v>
      </c>
      <c r="K22" s="27">
        <f>D22+G22-I22</f>
        <v>0</v>
      </c>
      <c r="L22" s="138"/>
    </row>
    <row r="23" spans="1:12" ht="15" customHeight="1" x14ac:dyDescent="0.25">
      <c r="A23" s="40"/>
      <c r="B23" s="143">
        <f>SUM(B21:B22)</f>
        <v>0</v>
      </c>
      <c r="C23" s="144"/>
      <c r="D23" s="41">
        <f>SUM(D21:D22)</f>
        <v>0</v>
      </c>
      <c r="E23" s="44"/>
      <c r="F23" s="44"/>
      <c r="G23" s="43"/>
      <c r="H23" s="53"/>
      <c r="I23" s="41"/>
      <c r="J23" s="130">
        <f>SUM(J21:J22)</f>
        <v>0</v>
      </c>
      <c r="K23" s="129">
        <f>SUM(K21:K22)</f>
        <v>0</v>
      </c>
      <c r="L23" s="139"/>
    </row>
    <row r="24" spans="1:12" ht="15" customHeight="1" x14ac:dyDescent="0.25">
      <c r="A24" s="40"/>
      <c r="B24" s="44"/>
      <c r="C24" s="72"/>
      <c r="D24" s="44"/>
      <c r="E24" s="44"/>
      <c r="F24" s="44"/>
      <c r="G24" s="43"/>
      <c r="H24" s="44"/>
      <c r="I24" s="43"/>
      <c r="J24" s="26"/>
      <c r="K24" s="27"/>
      <c r="L24" s="138"/>
    </row>
    <row r="25" spans="1:12" ht="15" customHeight="1" x14ac:dyDescent="0.25">
      <c r="A25" s="40" t="s">
        <v>28</v>
      </c>
      <c r="B25" s="44"/>
      <c r="C25" s="72"/>
      <c r="D25" s="43">
        <f>K21</f>
        <v>0</v>
      </c>
      <c r="E25" s="44"/>
      <c r="F25" s="44"/>
      <c r="G25" s="43"/>
      <c r="H25" s="44"/>
      <c r="I25" s="27">
        <f>H25*C25</f>
        <v>0</v>
      </c>
      <c r="J25" s="26">
        <f>B25+E25-H25</f>
        <v>0</v>
      </c>
      <c r="K25" s="27">
        <f>D25+G25-I25</f>
        <v>0</v>
      </c>
      <c r="L25" s="138">
        <f>J25*C25</f>
        <v>0</v>
      </c>
    </row>
    <row r="26" spans="1:12" ht="15" customHeight="1" x14ac:dyDescent="0.25">
      <c r="A26" s="40"/>
      <c r="B26" s="44">
        <f>J22</f>
        <v>0</v>
      </c>
      <c r="C26" s="72"/>
      <c r="D26" s="43">
        <f>K22</f>
        <v>0</v>
      </c>
      <c r="E26" s="44"/>
      <c r="F26" s="44"/>
      <c r="G26" s="43"/>
      <c r="H26" s="44"/>
      <c r="I26" s="43"/>
      <c r="J26" s="26">
        <f>B26+E26-H26</f>
        <v>0</v>
      </c>
      <c r="K26" s="27">
        <f>D26+G26-I26</f>
        <v>0</v>
      </c>
      <c r="L26" s="138">
        <f>J26*C26</f>
        <v>0</v>
      </c>
    </row>
    <row r="27" spans="1:12" ht="15" customHeight="1" x14ac:dyDescent="0.25">
      <c r="A27" s="40"/>
      <c r="B27" s="143">
        <f>SUM(B25:B26)</f>
        <v>0</v>
      </c>
      <c r="C27" s="144"/>
      <c r="D27" s="41">
        <f>SUM(D25:D26)</f>
        <v>0</v>
      </c>
      <c r="E27" s="44"/>
      <c r="F27" s="44"/>
      <c r="G27" s="43"/>
      <c r="H27" s="53"/>
      <c r="I27" s="41"/>
      <c r="J27" s="130">
        <f>SUM(J25:J26)</f>
        <v>0</v>
      </c>
      <c r="K27" s="129">
        <f>SUM(K25:K26)</f>
        <v>0</v>
      </c>
      <c r="L27" s="138"/>
    </row>
    <row r="28" spans="1:12" ht="15" customHeight="1" x14ac:dyDescent="0.25">
      <c r="A28" s="40"/>
      <c r="B28" s="53"/>
      <c r="C28" s="72"/>
      <c r="D28" s="41"/>
      <c r="E28" s="44"/>
      <c r="F28" s="44"/>
      <c r="G28" s="43"/>
      <c r="H28" s="53"/>
      <c r="I28" s="41"/>
      <c r="J28" s="26"/>
      <c r="K28" s="27"/>
      <c r="L28" s="15"/>
    </row>
    <row r="29" spans="1:12" ht="15" customHeight="1" x14ac:dyDescent="0.25">
      <c r="A29" s="40" t="s">
        <v>29</v>
      </c>
      <c r="B29" s="42"/>
      <c r="C29" s="72"/>
      <c r="D29" s="43">
        <f>K25</f>
        <v>0</v>
      </c>
      <c r="E29" s="44"/>
      <c r="F29" s="44"/>
      <c r="G29" s="43"/>
      <c r="H29" s="44"/>
      <c r="I29" s="27">
        <f>H29*C29</f>
        <v>0</v>
      </c>
      <c r="J29" s="26">
        <f>B29+E29-H29</f>
        <v>0</v>
      </c>
      <c r="K29" s="27">
        <f>D29+G29-I29</f>
        <v>0</v>
      </c>
      <c r="L29" s="15">
        <f>J29*C29</f>
        <v>0</v>
      </c>
    </row>
    <row r="30" spans="1:12" ht="15" customHeight="1" x14ac:dyDescent="0.25">
      <c r="A30" s="40"/>
      <c r="B30" s="42">
        <f>J26</f>
        <v>0</v>
      </c>
      <c r="C30" s="72"/>
      <c r="D30" s="43">
        <f xml:space="preserve">  K26</f>
        <v>0</v>
      </c>
      <c r="E30" s="44"/>
      <c r="F30" s="44"/>
      <c r="G30" s="43"/>
      <c r="H30" s="44"/>
      <c r="I30" s="27"/>
      <c r="J30" s="26">
        <f>B30+E30-H30</f>
        <v>0</v>
      </c>
      <c r="K30" s="27">
        <f>D30+G30-I30</f>
        <v>0</v>
      </c>
      <c r="L30" s="15">
        <f>J30*C30</f>
        <v>0</v>
      </c>
    </row>
    <row r="31" spans="1:12" ht="15" customHeight="1" x14ac:dyDescent="0.25">
      <c r="A31" s="40"/>
      <c r="B31" s="42">
        <f>SUM(B29:B30)</f>
        <v>0</v>
      </c>
      <c r="C31" s="72"/>
      <c r="D31" s="43">
        <f>SUM(D29:D30)</f>
        <v>0</v>
      </c>
      <c r="E31" s="44"/>
      <c r="F31" s="44"/>
      <c r="G31" s="43"/>
      <c r="H31" s="44"/>
      <c r="I31" s="43"/>
      <c r="J31" s="130">
        <f>SUM(J29:J30)</f>
        <v>0</v>
      </c>
      <c r="K31" s="129">
        <f>SUM(K29:K30)</f>
        <v>0</v>
      </c>
      <c r="L31" s="15" t="e">
        <f>'SODA ASH BENAR'!#REF!+'SODA ASH BENAR'!J22</f>
        <v>#REF!</v>
      </c>
    </row>
    <row r="32" spans="1:12" ht="15" customHeight="1" x14ac:dyDescent="0.25">
      <c r="A32" s="40"/>
      <c r="B32" s="42"/>
      <c r="C32" s="72"/>
      <c r="D32" s="43"/>
      <c r="E32" s="44"/>
      <c r="F32" s="44"/>
      <c r="G32" s="43"/>
      <c r="H32" s="44"/>
      <c r="I32" s="27"/>
      <c r="J32" s="26"/>
      <c r="K32" s="27"/>
      <c r="L32" s="15"/>
    </row>
    <row r="33" spans="1:12" ht="15" customHeight="1" x14ac:dyDescent="0.25">
      <c r="A33" s="40" t="s">
        <v>30</v>
      </c>
      <c r="B33" s="42"/>
      <c r="C33" s="72"/>
      <c r="D33" s="43">
        <f>K29</f>
        <v>0</v>
      </c>
      <c r="E33" s="44"/>
      <c r="F33" s="44"/>
      <c r="G33" s="43"/>
      <c r="H33" s="44"/>
      <c r="I33" s="27">
        <f>H33*C33</f>
        <v>0</v>
      </c>
      <c r="J33" s="26">
        <f>B33+E33-H33</f>
        <v>0</v>
      </c>
      <c r="K33" s="27">
        <f>D33+G33-I33</f>
        <v>0</v>
      </c>
      <c r="L33" s="15"/>
    </row>
    <row r="34" spans="1:12" ht="15" customHeight="1" x14ac:dyDescent="0.25">
      <c r="A34" s="40"/>
      <c r="B34" s="42">
        <f>J30</f>
        <v>0</v>
      </c>
      <c r="C34" s="72"/>
      <c r="D34" s="43">
        <f xml:space="preserve">  K30</f>
        <v>0</v>
      </c>
      <c r="E34" s="44"/>
      <c r="F34" s="44"/>
      <c r="G34" s="43"/>
      <c r="H34" s="44"/>
      <c r="I34" s="27"/>
      <c r="J34" s="26">
        <f>B34+E34-H34</f>
        <v>0</v>
      </c>
      <c r="K34" s="27">
        <f>D34+G34-I34</f>
        <v>0</v>
      </c>
      <c r="L34" s="15"/>
    </row>
    <row r="35" spans="1:12" ht="15" customHeight="1" x14ac:dyDescent="0.25">
      <c r="A35" s="40"/>
      <c r="B35" s="42">
        <f>SUM(B33:B34)</f>
        <v>0</v>
      </c>
      <c r="C35" s="72"/>
      <c r="D35" s="43">
        <f>SUM(D33:D34)</f>
        <v>0</v>
      </c>
      <c r="E35" s="44"/>
      <c r="F35" s="44"/>
      <c r="G35" s="43"/>
      <c r="H35" s="44"/>
      <c r="I35" s="43"/>
      <c r="J35" s="130">
        <f>SUM(J33:J34)</f>
        <v>0</v>
      </c>
      <c r="K35" s="129">
        <f>SUM(K33:K34)</f>
        <v>0</v>
      </c>
      <c r="L35" s="15"/>
    </row>
    <row r="36" spans="1:12" ht="15" customHeight="1" x14ac:dyDescent="0.25">
      <c r="A36" s="40"/>
      <c r="B36" s="42"/>
      <c r="C36" s="72"/>
      <c r="D36" s="43"/>
      <c r="E36" s="44"/>
      <c r="F36" s="44"/>
      <c r="G36" s="43"/>
      <c r="H36" s="44"/>
      <c r="I36" s="27"/>
      <c r="J36" s="26"/>
      <c r="K36" s="27"/>
      <c r="L36" s="15"/>
    </row>
    <row r="37" spans="1:12" ht="15" customHeight="1" x14ac:dyDescent="0.25">
      <c r="A37" s="40" t="s">
        <v>31</v>
      </c>
      <c r="B37" s="42"/>
      <c r="C37" s="72"/>
      <c r="D37" s="43">
        <f>K33</f>
        <v>0</v>
      </c>
      <c r="E37" s="44"/>
      <c r="F37" s="44"/>
      <c r="G37" s="43"/>
      <c r="H37" s="44"/>
      <c r="I37" s="27">
        <f>H37*C37</f>
        <v>0</v>
      </c>
      <c r="J37" s="26">
        <f>B37+E37-H37</f>
        <v>0</v>
      </c>
      <c r="K37" s="27">
        <f>D37+G37-I37</f>
        <v>0</v>
      </c>
      <c r="L37" s="15">
        <f>J37*C37</f>
        <v>0</v>
      </c>
    </row>
    <row r="38" spans="1:12" ht="15" customHeight="1" x14ac:dyDescent="0.25">
      <c r="A38" s="40"/>
      <c r="B38" s="42">
        <f>J34</f>
        <v>0</v>
      </c>
      <c r="C38" s="72"/>
      <c r="D38" s="43">
        <f xml:space="preserve">  K34</f>
        <v>0</v>
      </c>
      <c r="E38" s="44"/>
      <c r="F38" s="44"/>
      <c r="G38" s="43"/>
      <c r="H38" s="44"/>
      <c r="I38" s="27"/>
      <c r="J38" s="26">
        <f>B38+E38-H38</f>
        <v>0</v>
      </c>
      <c r="K38" s="27">
        <f>D38+G38-I38</f>
        <v>0</v>
      </c>
      <c r="L38" s="15">
        <f>J38*C38</f>
        <v>0</v>
      </c>
    </row>
    <row r="39" spans="1:12" ht="15" customHeight="1" x14ac:dyDescent="0.25">
      <c r="A39" s="40"/>
      <c r="B39" s="42">
        <f>SUM(B37:B38)</f>
        <v>0</v>
      </c>
      <c r="C39" s="72"/>
      <c r="D39" s="43">
        <f>SUM(D37:D38)</f>
        <v>0</v>
      </c>
      <c r="E39" s="44"/>
      <c r="F39" s="44"/>
      <c r="G39" s="43"/>
      <c r="H39" s="44"/>
      <c r="I39" s="43"/>
      <c r="J39" s="130">
        <f>SUM(J37:J38)</f>
        <v>0</v>
      </c>
      <c r="K39" s="129">
        <f>SUM(K37:K38)</f>
        <v>0</v>
      </c>
      <c r="L39" s="15"/>
    </row>
    <row r="40" spans="1:12" ht="15" customHeight="1" x14ac:dyDescent="0.25">
      <c r="A40" s="40"/>
      <c r="B40" s="42"/>
      <c r="C40" s="72"/>
      <c r="D40" s="43"/>
      <c r="E40" s="44"/>
      <c r="F40" s="44"/>
      <c r="G40" s="43"/>
      <c r="H40" s="44"/>
      <c r="I40" s="43"/>
      <c r="J40" s="130"/>
      <c r="K40" s="129"/>
      <c r="L40" s="15"/>
    </row>
    <row r="41" spans="1:12" ht="15" customHeight="1" x14ac:dyDescent="0.25">
      <c r="A41" s="40" t="s">
        <v>32</v>
      </c>
      <c r="B41" s="42"/>
      <c r="C41" s="72"/>
      <c r="D41" s="43">
        <f>K37</f>
        <v>0</v>
      </c>
      <c r="E41" s="44"/>
      <c r="F41" s="44"/>
      <c r="G41" s="43"/>
      <c r="H41" s="44"/>
      <c r="I41" s="27">
        <f>H41*C41</f>
        <v>0</v>
      </c>
      <c r="J41" s="26">
        <f>B41+E41-H41</f>
        <v>0</v>
      </c>
      <c r="K41" s="27">
        <f>D41+G41-I41</f>
        <v>0</v>
      </c>
      <c r="L41" s="15"/>
    </row>
    <row r="42" spans="1:12" ht="15" customHeight="1" x14ac:dyDescent="0.25">
      <c r="A42" s="40"/>
      <c r="B42" s="42">
        <f>J38</f>
        <v>0</v>
      </c>
      <c r="C42" s="72"/>
      <c r="D42" s="43">
        <f xml:space="preserve">  K38</f>
        <v>0</v>
      </c>
      <c r="E42" s="44"/>
      <c r="F42" s="44"/>
      <c r="G42" s="43"/>
      <c r="H42" s="44"/>
      <c r="I42" s="27"/>
      <c r="J42" s="26">
        <f>B42+E42-H42</f>
        <v>0</v>
      </c>
      <c r="K42" s="27">
        <f>D42+G42-I42</f>
        <v>0</v>
      </c>
      <c r="L42" s="15"/>
    </row>
    <row r="43" spans="1:12" ht="15" customHeight="1" x14ac:dyDescent="0.25">
      <c r="A43" s="40"/>
      <c r="B43" s="42">
        <f>SUM(B41:B42)</f>
        <v>0</v>
      </c>
      <c r="C43" s="72"/>
      <c r="D43" s="43">
        <f>SUM(D41:D42)</f>
        <v>0</v>
      </c>
      <c r="E43" s="44"/>
      <c r="F43" s="44"/>
      <c r="G43" s="43"/>
      <c r="H43" s="44"/>
      <c r="I43" s="43"/>
      <c r="J43" s="130">
        <f>SUM(J41:J42)</f>
        <v>0</v>
      </c>
      <c r="K43" s="129">
        <f>SUM(K41:K42)</f>
        <v>0</v>
      </c>
      <c r="L43" s="15"/>
    </row>
    <row r="44" spans="1:12" ht="15" customHeight="1" x14ac:dyDescent="0.25">
      <c r="A44" s="40"/>
      <c r="B44" s="42"/>
      <c r="C44" s="72"/>
      <c r="D44" s="43"/>
      <c r="E44" s="44"/>
      <c r="F44" s="44"/>
      <c r="G44" s="43"/>
      <c r="H44" s="44"/>
      <c r="I44" s="43"/>
      <c r="J44" s="130"/>
      <c r="K44" s="129"/>
      <c r="L44" s="15"/>
    </row>
    <row r="45" spans="1:12" ht="15" customHeight="1" x14ac:dyDescent="0.25">
      <c r="A45" s="123" t="s">
        <v>33</v>
      </c>
      <c r="B45" s="42"/>
      <c r="C45" s="72"/>
      <c r="D45" s="43">
        <f>K41</f>
        <v>0</v>
      </c>
      <c r="E45" s="44"/>
      <c r="F45" s="44"/>
      <c r="G45" s="43"/>
      <c r="H45" s="44"/>
      <c r="I45" s="27">
        <f>H45*C45</f>
        <v>0</v>
      </c>
      <c r="J45" s="26">
        <f>B45+E45-H45</f>
        <v>0</v>
      </c>
      <c r="K45" s="27">
        <f>D45+G45-I45</f>
        <v>0</v>
      </c>
      <c r="L45" s="15"/>
    </row>
    <row r="46" spans="1:12" ht="15" customHeight="1" x14ac:dyDescent="0.25">
      <c r="A46" s="40"/>
      <c r="B46" s="42">
        <f>J42</f>
        <v>0</v>
      </c>
      <c r="C46" s="72"/>
      <c r="D46" s="43">
        <f xml:space="preserve">  K42</f>
        <v>0</v>
      </c>
      <c r="E46" s="44"/>
      <c r="F46" s="44"/>
      <c r="G46" s="43"/>
      <c r="H46" s="44"/>
      <c r="I46" s="27"/>
      <c r="J46" s="26">
        <f>B46+E46-H46</f>
        <v>0</v>
      </c>
      <c r="K46" s="27">
        <f>D46+G46-I46</f>
        <v>0</v>
      </c>
      <c r="L46" s="15"/>
    </row>
    <row r="47" spans="1:12" ht="15" customHeight="1" x14ac:dyDescent="0.25">
      <c r="A47" s="40"/>
      <c r="B47" s="42">
        <f>SUM(B45:B46)</f>
        <v>0</v>
      </c>
      <c r="C47" s="72"/>
      <c r="D47" s="43">
        <f>SUM(D45:D46)</f>
        <v>0</v>
      </c>
      <c r="E47" s="44"/>
      <c r="F47" s="44"/>
      <c r="G47" s="43"/>
      <c r="H47" s="44"/>
      <c r="I47" s="43"/>
      <c r="J47" s="130">
        <f>SUM(J45:J46)</f>
        <v>0</v>
      </c>
      <c r="K47" s="129">
        <f>SUM(K45:K46)</f>
        <v>0</v>
      </c>
      <c r="L47" s="15"/>
    </row>
    <row r="48" spans="1:12" ht="15" customHeight="1" x14ac:dyDescent="0.25">
      <c r="A48" s="40"/>
      <c r="B48" s="42"/>
      <c r="C48" s="72"/>
      <c r="D48" s="43"/>
      <c r="E48" s="44"/>
      <c r="F48" s="44"/>
      <c r="G48" s="43"/>
      <c r="H48" s="44"/>
      <c r="I48" s="43"/>
      <c r="J48" s="130"/>
      <c r="K48" s="129"/>
      <c r="L48" s="15"/>
    </row>
    <row r="49" spans="1:12" ht="15" customHeight="1" x14ac:dyDescent="0.25">
      <c r="A49" s="123" t="s">
        <v>34</v>
      </c>
      <c r="B49" s="42"/>
      <c r="C49" s="72"/>
      <c r="D49" s="43">
        <f>K45</f>
        <v>0</v>
      </c>
      <c r="E49" s="44"/>
      <c r="F49" s="44"/>
      <c r="G49" s="43"/>
      <c r="H49" s="44"/>
      <c r="I49" s="27">
        <f>H49*C49</f>
        <v>0</v>
      </c>
      <c r="J49" s="26">
        <f>B49+E49-H49</f>
        <v>0</v>
      </c>
      <c r="K49" s="27">
        <f>D49+G49-I49</f>
        <v>0</v>
      </c>
      <c r="L49" s="15">
        <f>J49*C49</f>
        <v>0</v>
      </c>
    </row>
    <row r="50" spans="1:12" ht="15" customHeight="1" x14ac:dyDescent="0.25">
      <c r="A50" s="40"/>
      <c r="B50" s="42">
        <f>J46</f>
        <v>0</v>
      </c>
      <c r="C50" s="72"/>
      <c r="D50" s="43">
        <f xml:space="preserve">  K46</f>
        <v>0</v>
      </c>
      <c r="E50" s="44"/>
      <c r="F50" s="44"/>
      <c r="G50" s="43"/>
      <c r="H50" s="44"/>
      <c r="I50" s="27"/>
      <c r="J50" s="26">
        <f>B50+E50-H50</f>
        <v>0</v>
      </c>
      <c r="K50" s="27">
        <f>D50+G50-I50</f>
        <v>0</v>
      </c>
      <c r="L50" s="15">
        <f>J50*C50</f>
        <v>0</v>
      </c>
    </row>
    <row r="51" spans="1:12" ht="15" customHeight="1" x14ac:dyDescent="0.25">
      <c r="A51" s="40"/>
      <c r="B51" s="42">
        <f>SUM(B49:B50)</f>
        <v>0</v>
      </c>
      <c r="C51" s="72"/>
      <c r="D51" s="43">
        <f>SUM(D49:D50)</f>
        <v>0</v>
      </c>
      <c r="E51" s="44"/>
      <c r="F51" s="44"/>
      <c r="G51" s="43"/>
      <c r="H51" s="44"/>
      <c r="I51" s="43"/>
      <c r="J51" s="130">
        <f>SUM(J49:J50)</f>
        <v>0</v>
      </c>
      <c r="K51" s="129">
        <f>SUM(K49:K50)</f>
        <v>0</v>
      </c>
      <c r="L51" s="15"/>
    </row>
    <row r="52" spans="1:12" ht="15" customHeight="1" x14ac:dyDescent="0.25">
      <c r="A52" s="40"/>
      <c r="B52" s="42"/>
      <c r="C52" s="72"/>
      <c r="D52" s="43"/>
      <c r="E52" s="44"/>
      <c r="F52" s="44"/>
      <c r="G52" s="43"/>
      <c r="H52" s="44"/>
      <c r="I52" s="43"/>
      <c r="J52" s="130"/>
      <c r="K52" s="129"/>
      <c r="L52" s="15"/>
    </row>
    <row r="53" spans="1:12" ht="15" customHeight="1" x14ac:dyDescent="0.25">
      <c r="A53" s="123" t="s">
        <v>35</v>
      </c>
      <c r="B53" s="42"/>
      <c r="C53" s="72"/>
      <c r="D53" s="43">
        <f>K49</f>
        <v>0</v>
      </c>
      <c r="E53" s="44"/>
      <c r="F53" s="44"/>
      <c r="G53" s="43"/>
      <c r="H53" s="44"/>
      <c r="I53" s="27">
        <f>H53*C53</f>
        <v>0</v>
      </c>
      <c r="J53" s="26">
        <f>B53+E53-H53</f>
        <v>0</v>
      </c>
      <c r="K53" s="27">
        <f>D53+G53-I53</f>
        <v>0</v>
      </c>
      <c r="L53" s="15"/>
    </row>
    <row r="54" spans="1:12" ht="15" customHeight="1" x14ac:dyDescent="0.25">
      <c r="A54" s="40"/>
      <c r="B54" s="42">
        <f>J50</f>
        <v>0</v>
      </c>
      <c r="C54" s="72"/>
      <c r="D54" s="43">
        <f xml:space="preserve">  K50</f>
        <v>0</v>
      </c>
      <c r="E54" s="44"/>
      <c r="F54" s="44"/>
      <c r="G54" s="43"/>
      <c r="H54" s="44"/>
      <c r="I54" s="27"/>
      <c r="J54" s="26">
        <f>B54+E54-H54</f>
        <v>0</v>
      </c>
      <c r="K54" s="27">
        <f>D54+G54-I54</f>
        <v>0</v>
      </c>
      <c r="L54" s="15"/>
    </row>
    <row r="55" spans="1:12" ht="15" customHeight="1" x14ac:dyDescent="0.25">
      <c r="A55" s="40"/>
      <c r="B55" s="42">
        <f>SUM(B53:B54)</f>
        <v>0</v>
      </c>
      <c r="C55" s="72"/>
      <c r="D55" s="43">
        <f>SUM(D53:D54)</f>
        <v>0</v>
      </c>
      <c r="E55" s="44"/>
      <c r="F55" s="44"/>
      <c r="G55" s="43"/>
      <c r="H55" s="44"/>
      <c r="I55" s="43"/>
      <c r="J55" s="130">
        <f>SUM(J53:J54)</f>
        <v>0</v>
      </c>
      <c r="K55" s="129">
        <f>SUM(K53:K54)</f>
        <v>0</v>
      </c>
      <c r="L55" s="15"/>
    </row>
    <row r="56" spans="1:12" ht="15" customHeight="1" x14ac:dyDescent="0.25">
      <c r="A56" s="40"/>
      <c r="B56" s="42"/>
      <c r="C56" s="72"/>
      <c r="D56" s="43"/>
      <c r="E56" s="44"/>
      <c r="F56" s="44"/>
      <c r="G56" s="43"/>
      <c r="H56" s="44"/>
      <c r="I56" s="43"/>
      <c r="J56" s="130"/>
      <c r="K56" s="129"/>
      <c r="L56" s="15"/>
    </row>
    <row r="57" spans="1:12" ht="30" customHeight="1" x14ac:dyDescent="0.25">
      <c r="A57" s="486" t="s">
        <v>19</v>
      </c>
      <c r="B57" s="487"/>
      <c r="C57" s="487"/>
      <c r="D57" s="487"/>
      <c r="E57" s="87">
        <f>SUM(E9:E56)</f>
        <v>0</v>
      </c>
      <c r="F57" s="87"/>
      <c r="G57" s="87">
        <f>SUM(G9:G56)</f>
        <v>0</v>
      </c>
      <c r="H57" s="37">
        <f>H39+H32+H29+H28+H27+H26+H25+H20+H17+H14+H13+H9</f>
        <v>0</v>
      </c>
      <c r="I57" s="37">
        <f>I39+I32+I29+I28+I27+I26+I25+I20+I17+I14+I13+I9</f>
        <v>0</v>
      </c>
      <c r="J57" s="37">
        <f>J39</f>
        <v>0</v>
      </c>
      <c r="K57" s="52">
        <f>K39</f>
        <v>0</v>
      </c>
      <c r="L57" s="15"/>
    </row>
    <row r="58" spans="1:12" ht="15" customHeight="1" x14ac:dyDescent="0.25">
      <c r="A58" s="31"/>
      <c r="B58" s="47"/>
      <c r="C58" s="50"/>
      <c r="D58" s="50"/>
      <c r="E58" s="47"/>
      <c r="F58" s="47"/>
      <c r="G58" s="50"/>
      <c r="H58" s="47"/>
      <c r="I58" s="50"/>
      <c r="J58" s="23"/>
      <c r="K58" s="24"/>
      <c r="L58" s="15"/>
    </row>
    <row r="59" spans="1:12" ht="15" customHeight="1" x14ac:dyDescent="0.25">
      <c r="A59" s="31"/>
      <c r="B59" s="74"/>
      <c r="C59" s="49"/>
      <c r="D59" s="49"/>
      <c r="E59" s="74"/>
      <c r="F59" s="74"/>
      <c r="G59" s="49"/>
      <c r="H59" s="74"/>
      <c r="I59" s="49"/>
      <c r="J59" s="75"/>
      <c r="K59" s="76"/>
      <c r="L59" s="15"/>
    </row>
    <row r="60" spans="1:12" ht="15" customHeight="1" x14ac:dyDescent="0.25">
      <c r="A60" s="18"/>
      <c r="B60" s="47"/>
      <c r="C60" s="50"/>
      <c r="D60" s="50"/>
      <c r="E60" s="47"/>
      <c r="F60" s="47"/>
      <c r="G60" s="50"/>
      <c r="H60" s="47"/>
      <c r="I60" s="50"/>
      <c r="J60" s="23"/>
      <c r="K60" s="24"/>
      <c r="L60" s="15"/>
    </row>
    <row r="61" spans="1:12" ht="15" customHeight="1" x14ac:dyDescent="0.25">
      <c r="A61" s="31"/>
      <c r="B61" s="47"/>
      <c r="C61" s="50"/>
      <c r="D61" s="50"/>
      <c r="E61" s="47"/>
      <c r="F61" s="47"/>
      <c r="G61" s="50"/>
      <c r="H61" s="47"/>
      <c r="I61" s="474"/>
      <c r="J61" s="474"/>
      <c r="K61" s="474"/>
      <c r="L61" s="15"/>
    </row>
    <row r="62" spans="1:12" ht="15" customHeight="1" x14ac:dyDescent="0.25">
      <c r="A62" s="31"/>
      <c r="B62" s="47"/>
      <c r="C62" s="50"/>
      <c r="D62" s="50"/>
      <c r="E62" s="47"/>
      <c r="F62" s="47"/>
      <c r="G62" s="50"/>
      <c r="H62" s="47"/>
      <c r="I62" s="474"/>
      <c r="J62" s="474"/>
      <c r="K62" s="474"/>
      <c r="L62" s="15"/>
    </row>
    <row r="63" spans="1:12" ht="15" customHeight="1" x14ac:dyDescent="0.25">
      <c r="A63" s="31"/>
      <c r="B63" s="74"/>
      <c r="C63" s="49"/>
      <c r="D63" s="49"/>
      <c r="E63" s="47"/>
      <c r="F63" s="47"/>
      <c r="G63" s="50"/>
      <c r="H63" s="74"/>
      <c r="I63" s="474"/>
      <c r="J63" s="474"/>
      <c r="K63" s="474"/>
      <c r="L63" s="15"/>
    </row>
    <row r="64" spans="1:12" ht="15" customHeight="1" x14ac:dyDescent="0.25">
      <c r="B64" s="47"/>
      <c r="C64" s="50"/>
      <c r="D64" s="50"/>
      <c r="E64" s="47"/>
      <c r="F64" s="47"/>
      <c r="G64" s="50"/>
      <c r="H64" s="47"/>
      <c r="I64" s="50"/>
      <c r="J64" s="23"/>
      <c r="K64" s="76"/>
      <c r="L64" s="15"/>
    </row>
    <row r="65" spans="1:12" ht="15" customHeight="1" x14ac:dyDescent="0.25">
      <c r="A65" s="31"/>
      <c r="B65" s="47"/>
      <c r="C65" s="50"/>
      <c r="D65" s="50"/>
      <c r="E65" s="47"/>
      <c r="F65" s="47"/>
      <c r="G65" s="50"/>
      <c r="H65" s="47"/>
      <c r="I65" s="50"/>
      <c r="J65" s="23"/>
      <c r="K65" s="76"/>
      <c r="L65" s="15"/>
    </row>
    <row r="66" spans="1:12" ht="15" customHeight="1" x14ac:dyDescent="0.25">
      <c r="A66" s="31"/>
      <c r="B66" s="47"/>
      <c r="C66" s="50"/>
      <c r="D66" s="50"/>
      <c r="E66" s="47"/>
      <c r="F66" s="47"/>
      <c r="G66" s="50"/>
      <c r="H66" s="47"/>
      <c r="I66" s="50"/>
      <c r="J66" s="23"/>
      <c r="K66" s="76"/>
      <c r="L66" s="15"/>
    </row>
    <row r="67" spans="1:12" ht="15" customHeight="1" x14ac:dyDescent="0.25">
      <c r="A67" s="31"/>
      <c r="B67" s="74"/>
      <c r="C67" s="49"/>
      <c r="D67" s="49"/>
      <c r="E67" s="74"/>
      <c r="F67" s="74"/>
      <c r="G67" s="49"/>
      <c r="H67" s="74"/>
      <c r="I67" s="473"/>
      <c r="J67" s="473"/>
      <c r="K67" s="473"/>
      <c r="L67" s="15"/>
    </row>
    <row r="68" spans="1:12" ht="15" customHeight="1" x14ac:dyDescent="0.25">
      <c r="B68" s="47"/>
      <c r="C68" s="50"/>
      <c r="D68" s="50"/>
      <c r="E68" s="47"/>
      <c r="F68" s="47"/>
      <c r="G68" s="50"/>
      <c r="H68" s="47"/>
      <c r="I68" s="50"/>
      <c r="J68" s="23"/>
      <c r="K68" s="24"/>
      <c r="L68" s="15"/>
    </row>
    <row r="69" spans="1:12" ht="15" customHeight="1" x14ac:dyDescent="0.25">
      <c r="A69" s="31"/>
      <c r="B69" s="47"/>
      <c r="C69" s="50"/>
      <c r="D69" s="50"/>
      <c r="E69" s="47"/>
      <c r="F69" s="47"/>
      <c r="G69" s="50"/>
      <c r="H69" s="47"/>
      <c r="I69" s="50"/>
      <c r="J69" s="23"/>
      <c r="K69" s="24"/>
      <c r="L69" s="15"/>
    </row>
    <row r="70" spans="1:12" ht="15" customHeight="1" x14ac:dyDescent="0.25">
      <c r="A70" s="31"/>
      <c r="B70" s="47"/>
      <c r="C70" s="50"/>
      <c r="D70" s="50"/>
      <c r="E70" s="47"/>
      <c r="F70" s="47"/>
      <c r="G70" s="50"/>
      <c r="H70" s="47"/>
      <c r="I70" s="50"/>
      <c r="J70" s="23"/>
      <c r="K70" s="24"/>
      <c r="L70" s="15"/>
    </row>
    <row r="71" spans="1:12" ht="15" customHeight="1" x14ac:dyDescent="0.25">
      <c r="A71" s="31"/>
      <c r="B71" s="74"/>
      <c r="C71" s="49"/>
      <c r="D71" s="49"/>
      <c r="E71" s="47"/>
      <c r="F71" s="47"/>
      <c r="G71" s="50"/>
      <c r="H71" s="74"/>
      <c r="I71" s="49"/>
      <c r="J71" s="75"/>
      <c r="K71" s="76"/>
      <c r="L71" s="15"/>
    </row>
    <row r="72" spans="1:12" ht="15" customHeight="1" x14ac:dyDescent="0.25">
      <c r="B72" s="47"/>
      <c r="C72" s="50"/>
      <c r="D72" s="50"/>
      <c r="E72" s="47"/>
      <c r="F72" s="47"/>
      <c r="G72" s="50"/>
      <c r="H72" s="47"/>
      <c r="I72" s="50"/>
      <c r="J72" s="23"/>
      <c r="K72" s="24"/>
      <c r="L72" s="15"/>
    </row>
    <row r="73" spans="1:12" ht="15" customHeight="1" x14ac:dyDescent="0.25">
      <c r="A73" s="31"/>
      <c r="B73" s="47"/>
      <c r="C73" s="50"/>
      <c r="D73" s="50"/>
      <c r="E73" s="47"/>
      <c r="F73" s="47"/>
      <c r="G73" s="50"/>
      <c r="H73" s="47"/>
      <c r="I73" s="50"/>
      <c r="J73" s="23"/>
      <c r="K73" s="24"/>
      <c r="L73" s="15"/>
    </row>
    <row r="74" spans="1:12" ht="15" customHeight="1" x14ac:dyDescent="0.25">
      <c r="A74" s="31"/>
      <c r="B74" s="47"/>
      <c r="C74" s="50"/>
      <c r="D74" s="50"/>
      <c r="E74" s="47"/>
      <c r="F74" s="47"/>
      <c r="G74" s="50"/>
      <c r="H74" s="47"/>
      <c r="I74" s="50"/>
      <c r="J74" s="23"/>
      <c r="K74" s="24"/>
      <c r="L74" s="15"/>
    </row>
    <row r="75" spans="1:12" ht="15" customHeight="1" x14ac:dyDescent="0.25">
      <c r="A75" s="31"/>
      <c r="B75" s="74"/>
      <c r="C75" s="49"/>
      <c r="D75" s="49"/>
      <c r="E75" s="47"/>
      <c r="F75" s="47"/>
      <c r="G75" s="50"/>
      <c r="H75" s="74"/>
      <c r="I75" s="49"/>
      <c r="J75" s="75"/>
      <c r="K75" s="76"/>
      <c r="L75" s="15"/>
    </row>
    <row r="76" spans="1:12" ht="15" customHeight="1" x14ac:dyDescent="0.25">
      <c r="B76" s="47"/>
      <c r="C76" s="73"/>
      <c r="D76" s="50"/>
      <c r="E76" s="47"/>
      <c r="F76" s="47"/>
      <c r="G76" s="50"/>
      <c r="H76" s="47"/>
      <c r="I76" s="50"/>
      <c r="J76" s="75"/>
      <c r="K76" s="76"/>
      <c r="L76" s="15"/>
    </row>
    <row r="77" spans="1:12" ht="15" customHeight="1" x14ac:dyDescent="0.25">
      <c r="A77" s="31"/>
      <c r="B77" s="47"/>
      <c r="C77" s="50"/>
      <c r="D77" s="50"/>
      <c r="E77" s="47"/>
      <c r="F77" s="47"/>
      <c r="G77" s="50"/>
      <c r="H77" s="47"/>
      <c r="I77" s="50"/>
      <c r="J77" s="23"/>
      <c r="K77" s="24"/>
      <c r="L77" s="15"/>
    </row>
    <row r="78" spans="1:12" ht="15" customHeight="1" x14ac:dyDescent="0.25">
      <c r="A78" s="31"/>
      <c r="B78" s="47"/>
      <c r="C78" s="50"/>
      <c r="D78" s="50"/>
      <c r="E78" s="47"/>
      <c r="F78" s="47"/>
      <c r="G78" s="50"/>
      <c r="H78" s="47"/>
      <c r="I78" s="50"/>
      <c r="J78" s="23"/>
      <c r="K78" s="24"/>
      <c r="L78" s="15"/>
    </row>
    <row r="79" spans="1:12" ht="15" customHeight="1" x14ac:dyDescent="0.25">
      <c r="A79" s="31"/>
      <c r="B79" s="74"/>
      <c r="C79" s="49"/>
      <c r="D79" s="49"/>
      <c r="E79" s="74"/>
      <c r="F79" s="74"/>
      <c r="G79" s="49"/>
      <c r="H79" s="74"/>
      <c r="I79" s="49"/>
      <c r="J79" s="75"/>
      <c r="K79" s="76"/>
      <c r="L79" s="15"/>
    </row>
    <row r="80" spans="1:12" ht="15" customHeight="1" x14ac:dyDescent="0.25">
      <c r="B80" s="47"/>
      <c r="C80" s="50"/>
      <c r="D80" s="50"/>
      <c r="E80" s="47"/>
      <c r="F80" s="47"/>
      <c r="G80" s="50"/>
      <c r="H80" s="47"/>
      <c r="I80" s="50"/>
      <c r="J80" s="23"/>
      <c r="K80" s="24"/>
      <c r="L80" s="15"/>
    </row>
    <row r="81" spans="1:12" ht="15" customHeight="1" x14ac:dyDescent="0.25">
      <c r="A81" s="31"/>
      <c r="B81" s="47"/>
      <c r="C81" s="73"/>
      <c r="D81" s="50"/>
      <c r="E81" s="47"/>
      <c r="F81" s="47"/>
      <c r="G81" s="50"/>
      <c r="H81" s="47"/>
      <c r="I81" s="50"/>
      <c r="J81" s="23"/>
      <c r="K81" s="24"/>
      <c r="L81" s="15"/>
    </row>
    <row r="82" spans="1:12" ht="15" customHeight="1" x14ac:dyDescent="0.25">
      <c r="A82" s="31"/>
      <c r="B82" s="47"/>
      <c r="C82" s="73"/>
      <c r="D82" s="50"/>
      <c r="E82" s="47"/>
      <c r="F82" s="47"/>
      <c r="G82" s="50"/>
      <c r="H82" s="47"/>
      <c r="I82" s="50"/>
      <c r="J82" s="23"/>
      <c r="K82" s="24"/>
      <c r="L82" s="15"/>
    </row>
    <row r="83" spans="1:12" ht="15" customHeight="1" x14ac:dyDescent="0.25">
      <c r="A83" s="31"/>
      <c r="B83" s="74"/>
      <c r="C83" s="49"/>
      <c r="D83" s="49"/>
      <c r="E83" s="74"/>
      <c r="F83" s="74"/>
      <c r="G83" s="49"/>
      <c r="H83" s="74"/>
      <c r="I83" s="49"/>
      <c r="J83" s="75"/>
      <c r="K83" s="76"/>
      <c r="L83" s="15"/>
    </row>
    <row r="84" spans="1:12" ht="15" customHeight="1" x14ac:dyDescent="0.25">
      <c r="B84" s="47"/>
      <c r="C84" s="50"/>
      <c r="D84" s="50"/>
      <c r="E84" s="47"/>
      <c r="F84" s="47"/>
      <c r="G84" s="50"/>
      <c r="H84" s="47"/>
      <c r="I84" s="50"/>
      <c r="J84" s="23"/>
      <c r="K84" s="24"/>
      <c r="L84" s="15"/>
    </row>
    <row r="85" spans="1:12" ht="15" customHeight="1" x14ac:dyDescent="0.25">
      <c r="A85" s="31"/>
      <c r="B85" s="47"/>
      <c r="C85" s="50"/>
      <c r="D85" s="50"/>
      <c r="E85" s="47"/>
      <c r="F85" s="47"/>
      <c r="G85" s="50"/>
      <c r="H85" s="47"/>
      <c r="I85" s="50"/>
      <c r="J85" s="23"/>
      <c r="K85" s="24"/>
      <c r="L85" s="15"/>
    </row>
    <row r="86" spans="1:12" ht="15" customHeight="1" x14ac:dyDescent="0.25">
      <c r="A86" s="31"/>
      <c r="B86" s="47"/>
      <c r="C86" s="50"/>
      <c r="D86" s="50"/>
      <c r="E86" s="47"/>
      <c r="F86" s="47"/>
      <c r="G86" s="50"/>
      <c r="H86" s="47"/>
      <c r="I86" s="50"/>
      <c r="J86" s="23"/>
      <c r="K86" s="24"/>
      <c r="L86" s="15"/>
    </row>
    <row r="87" spans="1:12" ht="15" customHeight="1" x14ac:dyDescent="0.25">
      <c r="A87" s="31"/>
      <c r="B87" s="74"/>
      <c r="C87" s="49"/>
      <c r="D87" s="49"/>
      <c r="E87" s="74"/>
      <c r="F87" s="74"/>
      <c r="G87" s="49"/>
      <c r="H87" s="74"/>
      <c r="I87" s="49"/>
      <c r="J87" s="75"/>
      <c r="K87" s="76"/>
      <c r="L87" s="15"/>
    </row>
    <row r="88" spans="1:12" ht="15" customHeight="1" x14ac:dyDescent="0.25">
      <c r="B88" s="47"/>
      <c r="C88" s="50"/>
      <c r="D88" s="50"/>
      <c r="E88" s="47"/>
      <c r="F88" s="47"/>
      <c r="G88" s="50"/>
      <c r="H88" s="47"/>
      <c r="I88" s="50"/>
      <c r="J88" s="47"/>
      <c r="K88" s="50"/>
      <c r="L88" s="15"/>
    </row>
    <row r="89" spans="1:12" ht="15" customHeight="1" x14ac:dyDescent="0.25">
      <c r="A89" s="31"/>
      <c r="B89" s="47"/>
      <c r="C89" s="50"/>
      <c r="D89" s="50"/>
      <c r="E89" s="47"/>
      <c r="F89" s="47"/>
      <c r="G89" s="50"/>
      <c r="H89" s="47"/>
      <c r="I89" s="50"/>
      <c r="J89" s="47"/>
      <c r="K89" s="50"/>
      <c r="L89" s="15"/>
    </row>
    <row r="90" spans="1:12" ht="15" customHeight="1" x14ac:dyDescent="0.25">
      <c r="A90" s="31"/>
      <c r="B90" s="47"/>
      <c r="C90" s="50"/>
      <c r="D90" s="50"/>
      <c r="E90" s="47"/>
      <c r="F90" s="47"/>
      <c r="G90" s="50"/>
      <c r="H90" s="47"/>
      <c r="I90" s="50"/>
      <c r="J90" s="47"/>
      <c r="K90" s="50"/>
      <c r="L90" s="15"/>
    </row>
    <row r="91" spans="1:12" ht="15" customHeight="1" x14ac:dyDescent="0.25">
      <c r="A91" s="31"/>
      <c r="B91" s="74"/>
      <c r="C91" s="49"/>
      <c r="D91" s="49"/>
      <c r="E91" s="47"/>
      <c r="F91" s="47"/>
      <c r="G91" s="50"/>
      <c r="H91" s="74"/>
      <c r="I91" s="49"/>
      <c r="J91" s="74"/>
      <c r="K91" s="49"/>
      <c r="L91" s="15"/>
    </row>
    <row r="92" spans="1:12" ht="15" customHeight="1" x14ac:dyDescent="0.25">
      <c r="A92" s="34"/>
      <c r="B92" s="74"/>
      <c r="C92" s="49"/>
      <c r="D92" s="49"/>
      <c r="E92" s="47"/>
      <c r="F92" s="47"/>
      <c r="G92" s="50"/>
      <c r="H92" s="47"/>
      <c r="I92" s="50"/>
      <c r="J92" s="47"/>
      <c r="K92" s="50"/>
      <c r="L92" s="15"/>
    </row>
    <row r="93" spans="1:12" ht="15" customHeight="1" x14ac:dyDescent="0.25">
      <c r="A93" s="31"/>
      <c r="B93" s="47"/>
      <c r="C93" s="50"/>
      <c r="D93" s="50"/>
      <c r="E93" s="47"/>
      <c r="F93" s="47"/>
      <c r="G93" s="50"/>
      <c r="H93" s="47"/>
      <c r="I93" s="50"/>
      <c r="J93" s="47"/>
      <c r="K93" s="50"/>
      <c r="L93" s="15"/>
    </row>
    <row r="94" spans="1:12" ht="15" customHeight="1" x14ac:dyDescent="0.25">
      <c r="A94" s="31"/>
      <c r="B94" s="47"/>
      <c r="C94" s="50"/>
      <c r="D94" s="50"/>
      <c r="E94" s="47"/>
      <c r="F94" s="47"/>
      <c r="G94" s="50"/>
      <c r="H94" s="47"/>
      <c r="I94" s="50"/>
      <c r="J94" s="47"/>
      <c r="K94" s="50"/>
      <c r="L94" s="15"/>
    </row>
    <row r="95" spans="1:12" ht="15" customHeight="1" x14ac:dyDescent="0.25">
      <c r="A95" s="31"/>
      <c r="B95" s="74"/>
      <c r="C95" s="49"/>
      <c r="D95" s="49"/>
      <c r="E95" s="47"/>
      <c r="F95" s="47"/>
      <c r="G95" s="50"/>
      <c r="H95" s="74"/>
      <c r="I95" s="49"/>
      <c r="J95" s="74"/>
      <c r="K95" s="49"/>
      <c r="L95" s="15"/>
    </row>
    <row r="96" spans="1:12" ht="15" customHeight="1" x14ac:dyDescent="0.25">
      <c r="B96" s="47"/>
      <c r="C96" s="50"/>
      <c r="D96" s="50"/>
      <c r="E96" s="47"/>
      <c r="F96" s="47"/>
      <c r="G96" s="50"/>
      <c r="H96" s="47"/>
      <c r="I96" s="50"/>
      <c r="J96" s="47"/>
      <c r="K96" s="50"/>
      <c r="L96" s="15"/>
    </row>
    <row r="97" spans="1:12" ht="15" customHeight="1" x14ac:dyDescent="0.25">
      <c r="B97" s="47"/>
      <c r="C97" s="50"/>
      <c r="D97" s="50"/>
      <c r="E97" s="47"/>
      <c r="F97" s="47"/>
      <c r="G97" s="50"/>
      <c r="H97" s="47"/>
      <c r="I97" s="50"/>
      <c r="J97" s="47"/>
      <c r="K97" s="50"/>
      <c r="L97" s="15"/>
    </row>
    <row r="98" spans="1:12" ht="15" customHeight="1" x14ac:dyDescent="0.25">
      <c r="B98" s="47"/>
      <c r="C98" s="50"/>
      <c r="D98" s="50"/>
      <c r="E98" s="47"/>
      <c r="F98" s="47"/>
      <c r="G98" s="50"/>
      <c r="H98" s="47"/>
      <c r="I98" s="50"/>
      <c r="J98" s="47"/>
      <c r="K98" s="50"/>
      <c r="L98" s="15"/>
    </row>
    <row r="99" spans="1:12" ht="15" customHeight="1" x14ac:dyDescent="0.25">
      <c r="B99" s="74"/>
      <c r="C99" s="49"/>
      <c r="D99" s="49"/>
      <c r="E99" s="47"/>
      <c r="F99" s="47"/>
      <c r="G99" s="50"/>
      <c r="H99" s="74"/>
      <c r="I99" s="49"/>
      <c r="J99" s="74"/>
      <c r="K99" s="49"/>
      <c r="L99" s="15"/>
    </row>
    <row r="100" spans="1:12" ht="15" customHeight="1" x14ac:dyDescent="0.25">
      <c r="B100" s="47"/>
      <c r="C100" s="48"/>
      <c r="D100" s="50"/>
      <c r="E100" s="47"/>
      <c r="F100" s="47"/>
      <c r="G100" s="50"/>
      <c r="H100" s="47"/>
      <c r="I100" s="50"/>
      <c r="J100" s="47"/>
      <c r="K100" s="50"/>
      <c r="L100" s="15"/>
    </row>
    <row r="101" spans="1:12" ht="15" customHeight="1" x14ac:dyDescent="0.25">
      <c r="A101" s="32"/>
      <c r="B101" s="77"/>
      <c r="C101" s="77"/>
      <c r="D101" s="77"/>
      <c r="E101" s="47"/>
      <c r="F101" s="47"/>
      <c r="G101" s="50"/>
      <c r="H101" s="74"/>
      <c r="I101" s="74"/>
      <c r="J101" s="47"/>
      <c r="K101" s="50"/>
      <c r="L101" s="15"/>
    </row>
    <row r="102" spans="1:12" ht="15" customHeight="1" x14ac:dyDescent="0.25">
      <c r="B102" s="47"/>
      <c r="C102" s="48"/>
      <c r="D102" s="50"/>
      <c r="E102" s="47"/>
      <c r="F102" s="47"/>
      <c r="G102" s="50"/>
      <c r="H102" s="47"/>
      <c r="I102" s="50"/>
      <c r="J102" s="47"/>
      <c r="K102" s="50"/>
      <c r="L102" s="15"/>
    </row>
    <row r="103" spans="1:12" ht="15" customHeight="1" x14ac:dyDescent="0.25">
      <c r="B103" s="47"/>
      <c r="C103" s="48"/>
      <c r="D103" s="50"/>
      <c r="E103" s="47"/>
      <c r="F103" s="47"/>
      <c r="G103" s="50"/>
      <c r="H103" s="47"/>
      <c r="I103" s="50"/>
      <c r="J103" s="47"/>
      <c r="K103" s="50"/>
      <c r="L103" s="15"/>
    </row>
    <row r="104" spans="1:12" ht="15" customHeight="1" x14ac:dyDescent="0.25">
      <c r="B104" s="47"/>
      <c r="C104" s="48"/>
      <c r="D104" s="50"/>
      <c r="E104" s="47"/>
      <c r="F104" s="47"/>
      <c r="G104" s="50"/>
      <c r="H104" s="47"/>
      <c r="I104" s="50"/>
      <c r="J104" s="47"/>
      <c r="K104" s="50"/>
      <c r="L104" s="15"/>
    </row>
    <row r="105" spans="1:12" ht="15" customHeight="1" x14ac:dyDescent="0.25">
      <c r="B105" s="47"/>
      <c r="C105" s="48"/>
      <c r="D105" s="50"/>
      <c r="E105" s="47"/>
      <c r="F105" s="47"/>
      <c r="G105" s="50"/>
      <c r="H105" s="47"/>
      <c r="I105" s="50"/>
      <c r="J105" s="47"/>
      <c r="K105" s="50"/>
      <c r="L105" s="15"/>
    </row>
    <row r="106" spans="1:12" ht="15" customHeight="1" x14ac:dyDescent="0.25">
      <c r="B106" s="47"/>
      <c r="C106" s="48"/>
      <c r="D106" s="50"/>
      <c r="E106" s="47"/>
      <c r="F106" s="47"/>
      <c r="G106" s="50"/>
      <c r="H106" s="47"/>
      <c r="I106" s="50"/>
      <c r="J106" s="47"/>
      <c r="K106" s="50"/>
      <c r="L106" s="1"/>
    </row>
    <row r="107" spans="1:12" ht="15" customHeight="1" x14ac:dyDescent="0.25">
      <c r="B107" s="47"/>
      <c r="C107" s="48"/>
      <c r="D107" s="50"/>
      <c r="E107" s="47"/>
      <c r="F107" s="47"/>
      <c r="G107" s="50"/>
      <c r="H107" s="47"/>
      <c r="I107" s="50"/>
      <c r="J107" s="50"/>
      <c r="K107" s="50"/>
      <c r="L107" s="1"/>
    </row>
    <row r="108" spans="1:12" ht="15" customHeight="1" x14ac:dyDescent="0.25">
      <c r="B108" s="78"/>
      <c r="C108" s="79"/>
      <c r="D108" s="80"/>
      <c r="E108" s="78"/>
      <c r="F108" s="78"/>
      <c r="G108" s="80"/>
      <c r="H108" s="78"/>
      <c r="I108" s="80"/>
      <c r="J108" s="80"/>
      <c r="K108" s="80"/>
      <c r="L108" s="1"/>
    </row>
    <row r="109" spans="1:12" ht="15" customHeight="1" x14ac:dyDescent="0.25">
      <c r="B109" s="78"/>
      <c r="C109" s="79"/>
      <c r="D109" s="80"/>
      <c r="E109" s="78"/>
      <c r="F109" s="78"/>
      <c r="G109" s="80"/>
      <c r="H109" s="78"/>
      <c r="I109" s="80"/>
      <c r="J109" s="80"/>
      <c r="K109" s="80"/>
      <c r="L109" s="1"/>
    </row>
    <row r="110" spans="1:12" ht="15" customHeight="1" x14ac:dyDescent="0.25">
      <c r="B110" s="78"/>
      <c r="C110" s="79"/>
      <c r="D110" s="80"/>
      <c r="E110" s="78"/>
      <c r="F110" s="78"/>
      <c r="G110" s="80"/>
      <c r="H110" s="78"/>
      <c r="I110" s="80"/>
      <c r="J110" s="80"/>
      <c r="K110" s="80"/>
      <c r="L110" s="1"/>
    </row>
    <row r="111" spans="1:12" ht="15" customHeight="1" x14ac:dyDescent="0.25">
      <c r="B111" s="78"/>
      <c r="C111" s="79"/>
      <c r="D111" s="80"/>
      <c r="E111" s="78"/>
      <c r="F111" s="78"/>
      <c r="G111" s="80"/>
      <c r="H111" s="78"/>
      <c r="I111" s="80"/>
      <c r="J111" s="80"/>
      <c r="K111" s="80"/>
      <c r="L111" s="1"/>
    </row>
    <row r="112" spans="1:12" ht="15" customHeight="1" x14ac:dyDescent="0.25">
      <c r="B112" s="78"/>
      <c r="C112" s="79"/>
      <c r="D112" s="80"/>
      <c r="E112" s="78"/>
      <c r="F112" s="78"/>
      <c r="G112" s="80"/>
      <c r="H112" s="78"/>
      <c r="I112" s="80"/>
      <c r="J112" s="80"/>
      <c r="K112" s="80"/>
      <c r="L112" s="1"/>
    </row>
    <row r="113" spans="2:12" ht="15" customHeight="1" x14ac:dyDescent="0.25">
      <c r="B113" s="78"/>
      <c r="C113" s="79"/>
      <c r="D113" s="80"/>
      <c r="E113" s="78"/>
      <c r="F113" s="78"/>
      <c r="G113" s="80"/>
      <c r="H113" s="78"/>
      <c r="I113" s="80"/>
      <c r="J113" s="80"/>
      <c r="K113" s="80"/>
      <c r="L113" s="1"/>
    </row>
    <row r="114" spans="2:12" ht="15" customHeight="1" x14ac:dyDescent="0.25">
      <c r="B114" s="78"/>
      <c r="C114" s="79"/>
      <c r="D114" s="80"/>
      <c r="E114" s="78"/>
      <c r="F114" s="78"/>
      <c r="G114" s="80"/>
      <c r="H114" s="78"/>
      <c r="I114" s="80"/>
      <c r="J114" s="80"/>
      <c r="K114" s="80"/>
      <c r="L114" s="1"/>
    </row>
    <row r="115" spans="2:12" ht="15" customHeight="1" x14ac:dyDescent="0.25">
      <c r="B115" s="78"/>
      <c r="C115" s="79"/>
      <c r="D115" s="80"/>
      <c r="E115" s="78"/>
      <c r="F115" s="78"/>
      <c r="G115" s="80"/>
      <c r="H115" s="78"/>
      <c r="I115" s="80"/>
      <c r="J115" s="80"/>
      <c r="K115" s="80"/>
      <c r="L115" s="1"/>
    </row>
    <row r="116" spans="2:12" ht="15" customHeight="1" x14ac:dyDescent="0.25">
      <c r="B116" s="78"/>
      <c r="C116" s="79"/>
      <c r="D116" s="78"/>
      <c r="E116" s="78"/>
      <c r="F116" s="78"/>
      <c r="G116" s="78"/>
      <c r="H116" s="78"/>
      <c r="I116" s="78"/>
      <c r="J116" s="78"/>
      <c r="K116" s="78"/>
      <c r="L116" s="1"/>
    </row>
    <row r="117" spans="2:12" ht="15" customHeight="1" x14ac:dyDescent="0.25">
      <c r="B117" s="78"/>
      <c r="C117" s="79"/>
      <c r="D117" s="78"/>
      <c r="E117" s="78"/>
      <c r="F117" s="78"/>
      <c r="G117" s="78"/>
      <c r="H117" s="78"/>
      <c r="I117" s="78"/>
      <c r="J117" s="78"/>
      <c r="K117" s="78"/>
      <c r="L117" s="1"/>
    </row>
    <row r="118" spans="2:12" ht="15" customHeight="1" x14ac:dyDescent="0.25">
      <c r="B118" s="78"/>
      <c r="C118" s="79"/>
      <c r="D118" s="78"/>
      <c r="E118" s="78"/>
      <c r="F118" s="78"/>
      <c r="G118" s="78"/>
      <c r="H118" s="78"/>
      <c r="I118" s="78"/>
      <c r="J118" s="78"/>
      <c r="K118" s="78"/>
      <c r="L118" s="1"/>
    </row>
    <row r="119" spans="2:12" ht="15" customHeight="1" x14ac:dyDescent="0.25">
      <c r="B119" s="78"/>
      <c r="C119" s="79"/>
      <c r="D119" s="78"/>
      <c r="E119" s="78"/>
      <c r="F119" s="78"/>
      <c r="G119" s="78"/>
      <c r="H119" s="78"/>
      <c r="I119" s="78"/>
      <c r="J119" s="78"/>
      <c r="K119" s="78"/>
      <c r="L119" s="1"/>
    </row>
    <row r="120" spans="2:12" ht="15" customHeight="1" x14ac:dyDescent="0.25">
      <c r="B120" s="78"/>
      <c r="C120" s="79"/>
      <c r="D120" s="78"/>
      <c r="E120" s="78"/>
      <c r="F120" s="78"/>
      <c r="G120" s="78"/>
      <c r="H120" s="78"/>
      <c r="I120" s="78"/>
      <c r="J120" s="78"/>
      <c r="K120" s="78"/>
      <c r="L120" s="1"/>
    </row>
    <row r="121" spans="2:12" ht="15" customHeight="1" x14ac:dyDescent="0.25">
      <c r="B121" s="78"/>
      <c r="C121" s="79"/>
      <c r="D121" s="78"/>
      <c r="E121" s="78"/>
      <c r="F121" s="78"/>
      <c r="G121" s="78"/>
      <c r="H121" s="78"/>
      <c r="I121" s="78"/>
      <c r="J121" s="78"/>
      <c r="K121" s="78"/>
      <c r="L121" s="1"/>
    </row>
    <row r="122" spans="2:12" ht="15" customHeight="1" x14ac:dyDescent="0.25">
      <c r="B122" s="78"/>
      <c r="C122" s="79"/>
      <c r="D122" s="78"/>
      <c r="E122" s="78"/>
      <c r="F122" s="78"/>
      <c r="G122" s="78"/>
      <c r="H122" s="78"/>
      <c r="I122" s="78"/>
      <c r="J122" s="78"/>
      <c r="K122" s="78"/>
      <c r="L122" s="1"/>
    </row>
    <row r="123" spans="2:12" ht="15" customHeight="1" x14ac:dyDescent="0.25">
      <c r="B123" s="78"/>
      <c r="C123" s="79"/>
      <c r="D123" s="78"/>
      <c r="E123" s="78"/>
      <c r="F123" s="78"/>
      <c r="G123" s="78"/>
      <c r="H123" s="78"/>
      <c r="I123" s="78"/>
      <c r="J123" s="78"/>
      <c r="K123" s="78"/>
      <c r="L123" s="1"/>
    </row>
    <row r="124" spans="2:12" ht="15" customHeight="1" x14ac:dyDescent="0.25">
      <c r="B124" s="78"/>
      <c r="C124" s="79"/>
      <c r="D124" s="78"/>
      <c r="E124" s="78"/>
      <c r="F124" s="78"/>
      <c r="G124" s="78"/>
      <c r="H124" s="78"/>
      <c r="I124" s="78"/>
      <c r="J124" s="78"/>
      <c r="K124" s="78"/>
      <c r="L124" s="1"/>
    </row>
    <row r="125" spans="2:12" ht="15" customHeight="1" x14ac:dyDescent="0.25">
      <c r="B125" s="78"/>
      <c r="C125" s="79"/>
      <c r="D125" s="78"/>
      <c r="E125" s="78"/>
      <c r="F125" s="78"/>
      <c r="G125" s="78"/>
      <c r="H125" s="78"/>
      <c r="I125" s="78"/>
      <c r="J125" s="78"/>
      <c r="K125" s="78"/>
      <c r="L125" s="1"/>
    </row>
    <row r="126" spans="2:12" ht="15" customHeight="1" x14ac:dyDescent="0.25">
      <c r="B126" s="78"/>
      <c r="C126" s="79"/>
      <c r="D126" s="78"/>
      <c r="E126" s="78"/>
      <c r="F126" s="78"/>
      <c r="G126" s="78"/>
      <c r="H126" s="78"/>
      <c r="I126" s="78"/>
      <c r="J126" s="78"/>
      <c r="K126" s="78"/>
      <c r="L126" s="1"/>
    </row>
    <row r="127" spans="2:12" ht="15" customHeight="1" x14ac:dyDescent="0.25">
      <c r="B127" s="78"/>
      <c r="C127" s="79"/>
      <c r="D127" s="78"/>
      <c r="E127" s="78"/>
      <c r="F127" s="78"/>
      <c r="G127" s="78"/>
      <c r="H127" s="78"/>
      <c r="I127" s="78"/>
      <c r="J127" s="78"/>
      <c r="K127" s="78"/>
      <c r="L127" s="1"/>
    </row>
    <row r="128" spans="2:12" ht="15" customHeight="1" x14ac:dyDescent="0.25">
      <c r="B128" s="78"/>
      <c r="C128" s="79"/>
      <c r="D128" s="78"/>
      <c r="E128" s="78"/>
      <c r="F128" s="78"/>
      <c r="G128" s="78"/>
      <c r="H128" s="78"/>
      <c r="I128" s="78"/>
      <c r="J128" s="78"/>
      <c r="K128" s="78"/>
      <c r="L128" s="1"/>
    </row>
    <row r="129" spans="2:12" ht="15" customHeight="1" x14ac:dyDescent="0.25">
      <c r="B129" s="78"/>
      <c r="C129" s="79"/>
      <c r="D129" s="78"/>
      <c r="E129" s="78"/>
      <c r="F129" s="78"/>
      <c r="G129" s="78"/>
      <c r="H129" s="78"/>
      <c r="I129" s="78"/>
      <c r="J129" s="78"/>
      <c r="K129" s="78"/>
      <c r="L129" s="1"/>
    </row>
    <row r="130" spans="2:12" ht="15" customHeight="1" x14ac:dyDescent="0.25">
      <c r="C130" s="81"/>
      <c r="H130" s="64"/>
    </row>
    <row r="131" spans="2:12" ht="15" customHeight="1" x14ac:dyDescent="0.25">
      <c r="C131" s="81"/>
      <c r="H131" s="64"/>
    </row>
    <row r="132" spans="2:12" ht="15" customHeight="1" x14ac:dyDescent="0.25">
      <c r="C132" s="81"/>
      <c r="H132" s="64"/>
    </row>
    <row r="133" spans="2:12" ht="15" customHeight="1" x14ac:dyDescent="0.25">
      <c r="C133" s="81"/>
      <c r="H133" s="64"/>
    </row>
    <row r="134" spans="2:12" ht="15" customHeight="1" x14ac:dyDescent="0.25">
      <c r="C134" s="81"/>
      <c r="H134" s="64"/>
    </row>
    <row r="135" spans="2:12" ht="15" customHeight="1" x14ac:dyDescent="0.25">
      <c r="C135" s="81"/>
      <c r="H135" s="64"/>
    </row>
    <row r="136" spans="2:12" ht="15" customHeight="1" x14ac:dyDescent="0.25">
      <c r="C136" s="81"/>
      <c r="H136" s="64"/>
    </row>
    <row r="137" spans="2:12" ht="15" customHeight="1" x14ac:dyDescent="0.25">
      <c r="C137" s="81"/>
    </row>
    <row r="138" spans="2:12" ht="15" customHeight="1" x14ac:dyDescent="0.25">
      <c r="C138" s="81"/>
    </row>
    <row r="139" spans="2:12" ht="15" customHeight="1" x14ac:dyDescent="0.25">
      <c r="C139" s="81"/>
    </row>
    <row r="140" spans="2:12" ht="15" customHeight="1" x14ac:dyDescent="0.25">
      <c r="C140" s="81"/>
    </row>
    <row r="141" spans="2:12" ht="15" customHeight="1" x14ac:dyDescent="0.25">
      <c r="C141" s="81"/>
    </row>
    <row r="142" spans="2:12" ht="15" customHeight="1" x14ac:dyDescent="0.25">
      <c r="C142" s="81"/>
    </row>
    <row r="143" spans="2:12" ht="15" customHeight="1" x14ac:dyDescent="0.25">
      <c r="C143" s="81"/>
    </row>
    <row r="144" spans="2:12" ht="15" customHeight="1" x14ac:dyDescent="0.25">
      <c r="C144" s="81"/>
    </row>
    <row r="145" spans="3:3" ht="15" customHeight="1" x14ac:dyDescent="0.25">
      <c r="C145" s="81"/>
    </row>
    <row r="146" spans="3:3" ht="15" customHeight="1" x14ac:dyDescent="0.25">
      <c r="C146" s="81"/>
    </row>
    <row r="147" spans="3:3" ht="15" customHeight="1" x14ac:dyDescent="0.25">
      <c r="C147" s="81"/>
    </row>
    <row r="148" spans="3:3" ht="15" customHeight="1" x14ac:dyDescent="0.25">
      <c r="C148" s="81"/>
    </row>
    <row r="149" spans="3:3" ht="15" customHeight="1" x14ac:dyDescent="0.25">
      <c r="C149" s="81"/>
    </row>
    <row r="150" spans="3:3" ht="15" customHeight="1" x14ac:dyDescent="0.25">
      <c r="C150" s="81"/>
    </row>
    <row r="151" spans="3:3" ht="15" customHeight="1" x14ac:dyDescent="0.25">
      <c r="C151" s="81"/>
    </row>
    <row r="152" spans="3:3" ht="15" customHeight="1" x14ac:dyDescent="0.25">
      <c r="C152" s="81"/>
    </row>
    <row r="153" spans="3:3" ht="15" customHeight="1" x14ac:dyDescent="0.25">
      <c r="C153" s="81"/>
    </row>
    <row r="154" spans="3:3" ht="15" customHeight="1" x14ac:dyDescent="0.25">
      <c r="C154" s="81"/>
    </row>
    <row r="155" spans="3:3" ht="15" customHeight="1" x14ac:dyDescent="0.25">
      <c r="C155" s="81"/>
    </row>
    <row r="156" spans="3:3" ht="15" customHeight="1" x14ac:dyDescent="0.25">
      <c r="C156" s="81"/>
    </row>
    <row r="157" spans="3:3" ht="15" customHeight="1" x14ac:dyDescent="0.25">
      <c r="C157" s="81"/>
    </row>
    <row r="158" spans="3:3" ht="15" customHeight="1" x14ac:dyDescent="0.25">
      <c r="C158" s="81"/>
    </row>
    <row r="159" spans="3:3" ht="15" customHeight="1" x14ac:dyDescent="0.25">
      <c r="C159" s="73"/>
    </row>
    <row r="160" spans="3:3" ht="15" customHeight="1" x14ac:dyDescent="0.25">
      <c r="C160" s="73"/>
    </row>
    <row r="161" spans="3:3" ht="15" customHeight="1" x14ac:dyDescent="0.25">
      <c r="C161" s="73"/>
    </row>
    <row r="162" spans="3:3" ht="15" customHeight="1" x14ac:dyDescent="0.25">
      <c r="C162" s="73"/>
    </row>
    <row r="163" spans="3:3" ht="15" customHeight="1" x14ac:dyDescent="0.25">
      <c r="C163" s="73"/>
    </row>
    <row r="164" spans="3:3" ht="15" customHeight="1" x14ac:dyDescent="0.25">
      <c r="C164" s="73"/>
    </row>
    <row r="165" spans="3:3" ht="15" customHeight="1" x14ac:dyDescent="0.25">
      <c r="C165" s="73"/>
    </row>
    <row r="166" spans="3:3" ht="15" customHeight="1" x14ac:dyDescent="0.25">
      <c r="C166" s="73"/>
    </row>
    <row r="167" spans="3:3" ht="15" customHeight="1" x14ac:dyDescent="0.25">
      <c r="C167" s="73"/>
    </row>
    <row r="168" spans="3:3" ht="15" customHeight="1" x14ac:dyDescent="0.25">
      <c r="C168" s="73"/>
    </row>
    <row r="169" spans="3:3" ht="15" customHeight="1" x14ac:dyDescent="0.25">
      <c r="C169" s="73"/>
    </row>
    <row r="170" spans="3:3" ht="15" customHeight="1" x14ac:dyDescent="0.25">
      <c r="C170" s="73"/>
    </row>
    <row r="171" spans="3:3" ht="15" customHeight="1" x14ac:dyDescent="0.25">
      <c r="C171" s="73"/>
    </row>
    <row r="172" spans="3:3" ht="15" customHeight="1" x14ac:dyDescent="0.25">
      <c r="C172" s="73"/>
    </row>
    <row r="173" spans="3:3" ht="15" customHeight="1" x14ac:dyDescent="0.25">
      <c r="C173" s="73"/>
    </row>
    <row r="174" spans="3:3" ht="15" customHeight="1" x14ac:dyDescent="0.25">
      <c r="C174" s="73"/>
    </row>
    <row r="175" spans="3:3" ht="15" customHeight="1" x14ac:dyDescent="0.25">
      <c r="C175" s="73"/>
    </row>
    <row r="176" spans="3:3" ht="15" customHeight="1" x14ac:dyDescent="0.25">
      <c r="C176" s="73"/>
    </row>
    <row r="177" spans="3:3" ht="15" customHeight="1" x14ac:dyDescent="0.25">
      <c r="C177" s="73"/>
    </row>
    <row r="178" spans="3:3" ht="15" customHeight="1" x14ac:dyDescent="0.25">
      <c r="C178" s="73"/>
    </row>
    <row r="179" spans="3:3" ht="15" customHeight="1" x14ac:dyDescent="0.25">
      <c r="C179" s="73"/>
    </row>
    <row r="180" spans="3:3" ht="15" customHeight="1" x14ac:dyDescent="0.25">
      <c r="C180" s="73"/>
    </row>
    <row r="181" spans="3:3" ht="15" customHeight="1" x14ac:dyDescent="0.25">
      <c r="C181" s="73"/>
    </row>
    <row r="182" spans="3:3" ht="15" customHeight="1" x14ac:dyDescent="0.25">
      <c r="C182" s="73"/>
    </row>
    <row r="183" spans="3:3" ht="15" customHeight="1" x14ac:dyDescent="0.25">
      <c r="C183" s="73"/>
    </row>
    <row r="184" spans="3:3" ht="15" customHeight="1" x14ac:dyDescent="0.25">
      <c r="C184" s="73"/>
    </row>
    <row r="185" spans="3:3" ht="15" customHeight="1" x14ac:dyDescent="0.25">
      <c r="C185" s="73"/>
    </row>
    <row r="186" spans="3:3" ht="15" customHeight="1" x14ac:dyDescent="0.25">
      <c r="C186" s="73"/>
    </row>
    <row r="187" spans="3:3" ht="15" customHeight="1" x14ac:dyDescent="0.25">
      <c r="C187" s="73"/>
    </row>
    <row r="188" spans="3:3" ht="15" customHeight="1" x14ac:dyDescent="0.25">
      <c r="C188" s="73"/>
    </row>
    <row r="189" spans="3:3" ht="15" customHeight="1" x14ac:dyDescent="0.25">
      <c r="C189" s="73"/>
    </row>
    <row r="190" spans="3:3" ht="15" customHeight="1" x14ac:dyDescent="0.25">
      <c r="C190" s="73"/>
    </row>
    <row r="191" spans="3:3" ht="15" customHeight="1" x14ac:dyDescent="0.25">
      <c r="C191" s="73"/>
    </row>
  </sheetData>
  <mergeCells count="11">
    <mergeCell ref="A6:A7"/>
    <mergeCell ref="B6:D6"/>
    <mergeCell ref="E6:G6"/>
    <mergeCell ref="A4:K4"/>
    <mergeCell ref="H6:I6"/>
    <mergeCell ref="J6:K6"/>
    <mergeCell ref="I61:K61"/>
    <mergeCell ref="I62:K62"/>
    <mergeCell ref="I63:K63"/>
    <mergeCell ref="I67:K67"/>
    <mergeCell ref="A57:D57"/>
  </mergeCells>
  <pageMargins left="0.31496062992125984" right="0.31496062992125984" top="0.55118110236220474" bottom="0.74803149606299213" header="0.31496062992125984" footer="0.31496062992125984"/>
  <pageSetup paperSize="5" scale="95" orientation="landscape" horizontalDpi="4294967293" verticalDpi="36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4"/>
  <sheetViews>
    <sheetView view="pageLayout" topLeftCell="A31" zoomScale="75" zoomScaleNormal="80" zoomScalePageLayoutView="75" workbookViewId="0">
      <selection activeCell="R17" sqref="R17"/>
    </sheetView>
  </sheetViews>
  <sheetFormatPr defaultColWidth="9.140625" defaultRowHeight="14.25" customHeight="1" x14ac:dyDescent="0.2"/>
  <cols>
    <col min="1" max="1" width="15" style="88" customWidth="1"/>
    <col min="2" max="2" width="9.28515625" style="2" customWidth="1"/>
    <col min="3" max="4" width="14.28515625" style="2" customWidth="1"/>
    <col min="5" max="5" width="8.7109375" style="2" customWidth="1"/>
    <col min="6" max="6" width="9.7109375" style="2" customWidth="1"/>
    <col min="7" max="7" width="15.28515625" style="2" customWidth="1"/>
    <col min="8" max="8" width="9.42578125" style="2" customWidth="1"/>
    <col min="9" max="9" width="15.28515625" style="88" customWidth="1"/>
    <col min="10" max="10" width="9.28515625" style="2" customWidth="1"/>
    <col min="11" max="11" width="11.28515625" style="2" customWidth="1"/>
    <col min="12" max="12" width="15.85546875" style="2" customWidth="1"/>
    <col min="13" max="13" width="9.140625" style="2"/>
    <col min="14" max="14" width="15" style="2" customWidth="1"/>
    <col min="15" max="16384" width="9.140625" style="2"/>
  </cols>
  <sheetData>
    <row r="1" spans="1:14" ht="22.5" customHeight="1" x14ac:dyDescent="0.3">
      <c r="A1" s="96" t="s">
        <v>12</v>
      </c>
      <c r="B1" s="97"/>
      <c r="C1" s="97"/>
      <c r="D1" s="97"/>
      <c r="E1" s="97"/>
      <c r="F1" s="97"/>
      <c r="G1" s="97"/>
      <c r="H1" s="97"/>
      <c r="I1" s="98"/>
      <c r="J1" s="97"/>
      <c r="K1" s="97"/>
      <c r="L1" s="97"/>
    </row>
    <row r="2" spans="1:14" ht="22.5" customHeight="1" x14ac:dyDescent="0.3">
      <c r="A2" s="116" t="s">
        <v>91</v>
      </c>
      <c r="B2" s="95"/>
      <c r="C2" s="95"/>
      <c r="D2" s="95"/>
      <c r="E2" s="95"/>
      <c r="F2" s="95"/>
      <c r="G2" s="95"/>
      <c r="H2" s="97"/>
      <c r="I2" s="98"/>
      <c r="J2" s="97"/>
      <c r="K2" s="97"/>
      <c r="L2" s="97"/>
    </row>
    <row r="3" spans="1:14" ht="14.25" customHeight="1" x14ac:dyDescent="0.3">
      <c r="A3" s="98"/>
      <c r="B3" s="97"/>
      <c r="C3" s="97"/>
      <c r="D3" s="97"/>
      <c r="E3" s="97"/>
      <c r="F3" s="97"/>
      <c r="G3" s="97"/>
      <c r="H3" s="97"/>
      <c r="I3" s="98"/>
      <c r="J3" s="97"/>
      <c r="K3" s="97"/>
      <c r="L3" s="97"/>
    </row>
    <row r="4" spans="1:14" ht="20.25" customHeight="1" x14ac:dyDescent="0.3">
      <c r="A4" s="490" t="s">
        <v>58</v>
      </c>
      <c r="B4" s="490"/>
      <c r="C4" s="490"/>
      <c r="D4" s="490"/>
      <c r="E4" s="490"/>
      <c r="F4" s="490"/>
      <c r="G4" s="490"/>
      <c r="H4" s="490"/>
      <c r="I4" s="490"/>
      <c r="J4" s="490"/>
      <c r="K4" s="490"/>
      <c r="L4" s="490"/>
    </row>
    <row r="5" spans="1:14" ht="20.25" customHeight="1" x14ac:dyDescent="0.2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</row>
    <row r="6" spans="1:14" ht="18" customHeight="1" x14ac:dyDescent="0.2">
      <c r="A6" s="492" t="s">
        <v>0</v>
      </c>
      <c r="B6" s="491" t="s">
        <v>7</v>
      </c>
      <c r="C6" s="491"/>
      <c r="D6" s="491"/>
      <c r="E6" s="491" t="s">
        <v>5</v>
      </c>
      <c r="F6" s="491"/>
      <c r="G6" s="491"/>
      <c r="H6" s="491" t="s">
        <v>4</v>
      </c>
      <c r="I6" s="491"/>
      <c r="J6" s="491" t="s">
        <v>6</v>
      </c>
      <c r="K6" s="491"/>
      <c r="L6" s="491"/>
    </row>
    <row r="7" spans="1:14" ht="20.25" customHeight="1" x14ac:dyDescent="0.2">
      <c r="A7" s="492"/>
      <c r="B7" s="100" t="s">
        <v>8</v>
      </c>
      <c r="C7" s="100" t="s">
        <v>9</v>
      </c>
      <c r="D7" s="100" t="s">
        <v>10</v>
      </c>
      <c r="E7" s="100" t="s">
        <v>8</v>
      </c>
      <c r="F7" s="100" t="s">
        <v>9</v>
      </c>
      <c r="G7" s="100" t="s">
        <v>10</v>
      </c>
      <c r="H7" s="100" t="s">
        <v>8</v>
      </c>
      <c r="I7" s="101" t="s">
        <v>10</v>
      </c>
      <c r="J7" s="100" t="s">
        <v>8</v>
      </c>
      <c r="K7" s="100" t="s">
        <v>9</v>
      </c>
      <c r="L7" s="100" t="s">
        <v>10</v>
      </c>
    </row>
    <row r="8" spans="1:14" ht="14.25" customHeight="1" x14ac:dyDescent="0.2">
      <c r="A8" s="92"/>
      <c r="B8" s="10"/>
      <c r="C8" s="10"/>
      <c r="D8" s="10"/>
      <c r="E8" s="10"/>
      <c r="F8" s="10"/>
      <c r="G8" s="10"/>
      <c r="H8" s="10"/>
      <c r="I8" s="89"/>
      <c r="J8" s="10"/>
      <c r="K8" s="10"/>
      <c r="L8" s="10"/>
    </row>
    <row r="9" spans="1:14" ht="14.25" customHeight="1" x14ac:dyDescent="0.2">
      <c r="A9" s="106" t="s">
        <v>1</v>
      </c>
      <c r="B9" s="105"/>
      <c r="C9" s="105"/>
      <c r="D9" s="105"/>
      <c r="E9" s="105"/>
      <c r="F9" s="105"/>
      <c r="G9" s="105"/>
      <c r="H9" s="105"/>
      <c r="I9" s="104"/>
      <c r="J9" s="102"/>
      <c r="K9" s="103"/>
      <c r="L9" s="103"/>
    </row>
    <row r="10" spans="1:14" ht="14.25" customHeight="1" x14ac:dyDescent="0.2">
      <c r="A10" s="106"/>
      <c r="B10" s="105"/>
      <c r="C10" s="105"/>
      <c r="D10" s="105"/>
      <c r="E10" s="105"/>
      <c r="F10" s="105"/>
      <c r="G10" s="105"/>
      <c r="H10" s="105"/>
      <c r="I10" s="104"/>
      <c r="J10" s="102"/>
      <c r="K10" s="103"/>
      <c r="L10" s="103"/>
    </row>
    <row r="11" spans="1:14" ht="14.25" customHeight="1" x14ac:dyDescent="0.2">
      <c r="A11" s="106" t="s">
        <v>20</v>
      </c>
      <c r="B11" s="105"/>
      <c r="C11" s="105"/>
      <c r="D11" s="105"/>
      <c r="E11" s="105"/>
      <c r="F11" s="105"/>
      <c r="G11" s="105"/>
      <c r="H11" s="105"/>
      <c r="I11" s="104"/>
      <c r="J11" s="354"/>
      <c r="K11" s="103"/>
      <c r="L11" s="103"/>
    </row>
    <row r="12" spans="1:14" ht="14.25" customHeight="1" x14ac:dyDescent="0.2">
      <c r="A12" s="106"/>
      <c r="B12" s="105"/>
      <c r="C12" s="105"/>
      <c r="D12" s="105"/>
      <c r="E12" s="105"/>
      <c r="F12" s="105"/>
      <c r="G12" s="105"/>
      <c r="H12" s="105"/>
      <c r="I12" s="104"/>
      <c r="J12" s="102"/>
      <c r="K12" s="103"/>
      <c r="L12" s="103"/>
    </row>
    <row r="13" spans="1:14" ht="14.25" customHeight="1" x14ac:dyDescent="0.2">
      <c r="A13" s="106" t="s">
        <v>22</v>
      </c>
      <c r="B13" s="105"/>
      <c r="C13" s="105"/>
      <c r="D13" s="105"/>
      <c r="E13" s="105"/>
      <c r="F13" s="105"/>
      <c r="G13" s="105"/>
      <c r="H13" s="105"/>
      <c r="I13" s="104"/>
      <c r="J13" s="354"/>
      <c r="K13" s="103"/>
      <c r="L13" s="103"/>
    </row>
    <row r="14" spans="1:14" ht="14.25" customHeight="1" x14ac:dyDescent="0.2">
      <c r="A14" s="106"/>
      <c r="B14" s="105"/>
      <c r="C14" s="105"/>
      <c r="D14" s="105"/>
      <c r="E14" s="105"/>
      <c r="F14" s="105"/>
      <c r="G14" s="105"/>
      <c r="H14" s="105"/>
      <c r="I14" s="104"/>
      <c r="J14" s="354"/>
      <c r="K14" s="103"/>
      <c r="L14" s="103"/>
      <c r="N14" s="358"/>
    </row>
    <row r="15" spans="1:14" ht="14.25" customHeight="1" x14ac:dyDescent="0.2">
      <c r="A15" s="106" t="s">
        <v>24</v>
      </c>
      <c r="B15" s="105"/>
      <c r="C15" s="105"/>
      <c r="D15" s="105"/>
      <c r="E15" s="105"/>
      <c r="F15" s="105"/>
      <c r="G15" s="105"/>
      <c r="H15" s="105"/>
      <c r="I15" s="104"/>
      <c r="J15" s="354"/>
      <c r="K15" s="103"/>
      <c r="L15" s="103"/>
    </row>
    <row r="16" spans="1:14" ht="14.25" customHeight="1" x14ac:dyDescent="0.2">
      <c r="A16" s="106"/>
      <c r="B16" s="105"/>
      <c r="C16" s="105"/>
      <c r="D16" s="105"/>
      <c r="E16" s="105"/>
      <c r="F16" s="105"/>
      <c r="G16" s="105"/>
      <c r="H16" s="105"/>
      <c r="I16" s="104"/>
      <c r="J16" s="102"/>
      <c r="K16" s="103"/>
      <c r="L16" s="103"/>
    </row>
    <row r="17" spans="1:14" ht="14.25" customHeight="1" x14ac:dyDescent="0.2">
      <c r="A17" s="106" t="s">
        <v>28</v>
      </c>
      <c r="B17" s="105"/>
      <c r="C17" s="105"/>
      <c r="D17" s="105"/>
      <c r="E17" s="105"/>
      <c r="F17" s="105"/>
      <c r="G17" s="105"/>
      <c r="H17" s="105"/>
      <c r="I17" s="104"/>
      <c r="J17" s="354"/>
      <c r="K17" s="103"/>
      <c r="L17" s="103"/>
      <c r="M17" s="391"/>
      <c r="N17" s="127"/>
    </row>
    <row r="18" spans="1:14" ht="14.25" customHeight="1" x14ac:dyDescent="0.2">
      <c r="A18" s="106"/>
      <c r="B18" s="105"/>
      <c r="C18" s="105"/>
      <c r="D18" s="105"/>
      <c r="E18" s="105"/>
      <c r="F18" s="105"/>
      <c r="G18" s="105"/>
      <c r="H18" s="105"/>
      <c r="I18" s="104"/>
      <c r="J18" s="354"/>
      <c r="K18" s="103"/>
      <c r="L18" s="103"/>
      <c r="M18" s="392"/>
      <c r="N18" s="127"/>
    </row>
    <row r="19" spans="1:14" ht="14.25" customHeight="1" x14ac:dyDescent="0.2">
      <c r="A19" s="106"/>
      <c r="B19" s="105"/>
      <c r="C19" s="105"/>
      <c r="D19" s="105"/>
      <c r="E19" s="105"/>
      <c r="F19" s="105"/>
      <c r="G19" s="105"/>
      <c r="H19" s="105"/>
      <c r="I19" s="104"/>
      <c r="J19" s="354"/>
      <c r="K19" s="103"/>
      <c r="L19" s="103"/>
      <c r="M19" s="392"/>
      <c r="N19" s="127"/>
    </row>
    <row r="20" spans="1:14" ht="14.25" customHeight="1" x14ac:dyDescent="0.2">
      <c r="A20" s="106"/>
      <c r="B20" s="105"/>
      <c r="C20" s="105"/>
      <c r="D20" s="105"/>
      <c r="E20" s="105"/>
      <c r="F20" s="105"/>
      <c r="G20" s="105"/>
      <c r="H20" s="105"/>
      <c r="I20" s="104"/>
      <c r="J20" s="354"/>
      <c r="K20" s="103"/>
      <c r="L20" s="103"/>
      <c r="M20" s="392"/>
      <c r="N20" s="127"/>
    </row>
    <row r="21" spans="1:14" ht="14.25" customHeight="1" x14ac:dyDescent="0.2">
      <c r="A21" s="106"/>
      <c r="B21" s="105"/>
      <c r="C21" s="105"/>
      <c r="D21" s="105"/>
      <c r="E21" s="105"/>
      <c r="F21" s="105"/>
      <c r="G21" s="105"/>
      <c r="H21" s="105"/>
      <c r="I21" s="104"/>
      <c r="J21" s="354"/>
      <c r="K21" s="103"/>
      <c r="L21" s="103"/>
      <c r="M21" s="392"/>
      <c r="N21" s="127"/>
    </row>
    <row r="22" spans="1:14" ht="14.25" customHeight="1" x14ac:dyDescent="0.2">
      <c r="A22" s="106" t="s">
        <v>29</v>
      </c>
      <c r="B22" s="105"/>
      <c r="C22" s="105"/>
      <c r="D22" s="105"/>
      <c r="E22" s="105"/>
      <c r="F22" s="105"/>
      <c r="G22" s="105"/>
      <c r="H22" s="105"/>
      <c r="I22" s="104"/>
      <c r="J22" s="354"/>
      <c r="K22" s="103"/>
      <c r="L22" s="103"/>
      <c r="N22" s="127"/>
    </row>
    <row r="23" spans="1:14" ht="14.25" customHeight="1" x14ac:dyDescent="0.2">
      <c r="A23" s="106"/>
      <c r="B23" s="105"/>
      <c r="C23" s="105"/>
      <c r="D23" s="105"/>
      <c r="E23" s="105"/>
      <c r="F23" s="105"/>
      <c r="G23" s="105"/>
      <c r="H23" s="105"/>
      <c r="I23" s="104"/>
      <c r="J23" s="354"/>
      <c r="K23" s="103"/>
      <c r="L23" s="103"/>
      <c r="N23" s="127"/>
    </row>
    <row r="24" spans="1:14" ht="14.25" customHeight="1" x14ac:dyDescent="0.2">
      <c r="A24" s="106"/>
      <c r="B24" s="105"/>
      <c r="C24" s="105"/>
      <c r="D24" s="105"/>
      <c r="E24" s="105"/>
      <c r="F24" s="105"/>
      <c r="G24" s="105"/>
      <c r="H24" s="105"/>
      <c r="I24" s="104"/>
      <c r="J24" s="354"/>
      <c r="K24" s="103"/>
      <c r="L24" s="103"/>
      <c r="N24" s="127"/>
    </row>
    <row r="25" spans="1:14" ht="14.25" customHeight="1" x14ac:dyDescent="0.2">
      <c r="A25" s="106" t="s">
        <v>30</v>
      </c>
      <c r="B25" s="105"/>
      <c r="C25" s="105"/>
      <c r="D25" s="105"/>
      <c r="E25" s="105"/>
      <c r="F25" s="105"/>
      <c r="G25" s="105"/>
      <c r="H25" s="105"/>
      <c r="I25" s="104"/>
      <c r="J25" s="354"/>
      <c r="K25" s="103"/>
      <c r="L25" s="103"/>
      <c r="N25" s="127"/>
    </row>
    <row r="26" spans="1:14" ht="14.25" customHeight="1" x14ac:dyDescent="0.2">
      <c r="A26" s="106"/>
      <c r="B26" s="105"/>
      <c r="C26" s="105"/>
      <c r="D26" s="105"/>
      <c r="E26" s="105"/>
      <c r="F26" s="105"/>
      <c r="G26" s="105"/>
      <c r="H26" s="105"/>
      <c r="I26" s="104"/>
      <c r="J26" s="354"/>
      <c r="K26" s="103"/>
      <c r="L26" s="103"/>
    </row>
    <row r="27" spans="1:14" ht="14.25" customHeight="1" x14ac:dyDescent="0.2">
      <c r="A27" s="106" t="s">
        <v>31</v>
      </c>
      <c r="B27" s="105"/>
      <c r="C27" s="105"/>
      <c r="D27" s="105"/>
      <c r="E27" s="105"/>
      <c r="F27" s="105"/>
      <c r="G27" s="105"/>
      <c r="H27" s="105"/>
      <c r="I27" s="104"/>
      <c r="J27" s="354"/>
      <c r="K27" s="103"/>
      <c r="L27" s="103"/>
    </row>
    <row r="28" spans="1:14" ht="14.25" customHeight="1" x14ac:dyDescent="0.2">
      <c r="A28" s="106"/>
      <c r="B28" s="105"/>
      <c r="C28" s="105"/>
      <c r="D28" s="105"/>
      <c r="E28" s="105"/>
      <c r="F28" s="105"/>
      <c r="G28" s="105"/>
      <c r="H28" s="105"/>
      <c r="I28" s="104"/>
      <c r="J28" s="354"/>
      <c r="K28" s="103"/>
      <c r="L28" s="103"/>
    </row>
    <row r="29" spans="1:14" ht="14.25" customHeight="1" x14ac:dyDescent="0.2">
      <c r="A29" s="106"/>
      <c r="B29" s="105"/>
      <c r="C29" s="105"/>
      <c r="D29" s="105"/>
      <c r="E29" s="105"/>
      <c r="F29" s="105"/>
      <c r="G29" s="105"/>
      <c r="H29" s="105"/>
      <c r="I29" s="104"/>
      <c r="J29" s="354"/>
      <c r="K29" s="103"/>
      <c r="L29" s="103"/>
    </row>
    <row r="30" spans="1:14" ht="14.25" customHeight="1" x14ac:dyDescent="0.2">
      <c r="A30" s="106"/>
      <c r="B30" s="105"/>
      <c r="C30" s="105"/>
      <c r="D30" s="105"/>
      <c r="E30" s="105"/>
      <c r="F30" s="105"/>
      <c r="G30" s="105"/>
      <c r="H30" s="105"/>
      <c r="I30" s="104"/>
      <c r="J30" s="354"/>
      <c r="K30" s="103"/>
      <c r="L30" s="103"/>
    </row>
    <row r="31" spans="1:14" ht="14.25" customHeight="1" x14ac:dyDescent="0.2">
      <c r="A31" s="106"/>
      <c r="B31" s="105"/>
      <c r="C31" s="105"/>
      <c r="D31" s="105"/>
      <c r="E31" s="105"/>
      <c r="F31" s="105"/>
      <c r="G31" s="105"/>
      <c r="H31" s="105"/>
      <c r="I31" s="104"/>
      <c r="J31" s="354"/>
      <c r="K31" s="103"/>
      <c r="L31" s="103"/>
    </row>
    <row r="32" spans="1:14" ht="14.25" customHeight="1" x14ac:dyDescent="0.2">
      <c r="A32" s="106"/>
      <c r="B32" s="105"/>
      <c r="C32" s="105"/>
      <c r="D32" s="105"/>
      <c r="E32" s="105"/>
      <c r="F32" s="105"/>
      <c r="G32" s="105"/>
      <c r="H32" s="105"/>
      <c r="I32" s="104"/>
      <c r="J32" s="354"/>
      <c r="K32" s="103"/>
      <c r="L32" s="103"/>
    </row>
    <row r="33" spans="1:12" ht="14.25" customHeight="1" x14ac:dyDescent="0.2">
      <c r="A33" s="106"/>
      <c r="B33" s="105"/>
      <c r="C33" s="105"/>
      <c r="D33" s="105"/>
      <c r="E33" s="105"/>
      <c r="F33" s="105"/>
      <c r="G33" s="105"/>
      <c r="H33" s="105"/>
      <c r="I33" s="104"/>
      <c r="J33" s="354"/>
      <c r="K33" s="103"/>
      <c r="L33" s="103"/>
    </row>
    <row r="34" spans="1:12" ht="14.25" customHeight="1" x14ac:dyDescent="0.2">
      <c r="A34" s="106" t="s">
        <v>32</v>
      </c>
      <c r="B34" s="105"/>
      <c r="C34" s="105"/>
      <c r="D34" s="105"/>
      <c r="E34" s="105"/>
      <c r="F34" s="105"/>
      <c r="G34" s="105"/>
      <c r="H34" s="105"/>
      <c r="I34" s="104"/>
      <c r="J34" s="354"/>
      <c r="K34" s="103"/>
      <c r="L34" s="103"/>
    </row>
    <row r="35" spans="1:12" ht="14.25" customHeight="1" x14ac:dyDescent="0.2">
      <c r="A35" s="106"/>
      <c r="B35" s="105"/>
      <c r="C35" s="105"/>
      <c r="D35" s="105"/>
      <c r="E35" s="105"/>
      <c r="F35" s="105"/>
      <c r="G35" s="105"/>
      <c r="H35" s="105"/>
      <c r="I35" s="104"/>
      <c r="J35" s="102"/>
      <c r="K35" s="103"/>
      <c r="L35" s="103"/>
    </row>
    <row r="36" spans="1:12" ht="14.25" customHeight="1" x14ac:dyDescent="0.2">
      <c r="A36" s="106" t="s">
        <v>33</v>
      </c>
      <c r="B36" s="105"/>
      <c r="C36" s="105"/>
      <c r="D36" s="105"/>
      <c r="E36" s="105"/>
      <c r="F36" s="105"/>
      <c r="G36" s="105"/>
      <c r="H36" s="105"/>
      <c r="I36" s="104"/>
      <c r="J36" s="102"/>
      <c r="K36" s="103"/>
      <c r="L36" s="103"/>
    </row>
    <row r="37" spans="1:12" ht="14.25" customHeight="1" x14ac:dyDescent="0.2">
      <c r="A37" s="106"/>
      <c r="B37" s="105"/>
      <c r="C37" s="105"/>
      <c r="D37" s="105"/>
      <c r="E37" s="105"/>
      <c r="F37" s="105"/>
      <c r="G37" s="105"/>
      <c r="H37" s="105"/>
      <c r="I37" s="104"/>
      <c r="J37" s="102"/>
      <c r="K37" s="103"/>
      <c r="L37" s="103"/>
    </row>
    <row r="38" spans="1:12" ht="14.25" customHeight="1" x14ac:dyDescent="0.2">
      <c r="A38" s="106" t="s">
        <v>34</v>
      </c>
      <c r="B38" s="105"/>
      <c r="C38" s="105"/>
      <c r="D38" s="105"/>
      <c r="E38" s="105"/>
      <c r="F38" s="105"/>
      <c r="G38" s="105"/>
      <c r="H38" s="105"/>
      <c r="I38" s="104"/>
      <c r="J38" s="102"/>
      <c r="K38" s="103"/>
      <c r="L38" s="103"/>
    </row>
    <row r="39" spans="1:12" ht="14.25" customHeight="1" x14ac:dyDescent="0.2">
      <c r="A39" s="106"/>
      <c r="B39" s="105"/>
      <c r="C39" s="105"/>
      <c r="D39" s="105"/>
      <c r="E39" s="105"/>
      <c r="F39" s="105"/>
      <c r="G39" s="105"/>
      <c r="H39" s="105"/>
      <c r="I39" s="104"/>
      <c r="J39" s="102"/>
      <c r="K39" s="103"/>
      <c r="L39" s="103"/>
    </row>
    <row r="40" spans="1:12" ht="14.25" customHeight="1" x14ac:dyDescent="0.2">
      <c r="A40" s="106" t="s">
        <v>35</v>
      </c>
      <c r="B40" s="105"/>
      <c r="C40" s="105"/>
      <c r="D40" s="105"/>
      <c r="E40" s="105"/>
      <c r="F40" s="105"/>
      <c r="G40" s="105"/>
      <c r="H40" s="105"/>
      <c r="I40" s="104"/>
      <c r="J40" s="102"/>
      <c r="K40" s="103"/>
      <c r="L40" s="103"/>
    </row>
    <row r="41" spans="1:12" ht="14.25" customHeight="1" x14ac:dyDescent="0.2">
      <c r="A41" s="118"/>
      <c r="B41" s="119"/>
      <c r="C41" s="119"/>
      <c r="D41" s="119"/>
      <c r="E41" s="119"/>
      <c r="F41" s="119"/>
      <c r="G41" s="119"/>
      <c r="H41" s="119"/>
      <c r="I41" s="120"/>
      <c r="J41" s="121"/>
      <c r="K41" s="122"/>
      <c r="L41" s="122"/>
    </row>
    <row r="42" spans="1:12" ht="23.25" customHeight="1" thickBot="1" x14ac:dyDescent="0.25">
      <c r="A42" s="496" t="s">
        <v>16</v>
      </c>
      <c r="B42" s="497"/>
      <c r="C42" s="497"/>
      <c r="D42" s="497"/>
      <c r="E42" s="107">
        <f>SUM(E9:E41)</f>
        <v>0</v>
      </c>
      <c r="F42" s="107"/>
      <c r="G42" s="107">
        <f>SUM(G9:G41)</f>
        <v>0</v>
      </c>
      <c r="H42" s="107" t="e">
        <f>#REF!+H11</f>
        <v>#REF!</v>
      </c>
      <c r="I42" s="107" t="e">
        <f>#REF!+I11</f>
        <v>#REF!</v>
      </c>
      <c r="J42" s="107" t="e">
        <f>#REF!</f>
        <v>#REF!</v>
      </c>
      <c r="K42" s="107">
        <f>K39</f>
        <v>0</v>
      </c>
      <c r="L42" s="107" t="e">
        <f>#REF!</f>
        <v>#REF!</v>
      </c>
    </row>
    <row r="43" spans="1:12" ht="14.25" customHeight="1" x14ac:dyDescent="0.2">
      <c r="C43" s="38"/>
      <c r="D43" s="38"/>
      <c r="F43" s="38"/>
      <c r="G43" s="38"/>
      <c r="I43" s="90"/>
      <c r="K43" s="38"/>
      <c r="L43" s="38"/>
    </row>
    <row r="44" spans="1:12" ht="14.25" customHeight="1" x14ac:dyDescent="0.2">
      <c r="D44" s="38"/>
      <c r="G44" s="125"/>
      <c r="K44" s="38"/>
      <c r="L44" s="38"/>
    </row>
    <row r="45" spans="1:12" ht="14.25" customHeight="1" x14ac:dyDescent="0.2">
      <c r="B45" s="108"/>
      <c r="C45" s="108"/>
      <c r="D45" s="109"/>
      <c r="G45" s="111"/>
      <c r="I45" s="110"/>
      <c r="J45" s="108"/>
      <c r="L45" s="39"/>
    </row>
    <row r="46" spans="1:12" ht="14.25" customHeight="1" x14ac:dyDescent="0.2">
      <c r="G46" s="125"/>
      <c r="I46" s="110"/>
      <c r="J46" s="493"/>
      <c r="K46" s="493"/>
      <c r="L46" s="493"/>
    </row>
    <row r="47" spans="1:12" ht="14.25" customHeight="1" x14ac:dyDescent="0.2">
      <c r="G47" s="125"/>
      <c r="J47" s="493"/>
      <c r="K47" s="493"/>
      <c r="L47" s="493"/>
    </row>
    <row r="48" spans="1:12" ht="14.25" customHeight="1" x14ac:dyDescent="0.2">
      <c r="G48" s="125"/>
      <c r="J48" s="494"/>
      <c r="K48" s="494"/>
      <c r="L48" s="494"/>
    </row>
    <row r="49" spans="7:12" ht="14.25" customHeight="1" x14ac:dyDescent="0.2">
      <c r="G49" s="125"/>
      <c r="J49" s="111"/>
      <c r="K49" s="112"/>
      <c r="L49" s="113"/>
    </row>
    <row r="50" spans="7:12" ht="14.25" customHeight="1" x14ac:dyDescent="0.2">
      <c r="G50" s="125"/>
      <c r="J50" s="111"/>
      <c r="K50" s="112"/>
      <c r="L50" s="113"/>
    </row>
    <row r="51" spans="7:12" ht="14.25" customHeight="1" x14ac:dyDescent="0.2">
      <c r="G51" s="125"/>
      <c r="J51" s="111"/>
      <c r="K51" s="112"/>
      <c r="L51" s="113"/>
    </row>
    <row r="52" spans="7:12" ht="14.25" customHeight="1" x14ac:dyDescent="0.2">
      <c r="G52" s="125"/>
      <c r="J52" s="495"/>
      <c r="K52" s="495"/>
      <c r="L52" s="495"/>
    </row>
    <row r="53" spans="7:12" ht="14.25" customHeight="1" x14ac:dyDescent="0.2">
      <c r="G53" s="125"/>
    </row>
    <row r="54" spans="7:12" ht="14.25" customHeight="1" x14ac:dyDescent="0.2">
      <c r="G54" s="125"/>
    </row>
    <row r="55" spans="7:12" ht="14.25" customHeight="1" x14ac:dyDescent="0.2">
      <c r="G55" s="125"/>
    </row>
    <row r="56" spans="7:12" ht="14.25" customHeight="1" x14ac:dyDescent="0.2">
      <c r="G56" s="125"/>
    </row>
    <row r="79" spans="1:12" ht="14.25" customHeight="1" x14ac:dyDescent="0.2">
      <c r="A79" s="91"/>
      <c r="C79" s="8"/>
      <c r="D79" s="8"/>
      <c r="F79" s="8"/>
      <c r="G79" s="8"/>
      <c r="I79" s="91"/>
      <c r="K79" s="8"/>
      <c r="L79" s="8"/>
    </row>
    <row r="80" spans="1:12" ht="14.25" customHeight="1" x14ac:dyDescent="0.2">
      <c r="A80" s="91"/>
      <c r="C80" s="8"/>
      <c r="D80" s="8"/>
      <c r="F80" s="8"/>
      <c r="G80" s="8"/>
      <c r="I80" s="91"/>
      <c r="K80" s="8"/>
      <c r="L80" s="8"/>
    </row>
    <row r="81" spans="1:12" ht="14.25" customHeight="1" x14ac:dyDescent="0.2">
      <c r="A81" s="91"/>
      <c r="C81" s="8"/>
      <c r="D81" s="8"/>
      <c r="F81" s="8"/>
      <c r="G81" s="8"/>
      <c r="I81" s="91"/>
      <c r="K81" s="8"/>
      <c r="L81" s="8"/>
    </row>
    <row r="82" spans="1:12" ht="14.25" customHeight="1" x14ac:dyDescent="0.2">
      <c r="A82" s="91"/>
      <c r="C82" s="8"/>
      <c r="D82" s="8"/>
      <c r="F82" s="8"/>
      <c r="G82" s="8"/>
      <c r="I82" s="91"/>
      <c r="K82" s="8"/>
      <c r="L82" s="8"/>
    </row>
    <row r="83" spans="1:12" ht="14.25" customHeight="1" x14ac:dyDescent="0.2">
      <c r="A83" s="91"/>
      <c r="C83" s="8"/>
      <c r="D83" s="8"/>
      <c r="F83" s="8"/>
      <c r="G83" s="8"/>
      <c r="I83" s="91"/>
      <c r="K83" s="8"/>
      <c r="L83" s="8"/>
    </row>
    <row r="84" spans="1:12" ht="14.25" customHeight="1" x14ac:dyDescent="0.2">
      <c r="A84" s="91"/>
      <c r="C84" s="8"/>
      <c r="D84" s="8"/>
      <c r="F84" s="8"/>
      <c r="G84" s="8"/>
      <c r="I84" s="91"/>
      <c r="K84" s="8"/>
      <c r="L84" s="8"/>
    </row>
    <row r="85" spans="1:12" ht="14.25" customHeight="1" x14ac:dyDescent="0.2">
      <c r="A85" s="91"/>
      <c r="C85" s="8"/>
      <c r="D85" s="8"/>
      <c r="F85" s="8"/>
      <c r="G85" s="8"/>
      <c r="I85" s="91"/>
      <c r="K85" s="8"/>
      <c r="L85" s="8"/>
    </row>
    <row r="86" spans="1:12" ht="14.25" customHeight="1" x14ac:dyDescent="0.2">
      <c r="A86" s="91"/>
      <c r="C86" s="8"/>
      <c r="D86" s="8"/>
      <c r="F86" s="8"/>
      <c r="G86" s="8"/>
      <c r="I86" s="91"/>
      <c r="K86" s="8"/>
      <c r="L86" s="8"/>
    </row>
    <row r="87" spans="1:12" ht="14.25" customHeight="1" x14ac:dyDescent="0.2">
      <c r="A87" s="91"/>
      <c r="C87" s="8"/>
      <c r="D87" s="8"/>
      <c r="F87" s="8"/>
      <c r="G87" s="8"/>
      <c r="I87" s="91"/>
      <c r="K87" s="8"/>
      <c r="L87" s="8"/>
    </row>
    <row r="88" spans="1:12" ht="14.25" customHeight="1" x14ac:dyDescent="0.2">
      <c r="A88" s="91"/>
      <c r="C88" s="8"/>
      <c r="D88" s="8"/>
      <c r="F88" s="8"/>
      <c r="G88" s="8"/>
      <c r="I88" s="91"/>
      <c r="K88" s="8"/>
      <c r="L88" s="8"/>
    </row>
    <row r="89" spans="1:12" ht="14.25" customHeight="1" x14ac:dyDescent="0.2">
      <c r="A89" s="91"/>
      <c r="C89" s="8"/>
      <c r="D89" s="8"/>
      <c r="F89" s="8"/>
      <c r="G89" s="8"/>
      <c r="I89" s="91"/>
      <c r="K89" s="8"/>
      <c r="L89" s="8"/>
    </row>
    <row r="90" spans="1:12" ht="14.25" customHeight="1" x14ac:dyDescent="0.2">
      <c r="A90" s="91"/>
      <c r="C90" s="8"/>
      <c r="D90" s="8"/>
      <c r="F90" s="8"/>
      <c r="G90" s="8"/>
      <c r="I90" s="91"/>
      <c r="K90" s="8"/>
      <c r="L90" s="8"/>
    </row>
    <row r="91" spans="1:12" ht="14.25" customHeight="1" x14ac:dyDescent="0.2">
      <c r="A91" s="91"/>
      <c r="C91" s="8"/>
      <c r="D91" s="8"/>
      <c r="F91" s="8"/>
      <c r="G91" s="8"/>
      <c r="I91" s="91"/>
      <c r="K91" s="8"/>
      <c r="L91" s="8"/>
    </row>
    <row r="92" spans="1:12" ht="14.25" customHeight="1" x14ac:dyDescent="0.2">
      <c r="A92" s="91"/>
      <c r="C92" s="8"/>
      <c r="D92" s="8"/>
      <c r="F92" s="8"/>
      <c r="G92" s="8"/>
      <c r="I92" s="91"/>
      <c r="K92" s="8"/>
      <c r="L92" s="8"/>
    </row>
    <row r="93" spans="1:12" ht="14.25" customHeight="1" x14ac:dyDescent="0.2">
      <c r="A93" s="91"/>
      <c r="C93" s="8"/>
      <c r="D93" s="8"/>
      <c r="F93" s="8"/>
      <c r="G93" s="8"/>
      <c r="I93" s="91"/>
      <c r="K93" s="8"/>
      <c r="L93" s="8"/>
    </row>
    <row r="94" spans="1:12" ht="14.25" customHeight="1" x14ac:dyDescent="0.2">
      <c r="A94" s="91"/>
      <c r="C94" s="8"/>
      <c r="D94" s="8"/>
      <c r="F94" s="8"/>
      <c r="G94" s="8"/>
      <c r="I94" s="91"/>
      <c r="K94" s="8"/>
      <c r="L94" s="8"/>
    </row>
    <row r="95" spans="1:12" ht="14.25" customHeight="1" x14ac:dyDescent="0.2">
      <c r="A95" s="91"/>
      <c r="C95" s="8"/>
      <c r="D95" s="8"/>
      <c r="F95" s="8"/>
      <c r="G95" s="8"/>
      <c r="I95" s="91"/>
      <c r="K95" s="8"/>
      <c r="L95" s="8"/>
    </row>
    <row r="96" spans="1:12" ht="14.25" customHeight="1" x14ac:dyDescent="0.2">
      <c r="A96" s="91"/>
      <c r="C96" s="8"/>
      <c r="D96" s="8"/>
      <c r="F96" s="8"/>
      <c r="G96" s="8"/>
      <c r="I96" s="91"/>
      <c r="K96" s="8"/>
      <c r="L96" s="8"/>
    </row>
    <row r="97" spans="1:12" ht="14.25" customHeight="1" x14ac:dyDescent="0.2">
      <c r="A97" s="91"/>
      <c r="C97" s="8"/>
      <c r="D97" s="8"/>
      <c r="F97" s="8"/>
      <c r="G97" s="8"/>
      <c r="I97" s="91"/>
      <c r="L97" s="8"/>
    </row>
    <row r="98" spans="1:12" ht="14.25" customHeight="1" x14ac:dyDescent="0.2">
      <c r="A98" s="91"/>
      <c r="C98" s="8"/>
      <c r="D98" s="8"/>
      <c r="F98" s="8"/>
      <c r="G98" s="8"/>
      <c r="I98" s="91"/>
      <c r="L98" s="8"/>
    </row>
    <row r="99" spans="1:12" ht="14.25" customHeight="1" x14ac:dyDescent="0.2">
      <c r="A99" s="91"/>
      <c r="C99" s="8"/>
      <c r="D99" s="8"/>
      <c r="F99" s="8"/>
      <c r="G99" s="8"/>
      <c r="I99" s="91"/>
      <c r="L99" s="8"/>
    </row>
    <row r="100" spans="1:12" ht="14.25" customHeight="1" x14ac:dyDescent="0.2">
      <c r="A100" s="91"/>
      <c r="C100" s="8"/>
      <c r="D100" s="8"/>
      <c r="F100" s="8"/>
      <c r="G100" s="8"/>
      <c r="I100" s="91"/>
      <c r="L100" s="8"/>
    </row>
    <row r="101" spans="1:12" ht="14.25" customHeight="1" x14ac:dyDescent="0.2">
      <c r="A101" s="91"/>
      <c r="C101" s="8"/>
      <c r="D101" s="8"/>
      <c r="F101" s="8"/>
      <c r="G101" s="8"/>
      <c r="I101" s="91"/>
      <c r="L101" s="8"/>
    </row>
    <row r="102" spans="1:12" ht="14.25" customHeight="1" x14ac:dyDescent="0.2">
      <c r="A102" s="91"/>
      <c r="C102" s="8"/>
      <c r="D102" s="8"/>
      <c r="F102" s="8"/>
      <c r="G102" s="8"/>
      <c r="I102" s="91"/>
      <c r="L102" s="8"/>
    </row>
    <row r="103" spans="1:12" ht="14.25" customHeight="1" x14ac:dyDescent="0.2">
      <c r="A103" s="91"/>
      <c r="C103" s="8"/>
      <c r="D103" s="8"/>
      <c r="F103" s="8"/>
      <c r="G103" s="8"/>
      <c r="I103" s="91"/>
      <c r="L103" s="8"/>
    </row>
    <row r="104" spans="1:12" ht="14.25" customHeight="1" x14ac:dyDescent="0.2">
      <c r="A104" s="91"/>
      <c r="C104" s="8"/>
      <c r="D104" s="8"/>
      <c r="F104" s="8"/>
      <c r="G104" s="8"/>
      <c r="I104" s="91"/>
      <c r="L104" s="8"/>
    </row>
    <row r="105" spans="1:12" ht="14.25" customHeight="1" x14ac:dyDescent="0.2">
      <c r="A105" s="91"/>
      <c r="C105" s="8"/>
      <c r="D105" s="8"/>
      <c r="F105" s="8"/>
      <c r="G105" s="8"/>
      <c r="I105" s="91"/>
      <c r="L105" s="8"/>
    </row>
    <row r="106" spans="1:12" ht="14.25" customHeight="1" x14ac:dyDescent="0.2">
      <c r="A106" s="91"/>
      <c r="C106" s="8"/>
      <c r="D106" s="8"/>
      <c r="F106" s="8"/>
      <c r="G106" s="8"/>
      <c r="I106" s="91"/>
      <c r="L106" s="8"/>
    </row>
    <row r="107" spans="1:12" ht="14.25" customHeight="1" x14ac:dyDescent="0.2">
      <c r="A107" s="91"/>
      <c r="C107" s="8"/>
      <c r="D107" s="8"/>
      <c r="F107" s="8"/>
      <c r="G107" s="8"/>
      <c r="I107" s="91"/>
      <c r="L107" s="8"/>
    </row>
    <row r="108" spans="1:12" ht="14.25" customHeight="1" x14ac:dyDescent="0.2">
      <c r="A108" s="91"/>
      <c r="C108" s="8"/>
      <c r="D108" s="8"/>
      <c r="F108" s="8"/>
      <c r="G108" s="8"/>
      <c r="I108" s="91"/>
      <c r="L108" s="8"/>
    </row>
    <row r="109" spans="1:12" ht="14.25" customHeight="1" x14ac:dyDescent="0.2">
      <c r="A109" s="91"/>
      <c r="C109" s="8"/>
      <c r="D109" s="8"/>
      <c r="F109" s="8"/>
      <c r="G109" s="8"/>
      <c r="I109" s="91"/>
      <c r="L109" s="8"/>
    </row>
    <row r="110" spans="1:12" ht="14.25" customHeight="1" x14ac:dyDescent="0.2">
      <c r="A110" s="91"/>
      <c r="C110" s="8"/>
      <c r="D110" s="8"/>
      <c r="F110" s="8"/>
      <c r="G110" s="8"/>
      <c r="I110" s="91"/>
      <c r="L110" s="8"/>
    </row>
    <row r="111" spans="1:12" ht="14.25" customHeight="1" x14ac:dyDescent="0.2">
      <c r="A111" s="91"/>
      <c r="C111" s="8"/>
      <c r="D111" s="8"/>
      <c r="F111" s="8"/>
      <c r="G111" s="8"/>
      <c r="I111" s="91"/>
      <c r="L111" s="8"/>
    </row>
    <row r="112" spans="1:12" ht="14.25" customHeight="1" x14ac:dyDescent="0.2">
      <c r="A112" s="91"/>
      <c r="C112" s="8"/>
      <c r="D112" s="8"/>
      <c r="F112" s="8"/>
      <c r="G112" s="8"/>
      <c r="I112" s="91"/>
      <c r="L112" s="8"/>
    </row>
    <row r="113" spans="3:12" ht="14.25" customHeight="1" x14ac:dyDescent="0.2">
      <c r="C113" s="8"/>
      <c r="D113" s="8"/>
      <c r="F113" s="8"/>
      <c r="G113" s="8"/>
      <c r="I113" s="91"/>
      <c r="L113" s="8"/>
    </row>
    <row r="114" spans="3:12" ht="14.25" customHeight="1" x14ac:dyDescent="0.2">
      <c r="C114" s="8"/>
      <c r="D114" s="8"/>
      <c r="F114" s="8"/>
      <c r="G114" s="8"/>
      <c r="I114" s="91"/>
      <c r="L114" s="8"/>
    </row>
    <row r="115" spans="3:12" ht="14.25" customHeight="1" x14ac:dyDescent="0.2">
      <c r="F115" s="8"/>
      <c r="G115" s="8"/>
      <c r="I115" s="91"/>
      <c r="L115" s="8"/>
    </row>
    <row r="116" spans="3:12" ht="14.25" customHeight="1" x14ac:dyDescent="0.2">
      <c r="F116" s="8"/>
      <c r="G116" s="8"/>
      <c r="I116" s="91"/>
      <c r="L116" s="8"/>
    </row>
    <row r="117" spans="3:12" ht="14.25" customHeight="1" x14ac:dyDescent="0.2">
      <c r="F117" s="8"/>
      <c r="G117" s="8"/>
      <c r="I117" s="91"/>
      <c r="L117" s="8"/>
    </row>
    <row r="118" spans="3:12" ht="14.25" customHeight="1" x14ac:dyDescent="0.2">
      <c r="F118" s="8"/>
      <c r="G118" s="8"/>
      <c r="I118" s="91"/>
      <c r="L118" s="8"/>
    </row>
    <row r="119" spans="3:12" ht="14.25" customHeight="1" x14ac:dyDescent="0.2">
      <c r="F119" s="8"/>
      <c r="G119" s="8"/>
      <c r="I119" s="91"/>
      <c r="L119" s="8"/>
    </row>
    <row r="120" spans="3:12" ht="14.25" customHeight="1" x14ac:dyDescent="0.2">
      <c r="F120" s="8"/>
      <c r="G120" s="8"/>
      <c r="I120" s="91"/>
      <c r="L120" s="8"/>
    </row>
    <row r="121" spans="3:12" ht="14.25" customHeight="1" x14ac:dyDescent="0.2">
      <c r="C121" s="114"/>
      <c r="F121" s="8"/>
      <c r="G121" s="8"/>
      <c r="I121" s="91"/>
      <c r="L121" s="8"/>
    </row>
    <row r="122" spans="3:12" ht="14.25" customHeight="1" x14ac:dyDescent="0.2">
      <c r="C122" s="114"/>
      <c r="F122" s="8"/>
      <c r="G122" s="8"/>
      <c r="I122" s="91"/>
      <c r="L122" s="8"/>
    </row>
    <row r="123" spans="3:12" ht="14.25" customHeight="1" x14ac:dyDescent="0.2">
      <c r="C123" s="114"/>
      <c r="F123" s="8"/>
      <c r="G123" s="8"/>
      <c r="I123" s="91"/>
      <c r="L123" s="8"/>
    </row>
    <row r="124" spans="3:12" ht="14.25" customHeight="1" x14ac:dyDescent="0.2">
      <c r="C124" s="114"/>
      <c r="F124" s="8"/>
      <c r="G124" s="8"/>
      <c r="I124" s="91"/>
      <c r="L124" s="8"/>
    </row>
    <row r="125" spans="3:12" ht="14.25" customHeight="1" x14ac:dyDescent="0.2">
      <c r="C125" s="114"/>
      <c r="F125" s="8"/>
      <c r="G125" s="8"/>
      <c r="I125" s="91"/>
      <c r="L125" s="8"/>
    </row>
    <row r="126" spans="3:12" ht="14.25" customHeight="1" x14ac:dyDescent="0.2">
      <c r="C126" s="114"/>
      <c r="F126" s="8"/>
      <c r="G126" s="8"/>
      <c r="I126" s="91"/>
      <c r="L126" s="8"/>
    </row>
    <row r="127" spans="3:12" ht="14.25" customHeight="1" x14ac:dyDescent="0.2">
      <c r="C127" s="114"/>
      <c r="F127" s="8"/>
      <c r="G127" s="8"/>
      <c r="I127" s="91"/>
      <c r="L127" s="8"/>
    </row>
    <row r="128" spans="3:12" ht="14.25" customHeight="1" x14ac:dyDescent="0.2">
      <c r="C128" s="114"/>
      <c r="F128" s="8"/>
      <c r="G128" s="8"/>
      <c r="I128" s="91"/>
      <c r="L128" s="8"/>
    </row>
    <row r="129" spans="3:12" ht="14.25" customHeight="1" x14ac:dyDescent="0.2">
      <c r="C129" s="114"/>
      <c r="F129" s="8"/>
      <c r="G129" s="8"/>
      <c r="I129" s="91"/>
      <c r="L129" s="8"/>
    </row>
    <row r="130" spans="3:12" ht="14.25" customHeight="1" x14ac:dyDescent="0.2">
      <c r="C130" s="114"/>
      <c r="F130" s="8"/>
      <c r="G130" s="8"/>
      <c r="I130" s="91"/>
      <c r="L130" s="8"/>
    </row>
    <row r="131" spans="3:12" ht="14.25" customHeight="1" x14ac:dyDescent="0.2">
      <c r="C131" s="114"/>
      <c r="I131" s="91"/>
      <c r="L131" s="8"/>
    </row>
    <row r="132" spans="3:12" ht="14.25" customHeight="1" x14ac:dyDescent="0.2">
      <c r="C132" s="114"/>
      <c r="I132" s="91"/>
      <c r="L132" s="8"/>
    </row>
    <row r="133" spans="3:12" ht="14.25" customHeight="1" x14ac:dyDescent="0.2">
      <c r="C133" s="114"/>
      <c r="I133" s="91"/>
      <c r="L133" s="8"/>
    </row>
    <row r="134" spans="3:12" ht="14.25" customHeight="1" x14ac:dyDescent="0.2">
      <c r="C134" s="114"/>
      <c r="I134" s="91"/>
      <c r="L134" s="8"/>
    </row>
    <row r="135" spans="3:12" ht="14.25" customHeight="1" x14ac:dyDescent="0.2">
      <c r="C135" s="114"/>
      <c r="I135" s="91"/>
      <c r="L135" s="8"/>
    </row>
    <row r="136" spans="3:12" ht="14.25" customHeight="1" x14ac:dyDescent="0.2">
      <c r="C136" s="114"/>
      <c r="I136" s="91"/>
      <c r="L136" s="8"/>
    </row>
    <row r="137" spans="3:12" ht="14.25" customHeight="1" x14ac:dyDescent="0.2">
      <c r="C137" s="114"/>
      <c r="I137" s="91"/>
      <c r="L137" s="8"/>
    </row>
    <row r="138" spans="3:12" ht="14.25" customHeight="1" x14ac:dyDescent="0.2">
      <c r="C138" s="114"/>
      <c r="I138" s="91"/>
      <c r="L138" s="8"/>
    </row>
    <row r="139" spans="3:12" ht="14.25" customHeight="1" x14ac:dyDescent="0.2">
      <c r="C139" s="114"/>
      <c r="I139" s="91"/>
      <c r="L139" s="8"/>
    </row>
    <row r="140" spans="3:12" ht="14.25" customHeight="1" x14ac:dyDescent="0.2">
      <c r="C140" s="114"/>
      <c r="I140" s="91"/>
      <c r="L140" s="8"/>
    </row>
    <row r="141" spans="3:12" ht="14.25" customHeight="1" x14ac:dyDescent="0.2">
      <c r="C141" s="114"/>
      <c r="I141" s="91"/>
      <c r="L141" s="8"/>
    </row>
    <row r="142" spans="3:12" ht="14.25" customHeight="1" x14ac:dyDescent="0.2">
      <c r="C142" s="115"/>
      <c r="I142" s="91"/>
      <c r="L142" s="8"/>
    </row>
    <row r="143" spans="3:12" ht="14.25" customHeight="1" x14ac:dyDescent="0.2">
      <c r="C143" s="115"/>
      <c r="I143" s="91"/>
      <c r="L143" s="8"/>
    </row>
    <row r="144" spans="3:12" ht="14.25" customHeight="1" x14ac:dyDescent="0.2">
      <c r="C144" s="115"/>
      <c r="I144" s="91"/>
      <c r="L144" s="8"/>
    </row>
    <row r="145" spans="3:12" ht="14.25" customHeight="1" x14ac:dyDescent="0.2">
      <c r="C145" s="115"/>
      <c r="I145" s="91"/>
      <c r="L145" s="8"/>
    </row>
    <row r="146" spans="3:12" ht="14.25" customHeight="1" x14ac:dyDescent="0.2">
      <c r="C146" s="115"/>
      <c r="I146" s="91"/>
      <c r="L146" s="8"/>
    </row>
    <row r="147" spans="3:12" ht="14.25" customHeight="1" x14ac:dyDescent="0.2">
      <c r="C147" s="115"/>
      <c r="I147" s="91"/>
      <c r="L147" s="8"/>
    </row>
    <row r="148" spans="3:12" ht="14.25" customHeight="1" x14ac:dyDescent="0.2">
      <c r="C148" s="115"/>
      <c r="I148" s="91"/>
      <c r="L148" s="8"/>
    </row>
    <row r="149" spans="3:12" ht="14.25" customHeight="1" x14ac:dyDescent="0.2">
      <c r="C149" s="115"/>
      <c r="I149" s="91"/>
      <c r="L149" s="8"/>
    </row>
    <row r="150" spans="3:12" ht="14.25" customHeight="1" x14ac:dyDescent="0.2">
      <c r="C150" s="115"/>
      <c r="I150" s="91"/>
      <c r="L150" s="8"/>
    </row>
    <row r="151" spans="3:12" ht="14.25" customHeight="1" x14ac:dyDescent="0.2">
      <c r="C151" s="115"/>
      <c r="I151" s="91"/>
      <c r="L151" s="8"/>
    </row>
    <row r="152" spans="3:12" ht="14.25" customHeight="1" x14ac:dyDescent="0.2">
      <c r="C152" s="115"/>
      <c r="I152" s="91"/>
      <c r="L152" s="8"/>
    </row>
    <row r="153" spans="3:12" ht="14.25" customHeight="1" x14ac:dyDescent="0.2">
      <c r="C153" s="115"/>
      <c r="I153" s="91"/>
      <c r="L153" s="8"/>
    </row>
    <row r="154" spans="3:12" ht="14.25" customHeight="1" x14ac:dyDescent="0.2">
      <c r="C154" s="115"/>
      <c r="I154" s="91"/>
      <c r="L154" s="8"/>
    </row>
    <row r="155" spans="3:12" ht="14.25" customHeight="1" x14ac:dyDescent="0.2">
      <c r="C155" s="115"/>
      <c r="I155" s="91"/>
      <c r="L155" s="8"/>
    </row>
    <row r="156" spans="3:12" ht="14.25" customHeight="1" x14ac:dyDescent="0.2">
      <c r="C156" s="115"/>
      <c r="I156" s="91"/>
      <c r="L156" s="8"/>
    </row>
    <row r="157" spans="3:12" ht="14.25" customHeight="1" x14ac:dyDescent="0.2">
      <c r="C157" s="115"/>
      <c r="I157" s="91"/>
      <c r="L157" s="8"/>
    </row>
    <row r="158" spans="3:12" ht="14.25" customHeight="1" x14ac:dyDescent="0.2">
      <c r="C158" s="115"/>
      <c r="I158" s="91"/>
      <c r="L158" s="8"/>
    </row>
    <row r="159" spans="3:12" ht="14.25" customHeight="1" x14ac:dyDescent="0.2">
      <c r="C159" s="115"/>
      <c r="I159" s="91"/>
      <c r="L159" s="8"/>
    </row>
    <row r="160" spans="3:12" ht="14.25" customHeight="1" x14ac:dyDescent="0.2">
      <c r="C160" s="115"/>
      <c r="I160" s="91"/>
      <c r="L160" s="8"/>
    </row>
    <row r="161" spans="3:12" ht="14.25" customHeight="1" x14ac:dyDescent="0.2">
      <c r="C161" s="115"/>
      <c r="I161" s="91"/>
      <c r="L161" s="8"/>
    </row>
    <row r="162" spans="3:12" ht="14.25" customHeight="1" x14ac:dyDescent="0.2">
      <c r="C162" s="115"/>
      <c r="I162" s="91"/>
      <c r="L162" s="8"/>
    </row>
    <row r="163" spans="3:12" ht="14.25" customHeight="1" x14ac:dyDescent="0.2">
      <c r="C163" s="115"/>
      <c r="I163" s="91"/>
      <c r="L163" s="8"/>
    </row>
    <row r="164" spans="3:12" ht="14.25" customHeight="1" x14ac:dyDescent="0.2">
      <c r="C164" s="115"/>
      <c r="I164" s="91"/>
      <c r="L164" s="8"/>
    </row>
    <row r="165" spans="3:12" ht="14.25" customHeight="1" x14ac:dyDescent="0.2">
      <c r="C165" s="115"/>
      <c r="I165" s="91"/>
      <c r="L165" s="8"/>
    </row>
    <row r="166" spans="3:12" ht="14.25" customHeight="1" x14ac:dyDescent="0.2">
      <c r="C166" s="115"/>
      <c r="I166" s="91"/>
      <c r="L166" s="8"/>
    </row>
    <row r="167" spans="3:12" ht="14.25" customHeight="1" x14ac:dyDescent="0.2">
      <c r="C167" s="115"/>
      <c r="I167" s="91"/>
      <c r="L167" s="8"/>
    </row>
    <row r="168" spans="3:12" ht="14.25" customHeight="1" x14ac:dyDescent="0.2">
      <c r="C168" s="115"/>
      <c r="I168" s="91"/>
      <c r="L168" s="8"/>
    </row>
    <row r="169" spans="3:12" ht="14.25" customHeight="1" x14ac:dyDescent="0.2">
      <c r="C169" s="115"/>
      <c r="I169" s="91"/>
      <c r="L169" s="8"/>
    </row>
    <row r="170" spans="3:12" ht="14.25" customHeight="1" x14ac:dyDescent="0.2">
      <c r="C170" s="115"/>
      <c r="I170" s="91"/>
      <c r="L170" s="8"/>
    </row>
    <row r="171" spans="3:12" ht="14.25" customHeight="1" x14ac:dyDescent="0.2">
      <c r="C171" s="115"/>
      <c r="L171" s="8"/>
    </row>
    <row r="172" spans="3:12" ht="14.25" customHeight="1" x14ac:dyDescent="0.2">
      <c r="C172" s="115"/>
      <c r="L172" s="8"/>
    </row>
    <row r="173" spans="3:12" ht="14.25" customHeight="1" x14ac:dyDescent="0.2">
      <c r="C173" s="115"/>
      <c r="L173" s="8"/>
    </row>
    <row r="174" spans="3:12" ht="14.25" customHeight="1" x14ac:dyDescent="0.2">
      <c r="C174" s="115"/>
    </row>
  </sheetData>
  <mergeCells count="11">
    <mergeCell ref="J46:L46"/>
    <mergeCell ref="J47:L47"/>
    <mergeCell ref="J48:L48"/>
    <mergeCell ref="J52:L52"/>
    <mergeCell ref="A42:D42"/>
    <mergeCell ref="A4:L4"/>
    <mergeCell ref="J6:L6"/>
    <mergeCell ref="A6:A7"/>
    <mergeCell ref="B6:D6"/>
    <mergeCell ref="E6:G6"/>
    <mergeCell ref="H6:I6"/>
  </mergeCells>
  <pageMargins left="0.55118110236220474" right="0.31496062992125984" top="0.74803149606299213" bottom="0.74803149606299213" header="0.31496062992125984" footer="0.31496062992125984"/>
  <pageSetup paperSize="5" scale="95" orientation="landscape" horizontalDpi="4294967293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L161"/>
  <sheetViews>
    <sheetView topLeftCell="A31" zoomScale="110" zoomScaleNormal="110" zoomScalePageLayoutView="75" workbookViewId="0">
      <selection activeCell="I27" sqref="I27"/>
    </sheetView>
  </sheetViews>
  <sheetFormatPr defaultRowHeight="15" customHeight="1" x14ac:dyDescent="0.25"/>
  <cols>
    <col min="1" max="1" width="12" customWidth="1"/>
    <col min="2" max="2" width="10.28515625" customWidth="1"/>
    <col min="3" max="3" width="14.28515625" customWidth="1"/>
    <col min="4" max="4" width="17.28515625" customWidth="1"/>
    <col min="5" max="5" width="8.5703125" customWidth="1"/>
    <col min="6" max="6" width="12.5703125" customWidth="1"/>
    <col min="7" max="7" width="16.85546875" customWidth="1"/>
    <col min="8" max="8" width="11.42578125" bestFit="1" customWidth="1"/>
    <col min="9" max="9" width="18.28515625" customWidth="1"/>
    <col min="10" max="10" width="11.5703125" customWidth="1"/>
    <col min="11" max="11" width="18" customWidth="1"/>
    <col min="12" max="12" width="22" customWidth="1"/>
  </cols>
  <sheetData>
    <row r="1" spans="1:12" s="95" customFormat="1" ht="15" customHeight="1" x14ac:dyDescent="0.25">
      <c r="A1" s="116" t="s">
        <v>12</v>
      </c>
    </row>
    <row r="2" spans="1:12" s="95" customFormat="1" ht="15" customHeight="1" x14ac:dyDescent="0.25">
      <c r="A2" s="116" t="s">
        <v>108</v>
      </c>
    </row>
    <row r="3" spans="1:12" s="95" customFormat="1" ht="23.25" customHeight="1" x14ac:dyDescent="0.25">
      <c r="A3" s="475" t="s">
        <v>2</v>
      </c>
      <c r="B3" s="475"/>
      <c r="C3" s="475"/>
      <c r="D3" s="475"/>
      <c r="E3" s="475"/>
      <c r="F3" s="475"/>
      <c r="G3" s="475"/>
      <c r="H3" s="475"/>
      <c r="I3" s="475"/>
      <c r="J3" s="475"/>
      <c r="K3" s="475"/>
    </row>
    <row r="4" spans="1:12" ht="18.75" customHeight="1" x14ac:dyDescent="0.25">
      <c r="A4" s="476" t="s">
        <v>0</v>
      </c>
      <c r="B4" s="476" t="s">
        <v>7</v>
      </c>
      <c r="C4" s="476"/>
      <c r="D4" s="476"/>
      <c r="E4" s="476" t="s">
        <v>5</v>
      </c>
      <c r="F4" s="476"/>
      <c r="G4" s="476"/>
      <c r="H4" s="476" t="s">
        <v>4</v>
      </c>
      <c r="I4" s="476"/>
      <c r="J4" s="476" t="s">
        <v>6</v>
      </c>
      <c r="K4" s="476"/>
    </row>
    <row r="5" spans="1:12" ht="21" customHeight="1" x14ac:dyDescent="0.25">
      <c r="A5" s="476"/>
      <c r="B5" s="28" t="s">
        <v>8</v>
      </c>
      <c r="C5" s="28" t="s">
        <v>14</v>
      </c>
      <c r="D5" s="28" t="s">
        <v>13</v>
      </c>
      <c r="E5" s="28" t="s">
        <v>8</v>
      </c>
      <c r="F5" s="28" t="s">
        <v>14</v>
      </c>
      <c r="G5" s="28" t="s">
        <v>10</v>
      </c>
      <c r="H5" s="28" t="s">
        <v>8</v>
      </c>
      <c r="I5" s="28" t="s">
        <v>13</v>
      </c>
      <c r="J5" s="28" t="s">
        <v>8</v>
      </c>
      <c r="K5" s="28" t="s">
        <v>15</v>
      </c>
    </row>
    <row r="6" spans="1:12" ht="11.25" customHeight="1" x14ac:dyDescent="0.25">
      <c r="A6" s="29"/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12" ht="15" customHeight="1" x14ac:dyDescent="0.25">
      <c r="A7" s="40" t="s">
        <v>1</v>
      </c>
      <c r="B7" s="35"/>
      <c r="C7" s="27"/>
      <c r="D7" s="27">
        <f>B7*C7</f>
        <v>0</v>
      </c>
      <c r="E7" s="36"/>
      <c r="F7" s="27"/>
      <c r="G7" s="27">
        <f>E7*F7</f>
        <v>0</v>
      </c>
      <c r="H7" s="36"/>
      <c r="I7" s="27">
        <f>H7*C7</f>
        <v>0</v>
      </c>
      <c r="J7" s="26">
        <f>B7+E7-H7</f>
        <v>0</v>
      </c>
      <c r="K7" s="27">
        <f>D7+G7-I7</f>
        <v>0</v>
      </c>
    </row>
    <row r="8" spans="1:12" ht="15" customHeight="1" x14ac:dyDescent="0.25">
      <c r="A8" s="40"/>
      <c r="B8" s="42"/>
      <c r="C8" s="42"/>
      <c r="D8" s="43"/>
      <c r="E8" s="36"/>
      <c r="F8" s="43"/>
      <c r="G8" s="43">
        <f>E8*F8</f>
        <v>0</v>
      </c>
      <c r="H8" s="42"/>
      <c r="I8" s="27"/>
      <c r="J8" s="26"/>
      <c r="K8" s="27"/>
      <c r="L8" s="15"/>
    </row>
    <row r="9" spans="1:12" ht="15" customHeight="1" x14ac:dyDescent="0.25">
      <c r="A9" s="40" t="s">
        <v>21</v>
      </c>
      <c r="B9" s="42"/>
      <c r="C9" s="43"/>
      <c r="D9" s="43">
        <f>B9*C9</f>
        <v>0</v>
      </c>
      <c r="E9" s="36"/>
      <c r="F9" s="43"/>
      <c r="G9" s="43">
        <f>E9*F9</f>
        <v>0</v>
      </c>
      <c r="H9" s="42">
        <f>B9</f>
        <v>0</v>
      </c>
      <c r="I9" s="27">
        <f>H9*C9</f>
        <v>0</v>
      </c>
      <c r="J9" s="26">
        <f>B9+E9-H9</f>
        <v>0</v>
      </c>
      <c r="K9" s="26">
        <f>J9*C9</f>
        <v>0</v>
      </c>
      <c r="L9" s="15"/>
    </row>
    <row r="10" spans="1:12" ht="15" customHeight="1" x14ac:dyDescent="0.25">
      <c r="A10" s="40"/>
      <c r="B10" s="42"/>
      <c r="C10" s="43"/>
      <c r="D10" s="43"/>
      <c r="E10" s="36"/>
      <c r="F10" s="43"/>
      <c r="G10" s="43">
        <f>E10*F10</f>
        <v>0</v>
      </c>
      <c r="H10" s="42"/>
      <c r="I10" s="27">
        <f>H10*F10</f>
        <v>0</v>
      </c>
      <c r="J10" s="26">
        <f>B10+E10-H10</f>
        <v>0</v>
      </c>
      <c r="K10" s="26">
        <f>J10*F10</f>
        <v>0</v>
      </c>
      <c r="L10" s="15"/>
    </row>
    <row r="11" spans="1:12" ht="15" customHeight="1" x14ac:dyDescent="0.25">
      <c r="A11" s="40"/>
      <c r="B11" s="42"/>
      <c r="C11" s="43"/>
      <c r="D11" s="43"/>
      <c r="E11" s="36"/>
      <c r="F11" s="43"/>
      <c r="G11" s="43"/>
      <c r="H11" s="134"/>
      <c r="I11" s="132">
        <f>SUM(I9:I10)</f>
        <v>0</v>
      </c>
      <c r="J11" s="131">
        <f>SUM(J9:J10)</f>
        <v>0</v>
      </c>
      <c r="K11" s="131">
        <f>SUM(K9:K10)</f>
        <v>0</v>
      </c>
      <c r="L11" s="15"/>
    </row>
    <row r="12" spans="1:12" ht="15" customHeight="1" x14ac:dyDescent="0.25">
      <c r="A12" s="40"/>
      <c r="B12" s="42"/>
      <c r="C12" s="43"/>
      <c r="D12" s="43"/>
      <c r="E12" s="36"/>
      <c r="F12" s="43"/>
      <c r="G12" s="43"/>
      <c r="H12" s="42"/>
      <c r="I12" s="27"/>
      <c r="J12" s="26"/>
      <c r="K12" s="26"/>
      <c r="L12" s="15"/>
    </row>
    <row r="13" spans="1:12" ht="15" customHeight="1" x14ac:dyDescent="0.25">
      <c r="A13" s="40"/>
      <c r="B13" s="42"/>
      <c r="C13" s="43"/>
      <c r="D13" s="43"/>
      <c r="E13" s="36"/>
      <c r="F13" s="43"/>
      <c r="G13" s="43"/>
      <c r="H13" s="42"/>
      <c r="I13" s="27"/>
      <c r="J13" s="26"/>
      <c r="K13" s="26"/>
      <c r="L13" s="15"/>
    </row>
    <row r="14" spans="1:12" ht="15" customHeight="1" x14ac:dyDescent="0.25">
      <c r="A14" s="40" t="s">
        <v>22</v>
      </c>
      <c r="B14" s="42"/>
      <c r="C14" s="43"/>
      <c r="D14" s="43">
        <f>C14*B14</f>
        <v>0</v>
      </c>
      <c r="E14" s="36"/>
      <c r="F14" s="43">
        <f>C14</f>
        <v>0</v>
      </c>
      <c r="G14" s="42">
        <f>E14*F14</f>
        <v>0</v>
      </c>
      <c r="H14" s="42"/>
      <c r="I14" s="43">
        <f>H14*C14</f>
        <v>0</v>
      </c>
      <c r="J14" s="42">
        <f>B14+E14-H14</f>
        <v>0</v>
      </c>
      <c r="K14" s="42">
        <f>J14*C14</f>
        <v>0</v>
      </c>
      <c r="L14" s="15"/>
    </row>
    <row r="15" spans="1:12" ht="15" customHeight="1" x14ac:dyDescent="0.25">
      <c r="A15" s="40"/>
      <c r="B15" s="42"/>
      <c r="C15" s="43"/>
      <c r="D15" s="43"/>
      <c r="E15" s="42"/>
      <c r="F15" s="43"/>
      <c r="G15" s="42"/>
      <c r="H15" s="42"/>
      <c r="I15" s="27"/>
      <c r="J15" s="26">
        <f>E15-H15</f>
        <v>0</v>
      </c>
      <c r="K15" s="26">
        <f>J15*F15</f>
        <v>0</v>
      </c>
      <c r="L15" s="15"/>
    </row>
    <row r="16" spans="1:12" ht="15" customHeight="1" x14ac:dyDescent="0.25">
      <c r="A16" s="40"/>
      <c r="B16" s="42"/>
      <c r="C16" s="43"/>
      <c r="D16" s="43"/>
      <c r="E16" s="44"/>
      <c r="F16" s="43"/>
      <c r="G16" s="43"/>
      <c r="H16" s="134"/>
      <c r="I16" s="132"/>
      <c r="J16" s="131">
        <f>J15</f>
        <v>0</v>
      </c>
      <c r="K16" s="131">
        <f>J16*F15</f>
        <v>0</v>
      </c>
      <c r="L16" s="15"/>
    </row>
    <row r="17" spans="1:12" ht="15" customHeight="1" x14ac:dyDescent="0.25">
      <c r="A17" s="40"/>
      <c r="B17" s="42"/>
      <c r="C17" s="43"/>
      <c r="D17" s="43"/>
      <c r="E17" s="44"/>
      <c r="F17" s="43"/>
      <c r="G17" s="43"/>
      <c r="H17" s="42"/>
      <c r="I17" s="27"/>
      <c r="J17" s="26"/>
      <c r="K17" s="26"/>
      <c r="L17" s="15"/>
    </row>
    <row r="18" spans="1:12" ht="15" customHeight="1" x14ac:dyDescent="0.25">
      <c r="A18" s="40"/>
      <c r="B18" s="42"/>
      <c r="C18" s="43"/>
      <c r="D18" s="43">
        <f>B18*C18</f>
        <v>0</v>
      </c>
      <c r="E18" s="44"/>
      <c r="F18" s="43"/>
      <c r="G18" s="43"/>
      <c r="H18" s="42"/>
      <c r="I18" s="27">
        <f>H18*C18</f>
        <v>0</v>
      </c>
      <c r="J18" s="26">
        <f>B18+E18-H18</f>
        <v>0</v>
      </c>
      <c r="K18" s="26">
        <f>J18*C18</f>
        <v>0</v>
      </c>
      <c r="L18" s="15"/>
    </row>
    <row r="19" spans="1:12" ht="15" customHeight="1" x14ac:dyDescent="0.25">
      <c r="A19" s="40" t="s">
        <v>24</v>
      </c>
      <c r="B19" s="42"/>
      <c r="C19" s="43"/>
      <c r="D19" s="43">
        <f>B19*C19</f>
        <v>0</v>
      </c>
      <c r="E19" s="44"/>
      <c r="F19" s="43"/>
      <c r="G19" s="43"/>
      <c r="H19" s="42"/>
      <c r="I19" s="27">
        <f>H19*C19</f>
        <v>0</v>
      </c>
      <c r="J19" s="26">
        <f>B19+E19-H19</f>
        <v>0</v>
      </c>
      <c r="K19" s="27">
        <f>J19*C19</f>
        <v>0</v>
      </c>
      <c r="L19" s="15"/>
    </row>
    <row r="20" spans="1:12" ht="15" customHeight="1" x14ac:dyDescent="0.25">
      <c r="A20" s="40"/>
      <c r="B20" s="42"/>
      <c r="C20" s="42"/>
      <c r="D20" s="43"/>
      <c r="E20" s="44"/>
      <c r="F20" s="43"/>
      <c r="G20" s="43"/>
      <c r="H20" s="42"/>
      <c r="I20" s="27"/>
      <c r="J20" s="26"/>
      <c r="K20" s="27"/>
      <c r="L20" s="15"/>
    </row>
    <row r="21" spans="1:12" ht="15" customHeight="1" x14ac:dyDescent="0.25">
      <c r="A21" s="40" t="s">
        <v>28</v>
      </c>
      <c r="B21" s="42"/>
      <c r="C21" s="43"/>
      <c r="D21" s="43">
        <f>B21*C21</f>
        <v>0</v>
      </c>
      <c r="E21" s="44"/>
      <c r="F21" s="43"/>
      <c r="G21" s="43">
        <f>E21*F21</f>
        <v>0</v>
      </c>
      <c r="H21" s="42"/>
      <c r="I21" s="27">
        <f>H21*C21</f>
        <v>0</v>
      </c>
      <c r="J21" s="26">
        <f>B21+E21-H21</f>
        <v>0</v>
      </c>
      <c r="K21" s="27">
        <f>J21*C21</f>
        <v>0</v>
      </c>
      <c r="L21" s="15"/>
    </row>
    <row r="22" spans="1:12" ht="14.25" customHeight="1" x14ac:dyDescent="0.25">
      <c r="A22" s="40"/>
      <c r="B22" s="42"/>
      <c r="C22" s="42"/>
      <c r="D22" s="43"/>
      <c r="E22" s="44"/>
      <c r="F22" s="43"/>
      <c r="G22" s="43">
        <f t="shared" ref="G22:G23" si="0">E22*F22</f>
        <v>0</v>
      </c>
      <c r="H22" s="42"/>
      <c r="I22" s="27"/>
      <c r="J22" s="26"/>
      <c r="K22" s="27"/>
      <c r="L22" s="15"/>
    </row>
    <row r="23" spans="1:12" ht="15" customHeight="1" x14ac:dyDescent="0.25">
      <c r="A23" s="40" t="s">
        <v>29</v>
      </c>
      <c r="B23" s="42"/>
      <c r="C23" s="42"/>
      <c r="D23" s="43">
        <f>B23*C23</f>
        <v>0</v>
      </c>
      <c r="E23" s="44"/>
      <c r="F23" s="43"/>
      <c r="G23" s="43">
        <f t="shared" si="0"/>
        <v>0</v>
      </c>
      <c r="H23" s="42"/>
      <c r="I23" s="27">
        <f>H23*C23</f>
        <v>0</v>
      </c>
      <c r="J23" s="26">
        <f>B23+E23-H23</f>
        <v>0</v>
      </c>
      <c r="K23" s="27">
        <f>J23*C23</f>
        <v>0</v>
      </c>
      <c r="L23" s="15"/>
    </row>
    <row r="24" spans="1:12" ht="15" customHeight="1" x14ac:dyDescent="0.25">
      <c r="A24" s="40"/>
      <c r="B24" s="42"/>
      <c r="C24" s="42"/>
      <c r="D24" s="43"/>
      <c r="E24" s="44"/>
      <c r="F24" s="43"/>
      <c r="G24" s="43">
        <f>E24*F24</f>
        <v>0</v>
      </c>
      <c r="H24" s="42"/>
      <c r="I24" s="27"/>
      <c r="J24" s="26">
        <f>B24+E24-H24</f>
        <v>0</v>
      </c>
      <c r="K24" s="27">
        <f>J24*F24</f>
        <v>0</v>
      </c>
      <c r="L24" s="15"/>
    </row>
    <row r="25" spans="1:12" ht="15" customHeight="1" x14ac:dyDescent="0.25">
      <c r="A25" s="40" t="s">
        <v>30</v>
      </c>
      <c r="B25" s="42"/>
      <c r="C25" s="42"/>
      <c r="D25" s="43">
        <f>B25*C25</f>
        <v>0</v>
      </c>
      <c r="E25" s="44"/>
      <c r="F25" s="43"/>
      <c r="G25" s="43">
        <f>E25*F25</f>
        <v>0</v>
      </c>
      <c r="H25" s="42"/>
      <c r="I25" s="27">
        <f>H25*C25</f>
        <v>0</v>
      </c>
      <c r="J25" s="26">
        <f>B25+E25-H25</f>
        <v>0</v>
      </c>
      <c r="K25" s="27">
        <f>J25*C25</f>
        <v>0</v>
      </c>
      <c r="L25" s="15"/>
    </row>
    <row r="26" spans="1:12" ht="15" customHeight="1" x14ac:dyDescent="0.25">
      <c r="A26" s="40"/>
      <c r="B26" s="42"/>
      <c r="C26" s="42"/>
      <c r="D26" s="43"/>
      <c r="E26" s="44"/>
      <c r="F26" s="43"/>
      <c r="G26" s="43"/>
      <c r="H26" s="42"/>
      <c r="I26" s="27"/>
      <c r="J26" s="26"/>
      <c r="K26" s="27"/>
      <c r="L26" s="15"/>
    </row>
    <row r="27" spans="1:12" ht="15" customHeight="1" x14ac:dyDescent="0.25">
      <c r="A27" s="40" t="s">
        <v>31</v>
      </c>
      <c r="B27" s="42"/>
      <c r="C27" s="42"/>
      <c r="D27" s="43">
        <f>B27*C27</f>
        <v>0</v>
      </c>
      <c r="E27" s="44"/>
      <c r="F27" s="43"/>
      <c r="G27" s="43">
        <f>E27*F27</f>
        <v>0</v>
      </c>
      <c r="H27" s="42"/>
      <c r="I27" s="27">
        <f>H27*C27</f>
        <v>0</v>
      </c>
      <c r="J27" s="26">
        <f>B27+E27-H27</f>
        <v>0</v>
      </c>
      <c r="K27" s="27">
        <f>J27*C27</f>
        <v>0</v>
      </c>
      <c r="L27" s="15"/>
    </row>
    <row r="28" spans="1:12" ht="15" customHeight="1" x14ac:dyDescent="0.25">
      <c r="A28" s="40"/>
      <c r="B28" s="42"/>
      <c r="C28" s="42"/>
      <c r="D28" s="43"/>
      <c r="E28" s="44"/>
      <c r="F28" s="43"/>
      <c r="G28" s="43"/>
      <c r="H28" s="42"/>
      <c r="I28" s="27"/>
      <c r="J28" s="26">
        <f>B28+E28-H28</f>
        <v>0</v>
      </c>
      <c r="K28" s="27"/>
      <c r="L28" s="15"/>
    </row>
    <row r="29" spans="1:12" ht="15" customHeight="1" x14ac:dyDescent="0.25">
      <c r="A29" s="40" t="s">
        <v>32</v>
      </c>
      <c r="B29" s="42"/>
      <c r="C29" s="42"/>
      <c r="D29" s="43">
        <f>B29*C29</f>
        <v>0</v>
      </c>
      <c r="E29" s="44"/>
      <c r="F29" s="43"/>
      <c r="G29" s="43"/>
      <c r="H29" s="42"/>
      <c r="I29" s="27">
        <f>H29*C29</f>
        <v>0</v>
      </c>
      <c r="J29" s="26">
        <f>B29+E29-H29</f>
        <v>0</v>
      </c>
      <c r="K29" s="27">
        <f>J29*C29</f>
        <v>0</v>
      </c>
      <c r="L29" s="15"/>
    </row>
    <row r="30" spans="1:12" ht="15" customHeight="1" x14ac:dyDescent="0.25">
      <c r="A30" s="40"/>
      <c r="B30" s="42"/>
      <c r="C30" s="42"/>
      <c r="D30" s="43"/>
      <c r="E30" s="44"/>
      <c r="F30" s="43"/>
      <c r="G30" s="43"/>
      <c r="H30" s="42"/>
      <c r="I30" s="27"/>
      <c r="J30" s="26"/>
      <c r="K30" s="27"/>
      <c r="L30" s="15"/>
    </row>
    <row r="31" spans="1:12" ht="15" customHeight="1" x14ac:dyDescent="0.25">
      <c r="A31" s="40" t="s">
        <v>33</v>
      </c>
      <c r="B31" s="42"/>
      <c r="C31" s="42"/>
      <c r="D31" s="43">
        <f>B31*C31</f>
        <v>0</v>
      </c>
      <c r="E31" s="44"/>
      <c r="F31" s="43"/>
      <c r="G31" s="43">
        <f>E31*F31</f>
        <v>0</v>
      </c>
      <c r="H31" s="42"/>
      <c r="I31" s="27">
        <f>H31*C31</f>
        <v>0</v>
      </c>
      <c r="J31" s="26">
        <f>B31+E31-H31</f>
        <v>0</v>
      </c>
      <c r="K31" s="27">
        <f>J31*C31</f>
        <v>0</v>
      </c>
      <c r="L31" s="15"/>
    </row>
    <row r="32" spans="1:12" ht="15" customHeight="1" x14ac:dyDescent="0.25">
      <c r="A32" s="40"/>
      <c r="B32" s="42"/>
      <c r="C32" s="42"/>
      <c r="D32" s="43"/>
      <c r="E32" s="44"/>
      <c r="F32" s="43"/>
      <c r="G32" s="43">
        <f>E32*F32</f>
        <v>0</v>
      </c>
      <c r="H32" s="42"/>
      <c r="I32" s="27">
        <f>H32*F32</f>
        <v>0</v>
      </c>
      <c r="J32" s="26">
        <f>B32+E32-H32</f>
        <v>0</v>
      </c>
      <c r="K32" s="27">
        <f>J32*F32</f>
        <v>0</v>
      </c>
      <c r="L32" s="15"/>
    </row>
    <row r="33" spans="1:12" ht="15" customHeight="1" x14ac:dyDescent="0.25">
      <c r="A33" s="40" t="s">
        <v>34</v>
      </c>
      <c r="B33" s="42"/>
      <c r="C33" s="42"/>
      <c r="D33" s="43">
        <f>B33*C33</f>
        <v>0</v>
      </c>
      <c r="E33" s="44"/>
      <c r="F33" s="43"/>
      <c r="G33" s="43">
        <f>E33*F33</f>
        <v>0</v>
      </c>
      <c r="H33" s="433"/>
      <c r="I33" s="434">
        <f>H33*C33</f>
        <v>0</v>
      </c>
      <c r="J33" s="26">
        <f>B33+E33-H33</f>
        <v>0</v>
      </c>
      <c r="K33" s="27">
        <f>J33*C33</f>
        <v>0</v>
      </c>
      <c r="L33" s="15">
        <f>J33*C33</f>
        <v>0</v>
      </c>
    </row>
    <row r="34" spans="1:12" ht="15" customHeight="1" x14ac:dyDescent="0.25">
      <c r="A34" s="40"/>
      <c r="B34" s="42"/>
      <c r="C34" s="42"/>
      <c r="D34" s="43"/>
      <c r="E34" s="44"/>
      <c r="F34" s="43"/>
      <c r="G34" s="43"/>
      <c r="H34" s="433"/>
      <c r="I34" s="434"/>
      <c r="J34" s="26">
        <f>B34+E34-H34</f>
        <v>0</v>
      </c>
      <c r="K34" s="27">
        <f>J34*C34</f>
        <v>0</v>
      </c>
      <c r="L34" s="15"/>
    </row>
    <row r="35" spans="1:12" ht="15" customHeight="1" x14ac:dyDescent="0.25">
      <c r="A35" s="40" t="s">
        <v>35</v>
      </c>
      <c r="B35" s="42"/>
      <c r="C35" s="42"/>
      <c r="D35" s="43">
        <f>B35*C35</f>
        <v>0</v>
      </c>
      <c r="E35" s="421"/>
      <c r="F35" s="422"/>
      <c r="G35" s="422">
        <f>E35*F35</f>
        <v>0</v>
      </c>
      <c r="H35" s="433"/>
      <c r="I35" s="434">
        <f>H35*C35</f>
        <v>0</v>
      </c>
      <c r="J35" s="26">
        <f>B35+E35-H35</f>
        <v>0</v>
      </c>
      <c r="K35" s="27">
        <f>J35*C35</f>
        <v>0</v>
      </c>
      <c r="L35" s="15"/>
    </row>
    <row r="36" spans="1:12" ht="15" customHeight="1" x14ac:dyDescent="0.25">
      <c r="A36" s="40"/>
      <c r="B36" s="42"/>
      <c r="C36" s="42"/>
      <c r="D36" s="43"/>
      <c r="E36" s="44"/>
      <c r="F36" s="43"/>
      <c r="G36" s="43"/>
      <c r="H36" s="42"/>
      <c r="I36" s="27"/>
      <c r="J36" s="26"/>
      <c r="K36" s="27"/>
      <c r="L36" s="15"/>
    </row>
    <row r="37" spans="1:12" ht="27" customHeight="1" thickBot="1" x14ac:dyDescent="0.3">
      <c r="A37" s="471" t="s">
        <v>18</v>
      </c>
      <c r="B37" s="472"/>
      <c r="C37" s="472"/>
      <c r="D37" s="472"/>
      <c r="E37" s="94">
        <f>SUM(E8:E36)</f>
        <v>0</v>
      </c>
      <c r="F37" s="94"/>
      <c r="G37" s="94">
        <f>SUM(G8:G36)</f>
        <v>0</v>
      </c>
      <c r="H37" s="85"/>
      <c r="I37" s="85"/>
      <c r="J37" s="55">
        <f>J14</f>
        <v>0</v>
      </c>
      <c r="K37" s="56">
        <f>K14</f>
        <v>0</v>
      </c>
      <c r="L37" s="15"/>
    </row>
    <row r="38" spans="1:12" ht="15" customHeight="1" x14ac:dyDescent="0.25">
      <c r="A38" s="46"/>
      <c r="B38" s="47"/>
      <c r="C38" s="48"/>
      <c r="D38" s="49"/>
      <c r="E38" s="50"/>
      <c r="F38" s="50"/>
      <c r="G38" s="50"/>
      <c r="H38" s="47"/>
      <c r="I38" s="50"/>
      <c r="J38" s="23"/>
      <c r="K38" s="24"/>
      <c r="L38" s="15"/>
    </row>
    <row r="39" spans="1:12" ht="15" customHeight="1" x14ac:dyDescent="0.25">
      <c r="A39" s="46"/>
      <c r="B39" s="47"/>
      <c r="C39" s="48"/>
      <c r="D39" s="49"/>
      <c r="E39" s="50"/>
      <c r="F39" s="50"/>
      <c r="G39" s="50"/>
      <c r="H39" s="47"/>
      <c r="I39" s="50"/>
      <c r="J39" s="23"/>
      <c r="K39" s="24"/>
      <c r="L39" s="15"/>
    </row>
    <row r="40" spans="1:12" ht="15" customHeight="1" x14ac:dyDescent="0.25">
      <c r="A40" s="51"/>
      <c r="B40" s="47"/>
      <c r="C40" s="48"/>
      <c r="D40" s="50"/>
      <c r="E40" s="50"/>
      <c r="F40" s="50"/>
      <c r="G40" s="50"/>
      <c r="H40" s="47"/>
      <c r="I40" s="474"/>
      <c r="J40" s="474"/>
      <c r="K40" s="474"/>
      <c r="L40" s="15"/>
    </row>
    <row r="41" spans="1:12" ht="15" customHeight="1" x14ac:dyDescent="0.25">
      <c r="A41" s="51"/>
      <c r="B41" s="47"/>
      <c r="C41" s="48"/>
      <c r="D41" s="49"/>
      <c r="E41" s="50"/>
      <c r="F41" s="50"/>
      <c r="G41" s="50"/>
      <c r="H41" s="47"/>
      <c r="I41" s="474"/>
      <c r="J41" s="474"/>
      <c r="K41" s="474"/>
      <c r="L41" s="15"/>
    </row>
    <row r="42" spans="1:12" ht="15" customHeight="1" x14ac:dyDescent="0.25">
      <c r="A42" s="63"/>
      <c r="B42" s="47"/>
      <c r="C42" s="48"/>
      <c r="D42" s="50"/>
      <c r="E42" s="50"/>
      <c r="F42" s="50"/>
      <c r="G42" s="50"/>
      <c r="H42" s="47"/>
      <c r="I42" s="474"/>
      <c r="J42" s="474"/>
      <c r="K42" s="474"/>
      <c r="L42" s="15"/>
    </row>
    <row r="43" spans="1:12" ht="15" customHeight="1" x14ac:dyDescent="0.25">
      <c r="A43" s="63"/>
      <c r="B43" s="47"/>
      <c r="C43" s="48"/>
      <c r="D43" s="50"/>
      <c r="E43" s="50"/>
      <c r="F43" s="50"/>
      <c r="G43" s="50"/>
      <c r="H43" s="47"/>
      <c r="I43" s="474"/>
      <c r="J43" s="474"/>
      <c r="K43" s="474"/>
      <c r="L43" s="15"/>
    </row>
    <row r="44" spans="1:12" ht="15" customHeight="1" x14ac:dyDescent="0.25">
      <c r="A44" s="63"/>
      <c r="B44" s="47"/>
      <c r="C44" s="48"/>
      <c r="D44" s="49"/>
      <c r="E44" s="50"/>
      <c r="F44" s="50"/>
      <c r="G44" s="50"/>
      <c r="H44" s="47"/>
      <c r="I44" s="474"/>
      <c r="J44" s="474"/>
      <c r="K44" s="474"/>
      <c r="L44" s="15"/>
    </row>
    <row r="45" spans="1:12" ht="15" customHeight="1" x14ac:dyDescent="0.25">
      <c r="A45" s="63"/>
      <c r="B45" s="47"/>
      <c r="C45" s="48"/>
      <c r="D45" s="50"/>
      <c r="E45" s="50"/>
      <c r="F45" s="50"/>
      <c r="G45" s="50"/>
      <c r="H45" s="47"/>
      <c r="I45" s="473"/>
      <c r="J45" s="473"/>
      <c r="K45" s="473"/>
      <c r="L45" s="15"/>
    </row>
    <row r="46" spans="1:12" ht="15" customHeight="1" x14ac:dyDescent="0.25">
      <c r="A46" s="63"/>
      <c r="B46" s="47"/>
      <c r="C46" s="48"/>
      <c r="D46" s="50"/>
      <c r="E46" s="50"/>
      <c r="F46" s="50"/>
      <c r="G46" s="50"/>
      <c r="H46" s="47"/>
      <c r="I46" s="473"/>
      <c r="J46" s="473"/>
      <c r="K46" s="473"/>
      <c r="L46" s="15"/>
    </row>
    <row r="47" spans="1:12" ht="15" customHeight="1" x14ac:dyDescent="0.25">
      <c r="A47" s="63"/>
      <c r="B47" s="47"/>
      <c r="C47" s="48"/>
      <c r="D47" s="49"/>
      <c r="E47" s="50"/>
      <c r="F47" s="50"/>
      <c r="G47" s="50"/>
      <c r="H47" s="47"/>
      <c r="I47" s="474"/>
      <c r="J47" s="474"/>
      <c r="K47" s="474"/>
      <c r="L47" s="15"/>
    </row>
    <row r="48" spans="1:12" ht="15" customHeight="1" x14ac:dyDescent="0.25">
      <c r="A48" s="63"/>
      <c r="B48" s="47"/>
      <c r="C48" s="48"/>
      <c r="D48" s="50"/>
      <c r="E48" s="50"/>
      <c r="F48" s="50"/>
      <c r="G48" s="50"/>
      <c r="H48" s="47"/>
      <c r="I48" s="50"/>
      <c r="J48" s="23"/>
      <c r="K48" s="24"/>
      <c r="L48" s="15"/>
    </row>
    <row r="49" spans="1:12" ht="15" customHeight="1" x14ac:dyDescent="0.25">
      <c r="A49" s="63"/>
      <c r="B49" s="47"/>
      <c r="C49" s="48"/>
      <c r="D49" s="50"/>
      <c r="E49" s="50"/>
      <c r="F49" s="50"/>
      <c r="G49" s="50"/>
      <c r="H49" s="47"/>
      <c r="I49" s="50"/>
      <c r="J49" s="23"/>
      <c r="K49" s="24"/>
      <c r="L49" s="15"/>
    </row>
    <row r="50" spans="1:12" ht="15" customHeight="1" x14ac:dyDescent="0.25">
      <c r="B50" s="15"/>
      <c r="C50" s="12"/>
      <c r="D50" s="9"/>
      <c r="E50" s="17"/>
      <c r="F50" s="17"/>
      <c r="G50" s="17"/>
      <c r="H50" s="15"/>
      <c r="I50" s="9"/>
      <c r="J50" s="19"/>
      <c r="K50" s="14"/>
      <c r="L50" s="15"/>
    </row>
    <row r="51" spans="1:12" ht="15" customHeight="1" x14ac:dyDescent="0.25">
      <c r="B51" s="15"/>
      <c r="D51" s="17"/>
      <c r="E51" s="17"/>
      <c r="F51" s="17"/>
      <c r="G51" s="17"/>
      <c r="H51" s="15"/>
      <c r="I51" s="17"/>
      <c r="J51" s="19"/>
      <c r="K51" s="20"/>
      <c r="L51" s="15"/>
    </row>
    <row r="52" spans="1:12" ht="15" customHeight="1" x14ac:dyDescent="0.25">
      <c r="B52" s="15"/>
      <c r="D52" s="17"/>
      <c r="E52" s="17"/>
      <c r="F52" s="17"/>
      <c r="G52" s="17"/>
      <c r="H52" s="15"/>
      <c r="I52" s="17"/>
      <c r="J52" s="19"/>
      <c r="K52" s="20"/>
      <c r="L52" s="15"/>
    </row>
    <row r="53" spans="1:12" ht="15" customHeight="1" x14ac:dyDescent="0.25">
      <c r="B53" s="15"/>
      <c r="C53" s="12"/>
      <c r="D53" s="9"/>
      <c r="E53" s="17"/>
      <c r="F53" s="17"/>
      <c r="G53" s="17"/>
      <c r="H53" s="15"/>
      <c r="I53" s="9"/>
      <c r="J53" s="19"/>
      <c r="K53" s="14"/>
      <c r="L53" s="15"/>
    </row>
    <row r="54" spans="1:12" ht="15" customHeight="1" x14ac:dyDescent="0.25">
      <c r="B54" s="15"/>
      <c r="C54" s="12"/>
      <c r="D54" s="17"/>
      <c r="E54" s="17"/>
      <c r="F54" s="17"/>
      <c r="G54" s="17"/>
      <c r="H54" s="15"/>
      <c r="I54" s="17"/>
      <c r="J54" s="19"/>
      <c r="K54" s="20"/>
      <c r="L54" s="15"/>
    </row>
    <row r="55" spans="1:12" ht="15" customHeight="1" x14ac:dyDescent="0.25">
      <c r="B55" s="15"/>
      <c r="C55" s="12"/>
      <c r="D55" s="17"/>
      <c r="E55" s="17"/>
      <c r="F55" s="17"/>
      <c r="G55" s="17"/>
      <c r="H55" s="15"/>
      <c r="I55" s="17"/>
      <c r="J55" s="19"/>
      <c r="K55" s="20"/>
      <c r="L55" s="15"/>
    </row>
    <row r="56" spans="1:12" ht="15" customHeight="1" x14ac:dyDescent="0.25">
      <c r="B56" s="15"/>
      <c r="C56" s="12"/>
      <c r="D56" s="9"/>
      <c r="E56" s="17"/>
      <c r="F56" s="17"/>
      <c r="G56" s="17"/>
      <c r="H56" s="15"/>
      <c r="I56" s="9"/>
      <c r="J56" s="19"/>
      <c r="K56" s="14"/>
      <c r="L56" s="15"/>
    </row>
    <row r="57" spans="1:12" ht="15" customHeight="1" x14ac:dyDescent="0.25">
      <c r="B57" s="15"/>
      <c r="C57" s="12"/>
      <c r="D57" s="17"/>
      <c r="E57" s="17"/>
      <c r="F57" s="17"/>
      <c r="G57" s="17"/>
      <c r="H57" s="15"/>
      <c r="I57" s="17"/>
      <c r="J57" s="19"/>
      <c r="K57" s="20"/>
      <c r="L57" s="15"/>
    </row>
    <row r="58" spans="1:12" ht="15" customHeight="1" x14ac:dyDescent="0.25">
      <c r="B58" s="15"/>
      <c r="C58" s="12"/>
      <c r="D58" s="17"/>
      <c r="E58" s="17"/>
      <c r="F58" s="17"/>
      <c r="G58" s="17"/>
      <c r="H58" s="15"/>
      <c r="I58" s="17"/>
      <c r="J58" s="19"/>
      <c r="K58" s="20"/>
      <c r="L58" s="15"/>
    </row>
    <row r="59" spans="1:12" ht="15" customHeight="1" x14ac:dyDescent="0.25">
      <c r="B59" s="15"/>
      <c r="C59" s="12"/>
      <c r="D59" s="9"/>
      <c r="E59" s="17"/>
      <c r="F59" s="17"/>
      <c r="G59" s="17"/>
      <c r="H59" s="15"/>
      <c r="I59" s="9"/>
      <c r="J59" s="19"/>
      <c r="K59" s="14"/>
      <c r="L59" s="15"/>
    </row>
    <row r="60" spans="1:12" ht="15" customHeight="1" x14ac:dyDescent="0.25">
      <c r="B60" s="15"/>
      <c r="C60" s="12"/>
      <c r="D60" s="17"/>
      <c r="E60" s="17"/>
      <c r="F60" s="17"/>
      <c r="G60" s="17"/>
      <c r="H60" s="15"/>
      <c r="I60" s="17"/>
      <c r="J60" s="15"/>
      <c r="K60" s="17"/>
      <c r="L60" s="15"/>
    </row>
    <row r="61" spans="1:12" ht="15" customHeight="1" x14ac:dyDescent="0.25">
      <c r="B61" s="15"/>
      <c r="C61" s="12"/>
      <c r="D61" s="17"/>
      <c r="E61" s="17"/>
      <c r="F61" s="17"/>
      <c r="G61" s="17"/>
      <c r="H61" s="15"/>
      <c r="I61" s="17"/>
      <c r="J61" s="15"/>
      <c r="K61" s="17"/>
      <c r="L61" s="15"/>
    </row>
    <row r="62" spans="1:12" ht="15" customHeight="1" x14ac:dyDescent="0.25">
      <c r="B62" s="15"/>
      <c r="C62" s="12"/>
      <c r="D62" s="9"/>
      <c r="E62" s="17"/>
      <c r="F62" s="17"/>
      <c r="G62" s="17"/>
      <c r="H62" s="15"/>
      <c r="I62" s="9"/>
      <c r="J62" s="15"/>
      <c r="K62" s="9"/>
      <c r="L62" s="15"/>
    </row>
    <row r="63" spans="1:12" ht="15" customHeight="1" x14ac:dyDescent="0.25">
      <c r="B63" s="15"/>
      <c r="C63" s="12"/>
      <c r="D63" s="17"/>
      <c r="E63" s="17"/>
      <c r="F63" s="17"/>
      <c r="G63" s="17"/>
      <c r="H63" s="15"/>
      <c r="I63" s="17"/>
      <c r="J63" s="15"/>
      <c r="K63" s="17"/>
      <c r="L63" s="15"/>
    </row>
    <row r="64" spans="1:12" ht="15" customHeight="1" x14ac:dyDescent="0.25">
      <c r="B64" s="15"/>
      <c r="C64" s="12"/>
      <c r="D64" s="17"/>
      <c r="E64" s="17"/>
      <c r="F64" s="17"/>
      <c r="G64" s="17"/>
      <c r="H64" s="15"/>
      <c r="I64" s="17"/>
      <c r="J64" s="15"/>
      <c r="K64" s="17"/>
      <c r="L64" s="15"/>
    </row>
    <row r="65" spans="1:12" ht="15" customHeight="1" x14ac:dyDescent="0.25">
      <c r="B65" s="15"/>
      <c r="C65" s="12"/>
      <c r="D65" s="9"/>
      <c r="E65" s="15"/>
      <c r="F65" s="17"/>
      <c r="G65" s="17"/>
      <c r="H65" s="15"/>
      <c r="I65" s="17"/>
      <c r="J65" s="15"/>
      <c r="K65" s="9"/>
      <c r="L65" s="15"/>
    </row>
    <row r="66" spans="1:12" ht="15" customHeight="1" x14ac:dyDescent="0.25">
      <c r="B66" s="15"/>
      <c r="C66" s="15"/>
      <c r="D66" s="9"/>
      <c r="E66" s="17"/>
      <c r="F66" s="17"/>
      <c r="G66" s="17"/>
      <c r="H66" s="15"/>
      <c r="I66" s="17"/>
      <c r="J66" s="15"/>
      <c r="K66" s="17"/>
      <c r="L66" s="15"/>
    </row>
    <row r="67" spans="1:12" ht="15" customHeight="1" x14ac:dyDescent="0.25">
      <c r="B67" s="15"/>
      <c r="C67" s="12"/>
      <c r="D67" s="17"/>
      <c r="E67" s="17"/>
      <c r="F67" s="17"/>
      <c r="G67" s="17"/>
      <c r="H67" s="15"/>
      <c r="I67" s="17"/>
      <c r="J67" s="15"/>
      <c r="K67" s="17"/>
      <c r="L67" s="1"/>
    </row>
    <row r="68" spans="1:12" ht="15" customHeight="1" x14ac:dyDescent="0.25">
      <c r="B68" s="15"/>
      <c r="C68" s="12"/>
      <c r="D68" s="9"/>
      <c r="E68" s="17"/>
      <c r="F68" s="17"/>
      <c r="G68" s="17"/>
      <c r="H68" s="15"/>
      <c r="I68" s="17"/>
      <c r="J68" s="15"/>
      <c r="K68" s="9"/>
      <c r="L68" s="1"/>
    </row>
    <row r="69" spans="1:12" ht="15" customHeight="1" x14ac:dyDescent="0.25">
      <c r="B69" s="15"/>
      <c r="C69" s="12"/>
      <c r="D69" s="17"/>
      <c r="E69" s="17"/>
      <c r="F69" s="17"/>
      <c r="G69" s="17"/>
      <c r="H69" s="15"/>
      <c r="I69" s="17"/>
      <c r="J69" s="15"/>
      <c r="K69" s="17"/>
      <c r="L69" s="1"/>
    </row>
    <row r="70" spans="1:12" ht="15" customHeight="1" x14ac:dyDescent="0.25">
      <c r="B70" s="15"/>
      <c r="C70" s="12"/>
      <c r="D70" s="17"/>
      <c r="E70" s="17"/>
      <c r="F70" s="17"/>
      <c r="G70" s="17"/>
      <c r="H70" s="15"/>
      <c r="I70" s="17"/>
      <c r="J70" s="15"/>
      <c r="K70" s="17"/>
      <c r="L70" s="1"/>
    </row>
    <row r="71" spans="1:12" ht="15" customHeight="1" x14ac:dyDescent="0.25">
      <c r="A71" s="32"/>
      <c r="B71" s="32"/>
      <c r="C71" s="32"/>
      <c r="D71" s="32"/>
      <c r="E71" s="17"/>
      <c r="F71" s="17"/>
      <c r="G71" s="17"/>
      <c r="H71" s="25"/>
      <c r="I71" s="25"/>
      <c r="J71" s="15"/>
      <c r="K71" s="17"/>
      <c r="L71" s="1"/>
    </row>
    <row r="72" spans="1:12" ht="15" customHeight="1" x14ac:dyDescent="0.25">
      <c r="B72" s="15"/>
      <c r="C72" s="12"/>
      <c r="D72" s="17"/>
      <c r="E72" s="17"/>
      <c r="F72" s="17"/>
      <c r="G72" s="17"/>
      <c r="H72" s="15"/>
      <c r="I72" s="17"/>
      <c r="J72" s="15"/>
      <c r="K72" s="17"/>
      <c r="L72" s="1"/>
    </row>
    <row r="73" spans="1:12" ht="15" customHeight="1" x14ac:dyDescent="0.25">
      <c r="B73" s="15"/>
      <c r="C73" s="12"/>
      <c r="D73" s="17"/>
      <c r="E73" s="17"/>
      <c r="F73" s="17"/>
      <c r="G73" s="17"/>
      <c r="H73" s="15"/>
      <c r="I73" s="17"/>
      <c r="J73" s="15"/>
      <c r="K73" s="17"/>
      <c r="L73" s="1"/>
    </row>
    <row r="74" spans="1:12" ht="15" customHeight="1" x14ac:dyDescent="0.25">
      <c r="B74" s="15"/>
      <c r="C74" s="12"/>
      <c r="D74" s="17"/>
      <c r="E74" s="17"/>
      <c r="F74" s="17"/>
      <c r="G74" s="17"/>
      <c r="H74" s="15"/>
      <c r="I74" s="17"/>
      <c r="J74" s="15"/>
      <c r="K74" s="17"/>
      <c r="L74" s="1"/>
    </row>
    <row r="75" spans="1:12" ht="15" customHeight="1" x14ac:dyDescent="0.25">
      <c r="B75" s="15"/>
      <c r="C75" s="12"/>
      <c r="D75" s="17"/>
      <c r="E75" s="17"/>
      <c r="F75" s="17"/>
      <c r="G75" s="17"/>
      <c r="H75" s="15"/>
      <c r="I75" s="17"/>
      <c r="J75" s="15"/>
      <c r="K75" s="17"/>
      <c r="L75" s="1"/>
    </row>
    <row r="76" spans="1:12" ht="15" customHeight="1" x14ac:dyDescent="0.25">
      <c r="B76" s="15"/>
      <c r="C76" s="12"/>
      <c r="D76" s="17"/>
      <c r="E76" s="17"/>
      <c r="F76" s="17"/>
      <c r="G76" s="17"/>
      <c r="H76" s="15"/>
      <c r="I76" s="17"/>
      <c r="J76" s="15"/>
      <c r="K76" s="17"/>
      <c r="L76" s="1"/>
    </row>
    <row r="77" spans="1:12" ht="15" customHeight="1" x14ac:dyDescent="0.25">
      <c r="B77" s="15"/>
      <c r="C77" s="12"/>
      <c r="D77" s="17"/>
      <c r="E77" s="17"/>
      <c r="F77" s="17"/>
      <c r="G77" s="17"/>
      <c r="H77" s="15"/>
      <c r="I77" s="17"/>
      <c r="J77" s="17"/>
      <c r="K77" s="17"/>
      <c r="L77" s="1"/>
    </row>
    <row r="78" spans="1:12" ht="15" customHeight="1" x14ac:dyDescent="0.25">
      <c r="B78" s="15"/>
      <c r="C78" s="12"/>
      <c r="D78" s="17"/>
      <c r="E78" s="17"/>
      <c r="F78" s="17"/>
      <c r="G78" s="17"/>
      <c r="H78" s="15"/>
      <c r="I78" s="17"/>
      <c r="J78" s="17"/>
      <c r="K78" s="17"/>
      <c r="L78" s="1"/>
    </row>
    <row r="79" spans="1:12" ht="15" customHeight="1" x14ac:dyDescent="0.25">
      <c r="B79" s="15"/>
      <c r="C79" s="12"/>
      <c r="D79" s="17"/>
      <c r="E79" s="17"/>
      <c r="F79" s="17"/>
      <c r="G79" s="17"/>
      <c r="H79" s="15"/>
      <c r="I79" s="17"/>
      <c r="J79" s="17"/>
      <c r="K79" s="17"/>
      <c r="L79" s="1"/>
    </row>
    <row r="80" spans="1:12" ht="15" customHeight="1" x14ac:dyDescent="0.25">
      <c r="B80" s="15"/>
      <c r="C80" s="12"/>
      <c r="D80" s="17"/>
      <c r="E80" s="17"/>
      <c r="F80" s="17"/>
      <c r="G80" s="17"/>
      <c r="H80" s="15"/>
      <c r="I80" s="17"/>
      <c r="J80" s="17"/>
      <c r="K80" s="17"/>
      <c r="L80" s="1"/>
    </row>
    <row r="81" spans="2:12" ht="15" customHeight="1" x14ac:dyDescent="0.25">
      <c r="B81" s="15"/>
      <c r="C81" s="12"/>
      <c r="D81" s="17"/>
      <c r="E81" s="17"/>
      <c r="F81" s="17"/>
      <c r="G81" s="17"/>
      <c r="H81" s="15"/>
      <c r="I81" s="17"/>
      <c r="J81" s="17"/>
      <c r="K81" s="17"/>
      <c r="L81" s="1"/>
    </row>
    <row r="82" spans="2:12" ht="15" customHeight="1" x14ac:dyDescent="0.25">
      <c r="B82" s="15"/>
      <c r="C82" s="12"/>
      <c r="D82" s="17"/>
      <c r="E82" s="17"/>
      <c r="F82" s="17"/>
      <c r="G82" s="17"/>
      <c r="H82" s="15"/>
      <c r="I82" s="17"/>
      <c r="J82" s="17"/>
      <c r="K82" s="17"/>
      <c r="L82" s="1"/>
    </row>
    <row r="83" spans="2:12" ht="15" customHeight="1" x14ac:dyDescent="0.25">
      <c r="B83" s="15"/>
      <c r="C83" s="12"/>
      <c r="D83" s="17"/>
      <c r="E83" s="17"/>
      <c r="F83" s="17"/>
      <c r="G83" s="17"/>
      <c r="H83" s="15"/>
      <c r="I83" s="17"/>
      <c r="J83" s="17"/>
      <c r="K83" s="17"/>
      <c r="L83" s="1"/>
    </row>
    <row r="84" spans="2:12" ht="15" customHeight="1" x14ac:dyDescent="0.25">
      <c r="B84" s="15"/>
      <c r="C84" s="12"/>
      <c r="D84" s="17"/>
      <c r="E84" s="17"/>
      <c r="F84" s="17"/>
      <c r="G84" s="17"/>
      <c r="H84" s="15"/>
      <c r="I84" s="17"/>
      <c r="J84" s="17"/>
      <c r="K84" s="17"/>
      <c r="L84" s="1"/>
    </row>
    <row r="85" spans="2:12" ht="15" customHeight="1" x14ac:dyDescent="0.25">
      <c r="B85" s="15"/>
      <c r="C85" s="12"/>
      <c r="D85" s="17"/>
      <c r="E85" s="17"/>
      <c r="F85" s="17"/>
      <c r="G85" s="17"/>
      <c r="H85" s="15"/>
      <c r="I85" s="17"/>
      <c r="J85" s="17"/>
      <c r="K85" s="17"/>
      <c r="L85" s="1"/>
    </row>
    <row r="86" spans="2:12" ht="15" customHeight="1" x14ac:dyDescent="0.25">
      <c r="B86" s="15"/>
      <c r="C86" s="12"/>
      <c r="D86" s="15"/>
      <c r="E86" s="15"/>
      <c r="F86" s="15"/>
      <c r="G86" s="15"/>
      <c r="H86" s="15"/>
      <c r="I86" s="15"/>
      <c r="J86" s="15"/>
      <c r="K86" s="15"/>
      <c r="L86" s="1"/>
    </row>
    <row r="87" spans="2:12" ht="15" customHeight="1" x14ac:dyDescent="0.25">
      <c r="B87" s="15"/>
      <c r="C87" s="12"/>
      <c r="D87" s="15"/>
      <c r="E87" s="15"/>
      <c r="F87" s="15"/>
      <c r="G87" s="15"/>
      <c r="H87" s="15"/>
      <c r="I87" s="15"/>
      <c r="J87" s="15"/>
      <c r="K87" s="15"/>
      <c r="L87" s="1"/>
    </row>
    <row r="88" spans="2:12" ht="15" customHeight="1" x14ac:dyDescent="0.25">
      <c r="B88" s="15"/>
      <c r="C88" s="12"/>
      <c r="D88" s="15"/>
      <c r="E88" s="15"/>
      <c r="F88" s="15"/>
      <c r="G88" s="15"/>
      <c r="H88" s="15"/>
      <c r="I88" s="15"/>
      <c r="J88" s="15"/>
      <c r="K88" s="15"/>
      <c r="L88" s="1"/>
    </row>
    <row r="89" spans="2:12" ht="15" customHeight="1" x14ac:dyDescent="0.25">
      <c r="B89" s="15"/>
      <c r="C89" s="12"/>
      <c r="D89" s="15"/>
      <c r="E89" s="15"/>
      <c r="F89" s="15"/>
      <c r="G89" s="15"/>
      <c r="H89" s="15"/>
      <c r="I89" s="15"/>
      <c r="J89" s="15"/>
      <c r="K89" s="15"/>
      <c r="L89" s="1"/>
    </row>
    <row r="90" spans="2:12" ht="15" customHeight="1" x14ac:dyDescent="0.25">
      <c r="B90" s="15"/>
      <c r="C90" s="12"/>
      <c r="D90" s="15"/>
      <c r="E90" s="15"/>
      <c r="F90" s="15"/>
      <c r="G90" s="15"/>
      <c r="H90" s="15"/>
      <c r="I90" s="15"/>
      <c r="J90" s="15"/>
      <c r="K90" s="15"/>
      <c r="L90" s="1"/>
    </row>
    <row r="91" spans="2:12" ht="15" customHeight="1" x14ac:dyDescent="0.25">
      <c r="B91" s="15"/>
      <c r="C91" s="12"/>
      <c r="D91" s="15"/>
      <c r="E91" s="15"/>
      <c r="F91" s="15"/>
      <c r="G91" s="15"/>
      <c r="H91" s="15"/>
      <c r="I91" s="15"/>
      <c r="J91" s="15"/>
      <c r="K91" s="15"/>
      <c r="L91" s="1"/>
    </row>
    <row r="92" spans="2:12" ht="15" customHeight="1" x14ac:dyDescent="0.25">
      <c r="B92" s="15"/>
      <c r="C92" s="12"/>
      <c r="D92" s="15"/>
      <c r="E92" s="15"/>
      <c r="F92" s="15"/>
      <c r="G92" s="15"/>
      <c r="H92" s="15"/>
      <c r="I92" s="15"/>
      <c r="J92" s="15"/>
      <c r="K92" s="15"/>
      <c r="L92" s="1"/>
    </row>
    <row r="93" spans="2:12" ht="15" customHeight="1" x14ac:dyDescent="0.25">
      <c r="B93" s="15"/>
      <c r="C93" s="12"/>
      <c r="D93" s="15"/>
      <c r="E93" s="15"/>
      <c r="F93" s="15"/>
      <c r="G93" s="15"/>
      <c r="H93" s="15"/>
      <c r="I93" s="15"/>
      <c r="J93" s="15"/>
      <c r="K93" s="15"/>
      <c r="L93" s="1"/>
    </row>
    <row r="94" spans="2:12" ht="15" customHeight="1" x14ac:dyDescent="0.25">
      <c r="B94" s="15"/>
      <c r="C94" s="12"/>
      <c r="D94" s="15"/>
      <c r="E94" s="15"/>
      <c r="F94" s="15"/>
      <c r="G94" s="15"/>
      <c r="H94" s="15"/>
      <c r="I94" s="15"/>
      <c r="J94" s="15"/>
      <c r="K94" s="15"/>
      <c r="L94" s="1"/>
    </row>
    <row r="95" spans="2:12" ht="15" customHeight="1" x14ac:dyDescent="0.25">
      <c r="B95" s="15"/>
      <c r="C95" s="12"/>
      <c r="D95" s="15"/>
      <c r="E95" s="15"/>
      <c r="F95" s="15"/>
      <c r="G95" s="15"/>
      <c r="H95" s="15"/>
      <c r="I95" s="15"/>
      <c r="J95" s="15"/>
      <c r="K95" s="15"/>
      <c r="L95" s="1"/>
    </row>
    <row r="96" spans="2:12" ht="15" customHeight="1" x14ac:dyDescent="0.25">
      <c r="B96" s="15"/>
      <c r="C96" s="12"/>
      <c r="D96" s="15"/>
      <c r="E96" s="15"/>
      <c r="F96" s="15"/>
      <c r="G96" s="15"/>
      <c r="H96" s="15"/>
      <c r="I96" s="15"/>
      <c r="J96" s="15"/>
      <c r="K96" s="15"/>
      <c r="L96" s="1"/>
    </row>
    <row r="97" spans="2:12" ht="15" customHeight="1" x14ac:dyDescent="0.25">
      <c r="B97" s="15"/>
      <c r="C97" s="12"/>
      <c r="D97" s="15"/>
      <c r="E97" s="15"/>
      <c r="F97" s="15"/>
      <c r="G97" s="15"/>
      <c r="H97" s="15"/>
      <c r="I97" s="15"/>
      <c r="J97" s="15"/>
      <c r="K97" s="15"/>
      <c r="L97" s="1"/>
    </row>
    <row r="98" spans="2:12" ht="15" customHeight="1" x14ac:dyDescent="0.25">
      <c r="B98" s="15"/>
      <c r="C98" s="12"/>
      <c r="D98" s="15"/>
      <c r="E98" s="15"/>
      <c r="F98" s="15"/>
      <c r="G98" s="15"/>
      <c r="H98" s="15"/>
      <c r="I98" s="15"/>
      <c r="J98" s="15"/>
      <c r="K98" s="15"/>
      <c r="L98" s="1"/>
    </row>
    <row r="99" spans="2:12" ht="15" customHeight="1" x14ac:dyDescent="0.25">
      <c r="B99" s="15"/>
      <c r="C99" s="12"/>
      <c r="D99" s="15"/>
      <c r="E99" s="15"/>
      <c r="F99" s="15"/>
      <c r="G99" s="15"/>
      <c r="H99" s="15"/>
      <c r="I99" s="15"/>
      <c r="J99" s="15"/>
      <c r="K99" s="15"/>
      <c r="L99" s="1"/>
    </row>
    <row r="100" spans="2:12" ht="15" customHeight="1" x14ac:dyDescent="0.25">
      <c r="C100" s="7"/>
      <c r="H100" s="3"/>
      <c r="L100" s="1"/>
    </row>
    <row r="101" spans="2:12" ht="15" customHeight="1" x14ac:dyDescent="0.25">
      <c r="C101" s="7"/>
      <c r="H101" s="3"/>
      <c r="L101" s="1"/>
    </row>
    <row r="102" spans="2:12" ht="15" customHeight="1" x14ac:dyDescent="0.25">
      <c r="C102" s="7"/>
      <c r="H102" s="3"/>
      <c r="L102" s="1"/>
    </row>
    <row r="103" spans="2:12" ht="15" customHeight="1" x14ac:dyDescent="0.25">
      <c r="C103" s="7"/>
      <c r="H103" s="3"/>
      <c r="L103" s="1"/>
    </row>
    <row r="104" spans="2:12" ht="15" customHeight="1" x14ac:dyDescent="0.25">
      <c r="C104" s="7"/>
      <c r="H104" s="3"/>
      <c r="L104" s="1"/>
    </row>
    <row r="105" spans="2:12" ht="15" customHeight="1" x14ac:dyDescent="0.25">
      <c r="C105" s="7"/>
      <c r="H105" s="3"/>
      <c r="L105" s="1"/>
    </row>
    <row r="106" spans="2:12" ht="15" customHeight="1" x14ac:dyDescent="0.25">
      <c r="C106" s="7"/>
      <c r="H106" s="3"/>
      <c r="L106" s="1"/>
    </row>
    <row r="107" spans="2:12" ht="15" customHeight="1" x14ac:dyDescent="0.25">
      <c r="C107" s="7"/>
      <c r="L107" s="1"/>
    </row>
    <row r="108" spans="2:12" ht="15" customHeight="1" x14ac:dyDescent="0.25">
      <c r="C108" s="7"/>
      <c r="L108" s="1"/>
    </row>
    <row r="109" spans="2:12" ht="15" customHeight="1" x14ac:dyDescent="0.25">
      <c r="C109" s="7"/>
    </row>
    <row r="110" spans="2:12" ht="15" customHeight="1" x14ac:dyDescent="0.25">
      <c r="C110" s="7"/>
    </row>
    <row r="111" spans="2:12" ht="15" customHeight="1" x14ac:dyDescent="0.25">
      <c r="C111" s="7"/>
    </row>
    <row r="112" spans="2:12" ht="15" customHeight="1" x14ac:dyDescent="0.25">
      <c r="C112" s="7"/>
    </row>
    <row r="113" spans="3:3" ht="15" customHeight="1" x14ac:dyDescent="0.25">
      <c r="C113" s="7"/>
    </row>
    <row r="114" spans="3:3" ht="15" customHeight="1" x14ac:dyDescent="0.25">
      <c r="C114" s="7"/>
    </row>
    <row r="115" spans="3:3" ht="15" customHeight="1" x14ac:dyDescent="0.25">
      <c r="C115" s="7"/>
    </row>
    <row r="116" spans="3:3" ht="15" customHeight="1" x14ac:dyDescent="0.25">
      <c r="C116" s="7"/>
    </row>
    <row r="117" spans="3:3" ht="15" customHeight="1" x14ac:dyDescent="0.25">
      <c r="C117" s="7"/>
    </row>
    <row r="118" spans="3:3" ht="15" customHeight="1" x14ac:dyDescent="0.25">
      <c r="C118" s="7"/>
    </row>
    <row r="119" spans="3:3" ht="15" customHeight="1" x14ac:dyDescent="0.25">
      <c r="C119" s="7"/>
    </row>
    <row r="120" spans="3:3" ht="15" customHeight="1" x14ac:dyDescent="0.25">
      <c r="C120" s="7"/>
    </row>
    <row r="121" spans="3:3" ht="15" customHeight="1" x14ac:dyDescent="0.25">
      <c r="C121" s="7"/>
    </row>
    <row r="122" spans="3:3" ht="15" customHeight="1" x14ac:dyDescent="0.25">
      <c r="C122" s="7"/>
    </row>
    <row r="123" spans="3:3" ht="15" customHeight="1" x14ac:dyDescent="0.25">
      <c r="C123" s="7"/>
    </row>
    <row r="124" spans="3:3" ht="15" customHeight="1" x14ac:dyDescent="0.25">
      <c r="C124" s="7"/>
    </row>
    <row r="125" spans="3:3" ht="15" customHeight="1" x14ac:dyDescent="0.25">
      <c r="C125" s="7"/>
    </row>
    <row r="126" spans="3:3" ht="15" customHeight="1" x14ac:dyDescent="0.25">
      <c r="C126" s="7"/>
    </row>
    <row r="127" spans="3:3" ht="15" customHeight="1" x14ac:dyDescent="0.25">
      <c r="C127" s="7"/>
    </row>
    <row r="128" spans="3:3" ht="15" customHeight="1" x14ac:dyDescent="0.25">
      <c r="C128" s="7"/>
    </row>
    <row r="129" spans="3:3" ht="15" customHeight="1" x14ac:dyDescent="0.25">
      <c r="C129" s="5"/>
    </row>
    <row r="130" spans="3:3" ht="15" customHeight="1" x14ac:dyDescent="0.25">
      <c r="C130" s="5"/>
    </row>
    <row r="131" spans="3:3" ht="15" customHeight="1" x14ac:dyDescent="0.25">
      <c r="C131" s="5"/>
    </row>
    <row r="132" spans="3:3" ht="15" customHeight="1" x14ac:dyDescent="0.25">
      <c r="C132" s="5"/>
    </row>
    <row r="133" spans="3:3" ht="15" customHeight="1" x14ac:dyDescent="0.25">
      <c r="C133" s="5"/>
    </row>
    <row r="134" spans="3:3" ht="15" customHeight="1" x14ac:dyDescent="0.25">
      <c r="C134" s="5"/>
    </row>
    <row r="135" spans="3:3" ht="15" customHeight="1" x14ac:dyDescent="0.25">
      <c r="C135" s="5"/>
    </row>
    <row r="136" spans="3:3" ht="15" customHeight="1" x14ac:dyDescent="0.25">
      <c r="C136" s="5"/>
    </row>
    <row r="137" spans="3:3" ht="15" customHeight="1" x14ac:dyDescent="0.25">
      <c r="C137" s="5"/>
    </row>
    <row r="138" spans="3:3" ht="15" customHeight="1" x14ac:dyDescent="0.25">
      <c r="C138" s="5"/>
    </row>
    <row r="139" spans="3:3" ht="15" customHeight="1" x14ac:dyDescent="0.25">
      <c r="C139" s="5"/>
    </row>
    <row r="140" spans="3:3" ht="15" customHeight="1" x14ac:dyDescent="0.25">
      <c r="C140" s="5"/>
    </row>
    <row r="141" spans="3:3" ht="15" customHeight="1" x14ac:dyDescent="0.25">
      <c r="C141" s="5"/>
    </row>
    <row r="142" spans="3:3" ht="15" customHeight="1" x14ac:dyDescent="0.25">
      <c r="C142" s="5"/>
    </row>
    <row r="143" spans="3:3" ht="15" customHeight="1" x14ac:dyDescent="0.25">
      <c r="C143" s="5"/>
    </row>
    <row r="144" spans="3:3" ht="15" customHeight="1" x14ac:dyDescent="0.25">
      <c r="C144" s="5"/>
    </row>
    <row r="145" spans="3:3" ht="15" customHeight="1" x14ac:dyDescent="0.25">
      <c r="C145" s="5"/>
    </row>
    <row r="146" spans="3:3" ht="15" customHeight="1" x14ac:dyDescent="0.25">
      <c r="C146" s="5"/>
    </row>
    <row r="147" spans="3:3" ht="15" customHeight="1" x14ac:dyDescent="0.25">
      <c r="C147" s="5"/>
    </row>
    <row r="148" spans="3:3" ht="15" customHeight="1" x14ac:dyDescent="0.25">
      <c r="C148" s="5"/>
    </row>
    <row r="149" spans="3:3" ht="15" customHeight="1" x14ac:dyDescent="0.25">
      <c r="C149" s="5"/>
    </row>
    <row r="150" spans="3:3" ht="15" customHeight="1" x14ac:dyDescent="0.25">
      <c r="C150" s="5"/>
    </row>
    <row r="151" spans="3:3" ht="15" customHeight="1" x14ac:dyDescent="0.25">
      <c r="C151" s="5"/>
    </row>
    <row r="152" spans="3:3" ht="15" customHeight="1" x14ac:dyDescent="0.25">
      <c r="C152" s="5"/>
    </row>
    <row r="153" spans="3:3" ht="15" customHeight="1" x14ac:dyDescent="0.25">
      <c r="C153" s="5"/>
    </row>
    <row r="154" spans="3:3" ht="15" customHeight="1" x14ac:dyDescent="0.25">
      <c r="C154" s="5"/>
    </row>
    <row r="155" spans="3:3" ht="15" customHeight="1" x14ac:dyDescent="0.25">
      <c r="C155" s="5"/>
    </row>
    <row r="156" spans="3:3" ht="15" customHeight="1" x14ac:dyDescent="0.25">
      <c r="C156" s="5"/>
    </row>
    <row r="157" spans="3:3" ht="15" customHeight="1" x14ac:dyDescent="0.25">
      <c r="C157" s="5"/>
    </row>
    <row r="158" spans="3:3" ht="15" customHeight="1" x14ac:dyDescent="0.25">
      <c r="C158" s="5"/>
    </row>
    <row r="159" spans="3:3" ht="15" customHeight="1" x14ac:dyDescent="0.25">
      <c r="C159" s="5"/>
    </row>
    <row r="160" spans="3:3" ht="15" customHeight="1" x14ac:dyDescent="0.25">
      <c r="C160" s="5"/>
    </row>
    <row r="161" spans="3:3" ht="15" customHeight="1" x14ac:dyDescent="0.25">
      <c r="C161" s="5"/>
    </row>
  </sheetData>
  <mergeCells count="15">
    <mergeCell ref="A3:K3"/>
    <mergeCell ref="A4:A5"/>
    <mergeCell ref="B4:D4"/>
    <mergeCell ref="E4:G4"/>
    <mergeCell ref="H4:I4"/>
    <mergeCell ref="J4:K4"/>
    <mergeCell ref="I45:K45"/>
    <mergeCell ref="I46:K46"/>
    <mergeCell ref="I47:K47"/>
    <mergeCell ref="A37:D37"/>
    <mergeCell ref="I40:K40"/>
    <mergeCell ref="I41:K41"/>
    <mergeCell ref="I42:K42"/>
    <mergeCell ref="I43:K43"/>
    <mergeCell ref="I44:K44"/>
  </mergeCells>
  <pageMargins left="0.31496062992125984" right="0.31496062992125984" top="0.35433070866141736" bottom="0.74803149606299213" header="0.31496062992125984" footer="0.31496062992125984"/>
  <pageSetup paperSize="5" scale="95" orientation="landscape" horizontalDpi="4294967293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L155"/>
  <sheetViews>
    <sheetView showWhiteSpace="0" topLeftCell="A16" zoomScaleNormal="100" zoomScalePageLayoutView="85" workbookViewId="0">
      <selection activeCell="L18" sqref="L18"/>
    </sheetView>
  </sheetViews>
  <sheetFormatPr defaultRowHeight="15" customHeight="1" x14ac:dyDescent="0.25"/>
  <cols>
    <col min="1" max="1" width="12" customWidth="1"/>
    <col min="2" max="2" width="10.28515625" customWidth="1"/>
    <col min="3" max="3" width="14.28515625" customWidth="1"/>
    <col min="4" max="4" width="17.28515625" customWidth="1"/>
    <col min="5" max="5" width="8.5703125" customWidth="1"/>
    <col min="6" max="6" width="11.85546875" customWidth="1"/>
    <col min="7" max="7" width="16.85546875" customWidth="1"/>
    <col min="8" max="8" width="11.42578125" bestFit="1" customWidth="1"/>
    <col min="9" max="9" width="18.28515625" customWidth="1"/>
    <col min="10" max="10" width="11.5703125" customWidth="1"/>
    <col min="11" max="11" width="18" customWidth="1"/>
    <col min="12" max="12" width="22" customWidth="1"/>
  </cols>
  <sheetData>
    <row r="1" spans="1:12" s="95" customFormat="1" ht="15" customHeight="1" x14ac:dyDescent="0.25">
      <c r="A1" s="116" t="s">
        <v>12</v>
      </c>
    </row>
    <row r="2" spans="1:12" s="95" customFormat="1" ht="15" customHeight="1" x14ac:dyDescent="0.25">
      <c r="A2" s="116" t="s">
        <v>108</v>
      </c>
    </row>
    <row r="3" spans="1:12" s="95" customFormat="1" ht="23.25" customHeight="1" x14ac:dyDescent="0.25">
      <c r="A3" s="475" t="s">
        <v>3</v>
      </c>
      <c r="B3" s="475"/>
      <c r="C3" s="475"/>
      <c r="D3" s="475"/>
      <c r="E3" s="475"/>
      <c r="F3" s="475"/>
      <c r="G3" s="475"/>
      <c r="H3" s="475"/>
      <c r="I3" s="475"/>
      <c r="J3" s="475"/>
      <c r="K3" s="475"/>
    </row>
    <row r="4" spans="1:12" ht="18.75" customHeight="1" x14ac:dyDescent="0.25">
      <c r="A4" s="476" t="s">
        <v>0</v>
      </c>
      <c r="B4" s="476" t="s">
        <v>7</v>
      </c>
      <c r="C4" s="476"/>
      <c r="D4" s="476"/>
      <c r="E4" s="476" t="s">
        <v>5</v>
      </c>
      <c r="F4" s="476"/>
      <c r="G4" s="476"/>
      <c r="H4" s="476" t="s">
        <v>4</v>
      </c>
      <c r="I4" s="476"/>
      <c r="J4" s="476" t="s">
        <v>6</v>
      </c>
      <c r="K4" s="476"/>
    </row>
    <row r="5" spans="1:12" ht="21" customHeight="1" x14ac:dyDescent="0.25">
      <c r="A5" s="476"/>
      <c r="B5" s="28" t="s">
        <v>8</v>
      </c>
      <c r="C5" s="28" t="s">
        <v>14</v>
      </c>
      <c r="D5" s="28" t="s">
        <v>13</v>
      </c>
      <c r="E5" s="28" t="s">
        <v>8</v>
      </c>
      <c r="F5" s="28" t="s">
        <v>14</v>
      </c>
      <c r="G5" s="28" t="s">
        <v>10</v>
      </c>
      <c r="H5" s="28" t="s">
        <v>8</v>
      </c>
      <c r="I5" s="28" t="s">
        <v>13</v>
      </c>
      <c r="J5" s="28" t="s">
        <v>8</v>
      </c>
      <c r="K5" s="28" t="s">
        <v>13</v>
      </c>
    </row>
    <row r="6" spans="1:12" ht="11.25" customHeight="1" x14ac:dyDescent="0.25">
      <c r="A6" s="29"/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12" ht="15" customHeight="1" x14ac:dyDescent="0.25">
      <c r="A7" s="40" t="s">
        <v>1</v>
      </c>
      <c r="B7" s="35"/>
      <c r="C7" s="27"/>
      <c r="D7" s="27">
        <f>B7*C7</f>
        <v>0</v>
      </c>
      <c r="E7" s="36"/>
      <c r="F7" s="27"/>
      <c r="G7" s="27"/>
      <c r="H7" s="36">
        <v>0</v>
      </c>
      <c r="I7" s="27">
        <f>H7*C7</f>
        <v>0</v>
      </c>
      <c r="J7" s="26">
        <f>B7+E7-H7</f>
        <v>0</v>
      </c>
      <c r="K7" s="27">
        <f>D7+G7-I7</f>
        <v>0</v>
      </c>
    </row>
    <row r="8" spans="1:12" ht="15" customHeight="1" x14ac:dyDescent="0.25">
      <c r="A8" s="40"/>
      <c r="B8" s="35"/>
      <c r="C8" s="27"/>
      <c r="D8" s="43"/>
      <c r="E8" s="44"/>
      <c r="F8" s="43"/>
      <c r="G8" s="43"/>
      <c r="H8" s="42"/>
      <c r="I8" s="27"/>
      <c r="J8" s="26"/>
      <c r="K8" s="27"/>
      <c r="L8" s="15"/>
    </row>
    <row r="9" spans="1:12" ht="15" customHeight="1" x14ac:dyDescent="0.25">
      <c r="A9" s="40" t="s">
        <v>21</v>
      </c>
      <c r="B9" s="35"/>
      <c r="C9" s="27"/>
      <c r="D9" s="43">
        <f>B9*C9</f>
        <v>0</v>
      </c>
      <c r="E9" s="44"/>
      <c r="F9" s="43"/>
      <c r="G9" s="43">
        <f>E9*F9</f>
        <v>0</v>
      </c>
      <c r="H9" s="42"/>
      <c r="I9" s="27">
        <f>H9*F9</f>
        <v>0</v>
      </c>
      <c r="J9" s="26">
        <f>B9+E9-H9</f>
        <v>0</v>
      </c>
      <c r="K9" s="27">
        <f>J9*C9</f>
        <v>0</v>
      </c>
      <c r="L9" s="15"/>
    </row>
    <row r="10" spans="1:12" ht="15" customHeight="1" x14ac:dyDescent="0.25">
      <c r="B10" s="35"/>
      <c r="C10" s="27"/>
      <c r="D10" s="43"/>
      <c r="E10" s="44"/>
      <c r="F10" s="43"/>
      <c r="G10" s="43"/>
      <c r="H10" s="42"/>
      <c r="I10" s="27"/>
      <c r="J10" s="26"/>
      <c r="K10" s="27"/>
      <c r="L10" s="15"/>
    </row>
    <row r="11" spans="1:12" ht="15" customHeight="1" x14ac:dyDescent="0.25">
      <c r="A11" s="40" t="s">
        <v>22</v>
      </c>
      <c r="B11" s="35"/>
      <c r="C11" s="27"/>
      <c r="D11" s="43">
        <f>B11*C11</f>
        <v>0</v>
      </c>
      <c r="E11" s="44"/>
      <c r="F11" s="43"/>
      <c r="G11" s="43">
        <f>F11*E11</f>
        <v>0</v>
      </c>
      <c r="H11" s="42"/>
      <c r="I11" s="27">
        <f>H11*C11</f>
        <v>0</v>
      </c>
      <c r="J11" s="26">
        <f>B11+E11-H11</f>
        <v>0</v>
      </c>
      <c r="K11" s="27">
        <f>J11*C11</f>
        <v>0</v>
      </c>
      <c r="L11" s="15"/>
    </row>
    <row r="12" spans="1:12" ht="15" customHeight="1" x14ac:dyDescent="0.25">
      <c r="A12" s="40"/>
      <c r="B12" s="35"/>
      <c r="C12" s="27"/>
      <c r="D12" s="43">
        <f>B12*C12</f>
        <v>0</v>
      </c>
      <c r="E12" s="44"/>
      <c r="F12" s="43"/>
      <c r="G12" s="43">
        <f>E12*F12</f>
        <v>0</v>
      </c>
      <c r="H12" s="42"/>
      <c r="I12" s="27"/>
      <c r="J12" s="26">
        <f>B12+E12-H12</f>
        <v>0</v>
      </c>
      <c r="K12" s="27">
        <f>J12*F12</f>
        <v>0</v>
      </c>
      <c r="L12" s="15"/>
    </row>
    <row r="13" spans="1:12" ht="15" customHeight="1" x14ac:dyDescent="0.25">
      <c r="A13" s="40"/>
      <c r="B13" s="35"/>
      <c r="C13" s="27"/>
      <c r="D13" s="43">
        <f>B13*C13</f>
        <v>0</v>
      </c>
      <c r="E13" s="44"/>
      <c r="F13" s="43"/>
      <c r="G13" s="43"/>
      <c r="H13" s="42">
        <v>0</v>
      </c>
      <c r="I13" s="27">
        <f>H13*C13</f>
        <v>0</v>
      </c>
      <c r="J13" s="131">
        <f>SUM(J11:J12)</f>
        <v>0</v>
      </c>
      <c r="K13" s="131">
        <f>SUM(K11:K12)</f>
        <v>0</v>
      </c>
      <c r="L13" s="15"/>
    </row>
    <row r="14" spans="1:12" ht="15" customHeight="1" x14ac:dyDescent="0.25">
      <c r="A14" s="40"/>
      <c r="B14" s="35"/>
      <c r="C14" s="27"/>
      <c r="D14" s="43">
        <f>B14*C14</f>
        <v>0</v>
      </c>
      <c r="E14" s="44"/>
      <c r="F14" s="43"/>
      <c r="G14" s="43"/>
      <c r="H14" s="42"/>
      <c r="I14" s="27"/>
      <c r="J14" s="26"/>
      <c r="K14" s="27">
        <f t="shared" ref="K14:K21" si="0">J14*C14</f>
        <v>0</v>
      </c>
      <c r="L14" s="15"/>
    </row>
    <row r="15" spans="1:12" ht="15" customHeight="1" x14ac:dyDescent="0.25">
      <c r="A15" s="40" t="s">
        <v>24</v>
      </c>
      <c r="B15" s="35"/>
      <c r="C15" s="27"/>
      <c r="D15" s="43">
        <f>B15*C15</f>
        <v>0</v>
      </c>
      <c r="E15" s="44"/>
      <c r="F15" s="43"/>
      <c r="G15" s="43"/>
      <c r="H15" s="42"/>
      <c r="I15" s="27">
        <f>H15*C15</f>
        <v>0</v>
      </c>
      <c r="J15" s="26">
        <f>B15+E15-H15</f>
        <v>0</v>
      </c>
      <c r="K15" s="27">
        <f t="shared" si="0"/>
        <v>0</v>
      </c>
      <c r="L15" s="15"/>
    </row>
    <row r="16" spans="1:12" ht="15" customHeight="1" x14ac:dyDescent="0.25">
      <c r="A16" s="40"/>
      <c r="B16" s="35"/>
      <c r="C16" s="27"/>
      <c r="D16" s="43"/>
      <c r="E16" s="44"/>
      <c r="F16" s="43"/>
      <c r="G16" s="43"/>
      <c r="H16" s="42"/>
      <c r="I16" s="27"/>
      <c r="J16" s="26"/>
      <c r="K16" s="27">
        <f t="shared" si="0"/>
        <v>0</v>
      </c>
      <c r="L16" s="15"/>
    </row>
    <row r="17" spans="1:12" ht="15" customHeight="1" x14ac:dyDescent="0.25">
      <c r="A17" s="40" t="s">
        <v>28</v>
      </c>
      <c r="B17" s="35"/>
      <c r="C17" s="27"/>
      <c r="D17" s="43">
        <f>B17*C17</f>
        <v>0</v>
      </c>
      <c r="E17" s="44"/>
      <c r="F17" s="43"/>
      <c r="G17" s="43"/>
      <c r="H17" s="42"/>
      <c r="I17" s="27">
        <f>H17*C17</f>
        <v>0</v>
      </c>
      <c r="J17" s="26">
        <f>B17+E17-H17</f>
        <v>0</v>
      </c>
      <c r="K17" s="27">
        <f t="shared" si="0"/>
        <v>0</v>
      </c>
      <c r="L17" s="15"/>
    </row>
    <row r="18" spans="1:12" ht="15" customHeight="1" x14ac:dyDescent="0.25">
      <c r="A18" s="40"/>
      <c r="B18" s="42"/>
      <c r="C18" s="42"/>
      <c r="D18" s="43">
        <f>B18*C18</f>
        <v>0</v>
      </c>
      <c r="E18" s="44"/>
      <c r="F18" s="43"/>
      <c r="G18" s="43"/>
      <c r="H18" s="42"/>
      <c r="I18" s="27"/>
      <c r="J18" s="26">
        <f>B18+E18-H18</f>
        <v>0</v>
      </c>
      <c r="K18" s="27">
        <f t="shared" si="0"/>
        <v>0</v>
      </c>
      <c r="L18" s="15"/>
    </row>
    <row r="19" spans="1:12" ht="15" customHeight="1" x14ac:dyDescent="0.25">
      <c r="A19" s="40" t="s">
        <v>30</v>
      </c>
      <c r="B19" s="42"/>
      <c r="C19" s="42"/>
      <c r="D19" s="43">
        <f>B19*C19</f>
        <v>0</v>
      </c>
      <c r="E19" s="44"/>
      <c r="F19" s="43"/>
      <c r="G19" s="43"/>
      <c r="H19" s="42"/>
      <c r="I19" s="27">
        <f>H19*C19</f>
        <v>0</v>
      </c>
      <c r="J19" s="26">
        <f>B19+E19-H19</f>
        <v>0</v>
      </c>
      <c r="K19" s="27">
        <f t="shared" si="0"/>
        <v>0</v>
      </c>
      <c r="L19" s="15"/>
    </row>
    <row r="20" spans="1:12" ht="15" customHeight="1" x14ac:dyDescent="0.25">
      <c r="A20" s="40"/>
      <c r="B20" s="128"/>
      <c r="C20" s="128"/>
      <c r="D20" s="41"/>
      <c r="E20" s="44"/>
      <c r="F20" s="43"/>
      <c r="G20" s="43"/>
      <c r="H20" s="128"/>
      <c r="I20" s="129"/>
      <c r="J20" s="26">
        <f t="shared" ref="J20:J21" si="1">B20+E20-H20</f>
        <v>0</v>
      </c>
      <c r="K20" s="27">
        <f t="shared" si="0"/>
        <v>0</v>
      </c>
      <c r="L20" s="15"/>
    </row>
    <row r="21" spans="1:12" ht="15" customHeight="1" x14ac:dyDescent="0.25">
      <c r="A21" s="40" t="s">
        <v>31</v>
      </c>
      <c r="B21" s="42"/>
      <c r="C21" s="42"/>
      <c r="D21" s="43">
        <f>B21*C21</f>
        <v>0</v>
      </c>
      <c r="E21" s="44"/>
      <c r="F21" s="43"/>
      <c r="G21" s="43"/>
      <c r="H21" s="42"/>
      <c r="I21" s="27">
        <f>H21*C21</f>
        <v>0</v>
      </c>
      <c r="J21" s="26">
        <f t="shared" si="1"/>
        <v>0</v>
      </c>
      <c r="K21" s="27">
        <f t="shared" si="0"/>
        <v>0</v>
      </c>
      <c r="L21" s="15"/>
    </row>
    <row r="22" spans="1:12" ht="15" customHeight="1" x14ac:dyDescent="0.25">
      <c r="A22" s="40"/>
      <c r="B22" s="42"/>
      <c r="C22" s="42"/>
      <c r="D22" s="41"/>
      <c r="E22" s="44"/>
      <c r="F22" s="43"/>
      <c r="G22" s="43"/>
      <c r="H22" s="42"/>
      <c r="I22" s="27"/>
      <c r="J22" s="26"/>
      <c r="K22" s="27"/>
      <c r="L22" s="15"/>
    </row>
    <row r="23" spans="1:12" ht="15" customHeight="1" x14ac:dyDescent="0.25">
      <c r="A23" s="40" t="s">
        <v>32</v>
      </c>
      <c r="B23" s="42"/>
      <c r="C23" s="42"/>
      <c r="D23" s="43">
        <f>B23*C23</f>
        <v>0</v>
      </c>
      <c r="E23" s="44"/>
      <c r="F23" s="43"/>
      <c r="G23" s="43"/>
      <c r="H23" s="42"/>
      <c r="I23" s="27">
        <f>H23*C23</f>
        <v>0</v>
      </c>
      <c r="J23" s="26">
        <f>B23+E23-H23</f>
        <v>0</v>
      </c>
      <c r="K23" s="27">
        <f>J23*C23</f>
        <v>0</v>
      </c>
      <c r="L23" s="15"/>
    </row>
    <row r="24" spans="1:12" ht="15" customHeight="1" x14ac:dyDescent="0.25">
      <c r="A24" s="40"/>
      <c r="B24" s="42"/>
      <c r="C24" s="42"/>
      <c r="D24" s="43"/>
      <c r="E24" s="44"/>
      <c r="F24" s="43"/>
      <c r="G24" s="43"/>
      <c r="H24" s="42"/>
      <c r="I24" s="27"/>
      <c r="J24" s="26">
        <f t="shared" ref="J24:J29" si="2">B24+E24-H24</f>
        <v>0</v>
      </c>
      <c r="K24" s="27"/>
      <c r="L24" s="15"/>
    </row>
    <row r="25" spans="1:12" ht="15" customHeight="1" x14ac:dyDescent="0.25">
      <c r="A25" s="40" t="s">
        <v>33</v>
      </c>
      <c r="B25" s="42"/>
      <c r="C25" s="42"/>
      <c r="D25" s="43">
        <f>B25*C25</f>
        <v>0</v>
      </c>
      <c r="E25" s="44"/>
      <c r="F25" s="43"/>
      <c r="G25" s="43"/>
      <c r="H25" s="42">
        <v>0</v>
      </c>
      <c r="I25" s="27"/>
      <c r="J25" s="26">
        <f t="shared" si="2"/>
        <v>0</v>
      </c>
      <c r="K25" s="27">
        <f>J25*C25</f>
        <v>0</v>
      </c>
      <c r="L25" s="15"/>
    </row>
    <row r="26" spans="1:12" ht="15" customHeight="1" x14ac:dyDescent="0.25">
      <c r="A26" s="40"/>
      <c r="B26" s="42"/>
      <c r="C26" s="42"/>
      <c r="D26" s="43"/>
      <c r="E26" s="44"/>
      <c r="F26" s="43"/>
      <c r="G26" s="43"/>
      <c r="H26" s="42"/>
      <c r="I26" s="27"/>
      <c r="J26" s="26">
        <f t="shared" si="2"/>
        <v>0</v>
      </c>
      <c r="K26" s="27">
        <f t="shared" ref="K26:K29" si="3">J26*C26</f>
        <v>0</v>
      </c>
      <c r="L26" s="15"/>
    </row>
    <row r="27" spans="1:12" ht="15" customHeight="1" x14ac:dyDescent="0.25">
      <c r="A27" s="40" t="s">
        <v>36</v>
      </c>
      <c r="B27" s="42"/>
      <c r="C27" s="42"/>
      <c r="D27" s="43">
        <f>B27*C27</f>
        <v>0</v>
      </c>
      <c r="E27" s="44"/>
      <c r="F27" s="43"/>
      <c r="G27" s="43"/>
      <c r="H27" s="433">
        <v>0</v>
      </c>
      <c r="I27" s="434"/>
      <c r="J27" s="26">
        <f t="shared" si="2"/>
        <v>0</v>
      </c>
      <c r="K27" s="27">
        <f t="shared" si="3"/>
        <v>0</v>
      </c>
      <c r="L27" s="15">
        <f>J27*C27</f>
        <v>0</v>
      </c>
    </row>
    <row r="28" spans="1:12" ht="15" customHeight="1" x14ac:dyDescent="0.25">
      <c r="A28" s="40"/>
      <c r="B28" s="42"/>
      <c r="C28" s="42"/>
      <c r="D28" s="43">
        <f t="shared" ref="D28:D29" si="4">B28*C28</f>
        <v>0</v>
      </c>
      <c r="E28" s="44"/>
      <c r="F28" s="43"/>
      <c r="G28" s="43"/>
      <c r="H28" s="42"/>
      <c r="I28" s="27"/>
      <c r="J28" s="26">
        <f t="shared" si="2"/>
        <v>0</v>
      </c>
      <c r="K28" s="27">
        <f t="shared" si="3"/>
        <v>0</v>
      </c>
      <c r="L28" s="15"/>
    </row>
    <row r="29" spans="1:12" ht="15" customHeight="1" x14ac:dyDescent="0.25">
      <c r="A29" s="40" t="s">
        <v>35</v>
      </c>
      <c r="B29" s="128"/>
      <c r="C29" s="128"/>
      <c r="D29" s="43">
        <f t="shared" si="4"/>
        <v>0</v>
      </c>
      <c r="E29" s="44"/>
      <c r="F29" s="43"/>
      <c r="G29" s="43"/>
      <c r="H29" s="433"/>
      <c r="I29" s="434">
        <f>H29*C29</f>
        <v>0</v>
      </c>
      <c r="J29" s="26">
        <f t="shared" si="2"/>
        <v>0</v>
      </c>
      <c r="K29" s="27">
        <f t="shared" si="3"/>
        <v>0</v>
      </c>
      <c r="L29" s="15"/>
    </row>
    <row r="30" spans="1:12" ht="15" customHeight="1" x14ac:dyDescent="0.25">
      <c r="A30" s="40"/>
      <c r="B30" s="351"/>
      <c r="C30" s="351"/>
      <c r="D30" s="442"/>
      <c r="E30" s="443"/>
      <c r="F30" s="437"/>
      <c r="G30" s="442"/>
      <c r="H30" s="351"/>
      <c r="I30" s="352"/>
      <c r="J30" s="353"/>
      <c r="K30" s="352"/>
      <c r="L30" s="15"/>
    </row>
    <row r="31" spans="1:12" ht="27" customHeight="1" thickBot="1" x14ac:dyDescent="0.3">
      <c r="A31" s="471" t="s">
        <v>109</v>
      </c>
      <c r="B31" s="472"/>
      <c r="C31" s="472"/>
      <c r="D31" s="472"/>
      <c r="E31" s="94">
        <f>SUM(E8:E30)</f>
        <v>0</v>
      </c>
      <c r="F31" s="393"/>
      <c r="G31" s="94">
        <f>SUM(G8:G30)</f>
        <v>0</v>
      </c>
      <c r="H31" s="85"/>
      <c r="I31" s="85"/>
      <c r="J31" s="55">
        <f>J15</f>
        <v>0</v>
      </c>
      <c r="K31" s="56">
        <f>K15</f>
        <v>0</v>
      </c>
      <c r="L31" s="15"/>
    </row>
    <row r="32" spans="1:12" ht="15" customHeight="1" x14ac:dyDescent="0.25">
      <c r="A32" s="46"/>
      <c r="B32" s="47"/>
      <c r="C32" s="48"/>
      <c r="D32" s="49"/>
      <c r="E32" s="50"/>
      <c r="F32" s="50"/>
      <c r="G32" s="50"/>
      <c r="H32" s="47"/>
      <c r="I32" s="50"/>
      <c r="J32" s="23"/>
      <c r="K32" s="24"/>
      <c r="L32" s="15"/>
    </row>
    <row r="33" spans="1:12" ht="15" customHeight="1" x14ac:dyDescent="0.25">
      <c r="A33" s="46"/>
      <c r="B33" s="47"/>
      <c r="C33" s="48"/>
      <c r="D33" s="49"/>
      <c r="E33" s="50"/>
      <c r="F33" s="50"/>
      <c r="G33" s="50"/>
      <c r="H33" s="47"/>
      <c r="I33" s="50"/>
      <c r="J33" s="23"/>
      <c r="K33" s="24"/>
      <c r="L33" s="15"/>
    </row>
    <row r="34" spans="1:12" ht="15" customHeight="1" x14ac:dyDescent="0.25">
      <c r="A34" s="51"/>
      <c r="B34" s="47"/>
      <c r="C34" s="48"/>
      <c r="D34" s="50"/>
      <c r="E34" s="50"/>
      <c r="F34" s="50"/>
      <c r="G34" s="50"/>
      <c r="H34" s="47"/>
      <c r="I34" s="474"/>
      <c r="J34" s="474"/>
      <c r="K34" s="474"/>
      <c r="L34" s="15"/>
    </row>
    <row r="35" spans="1:12" ht="15" customHeight="1" x14ac:dyDescent="0.25">
      <c r="A35" s="51"/>
      <c r="B35" s="47"/>
      <c r="C35" s="48"/>
      <c r="D35" s="49"/>
      <c r="E35" s="50"/>
      <c r="F35" s="50"/>
      <c r="G35" s="50"/>
      <c r="H35" s="47"/>
      <c r="I35" s="474"/>
      <c r="J35" s="474"/>
      <c r="K35" s="474"/>
      <c r="L35" s="15"/>
    </row>
    <row r="36" spans="1:12" ht="15" customHeight="1" x14ac:dyDescent="0.25">
      <c r="A36" s="63"/>
      <c r="B36" s="47"/>
      <c r="C36" s="48"/>
      <c r="D36" s="50"/>
      <c r="E36" s="50"/>
      <c r="F36" s="50"/>
      <c r="G36" s="50"/>
      <c r="H36" s="47"/>
      <c r="I36" s="474"/>
      <c r="J36" s="474"/>
      <c r="K36" s="474"/>
      <c r="L36" s="15"/>
    </row>
    <row r="37" spans="1:12" ht="15" customHeight="1" x14ac:dyDescent="0.25">
      <c r="A37" s="63"/>
      <c r="B37" s="47"/>
      <c r="C37" s="48"/>
      <c r="D37" s="50"/>
      <c r="E37" s="50"/>
      <c r="F37" s="50"/>
      <c r="G37" s="50"/>
      <c r="H37" s="47"/>
      <c r="I37" s="474"/>
      <c r="J37" s="474"/>
      <c r="K37" s="474"/>
      <c r="L37" s="15"/>
    </row>
    <row r="38" spans="1:12" ht="15" customHeight="1" x14ac:dyDescent="0.25">
      <c r="A38" s="63"/>
      <c r="B38" s="47"/>
      <c r="C38" s="48"/>
      <c r="D38" s="49"/>
      <c r="E38" s="50"/>
      <c r="F38" s="50"/>
      <c r="G38" s="50"/>
      <c r="H38" s="47"/>
      <c r="I38" s="474"/>
      <c r="J38" s="474"/>
      <c r="K38" s="474"/>
      <c r="L38" s="15"/>
    </row>
    <row r="39" spans="1:12" ht="15" customHeight="1" x14ac:dyDescent="0.25">
      <c r="A39" s="63"/>
      <c r="B39" s="47"/>
      <c r="C39" s="48"/>
      <c r="D39" s="50"/>
      <c r="E39" s="50"/>
      <c r="F39" s="50"/>
      <c r="G39" s="50"/>
      <c r="H39" s="47"/>
      <c r="I39" s="473"/>
      <c r="J39" s="473"/>
      <c r="K39" s="473"/>
      <c r="L39" s="15"/>
    </row>
    <row r="40" spans="1:12" ht="15" customHeight="1" x14ac:dyDescent="0.25">
      <c r="A40" s="63"/>
      <c r="B40" s="47"/>
      <c r="C40" s="48"/>
      <c r="D40" s="50"/>
      <c r="E40" s="50"/>
      <c r="F40" s="50"/>
      <c r="G40" s="50"/>
      <c r="H40" s="47"/>
      <c r="I40" s="473"/>
      <c r="J40" s="473"/>
      <c r="K40" s="473"/>
      <c r="L40" s="15"/>
    </row>
    <row r="41" spans="1:12" ht="15" customHeight="1" x14ac:dyDescent="0.25">
      <c r="A41" s="63"/>
      <c r="B41" s="47"/>
      <c r="C41" s="48"/>
      <c r="D41" s="49"/>
      <c r="E41" s="50"/>
      <c r="F41" s="50"/>
      <c r="G41" s="50"/>
      <c r="H41" s="47"/>
      <c r="I41" s="474"/>
      <c r="J41" s="474"/>
      <c r="K41" s="474"/>
      <c r="L41" s="15"/>
    </row>
    <row r="42" spans="1:12" ht="15" customHeight="1" x14ac:dyDescent="0.25">
      <c r="A42" s="63"/>
      <c r="B42" s="47"/>
      <c r="C42" s="48"/>
      <c r="D42" s="50"/>
      <c r="E42" s="50"/>
      <c r="F42" s="50"/>
      <c r="G42" s="50"/>
      <c r="H42" s="47"/>
      <c r="I42" s="50"/>
      <c r="J42" s="23"/>
      <c r="K42" s="24"/>
      <c r="L42" s="15"/>
    </row>
    <row r="43" spans="1:12" ht="15" customHeight="1" x14ac:dyDescent="0.25">
      <c r="A43" s="63"/>
      <c r="B43" s="47"/>
      <c r="C43" s="48"/>
      <c r="D43" s="50"/>
      <c r="E43" s="50"/>
      <c r="F43" s="17"/>
      <c r="G43" s="50"/>
      <c r="H43" s="47"/>
      <c r="I43" s="50"/>
      <c r="J43" s="23"/>
      <c r="K43" s="24"/>
      <c r="L43" s="15"/>
    </row>
    <row r="44" spans="1:12" ht="15" customHeight="1" x14ac:dyDescent="0.25">
      <c r="B44" s="15"/>
      <c r="C44" s="12"/>
      <c r="D44" s="9"/>
      <c r="E44" s="17"/>
      <c r="F44" s="17"/>
      <c r="G44" s="17"/>
      <c r="H44" s="15"/>
      <c r="I44" s="9"/>
      <c r="J44" s="19"/>
      <c r="K44" s="14"/>
      <c r="L44" s="15"/>
    </row>
    <row r="45" spans="1:12" ht="15" customHeight="1" x14ac:dyDescent="0.25">
      <c r="B45" s="15"/>
      <c r="D45" s="17"/>
      <c r="E45" s="17"/>
      <c r="F45" s="17"/>
      <c r="G45" s="17"/>
      <c r="H45" s="15"/>
      <c r="I45" s="17"/>
      <c r="J45" s="19"/>
      <c r="K45" s="20"/>
      <c r="L45" s="15"/>
    </row>
    <row r="46" spans="1:12" ht="15" customHeight="1" x14ac:dyDescent="0.25">
      <c r="B46" s="15"/>
      <c r="D46" s="17"/>
      <c r="E46" s="17"/>
      <c r="F46" s="17"/>
      <c r="G46" s="17"/>
      <c r="H46" s="15"/>
      <c r="I46" s="17"/>
      <c r="J46" s="19"/>
      <c r="K46" s="20"/>
      <c r="L46" s="15"/>
    </row>
    <row r="47" spans="1:12" ht="15" customHeight="1" x14ac:dyDescent="0.25">
      <c r="B47" s="15"/>
      <c r="C47" s="12"/>
      <c r="D47" s="9"/>
      <c r="E47" s="17"/>
      <c r="F47" s="17"/>
      <c r="G47" s="17"/>
      <c r="H47" s="15"/>
      <c r="I47" s="9"/>
      <c r="J47" s="19"/>
      <c r="K47" s="14"/>
      <c r="L47" s="15"/>
    </row>
    <row r="48" spans="1:12" ht="15" customHeight="1" x14ac:dyDescent="0.25">
      <c r="B48" s="15"/>
      <c r="C48" s="12"/>
      <c r="D48" s="17"/>
      <c r="E48" s="17"/>
      <c r="F48" s="17"/>
      <c r="G48" s="17"/>
      <c r="H48" s="15"/>
      <c r="I48" s="17"/>
      <c r="J48" s="19"/>
      <c r="K48" s="20"/>
      <c r="L48" s="15"/>
    </row>
    <row r="49" spans="2:12" ht="15" customHeight="1" x14ac:dyDescent="0.25">
      <c r="B49" s="15"/>
      <c r="C49" s="12"/>
      <c r="D49" s="17"/>
      <c r="E49" s="17"/>
      <c r="F49" s="17"/>
      <c r="G49" s="17"/>
      <c r="H49" s="15"/>
      <c r="I49" s="17"/>
      <c r="J49" s="19"/>
      <c r="K49" s="20"/>
      <c r="L49" s="15"/>
    </row>
    <row r="50" spans="2:12" ht="15" customHeight="1" x14ac:dyDescent="0.25">
      <c r="B50" s="15"/>
      <c r="C50" s="12"/>
      <c r="D50" s="9"/>
      <c r="E50" s="17"/>
      <c r="F50" s="17"/>
      <c r="G50" s="17"/>
      <c r="H50" s="15"/>
      <c r="I50" s="9"/>
      <c r="J50" s="19"/>
      <c r="K50" s="14"/>
      <c r="L50" s="15"/>
    </row>
    <row r="51" spans="2:12" ht="15" customHeight="1" x14ac:dyDescent="0.25">
      <c r="B51" s="15"/>
      <c r="C51" s="12"/>
      <c r="D51" s="17"/>
      <c r="E51" s="17"/>
      <c r="F51" s="17"/>
      <c r="G51" s="17"/>
      <c r="H51" s="15"/>
      <c r="I51" s="17"/>
      <c r="J51" s="19"/>
      <c r="K51" s="20"/>
      <c r="L51" s="15"/>
    </row>
    <row r="52" spans="2:12" ht="15" customHeight="1" x14ac:dyDescent="0.25">
      <c r="B52" s="15"/>
      <c r="C52" s="12"/>
      <c r="D52" s="17"/>
      <c r="E52" s="17"/>
      <c r="F52" s="17"/>
      <c r="G52" s="17"/>
      <c r="H52" s="15"/>
      <c r="I52" s="17"/>
      <c r="J52" s="19"/>
      <c r="K52" s="20"/>
      <c r="L52" s="15"/>
    </row>
    <row r="53" spans="2:12" ht="15" customHeight="1" x14ac:dyDescent="0.25">
      <c r="B53" s="15"/>
      <c r="C53" s="12"/>
      <c r="D53" s="9"/>
      <c r="E53" s="17"/>
      <c r="F53" s="17"/>
      <c r="G53" s="17"/>
      <c r="H53" s="15"/>
      <c r="I53" s="9"/>
      <c r="J53" s="19"/>
      <c r="K53" s="14"/>
      <c r="L53" s="15"/>
    </row>
    <row r="54" spans="2:12" ht="15" customHeight="1" x14ac:dyDescent="0.25">
      <c r="B54" s="15"/>
      <c r="C54" s="12"/>
      <c r="D54" s="17"/>
      <c r="E54" s="17"/>
      <c r="F54" s="17"/>
      <c r="G54" s="17"/>
      <c r="H54" s="15"/>
      <c r="I54" s="17"/>
      <c r="J54" s="15"/>
      <c r="K54" s="17"/>
      <c r="L54" s="15"/>
    </row>
    <row r="55" spans="2:12" ht="15" customHeight="1" x14ac:dyDescent="0.25">
      <c r="B55" s="15"/>
      <c r="C55" s="12"/>
      <c r="D55" s="17"/>
      <c r="E55" s="17"/>
      <c r="F55" s="17"/>
      <c r="G55" s="17"/>
      <c r="H55" s="15"/>
      <c r="I55" s="17"/>
      <c r="J55" s="15"/>
      <c r="K55" s="17"/>
      <c r="L55" s="15"/>
    </row>
    <row r="56" spans="2:12" ht="15" customHeight="1" x14ac:dyDescent="0.25">
      <c r="B56" s="15"/>
      <c r="C56" s="12"/>
      <c r="D56" s="9"/>
      <c r="E56" s="17"/>
      <c r="F56" s="17"/>
      <c r="G56" s="17"/>
      <c r="H56" s="15"/>
      <c r="I56" s="9"/>
      <c r="J56" s="15"/>
      <c r="K56" s="9"/>
      <c r="L56" s="15"/>
    </row>
    <row r="57" spans="2:12" ht="15" customHeight="1" x14ac:dyDescent="0.25">
      <c r="B57" s="15"/>
      <c r="C57" s="12"/>
      <c r="D57" s="17"/>
      <c r="E57" s="17"/>
      <c r="F57" s="17"/>
      <c r="G57" s="17"/>
      <c r="H57" s="15"/>
      <c r="I57" s="17"/>
      <c r="J57" s="15"/>
      <c r="K57" s="17"/>
      <c r="L57" s="15"/>
    </row>
    <row r="58" spans="2:12" ht="15" customHeight="1" x14ac:dyDescent="0.25">
      <c r="B58" s="15"/>
      <c r="C58" s="12"/>
      <c r="D58" s="17"/>
      <c r="E58" s="17"/>
      <c r="F58" s="17"/>
      <c r="G58" s="17"/>
      <c r="H58" s="15"/>
      <c r="I58" s="17"/>
      <c r="J58" s="15"/>
      <c r="K58" s="17"/>
      <c r="L58" s="15"/>
    </row>
    <row r="59" spans="2:12" ht="15" customHeight="1" x14ac:dyDescent="0.25">
      <c r="B59" s="15"/>
      <c r="C59" s="12"/>
      <c r="D59" s="9"/>
      <c r="E59" s="15"/>
      <c r="F59" s="17"/>
      <c r="G59" s="17"/>
      <c r="H59" s="15"/>
      <c r="I59" s="17"/>
      <c r="J59" s="15"/>
      <c r="K59" s="9"/>
      <c r="L59" s="15"/>
    </row>
    <row r="60" spans="2:12" ht="15" customHeight="1" x14ac:dyDescent="0.25">
      <c r="B60" s="15"/>
      <c r="C60" s="15"/>
      <c r="D60" s="9"/>
      <c r="E60" s="17"/>
      <c r="F60" s="17"/>
      <c r="G60" s="17"/>
      <c r="H60" s="15"/>
      <c r="I60" s="17"/>
      <c r="J60" s="15"/>
      <c r="K60" s="17"/>
      <c r="L60" s="15"/>
    </row>
    <row r="61" spans="2:12" ht="15" customHeight="1" x14ac:dyDescent="0.25">
      <c r="B61" s="15"/>
      <c r="C61" s="12"/>
      <c r="D61" s="17"/>
      <c r="E61" s="17"/>
      <c r="F61" s="17"/>
      <c r="G61" s="17"/>
      <c r="H61" s="15"/>
      <c r="I61" s="17"/>
      <c r="J61" s="15"/>
      <c r="K61" s="17"/>
      <c r="L61" s="1"/>
    </row>
    <row r="62" spans="2:12" ht="15" customHeight="1" x14ac:dyDescent="0.25">
      <c r="B62" s="15"/>
      <c r="C62" s="12"/>
      <c r="D62" s="9"/>
      <c r="E62" s="17"/>
      <c r="F62" s="17"/>
      <c r="G62" s="17"/>
      <c r="H62" s="15"/>
      <c r="I62" s="17"/>
      <c r="J62" s="15"/>
      <c r="K62" s="9"/>
      <c r="L62" s="1"/>
    </row>
    <row r="63" spans="2:12" ht="15" customHeight="1" x14ac:dyDescent="0.25">
      <c r="B63" s="15"/>
      <c r="C63" s="12"/>
      <c r="D63" s="17"/>
      <c r="E63" s="17"/>
      <c r="F63" s="17"/>
      <c r="G63" s="17"/>
      <c r="H63" s="15"/>
      <c r="I63" s="17"/>
      <c r="J63" s="15"/>
      <c r="K63" s="17"/>
      <c r="L63" s="1"/>
    </row>
    <row r="64" spans="2:12" ht="15" customHeight="1" x14ac:dyDescent="0.25">
      <c r="B64" s="15"/>
      <c r="C64" s="12"/>
      <c r="D64" s="17"/>
      <c r="E64" s="17"/>
      <c r="F64" s="17"/>
      <c r="G64" s="17"/>
      <c r="H64" s="15"/>
      <c r="I64" s="17"/>
      <c r="J64" s="15"/>
      <c r="K64" s="17"/>
      <c r="L64" s="1"/>
    </row>
    <row r="65" spans="1:12" ht="15" customHeight="1" x14ac:dyDescent="0.25">
      <c r="A65" s="32"/>
      <c r="B65" s="32"/>
      <c r="C65" s="32"/>
      <c r="D65" s="32"/>
      <c r="E65" s="17"/>
      <c r="F65" s="17"/>
      <c r="G65" s="17"/>
      <c r="H65" s="25"/>
      <c r="I65" s="25"/>
      <c r="J65" s="15"/>
      <c r="K65" s="17"/>
      <c r="L65" s="1"/>
    </row>
    <row r="66" spans="1:12" ht="15" customHeight="1" x14ac:dyDescent="0.25">
      <c r="B66" s="15"/>
      <c r="C66" s="12"/>
      <c r="D66" s="17"/>
      <c r="E66" s="17"/>
      <c r="F66" s="17"/>
      <c r="G66" s="17"/>
      <c r="H66" s="15"/>
      <c r="I66" s="17"/>
      <c r="J66" s="15"/>
      <c r="K66" s="17"/>
      <c r="L66" s="1"/>
    </row>
    <row r="67" spans="1:12" ht="15" customHeight="1" x14ac:dyDescent="0.25">
      <c r="B67" s="15"/>
      <c r="C67" s="12"/>
      <c r="D67" s="17"/>
      <c r="E67" s="17"/>
      <c r="F67" s="17"/>
      <c r="G67" s="17"/>
      <c r="H67" s="15"/>
      <c r="I67" s="17"/>
      <c r="J67" s="15"/>
      <c r="K67" s="17"/>
      <c r="L67" s="1"/>
    </row>
    <row r="68" spans="1:12" ht="15" customHeight="1" x14ac:dyDescent="0.25">
      <c r="B68" s="15"/>
      <c r="C68" s="12"/>
      <c r="D68" s="17"/>
      <c r="E68" s="17"/>
      <c r="F68" s="17"/>
      <c r="G68" s="17"/>
      <c r="H68" s="15"/>
      <c r="I68" s="17"/>
      <c r="J68" s="15"/>
      <c r="K68" s="17"/>
      <c r="L68" s="1"/>
    </row>
    <row r="69" spans="1:12" ht="15" customHeight="1" x14ac:dyDescent="0.25">
      <c r="B69" s="15"/>
      <c r="C69" s="12"/>
      <c r="D69" s="17"/>
      <c r="E69" s="17"/>
      <c r="F69" s="17"/>
      <c r="G69" s="17"/>
      <c r="H69" s="15"/>
      <c r="I69" s="17"/>
      <c r="J69" s="15"/>
      <c r="K69" s="17"/>
      <c r="L69" s="1"/>
    </row>
    <row r="70" spans="1:12" ht="15" customHeight="1" x14ac:dyDescent="0.25">
      <c r="B70" s="15"/>
      <c r="C70" s="12"/>
      <c r="D70" s="17"/>
      <c r="E70" s="17"/>
      <c r="F70" s="17"/>
      <c r="G70" s="17"/>
      <c r="H70" s="15"/>
      <c r="I70" s="17"/>
      <c r="J70" s="15"/>
      <c r="K70" s="17"/>
      <c r="L70" s="1"/>
    </row>
    <row r="71" spans="1:12" ht="15" customHeight="1" x14ac:dyDescent="0.25">
      <c r="B71" s="15"/>
      <c r="C71" s="12"/>
      <c r="D71" s="17"/>
      <c r="E71" s="17"/>
      <c r="F71" s="17"/>
      <c r="G71" s="17"/>
      <c r="H71" s="15"/>
      <c r="I71" s="17"/>
      <c r="J71" s="17"/>
      <c r="K71" s="17"/>
      <c r="L71" s="1"/>
    </row>
    <row r="72" spans="1:12" ht="15" customHeight="1" x14ac:dyDescent="0.25">
      <c r="B72" s="15"/>
      <c r="C72" s="12"/>
      <c r="D72" s="17"/>
      <c r="E72" s="17"/>
      <c r="F72" s="17"/>
      <c r="G72" s="17"/>
      <c r="H72" s="15"/>
      <c r="I72" s="17"/>
      <c r="J72" s="17"/>
      <c r="K72" s="17"/>
      <c r="L72" s="1"/>
    </row>
    <row r="73" spans="1:12" ht="15" customHeight="1" x14ac:dyDescent="0.25">
      <c r="B73" s="15"/>
      <c r="C73" s="12"/>
      <c r="D73" s="17"/>
      <c r="E73" s="17"/>
      <c r="F73" s="17"/>
      <c r="G73" s="17"/>
      <c r="H73" s="15"/>
      <c r="I73" s="17"/>
      <c r="J73" s="17"/>
      <c r="K73" s="17"/>
      <c r="L73" s="1"/>
    </row>
    <row r="74" spans="1:12" ht="15" customHeight="1" x14ac:dyDescent="0.25">
      <c r="B74" s="15"/>
      <c r="C74" s="12"/>
      <c r="D74" s="17"/>
      <c r="E74" s="17"/>
      <c r="F74" s="17"/>
      <c r="G74" s="17"/>
      <c r="H74" s="15"/>
      <c r="I74" s="17"/>
      <c r="J74" s="17"/>
      <c r="K74" s="17"/>
      <c r="L74" s="1"/>
    </row>
    <row r="75" spans="1:12" ht="15" customHeight="1" x14ac:dyDescent="0.25">
      <c r="B75" s="15"/>
      <c r="C75" s="12"/>
      <c r="D75" s="17"/>
      <c r="E75" s="17"/>
      <c r="F75" s="17"/>
      <c r="G75" s="17"/>
      <c r="H75" s="15"/>
      <c r="I75" s="17"/>
      <c r="J75" s="17"/>
      <c r="K75" s="17"/>
      <c r="L75" s="1"/>
    </row>
    <row r="76" spans="1:12" ht="15" customHeight="1" x14ac:dyDescent="0.25">
      <c r="B76" s="15"/>
      <c r="C76" s="12"/>
      <c r="D76" s="17"/>
      <c r="E76" s="17"/>
      <c r="F76" s="17"/>
      <c r="G76" s="17"/>
      <c r="H76" s="15"/>
      <c r="I76" s="17"/>
      <c r="J76" s="17"/>
      <c r="K76" s="17"/>
      <c r="L76" s="1"/>
    </row>
    <row r="77" spans="1:12" ht="15" customHeight="1" x14ac:dyDescent="0.25">
      <c r="B77" s="15"/>
      <c r="C77" s="12"/>
      <c r="D77" s="17"/>
      <c r="E77" s="17"/>
      <c r="F77" s="17"/>
      <c r="G77" s="17"/>
      <c r="H77" s="15"/>
      <c r="I77" s="17"/>
      <c r="J77" s="17"/>
      <c r="K77" s="17"/>
      <c r="L77" s="1"/>
    </row>
    <row r="78" spans="1:12" ht="15" customHeight="1" x14ac:dyDescent="0.25">
      <c r="B78" s="15"/>
      <c r="C78" s="12"/>
      <c r="D78" s="17"/>
      <c r="E78" s="17"/>
      <c r="F78" s="17"/>
      <c r="G78" s="17"/>
      <c r="H78" s="15"/>
      <c r="I78" s="17"/>
      <c r="J78" s="17"/>
      <c r="K78" s="17"/>
      <c r="L78" s="1"/>
    </row>
    <row r="79" spans="1:12" ht="15" customHeight="1" x14ac:dyDescent="0.25">
      <c r="B79" s="15"/>
      <c r="C79" s="12"/>
      <c r="D79" s="17"/>
      <c r="E79" s="17"/>
      <c r="F79" s="15"/>
      <c r="G79" s="17"/>
      <c r="H79" s="15"/>
      <c r="I79" s="17"/>
      <c r="J79" s="17"/>
      <c r="K79" s="17"/>
      <c r="L79" s="1"/>
    </row>
    <row r="80" spans="1:12" ht="15" customHeight="1" x14ac:dyDescent="0.25">
      <c r="B80" s="15"/>
      <c r="C80" s="12"/>
      <c r="D80" s="15"/>
      <c r="E80" s="15"/>
      <c r="F80" s="15"/>
      <c r="G80" s="15"/>
      <c r="H80" s="15"/>
      <c r="I80" s="15"/>
      <c r="J80" s="15"/>
      <c r="K80" s="15"/>
      <c r="L80" s="1"/>
    </row>
    <row r="81" spans="2:12" ht="15" customHeight="1" x14ac:dyDescent="0.25">
      <c r="B81" s="15"/>
      <c r="C81" s="12"/>
      <c r="D81" s="15"/>
      <c r="E81" s="15"/>
      <c r="F81" s="15"/>
      <c r="G81" s="15"/>
      <c r="H81" s="15"/>
      <c r="I81" s="15"/>
      <c r="J81" s="15"/>
      <c r="K81" s="15"/>
      <c r="L81" s="1"/>
    </row>
    <row r="82" spans="2:12" ht="15" customHeight="1" x14ac:dyDescent="0.25">
      <c r="B82" s="15"/>
      <c r="C82" s="12"/>
      <c r="D82" s="15"/>
      <c r="E82" s="15"/>
      <c r="F82" s="15"/>
      <c r="G82" s="15"/>
      <c r="H82" s="15"/>
      <c r="I82" s="15"/>
      <c r="J82" s="15"/>
      <c r="K82" s="15"/>
      <c r="L82" s="1"/>
    </row>
    <row r="83" spans="2:12" ht="15" customHeight="1" x14ac:dyDescent="0.25">
      <c r="B83" s="15"/>
      <c r="C83" s="12"/>
      <c r="D83" s="15"/>
      <c r="E83" s="15"/>
      <c r="F83" s="15"/>
      <c r="G83" s="15"/>
      <c r="H83" s="15"/>
      <c r="I83" s="15"/>
      <c r="J83" s="15"/>
      <c r="K83" s="15"/>
      <c r="L83" s="1"/>
    </row>
    <row r="84" spans="2:12" ht="15" customHeight="1" x14ac:dyDescent="0.25">
      <c r="B84" s="15"/>
      <c r="C84" s="12"/>
      <c r="D84" s="15"/>
      <c r="E84" s="15"/>
      <c r="F84" s="15"/>
      <c r="G84" s="15"/>
      <c r="H84" s="15"/>
      <c r="I84" s="15"/>
      <c r="J84" s="15"/>
      <c r="K84" s="15"/>
      <c r="L84" s="1"/>
    </row>
    <row r="85" spans="2:12" ht="15" customHeight="1" x14ac:dyDescent="0.25">
      <c r="B85" s="15"/>
      <c r="C85" s="12"/>
      <c r="D85" s="15"/>
      <c r="E85" s="15"/>
      <c r="F85" s="15"/>
      <c r="G85" s="15"/>
      <c r="H85" s="15"/>
      <c r="I85" s="15"/>
      <c r="J85" s="15"/>
      <c r="K85" s="15"/>
      <c r="L85" s="1"/>
    </row>
    <row r="86" spans="2:12" ht="15" customHeight="1" x14ac:dyDescent="0.25">
      <c r="B86" s="15"/>
      <c r="C86" s="12"/>
      <c r="D86" s="15"/>
      <c r="E86" s="15"/>
      <c r="F86" s="15"/>
      <c r="G86" s="15"/>
      <c r="H86" s="15"/>
      <c r="I86" s="15"/>
      <c r="J86" s="15"/>
      <c r="K86" s="15"/>
      <c r="L86" s="1"/>
    </row>
    <row r="87" spans="2:12" ht="15" customHeight="1" x14ac:dyDescent="0.25">
      <c r="B87" s="15"/>
      <c r="C87" s="12"/>
      <c r="D87" s="15"/>
      <c r="E87" s="15"/>
      <c r="F87" s="15"/>
      <c r="G87" s="15"/>
      <c r="H87" s="15"/>
      <c r="I87" s="15"/>
      <c r="J87" s="15"/>
      <c r="K87" s="15"/>
      <c r="L87" s="1"/>
    </row>
    <row r="88" spans="2:12" ht="15" customHeight="1" x14ac:dyDescent="0.25">
      <c r="B88" s="15"/>
      <c r="C88" s="12"/>
      <c r="D88" s="15"/>
      <c r="E88" s="15"/>
      <c r="F88" s="15"/>
      <c r="G88" s="15"/>
      <c r="H88" s="15"/>
      <c r="I88" s="15"/>
      <c r="J88" s="15"/>
      <c r="K88" s="15"/>
      <c r="L88" s="1"/>
    </row>
    <row r="89" spans="2:12" ht="15" customHeight="1" x14ac:dyDescent="0.25">
      <c r="B89" s="15"/>
      <c r="C89" s="12"/>
      <c r="D89" s="15"/>
      <c r="E89" s="15"/>
      <c r="F89" s="15"/>
      <c r="G89" s="15"/>
      <c r="H89" s="15"/>
      <c r="I89" s="15"/>
      <c r="J89" s="15"/>
      <c r="K89" s="15"/>
      <c r="L89" s="1"/>
    </row>
    <row r="90" spans="2:12" ht="15" customHeight="1" x14ac:dyDescent="0.25">
      <c r="B90" s="15"/>
      <c r="C90" s="12"/>
      <c r="D90" s="15"/>
      <c r="E90" s="15"/>
      <c r="F90" s="15"/>
      <c r="G90" s="15"/>
      <c r="H90" s="15"/>
      <c r="I90" s="15"/>
      <c r="J90" s="15"/>
      <c r="K90" s="15"/>
      <c r="L90" s="1"/>
    </row>
    <row r="91" spans="2:12" ht="15" customHeight="1" x14ac:dyDescent="0.25">
      <c r="B91" s="15"/>
      <c r="C91" s="12"/>
      <c r="D91" s="15"/>
      <c r="E91" s="15"/>
      <c r="F91" s="15"/>
      <c r="G91" s="15"/>
      <c r="H91" s="15"/>
      <c r="I91" s="15"/>
      <c r="J91" s="15"/>
      <c r="K91" s="15"/>
      <c r="L91" s="1"/>
    </row>
    <row r="92" spans="2:12" ht="15" customHeight="1" x14ac:dyDescent="0.25">
      <c r="B92" s="15"/>
      <c r="C92" s="12"/>
      <c r="D92" s="15"/>
      <c r="E92" s="15"/>
      <c r="F92" s="15"/>
      <c r="G92" s="15"/>
      <c r="H92" s="15"/>
      <c r="I92" s="15"/>
      <c r="J92" s="15"/>
      <c r="K92" s="15"/>
      <c r="L92" s="1"/>
    </row>
    <row r="93" spans="2:12" ht="15" customHeight="1" x14ac:dyDescent="0.25">
      <c r="B93" s="15"/>
      <c r="C93" s="12"/>
      <c r="D93" s="15"/>
      <c r="E93" s="15"/>
      <c r="G93" s="15"/>
      <c r="H93" s="15"/>
      <c r="I93" s="15"/>
      <c r="J93" s="15"/>
      <c r="K93" s="15"/>
      <c r="L93" s="1"/>
    </row>
    <row r="94" spans="2:12" ht="15" customHeight="1" x14ac:dyDescent="0.25">
      <c r="C94" s="7"/>
      <c r="H94" s="3"/>
      <c r="L94" s="1"/>
    </row>
    <row r="95" spans="2:12" ht="15" customHeight="1" x14ac:dyDescent="0.25">
      <c r="C95" s="7"/>
      <c r="H95" s="3"/>
      <c r="L95" s="1"/>
    </row>
    <row r="96" spans="2:12" ht="15" customHeight="1" x14ac:dyDescent="0.25">
      <c r="C96" s="7"/>
      <c r="H96" s="3"/>
      <c r="L96" s="1"/>
    </row>
    <row r="97" spans="3:12" ht="15" customHeight="1" x14ac:dyDescent="0.25">
      <c r="C97" s="7"/>
      <c r="H97" s="3"/>
      <c r="L97" s="1"/>
    </row>
    <row r="98" spans="3:12" ht="15" customHeight="1" x14ac:dyDescent="0.25">
      <c r="C98" s="7"/>
      <c r="H98" s="3"/>
      <c r="L98" s="1"/>
    </row>
    <row r="99" spans="3:12" ht="15" customHeight="1" x14ac:dyDescent="0.25">
      <c r="C99" s="7"/>
      <c r="H99" s="3"/>
      <c r="L99" s="1"/>
    </row>
    <row r="100" spans="3:12" ht="15" customHeight="1" x14ac:dyDescent="0.25">
      <c r="C100" s="7"/>
      <c r="H100" s="3"/>
      <c r="L100" s="1"/>
    </row>
    <row r="101" spans="3:12" ht="15" customHeight="1" x14ac:dyDescent="0.25">
      <c r="C101" s="7"/>
      <c r="L101" s="1"/>
    </row>
    <row r="102" spans="3:12" ht="15" customHeight="1" x14ac:dyDescent="0.25">
      <c r="C102" s="7"/>
      <c r="L102" s="1"/>
    </row>
    <row r="103" spans="3:12" ht="15" customHeight="1" x14ac:dyDescent="0.25">
      <c r="C103" s="7"/>
    </row>
    <row r="104" spans="3:12" ht="15" customHeight="1" x14ac:dyDescent="0.25">
      <c r="C104" s="7"/>
    </row>
    <row r="105" spans="3:12" ht="15" customHeight="1" x14ac:dyDescent="0.25">
      <c r="C105" s="7"/>
    </row>
    <row r="106" spans="3:12" ht="15" customHeight="1" x14ac:dyDescent="0.25">
      <c r="C106" s="7"/>
    </row>
    <row r="107" spans="3:12" ht="15" customHeight="1" x14ac:dyDescent="0.25">
      <c r="C107" s="7"/>
    </row>
    <row r="108" spans="3:12" ht="15" customHeight="1" x14ac:dyDescent="0.25">
      <c r="C108" s="7"/>
    </row>
    <row r="109" spans="3:12" ht="15" customHeight="1" x14ac:dyDescent="0.25">
      <c r="C109" s="7"/>
    </row>
    <row r="110" spans="3:12" ht="15" customHeight="1" x14ac:dyDescent="0.25">
      <c r="C110" s="7"/>
    </row>
    <row r="111" spans="3:12" ht="15" customHeight="1" x14ac:dyDescent="0.25">
      <c r="C111" s="7"/>
    </row>
    <row r="112" spans="3:12" ht="15" customHeight="1" x14ac:dyDescent="0.25">
      <c r="C112" s="7"/>
    </row>
    <row r="113" spans="3:3" ht="15" customHeight="1" x14ac:dyDescent="0.25">
      <c r="C113" s="7"/>
    </row>
    <row r="114" spans="3:3" ht="15" customHeight="1" x14ac:dyDescent="0.25">
      <c r="C114" s="7"/>
    </row>
    <row r="115" spans="3:3" ht="15" customHeight="1" x14ac:dyDescent="0.25">
      <c r="C115" s="7"/>
    </row>
    <row r="116" spans="3:3" ht="15" customHeight="1" x14ac:dyDescent="0.25">
      <c r="C116" s="7"/>
    </row>
    <row r="117" spans="3:3" ht="15" customHeight="1" x14ac:dyDescent="0.25">
      <c r="C117" s="7"/>
    </row>
    <row r="118" spans="3:3" ht="15" customHeight="1" x14ac:dyDescent="0.25">
      <c r="C118" s="7"/>
    </row>
    <row r="119" spans="3:3" ht="15" customHeight="1" x14ac:dyDescent="0.25">
      <c r="C119" s="7"/>
    </row>
    <row r="120" spans="3:3" ht="15" customHeight="1" x14ac:dyDescent="0.25">
      <c r="C120" s="7"/>
    </row>
    <row r="121" spans="3:3" ht="15" customHeight="1" x14ac:dyDescent="0.25">
      <c r="C121" s="7"/>
    </row>
    <row r="122" spans="3:3" ht="15" customHeight="1" x14ac:dyDescent="0.25">
      <c r="C122" s="7"/>
    </row>
    <row r="123" spans="3:3" ht="15" customHeight="1" x14ac:dyDescent="0.25">
      <c r="C123" s="5"/>
    </row>
    <row r="124" spans="3:3" ht="15" customHeight="1" x14ac:dyDescent="0.25">
      <c r="C124" s="5"/>
    </row>
    <row r="125" spans="3:3" ht="15" customHeight="1" x14ac:dyDescent="0.25">
      <c r="C125" s="5"/>
    </row>
    <row r="126" spans="3:3" ht="15" customHeight="1" x14ac:dyDescent="0.25">
      <c r="C126" s="5"/>
    </row>
    <row r="127" spans="3:3" ht="15" customHeight="1" x14ac:dyDescent="0.25">
      <c r="C127" s="5"/>
    </row>
    <row r="128" spans="3:3" ht="15" customHeight="1" x14ac:dyDescent="0.25">
      <c r="C128" s="5"/>
    </row>
    <row r="129" spans="3:3" ht="15" customHeight="1" x14ac:dyDescent="0.25">
      <c r="C129" s="5"/>
    </row>
    <row r="130" spans="3:3" ht="15" customHeight="1" x14ac:dyDescent="0.25">
      <c r="C130" s="5"/>
    </row>
    <row r="131" spans="3:3" ht="15" customHeight="1" x14ac:dyDescent="0.25">
      <c r="C131" s="5"/>
    </row>
    <row r="132" spans="3:3" ht="15" customHeight="1" x14ac:dyDescent="0.25">
      <c r="C132" s="5"/>
    </row>
    <row r="133" spans="3:3" ht="15" customHeight="1" x14ac:dyDescent="0.25">
      <c r="C133" s="5"/>
    </row>
    <row r="134" spans="3:3" ht="15" customHeight="1" x14ac:dyDescent="0.25">
      <c r="C134" s="5"/>
    </row>
    <row r="135" spans="3:3" ht="15" customHeight="1" x14ac:dyDescent="0.25">
      <c r="C135" s="5"/>
    </row>
    <row r="136" spans="3:3" ht="15" customHeight="1" x14ac:dyDescent="0.25">
      <c r="C136" s="5"/>
    </row>
    <row r="137" spans="3:3" ht="15" customHeight="1" x14ac:dyDescent="0.25">
      <c r="C137" s="5"/>
    </row>
    <row r="138" spans="3:3" ht="15" customHeight="1" x14ac:dyDescent="0.25">
      <c r="C138" s="5"/>
    </row>
    <row r="139" spans="3:3" ht="15" customHeight="1" x14ac:dyDescent="0.25">
      <c r="C139" s="5"/>
    </row>
    <row r="140" spans="3:3" ht="15" customHeight="1" x14ac:dyDescent="0.25">
      <c r="C140" s="5"/>
    </row>
    <row r="141" spans="3:3" ht="15" customHeight="1" x14ac:dyDescent="0.25">
      <c r="C141" s="5"/>
    </row>
    <row r="142" spans="3:3" ht="15" customHeight="1" x14ac:dyDescent="0.25">
      <c r="C142" s="5"/>
    </row>
    <row r="143" spans="3:3" ht="15" customHeight="1" x14ac:dyDescent="0.25">
      <c r="C143" s="5"/>
    </row>
    <row r="144" spans="3:3" ht="15" customHeight="1" x14ac:dyDescent="0.25">
      <c r="C144" s="5"/>
    </row>
    <row r="145" spans="3:3" ht="15" customHeight="1" x14ac:dyDescent="0.25">
      <c r="C145" s="5"/>
    </row>
    <row r="146" spans="3:3" ht="15" customHeight="1" x14ac:dyDescent="0.25">
      <c r="C146" s="5"/>
    </row>
    <row r="147" spans="3:3" ht="15" customHeight="1" x14ac:dyDescent="0.25">
      <c r="C147" s="5"/>
    </row>
    <row r="148" spans="3:3" ht="15" customHeight="1" x14ac:dyDescent="0.25">
      <c r="C148" s="5"/>
    </row>
    <row r="149" spans="3:3" ht="15" customHeight="1" x14ac:dyDescent="0.25">
      <c r="C149" s="5"/>
    </row>
    <row r="150" spans="3:3" ht="15" customHeight="1" x14ac:dyDescent="0.25">
      <c r="C150" s="5"/>
    </row>
    <row r="151" spans="3:3" ht="15" customHeight="1" x14ac:dyDescent="0.25">
      <c r="C151" s="5"/>
    </row>
    <row r="152" spans="3:3" ht="15" customHeight="1" x14ac:dyDescent="0.25">
      <c r="C152" s="5"/>
    </row>
    <row r="153" spans="3:3" ht="15" customHeight="1" x14ac:dyDescent="0.25">
      <c r="C153" s="5"/>
    </row>
    <row r="154" spans="3:3" ht="15" customHeight="1" x14ac:dyDescent="0.25">
      <c r="C154" s="5"/>
    </row>
    <row r="155" spans="3:3" ht="15" customHeight="1" x14ac:dyDescent="0.25">
      <c r="C155" s="5"/>
    </row>
  </sheetData>
  <mergeCells count="15">
    <mergeCell ref="A3:K3"/>
    <mergeCell ref="A4:A5"/>
    <mergeCell ref="B4:D4"/>
    <mergeCell ref="E4:G4"/>
    <mergeCell ref="H4:I4"/>
    <mergeCell ref="J4:K4"/>
    <mergeCell ref="I39:K39"/>
    <mergeCell ref="I40:K40"/>
    <mergeCell ref="I41:K41"/>
    <mergeCell ref="A31:D31"/>
    <mergeCell ref="I34:K34"/>
    <mergeCell ref="I35:K35"/>
    <mergeCell ref="I36:K36"/>
    <mergeCell ref="I37:K37"/>
    <mergeCell ref="I38:K38"/>
  </mergeCells>
  <pageMargins left="0.31496062992125984" right="0.31496062992125984" top="0.35433070866141736" bottom="0.74803149606299213" header="0.31496062992125984" footer="0.31496062992125984"/>
  <pageSetup paperSize="5" scale="95" orientation="landscape" horizontalDpi="4294967293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L154"/>
  <sheetViews>
    <sheetView topLeftCell="A13" zoomScale="115" zoomScaleNormal="115" zoomScalePageLayoutView="85" workbookViewId="0">
      <selection activeCell="L17" sqref="L17"/>
    </sheetView>
  </sheetViews>
  <sheetFormatPr defaultRowHeight="15" customHeight="1" x14ac:dyDescent="0.25"/>
  <cols>
    <col min="1" max="1" width="12" customWidth="1"/>
    <col min="2" max="2" width="10.28515625" customWidth="1"/>
    <col min="3" max="3" width="14.28515625" customWidth="1"/>
    <col min="4" max="4" width="17.28515625" customWidth="1"/>
    <col min="5" max="5" width="8.5703125" customWidth="1"/>
    <col min="6" max="6" width="15.7109375" customWidth="1"/>
    <col min="7" max="7" width="16.85546875" customWidth="1"/>
    <col min="8" max="8" width="11.42578125" bestFit="1" customWidth="1"/>
    <col min="9" max="9" width="18.28515625" customWidth="1"/>
    <col min="10" max="10" width="11.5703125" customWidth="1"/>
    <col min="11" max="11" width="18" customWidth="1"/>
    <col min="12" max="12" width="22" customWidth="1"/>
  </cols>
  <sheetData>
    <row r="1" spans="1:12" s="95" customFormat="1" ht="15" customHeight="1" x14ac:dyDescent="0.25">
      <c r="A1" s="116" t="s">
        <v>12</v>
      </c>
    </row>
    <row r="2" spans="1:12" s="95" customFormat="1" ht="15" customHeight="1" x14ac:dyDescent="0.25">
      <c r="A2" s="116" t="s">
        <v>111</v>
      </c>
    </row>
    <row r="3" spans="1:12" s="95" customFormat="1" ht="23.25" customHeight="1" x14ac:dyDescent="0.25">
      <c r="A3" s="475" t="s">
        <v>23</v>
      </c>
      <c r="B3" s="475"/>
      <c r="C3" s="475"/>
      <c r="D3" s="475"/>
      <c r="E3" s="475"/>
      <c r="F3" s="475"/>
      <c r="G3" s="475"/>
      <c r="H3" s="475"/>
      <c r="I3" s="475"/>
      <c r="J3" s="475"/>
      <c r="K3" s="475"/>
    </row>
    <row r="4" spans="1:12" ht="18.75" customHeight="1" x14ac:dyDescent="0.25">
      <c r="A4" s="476" t="s">
        <v>0</v>
      </c>
      <c r="B4" s="476" t="s">
        <v>7</v>
      </c>
      <c r="C4" s="476"/>
      <c r="D4" s="476"/>
      <c r="E4" s="476" t="s">
        <v>5</v>
      </c>
      <c r="F4" s="476"/>
      <c r="G4" s="476"/>
      <c r="H4" s="476" t="s">
        <v>4</v>
      </c>
      <c r="I4" s="476"/>
      <c r="J4" s="476" t="s">
        <v>6</v>
      </c>
      <c r="K4" s="476"/>
    </row>
    <row r="5" spans="1:12" ht="21" customHeight="1" x14ac:dyDescent="0.25">
      <c r="A5" s="476"/>
      <c r="B5" s="28" t="s">
        <v>8</v>
      </c>
      <c r="C5" s="28" t="s">
        <v>14</v>
      </c>
      <c r="D5" s="28" t="s">
        <v>13</v>
      </c>
      <c r="E5" s="28" t="s">
        <v>8</v>
      </c>
      <c r="F5" s="28" t="s">
        <v>14</v>
      </c>
      <c r="G5" s="28" t="s">
        <v>10</v>
      </c>
      <c r="H5" s="28" t="s">
        <v>8</v>
      </c>
      <c r="I5" s="28" t="s">
        <v>13</v>
      </c>
      <c r="J5" s="28" t="s">
        <v>8</v>
      </c>
      <c r="K5" s="28" t="s">
        <v>15</v>
      </c>
    </row>
    <row r="6" spans="1:12" ht="11.25" customHeight="1" x14ac:dyDescent="0.25">
      <c r="A6" s="29"/>
      <c r="B6" s="33"/>
      <c r="C6" s="137"/>
      <c r="D6" s="33"/>
      <c r="E6" s="33"/>
      <c r="F6" s="33"/>
      <c r="G6" s="33"/>
      <c r="H6" s="33"/>
      <c r="I6" s="33"/>
      <c r="J6" s="33"/>
      <c r="K6" s="33"/>
    </row>
    <row r="7" spans="1:12" ht="15" customHeight="1" x14ac:dyDescent="0.25">
      <c r="A7" s="40" t="s">
        <v>1</v>
      </c>
      <c r="B7" s="35"/>
      <c r="C7" s="27"/>
      <c r="D7" s="27">
        <f>B7*C7</f>
        <v>0</v>
      </c>
      <c r="E7" s="36"/>
      <c r="F7" s="27"/>
      <c r="G7" s="27">
        <f>E7*F7</f>
        <v>0</v>
      </c>
      <c r="H7" s="36"/>
      <c r="I7" s="27">
        <f>H7*C7</f>
        <v>0</v>
      </c>
      <c r="J7" s="26">
        <f t="shared" ref="J7:J12" si="0">B7+E7-H7</f>
        <v>0</v>
      </c>
      <c r="K7" s="27">
        <f>D7+G7-I7</f>
        <v>0</v>
      </c>
    </row>
    <row r="8" spans="1:12" ht="15" customHeight="1" x14ac:dyDescent="0.25">
      <c r="A8" s="40"/>
      <c r="B8" s="35"/>
      <c r="C8" s="27"/>
      <c r="D8" s="27"/>
      <c r="E8" s="44"/>
      <c r="F8" s="43"/>
      <c r="G8" s="27"/>
      <c r="H8" s="42"/>
      <c r="I8" s="27"/>
      <c r="J8" s="26">
        <f t="shared" si="0"/>
        <v>0</v>
      </c>
      <c r="K8" s="27">
        <f>D8+G8-I8</f>
        <v>0</v>
      </c>
      <c r="L8" s="15"/>
    </row>
    <row r="9" spans="1:12" ht="15" customHeight="1" x14ac:dyDescent="0.25">
      <c r="A9" s="40" t="s">
        <v>21</v>
      </c>
      <c r="B9" s="35"/>
      <c r="C9" s="27"/>
      <c r="D9" s="43">
        <f>B9*C9</f>
        <v>0</v>
      </c>
      <c r="E9" s="44"/>
      <c r="F9" s="43"/>
      <c r="G9" s="43">
        <f>E9*F9</f>
        <v>0</v>
      </c>
      <c r="H9" s="42"/>
      <c r="I9" s="27">
        <f>H9*C9</f>
        <v>0</v>
      </c>
      <c r="J9" s="26">
        <f t="shared" si="0"/>
        <v>0</v>
      </c>
      <c r="K9" s="27">
        <f>J9*C9</f>
        <v>0</v>
      </c>
      <c r="L9" s="15"/>
    </row>
    <row r="10" spans="1:12" ht="15" customHeight="1" x14ac:dyDescent="0.25">
      <c r="A10" s="40"/>
      <c r="B10" s="35"/>
      <c r="C10" s="27"/>
      <c r="D10" s="43"/>
      <c r="E10" s="44"/>
      <c r="F10" s="43"/>
      <c r="G10" s="43"/>
      <c r="H10" s="42"/>
      <c r="I10" s="27"/>
      <c r="J10" s="26">
        <f t="shared" si="0"/>
        <v>0</v>
      </c>
      <c r="K10" s="27"/>
      <c r="L10" s="15"/>
    </row>
    <row r="11" spans="1:12" ht="15" customHeight="1" x14ac:dyDescent="0.25">
      <c r="A11" s="40" t="s">
        <v>22</v>
      </c>
      <c r="B11" s="35"/>
      <c r="C11" s="27"/>
      <c r="D11" s="43">
        <f>B11*C11</f>
        <v>0</v>
      </c>
      <c r="E11" s="44"/>
      <c r="F11" s="43"/>
      <c r="G11" s="43">
        <f>F11*E11</f>
        <v>0</v>
      </c>
      <c r="H11" s="42"/>
      <c r="I11" s="27">
        <f>H11*C11</f>
        <v>0</v>
      </c>
      <c r="J11" s="26">
        <f t="shared" si="0"/>
        <v>0</v>
      </c>
      <c r="K11" s="27">
        <f>J11*C11</f>
        <v>0</v>
      </c>
      <c r="L11" s="15"/>
    </row>
    <row r="12" spans="1:12" ht="15" customHeight="1" x14ac:dyDescent="0.25">
      <c r="A12" s="40"/>
      <c r="B12" s="35"/>
      <c r="C12" s="27"/>
      <c r="D12" s="43"/>
      <c r="E12" s="44"/>
      <c r="F12" s="43"/>
      <c r="G12" s="43">
        <f>E12*F12</f>
        <v>0</v>
      </c>
      <c r="H12" s="42"/>
      <c r="I12" s="27">
        <f>H12*F12</f>
        <v>0</v>
      </c>
      <c r="J12" s="26">
        <f t="shared" si="0"/>
        <v>0</v>
      </c>
      <c r="K12" s="27">
        <f>J12*F12</f>
        <v>0</v>
      </c>
      <c r="L12" s="15"/>
    </row>
    <row r="13" spans="1:12" ht="15" customHeight="1" x14ac:dyDescent="0.25">
      <c r="A13" s="40"/>
      <c r="B13" s="35"/>
      <c r="C13" s="27"/>
      <c r="D13" s="43">
        <f>B13*C13</f>
        <v>0</v>
      </c>
      <c r="E13" s="44"/>
      <c r="F13" s="43"/>
      <c r="G13" s="43"/>
      <c r="H13" s="42"/>
      <c r="I13" s="134">
        <f t="shared" ref="I13:K13" si="1">SUM(I11:I12)</f>
        <v>0</v>
      </c>
      <c r="J13" s="134">
        <f t="shared" si="1"/>
        <v>0</v>
      </c>
      <c r="K13" s="134">
        <f t="shared" si="1"/>
        <v>0</v>
      </c>
      <c r="L13" s="15"/>
    </row>
    <row r="14" spans="1:12" ht="15" customHeight="1" x14ac:dyDescent="0.25">
      <c r="A14" s="40"/>
      <c r="B14" s="35"/>
      <c r="C14" s="27"/>
      <c r="D14" s="43"/>
      <c r="E14" s="44"/>
      <c r="F14" s="43"/>
      <c r="G14" s="43"/>
      <c r="H14" s="42"/>
      <c r="I14" s="27"/>
      <c r="J14" s="26">
        <f>B14+E14-H14</f>
        <v>0</v>
      </c>
      <c r="K14" s="27">
        <f>J14*C14</f>
        <v>0</v>
      </c>
      <c r="L14" s="15"/>
    </row>
    <row r="15" spans="1:12" ht="15" customHeight="1" x14ac:dyDescent="0.25">
      <c r="A15" s="40" t="s">
        <v>24</v>
      </c>
      <c r="B15" s="35"/>
      <c r="C15" s="27"/>
      <c r="D15" s="43">
        <f>B15*C15</f>
        <v>0</v>
      </c>
      <c r="E15" s="44"/>
      <c r="F15" s="43"/>
      <c r="G15" s="43">
        <f>E15*F15</f>
        <v>0</v>
      </c>
      <c r="H15" s="42"/>
      <c r="I15" s="27">
        <f>H15*C15</f>
        <v>0</v>
      </c>
      <c r="J15" s="26">
        <f>B15+E15-H15</f>
        <v>0</v>
      </c>
      <c r="K15" s="27">
        <f>J15*C15</f>
        <v>0</v>
      </c>
      <c r="L15" s="15"/>
    </row>
    <row r="16" spans="1:12" ht="15" customHeight="1" x14ac:dyDescent="0.25">
      <c r="A16" s="40"/>
      <c r="B16" s="35"/>
      <c r="C16" s="27"/>
      <c r="D16" s="43"/>
      <c r="E16" s="44"/>
      <c r="F16" s="43"/>
      <c r="G16" s="43"/>
      <c r="H16" s="42"/>
      <c r="I16" s="27"/>
      <c r="J16" s="26"/>
      <c r="K16" s="27"/>
      <c r="L16" s="15"/>
    </row>
    <row r="17" spans="1:12" ht="15" customHeight="1" x14ac:dyDescent="0.25">
      <c r="A17" s="40" t="s">
        <v>28</v>
      </c>
      <c r="B17" s="35"/>
      <c r="C17" s="27"/>
      <c r="D17" s="43">
        <f>B17*C17</f>
        <v>0</v>
      </c>
      <c r="E17" s="44"/>
      <c r="F17" s="43"/>
      <c r="G17" s="43"/>
      <c r="H17" s="42"/>
      <c r="I17" s="27">
        <f>H17*C17</f>
        <v>0</v>
      </c>
      <c r="J17" s="26">
        <f>B17+E17-H17</f>
        <v>0</v>
      </c>
      <c r="K17" s="27">
        <f>J17*C17</f>
        <v>0</v>
      </c>
      <c r="L17" s="15"/>
    </row>
    <row r="18" spans="1:12" ht="15" customHeight="1" x14ac:dyDescent="0.25">
      <c r="B18" s="42"/>
      <c r="C18" s="43"/>
      <c r="D18" s="43"/>
      <c r="E18" s="44"/>
      <c r="F18" s="43"/>
      <c r="G18" s="43"/>
      <c r="H18" s="42"/>
      <c r="I18" s="27"/>
      <c r="J18" s="26"/>
      <c r="K18" s="27"/>
      <c r="L18" s="15"/>
    </row>
    <row r="19" spans="1:12" ht="15" customHeight="1" x14ac:dyDescent="0.25">
      <c r="A19" s="444" t="s">
        <v>30</v>
      </c>
      <c r="B19" s="42"/>
      <c r="C19" s="43"/>
      <c r="D19" s="43">
        <f>B19*C19</f>
        <v>0</v>
      </c>
      <c r="E19" s="44"/>
      <c r="F19" s="43"/>
      <c r="G19" s="43">
        <f>E19*F19</f>
        <v>0</v>
      </c>
      <c r="H19" s="42"/>
      <c r="I19" s="27">
        <f>H19*C19</f>
        <v>0</v>
      </c>
      <c r="J19" s="26">
        <f>B19+E19-H19</f>
        <v>0</v>
      </c>
      <c r="K19" s="27">
        <f>J19*C19</f>
        <v>0</v>
      </c>
      <c r="L19" s="15"/>
    </row>
    <row r="20" spans="1:12" ht="15" customHeight="1" x14ac:dyDescent="0.25">
      <c r="B20" s="42"/>
      <c r="C20" s="43"/>
      <c r="D20" s="43"/>
      <c r="E20" s="44"/>
      <c r="F20" s="43"/>
      <c r="G20" s="43"/>
      <c r="H20" s="42"/>
      <c r="I20" s="27"/>
      <c r="J20" s="26"/>
      <c r="K20" s="27"/>
      <c r="L20" s="15"/>
    </row>
    <row r="21" spans="1:12" ht="15" customHeight="1" x14ac:dyDescent="0.25">
      <c r="A21" s="40" t="s">
        <v>31</v>
      </c>
      <c r="B21" s="42"/>
      <c r="C21" s="43"/>
      <c r="D21" s="43">
        <f>B21*C21</f>
        <v>0</v>
      </c>
      <c r="E21" s="44"/>
      <c r="F21" s="43"/>
      <c r="G21" s="43">
        <f>E21*F21</f>
        <v>0</v>
      </c>
      <c r="H21" s="42"/>
      <c r="I21" s="27">
        <f>H21*C21</f>
        <v>0</v>
      </c>
      <c r="J21" s="26">
        <f>B21+E21-H21</f>
        <v>0</v>
      </c>
      <c r="K21" s="27">
        <f>J21*C21</f>
        <v>0</v>
      </c>
      <c r="L21" s="15"/>
    </row>
    <row r="22" spans="1:12" ht="15" customHeight="1" x14ac:dyDescent="0.25">
      <c r="A22" s="40"/>
      <c r="B22" s="42"/>
      <c r="C22" s="43"/>
      <c r="D22" s="43"/>
      <c r="E22" s="44"/>
      <c r="F22" s="43"/>
      <c r="G22" s="43"/>
      <c r="H22" s="42"/>
      <c r="I22" s="27"/>
      <c r="J22" s="26"/>
      <c r="K22" s="27"/>
      <c r="L22" s="15"/>
    </row>
    <row r="23" spans="1:12" ht="15" customHeight="1" x14ac:dyDescent="0.25">
      <c r="A23" s="40" t="s">
        <v>32</v>
      </c>
      <c r="B23" s="42"/>
      <c r="C23" s="43"/>
      <c r="D23" s="43">
        <f>B23*C23</f>
        <v>0</v>
      </c>
      <c r="E23" s="44"/>
      <c r="F23" s="43"/>
      <c r="G23" s="43"/>
      <c r="H23" s="42"/>
      <c r="I23" s="27">
        <f>H23*C23</f>
        <v>0</v>
      </c>
      <c r="J23" s="26">
        <f>B23+E23-H23</f>
        <v>0</v>
      </c>
      <c r="K23" s="27">
        <f>J23*C23</f>
        <v>0</v>
      </c>
      <c r="L23" s="15"/>
    </row>
    <row r="24" spans="1:12" ht="15" customHeight="1" x14ac:dyDescent="0.25">
      <c r="A24" s="40"/>
      <c r="B24" s="42"/>
      <c r="C24" s="43"/>
      <c r="D24" s="43"/>
      <c r="E24" s="44"/>
      <c r="F24" s="43"/>
      <c r="G24" s="43"/>
      <c r="H24" s="42"/>
      <c r="I24" s="27"/>
      <c r="J24" s="26">
        <f>B24+E24-H24</f>
        <v>0</v>
      </c>
      <c r="K24" s="27"/>
      <c r="L24" s="15"/>
    </row>
    <row r="25" spans="1:12" ht="15" customHeight="1" x14ac:dyDescent="0.25">
      <c r="A25" s="40" t="s">
        <v>33</v>
      </c>
      <c r="B25" s="42"/>
      <c r="C25" s="43"/>
      <c r="D25" s="43">
        <f>B25*C25</f>
        <v>0</v>
      </c>
      <c r="E25" s="44"/>
      <c r="F25" s="43"/>
      <c r="G25" s="43">
        <f>E25*F25</f>
        <v>0</v>
      </c>
      <c r="H25" s="42"/>
      <c r="I25" s="27">
        <f>H25*C25</f>
        <v>0</v>
      </c>
      <c r="J25" s="26">
        <f>B25+E25-H25</f>
        <v>0</v>
      </c>
      <c r="K25" s="27">
        <f>J25*C25</f>
        <v>0</v>
      </c>
      <c r="L25" s="15"/>
    </row>
    <row r="26" spans="1:12" ht="15" customHeight="1" x14ac:dyDescent="0.25">
      <c r="A26" s="40"/>
      <c r="B26" s="42"/>
      <c r="C26" s="43"/>
      <c r="D26" s="43">
        <f t="shared" ref="D26:D28" si="2">B26*C26</f>
        <v>0</v>
      </c>
      <c r="E26" s="44"/>
      <c r="F26" s="43"/>
      <c r="G26" s="43"/>
      <c r="H26" s="42"/>
      <c r="I26" s="27"/>
      <c r="J26" s="26"/>
      <c r="K26" s="27"/>
      <c r="L26" s="15"/>
    </row>
    <row r="27" spans="1:12" ht="15" customHeight="1" x14ac:dyDescent="0.25">
      <c r="A27" s="40" t="s">
        <v>34</v>
      </c>
      <c r="B27" s="42"/>
      <c r="C27" s="43"/>
      <c r="D27" s="43">
        <f t="shared" si="2"/>
        <v>0</v>
      </c>
      <c r="E27" s="44"/>
      <c r="F27" s="43"/>
      <c r="G27" s="43">
        <f>E27*F27</f>
        <v>0</v>
      </c>
      <c r="H27" s="433"/>
      <c r="I27" s="434">
        <f>H27*C27</f>
        <v>0</v>
      </c>
      <c r="J27" s="26">
        <f>B27+E27-H27</f>
        <v>0</v>
      </c>
      <c r="K27" s="27">
        <f>J27*C27</f>
        <v>0</v>
      </c>
      <c r="L27" s="15">
        <f>J27*C27</f>
        <v>0</v>
      </c>
    </row>
    <row r="28" spans="1:12" ht="15" customHeight="1" x14ac:dyDescent="0.25">
      <c r="A28" s="40"/>
      <c r="B28" s="42"/>
      <c r="C28" s="43"/>
      <c r="D28" s="43">
        <f t="shared" si="2"/>
        <v>0</v>
      </c>
      <c r="E28" s="44"/>
      <c r="F28" s="43"/>
      <c r="G28" s="43"/>
      <c r="H28" s="433"/>
      <c r="I28" s="434">
        <f>H28*C28</f>
        <v>0</v>
      </c>
      <c r="J28" s="26">
        <f>B28+E28-H28</f>
        <v>0</v>
      </c>
      <c r="K28" s="27">
        <f>J28*C28</f>
        <v>0</v>
      </c>
      <c r="L28" s="15"/>
    </row>
    <row r="29" spans="1:12" ht="15" customHeight="1" x14ac:dyDescent="0.25">
      <c r="A29" s="40" t="s">
        <v>35</v>
      </c>
      <c r="B29" s="42"/>
      <c r="C29" s="43"/>
      <c r="D29" s="43">
        <f>B29*C29</f>
        <v>0</v>
      </c>
      <c r="E29" s="44"/>
      <c r="F29" s="43"/>
      <c r="G29" s="43"/>
      <c r="H29" s="433"/>
      <c r="I29" s="434">
        <f>H29*C29</f>
        <v>0</v>
      </c>
      <c r="J29" s="26">
        <f>B29+E29-H29</f>
        <v>0</v>
      </c>
      <c r="K29" s="27">
        <f>J29*C29</f>
        <v>0</v>
      </c>
      <c r="L29" s="15"/>
    </row>
    <row r="30" spans="1:12" ht="27" customHeight="1" thickBot="1" x14ac:dyDescent="0.3">
      <c r="A30" s="471" t="s">
        <v>110</v>
      </c>
      <c r="B30" s="472"/>
      <c r="C30" s="472"/>
      <c r="D30" s="472"/>
      <c r="E30" s="94">
        <f>SUM(E8:E29)</f>
        <v>0</v>
      </c>
      <c r="F30" s="94"/>
      <c r="G30" s="94">
        <f>SUM(G8:G29)</f>
        <v>0</v>
      </c>
      <c r="H30" s="85"/>
      <c r="I30" s="85"/>
      <c r="J30" s="55"/>
      <c r="K30" s="56">
        <f>K15</f>
        <v>0</v>
      </c>
      <c r="L30" s="15"/>
    </row>
    <row r="31" spans="1:12" ht="15" customHeight="1" x14ac:dyDescent="0.25">
      <c r="A31" s="46"/>
      <c r="B31" s="47"/>
      <c r="C31" s="48"/>
      <c r="D31" s="49"/>
      <c r="E31" s="50"/>
      <c r="F31" s="50"/>
      <c r="G31" s="50"/>
      <c r="H31" s="47"/>
      <c r="I31" s="50"/>
      <c r="J31" s="23"/>
      <c r="K31" s="24"/>
      <c r="L31" s="15"/>
    </row>
    <row r="32" spans="1:12" ht="15" customHeight="1" x14ac:dyDescent="0.25">
      <c r="A32" s="46"/>
      <c r="B32" s="47"/>
      <c r="C32" s="48"/>
      <c r="D32" s="49"/>
      <c r="E32" s="50"/>
      <c r="F32" s="50"/>
      <c r="G32" s="50"/>
      <c r="H32" s="47"/>
      <c r="I32" s="50"/>
      <c r="J32" s="23"/>
      <c r="K32" s="24"/>
      <c r="L32" s="15"/>
    </row>
    <row r="33" spans="1:12" ht="15" customHeight="1" x14ac:dyDescent="0.25">
      <c r="A33" s="51"/>
      <c r="B33" s="47"/>
      <c r="C33" s="48"/>
      <c r="D33" s="50"/>
      <c r="E33" s="50"/>
      <c r="F33" s="50"/>
      <c r="G33" s="50"/>
      <c r="H33" s="47"/>
      <c r="I33" s="474"/>
      <c r="J33" s="474"/>
      <c r="K33" s="474"/>
      <c r="L33" s="15"/>
    </row>
    <row r="34" spans="1:12" ht="15" customHeight="1" x14ac:dyDescent="0.25">
      <c r="A34" s="51"/>
      <c r="B34" s="47"/>
      <c r="C34" s="48"/>
      <c r="D34" s="49"/>
      <c r="E34" s="50"/>
      <c r="F34" s="50"/>
      <c r="G34" s="50"/>
      <c r="H34" s="47"/>
      <c r="I34" s="474"/>
      <c r="J34" s="474"/>
      <c r="K34" s="474"/>
      <c r="L34" s="15"/>
    </row>
    <row r="35" spans="1:12" ht="15" customHeight="1" x14ac:dyDescent="0.25">
      <c r="A35" s="63"/>
      <c r="B35" s="47"/>
      <c r="C35" s="48"/>
      <c r="D35" s="50"/>
      <c r="E35" s="50"/>
      <c r="F35" s="50"/>
      <c r="G35" s="50"/>
      <c r="H35" s="47"/>
      <c r="I35" s="474"/>
      <c r="J35" s="474"/>
      <c r="K35" s="474"/>
      <c r="L35" s="15"/>
    </row>
    <row r="36" spans="1:12" ht="15" customHeight="1" x14ac:dyDescent="0.25">
      <c r="A36" s="63"/>
      <c r="B36" s="47"/>
      <c r="C36" s="48"/>
      <c r="D36" s="50"/>
      <c r="E36" s="50"/>
      <c r="F36" s="50"/>
      <c r="G36" s="50"/>
      <c r="H36" s="47"/>
      <c r="I36" s="474"/>
      <c r="J36" s="474"/>
      <c r="K36" s="474"/>
      <c r="L36" s="15"/>
    </row>
    <row r="37" spans="1:12" ht="15" customHeight="1" x14ac:dyDescent="0.25">
      <c r="A37" s="63"/>
      <c r="B37" s="47"/>
      <c r="C37" s="48"/>
      <c r="D37" s="49"/>
      <c r="E37" s="50"/>
      <c r="F37" s="50"/>
      <c r="G37" s="50"/>
      <c r="H37" s="47"/>
      <c r="I37" s="474"/>
      <c r="J37" s="474"/>
      <c r="K37" s="474"/>
      <c r="L37" s="15"/>
    </row>
    <row r="38" spans="1:12" ht="15" customHeight="1" x14ac:dyDescent="0.25">
      <c r="A38" s="63"/>
      <c r="B38" s="47"/>
      <c r="C38" s="48"/>
      <c r="D38" s="50"/>
      <c r="E38" s="50"/>
      <c r="F38" s="50"/>
      <c r="G38" s="50"/>
      <c r="H38" s="47"/>
      <c r="I38" s="473"/>
      <c r="J38" s="473"/>
      <c r="K38" s="473"/>
      <c r="L38" s="15"/>
    </row>
    <row r="39" spans="1:12" ht="15" customHeight="1" x14ac:dyDescent="0.25">
      <c r="A39" s="63"/>
      <c r="B39" s="47"/>
      <c r="C39" s="48"/>
      <c r="D39" s="50"/>
      <c r="E39" s="50"/>
      <c r="F39" s="50"/>
      <c r="G39" s="50"/>
      <c r="H39" s="47"/>
      <c r="I39" s="473"/>
      <c r="J39" s="473"/>
      <c r="K39" s="473"/>
      <c r="L39" s="15"/>
    </row>
    <row r="40" spans="1:12" ht="15" customHeight="1" x14ac:dyDescent="0.25">
      <c r="A40" s="63"/>
      <c r="B40" s="47"/>
      <c r="C40" s="48"/>
      <c r="D40" s="49"/>
      <c r="E40" s="50"/>
      <c r="F40" s="50"/>
      <c r="G40" s="50"/>
      <c r="H40" s="47"/>
      <c r="I40" s="474"/>
      <c r="J40" s="474"/>
      <c r="K40" s="474"/>
      <c r="L40" s="15"/>
    </row>
    <row r="41" spans="1:12" ht="15" customHeight="1" x14ac:dyDescent="0.25">
      <c r="A41" s="63"/>
      <c r="B41" s="47"/>
      <c r="C41" s="48"/>
      <c r="D41" s="50"/>
      <c r="E41" s="50"/>
      <c r="F41" s="50"/>
      <c r="G41" s="50"/>
      <c r="H41" s="47"/>
      <c r="I41" s="50"/>
      <c r="J41" s="23"/>
      <c r="K41" s="24"/>
      <c r="L41" s="15"/>
    </row>
    <row r="42" spans="1:12" ht="15" customHeight="1" x14ac:dyDescent="0.25">
      <c r="A42" s="63"/>
      <c r="B42" s="47"/>
      <c r="C42" s="48"/>
      <c r="D42" s="50"/>
      <c r="E42" s="50"/>
      <c r="F42" s="50"/>
      <c r="G42" s="50"/>
      <c r="H42" s="47"/>
      <c r="I42" s="50"/>
      <c r="J42" s="23"/>
      <c r="K42" s="24"/>
      <c r="L42" s="15"/>
    </row>
    <row r="43" spans="1:12" ht="15" customHeight="1" x14ac:dyDescent="0.25">
      <c r="B43" s="15"/>
      <c r="C43" s="12"/>
      <c r="D43" s="9"/>
      <c r="E43" s="17"/>
      <c r="F43" s="17"/>
      <c r="G43" s="17"/>
      <c r="H43" s="15"/>
      <c r="I43" s="9"/>
      <c r="J43" s="19"/>
      <c r="K43" s="14"/>
      <c r="L43" s="15"/>
    </row>
    <row r="44" spans="1:12" ht="15" customHeight="1" x14ac:dyDescent="0.25">
      <c r="B44" s="15"/>
      <c r="D44" s="17"/>
      <c r="E44" s="17"/>
      <c r="F44" s="17"/>
      <c r="G44" s="17"/>
      <c r="H44" s="15"/>
      <c r="I44" s="17"/>
      <c r="J44" s="19"/>
      <c r="K44" s="20"/>
      <c r="L44" s="15"/>
    </row>
    <row r="45" spans="1:12" ht="15" customHeight="1" x14ac:dyDescent="0.25">
      <c r="B45" s="15"/>
      <c r="D45" s="17"/>
      <c r="E45" s="17"/>
      <c r="F45" s="17"/>
      <c r="G45" s="17"/>
      <c r="H45" s="15"/>
      <c r="I45" s="17"/>
      <c r="J45" s="19"/>
      <c r="K45" s="20"/>
      <c r="L45" s="15"/>
    </row>
    <row r="46" spans="1:12" ht="15" customHeight="1" x14ac:dyDescent="0.25">
      <c r="B46" s="15"/>
      <c r="C46" s="12"/>
      <c r="D46" s="9"/>
      <c r="E46" s="17"/>
      <c r="F46" s="17"/>
      <c r="G46" s="17"/>
      <c r="H46" s="15"/>
      <c r="I46" s="9"/>
      <c r="J46" s="19"/>
      <c r="K46" s="14"/>
      <c r="L46" s="15"/>
    </row>
    <row r="47" spans="1:12" ht="15" customHeight="1" x14ac:dyDescent="0.25">
      <c r="B47" s="15"/>
      <c r="C47" s="12"/>
      <c r="D47" s="17"/>
      <c r="E47" s="17"/>
      <c r="F47" s="17"/>
      <c r="G47" s="17"/>
      <c r="H47" s="15"/>
      <c r="I47" s="17"/>
      <c r="J47" s="19"/>
      <c r="K47" s="20"/>
      <c r="L47" s="15"/>
    </row>
    <row r="48" spans="1:12" ht="15" customHeight="1" x14ac:dyDescent="0.25">
      <c r="B48" s="15"/>
      <c r="C48" s="12"/>
      <c r="D48" s="17"/>
      <c r="E48" s="17"/>
      <c r="F48" s="17"/>
      <c r="G48" s="17"/>
      <c r="H48" s="15"/>
      <c r="I48" s="17"/>
      <c r="J48" s="19"/>
      <c r="K48" s="20"/>
      <c r="L48" s="15"/>
    </row>
    <row r="49" spans="1:12" ht="15" customHeight="1" x14ac:dyDescent="0.25">
      <c r="B49" s="15"/>
      <c r="C49" s="12"/>
      <c r="D49" s="9"/>
      <c r="E49" s="17"/>
      <c r="F49" s="17"/>
      <c r="G49" s="17"/>
      <c r="H49" s="15"/>
      <c r="I49" s="9"/>
      <c r="J49" s="19"/>
      <c r="K49" s="14"/>
      <c r="L49" s="15"/>
    </row>
    <row r="50" spans="1:12" ht="15" customHeight="1" x14ac:dyDescent="0.25">
      <c r="B50" s="15"/>
      <c r="C50" s="12"/>
      <c r="D50" s="17"/>
      <c r="E50" s="17"/>
      <c r="F50" s="17"/>
      <c r="G50" s="17"/>
      <c r="H50" s="15"/>
      <c r="I50" s="17"/>
      <c r="J50" s="19"/>
      <c r="K50" s="20"/>
      <c r="L50" s="15"/>
    </row>
    <row r="51" spans="1:12" ht="15" customHeight="1" x14ac:dyDescent="0.25">
      <c r="B51" s="15"/>
      <c r="C51" s="12"/>
      <c r="D51" s="17"/>
      <c r="E51" s="17"/>
      <c r="F51" s="17"/>
      <c r="G51" s="17"/>
      <c r="H51" s="15"/>
      <c r="I51" s="17"/>
      <c r="J51" s="19"/>
      <c r="K51" s="20"/>
      <c r="L51" s="15"/>
    </row>
    <row r="52" spans="1:12" ht="15" customHeight="1" x14ac:dyDescent="0.25">
      <c r="B52" s="15"/>
      <c r="C52" s="12"/>
      <c r="D52" s="9"/>
      <c r="E52" s="17"/>
      <c r="F52" s="17"/>
      <c r="G52" s="17"/>
      <c r="H52" s="15"/>
      <c r="I52" s="9"/>
      <c r="J52" s="19"/>
      <c r="K52" s="14"/>
      <c r="L52" s="15"/>
    </row>
    <row r="53" spans="1:12" ht="15" customHeight="1" x14ac:dyDescent="0.25">
      <c r="B53" s="15"/>
      <c r="C53" s="12"/>
      <c r="D53" s="17"/>
      <c r="E53" s="17"/>
      <c r="F53" s="17"/>
      <c r="G53" s="17"/>
      <c r="H53" s="15"/>
      <c r="I53" s="17"/>
      <c r="J53" s="15"/>
      <c r="K53" s="17"/>
      <c r="L53" s="15"/>
    </row>
    <row r="54" spans="1:12" ht="15" customHeight="1" x14ac:dyDescent="0.25">
      <c r="B54" s="15"/>
      <c r="C54" s="12"/>
      <c r="D54" s="17"/>
      <c r="E54" s="17"/>
      <c r="F54" s="17"/>
      <c r="G54" s="17"/>
      <c r="H54" s="15"/>
      <c r="I54" s="17"/>
      <c r="J54" s="15"/>
      <c r="K54" s="17"/>
      <c r="L54" s="15"/>
    </row>
    <row r="55" spans="1:12" ht="15" customHeight="1" x14ac:dyDescent="0.25">
      <c r="B55" s="15"/>
      <c r="C55" s="12"/>
      <c r="D55" s="9"/>
      <c r="E55" s="17"/>
      <c r="F55" s="17"/>
      <c r="G55" s="17"/>
      <c r="H55" s="15"/>
      <c r="I55" s="9"/>
      <c r="J55" s="15"/>
      <c r="K55" s="9"/>
      <c r="L55" s="15"/>
    </row>
    <row r="56" spans="1:12" ht="15" customHeight="1" x14ac:dyDescent="0.25">
      <c r="B56" s="15"/>
      <c r="C56" s="12"/>
      <c r="D56" s="17"/>
      <c r="E56" s="17"/>
      <c r="F56" s="17"/>
      <c r="G56" s="17"/>
      <c r="H56" s="15"/>
      <c r="I56" s="17"/>
      <c r="J56" s="15"/>
      <c r="K56" s="17"/>
      <c r="L56" s="15"/>
    </row>
    <row r="57" spans="1:12" ht="15" customHeight="1" x14ac:dyDescent="0.25">
      <c r="B57" s="15"/>
      <c r="C57" s="12"/>
      <c r="D57" s="17"/>
      <c r="E57" s="17"/>
      <c r="F57" s="17"/>
      <c r="G57" s="17"/>
      <c r="H57" s="15"/>
      <c r="I57" s="17"/>
      <c r="J57" s="15"/>
      <c r="K57" s="17"/>
      <c r="L57" s="15"/>
    </row>
    <row r="58" spans="1:12" ht="15" customHeight="1" x14ac:dyDescent="0.25">
      <c r="B58" s="15"/>
      <c r="C58" s="12"/>
      <c r="D58" s="9"/>
      <c r="E58" s="15"/>
      <c r="F58" s="17"/>
      <c r="G58" s="17"/>
      <c r="H58" s="15"/>
      <c r="I58" s="17"/>
      <c r="J58" s="15"/>
      <c r="K58" s="9"/>
      <c r="L58" s="15"/>
    </row>
    <row r="59" spans="1:12" ht="15" customHeight="1" x14ac:dyDescent="0.25">
      <c r="B59" s="15"/>
      <c r="C59" s="15"/>
      <c r="D59" s="9"/>
      <c r="E59" s="17"/>
      <c r="F59" s="17"/>
      <c r="G59" s="17"/>
      <c r="H59" s="15"/>
      <c r="I59" s="17"/>
      <c r="J59" s="15"/>
      <c r="K59" s="17"/>
      <c r="L59" s="15"/>
    </row>
    <row r="60" spans="1:12" ht="15" customHeight="1" x14ac:dyDescent="0.25">
      <c r="B60" s="15"/>
      <c r="C60" s="12"/>
      <c r="D60" s="17"/>
      <c r="E60" s="17"/>
      <c r="F60" s="17"/>
      <c r="G60" s="17"/>
      <c r="H60" s="15"/>
      <c r="I60" s="17"/>
      <c r="J60" s="15"/>
      <c r="K60" s="17"/>
      <c r="L60" s="1"/>
    </row>
    <row r="61" spans="1:12" ht="15" customHeight="1" x14ac:dyDescent="0.25">
      <c r="B61" s="15"/>
      <c r="C61" s="12"/>
      <c r="D61" s="9"/>
      <c r="E61" s="17"/>
      <c r="F61" s="17"/>
      <c r="G61" s="17"/>
      <c r="H61" s="15"/>
      <c r="I61" s="17"/>
      <c r="J61" s="15"/>
      <c r="K61" s="9"/>
      <c r="L61" s="1"/>
    </row>
    <row r="62" spans="1:12" ht="15" customHeight="1" x14ac:dyDescent="0.25">
      <c r="B62" s="15"/>
      <c r="C62" s="12"/>
      <c r="D62" s="17"/>
      <c r="E62" s="17"/>
      <c r="F62" s="17"/>
      <c r="G62" s="17"/>
      <c r="H62" s="15"/>
      <c r="I62" s="17"/>
      <c r="J62" s="15"/>
      <c r="K62" s="17"/>
      <c r="L62" s="1"/>
    </row>
    <row r="63" spans="1:12" ht="15" customHeight="1" x14ac:dyDescent="0.25">
      <c r="B63" s="15"/>
      <c r="C63" s="12"/>
      <c r="D63" s="17"/>
      <c r="E63" s="17"/>
      <c r="F63" s="17"/>
      <c r="G63" s="17"/>
      <c r="H63" s="15"/>
      <c r="I63" s="17"/>
      <c r="J63" s="15"/>
      <c r="K63" s="17"/>
      <c r="L63" s="1"/>
    </row>
    <row r="64" spans="1:12" ht="15" customHeight="1" x14ac:dyDescent="0.25">
      <c r="A64" s="32"/>
      <c r="B64" s="32"/>
      <c r="C64" s="32"/>
      <c r="D64" s="32"/>
      <c r="E64" s="17"/>
      <c r="F64" s="17"/>
      <c r="G64" s="17"/>
      <c r="H64" s="25"/>
      <c r="I64" s="25"/>
      <c r="J64" s="15"/>
      <c r="K64" s="17"/>
      <c r="L64" s="1"/>
    </row>
    <row r="65" spans="2:12" ht="15" customHeight="1" x14ac:dyDescent="0.25">
      <c r="B65" s="15"/>
      <c r="C65" s="12"/>
      <c r="D65" s="17"/>
      <c r="E65" s="17"/>
      <c r="F65" s="17"/>
      <c r="G65" s="17"/>
      <c r="H65" s="15"/>
      <c r="I65" s="17"/>
      <c r="J65" s="15"/>
      <c r="K65" s="17"/>
      <c r="L65" s="1"/>
    </row>
    <row r="66" spans="2:12" ht="15" customHeight="1" x14ac:dyDescent="0.25">
      <c r="B66" s="15"/>
      <c r="C66" s="12"/>
      <c r="D66" s="17"/>
      <c r="E66" s="17"/>
      <c r="F66" s="17"/>
      <c r="G66" s="17"/>
      <c r="H66" s="15"/>
      <c r="I66" s="17"/>
      <c r="J66" s="15"/>
      <c r="K66" s="17"/>
      <c r="L66" s="1"/>
    </row>
    <row r="67" spans="2:12" ht="15" customHeight="1" x14ac:dyDescent="0.25">
      <c r="B67" s="15"/>
      <c r="C67" s="12"/>
      <c r="D67" s="17"/>
      <c r="E67" s="17"/>
      <c r="F67" s="17"/>
      <c r="G67" s="17"/>
      <c r="H67" s="15"/>
      <c r="I67" s="17"/>
      <c r="J67" s="15"/>
      <c r="K67" s="17"/>
      <c r="L67" s="1"/>
    </row>
    <row r="68" spans="2:12" ht="15" customHeight="1" x14ac:dyDescent="0.25">
      <c r="B68" s="15"/>
      <c r="C68" s="12"/>
      <c r="D68" s="17"/>
      <c r="E68" s="17"/>
      <c r="F68" s="17"/>
      <c r="G68" s="17"/>
      <c r="H68" s="15"/>
      <c r="I68" s="17"/>
      <c r="J68" s="15"/>
      <c r="K68" s="17"/>
      <c r="L68" s="1"/>
    </row>
    <row r="69" spans="2:12" ht="15" customHeight="1" x14ac:dyDescent="0.25">
      <c r="B69" s="15"/>
      <c r="C69" s="12"/>
      <c r="D69" s="17"/>
      <c r="E69" s="17"/>
      <c r="F69" s="17"/>
      <c r="G69" s="17"/>
      <c r="H69" s="15"/>
      <c r="I69" s="17"/>
      <c r="J69" s="15"/>
      <c r="K69" s="17"/>
      <c r="L69" s="1"/>
    </row>
    <row r="70" spans="2:12" ht="15" customHeight="1" x14ac:dyDescent="0.25">
      <c r="B70" s="15"/>
      <c r="C70" s="12"/>
      <c r="D70" s="17"/>
      <c r="E70" s="17"/>
      <c r="F70" s="17"/>
      <c r="G70" s="17"/>
      <c r="H70" s="15"/>
      <c r="I70" s="17"/>
      <c r="J70" s="17"/>
      <c r="K70" s="17"/>
      <c r="L70" s="1"/>
    </row>
    <row r="71" spans="2:12" ht="15" customHeight="1" x14ac:dyDescent="0.25">
      <c r="B71" s="15"/>
      <c r="C71" s="12"/>
      <c r="D71" s="17"/>
      <c r="E71" s="17"/>
      <c r="F71" s="17"/>
      <c r="G71" s="17"/>
      <c r="H71" s="15"/>
      <c r="I71" s="17"/>
      <c r="J71" s="17"/>
      <c r="K71" s="17"/>
      <c r="L71" s="1"/>
    </row>
    <row r="72" spans="2:12" ht="15" customHeight="1" x14ac:dyDescent="0.25">
      <c r="B72" s="15"/>
      <c r="C72" s="12"/>
      <c r="D72" s="17"/>
      <c r="E72" s="17"/>
      <c r="F72" s="17"/>
      <c r="G72" s="17"/>
      <c r="H72" s="15"/>
      <c r="I72" s="17"/>
      <c r="J72" s="17"/>
      <c r="K72" s="17"/>
      <c r="L72" s="1"/>
    </row>
    <row r="73" spans="2:12" ht="15" customHeight="1" x14ac:dyDescent="0.25">
      <c r="B73" s="15"/>
      <c r="C73" s="12"/>
      <c r="D73" s="17"/>
      <c r="E73" s="17"/>
      <c r="F73" s="17"/>
      <c r="G73" s="17"/>
      <c r="H73" s="15"/>
      <c r="I73" s="17"/>
      <c r="J73" s="17"/>
      <c r="K73" s="17"/>
      <c r="L73" s="1"/>
    </row>
    <row r="74" spans="2:12" ht="15" customHeight="1" x14ac:dyDescent="0.25">
      <c r="B74" s="15"/>
      <c r="C74" s="12"/>
      <c r="D74" s="17"/>
      <c r="E74" s="17"/>
      <c r="F74" s="17"/>
      <c r="G74" s="17"/>
      <c r="H74" s="15"/>
      <c r="I74" s="17"/>
      <c r="J74" s="17"/>
      <c r="K74" s="17"/>
      <c r="L74" s="1"/>
    </row>
    <row r="75" spans="2:12" ht="15" customHeight="1" x14ac:dyDescent="0.25">
      <c r="B75" s="15"/>
      <c r="C75" s="12"/>
      <c r="D75" s="17"/>
      <c r="E75" s="17"/>
      <c r="F75" s="17"/>
      <c r="G75" s="17"/>
      <c r="H75" s="15"/>
      <c r="I75" s="17"/>
      <c r="J75" s="17"/>
      <c r="K75" s="17"/>
      <c r="L75" s="1"/>
    </row>
    <row r="76" spans="2:12" ht="15" customHeight="1" x14ac:dyDescent="0.25">
      <c r="B76" s="15"/>
      <c r="C76" s="12"/>
      <c r="D76" s="17"/>
      <c r="E76" s="17"/>
      <c r="F76" s="17"/>
      <c r="G76" s="17"/>
      <c r="H76" s="15"/>
      <c r="I76" s="17"/>
      <c r="J76" s="17"/>
      <c r="K76" s="17"/>
      <c r="L76" s="1"/>
    </row>
    <row r="77" spans="2:12" ht="15" customHeight="1" x14ac:dyDescent="0.25">
      <c r="B77" s="15"/>
      <c r="C77" s="12"/>
      <c r="D77" s="17"/>
      <c r="E77" s="17"/>
      <c r="F77" s="17"/>
      <c r="G77" s="17"/>
      <c r="H77" s="15"/>
      <c r="I77" s="17"/>
      <c r="J77" s="17"/>
      <c r="K77" s="17"/>
      <c r="L77" s="1"/>
    </row>
    <row r="78" spans="2:12" ht="15" customHeight="1" x14ac:dyDescent="0.25">
      <c r="B78" s="15"/>
      <c r="C78" s="12"/>
      <c r="D78" s="17"/>
      <c r="E78" s="17"/>
      <c r="F78" s="17"/>
      <c r="G78" s="17"/>
      <c r="H78" s="15"/>
      <c r="I78" s="17"/>
      <c r="J78" s="17"/>
      <c r="K78" s="17"/>
      <c r="L78" s="1"/>
    </row>
    <row r="79" spans="2:12" ht="15" customHeight="1" x14ac:dyDescent="0.25">
      <c r="B79" s="15"/>
      <c r="C79" s="12"/>
      <c r="D79" s="15"/>
      <c r="E79" s="15"/>
      <c r="F79" s="15"/>
      <c r="G79" s="15"/>
      <c r="H79" s="15"/>
      <c r="I79" s="15"/>
      <c r="J79" s="15"/>
      <c r="K79" s="15"/>
      <c r="L79" s="1"/>
    </row>
    <row r="80" spans="2:12" ht="15" customHeight="1" x14ac:dyDescent="0.25">
      <c r="B80" s="15"/>
      <c r="C80" s="12"/>
      <c r="D80" s="15"/>
      <c r="E80" s="15"/>
      <c r="F80" s="15"/>
      <c r="G80" s="15"/>
      <c r="H80" s="15"/>
      <c r="I80" s="15"/>
      <c r="J80" s="15"/>
      <c r="K80" s="15"/>
      <c r="L80" s="1"/>
    </row>
    <row r="81" spans="2:12" ht="15" customHeight="1" x14ac:dyDescent="0.25">
      <c r="B81" s="15"/>
      <c r="C81" s="12"/>
      <c r="D81" s="15"/>
      <c r="E81" s="15"/>
      <c r="F81" s="15"/>
      <c r="G81" s="15"/>
      <c r="H81" s="15"/>
      <c r="I81" s="15"/>
      <c r="J81" s="15"/>
      <c r="K81" s="15"/>
      <c r="L81" s="1"/>
    </row>
    <row r="82" spans="2:12" ht="15" customHeight="1" x14ac:dyDescent="0.25">
      <c r="B82" s="15"/>
      <c r="C82" s="12"/>
      <c r="D82" s="15"/>
      <c r="E82" s="15"/>
      <c r="F82" s="15"/>
      <c r="G82" s="15"/>
      <c r="H82" s="15"/>
      <c r="I82" s="15"/>
      <c r="J82" s="15"/>
      <c r="K82" s="15"/>
      <c r="L82" s="1"/>
    </row>
    <row r="83" spans="2:12" ht="15" customHeight="1" x14ac:dyDescent="0.25">
      <c r="B83" s="15"/>
      <c r="C83" s="12"/>
      <c r="D83" s="15"/>
      <c r="E83" s="15"/>
      <c r="F83" s="15"/>
      <c r="G83" s="15"/>
      <c r="H83" s="15"/>
      <c r="I83" s="15"/>
      <c r="J83" s="15"/>
      <c r="K83" s="15"/>
      <c r="L83" s="1"/>
    </row>
    <row r="84" spans="2:12" ht="15" customHeight="1" x14ac:dyDescent="0.25">
      <c r="B84" s="15"/>
      <c r="C84" s="12"/>
      <c r="D84" s="15"/>
      <c r="E84" s="15"/>
      <c r="F84" s="15"/>
      <c r="G84" s="15"/>
      <c r="H84" s="15"/>
      <c r="I84" s="15"/>
      <c r="J84" s="15"/>
      <c r="K84" s="15"/>
      <c r="L84" s="1"/>
    </row>
    <row r="85" spans="2:12" ht="15" customHeight="1" x14ac:dyDescent="0.25">
      <c r="B85" s="15"/>
      <c r="C85" s="12"/>
      <c r="D85" s="15"/>
      <c r="E85" s="15"/>
      <c r="F85" s="15"/>
      <c r="G85" s="15"/>
      <c r="H85" s="15"/>
      <c r="I85" s="15"/>
      <c r="J85" s="15"/>
      <c r="K85" s="15"/>
      <c r="L85" s="1"/>
    </row>
    <row r="86" spans="2:12" ht="15" customHeight="1" x14ac:dyDescent="0.25">
      <c r="B86" s="15"/>
      <c r="C86" s="12"/>
      <c r="D86" s="15"/>
      <c r="E86" s="15"/>
      <c r="F86" s="15"/>
      <c r="G86" s="15"/>
      <c r="H86" s="15"/>
      <c r="I86" s="15"/>
      <c r="J86" s="15"/>
      <c r="K86" s="15"/>
      <c r="L86" s="1"/>
    </row>
    <row r="87" spans="2:12" ht="15" customHeight="1" x14ac:dyDescent="0.25">
      <c r="B87" s="15"/>
      <c r="C87" s="12"/>
      <c r="D87" s="15"/>
      <c r="E87" s="15"/>
      <c r="F87" s="15"/>
      <c r="G87" s="15"/>
      <c r="H87" s="15"/>
      <c r="I87" s="15"/>
      <c r="J87" s="15"/>
      <c r="K87" s="15"/>
      <c r="L87" s="1"/>
    </row>
    <row r="88" spans="2:12" ht="15" customHeight="1" x14ac:dyDescent="0.25">
      <c r="B88" s="15"/>
      <c r="C88" s="12"/>
      <c r="D88" s="15"/>
      <c r="E88" s="15"/>
      <c r="F88" s="15"/>
      <c r="G88" s="15"/>
      <c r="H88" s="15"/>
      <c r="I88" s="15"/>
      <c r="J88" s="15"/>
      <c r="K88" s="15"/>
      <c r="L88" s="1"/>
    </row>
    <row r="89" spans="2:12" ht="15" customHeight="1" x14ac:dyDescent="0.25">
      <c r="B89" s="15"/>
      <c r="C89" s="12"/>
      <c r="D89" s="15"/>
      <c r="E89" s="15"/>
      <c r="F89" s="15"/>
      <c r="G89" s="15"/>
      <c r="H89" s="15"/>
      <c r="I89" s="15"/>
      <c r="J89" s="15"/>
      <c r="K89" s="15"/>
      <c r="L89" s="1"/>
    </row>
    <row r="90" spans="2:12" ht="15" customHeight="1" x14ac:dyDescent="0.25">
      <c r="B90" s="15"/>
      <c r="C90" s="12"/>
      <c r="D90" s="15"/>
      <c r="E90" s="15"/>
      <c r="F90" s="15"/>
      <c r="G90" s="15"/>
      <c r="H90" s="15"/>
      <c r="I90" s="15"/>
      <c r="J90" s="15"/>
      <c r="K90" s="15"/>
      <c r="L90" s="1"/>
    </row>
    <row r="91" spans="2:12" ht="15" customHeight="1" x14ac:dyDescent="0.25">
      <c r="B91" s="15"/>
      <c r="C91" s="12"/>
      <c r="D91" s="15"/>
      <c r="E91" s="15"/>
      <c r="F91" s="15"/>
      <c r="G91" s="15"/>
      <c r="H91" s="15"/>
      <c r="I91" s="15"/>
      <c r="J91" s="15"/>
      <c r="K91" s="15"/>
      <c r="L91" s="1"/>
    </row>
    <row r="92" spans="2:12" ht="15" customHeight="1" x14ac:dyDescent="0.25">
      <c r="B92" s="15"/>
      <c r="C92" s="12"/>
      <c r="D92" s="15"/>
      <c r="E92" s="15"/>
      <c r="F92" s="15"/>
      <c r="G92" s="15"/>
      <c r="H92" s="15"/>
      <c r="I92" s="15"/>
      <c r="J92" s="15"/>
      <c r="K92" s="15"/>
      <c r="L92" s="1"/>
    </row>
    <row r="93" spans="2:12" ht="15" customHeight="1" x14ac:dyDescent="0.25">
      <c r="C93" s="7"/>
      <c r="H93" s="3"/>
      <c r="L93" s="1"/>
    </row>
    <row r="94" spans="2:12" ht="15" customHeight="1" x14ac:dyDescent="0.25">
      <c r="C94" s="7"/>
      <c r="H94" s="3"/>
      <c r="L94" s="1"/>
    </row>
    <row r="95" spans="2:12" ht="15" customHeight="1" x14ac:dyDescent="0.25">
      <c r="C95" s="7"/>
      <c r="H95" s="3"/>
      <c r="L95" s="1"/>
    </row>
    <row r="96" spans="2:12" ht="15" customHeight="1" x14ac:dyDescent="0.25">
      <c r="C96" s="7"/>
      <c r="H96" s="3"/>
      <c r="L96" s="1"/>
    </row>
    <row r="97" spans="3:12" ht="15" customHeight="1" x14ac:dyDescent="0.25">
      <c r="C97" s="7"/>
      <c r="H97" s="3"/>
      <c r="L97" s="1"/>
    </row>
    <row r="98" spans="3:12" ht="15" customHeight="1" x14ac:dyDescent="0.25">
      <c r="C98" s="7"/>
      <c r="H98" s="3"/>
      <c r="L98" s="1"/>
    </row>
    <row r="99" spans="3:12" ht="15" customHeight="1" x14ac:dyDescent="0.25">
      <c r="C99" s="7"/>
      <c r="H99" s="3"/>
      <c r="L99" s="1"/>
    </row>
    <row r="100" spans="3:12" ht="15" customHeight="1" x14ac:dyDescent="0.25">
      <c r="C100" s="7"/>
      <c r="L100" s="1"/>
    </row>
    <row r="101" spans="3:12" ht="15" customHeight="1" x14ac:dyDescent="0.25">
      <c r="C101" s="7"/>
      <c r="L101" s="1"/>
    </row>
    <row r="102" spans="3:12" ht="15" customHeight="1" x14ac:dyDescent="0.25">
      <c r="C102" s="7"/>
    </row>
    <row r="103" spans="3:12" ht="15" customHeight="1" x14ac:dyDescent="0.25">
      <c r="C103" s="7"/>
    </row>
    <row r="104" spans="3:12" ht="15" customHeight="1" x14ac:dyDescent="0.25">
      <c r="C104" s="7"/>
    </row>
    <row r="105" spans="3:12" ht="15" customHeight="1" x14ac:dyDescent="0.25">
      <c r="C105" s="7"/>
    </row>
    <row r="106" spans="3:12" ht="15" customHeight="1" x14ac:dyDescent="0.25">
      <c r="C106" s="7"/>
    </row>
    <row r="107" spans="3:12" ht="15" customHeight="1" x14ac:dyDescent="0.25">
      <c r="C107" s="7"/>
    </row>
    <row r="108" spans="3:12" ht="15" customHeight="1" x14ac:dyDescent="0.25">
      <c r="C108" s="7"/>
    </row>
    <row r="109" spans="3:12" ht="15" customHeight="1" x14ac:dyDescent="0.25">
      <c r="C109" s="7"/>
    </row>
    <row r="110" spans="3:12" ht="15" customHeight="1" x14ac:dyDescent="0.25">
      <c r="C110" s="7"/>
    </row>
    <row r="111" spans="3:12" ht="15" customHeight="1" x14ac:dyDescent="0.25">
      <c r="C111" s="7"/>
    </row>
    <row r="112" spans="3:12" ht="15" customHeight="1" x14ac:dyDescent="0.25">
      <c r="C112" s="7"/>
    </row>
    <row r="113" spans="3:3" ht="15" customHeight="1" x14ac:dyDescent="0.25">
      <c r="C113" s="7"/>
    </row>
    <row r="114" spans="3:3" ht="15" customHeight="1" x14ac:dyDescent="0.25">
      <c r="C114" s="7"/>
    </row>
    <row r="115" spans="3:3" ht="15" customHeight="1" x14ac:dyDescent="0.25">
      <c r="C115" s="7"/>
    </row>
    <row r="116" spans="3:3" ht="15" customHeight="1" x14ac:dyDescent="0.25">
      <c r="C116" s="7"/>
    </row>
    <row r="117" spans="3:3" ht="15" customHeight="1" x14ac:dyDescent="0.25">
      <c r="C117" s="7"/>
    </row>
    <row r="118" spans="3:3" ht="15" customHeight="1" x14ac:dyDescent="0.25">
      <c r="C118" s="7"/>
    </row>
    <row r="119" spans="3:3" ht="15" customHeight="1" x14ac:dyDescent="0.25">
      <c r="C119" s="7"/>
    </row>
    <row r="120" spans="3:3" ht="15" customHeight="1" x14ac:dyDescent="0.25">
      <c r="C120" s="7"/>
    </row>
    <row r="121" spans="3:3" ht="15" customHeight="1" x14ac:dyDescent="0.25">
      <c r="C121" s="7"/>
    </row>
    <row r="122" spans="3:3" ht="15" customHeight="1" x14ac:dyDescent="0.25">
      <c r="C122" s="5"/>
    </row>
    <row r="123" spans="3:3" ht="15" customHeight="1" x14ac:dyDescent="0.25">
      <c r="C123" s="5"/>
    </row>
    <row r="124" spans="3:3" ht="15" customHeight="1" x14ac:dyDescent="0.25">
      <c r="C124" s="5"/>
    </row>
    <row r="125" spans="3:3" ht="15" customHeight="1" x14ac:dyDescent="0.25">
      <c r="C125" s="5"/>
    </row>
    <row r="126" spans="3:3" ht="15" customHeight="1" x14ac:dyDescent="0.25">
      <c r="C126" s="5"/>
    </row>
    <row r="127" spans="3:3" ht="15" customHeight="1" x14ac:dyDescent="0.25">
      <c r="C127" s="5"/>
    </row>
    <row r="128" spans="3:3" ht="15" customHeight="1" x14ac:dyDescent="0.25">
      <c r="C128" s="5"/>
    </row>
    <row r="129" spans="3:3" ht="15" customHeight="1" x14ac:dyDescent="0.25">
      <c r="C129" s="5"/>
    </row>
    <row r="130" spans="3:3" ht="15" customHeight="1" x14ac:dyDescent="0.25">
      <c r="C130" s="5"/>
    </row>
    <row r="131" spans="3:3" ht="15" customHeight="1" x14ac:dyDescent="0.25">
      <c r="C131" s="5"/>
    </row>
    <row r="132" spans="3:3" ht="15" customHeight="1" x14ac:dyDescent="0.25">
      <c r="C132" s="5"/>
    </row>
    <row r="133" spans="3:3" ht="15" customHeight="1" x14ac:dyDescent="0.25">
      <c r="C133" s="5"/>
    </row>
    <row r="134" spans="3:3" ht="15" customHeight="1" x14ac:dyDescent="0.25">
      <c r="C134" s="5"/>
    </row>
    <row r="135" spans="3:3" ht="15" customHeight="1" x14ac:dyDescent="0.25">
      <c r="C135" s="5"/>
    </row>
    <row r="136" spans="3:3" ht="15" customHeight="1" x14ac:dyDescent="0.25">
      <c r="C136" s="5"/>
    </row>
    <row r="137" spans="3:3" ht="15" customHeight="1" x14ac:dyDescent="0.25">
      <c r="C137" s="5"/>
    </row>
    <row r="138" spans="3:3" ht="15" customHeight="1" x14ac:dyDescent="0.25">
      <c r="C138" s="5"/>
    </row>
    <row r="139" spans="3:3" ht="15" customHeight="1" x14ac:dyDescent="0.25">
      <c r="C139" s="5"/>
    </row>
    <row r="140" spans="3:3" ht="15" customHeight="1" x14ac:dyDescent="0.25">
      <c r="C140" s="5"/>
    </row>
    <row r="141" spans="3:3" ht="15" customHeight="1" x14ac:dyDescent="0.25">
      <c r="C141" s="5"/>
    </row>
    <row r="142" spans="3:3" ht="15" customHeight="1" x14ac:dyDescent="0.25">
      <c r="C142" s="5"/>
    </row>
    <row r="143" spans="3:3" ht="15" customHeight="1" x14ac:dyDescent="0.25">
      <c r="C143" s="5"/>
    </row>
    <row r="144" spans="3:3" ht="15" customHeight="1" x14ac:dyDescent="0.25">
      <c r="C144" s="5"/>
    </row>
    <row r="145" spans="3:3" ht="15" customHeight="1" x14ac:dyDescent="0.25">
      <c r="C145" s="5"/>
    </row>
    <row r="146" spans="3:3" ht="15" customHeight="1" x14ac:dyDescent="0.25">
      <c r="C146" s="5"/>
    </row>
    <row r="147" spans="3:3" ht="15" customHeight="1" x14ac:dyDescent="0.25">
      <c r="C147" s="5"/>
    </row>
    <row r="148" spans="3:3" ht="15" customHeight="1" x14ac:dyDescent="0.25">
      <c r="C148" s="5"/>
    </row>
    <row r="149" spans="3:3" ht="15" customHeight="1" x14ac:dyDescent="0.25">
      <c r="C149" s="5"/>
    </row>
    <row r="150" spans="3:3" ht="15" customHeight="1" x14ac:dyDescent="0.25">
      <c r="C150" s="5"/>
    </row>
    <row r="151" spans="3:3" ht="15" customHeight="1" x14ac:dyDescent="0.25">
      <c r="C151" s="5"/>
    </row>
    <row r="152" spans="3:3" ht="15" customHeight="1" x14ac:dyDescent="0.25">
      <c r="C152" s="5"/>
    </row>
    <row r="153" spans="3:3" ht="15" customHeight="1" x14ac:dyDescent="0.25">
      <c r="C153" s="5"/>
    </row>
    <row r="154" spans="3:3" ht="15" customHeight="1" x14ac:dyDescent="0.25">
      <c r="C154" s="5"/>
    </row>
  </sheetData>
  <mergeCells count="15">
    <mergeCell ref="A3:K3"/>
    <mergeCell ref="A4:A5"/>
    <mergeCell ref="B4:D4"/>
    <mergeCell ref="E4:G4"/>
    <mergeCell ref="H4:I4"/>
    <mergeCell ref="J4:K4"/>
    <mergeCell ref="I38:K38"/>
    <mergeCell ref="I39:K39"/>
    <mergeCell ref="I40:K40"/>
    <mergeCell ref="A30:D30"/>
    <mergeCell ref="I33:K33"/>
    <mergeCell ref="I34:K34"/>
    <mergeCell ref="I35:K35"/>
    <mergeCell ref="I36:K36"/>
    <mergeCell ref="I37:K37"/>
  </mergeCells>
  <pageMargins left="0.31496062992125984" right="0.31496062992125984" top="0.35433070866141736" bottom="0.74803149606299213" header="0.31496062992125984" footer="0.31496062992125984"/>
  <pageSetup paperSize="5" scale="95" orientation="landscape" horizontalDpi="4294967293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K20"/>
  <sheetViews>
    <sheetView zoomScale="140" zoomScaleNormal="140" workbookViewId="0">
      <selection activeCell="N14" sqref="N14"/>
    </sheetView>
  </sheetViews>
  <sheetFormatPr defaultRowHeight="15" x14ac:dyDescent="0.25"/>
  <sheetData>
    <row r="1" spans="1:11" x14ac:dyDescent="0.25">
      <c r="A1" s="146" t="s">
        <v>12</v>
      </c>
      <c r="B1" s="203"/>
      <c r="C1" s="203"/>
      <c r="D1" s="203"/>
      <c r="E1" s="204"/>
      <c r="F1" s="204"/>
      <c r="G1" s="203"/>
      <c r="H1" s="203"/>
      <c r="I1" s="203"/>
      <c r="J1" s="203"/>
      <c r="K1" s="203"/>
    </row>
    <row r="2" spans="1:11" x14ac:dyDescent="0.25">
      <c r="A2" s="146" t="s">
        <v>92</v>
      </c>
      <c r="B2" s="147"/>
      <c r="C2" s="147"/>
      <c r="D2" s="147"/>
      <c r="E2" s="147"/>
      <c r="F2" s="147"/>
      <c r="G2" s="147"/>
      <c r="H2" s="203"/>
      <c r="I2" s="203"/>
      <c r="J2" s="203"/>
      <c r="K2" s="203"/>
    </row>
    <row r="3" spans="1:11" x14ac:dyDescent="0.25">
      <c r="A3" s="147"/>
      <c r="B3" s="203"/>
      <c r="C3" s="203"/>
      <c r="D3" s="203"/>
      <c r="E3" s="204"/>
      <c r="F3" s="204"/>
      <c r="G3" s="203"/>
      <c r="H3" s="203"/>
      <c r="I3" s="203"/>
      <c r="J3" s="203"/>
      <c r="K3" s="203"/>
    </row>
    <row r="4" spans="1:11" x14ac:dyDescent="0.25">
      <c r="A4" s="500" t="s">
        <v>67</v>
      </c>
      <c r="B4" s="500"/>
      <c r="C4" s="500"/>
      <c r="D4" s="500"/>
      <c r="E4" s="500"/>
      <c r="F4" s="500"/>
      <c r="G4" s="500"/>
      <c r="H4" s="500"/>
      <c r="I4" s="500"/>
      <c r="J4" s="500"/>
      <c r="K4" s="500"/>
    </row>
    <row r="5" spans="1:11" x14ac:dyDescent="0.25">
      <c r="A5" s="205"/>
      <c r="B5" s="206"/>
      <c r="C5" s="206"/>
      <c r="D5" s="206"/>
      <c r="E5" s="207"/>
      <c r="F5" s="207"/>
      <c r="G5" s="206"/>
      <c r="H5" s="206"/>
      <c r="I5" s="206"/>
      <c r="J5" s="206"/>
      <c r="K5" s="206"/>
    </row>
    <row r="6" spans="1:11" x14ac:dyDescent="0.25">
      <c r="A6" s="501" t="s">
        <v>0</v>
      </c>
      <c r="B6" s="503" t="s">
        <v>7</v>
      </c>
      <c r="C6" s="503"/>
      <c r="D6" s="503"/>
      <c r="E6" s="503" t="s">
        <v>5</v>
      </c>
      <c r="F6" s="503"/>
      <c r="G6" s="503"/>
      <c r="H6" s="503" t="s">
        <v>4</v>
      </c>
      <c r="I6" s="503"/>
      <c r="J6" s="503" t="s">
        <v>6</v>
      </c>
      <c r="K6" s="503"/>
    </row>
    <row r="7" spans="1:11" x14ac:dyDescent="0.25">
      <c r="A7" s="502"/>
      <c r="B7" s="208" t="s">
        <v>8</v>
      </c>
      <c r="C7" s="208" t="s">
        <v>9</v>
      </c>
      <c r="D7" s="208" t="s">
        <v>13</v>
      </c>
      <c r="E7" s="209" t="s">
        <v>8</v>
      </c>
      <c r="F7" s="209" t="s">
        <v>9</v>
      </c>
      <c r="G7" s="208" t="s">
        <v>13</v>
      </c>
      <c r="H7" s="208" t="s">
        <v>8</v>
      </c>
      <c r="I7" s="208" t="s">
        <v>13</v>
      </c>
      <c r="J7" s="208" t="s">
        <v>8</v>
      </c>
      <c r="K7" s="208" t="s">
        <v>13</v>
      </c>
    </row>
    <row r="8" spans="1:11" x14ac:dyDescent="0.25">
      <c r="A8" s="364" t="s">
        <v>1</v>
      </c>
      <c r="B8" s="365"/>
      <c r="C8" s="365"/>
      <c r="D8" s="365">
        <f>B8*C8</f>
        <v>0</v>
      </c>
      <c r="E8" s="366"/>
      <c r="F8" s="366"/>
      <c r="G8" s="366"/>
      <c r="H8" s="365"/>
      <c r="I8" s="365"/>
      <c r="J8" s="365">
        <f>B8+E8-H8</f>
        <v>0</v>
      </c>
      <c r="K8" s="365">
        <f>J8*C8</f>
        <v>0</v>
      </c>
    </row>
    <row r="9" spans="1:11" x14ac:dyDescent="0.25">
      <c r="A9" s="367" t="s">
        <v>21</v>
      </c>
      <c r="B9" s="368"/>
      <c r="C9" s="369">
        <f>C8</f>
        <v>0</v>
      </c>
      <c r="D9" s="370">
        <f>B9*C9</f>
        <v>0</v>
      </c>
      <c r="E9" s="370"/>
      <c r="F9" s="370"/>
      <c r="G9" s="370">
        <f>E9*F9</f>
        <v>0</v>
      </c>
      <c r="H9" s="370"/>
      <c r="I9" s="370">
        <f>H9*F9</f>
        <v>0</v>
      </c>
      <c r="J9" s="370">
        <f t="shared" ref="J9:J19" si="0">B9+E9-H9</f>
        <v>0</v>
      </c>
      <c r="K9" s="365">
        <f>J9*C9</f>
        <v>0</v>
      </c>
    </row>
    <row r="10" spans="1:11" x14ac:dyDescent="0.25">
      <c r="A10" s="367" t="s">
        <v>22</v>
      </c>
      <c r="B10" s="368"/>
      <c r="C10" s="369"/>
      <c r="D10" s="370">
        <f t="shared" ref="D10:D19" si="1">B10*C10</f>
        <v>0</v>
      </c>
      <c r="E10" s="370"/>
      <c r="F10" s="370"/>
      <c r="G10" s="370"/>
      <c r="H10" s="370"/>
      <c r="I10" s="370">
        <f t="shared" ref="I10:I19" si="2">H10*C10</f>
        <v>0</v>
      </c>
      <c r="J10" s="370">
        <f t="shared" si="0"/>
        <v>0</v>
      </c>
      <c r="K10" s="370">
        <f t="shared" ref="K10:K19" si="3">J10*C10</f>
        <v>0</v>
      </c>
    </row>
    <row r="11" spans="1:11" x14ac:dyDescent="0.25">
      <c r="A11" s="367" t="s">
        <v>24</v>
      </c>
      <c r="B11" s="368"/>
      <c r="C11" s="369"/>
      <c r="D11" s="371">
        <f t="shared" si="1"/>
        <v>0</v>
      </c>
      <c r="E11" s="371"/>
      <c r="F11" s="371"/>
      <c r="G11" s="371"/>
      <c r="H11" s="370"/>
      <c r="I11" s="370">
        <f t="shared" si="2"/>
        <v>0</v>
      </c>
      <c r="J11" s="370">
        <f t="shared" si="0"/>
        <v>0</v>
      </c>
      <c r="K11" s="370">
        <f t="shared" si="3"/>
        <v>0</v>
      </c>
    </row>
    <row r="12" spans="1:11" x14ac:dyDescent="0.25">
      <c r="A12" s="367" t="s">
        <v>27</v>
      </c>
      <c r="B12" s="368"/>
      <c r="C12" s="369"/>
      <c r="D12" s="371">
        <f t="shared" si="1"/>
        <v>0</v>
      </c>
      <c r="E12" s="371"/>
      <c r="F12" s="371"/>
      <c r="G12" s="371"/>
      <c r="H12" s="371"/>
      <c r="I12" s="370">
        <f t="shared" si="2"/>
        <v>0</v>
      </c>
      <c r="J12" s="370">
        <f t="shared" si="0"/>
        <v>0</v>
      </c>
      <c r="K12" s="370">
        <f t="shared" si="3"/>
        <v>0</v>
      </c>
    </row>
    <row r="13" spans="1:11" x14ac:dyDescent="0.25">
      <c r="A13" s="367" t="s">
        <v>51</v>
      </c>
      <c r="B13" s="374"/>
      <c r="C13" s="369"/>
      <c r="D13" s="371">
        <f t="shared" si="1"/>
        <v>0</v>
      </c>
      <c r="E13" s="371"/>
      <c r="F13" s="371"/>
      <c r="G13" s="371"/>
      <c r="H13" s="371"/>
      <c r="I13" s="370">
        <f t="shared" si="2"/>
        <v>0</v>
      </c>
      <c r="J13" s="370">
        <f t="shared" si="0"/>
        <v>0</v>
      </c>
      <c r="K13" s="370">
        <f t="shared" si="3"/>
        <v>0</v>
      </c>
    </row>
    <row r="14" spans="1:11" x14ac:dyDescent="0.25">
      <c r="A14" s="367" t="s">
        <v>52</v>
      </c>
      <c r="B14" s="371"/>
      <c r="C14" s="369"/>
      <c r="D14" s="371">
        <f t="shared" si="1"/>
        <v>0</v>
      </c>
      <c r="E14" s="371"/>
      <c r="F14" s="371"/>
      <c r="G14" s="371">
        <f>E14*F14</f>
        <v>0</v>
      </c>
      <c r="H14" s="372"/>
      <c r="I14" s="371">
        <f t="shared" si="2"/>
        <v>0</v>
      </c>
      <c r="J14" s="370">
        <f t="shared" si="0"/>
        <v>0</v>
      </c>
      <c r="K14" s="370">
        <f t="shared" si="3"/>
        <v>0</v>
      </c>
    </row>
    <row r="15" spans="1:11" x14ac:dyDescent="0.25">
      <c r="A15" s="367" t="s">
        <v>53</v>
      </c>
      <c r="B15" s="371"/>
      <c r="C15" s="369"/>
      <c r="D15" s="371">
        <f t="shared" si="1"/>
        <v>0</v>
      </c>
      <c r="E15" s="371"/>
      <c r="F15" s="371"/>
      <c r="G15" s="371"/>
      <c r="H15" s="372"/>
      <c r="I15" s="370">
        <f t="shared" si="2"/>
        <v>0</v>
      </c>
      <c r="J15" s="370">
        <f t="shared" si="0"/>
        <v>0</v>
      </c>
      <c r="K15" s="370">
        <f t="shared" si="3"/>
        <v>0</v>
      </c>
    </row>
    <row r="16" spans="1:11" x14ac:dyDescent="0.25">
      <c r="A16" s="367" t="s">
        <v>54</v>
      </c>
      <c r="B16" s="371"/>
      <c r="C16" s="369"/>
      <c r="D16" s="371">
        <f t="shared" si="1"/>
        <v>0</v>
      </c>
      <c r="E16" s="371"/>
      <c r="F16" s="371"/>
      <c r="G16" s="371"/>
      <c r="H16" s="371"/>
      <c r="I16" s="371">
        <f t="shared" si="2"/>
        <v>0</v>
      </c>
      <c r="J16" s="370">
        <f t="shared" si="0"/>
        <v>0</v>
      </c>
      <c r="K16" s="370">
        <f t="shared" si="3"/>
        <v>0</v>
      </c>
    </row>
    <row r="17" spans="1:11" x14ac:dyDescent="0.25">
      <c r="A17" s="367" t="s">
        <v>55</v>
      </c>
      <c r="B17" s="374"/>
      <c r="C17" s="369"/>
      <c r="D17" s="371">
        <f t="shared" si="1"/>
        <v>0</v>
      </c>
      <c r="E17" s="371"/>
      <c r="F17" s="371"/>
      <c r="G17" s="371"/>
      <c r="H17" s="371"/>
      <c r="I17" s="371">
        <f t="shared" si="2"/>
        <v>0</v>
      </c>
      <c r="J17" s="370">
        <f t="shared" si="0"/>
        <v>0</v>
      </c>
      <c r="K17" s="370">
        <f t="shared" si="3"/>
        <v>0</v>
      </c>
    </row>
    <row r="18" spans="1:11" x14ac:dyDescent="0.25">
      <c r="A18" s="367" t="s">
        <v>64</v>
      </c>
      <c r="B18" s="374"/>
      <c r="C18" s="369"/>
      <c r="D18" s="371">
        <f t="shared" si="1"/>
        <v>0</v>
      </c>
      <c r="E18" s="371"/>
      <c r="F18" s="371"/>
      <c r="G18" s="371"/>
      <c r="H18" s="372"/>
      <c r="I18" s="372">
        <f t="shared" si="2"/>
        <v>0</v>
      </c>
      <c r="J18" s="370">
        <f t="shared" si="0"/>
        <v>0</v>
      </c>
      <c r="K18" s="370">
        <f t="shared" si="3"/>
        <v>0</v>
      </c>
    </row>
    <row r="19" spans="1:11" x14ac:dyDescent="0.25">
      <c r="A19" s="367" t="s">
        <v>65</v>
      </c>
      <c r="B19" s="371"/>
      <c r="C19" s="369"/>
      <c r="D19" s="371">
        <f t="shared" si="1"/>
        <v>0</v>
      </c>
      <c r="E19" s="371"/>
      <c r="F19" s="371"/>
      <c r="G19" s="371"/>
      <c r="H19" s="372">
        <v>10</v>
      </c>
      <c r="I19" s="440">
        <f t="shared" si="2"/>
        <v>0</v>
      </c>
      <c r="J19" s="445">
        <f t="shared" si="0"/>
        <v>-10</v>
      </c>
      <c r="K19" s="370">
        <f t="shared" si="3"/>
        <v>0</v>
      </c>
    </row>
    <row r="20" spans="1:11" x14ac:dyDescent="0.25">
      <c r="A20" s="498" t="s">
        <v>66</v>
      </c>
      <c r="B20" s="499"/>
      <c r="C20" s="499"/>
      <c r="D20" s="499"/>
      <c r="E20" s="373">
        <f>SUM(E8:E19)</f>
        <v>0</v>
      </c>
      <c r="F20" s="373">
        <f t="shared" ref="F20:K20" si="4">SUM(F8:F19)</f>
        <v>0</v>
      </c>
      <c r="G20" s="373">
        <f t="shared" si="4"/>
        <v>0</v>
      </c>
      <c r="H20" s="373">
        <f t="shared" si="4"/>
        <v>10</v>
      </c>
      <c r="I20" s="373">
        <f t="shared" si="4"/>
        <v>0</v>
      </c>
      <c r="J20" s="373">
        <f t="shared" si="4"/>
        <v>-10</v>
      </c>
      <c r="K20" s="373">
        <f t="shared" si="4"/>
        <v>0</v>
      </c>
    </row>
  </sheetData>
  <mergeCells count="7">
    <mergeCell ref="A20:D20"/>
    <mergeCell ref="A4:K4"/>
    <mergeCell ref="A6:A7"/>
    <mergeCell ref="B6:D6"/>
    <mergeCell ref="E6:G6"/>
    <mergeCell ref="H6:I6"/>
    <mergeCell ref="J6:K6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L162"/>
  <sheetViews>
    <sheetView view="pageLayout" topLeftCell="A31" zoomScaleNormal="100" workbookViewId="0">
      <selection activeCell="I19" sqref="I19"/>
    </sheetView>
  </sheetViews>
  <sheetFormatPr defaultRowHeight="15" customHeight="1" x14ac:dyDescent="0.25"/>
  <cols>
    <col min="1" max="1" width="12" customWidth="1"/>
    <col min="2" max="2" width="10.28515625" customWidth="1"/>
    <col min="3" max="3" width="14.28515625" customWidth="1"/>
    <col min="4" max="4" width="17.28515625" customWidth="1"/>
    <col min="5" max="5" width="8.5703125" customWidth="1"/>
    <col min="6" max="6" width="11.42578125" customWidth="1"/>
    <col min="7" max="7" width="16.85546875" customWidth="1"/>
    <col min="8" max="8" width="11.42578125" bestFit="1" customWidth="1"/>
    <col min="9" max="9" width="18.28515625" customWidth="1"/>
    <col min="10" max="10" width="11.5703125" customWidth="1"/>
    <col min="11" max="11" width="18" customWidth="1"/>
    <col min="12" max="12" width="22" customWidth="1"/>
  </cols>
  <sheetData>
    <row r="1" spans="1:12" s="95" customFormat="1" ht="15" customHeight="1" x14ac:dyDescent="0.25">
      <c r="A1" s="116" t="s">
        <v>12</v>
      </c>
    </row>
    <row r="2" spans="1:12" s="95" customFormat="1" ht="15" customHeight="1" x14ac:dyDescent="0.25">
      <c r="A2" s="116" t="s">
        <v>91</v>
      </c>
    </row>
    <row r="3" spans="1:12" s="95" customFormat="1" ht="23.25" customHeight="1" x14ac:dyDescent="0.25">
      <c r="A3" s="475" t="s">
        <v>2</v>
      </c>
      <c r="B3" s="475"/>
      <c r="C3" s="475"/>
      <c r="D3" s="475"/>
      <c r="E3" s="475"/>
      <c r="F3" s="475"/>
      <c r="G3" s="475"/>
      <c r="H3" s="475"/>
      <c r="I3" s="475"/>
      <c r="J3" s="475"/>
      <c r="K3" s="475"/>
    </row>
    <row r="4" spans="1:12" ht="18.75" customHeight="1" x14ac:dyDescent="0.25">
      <c r="A4" s="476" t="s">
        <v>0</v>
      </c>
      <c r="B4" s="476" t="s">
        <v>7</v>
      </c>
      <c r="C4" s="476"/>
      <c r="D4" s="476"/>
      <c r="E4" s="476" t="s">
        <v>5</v>
      </c>
      <c r="F4" s="476"/>
      <c r="G4" s="476"/>
      <c r="H4" s="476" t="s">
        <v>4</v>
      </c>
      <c r="I4" s="476"/>
      <c r="J4" s="476" t="s">
        <v>6</v>
      </c>
      <c r="K4" s="476"/>
    </row>
    <row r="5" spans="1:12" ht="21" customHeight="1" x14ac:dyDescent="0.25">
      <c r="A5" s="476"/>
      <c r="B5" s="28" t="s">
        <v>8</v>
      </c>
      <c r="C5" s="28" t="s">
        <v>14</v>
      </c>
      <c r="D5" s="28" t="s">
        <v>13</v>
      </c>
      <c r="E5" s="28" t="s">
        <v>8</v>
      </c>
      <c r="F5" s="28" t="s">
        <v>14</v>
      </c>
      <c r="G5" s="28" t="s">
        <v>10</v>
      </c>
      <c r="H5" s="28" t="s">
        <v>8</v>
      </c>
      <c r="I5" s="28" t="s">
        <v>13</v>
      </c>
      <c r="J5" s="28" t="s">
        <v>8</v>
      </c>
      <c r="K5" s="28" t="s">
        <v>15</v>
      </c>
    </row>
    <row r="6" spans="1:12" ht="11.25" customHeight="1" x14ac:dyDescent="0.25">
      <c r="A6" s="29"/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12" ht="15" customHeight="1" x14ac:dyDescent="0.25">
      <c r="A7" s="40" t="s">
        <v>1</v>
      </c>
      <c r="B7" s="35"/>
      <c r="C7" s="27"/>
      <c r="D7" s="27">
        <f>B7*C7</f>
        <v>0</v>
      </c>
      <c r="E7" s="36"/>
      <c r="F7" s="27"/>
      <c r="G7" s="27">
        <f>E7*F7</f>
        <v>0</v>
      </c>
      <c r="H7" s="36"/>
      <c r="I7" s="27">
        <f>H7*C7</f>
        <v>0</v>
      </c>
      <c r="J7" s="26">
        <f t="shared" ref="J7:J18" si="0">B7+E7-H7</f>
        <v>0</v>
      </c>
      <c r="K7" s="27">
        <f>D7+G7-I7</f>
        <v>0</v>
      </c>
    </row>
    <row r="8" spans="1:12" ht="15" customHeight="1" x14ac:dyDescent="0.25">
      <c r="A8" s="40"/>
      <c r="B8" s="42"/>
      <c r="C8" s="27"/>
      <c r="D8" s="43"/>
      <c r="E8" s="44"/>
      <c r="F8" s="43"/>
      <c r="G8" s="43"/>
      <c r="H8" s="42"/>
      <c r="I8" s="27"/>
      <c r="J8" s="26">
        <f t="shared" si="0"/>
        <v>0</v>
      </c>
      <c r="K8" s="27">
        <f>D8+G8-I8</f>
        <v>0</v>
      </c>
      <c r="L8" s="15"/>
    </row>
    <row r="9" spans="1:12" ht="15" customHeight="1" x14ac:dyDescent="0.25">
      <c r="A9" s="40" t="s">
        <v>21</v>
      </c>
      <c r="B9" s="42"/>
      <c r="C9" s="27"/>
      <c r="D9" s="43">
        <f>B9*C9</f>
        <v>0</v>
      </c>
      <c r="E9" s="44"/>
      <c r="F9" s="43">
        <f>C9</f>
        <v>0</v>
      </c>
      <c r="G9" s="43">
        <f>E9*F9</f>
        <v>0</v>
      </c>
      <c r="H9" s="42"/>
      <c r="I9" s="27">
        <f>H9*C9</f>
        <v>0</v>
      </c>
      <c r="J9" s="26">
        <f t="shared" si="0"/>
        <v>0</v>
      </c>
      <c r="K9" s="27">
        <f>D9+G9-I9</f>
        <v>0</v>
      </c>
      <c r="L9" s="15"/>
    </row>
    <row r="10" spans="1:12" ht="15" customHeight="1" x14ac:dyDescent="0.25">
      <c r="A10" s="40"/>
      <c r="B10" s="42"/>
      <c r="C10" s="27"/>
      <c r="D10" s="43"/>
      <c r="E10" s="44"/>
      <c r="F10" s="43"/>
      <c r="G10" s="43">
        <f>E10*F10</f>
        <v>0</v>
      </c>
      <c r="H10" s="42"/>
      <c r="I10" s="27">
        <f>H10*F10</f>
        <v>0</v>
      </c>
      <c r="J10" s="26"/>
      <c r="K10" s="27">
        <f>D10+G10-I10</f>
        <v>0</v>
      </c>
      <c r="L10" s="15"/>
    </row>
    <row r="11" spans="1:12" ht="15" customHeight="1" x14ac:dyDescent="0.25">
      <c r="A11" s="40"/>
      <c r="B11" s="42"/>
      <c r="C11" s="27"/>
      <c r="D11" s="43"/>
      <c r="E11" s="450">
        <f>SUM(E9:E10)</f>
        <v>0</v>
      </c>
      <c r="F11" s="136"/>
      <c r="G11" s="136">
        <f>SUM(G9:G10)</f>
        <v>0</v>
      </c>
      <c r="H11" s="134">
        <f>SUM(H9:H10)</f>
        <v>0</v>
      </c>
      <c r="I11" s="132">
        <f>SUM(I9:I10)</f>
        <v>0</v>
      </c>
      <c r="J11" s="131">
        <f>SUM(J9:J10)</f>
        <v>0</v>
      </c>
      <c r="K11" s="132">
        <f>SUM(K9:K10)</f>
        <v>0</v>
      </c>
      <c r="L11" s="15"/>
    </row>
    <row r="12" spans="1:12" ht="15" customHeight="1" x14ac:dyDescent="0.25">
      <c r="A12" s="40"/>
      <c r="B12" s="42"/>
      <c r="C12" s="27"/>
      <c r="D12" s="43"/>
      <c r="E12" s="44"/>
      <c r="F12" s="43"/>
      <c r="G12" s="43"/>
      <c r="H12" s="42"/>
      <c r="I12" s="27"/>
      <c r="J12" s="26"/>
      <c r="K12" s="27"/>
      <c r="L12" s="15"/>
    </row>
    <row r="13" spans="1:12" ht="15" customHeight="1" x14ac:dyDescent="0.25">
      <c r="A13" s="40"/>
      <c r="B13" s="42"/>
      <c r="C13" s="27"/>
      <c r="D13" s="43"/>
      <c r="E13" s="44"/>
      <c r="F13" s="43"/>
      <c r="G13" s="43"/>
      <c r="H13" s="42"/>
      <c r="I13" s="27"/>
      <c r="J13" s="26">
        <f t="shared" si="0"/>
        <v>0</v>
      </c>
      <c r="K13" s="27"/>
      <c r="L13" s="15"/>
    </row>
    <row r="14" spans="1:12" ht="15" customHeight="1" x14ac:dyDescent="0.25">
      <c r="A14" s="40" t="s">
        <v>22</v>
      </c>
      <c r="B14" s="42"/>
      <c r="C14" s="27"/>
      <c r="D14" s="43">
        <f>B14*C14</f>
        <v>0</v>
      </c>
      <c r="E14" s="44"/>
      <c r="F14" s="43">
        <f>C14</f>
        <v>0</v>
      </c>
      <c r="G14" s="43">
        <f>E14*F14</f>
        <v>0</v>
      </c>
      <c r="H14" s="42"/>
      <c r="I14" s="27">
        <f>H14*C14</f>
        <v>0</v>
      </c>
      <c r="J14" s="26"/>
      <c r="K14" s="27">
        <f>J14*C14</f>
        <v>0</v>
      </c>
      <c r="L14" s="15"/>
    </row>
    <row r="15" spans="1:12" ht="15" customHeight="1" x14ac:dyDescent="0.25">
      <c r="A15" s="40"/>
      <c r="B15" s="42"/>
      <c r="C15" s="27"/>
      <c r="D15" s="43"/>
      <c r="E15" s="44"/>
      <c r="F15" s="43"/>
      <c r="G15" s="43"/>
      <c r="H15" s="42"/>
      <c r="I15" s="27"/>
      <c r="J15" s="26"/>
      <c r="K15" s="27"/>
      <c r="L15" s="15"/>
    </row>
    <row r="16" spans="1:12" ht="15" customHeight="1" x14ac:dyDescent="0.25">
      <c r="A16" s="40"/>
      <c r="B16" s="42"/>
      <c r="C16" s="27"/>
      <c r="D16" s="43"/>
      <c r="E16" s="44"/>
      <c r="F16" s="43"/>
      <c r="G16" s="43"/>
      <c r="H16" s="42"/>
      <c r="I16" s="27"/>
      <c r="J16" s="26"/>
      <c r="K16" s="455"/>
      <c r="L16" s="15"/>
    </row>
    <row r="17" spans="1:12" ht="15" customHeight="1" x14ac:dyDescent="0.25">
      <c r="A17" s="40"/>
      <c r="B17" s="42"/>
      <c r="C17" s="27"/>
      <c r="D17" s="43"/>
      <c r="E17" s="44"/>
      <c r="F17" s="43"/>
      <c r="G17" s="43"/>
      <c r="H17" s="42"/>
      <c r="I17" s="27"/>
      <c r="J17" s="26"/>
      <c r="K17" s="27"/>
      <c r="L17" s="15"/>
    </row>
    <row r="18" spans="1:12" ht="15" customHeight="1" x14ac:dyDescent="0.25">
      <c r="A18" s="40"/>
      <c r="B18" s="42"/>
      <c r="C18" s="27"/>
      <c r="D18" s="43"/>
      <c r="E18" s="44"/>
      <c r="F18" s="43"/>
      <c r="G18" s="43">
        <f>E18*F18</f>
        <v>0</v>
      </c>
      <c r="H18" s="42"/>
      <c r="I18" s="27">
        <f>H18*F18</f>
        <v>0</v>
      </c>
      <c r="J18" s="26">
        <f t="shared" si="0"/>
        <v>0</v>
      </c>
      <c r="K18" s="27">
        <f>J18*F18</f>
        <v>0</v>
      </c>
      <c r="L18" s="15"/>
    </row>
    <row r="19" spans="1:12" ht="15" customHeight="1" x14ac:dyDescent="0.25">
      <c r="A19" s="40" t="s">
        <v>24</v>
      </c>
      <c r="B19" s="42"/>
      <c r="C19" s="27"/>
      <c r="D19" s="43">
        <f>B19*C19</f>
        <v>0</v>
      </c>
      <c r="E19" s="44"/>
      <c r="F19" s="43"/>
      <c r="G19" s="43">
        <f>E19*F19</f>
        <v>0</v>
      </c>
      <c r="H19" s="42"/>
      <c r="I19" s="27">
        <f>H19*C19</f>
        <v>0</v>
      </c>
      <c r="J19" s="26">
        <f>B19+E19-H19</f>
        <v>0</v>
      </c>
      <c r="K19" s="27">
        <f>J19*C19</f>
        <v>0</v>
      </c>
      <c r="L19" s="15"/>
    </row>
    <row r="20" spans="1:12" ht="15" customHeight="1" x14ac:dyDescent="0.25">
      <c r="A20" s="40"/>
      <c r="B20" s="42"/>
      <c r="C20" s="27"/>
      <c r="D20" s="43"/>
      <c r="E20" s="44"/>
      <c r="F20" s="43"/>
      <c r="G20" s="43"/>
      <c r="H20" s="42"/>
      <c r="I20" s="27"/>
      <c r="J20" s="26"/>
      <c r="K20" s="27"/>
      <c r="L20" s="15"/>
    </row>
    <row r="21" spans="1:12" ht="15" customHeight="1" x14ac:dyDescent="0.25">
      <c r="A21" s="40" t="s">
        <v>28</v>
      </c>
      <c r="B21" s="42"/>
      <c r="C21" s="27"/>
      <c r="D21" s="43">
        <f>B21*C21</f>
        <v>0</v>
      </c>
      <c r="E21" s="44"/>
      <c r="F21" s="43"/>
      <c r="G21" s="43">
        <f>E21*F21</f>
        <v>0</v>
      </c>
      <c r="H21" s="42"/>
      <c r="I21" s="27">
        <f>H21*C21</f>
        <v>0</v>
      </c>
      <c r="J21" s="26">
        <f t="shared" ref="J21:J24" si="1">B21+E21-H21</f>
        <v>0</v>
      </c>
      <c r="K21" s="27">
        <f>J21*C21</f>
        <v>0</v>
      </c>
      <c r="L21" s="15">
        <f>J21*C21</f>
        <v>0</v>
      </c>
    </row>
    <row r="22" spans="1:12" ht="15" customHeight="1" x14ac:dyDescent="0.25">
      <c r="A22" s="40"/>
      <c r="B22" s="42"/>
      <c r="C22" s="42"/>
      <c r="D22" s="43">
        <f>B22*C22</f>
        <v>0</v>
      </c>
      <c r="E22" s="44"/>
      <c r="F22" s="43"/>
      <c r="G22" s="43"/>
      <c r="H22" s="42"/>
      <c r="I22" s="27">
        <f>H22*C22</f>
        <v>0</v>
      </c>
      <c r="J22" s="26">
        <f t="shared" si="1"/>
        <v>0</v>
      </c>
      <c r="K22" s="27">
        <f>J22*C22</f>
        <v>0</v>
      </c>
      <c r="L22" s="15"/>
    </row>
    <row r="23" spans="1:12" ht="15" customHeight="1" x14ac:dyDescent="0.25">
      <c r="A23" s="40" t="s">
        <v>29</v>
      </c>
      <c r="B23" s="42"/>
      <c r="C23" s="42"/>
      <c r="D23" s="43">
        <f>B23*C23</f>
        <v>0</v>
      </c>
      <c r="E23" s="44"/>
      <c r="F23" s="43"/>
      <c r="G23" s="43">
        <f>E23*F23</f>
        <v>0</v>
      </c>
      <c r="H23" s="42"/>
      <c r="I23" s="27">
        <f>H23*C23</f>
        <v>0</v>
      </c>
      <c r="J23" s="26">
        <f t="shared" si="1"/>
        <v>0</v>
      </c>
      <c r="K23" s="27">
        <f>J23*C23</f>
        <v>0</v>
      </c>
      <c r="L23" s="15"/>
    </row>
    <row r="24" spans="1:12" ht="15" customHeight="1" x14ac:dyDescent="0.25">
      <c r="A24" s="40"/>
      <c r="B24" s="42"/>
      <c r="C24" s="42"/>
      <c r="D24" s="43"/>
      <c r="E24" s="44"/>
      <c r="F24" s="43"/>
      <c r="G24" s="43">
        <f>E24*F24</f>
        <v>0</v>
      </c>
      <c r="H24" s="42"/>
      <c r="I24" s="27">
        <f>H24*F24</f>
        <v>0</v>
      </c>
      <c r="J24" s="26">
        <f t="shared" si="1"/>
        <v>0</v>
      </c>
      <c r="K24" s="27">
        <f>J24*F24</f>
        <v>0</v>
      </c>
      <c r="L24" s="15"/>
    </row>
    <row r="25" spans="1:12" ht="15" customHeight="1" x14ac:dyDescent="0.25">
      <c r="A25" s="40" t="s">
        <v>30</v>
      </c>
      <c r="B25" s="42"/>
      <c r="C25" s="42"/>
      <c r="D25" s="43">
        <f>B25*C25</f>
        <v>0</v>
      </c>
      <c r="E25" s="44"/>
      <c r="F25" s="43"/>
      <c r="G25" s="43">
        <f>E25*F25</f>
        <v>0</v>
      </c>
      <c r="H25" s="42"/>
      <c r="I25" s="27">
        <f>H25*C25</f>
        <v>0</v>
      </c>
      <c r="J25" s="432">
        <f>B25+E25-H25</f>
        <v>0</v>
      </c>
      <c r="K25" s="27">
        <f>J25*C25</f>
        <v>0</v>
      </c>
      <c r="L25" s="15">
        <f>J25*C25</f>
        <v>0</v>
      </c>
    </row>
    <row r="26" spans="1:12" ht="15" customHeight="1" x14ac:dyDescent="0.25">
      <c r="A26" s="40"/>
      <c r="B26" s="42"/>
      <c r="C26" s="42"/>
      <c r="D26" s="43"/>
      <c r="E26" s="44"/>
      <c r="F26" s="43"/>
      <c r="G26" s="43"/>
      <c r="H26" s="42"/>
      <c r="I26" s="27"/>
      <c r="J26" s="26"/>
      <c r="K26" s="27"/>
      <c r="L26" s="15"/>
    </row>
    <row r="27" spans="1:12" ht="15" customHeight="1" x14ac:dyDescent="0.25">
      <c r="A27" s="40" t="s">
        <v>31</v>
      </c>
      <c r="B27" s="42"/>
      <c r="C27" s="42"/>
      <c r="D27" s="43">
        <f>B27*C27</f>
        <v>0</v>
      </c>
      <c r="E27" s="44"/>
      <c r="F27" s="43"/>
      <c r="G27" s="43">
        <f>E27*F27</f>
        <v>0</v>
      </c>
      <c r="H27" s="42"/>
      <c r="I27" s="27">
        <f>H27*C27</f>
        <v>0</v>
      </c>
      <c r="J27" s="26">
        <f>B27+E27-H27</f>
        <v>0</v>
      </c>
      <c r="K27" s="27">
        <f>J27*C27</f>
        <v>0</v>
      </c>
      <c r="L27" s="15">
        <f>J27*C27</f>
        <v>0</v>
      </c>
    </row>
    <row r="28" spans="1:12" ht="15" customHeight="1" x14ac:dyDescent="0.25">
      <c r="A28" s="40"/>
      <c r="B28" s="42"/>
      <c r="C28" s="42"/>
      <c r="D28" s="43"/>
      <c r="E28" s="44"/>
      <c r="F28" s="43"/>
      <c r="G28" s="43"/>
      <c r="H28" s="398"/>
      <c r="I28" s="27"/>
      <c r="J28" s="26">
        <f>B28+E28-H28</f>
        <v>0</v>
      </c>
      <c r="K28" s="27">
        <f>J28*F28</f>
        <v>0</v>
      </c>
      <c r="L28" s="15"/>
    </row>
    <row r="29" spans="1:12" ht="15" customHeight="1" x14ac:dyDescent="0.25">
      <c r="A29" s="40" t="s">
        <v>32</v>
      </c>
      <c r="B29" s="42"/>
      <c r="C29" s="42"/>
      <c r="D29" s="43">
        <f>B29*C29</f>
        <v>0</v>
      </c>
      <c r="E29" s="44"/>
      <c r="F29" s="43"/>
      <c r="G29" s="43">
        <f>E29*F29</f>
        <v>0</v>
      </c>
      <c r="H29" s="42"/>
      <c r="I29" s="27">
        <f>H29*C29</f>
        <v>0</v>
      </c>
      <c r="J29" s="26">
        <f>B29+E29-H29</f>
        <v>0</v>
      </c>
      <c r="K29" s="27">
        <f>J29*C29</f>
        <v>0</v>
      </c>
      <c r="L29" s="15"/>
    </row>
    <row r="30" spans="1:12" ht="15" customHeight="1" x14ac:dyDescent="0.25">
      <c r="A30" s="40"/>
      <c r="B30" s="42"/>
      <c r="C30" s="42"/>
      <c r="D30" s="43"/>
      <c r="E30" s="44"/>
      <c r="F30" s="43"/>
      <c r="G30" s="43">
        <f>E30*F30</f>
        <v>0</v>
      </c>
      <c r="H30" s="42"/>
      <c r="I30" s="27">
        <f>H30*F30</f>
        <v>0</v>
      </c>
      <c r="J30" s="26">
        <f>B30+E30-H30</f>
        <v>0</v>
      </c>
      <c r="K30" s="27">
        <f>J30*F30</f>
        <v>0</v>
      </c>
      <c r="L30" s="15"/>
    </row>
    <row r="31" spans="1:12" ht="15" customHeight="1" x14ac:dyDescent="0.25">
      <c r="A31" s="40" t="s">
        <v>33</v>
      </c>
      <c r="B31" s="42"/>
      <c r="C31" s="42"/>
      <c r="D31" s="43">
        <f>B31*C31</f>
        <v>0</v>
      </c>
      <c r="E31" s="44"/>
      <c r="F31" s="43"/>
      <c r="G31" s="43">
        <f>E31*F31</f>
        <v>0</v>
      </c>
      <c r="H31" s="42"/>
      <c r="I31" s="27">
        <f>H31*C31</f>
        <v>0</v>
      </c>
      <c r="J31" s="26">
        <f>B31+E31-H31</f>
        <v>0</v>
      </c>
      <c r="K31" s="27">
        <f>J31*C31</f>
        <v>0</v>
      </c>
      <c r="L31" s="15"/>
    </row>
    <row r="32" spans="1:12" ht="15" customHeight="1" x14ac:dyDescent="0.25">
      <c r="A32" s="40"/>
      <c r="B32" s="42"/>
      <c r="C32" s="42"/>
      <c r="D32" s="43"/>
      <c r="E32" s="44"/>
      <c r="F32" s="43"/>
      <c r="G32" s="43"/>
      <c r="H32" s="42"/>
      <c r="I32" s="27"/>
      <c r="J32" s="26"/>
      <c r="K32" s="27"/>
      <c r="L32" s="15"/>
    </row>
    <row r="33" spans="1:12" ht="15" customHeight="1" x14ac:dyDescent="0.25">
      <c r="A33" s="40" t="s">
        <v>34</v>
      </c>
      <c r="B33" s="42"/>
      <c r="C33" s="42"/>
      <c r="D33" s="43">
        <f>B33*C33</f>
        <v>0</v>
      </c>
      <c r="E33" s="44"/>
      <c r="F33" s="43"/>
      <c r="G33" s="43">
        <f>E33*F33</f>
        <v>0</v>
      </c>
      <c r="H33" s="433"/>
      <c r="I33" s="434">
        <f>H33*C33</f>
        <v>0</v>
      </c>
      <c r="J33" s="26">
        <f>B33+E33-H33</f>
        <v>0</v>
      </c>
      <c r="K33" s="27">
        <f>J33*C33</f>
        <v>0</v>
      </c>
      <c r="L33" s="15">
        <f>C33*J33</f>
        <v>0</v>
      </c>
    </row>
    <row r="34" spans="1:12" ht="15" customHeight="1" x14ac:dyDescent="0.25">
      <c r="A34" s="40"/>
      <c r="B34" s="42"/>
      <c r="C34" s="42"/>
      <c r="D34" s="43"/>
      <c r="E34" s="44"/>
      <c r="F34" s="43"/>
      <c r="G34" s="43">
        <f>E34*F34</f>
        <v>0</v>
      </c>
      <c r="H34" s="42"/>
      <c r="I34" s="27">
        <f>H34*F34</f>
        <v>0</v>
      </c>
      <c r="J34" s="26">
        <f>B34+E34-H34</f>
        <v>0</v>
      </c>
      <c r="K34" s="27">
        <f>J34*F34</f>
        <v>0</v>
      </c>
      <c r="L34" s="15"/>
    </row>
    <row r="35" spans="1:12" ht="15" customHeight="1" x14ac:dyDescent="0.25">
      <c r="A35" s="40" t="s">
        <v>35</v>
      </c>
      <c r="B35" s="42"/>
      <c r="C35" s="42"/>
      <c r="D35" s="43">
        <f>B35*C35</f>
        <v>0</v>
      </c>
      <c r="E35" s="44"/>
      <c r="F35" s="43"/>
      <c r="G35" s="43">
        <f>E35*F35</f>
        <v>0</v>
      </c>
      <c r="H35" s="433"/>
      <c r="I35" s="434">
        <f>H35*C35</f>
        <v>0</v>
      </c>
      <c r="J35" s="26">
        <f>B35+E35-H35</f>
        <v>0</v>
      </c>
      <c r="K35" s="27">
        <f>J35*C35</f>
        <v>0</v>
      </c>
      <c r="L35" s="15"/>
    </row>
    <row r="36" spans="1:12" ht="15" customHeight="1" x14ac:dyDescent="0.25">
      <c r="A36" s="40"/>
      <c r="B36" s="42"/>
      <c r="C36" s="42"/>
      <c r="D36" s="43"/>
      <c r="E36" s="44"/>
      <c r="F36" s="43"/>
      <c r="G36" s="43"/>
      <c r="H36" s="42"/>
      <c r="I36" s="27"/>
      <c r="J36" s="26"/>
      <c r="K36" s="27"/>
      <c r="L36" s="15"/>
    </row>
    <row r="37" spans="1:12" ht="15" customHeight="1" x14ac:dyDescent="0.25">
      <c r="A37" s="40"/>
      <c r="B37" s="42"/>
      <c r="C37" s="42"/>
      <c r="D37" s="43"/>
      <c r="E37" s="44"/>
      <c r="F37" s="43"/>
      <c r="G37" s="43"/>
      <c r="H37" s="42"/>
      <c r="I37" s="27"/>
      <c r="J37" s="26"/>
      <c r="K37" s="27"/>
      <c r="L37" s="15"/>
    </row>
    <row r="38" spans="1:12" ht="27" customHeight="1" thickBot="1" x14ac:dyDescent="0.3">
      <c r="A38" s="471" t="s">
        <v>18</v>
      </c>
      <c r="B38" s="472"/>
      <c r="C38" s="472"/>
      <c r="D38" s="472"/>
      <c r="E38" s="94">
        <f>SUM(E8:E37)</f>
        <v>0</v>
      </c>
      <c r="F38" s="94"/>
      <c r="G38" s="94">
        <f>SUM(G8:G37)</f>
        <v>0</v>
      </c>
      <c r="H38" s="85"/>
      <c r="I38" s="85"/>
      <c r="J38" s="55" t="e">
        <f>#REF!</f>
        <v>#REF!</v>
      </c>
      <c r="K38" s="56" t="e">
        <f>#REF!</f>
        <v>#REF!</v>
      </c>
      <c r="L38" s="15"/>
    </row>
    <row r="39" spans="1:12" ht="15" customHeight="1" x14ac:dyDescent="0.25">
      <c r="A39" s="46"/>
      <c r="B39" s="47"/>
      <c r="C39" s="48"/>
      <c r="D39" s="49"/>
      <c r="E39" s="50"/>
      <c r="F39" s="50"/>
      <c r="G39" s="50"/>
      <c r="H39" s="47"/>
      <c r="I39" s="50"/>
      <c r="J39" s="23"/>
      <c r="K39" s="24"/>
      <c r="L39" s="15"/>
    </row>
    <row r="40" spans="1:12" ht="15" customHeight="1" x14ac:dyDescent="0.25">
      <c r="A40" s="46"/>
      <c r="B40" s="47"/>
      <c r="C40" s="48"/>
      <c r="D40" s="49"/>
      <c r="E40" s="50"/>
      <c r="F40" s="50"/>
      <c r="G40" s="50"/>
      <c r="H40" s="47"/>
      <c r="I40" s="50"/>
      <c r="J40" s="23"/>
      <c r="K40" s="24"/>
      <c r="L40" s="15"/>
    </row>
    <row r="41" spans="1:12" ht="15" customHeight="1" x14ac:dyDescent="0.25">
      <c r="A41" s="51"/>
      <c r="B41" s="47"/>
      <c r="C41" s="48"/>
      <c r="D41" s="50"/>
      <c r="E41" s="50"/>
      <c r="F41" s="50"/>
      <c r="G41" s="50"/>
      <c r="H41" s="47"/>
      <c r="I41" s="474"/>
      <c r="J41" s="474"/>
      <c r="K41" s="474"/>
      <c r="L41" s="15"/>
    </row>
    <row r="42" spans="1:12" ht="15" customHeight="1" x14ac:dyDescent="0.25">
      <c r="A42" s="51"/>
      <c r="B42" s="47"/>
      <c r="C42" s="48"/>
      <c r="D42" s="49"/>
      <c r="E42" s="50"/>
      <c r="F42" s="50"/>
      <c r="G42" s="50"/>
      <c r="H42" s="47"/>
      <c r="I42" s="474"/>
      <c r="J42" s="474"/>
      <c r="K42" s="474"/>
      <c r="L42" s="15"/>
    </row>
    <row r="43" spans="1:12" ht="15" customHeight="1" x14ac:dyDescent="0.25">
      <c r="A43" s="63"/>
      <c r="B43" s="47"/>
      <c r="C43" s="48"/>
      <c r="D43" s="50"/>
      <c r="E43" s="50"/>
      <c r="F43" s="50"/>
      <c r="G43" s="50"/>
      <c r="H43" s="47"/>
      <c r="I43" s="474"/>
      <c r="J43" s="474"/>
      <c r="K43" s="474"/>
      <c r="L43" s="15"/>
    </row>
    <row r="44" spans="1:12" ht="15" customHeight="1" x14ac:dyDescent="0.25">
      <c r="A44" s="63"/>
      <c r="B44" s="47"/>
      <c r="C44" s="48"/>
      <c r="D44" s="50"/>
      <c r="E44" s="50"/>
      <c r="F44" s="50"/>
      <c r="G44" s="50"/>
      <c r="H44" s="47"/>
      <c r="I44" s="474"/>
      <c r="J44" s="474"/>
      <c r="K44" s="474"/>
      <c r="L44" s="15"/>
    </row>
    <row r="45" spans="1:12" ht="15" customHeight="1" x14ac:dyDescent="0.25">
      <c r="A45" s="63"/>
      <c r="B45" s="47"/>
      <c r="C45" s="48"/>
      <c r="D45" s="49"/>
      <c r="E45" s="50"/>
      <c r="F45" s="50"/>
      <c r="G45" s="50"/>
      <c r="H45" s="47"/>
      <c r="I45" s="474"/>
      <c r="J45" s="474"/>
      <c r="K45" s="474"/>
      <c r="L45" s="15"/>
    </row>
    <row r="46" spans="1:12" ht="15" customHeight="1" x14ac:dyDescent="0.25">
      <c r="A46" s="63"/>
      <c r="B46" s="47"/>
      <c r="C46" s="48"/>
      <c r="D46" s="50"/>
      <c r="E46" s="50"/>
      <c r="F46" s="50"/>
      <c r="G46" s="50"/>
      <c r="H46" s="47"/>
      <c r="I46" s="473"/>
      <c r="J46" s="473"/>
      <c r="K46" s="473"/>
      <c r="L46" s="15"/>
    </row>
    <row r="47" spans="1:12" ht="15" customHeight="1" x14ac:dyDescent="0.25">
      <c r="A47" s="63"/>
      <c r="B47" s="47"/>
      <c r="C47" s="48"/>
      <c r="D47" s="50"/>
      <c r="E47" s="50"/>
      <c r="F47" s="50"/>
      <c r="G47" s="50"/>
      <c r="H47" s="47"/>
      <c r="I47" s="473"/>
      <c r="J47" s="473"/>
      <c r="K47" s="473"/>
      <c r="L47" s="15"/>
    </row>
    <row r="48" spans="1:12" ht="15" customHeight="1" x14ac:dyDescent="0.25">
      <c r="A48" s="63"/>
      <c r="B48" s="47"/>
      <c r="C48" s="48"/>
      <c r="D48" s="49"/>
      <c r="E48" s="50"/>
      <c r="F48" s="50"/>
      <c r="G48" s="50"/>
      <c r="H48" s="47"/>
      <c r="I48" s="474"/>
      <c r="J48" s="474"/>
      <c r="K48" s="474"/>
      <c r="L48" s="15"/>
    </row>
    <row r="49" spans="1:12" ht="15" customHeight="1" x14ac:dyDescent="0.25">
      <c r="A49" s="63"/>
      <c r="B49" s="47"/>
      <c r="C49" s="48"/>
      <c r="D49" s="50"/>
      <c r="E49" s="50"/>
      <c r="F49" s="50"/>
      <c r="G49" s="50"/>
      <c r="H49" s="47"/>
      <c r="I49" s="50"/>
      <c r="J49" s="23"/>
      <c r="K49" s="24"/>
      <c r="L49" s="15"/>
    </row>
    <row r="50" spans="1:12" ht="15" customHeight="1" x14ac:dyDescent="0.25">
      <c r="A50" s="63"/>
      <c r="B50" s="47"/>
      <c r="C50" s="48"/>
      <c r="D50" s="50"/>
      <c r="E50" s="50"/>
      <c r="F50" s="50"/>
      <c r="G50" s="50"/>
      <c r="H50" s="47"/>
      <c r="I50" s="50"/>
      <c r="J50" s="23"/>
      <c r="K50" s="24"/>
      <c r="L50" s="15"/>
    </row>
    <row r="51" spans="1:12" ht="15" customHeight="1" x14ac:dyDescent="0.25">
      <c r="B51" s="15"/>
      <c r="C51" s="12"/>
      <c r="D51" s="9"/>
      <c r="E51" s="17"/>
      <c r="F51" s="17"/>
      <c r="G51" s="17"/>
      <c r="H51" s="15"/>
      <c r="I51" s="9"/>
      <c r="J51" s="19"/>
      <c r="K51" s="14"/>
      <c r="L51" s="15"/>
    </row>
    <row r="52" spans="1:12" ht="15" customHeight="1" x14ac:dyDescent="0.25">
      <c r="B52" s="15"/>
      <c r="D52" s="17"/>
      <c r="E52" s="17"/>
      <c r="F52" s="17"/>
      <c r="G52" s="17"/>
      <c r="H52" s="15"/>
      <c r="I52" s="17"/>
      <c r="J52" s="19"/>
      <c r="K52" s="20"/>
      <c r="L52" s="15"/>
    </row>
    <row r="53" spans="1:12" ht="15" customHeight="1" x14ac:dyDescent="0.25">
      <c r="B53" s="15"/>
      <c r="D53" s="17"/>
      <c r="E53" s="17"/>
      <c r="F53" s="17"/>
      <c r="G53" s="17"/>
      <c r="H53" s="15"/>
      <c r="I53" s="17"/>
      <c r="J53" s="19"/>
      <c r="K53" s="20"/>
      <c r="L53" s="15"/>
    </row>
    <row r="54" spans="1:12" ht="15" customHeight="1" x14ac:dyDescent="0.25">
      <c r="B54" s="15"/>
      <c r="C54" s="12"/>
      <c r="D54" s="9"/>
      <c r="E54" s="17"/>
      <c r="F54" s="17"/>
      <c r="G54" s="17"/>
      <c r="H54" s="15"/>
      <c r="I54" s="9"/>
      <c r="J54" s="19"/>
      <c r="K54" s="14"/>
      <c r="L54" s="15"/>
    </row>
    <row r="55" spans="1:12" ht="15" customHeight="1" x14ac:dyDescent="0.25">
      <c r="B55" s="15"/>
      <c r="C55" s="12"/>
      <c r="D55" s="17"/>
      <c r="E55" s="17"/>
      <c r="F55" s="17"/>
      <c r="G55" s="17"/>
      <c r="H55" s="15"/>
      <c r="I55" s="17"/>
      <c r="J55" s="19"/>
      <c r="K55" s="20"/>
      <c r="L55" s="15"/>
    </row>
    <row r="56" spans="1:12" ht="15" customHeight="1" x14ac:dyDescent="0.25">
      <c r="B56" s="15"/>
      <c r="C56" s="12"/>
      <c r="D56" s="17"/>
      <c r="E56" s="17"/>
      <c r="F56" s="17"/>
      <c r="G56" s="17"/>
      <c r="H56" s="15"/>
      <c r="I56" s="17"/>
      <c r="J56" s="19"/>
      <c r="K56" s="20"/>
      <c r="L56" s="15"/>
    </row>
    <row r="57" spans="1:12" ht="15" customHeight="1" x14ac:dyDescent="0.25">
      <c r="B57" s="15"/>
      <c r="C57" s="12"/>
      <c r="D57" s="9"/>
      <c r="E57" s="17"/>
      <c r="F57" s="17"/>
      <c r="G57" s="17"/>
      <c r="H57" s="15"/>
      <c r="I57" s="9"/>
      <c r="J57" s="19"/>
      <c r="K57" s="14"/>
      <c r="L57" s="15"/>
    </row>
    <row r="58" spans="1:12" ht="15" customHeight="1" x14ac:dyDescent="0.25">
      <c r="B58" s="15"/>
      <c r="C58" s="12"/>
      <c r="D58" s="17"/>
      <c r="E58" s="17"/>
      <c r="F58" s="17"/>
      <c r="G58" s="17"/>
      <c r="H58" s="15"/>
      <c r="I58" s="17"/>
      <c r="J58" s="19"/>
      <c r="K58" s="20"/>
      <c r="L58" s="15"/>
    </row>
    <row r="59" spans="1:12" ht="15" customHeight="1" x14ac:dyDescent="0.25">
      <c r="B59" s="15"/>
      <c r="C59" s="12"/>
      <c r="D59" s="17"/>
      <c r="E59" s="17"/>
      <c r="F59" s="17"/>
      <c r="G59" s="17"/>
      <c r="H59" s="15"/>
      <c r="I59" s="17"/>
      <c r="J59" s="19"/>
      <c r="K59" s="20"/>
      <c r="L59" s="15"/>
    </row>
    <row r="60" spans="1:12" ht="15" customHeight="1" x14ac:dyDescent="0.25">
      <c r="B60" s="15"/>
      <c r="C60" s="12"/>
      <c r="D60" s="9"/>
      <c r="E60" s="17"/>
      <c r="F60" s="17"/>
      <c r="G60" s="17"/>
      <c r="H60" s="15"/>
      <c r="I60" s="9"/>
      <c r="J60" s="19"/>
      <c r="K60" s="14"/>
      <c r="L60" s="15"/>
    </row>
    <row r="61" spans="1:12" ht="15" customHeight="1" x14ac:dyDescent="0.25">
      <c r="B61" s="15"/>
      <c r="C61" s="12"/>
      <c r="D61" s="17"/>
      <c r="E61" s="17"/>
      <c r="F61" s="17"/>
      <c r="G61" s="17"/>
      <c r="H61" s="15"/>
      <c r="I61" s="17"/>
      <c r="J61" s="15"/>
      <c r="K61" s="17"/>
      <c r="L61" s="15"/>
    </row>
    <row r="62" spans="1:12" ht="15" customHeight="1" x14ac:dyDescent="0.25">
      <c r="B62" s="15"/>
      <c r="C62" s="12"/>
      <c r="D62" s="17"/>
      <c r="E62" s="17"/>
      <c r="F62" s="17"/>
      <c r="G62" s="17"/>
      <c r="H62" s="15"/>
      <c r="I62" s="17"/>
      <c r="J62" s="15"/>
      <c r="K62" s="17"/>
      <c r="L62" s="15"/>
    </row>
    <row r="63" spans="1:12" ht="15" customHeight="1" x14ac:dyDescent="0.25">
      <c r="B63" s="15"/>
      <c r="C63" s="12"/>
      <c r="D63" s="9"/>
      <c r="E63" s="17"/>
      <c r="F63" s="17"/>
      <c r="G63" s="17"/>
      <c r="H63" s="15"/>
      <c r="I63" s="9"/>
      <c r="J63" s="15"/>
      <c r="K63" s="9"/>
      <c r="L63" s="15"/>
    </row>
    <row r="64" spans="1:12" ht="15" customHeight="1" x14ac:dyDescent="0.25">
      <c r="B64" s="15"/>
      <c r="C64" s="12"/>
      <c r="D64" s="17"/>
      <c r="E64" s="17"/>
      <c r="F64" s="17"/>
      <c r="G64" s="17"/>
      <c r="H64" s="15"/>
      <c r="I64" s="17"/>
      <c r="J64" s="15"/>
      <c r="K64" s="17"/>
      <c r="L64" s="15"/>
    </row>
    <row r="65" spans="1:12" ht="15" customHeight="1" x14ac:dyDescent="0.25">
      <c r="B65" s="15"/>
      <c r="C65" s="12"/>
      <c r="D65" s="17"/>
      <c r="E65" s="17"/>
      <c r="F65" s="17"/>
      <c r="G65" s="17"/>
      <c r="H65" s="15"/>
      <c r="I65" s="17"/>
      <c r="J65" s="15"/>
      <c r="K65" s="17"/>
      <c r="L65" s="15"/>
    </row>
    <row r="66" spans="1:12" ht="15" customHeight="1" x14ac:dyDescent="0.25">
      <c r="B66" s="15"/>
      <c r="C66" s="12"/>
      <c r="D66" s="9"/>
      <c r="E66" s="15"/>
      <c r="F66" s="17"/>
      <c r="G66" s="17"/>
      <c r="H66" s="15"/>
      <c r="I66" s="17"/>
      <c r="J66" s="15"/>
      <c r="K66" s="9"/>
      <c r="L66" s="15"/>
    </row>
    <row r="67" spans="1:12" ht="15" customHeight="1" x14ac:dyDescent="0.25">
      <c r="B67" s="15"/>
      <c r="C67" s="15"/>
      <c r="D67" s="9"/>
      <c r="E67" s="17"/>
      <c r="F67" s="17"/>
      <c r="G67" s="17"/>
      <c r="H67" s="15"/>
      <c r="I67" s="17"/>
      <c r="J67" s="15"/>
      <c r="K67" s="17"/>
      <c r="L67" s="15"/>
    </row>
    <row r="68" spans="1:12" ht="15" customHeight="1" x14ac:dyDescent="0.25">
      <c r="B68" s="15"/>
      <c r="C68" s="12"/>
      <c r="D68" s="17"/>
      <c r="E68" s="17"/>
      <c r="F68" s="17"/>
      <c r="G68" s="17"/>
      <c r="H68" s="15"/>
      <c r="I68" s="17"/>
      <c r="J68" s="15"/>
      <c r="K68" s="17"/>
      <c r="L68" s="1"/>
    </row>
    <row r="69" spans="1:12" ht="15" customHeight="1" x14ac:dyDescent="0.25">
      <c r="B69" s="15"/>
      <c r="C69" s="12"/>
      <c r="D69" s="9"/>
      <c r="E69" s="17"/>
      <c r="F69" s="17"/>
      <c r="G69" s="17"/>
      <c r="H69" s="15"/>
      <c r="I69" s="17"/>
      <c r="J69" s="15"/>
      <c r="K69" s="9"/>
      <c r="L69" s="1"/>
    </row>
    <row r="70" spans="1:12" ht="15" customHeight="1" x14ac:dyDescent="0.25">
      <c r="B70" s="15"/>
      <c r="C70" s="12"/>
      <c r="D70" s="17"/>
      <c r="E70" s="17"/>
      <c r="F70" s="17"/>
      <c r="G70" s="17"/>
      <c r="H70" s="15"/>
      <c r="I70" s="17"/>
      <c r="J70" s="15"/>
      <c r="K70" s="17"/>
      <c r="L70" s="1"/>
    </row>
    <row r="71" spans="1:12" ht="15" customHeight="1" x14ac:dyDescent="0.25">
      <c r="B71" s="15"/>
      <c r="C71" s="12"/>
      <c r="D71" s="17"/>
      <c r="E71" s="17"/>
      <c r="F71" s="17"/>
      <c r="G71" s="17"/>
      <c r="H71" s="15"/>
      <c r="I71" s="17"/>
      <c r="J71" s="15"/>
      <c r="K71" s="17"/>
      <c r="L71" s="1"/>
    </row>
    <row r="72" spans="1:12" ht="15" customHeight="1" x14ac:dyDescent="0.25">
      <c r="A72" s="32"/>
      <c r="B72" s="32"/>
      <c r="C72" s="32"/>
      <c r="D72" s="32"/>
      <c r="E72" s="17"/>
      <c r="F72" s="17"/>
      <c r="G72" s="17"/>
      <c r="H72" s="25"/>
      <c r="I72" s="25"/>
      <c r="J72" s="15"/>
      <c r="K72" s="17"/>
      <c r="L72" s="1"/>
    </row>
    <row r="73" spans="1:12" ht="15" customHeight="1" x14ac:dyDescent="0.25">
      <c r="B73" s="15"/>
      <c r="C73" s="12"/>
      <c r="D73" s="17"/>
      <c r="E73" s="17"/>
      <c r="F73" s="17"/>
      <c r="G73" s="17"/>
      <c r="H73" s="15"/>
      <c r="I73" s="17"/>
      <c r="J73" s="15"/>
      <c r="K73" s="17"/>
      <c r="L73" s="1"/>
    </row>
    <row r="74" spans="1:12" ht="15" customHeight="1" x14ac:dyDescent="0.25">
      <c r="B74" s="15"/>
      <c r="C74" s="12"/>
      <c r="D74" s="17"/>
      <c r="E74" s="17"/>
      <c r="F74" s="17"/>
      <c r="G74" s="17"/>
      <c r="H74" s="15"/>
      <c r="I74" s="17"/>
      <c r="J74" s="15"/>
      <c r="K74" s="17"/>
      <c r="L74" s="1"/>
    </row>
    <row r="75" spans="1:12" ht="15" customHeight="1" x14ac:dyDescent="0.25">
      <c r="B75" s="15"/>
      <c r="C75" s="12"/>
      <c r="D75" s="17"/>
      <c r="E75" s="17"/>
      <c r="F75" s="17"/>
      <c r="G75" s="17"/>
      <c r="H75" s="15"/>
      <c r="I75" s="17"/>
      <c r="J75" s="15"/>
      <c r="K75" s="17"/>
      <c r="L75" s="1"/>
    </row>
    <row r="76" spans="1:12" ht="15" customHeight="1" x14ac:dyDescent="0.25">
      <c r="B76" s="15"/>
      <c r="C76" s="12"/>
      <c r="D76" s="17"/>
      <c r="E76" s="17"/>
      <c r="F76" s="17"/>
      <c r="G76" s="17"/>
      <c r="H76" s="15"/>
      <c r="I76" s="17"/>
      <c r="J76" s="15"/>
      <c r="K76" s="17"/>
      <c r="L76" s="1"/>
    </row>
    <row r="77" spans="1:12" ht="15" customHeight="1" x14ac:dyDescent="0.25">
      <c r="B77" s="15"/>
      <c r="C77" s="12"/>
      <c r="D77" s="17"/>
      <c r="E77" s="17"/>
      <c r="F77" s="17"/>
      <c r="G77" s="17"/>
      <c r="H77" s="15"/>
      <c r="I77" s="17"/>
      <c r="J77" s="15"/>
      <c r="K77" s="17"/>
      <c r="L77" s="1"/>
    </row>
    <row r="78" spans="1:12" ht="15" customHeight="1" x14ac:dyDescent="0.25">
      <c r="B78" s="15"/>
      <c r="C78" s="12"/>
      <c r="D78" s="17"/>
      <c r="E78" s="17"/>
      <c r="F78" s="17"/>
      <c r="G78" s="17"/>
      <c r="H78" s="15"/>
      <c r="I78" s="17"/>
      <c r="J78" s="17"/>
      <c r="K78" s="17"/>
      <c r="L78" s="1"/>
    </row>
    <row r="79" spans="1:12" ht="15" customHeight="1" x14ac:dyDescent="0.25">
      <c r="B79" s="15"/>
      <c r="C79" s="12"/>
      <c r="D79" s="17"/>
      <c r="E79" s="17"/>
      <c r="F79" s="17"/>
      <c r="G79" s="17"/>
      <c r="H79" s="15"/>
      <c r="I79" s="17"/>
      <c r="J79" s="17"/>
      <c r="K79" s="17"/>
      <c r="L79" s="1"/>
    </row>
    <row r="80" spans="1:12" ht="15" customHeight="1" x14ac:dyDescent="0.25">
      <c r="B80" s="15"/>
      <c r="C80" s="12"/>
      <c r="D80" s="17"/>
      <c r="E80" s="17"/>
      <c r="F80" s="17"/>
      <c r="G80" s="17"/>
      <c r="H80" s="15"/>
      <c r="I80" s="17"/>
      <c r="J80" s="17"/>
      <c r="K80" s="17"/>
      <c r="L80" s="1"/>
    </row>
    <row r="81" spans="2:12" ht="15" customHeight="1" x14ac:dyDescent="0.25">
      <c r="B81" s="15"/>
      <c r="C81" s="12"/>
      <c r="D81" s="17"/>
      <c r="E81" s="17"/>
      <c r="F81" s="17"/>
      <c r="G81" s="17"/>
      <c r="H81" s="15"/>
      <c r="I81" s="17"/>
      <c r="J81" s="17"/>
      <c r="K81" s="17"/>
      <c r="L81" s="1"/>
    </row>
    <row r="82" spans="2:12" ht="15" customHeight="1" x14ac:dyDescent="0.25">
      <c r="B82" s="15"/>
      <c r="C82" s="12"/>
      <c r="D82" s="17"/>
      <c r="E82" s="17"/>
      <c r="F82" s="17"/>
      <c r="G82" s="17"/>
      <c r="H82" s="15"/>
      <c r="I82" s="17"/>
      <c r="J82" s="17"/>
      <c r="K82" s="17"/>
      <c r="L82" s="1"/>
    </row>
    <row r="83" spans="2:12" ht="15" customHeight="1" x14ac:dyDescent="0.25">
      <c r="B83" s="15"/>
      <c r="C83" s="12"/>
      <c r="D83" s="17"/>
      <c r="E83" s="17"/>
      <c r="F83" s="17"/>
      <c r="G83" s="17"/>
      <c r="H83" s="15"/>
      <c r="I83" s="17"/>
      <c r="J83" s="17"/>
      <c r="K83" s="17"/>
      <c r="L83" s="1"/>
    </row>
    <row r="84" spans="2:12" ht="15" customHeight="1" x14ac:dyDescent="0.25">
      <c r="B84" s="15"/>
      <c r="C84" s="12"/>
      <c r="D84" s="17"/>
      <c r="E84" s="17"/>
      <c r="F84" s="17"/>
      <c r="G84" s="17"/>
      <c r="H84" s="15"/>
      <c r="I84" s="17"/>
      <c r="J84" s="17"/>
      <c r="K84" s="17"/>
      <c r="L84" s="1"/>
    </row>
    <row r="85" spans="2:12" ht="15" customHeight="1" x14ac:dyDescent="0.25">
      <c r="B85" s="15"/>
      <c r="C85" s="12"/>
      <c r="D85" s="17"/>
      <c r="E85" s="17"/>
      <c r="F85" s="17"/>
      <c r="G85" s="17"/>
      <c r="H85" s="15"/>
      <c r="I85" s="17"/>
      <c r="J85" s="17"/>
      <c r="K85" s="17"/>
      <c r="L85" s="1"/>
    </row>
    <row r="86" spans="2:12" ht="15" customHeight="1" x14ac:dyDescent="0.25">
      <c r="B86" s="15"/>
      <c r="C86" s="12"/>
      <c r="D86" s="17"/>
      <c r="E86" s="17"/>
      <c r="F86" s="17"/>
      <c r="G86" s="17"/>
      <c r="H86" s="15"/>
      <c r="I86" s="17"/>
      <c r="J86" s="17"/>
      <c r="K86" s="17"/>
      <c r="L86" s="1"/>
    </row>
    <row r="87" spans="2:12" ht="15" customHeight="1" x14ac:dyDescent="0.25">
      <c r="B87" s="15"/>
      <c r="C87" s="12"/>
      <c r="D87" s="15"/>
      <c r="E87" s="15"/>
      <c r="F87" s="15"/>
      <c r="G87" s="15"/>
      <c r="H87" s="15"/>
      <c r="I87" s="15"/>
      <c r="J87" s="15"/>
      <c r="K87" s="15"/>
      <c r="L87" s="1"/>
    </row>
    <row r="88" spans="2:12" ht="15" customHeight="1" x14ac:dyDescent="0.25">
      <c r="B88" s="15"/>
      <c r="C88" s="12"/>
      <c r="D88" s="15"/>
      <c r="E88" s="15"/>
      <c r="F88" s="15"/>
      <c r="G88" s="15"/>
      <c r="H88" s="15"/>
      <c r="I88" s="15"/>
      <c r="J88" s="15"/>
      <c r="K88" s="15"/>
      <c r="L88" s="1"/>
    </row>
    <row r="89" spans="2:12" ht="15" customHeight="1" x14ac:dyDescent="0.25">
      <c r="B89" s="15"/>
      <c r="C89" s="12"/>
      <c r="D89" s="15"/>
      <c r="E89" s="15"/>
      <c r="F89" s="15"/>
      <c r="G89" s="15"/>
      <c r="H89" s="15"/>
      <c r="I89" s="15"/>
      <c r="J89" s="15"/>
      <c r="K89" s="15"/>
      <c r="L89" s="1"/>
    </row>
    <row r="90" spans="2:12" ht="15" customHeight="1" x14ac:dyDescent="0.25">
      <c r="B90" s="15"/>
      <c r="C90" s="12"/>
      <c r="D90" s="15"/>
      <c r="E90" s="15"/>
      <c r="F90" s="15"/>
      <c r="G90" s="15"/>
      <c r="H90" s="15"/>
      <c r="I90" s="15"/>
      <c r="J90" s="15"/>
      <c r="K90" s="15"/>
      <c r="L90" s="1"/>
    </row>
    <row r="91" spans="2:12" ht="15" customHeight="1" x14ac:dyDescent="0.25">
      <c r="B91" s="15"/>
      <c r="C91" s="12"/>
      <c r="D91" s="15"/>
      <c r="E91" s="15"/>
      <c r="F91" s="15"/>
      <c r="G91" s="15"/>
      <c r="H91" s="15"/>
      <c r="I91" s="15"/>
      <c r="J91" s="15"/>
      <c r="K91" s="15"/>
      <c r="L91" s="1"/>
    </row>
    <row r="92" spans="2:12" ht="15" customHeight="1" x14ac:dyDescent="0.25">
      <c r="B92" s="15"/>
      <c r="C92" s="12"/>
      <c r="D92" s="15"/>
      <c r="E92" s="15"/>
      <c r="F92" s="15"/>
      <c r="G92" s="15"/>
      <c r="H92" s="15"/>
      <c r="I92" s="15"/>
      <c r="J92" s="15"/>
      <c r="K92" s="15"/>
      <c r="L92" s="1"/>
    </row>
    <row r="93" spans="2:12" ht="15" customHeight="1" x14ac:dyDescent="0.25">
      <c r="B93" s="15"/>
      <c r="C93" s="12"/>
      <c r="D93" s="15"/>
      <c r="E93" s="15"/>
      <c r="F93" s="15"/>
      <c r="G93" s="15"/>
      <c r="H93" s="15"/>
      <c r="I93" s="15"/>
      <c r="J93" s="15"/>
      <c r="K93" s="15"/>
      <c r="L93" s="1"/>
    </row>
    <row r="94" spans="2:12" ht="15" customHeight="1" x14ac:dyDescent="0.25">
      <c r="B94" s="15"/>
      <c r="C94" s="12"/>
      <c r="D94" s="15"/>
      <c r="E94" s="15"/>
      <c r="F94" s="15"/>
      <c r="G94" s="15"/>
      <c r="H94" s="15"/>
      <c r="I94" s="15"/>
      <c r="J94" s="15"/>
      <c r="K94" s="15"/>
      <c r="L94" s="1"/>
    </row>
    <row r="95" spans="2:12" ht="15" customHeight="1" x14ac:dyDescent="0.25">
      <c r="B95" s="15"/>
      <c r="C95" s="12"/>
      <c r="D95" s="15"/>
      <c r="E95" s="15"/>
      <c r="F95" s="15"/>
      <c r="G95" s="15"/>
      <c r="H95" s="15"/>
      <c r="I95" s="15"/>
      <c r="J95" s="15"/>
      <c r="K95" s="15"/>
      <c r="L95" s="1"/>
    </row>
    <row r="96" spans="2:12" ht="15" customHeight="1" x14ac:dyDescent="0.25">
      <c r="B96" s="15"/>
      <c r="C96" s="12"/>
      <c r="D96" s="15"/>
      <c r="E96" s="15"/>
      <c r="F96" s="15"/>
      <c r="G96" s="15"/>
      <c r="H96" s="15"/>
      <c r="I96" s="15"/>
      <c r="J96" s="15"/>
      <c r="K96" s="15"/>
      <c r="L96" s="1"/>
    </row>
    <row r="97" spans="2:12" ht="15" customHeight="1" x14ac:dyDescent="0.25">
      <c r="B97" s="15"/>
      <c r="C97" s="12"/>
      <c r="D97" s="15"/>
      <c r="E97" s="15"/>
      <c r="F97" s="15"/>
      <c r="G97" s="15"/>
      <c r="H97" s="15"/>
      <c r="I97" s="15"/>
      <c r="J97" s="15"/>
      <c r="K97" s="15"/>
      <c r="L97" s="1"/>
    </row>
    <row r="98" spans="2:12" ht="15" customHeight="1" x14ac:dyDescent="0.25">
      <c r="B98" s="15"/>
      <c r="C98" s="12"/>
      <c r="D98" s="15"/>
      <c r="E98" s="15"/>
      <c r="F98" s="15"/>
      <c r="G98" s="15"/>
      <c r="H98" s="15"/>
      <c r="I98" s="15"/>
      <c r="J98" s="15"/>
      <c r="K98" s="15"/>
      <c r="L98" s="1"/>
    </row>
    <row r="99" spans="2:12" ht="15" customHeight="1" x14ac:dyDescent="0.25">
      <c r="B99" s="15"/>
      <c r="C99" s="12"/>
      <c r="D99" s="15"/>
      <c r="E99" s="15"/>
      <c r="F99" s="15"/>
      <c r="G99" s="15"/>
      <c r="H99" s="15"/>
      <c r="I99" s="15"/>
      <c r="J99" s="15"/>
      <c r="K99" s="15"/>
      <c r="L99" s="1"/>
    </row>
    <row r="100" spans="2:12" ht="15" customHeight="1" x14ac:dyDescent="0.25">
      <c r="B100" s="15"/>
      <c r="C100" s="12"/>
      <c r="D100" s="15"/>
      <c r="E100" s="15"/>
      <c r="F100" s="15"/>
      <c r="G100" s="15"/>
      <c r="H100" s="15"/>
      <c r="I100" s="15"/>
      <c r="J100" s="15"/>
      <c r="K100" s="15"/>
      <c r="L100" s="1"/>
    </row>
    <row r="101" spans="2:12" ht="15" customHeight="1" x14ac:dyDescent="0.25">
      <c r="C101" s="7"/>
      <c r="H101" s="3"/>
      <c r="L101" s="1"/>
    </row>
    <row r="102" spans="2:12" ht="15" customHeight="1" x14ac:dyDescent="0.25">
      <c r="C102" s="7"/>
      <c r="H102" s="3"/>
      <c r="L102" s="1"/>
    </row>
    <row r="103" spans="2:12" ht="15" customHeight="1" x14ac:dyDescent="0.25">
      <c r="C103" s="7"/>
      <c r="H103" s="3"/>
      <c r="L103" s="1"/>
    </row>
    <row r="104" spans="2:12" ht="15" customHeight="1" x14ac:dyDescent="0.25">
      <c r="C104" s="7"/>
      <c r="H104" s="3"/>
      <c r="L104" s="1"/>
    </row>
    <row r="105" spans="2:12" ht="15" customHeight="1" x14ac:dyDescent="0.25">
      <c r="C105" s="7"/>
      <c r="H105" s="3"/>
      <c r="L105" s="1"/>
    </row>
    <row r="106" spans="2:12" ht="15" customHeight="1" x14ac:dyDescent="0.25">
      <c r="C106" s="7"/>
      <c r="H106" s="3"/>
      <c r="L106" s="1"/>
    </row>
    <row r="107" spans="2:12" ht="15" customHeight="1" x14ac:dyDescent="0.25">
      <c r="C107" s="7"/>
      <c r="H107" s="3"/>
      <c r="L107" s="1"/>
    </row>
    <row r="108" spans="2:12" ht="15" customHeight="1" x14ac:dyDescent="0.25">
      <c r="C108" s="7"/>
      <c r="L108" s="1"/>
    </row>
    <row r="109" spans="2:12" ht="15" customHeight="1" x14ac:dyDescent="0.25">
      <c r="C109" s="7"/>
      <c r="L109" s="1"/>
    </row>
    <row r="110" spans="2:12" ht="15" customHeight="1" x14ac:dyDescent="0.25">
      <c r="C110" s="7"/>
    </row>
    <row r="111" spans="2:12" ht="15" customHeight="1" x14ac:dyDescent="0.25">
      <c r="C111" s="7"/>
    </row>
    <row r="112" spans="2:12" ht="15" customHeight="1" x14ac:dyDescent="0.25">
      <c r="C112" s="7"/>
    </row>
    <row r="113" spans="3:3" ht="15" customHeight="1" x14ac:dyDescent="0.25">
      <c r="C113" s="7"/>
    </row>
    <row r="114" spans="3:3" ht="15" customHeight="1" x14ac:dyDescent="0.25">
      <c r="C114" s="7"/>
    </row>
    <row r="115" spans="3:3" ht="15" customHeight="1" x14ac:dyDescent="0.25">
      <c r="C115" s="7"/>
    </row>
    <row r="116" spans="3:3" ht="15" customHeight="1" x14ac:dyDescent="0.25">
      <c r="C116" s="7"/>
    </row>
    <row r="117" spans="3:3" ht="15" customHeight="1" x14ac:dyDescent="0.25">
      <c r="C117" s="7"/>
    </row>
    <row r="118" spans="3:3" ht="15" customHeight="1" x14ac:dyDescent="0.25">
      <c r="C118" s="7"/>
    </row>
    <row r="119" spans="3:3" ht="15" customHeight="1" x14ac:dyDescent="0.25">
      <c r="C119" s="7"/>
    </row>
    <row r="120" spans="3:3" ht="15" customHeight="1" x14ac:dyDescent="0.25">
      <c r="C120" s="7"/>
    </row>
    <row r="121" spans="3:3" ht="15" customHeight="1" x14ac:dyDescent="0.25">
      <c r="C121" s="7"/>
    </row>
    <row r="122" spans="3:3" ht="15" customHeight="1" x14ac:dyDescent="0.25">
      <c r="C122" s="7"/>
    </row>
    <row r="123" spans="3:3" ht="15" customHeight="1" x14ac:dyDescent="0.25">
      <c r="C123" s="7"/>
    </row>
    <row r="124" spans="3:3" ht="15" customHeight="1" x14ac:dyDescent="0.25">
      <c r="C124" s="7"/>
    </row>
    <row r="125" spans="3:3" ht="15" customHeight="1" x14ac:dyDescent="0.25">
      <c r="C125" s="7"/>
    </row>
    <row r="126" spans="3:3" ht="15" customHeight="1" x14ac:dyDescent="0.25">
      <c r="C126" s="7"/>
    </row>
    <row r="127" spans="3:3" ht="15" customHeight="1" x14ac:dyDescent="0.25">
      <c r="C127" s="7"/>
    </row>
    <row r="128" spans="3:3" ht="15" customHeight="1" x14ac:dyDescent="0.25">
      <c r="C128" s="7"/>
    </row>
    <row r="129" spans="3:3" ht="15" customHeight="1" x14ac:dyDescent="0.25">
      <c r="C129" s="7"/>
    </row>
    <row r="130" spans="3:3" ht="15" customHeight="1" x14ac:dyDescent="0.25">
      <c r="C130" s="5"/>
    </row>
    <row r="131" spans="3:3" ht="15" customHeight="1" x14ac:dyDescent="0.25">
      <c r="C131" s="5"/>
    </row>
    <row r="132" spans="3:3" ht="15" customHeight="1" x14ac:dyDescent="0.25">
      <c r="C132" s="5"/>
    </row>
    <row r="133" spans="3:3" ht="15" customHeight="1" x14ac:dyDescent="0.25">
      <c r="C133" s="5"/>
    </row>
    <row r="134" spans="3:3" ht="15" customHeight="1" x14ac:dyDescent="0.25">
      <c r="C134" s="5"/>
    </row>
    <row r="135" spans="3:3" ht="15" customHeight="1" x14ac:dyDescent="0.25">
      <c r="C135" s="5"/>
    </row>
    <row r="136" spans="3:3" ht="15" customHeight="1" x14ac:dyDescent="0.25">
      <c r="C136" s="5"/>
    </row>
    <row r="137" spans="3:3" ht="15" customHeight="1" x14ac:dyDescent="0.25">
      <c r="C137" s="5"/>
    </row>
    <row r="138" spans="3:3" ht="15" customHeight="1" x14ac:dyDescent="0.25">
      <c r="C138" s="5"/>
    </row>
    <row r="139" spans="3:3" ht="15" customHeight="1" x14ac:dyDescent="0.25">
      <c r="C139" s="5"/>
    </row>
    <row r="140" spans="3:3" ht="15" customHeight="1" x14ac:dyDescent="0.25">
      <c r="C140" s="5"/>
    </row>
    <row r="141" spans="3:3" ht="15" customHeight="1" x14ac:dyDescent="0.25">
      <c r="C141" s="5"/>
    </row>
    <row r="142" spans="3:3" ht="15" customHeight="1" x14ac:dyDescent="0.25">
      <c r="C142" s="5"/>
    </row>
    <row r="143" spans="3:3" ht="15" customHeight="1" x14ac:dyDescent="0.25">
      <c r="C143" s="5"/>
    </row>
    <row r="144" spans="3:3" ht="15" customHeight="1" x14ac:dyDescent="0.25">
      <c r="C144" s="5"/>
    </row>
    <row r="145" spans="3:3" ht="15" customHeight="1" x14ac:dyDescent="0.25">
      <c r="C145" s="5"/>
    </row>
    <row r="146" spans="3:3" ht="15" customHeight="1" x14ac:dyDescent="0.25">
      <c r="C146" s="5"/>
    </row>
    <row r="147" spans="3:3" ht="15" customHeight="1" x14ac:dyDescent="0.25">
      <c r="C147" s="5"/>
    </row>
    <row r="148" spans="3:3" ht="15" customHeight="1" x14ac:dyDescent="0.25">
      <c r="C148" s="5"/>
    </row>
    <row r="149" spans="3:3" ht="15" customHeight="1" x14ac:dyDescent="0.25">
      <c r="C149" s="5"/>
    </row>
    <row r="150" spans="3:3" ht="15" customHeight="1" x14ac:dyDescent="0.25">
      <c r="C150" s="5"/>
    </row>
    <row r="151" spans="3:3" ht="15" customHeight="1" x14ac:dyDescent="0.25">
      <c r="C151" s="5"/>
    </row>
    <row r="152" spans="3:3" ht="15" customHeight="1" x14ac:dyDescent="0.25">
      <c r="C152" s="5"/>
    </row>
    <row r="153" spans="3:3" ht="15" customHeight="1" x14ac:dyDescent="0.25">
      <c r="C153" s="5"/>
    </row>
    <row r="154" spans="3:3" ht="15" customHeight="1" x14ac:dyDescent="0.25">
      <c r="C154" s="5"/>
    </row>
    <row r="155" spans="3:3" ht="15" customHeight="1" x14ac:dyDescent="0.25">
      <c r="C155" s="5"/>
    </row>
    <row r="156" spans="3:3" ht="15" customHeight="1" x14ac:dyDescent="0.25">
      <c r="C156" s="5"/>
    </row>
    <row r="157" spans="3:3" ht="15" customHeight="1" x14ac:dyDescent="0.25">
      <c r="C157" s="5"/>
    </row>
    <row r="158" spans="3:3" ht="15" customHeight="1" x14ac:dyDescent="0.25">
      <c r="C158" s="5"/>
    </row>
    <row r="159" spans="3:3" ht="15" customHeight="1" x14ac:dyDescent="0.25">
      <c r="C159" s="5"/>
    </row>
    <row r="160" spans="3:3" ht="15" customHeight="1" x14ac:dyDescent="0.25">
      <c r="C160" s="5"/>
    </row>
    <row r="161" spans="3:3" ht="15" customHeight="1" x14ac:dyDescent="0.25">
      <c r="C161" s="5"/>
    </row>
    <row r="162" spans="3:3" ht="15" customHeight="1" x14ac:dyDescent="0.25">
      <c r="C162" s="5"/>
    </row>
  </sheetData>
  <mergeCells count="15">
    <mergeCell ref="A3:K3"/>
    <mergeCell ref="A4:A5"/>
    <mergeCell ref="B4:D4"/>
    <mergeCell ref="E4:G4"/>
    <mergeCell ref="H4:I4"/>
    <mergeCell ref="J4:K4"/>
    <mergeCell ref="I46:K46"/>
    <mergeCell ref="I47:K47"/>
    <mergeCell ref="I48:K48"/>
    <mergeCell ref="A38:D38"/>
    <mergeCell ref="I41:K41"/>
    <mergeCell ref="I42:K42"/>
    <mergeCell ref="I43:K43"/>
    <mergeCell ref="I44:K44"/>
    <mergeCell ref="I45:K45"/>
  </mergeCells>
  <pageMargins left="0.31496062992125984" right="0.31496062992125984" top="0.35433070866141736" bottom="0.74803149606299213" header="0.31496062992125984" footer="0.31496062992125984"/>
  <pageSetup paperSize="5" scale="95" orientation="landscape" horizontalDpi="4294967293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L160"/>
  <sheetViews>
    <sheetView topLeftCell="A28" zoomScaleNormal="100" zoomScalePageLayoutView="85" workbookViewId="0">
      <selection activeCell="I18" sqref="I18"/>
    </sheetView>
  </sheetViews>
  <sheetFormatPr defaultRowHeight="15" customHeight="1" x14ac:dyDescent="0.25"/>
  <cols>
    <col min="1" max="1" width="12" customWidth="1"/>
    <col min="2" max="2" width="10.28515625" customWidth="1"/>
    <col min="3" max="3" width="14.28515625" customWidth="1"/>
    <col min="4" max="4" width="17.28515625" customWidth="1"/>
    <col min="5" max="5" width="8.5703125" customWidth="1"/>
    <col min="6" max="6" width="13" customWidth="1"/>
    <col min="7" max="7" width="16.85546875" customWidth="1"/>
    <col min="8" max="8" width="11.42578125" bestFit="1" customWidth="1"/>
    <col min="9" max="9" width="18.28515625" customWidth="1"/>
    <col min="10" max="10" width="11.5703125" customWidth="1"/>
    <col min="11" max="11" width="18" customWidth="1"/>
    <col min="12" max="12" width="22" customWidth="1"/>
  </cols>
  <sheetData>
    <row r="1" spans="1:12" s="95" customFormat="1" ht="15" customHeight="1" x14ac:dyDescent="0.25">
      <c r="A1" s="116" t="s">
        <v>12</v>
      </c>
    </row>
    <row r="2" spans="1:12" s="95" customFormat="1" ht="15" customHeight="1" x14ac:dyDescent="0.25">
      <c r="A2" s="116" t="s">
        <v>91</v>
      </c>
    </row>
    <row r="3" spans="1:12" s="95" customFormat="1" ht="23.25" customHeight="1" x14ac:dyDescent="0.25">
      <c r="A3" s="475" t="s">
        <v>3</v>
      </c>
      <c r="B3" s="475"/>
      <c r="C3" s="475"/>
      <c r="D3" s="475"/>
      <c r="E3" s="475"/>
      <c r="F3" s="475"/>
      <c r="G3" s="475"/>
      <c r="H3" s="475"/>
      <c r="I3" s="475"/>
      <c r="J3" s="475"/>
      <c r="K3" s="475"/>
    </row>
    <row r="4" spans="1:12" ht="18.75" customHeight="1" x14ac:dyDescent="0.25">
      <c r="A4" s="476" t="s">
        <v>0</v>
      </c>
      <c r="B4" s="476" t="s">
        <v>7</v>
      </c>
      <c r="C4" s="476"/>
      <c r="D4" s="476"/>
      <c r="E4" s="476" t="s">
        <v>5</v>
      </c>
      <c r="F4" s="476"/>
      <c r="G4" s="476"/>
      <c r="H4" s="476" t="s">
        <v>4</v>
      </c>
      <c r="I4" s="476"/>
      <c r="J4" s="476" t="s">
        <v>6</v>
      </c>
      <c r="K4" s="476"/>
    </row>
    <row r="5" spans="1:12" ht="21" customHeight="1" x14ac:dyDescent="0.25">
      <c r="A5" s="476"/>
      <c r="B5" s="28" t="s">
        <v>8</v>
      </c>
      <c r="C5" s="28" t="s">
        <v>14</v>
      </c>
      <c r="D5" s="28" t="s">
        <v>13</v>
      </c>
      <c r="E5" s="28" t="s">
        <v>8</v>
      </c>
      <c r="F5" s="28" t="s">
        <v>14</v>
      </c>
      <c r="G5" s="28" t="s">
        <v>10</v>
      </c>
      <c r="H5" s="28" t="s">
        <v>8</v>
      </c>
      <c r="I5" s="28" t="s">
        <v>13</v>
      </c>
      <c r="J5" s="28" t="s">
        <v>8</v>
      </c>
      <c r="K5" s="28" t="s">
        <v>15</v>
      </c>
    </row>
    <row r="6" spans="1:12" ht="11.25" customHeight="1" x14ac:dyDescent="0.25">
      <c r="A6" s="29"/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12" ht="15" customHeight="1" x14ac:dyDescent="0.25">
      <c r="A7" s="40" t="s">
        <v>1</v>
      </c>
      <c r="B7" s="35"/>
      <c r="C7" s="27"/>
      <c r="D7" s="27">
        <f>B7*C7</f>
        <v>0</v>
      </c>
      <c r="E7" s="36"/>
      <c r="F7" s="27"/>
      <c r="G7" s="27">
        <f>E7*F7</f>
        <v>0</v>
      </c>
      <c r="H7" s="36"/>
      <c r="I7" s="27"/>
      <c r="J7" s="26">
        <f>B7+E7-H7</f>
        <v>0</v>
      </c>
      <c r="K7" s="27">
        <f>D7+G7-I7</f>
        <v>0</v>
      </c>
    </row>
    <row r="8" spans="1:12" ht="15" customHeight="1" x14ac:dyDescent="0.25">
      <c r="A8" s="40"/>
      <c r="B8" s="35"/>
      <c r="C8" s="27"/>
      <c r="D8" s="27">
        <f>B8*C8</f>
        <v>0</v>
      </c>
      <c r="E8" s="44"/>
      <c r="F8" s="43"/>
      <c r="G8" s="43">
        <f>E8*F8</f>
        <v>0</v>
      </c>
      <c r="H8" s="42"/>
      <c r="I8" s="27">
        <f>H8*F8</f>
        <v>0</v>
      </c>
      <c r="J8" s="26">
        <f>B8+E8-H8</f>
        <v>0</v>
      </c>
      <c r="K8" s="27">
        <f>D8+G8-I8</f>
        <v>0</v>
      </c>
      <c r="L8" s="15"/>
    </row>
    <row r="9" spans="1:12" ht="15" customHeight="1" x14ac:dyDescent="0.25">
      <c r="A9" s="40"/>
      <c r="B9" s="134">
        <f>SUM(B7:B8)</f>
        <v>0</v>
      </c>
      <c r="C9" s="134"/>
      <c r="D9" s="136">
        <f>SUM(D7:D8)</f>
        <v>0</v>
      </c>
      <c r="E9" s="44"/>
      <c r="F9" s="43"/>
      <c r="G9" s="43"/>
      <c r="H9" s="42"/>
      <c r="I9" s="27"/>
      <c r="J9" s="131">
        <f>SUM(J7:J8)</f>
        <v>0</v>
      </c>
      <c r="K9" s="132">
        <f>SUM(K7:K8)</f>
        <v>0</v>
      </c>
      <c r="L9" s="15"/>
    </row>
    <row r="10" spans="1:12" ht="15" customHeight="1" x14ac:dyDescent="0.25">
      <c r="A10" s="40"/>
      <c r="B10" s="42"/>
      <c r="C10" s="42"/>
      <c r="D10" s="43"/>
      <c r="E10" s="44"/>
      <c r="F10" s="43"/>
      <c r="G10" s="43"/>
      <c r="H10" s="42"/>
      <c r="I10" s="27"/>
      <c r="J10" s="26"/>
      <c r="K10" s="27"/>
      <c r="L10" s="15"/>
    </row>
    <row r="11" spans="1:12" ht="15" customHeight="1" x14ac:dyDescent="0.25">
      <c r="A11" s="40" t="s">
        <v>21</v>
      </c>
      <c r="B11" s="42"/>
      <c r="C11" s="43">
        <f>C7</f>
        <v>0</v>
      </c>
      <c r="D11" s="42">
        <f>B11*C11</f>
        <v>0</v>
      </c>
      <c r="E11" s="44"/>
      <c r="F11" s="43"/>
      <c r="G11" s="43">
        <f>E11*F11</f>
        <v>0</v>
      </c>
      <c r="H11" s="42"/>
      <c r="I11" s="27">
        <f>H11*C11</f>
        <v>0</v>
      </c>
      <c r="J11" s="26">
        <f>B11+E11-H11</f>
        <v>0</v>
      </c>
      <c r="K11" s="27">
        <f>J11*C11</f>
        <v>0</v>
      </c>
      <c r="L11" s="15"/>
    </row>
    <row r="12" spans="1:12" ht="15" customHeight="1" x14ac:dyDescent="0.25">
      <c r="A12" s="40"/>
      <c r="B12" s="42"/>
      <c r="C12" s="43">
        <f>C8</f>
        <v>0</v>
      </c>
      <c r="D12" s="42">
        <f>B12*C12</f>
        <v>0</v>
      </c>
      <c r="E12" s="44"/>
      <c r="F12" s="43"/>
      <c r="G12" s="43"/>
      <c r="H12" s="42"/>
      <c r="I12" s="27">
        <f>C12</f>
        <v>0</v>
      </c>
      <c r="J12" s="26">
        <f>B12+E12-H12</f>
        <v>0</v>
      </c>
      <c r="K12" s="27">
        <f>J12*C12</f>
        <v>0</v>
      </c>
      <c r="L12" s="15"/>
    </row>
    <row r="13" spans="1:12" ht="15" customHeight="1" x14ac:dyDescent="0.25">
      <c r="A13" s="40"/>
      <c r="B13" s="134">
        <f>SUM(B11:B12)</f>
        <v>0</v>
      </c>
      <c r="C13" s="134"/>
      <c r="D13" s="134">
        <f>SUM(D11:D12)</f>
        <v>0</v>
      </c>
      <c r="E13" s="44"/>
      <c r="F13" s="43"/>
      <c r="G13" s="43"/>
      <c r="H13" s="134">
        <f>SUM(H11:H12)</f>
        <v>0</v>
      </c>
      <c r="I13" s="132">
        <f>SUM(I11:I12)</f>
        <v>0</v>
      </c>
      <c r="J13" s="131">
        <f>SUM(J11:J12)</f>
        <v>0</v>
      </c>
      <c r="K13" s="132">
        <f>SUM(K11:K12)</f>
        <v>0</v>
      </c>
      <c r="L13" s="15"/>
    </row>
    <row r="14" spans="1:12" ht="15" customHeight="1" x14ac:dyDescent="0.25">
      <c r="A14" s="40"/>
      <c r="B14" s="42"/>
      <c r="C14" s="42"/>
      <c r="D14" s="42"/>
      <c r="E14" s="44"/>
      <c r="F14" s="43"/>
      <c r="G14" s="43"/>
      <c r="H14" s="42"/>
      <c r="I14" s="27"/>
      <c r="J14" s="26"/>
      <c r="K14" s="27"/>
      <c r="L14" s="15"/>
    </row>
    <row r="15" spans="1:12" ht="15" customHeight="1" x14ac:dyDescent="0.25">
      <c r="A15" s="40"/>
      <c r="B15" s="42"/>
      <c r="C15" s="42"/>
      <c r="D15" s="43"/>
      <c r="E15" s="44"/>
      <c r="F15" s="43"/>
      <c r="G15" s="43"/>
      <c r="H15" s="42"/>
      <c r="I15" s="27"/>
      <c r="J15" s="26"/>
      <c r="K15" s="27"/>
      <c r="L15" s="15"/>
    </row>
    <row r="16" spans="1:12" ht="15" customHeight="1" x14ac:dyDescent="0.25">
      <c r="A16" s="40" t="s">
        <v>22</v>
      </c>
      <c r="B16" s="42"/>
      <c r="C16" s="43">
        <f>C12</f>
        <v>0</v>
      </c>
      <c r="D16" s="43">
        <f>B16*C16</f>
        <v>0</v>
      </c>
      <c r="E16" s="44"/>
      <c r="F16" s="43"/>
      <c r="G16" s="43"/>
      <c r="H16" s="42"/>
      <c r="I16" s="27">
        <f>H16*C16</f>
        <v>0</v>
      </c>
      <c r="J16" s="26">
        <f>B16+E16-H16</f>
        <v>0</v>
      </c>
      <c r="K16" s="27">
        <f>J16*C16</f>
        <v>0</v>
      </c>
      <c r="L16" s="15"/>
    </row>
    <row r="17" spans="1:12" ht="15" customHeight="1" x14ac:dyDescent="0.25">
      <c r="A17" s="40"/>
      <c r="B17" s="42"/>
      <c r="C17" s="42"/>
      <c r="D17" s="43">
        <f>B17*C17</f>
        <v>0</v>
      </c>
      <c r="E17" s="44"/>
      <c r="F17" s="43"/>
      <c r="G17" s="43">
        <f>E17*F17</f>
        <v>0</v>
      </c>
      <c r="H17" s="42"/>
      <c r="I17" s="27">
        <f>H17*C17</f>
        <v>0</v>
      </c>
      <c r="J17" s="26">
        <f>B17+E17-H17</f>
        <v>0</v>
      </c>
      <c r="K17" s="27">
        <f>J17*F17</f>
        <v>0</v>
      </c>
      <c r="L17" s="15"/>
    </row>
    <row r="18" spans="1:12" ht="15" customHeight="1" x14ac:dyDescent="0.25">
      <c r="A18" s="40" t="s">
        <v>24</v>
      </c>
      <c r="B18" s="42"/>
      <c r="C18" s="42">
        <f>C16</f>
        <v>0</v>
      </c>
      <c r="D18" s="43">
        <f>B18*C18</f>
        <v>0</v>
      </c>
      <c r="E18" s="44"/>
      <c r="F18" s="43"/>
      <c r="G18" s="43">
        <f>E18*F18</f>
        <v>0</v>
      </c>
      <c r="H18" s="42"/>
      <c r="I18" s="27">
        <f>H18*C18</f>
        <v>0</v>
      </c>
      <c r="J18" s="26">
        <f>B18+E18-H18</f>
        <v>0</v>
      </c>
      <c r="K18" s="27">
        <f>J18*C18</f>
        <v>0</v>
      </c>
      <c r="L18" s="15"/>
    </row>
    <row r="19" spans="1:12" ht="15" customHeight="1" x14ac:dyDescent="0.25">
      <c r="A19" s="40"/>
      <c r="B19" s="42"/>
      <c r="C19" s="42"/>
      <c r="D19" s="43"/>
      <c r="E19" s="44"/>
      <c r="F19" s="43"/>
      <c r="G19" s="43"/>
      <c r="H19" s="42"/>
      <c r="I19" s="27"/>
      <c r="J19" s="26">
        <f>B19+E19-H19</f>
        <v>0</v>
      </c>
      <c r="K19" s="27"/>
      <c r="L19" s="15"/>
    </row>
    <row r="20" spans="1:12" ht="15" customHeight="1" x14ac:dyDescent="0.25">
      <c r="A20" s="40" t="s">
        <v>28</v>
      </c>
      <c r="B20" s="42"/>
      <c r="C20" s="42"/>
      <c r="D20" s="43">
        <f>B20*C20</f>
        <v>0</v>
      </c>
      <c r="E20" s="44"/>
      <c r="F20" s="43"/>
      <c r="G20" s="43">
        <v>0</v>
      </c>
      <c r="H20" s="42"/>
      <c r="I20" s="27">
        <f>H20*C20</f>
        <v>0</v>
      </c>
      <c r="J20" s="26">
        <f>B20+E20-H20</f>
        <v>0</v>
      </c>
      <c r="K20" s="27">
        <f>J20*C20</f>
        <v>0</v>
      </c>
      <c r="L20" s="15">
        <f>J20*C20</f>
        <v>0</v>
      </c>
    </row>
    <row r="21" spans="1:12" ht="15" customHeight="1" x14ac:dyDescent="0.25">
      <c r="A21" s="40"/>
      <c r="B21" s="42"/>
      <c r="C21" s="42"/>
      <c r="D21" s="43"/>
      <c r="E21" s="44"/>
      <c r="F21" s="43"/>
      <c r="G21" s="43"/>
      <c r="H21" s="42"/>
      <c r="I21" s="27"/>
      <c r="J21" s="26"/>
      <c r="K21" s="27"/>
      <c r="L21" s="15"/>
    </row>
    <row r="22" spans="1:12" ht="15" customHeight="1" x14ac:dyDescent="0.25">
      <c r="A22" s="40" t="s">
        <v>29</v>
      </c>
      <c r="B22" s="42"/>
      <c r="C22" s="42"/>
      <c r="D22" s="43">
        <f>B22*C22</f>
        <v>0</v>
      </c>
      <c r="E22" s="44"/>
      <c r="F22" s="43"/>
      <c r="G22" s="43">
        <f>E22*F22</f>
        <v>0</v>
      </c>
      <c r="H22" s="42"/>
      <c r="I22" s="27">
        <f>H22*C22</f>
        <v>0</v>
      </c>
      <c r="J22" s="26">
        <f>B22+E22-H22</f>
        <v>0</v>
      </c>
      <c r="K22" s="27">
        <f>J22*C22</f>
        <v>0</v>
      </c>
      <c r="L22" s="15"/>
    </row>
    <row r="23" spans="1:12" ht="15" customHeight="1" x14ac:dyDescent="0.25">
      <c r="A23" s="40"/>
      <c r="B23" s="42"/>
      <c r="C23" s="42"/>
      <c r="D23" s="43"/>
      <c r="E23" s="44"/>
      <c r="F23" s="43"/>
      <c r="G23" s="43"/>
      <c r="H23" s="42"/>
      <c r="I23" s="27"/>
      <c r="J23" s="26"/>
      <c r="K23" s="27"/>
      <c r="L23" s="15"/>
    </row>
    <row r="24" spans="1:12" ht="15" customHeight="1" x14ac:dyDescent="0.25">
      <c r="A24" s="40" t="s">
        <v>30</v>
      </c>
      <c r="B24" s="42"/>
      <c r="C24" s="42"/>
      <c r="D24" s="43">
        <f>B24*C24</f>
        <v>0</v>
      </c>
      <c r="E24" s="44"/>
      <c r="F24" s="43"/>
      <c r="G24" s="43">
        <f>E24*F24</f>
        <v>0</v>
      </c>
      <c r="H24" s="42"/>
      <c r="I24" s="27">
        <f>H24*C24</f>
        <v>0</v>
      </c>
      <c r="J24" s="26">
        <f>B24+E24-H24</f>
        <v>0</v>
      </c>
      <c r="K24" s="27">
        <f>J24*C24</f>
        <v>0</v>
      </c>
      <c r="L24" s="15">
        <f>J24*C24</f>
        <v>0</v>
      </c>
    </row>
    <row r="25" spans="1:12" ht="15" customHeight="1" x14ac:dyDescent="0.25">
      <c r="A25" s="40"/>
      <c r="B25" s="42"/>
      <c r="C25" s="42"/>
      <c r="D25" s="43"/>
      <c r="E25" s="44"/>
      <c r="F25" s="43"/>
      <c r="G25" s="43"/>
      <c r="H25" s="42"/>
      <c r="I25" s="27"/>
      <c r="J25" s="26"/>
      <c r="K25" s="27"/>
      <c r="L25" s="15"/>
    </row>
    <row r="26" spans="1:12" ht="15" customHeight="1" x14ac:dyDescent="0.25">
      <c r="A26" s="40" t="s">
        <v>31</v>
      </c>
      <c r="B26" s="42"/>
      <c r="C26" s="42"/>
      <c r="D26" s="43">
        <f>B26*C26</f>
        <v>0</v>
      </c>
      <c r="E26" s="44"/>
      <c r="F26" s="43"/>
      <c r="G26" s="43">
        <f>E26*F26</f>
        <v>0</v>
      </c>
      <c r="H26" s="42"/>
      <c r="I26" s="27">
        <f>H26*C26</f>
        <v>0</v>
      </c>
      <c r="J26" s="26">
        <f>B26+E26-H26</f>
        <v>0</v>
      </c>
      <c r="K26" s="27">
        <f>J26*C26</f>
        <v>0</v>
      </c>
      <c r="L26" s="15">
        <f>J26*C26</f>
        <v>0</v>
      </c>
    </row>
    <row r="27" spans="1:12" ht="15" customHeight="1" x14ac:dyDescent="0.25">
      <c r="A27" s="40"/>
      <c r="B27" s="42"/>
      <c r="C27" s="42"/>
      <c r="D27" s="43"/>
      <c r="E27" s="44"/>
      <c r="F27" s="43"/>
      <c r="G27" s="43"/>
      <c r="H27" s="42"/>
      <c r="I27" s="27"/>
      <c r="J27" s="26">
        <f>B27+E27-H27</f>
        <v>0</v>
      </c>
      <c r="K27" s="129"/>
      <c r="L27" s="15"/>
    </row>
    <row r="28" spans="1:12" ht="15" customHeight="1" x14ac:dyDescent="0.25">
      <c r="A28" s="40" t="s">
        <v>32</v>
      </c>
      <c r="B28" s="42"/>
      <c r="C28" s="42"/>
      <c r="D28" s="43">
        <f>B28*C28</f>
        <v>0</v>
      </c>
      <c r="E28" s="44"/>
      <c r="F28" s="43"/>
      <c r="G28" s="43"/>
      <c r="H28" s="42"/>
      <c r="I28" s="27">
        <f>H28*C28</f>
        <v>0</v>
      </c>
      <c r="J28" s="26">
        <f>B28+E28-H28</f>
        <v>0</v>
      </c>
      <c r="K28" s="27">
        <f>J28*C28</f>
        <v>0</v>
      </c>
      <c r="L28" s="15"/>
    </row>
    <row r="29" spans="1:12" ht="15" customHeight="1" x14ac:dyDescent="0.25">
      <c r="A29" s="40"/>
      <c r="B29" s="42"/>
      <c r="C29" s="42"/>
      <c r="D29" s="43"/>
      <c r="E29" s="44"/>
      <c r="F29" s="43"/>
      <c r="G29" s="43"/>
      <c r="H29" s="42"/>
      <c r="I29" s="27"/>
      <c r="J29" s="26">
        <f>B29+E29-H29</f>
        <v>0</v>
      </c>
      <c r="K29" s="27"/>
      <c r="L29" s="15"/>
    </row>
    <row r="30" spans="1:12" ht="15" customHeight="1" x14ac:dyDescent="0.25">
      <c r="A30" s="42" t="s">
        <v>33</v>
      </c>
      <c r="B30" s="42"/>
      <c r="C30" s="42"/>
      <c r="D30" s="43">
        <f>B30*C30</f>
        <v>0</v>
      </c>
      <c r="E30" s="44"/>
      <c r="F30" s="43"/>
      <c r="G30" s="43"/>
      <c r="H30" s="42"/>
      <c r="I30" s="27">
        <f>H30*C30</f>
        <v>0</v>
      </c>
      <c r="J30" s="26">
        <f>B30+E30-H30</f>
        <v>0</v>
      </c>
      <c r="K30" s="27">
        <f>J30*C30</f>
        <v>0</v>
      </c>
      <c r="L30" s="15"/>
    </row>
    <row r="31" spans="1:12" ht="15" customHeight="1" x14ac:dyDescent="0.25">
      <c r="A31" s="42"/>
      <c r="B31" s="42"/>
      <c r="C31" s="42"/>
      <c r="D31" s="43"/>
      <c r="E31" s="44"/>
      <c r="F31" s="43"/>
      <c r="G31" s="43"/>
      <c r="H31" s="42"/>
      <c r="I31" s="27"/>
      <c r="J31" s="26"/>
      <c r="K31" s="27"/>
      <c r="L31" s="15">
        <f>C31*J31</f>
        <v>0</v>
      </c>
    </row>
    <row r="32" spans="1:12" ht="15" customHeight="1" x14ac:dyDescent="0.25">
      <c r="A32" s="42" t="s">
        <v>34</v>
      </c>
      <c r="B32" s="42"/>
      <c r="C32" s="42"/>
      <c r="D32" s="43">
        <f>B32*C32</f>
        <v>0</v>
      </c>
      <c r="E32" s="44"/>
      <c r="F32" s="43"/>
      <c r="G32" s="43">
        <f>E32*F32</f>
        <v>0</v>
      </c>
      <c r="H32" s="433"/>
      <c r="I32" s="434">
        <f>H32*C32</f>
        <v>0</v>
      </c>
      <c r="J32" s="26">
        <f>B32+E32-H32</f>
        <v>0</v>
      </c>
      <c r="K32" s="27">
        <f>J32*C32</f>
        <v>0</v>
      </c>
      <c r="L32" s="15"/>
    </row>
    <row r="33" spans="1:12" ht="15" customHeight="1" x14ac:dyDescent="0.25">
      <c r="A33" s="40"/>
      <c r="B33" s="42"/>
      <c r="C33" s="42"/>
      <c r="D33" s="43"/>
      <c r="E33" s="44"/>
      <c r="F33" s="43"/>
      <c r="G33" s="43"/>
      <c r="H33" s="42"/>
      <c r="I33" s="27"/>
      <c r="J33" s="26">
        <f>B33+E33-H33</f>
        <v>0</v>
      </c>
      <c r="K33" s="27"/>
      <c r="L33" s="15"/>
    </row>
    <row r="34" spans="1:12" ht="15" customHeight="1" x14ac:dyDescent="0.25">
      <c r="A34" s="40" t="s">
        <v>35</v>
      </c>
      <c r="B34" s="42"/>
      <c r="C34" s="42"/>
      <c r="D34" s="42">
        <f>B34*C34</f>
        <v>0</v>
      </c>
      <c r="E34" s="44"/>
      <c r="F34" s="43"/>
      <c r="G34" s="43"/>
      <c r="H34" s="42"/>
      <c r="I34" s="27">
        <f>H34*C34</f>
        <v>0</v>
      </c>
      <c r="J34" s="26">
        <f>B34+E34-H34</f>
        <v>0</v>
      </c>
      <c r="K34" s="27">
        <f>J34*C34</f>
        <v>0</v>
      </c>
      <c r="L34" s="15"/>
    </row>
    <row r="35" spans="1:12" ht="15" customHeight="1" x14ac:dyDescent="0.25">
      <c r="A35" s="40"/>
      <c r="B35" s="42"/>
      <c r="C35" s="42"/>
      <c r="D35" s="42">
        <f>B35*C35</f>
        <v>0</v>
      </c>
      <c r="E35" s="44"/>
      <c r="F35" s="43"/>
      <c r="G35" s="43">
        <f>E35*F35</f>
        <v>0</v>
      </c>
      <c r="H35" s="42"/>
      <c r="I35" s="27"/>
      <c r="J35" s="26">
        <f>B35+E35-H35</f>
        <v>0</v>
      </c>
      <c r="K35" s="27">
        <f>J35*C35</f>
        <v>0</v>
      </c>
      <c r="L35" s="15"/>
    </row>
    <row r="36" spans="1:12" ht="27" customHeight="1" thickBot="1" x14ac:dyDescent="0.3">
      <c r="A36" s="471" t="s">
        <v>113</v>
      </c>
      <c r="B36" s="472"/>
      <c r="C36" s="472"/>
      <c r="D36" s="472"/>
      <c r="E36" s="94">
        <f>SUM(E8:E35)</f>
        <v>0</v>
      </c>
      <c r="F36" s="94"/>
      <c r="G36" s="94">
        <f>SUM(G8:G35)</f>
        <v>0</v>
      </c>
      <c r="H36" s="85"/>
      <c r="I36" s="85"/>
      <c r="J36" s="55">
        <f>J18</f>
        <v>0</v>
      </c>
      <c r="K36" s="56">
        <f>K18</f>
        <v>0</v>
      </c>
      <c r="L36" s="15"/>
    </row>
    <row r="37" spans="1:12" ht="15" customHeight="1" x14ac:dyDescent="0.25">
      <c r="A37" s="46"/>
      <c r="B37" s="47"/>
      <c r="C37" s="48"/>
      <c r="D37" s="49"/>
      <c r="E37" s="50"/>
      <c r="F37" s="50"/>
      <c r="G37" s="50"/>
      <c r="H37" s="47"/>
      <c r="I37" s="50"/>
      <c r="J37" s="23"/>
      <c r="K37" s="24"/>
      <c r="L37" s="15"/>
    </row>
    <row r="38" spans="1:12" ht="15" customHeight="1" x14ac:dyDescent="0.25">
      <c r="A38" s="46"/>
      <c r="B38" s="47"/>
      <c r="C38" s="48"/>
      <c r="D38" s="49"/>
      <c r="E38" s="50"/>
      <c r="F38" s="50"/>
      <c r="G38" s="50"/>
      <c r="H38" s="47"/>
      <c r="I38" s="50"/>
      <c r="J38" s="23"/>
      <c r="K38" s="24"/>
      <c r="L38" s="15"/>
    </row>
    <row r="39" spans="1:12" ht="15" customHeight="1" x14ac:dyDescent="0.25">
      <c r="A39" s="51"/>
      <c r="B39" s="47"/>
      <c r="C39" s="48"/>
      <c r="D39" s="50"/>
      <c r="E39" s="50"/>
      <c r="F39" s="50"/>
      <c r="G39" s="50"/>
      <c r="H39" s="47"/>
      <c r="I39" s="474"/>
      <c r="J39" s="474"/>
      <c r="K39" s="474"/>
      <c r="L39" s="15"/>
    </row>
    <row r="40" spans="1:12" ht="15" customHeight="1" x14ac:dyDescent="0.25">
      <c r="A40" s="51"/>
      <c r="B40" s="47"/>
      <c r="C40" s="48"/>
      <c r="D40" s="49"/>
      <c r="E40" s="50"/>
      <c r="F40" s="50"/>
      <c r="G40" s="50"/>
      <c r="H40" s="47"/>
      <c r="I40" s="474"/>
      <c r="J40" s="474"/>
      <c r="K40" s="474"/>
      <c r="L40" s="15"/>
    </row>
    <row r="41" spans="1:12" ht="15" customHeight="1" x14ac:dyDescent="0.25">
      <c r="A41" s="63"/>
      <c r="B41" s="47"/>
      <c r="C41" s="48"/>
      <c r="D41" s="50"/>
      <c r="E41" s="50"/>
      <c r="F41" s="50"/>
      <c r="G41" s="50"/>
      <c r="H41" s="47"/>
      <c r="I41" s="474"/>
      <c r="J41" s="474"/>
      <c r="K41" s="474"/>
      <c r="L41" s="15"/>
    </row>
    <row r="42" spans="1:12" ht="15" customHeight="1" x14ac:dyDescent="0.25">
      <c r="A42" s="63"/>
      <c r="B42" s="47"/>
      <c r="C42" s="48"/>
      <c r="D42" s="50"/>
      <c r="E42" s="50"/>
      <c r="F42" s="50"/>
      <c r="G42" s="50"/>
      <c r="H42" s="47"/>
      <c r="I42" s="474"/>
      <c r="J42" s="474"/>
      <c r="K42" s="474"/>
      <c r="L42" s="15"/>
    </row>
    <row r="43" spans="1:12" ht="15" customHeight="1" x14ac:dyDescent="0.25">
      <c r="A43" s="63"/>
      <c r="B43" s="47"/>
      <c r="C43" s="48"/>
      <c r="D43" s="49"/>
      <c r="E43" s="50"/>
      <c r="F43" s="50"/>
      <c r="G43" s="50"/>
      <c r="H43" s="47"/>
      <c r="I43" s="474"/>
      <c r="J43" s="474"/>
      <c r="K43" s="474"/>
      <c r="L43" s="15"/>
    </row>
    <row r="44" spans="1:12" ht="15" customHeight="1" x14ac:dyDescent="0.25">
      <c r="A44" s="63"/>
      <c r="B44" s="47"/>
      <c r="C44" s="48"/>
      <c r="D44" s="50"/>
      <c r="E44" s="50"/>
      <c r="F44" s="50"/>
      <c r="G44" s="50"/>
      <c r="H44" s="47"/>
      <c r="I44" s="473"/>
      <c r="J44" s="473"/>
      <c r="K44" s="473"/>
      <c r="L44" s="15"/>
    </row>
    <row r="45" spans="1:12" ht="15" customHeight="1" x14ac:dyDescent="0.25">
      <c r="A45" s="63"/>
      <c r="B45" s="47"/>
      <c r="C45" s="48"/>
      <c r="D45" s="50"/>
      <c r="E45" s="50"/>
      <c r="F45" s="50"/>
      <c r="G45" s="50"/>
      <c r="H45" s="47"/>
      <c r="I45" s="473"/>
      <c r="J45" s="473"/>
      <c r="K45" s="473"/>
      <c r="L45" s="15"/>
    </row>
    <row r="46" spans="1:12" ht="15" customHeight="1" x14ac:dyDescent="0.25">
      <c r="A46" s="63"/>
      <c r="B46" s="47"/>
      <c r="C46" s="48"/>
      <c r="D46" s="49"/>
      <c r="E46" s="50"/>
      <c r="F46" s="50"/>
      <c r="G46" s="50"/>
      <c r="H46" s="47"/>
      <c r="I46" s="474"/>
      <c r="J46" s="474"/>
      <c r="K46" s="474"/>
      <c r="L46" s="15"/>
    </row>
    <row r="47" spans="1:12" ht="15" customHeight="1" x14ac:dyDescent="0.25">
      <c r="A47" s="63"/>
      <c r="B47" s="47"/>
      <c r="C47" s="48"/>
      <c r="D47" s="50"/>
      <c r="E47" s="50"/>
      <c r="F47" s="50"/>
      <c r="G47" s="50"/>
      <c r="H47" s="47"/>
      <c r="I47" s="50"/>
      <c r="J47" s="23"/>
      <c r="K47" s="24"/>
      <c r="L47" s="15"/>
    </row>
    <row r="48" spans="1:12" ht="15" customHeight="1" x14ac:dyDescent="0.25">
      <c r="A48" s="63"/>
      <c r="B48" s="47"/>
      <c r="C48" s="48"/>
      <c r="D48" s="50"/>
      <c r="E48" s="50"/>
      <c r="F48" s="50"/>
      <c r="G48" s="50"/>
      <c r="H48" s="47"/>
      <c r="I48" s="50"/>
      <c r="J48" s="23"/>
      <c r="K48" s="24"/>
      <c r="L48" s="15"/>
    </row>
    <row r="49" spans="2:12" ht="15" customHeight="1" x14ac:dyDescent="0.25">
      <c r="B49" s="15"/>
      <c r="C49" s="12"/>
      <c r="D49" s="9"/>
      <c r="E49" s="17"/>
      <c r="F49" s="17"/>
      <c r="G49" s="17"/>
      <c r="H49" s="15"/>
      <c r="I49" s="9"/>
      <c r="J49" s="19"/>
      <c r="K49" s="14"/>
      <c r="L49" s="15"/>
    </row>
    <row r="50" spans="2:12" ht="15" customHeight="1" x14ac:dyDescent="0.25">
      <c r="B50" s="15"/>
      <c r="D50" s="17"/>
      <c r="E50" s="17"/>
      <c r="F50" s="17"/>
      <c r="G50" s="17"/>
      <c r="H50" s="15"/>
      <c r="I50" s="17"/>
      <c r="J50" s="19"/>
      <c r="K50" s="20"/>
      <c r="L50" s="15"/>
    </row>
    <row r="51" spans="2:12" ht="15" customHeight="1" x14ac:dyDescent="0.25">
      <c r="B51" s="15"/>
      <c r="D51" s="17"/>
      <c r="E51" s="17"/>
      <c r="F51" s="17"/>
      <c r="G51" s="17"/>
      <c r="H51" s="15"/>
      <c r="I51" s="17"/>
      <c r="J51" s="19"/>
      <c r="K51" s="20"/>
      <c r="L51" s="15"/>
    </row>
    <row r="52" spans="2:12" ht="15" customHeight="1" x14ac:dyDescent="0.25">
      <c r="B52" s="15"/>
      <c r="C52" s="12"/>
      <c r="D52" s="9"/>
      <c r="E52" s="17"/>
      <c r="F52" s="17"/>
      <c r="G52" s="17"/>
      <c r="H52" s="15"/>
      <c r="I52" s="9"/>
      <c r="J52" s="19"/>
      <c r="K52" s="14"/>
      <c r="L52" s="15"/>
    </row>
    <row r="53" spans="2:12" ht="15" customHeight="1" x14ac:dyDescent="0.25">
      <c r="B53" s="15"/>
      <c r="C53" s="12"/>
      <c r="D53" s="17"/>
      <c r="E53" s="17"/>
      <c r="F53" s="17"/>
      <c r="G53" s="17"/>
      <c r="H53" s="15"/>
      <c r="I53" s="17"/>
      <c r="J53" s="19"/>
      <c r="K53" s="20"/>
      <c r="L53" s="15"/>
    </row>
    <row r="54" spans="2:12" ht="15" customHeight="1" x14ac:dyDescent="0.25">
      <c r="B54" s="15"/>
      <c r="C54" s="12"/>
      <c r="D54" s="17"/>
      <c r="E54" s="17"/>
      <c r="F54" s="17"/>
      <c r="G54" s="17"/>
      <c r="H54" s="15"/>
      <c r="I54" s="17"/>
      <c r="J54" s="19"/>
      <c r="K54" s="20"/>
      <c r="L54" s="15"/>
    </row>
    <row r="55" spans="2:12" ht="15" customHeight="1" x14ac:dyDescent="0.25">
      <c r="B55" s="15"/>
      <c r="C55" s="12"/>
      <c r="D55" s="9"/>
      <c r="E55" s="17"/>
      <c r="F55" s="17"/>
      <c r="G55" s="17"/>
      <c r="H55" s="15"/>
      <c r="I55" s="9"/>
      <c r="J55" s="19"/>
      <c r="K55" s="14"/>
      <c r="L55" s="15"/>
    </row>
    <row r="56" spans="2:12" ht="15" customHeight="1" x14ac:dyDescent="0.25">
      <c r="B56" s="15"/>
      <c r="C56" s="12"/>
      <c r="D56" s="17"/>
      <c r="E56" s="17"/>
      <c r="F56" s="17"/>
      <c r="G56" s="17"/>
      <c r="H56" s="15"/>
      <c r="I56" s="17"/>
      <c r="J56" s="19"/>
      <c r="K56" s="20"/>
      <c r="L56" s="15"/>
    </row>
    <row r="57" spans="2:12" ht="15" customHeight="1" x14ac:dyDescent="0.25">
      <c r="B57" s="15"/>
      <c r="C57" s="12"/>
      <c r="D57" s="17"/>
      <c r="E57" s="17"/>
      <c r="F57" s="17"/>
      <c r="G57" s="17"/>
      <c r="H57" s="15"/>
      <c r="I57" s="17"/>
      <c r="J57" s="19"/>
      <c r="K57" s="20"/>
      <c r="L57" s="15"/>
    </row>
    <row r="58" spans="2:12" ht="15" customHeight="1" x14ac:dyDescent="0.25">
      <c r="B58" s="15"/>
      <c r="C58" s="12"/>
      <c r="D58" s="9"/>
      <c r="E58" s="17"/>
      <c r="F58" s="17"/>
      <c r="G58" s="17"/>
      <c r="H58" s="15"/>
      <c r="I58" s="9"/>
      <c r="J58" s="19"/>
      <c r="K58" s="14"/>
      <c r="L58" s="15"/>
    </row>
    <row r="59" spans="2:12" ht="15" customHeight="1" x14ac:dyDescent="0.25">
      <c r="B59" s="15"/>
      <c r="C59" s="12"/>
      <c r="D59" s="17"/>
      <c r="E59" s="17"/>
      <c r="F59" s="17"/>
      <c r="G59" s="17"/>
      <c r="H59" s="15"/>
      <c r="I59" s="17"/>
      <c r="J59" s="15"/>
      <c r="K59" s="17"/>
      <c r="L59" s="15"/>
    </row>
    <row r="60" spans="2:12" ht="15" customHeight="1" x14ac:dyDescent="0.25">
      <c r="B60" s="15"/>
      <c r="C60" s="12"/>
      <c r="D60" s="17"/>
      <c r="E60" s="17"/>
      <c r="F60" s="17"/>
      <c r="G60" s="17"/>
      <c r="H60" s="15"/>
      <c r="I60" s="17"/>
      <c r="J60" s="15"/>
      <c r="K60" s="17"/>
      <c r="L60" s="15"/>
    </row>
    <row r="61" spans="2:12" ht="15" customHeight="1" x14ac:dyDescent="0.25">
      <c r="B61" s="15"/>
      <c r="C61" s="12"/>
      <c r="D61" s="9"/>
      <c r="E61" s="17"/>
      <c r="F61" s="17"/>
      <c r="G61" s="17"/>
      <c r="H61" s="15"/>
      <c r="I61" s="9"/>
      <c r="J61" s="15"/>
      <c r="K61" s="9"/>
      <c r="L61" s="15"/>
    </row>
    <row r="62" spans="2:12" ht="15" customHeight="1" x14ac:dyDescent="0.25">
      <c r="B62" s="15"/>
      <c r="C62" s="12"/>
      <c r="D62" s="17"/>
      <c r="E62" s="17"/>
      <c r="F62" s="17"/>
      <c r="G62" s="17"/>
      <c r="H62" s="15"/>
      <c r="I62" s="17"/>
      <c r="J62" s="15"/>
      <c r="K62" s="17"/>
      <c r="L62" s="15"/>
    </row>
    <row r="63" spans="2:12" ht="15" customHeight="1" x14ac:dyDescent="0.25">
      <c r="B63" s="15"/>
      <c r="C63" s="12"/>
      <c r="D63" s="17"/>
      <c r="E63" s="17"/>
      <c r="F63" s="17"/>
      <c r="G63" s="17"/>
      <c r="H63" s="15"/>
      <c r="I63" s="17"/>
      <c r="J63" s="15"/>
      <c r="K63" s="17"/>
      <c r="L63" s="15"/>
    </row>
    <row r="64" spans="2:12" ht="15" customHeight="1" x14ac:dyDescent="0.25">
      <c r="B64" s="15"/>
      <c r="C64" s="12"/>
      <c r="D64" s="9"/>
      <c r="E64" s="15"/>
      <c r="F64" s="17"/>
      <c r="G64" s="17"/>
      <c r="H64" s="15"/>
      <c r="I64" s="17"/>
      <c r="J64" s="15"/>
      <c r="K64" s="9"/>
      <c r="L64" s="15"/>
    </row>
    <row r="65" spans="1:12" ht="15" customHeight="1" x14ac:dyDescent="0.25">
      <c r="B65" s="15"/>
      <c r="C65" s="15"/>
      <c r="D65" s="9"/>
      <c r="E65" s="17"/>
      <c r="F65" s="17"/>
      <c r="G65" s="17"/>
      <c r="H65" s="15"/>
      <c r="I65" s="17"/>
      <c r="J65" s="15"/>
      <c r="K65" s="17"/>
      <c r="L65" s="15"/>
    </row>
    <row r="66" spans="1:12" ht="15" customHeight="1" x14ac:dyDescent="0.25">
      <c r="B66" s="15"/>
      <c r="C66" s="12"/>
      <c r="D66" s="17"/>
      <c r="E66" s="17"/>
      <c r="F66" s="17"/>
      <c r="G66" s="17"/>
      <c r="H66" s="15"/>
      <c r="I66" s="17"/>
      <c r="J66" s="15"/>
      <c r="K66" s="17"/>
      <c r="L66" s="1"/>
    </row>
    <row r="67" spans="1:12" ht="15" customHeight="1" x14ac:dyDescent="0.25">
      <c r="B67" s="15"/>
      <c r="C67" s="12"/>
      <c r="D67" s="9"/>
      <c r="E67" s="17"/>
      <c r="F67" s="17"/>
      <c r="G67" s="17"/>
      <c r="H67" s="15"/>
      <c r="I67" s="17"/>
      <c r="J67" s="15"/>
      <c r="K67" s="9"/>
      <c r="L67" s="1"/>
    </row>
    <row r="68" spans="1:12" ht="15" customHeight="1" x14ac:dyDescent="0.25">
      <c r="B68" s="15"/>
      <c r="C68" s="12"/>
      <c r="D68" s="17"/>
      <c r="E68" s="17"/>
      <c r="F68" s="17"/>
      <c r="G68" s="17"/>
      <c r="H68" s="15"/>
      <c r="I68" s="17"/>
      <c r="J68" s="15"/>
      <c r="K68" s="17"/>
      <c r="L68" s="1"/>
    </row>
    <row r="69" spans="1:12" ht="15" customHeight="1" x14ac:dyDescent="0.25">
      <c r="B69" s="15"/>
      <c r="C69" s="12"/>
      <c r="D69" s="17"/>
      <c r="E69" s="17"/>
      <c r="F69" s="17"/>
      <c r="G69" s="17"/>
      <c r="H69" s="15"/>
      <c r="I69" s="17"/>
      <c r="J69" s="15"/>
      <c r="K69" s="17"/>
      <c r="L69" s="1"/>
    </row>
    <row r="70" spans="1:12" ht="15" customHeight="1" x14ac:dyDescent="0.25">
      <c r="A70" s="32"/>
      <c r="B70" s="32"/>
      <c r="C70" s="32"/>
      <c r="D70" s="32"/>
      <c r="E70" s="17"/>
      <c r="F70" s="17"/>
      <c r="G70" s="17"/>
      <c r="H70" s="25"/>
      <c r="I70" s="25"/>
      <c r="J70" s="15"/>
      <c r="K70" s="17"/>
      <c r="L70" s="1"/>
    </row>
    <row r="71" spans="1:12" ht="15" customHeight="1" x14ac:dyDescent="0.25">
      <c r="B71" s="15"/>
      <c r="C71" s="12"/>
      <c r="D71" s="17"/>
      <c r="E71" s="17"/>
      <c r="F71" s="17"/>
      <c r="G71" s="17"/>
      <c r="H71" s="15"/>
      <c r="I71" s="17"/>
      <c r="J71" s="15"/>
      <c r="K71" s="17"/>
      <c r="L71" s="1"/>
    </row>
    <row r="72" spans="1:12" ht="15" customHeight="1" x14ac:dyDescent="0.25">
      <c r="B72" s="15"/>
      <c r="C72" s="12"/>
      <c r="D72" s="17"/>
      <c r="E72" s="17"/>
      <c r="F72" s="17"/>
      <c r="G72" s="17"/>
      <c r="H72" s="15"/>
      <c r="I72" s="17"/>
      <c r="J72" s="15"/>
      <c r="K72" s="17"/>
      <c r="L72" s="1"/>
    </row>
    <row r="73" spans="1:12" ht="15" customHeight="1" x14ac:dyDescent="0.25">
      <c r="B73" s="15"/>
      <c r="C73" s="12"/>
      <c r="D73" s="17"/>
      <c r="E73" s="17"/>
      <c r="F73" s="17"/>
      <c r="G73" s="17"/>
      <c r="H73" s="15"/>
      <c r="I73" s="17"/>
      <c r="J73" s="15"/>
      <c r="K73" s="17"/>
      <c r="L73" s="1"/>
    </row>
    <row r="74" spans="1:12" ht="15" customHeight="1" x14ac:dyDescent="0.25">
      <c r="B74" s="15"/>
      <c r="C74" s="12"/>
      <c r="D74" s="17"/>
      <c r="E74" s="17"/>
      <c r="F74" s="17"/>
      <c r="G74" s="17"/>
      <c r="H74" s="15"/>
      <c r="I74" s="17"/>
      <c r="J74" s="15"/>
      <c r="K74" s="17"/>
      <c r="L74" s="1"/>
    </row>
    <row r="75" spans="1:12" ht="15" customHeight="1" x14ac:dyDescent="0.25">
      <c r="B75" s="15"/>
      <c r="C75" s="12"/>
      <c r="D75" s="17"/>
      <c r="E75" s="17"/>
      <c r="F75" s="17"/>
      <c r="G75" s="17"/>
      <c r="H75" s="15"/>
      <c r="I75" s="17"/>
      <c r="J75" s="15"/>
      <c r="K75" s="17"/>
      <c r="L75" s="1"/>
    </row>
    <row r="76" spans="1:12" ht="15" customHeight="1" x14ac:dyDescent="0.25">
      <c r="B76" s="15"/>
      <c r="C76" s="12"/>
      <c r="D76" s="17"/>
      <c r="E76" s="17"/>
      <c r="F76" s="17"/>
      <c r="G76" s="17"/>
      <c r="H76" s="15"/>
      <c r="I76" s="17"/>
      <c r="J76" s="17"/>
      <c r="K76" s="17"/>
      <c r="L76" s="1"/>
    </row>
    <row r="77" spans="1:12" ht="15" customHeight="1" x14ac:dyDescent="0.25">
      <c r="B77" s="15"/>
      <c r="C77" s="12"/>
      <c r="D77" s="17"/>
      <c r="E77" s="17"/>
      <c r="F77" s="17"/>
      <c r="G77" s="17"/>
      <c r="H77" s="15"/>
      <c r="I77" s="17"/>
      <c r="J77" s="17"/>
      <c r="K77" s="17"/>
      <c r="L77" s="1"/>
    </row>
    <row r="78" spans="1:12" ht="15" customHeight="1" x14ac:dyDescent="0.25">
      <c r="B78" s="15"/>
      <c r="C78" s="12"/>
      <c r="D78" s="17"/>
      <c r="E78" s="17"/>
      <c r="F78" s="17"/>
      <c r="G78" s="17"/>
      <c r="H78" s="15"/>
      <c r="I78" s="17"/>
      <c r="J78" s="17"/>
      <c r="K78" s="17"/>
      <c r="L78" s="1"/>
    </row>
    <row r="79" spans="1:12" ht="15" customHeight="1" x14ac:dyDescent="0.25">
      <c r="B79" s="15"/>
      <c r="C79" s="12"/>
      <c r="D79" s="17"/>
      <c r="E79" s="17"/>
      <c r="F79" s="17"/>
      <c r="G79" s="17"/>
      <c r="H79" s="15"/>
      <c r="I79" s="17"/>
      <c r="J79" s="17"/>
      <c r="K79" s="17"/>
      <c r="L79" s="1"/>
    </row>
    <row r="80" spans="1:12" ht="15" customHeight="1" x14ac:dyDescent="0.25">
      <c r="B80" s="15"/>
      <c r="C80" s="12"/>
      <c r="D80" s="17"/>
      <c r="E80" s="17"/>
      <c r="F80" s="17"/>
      <c r="G80" s="17"/>
      <c r="H80" s="15"/>
      <c r="I80" s="17"/>
      <c r="J80" s="17"/>
      <c r="K80" s="17"/>
      <c r="L80" s="1"/>
    </row>
    <row r="81" spans="2:12" ht="15" customHeight="1" x14ac:dyDescent="0.25">
      <c r="B81" s="15"/>
      <c r="C81" s="12"/>
      <c r="D81" s="17"/>
      <c r="E81" s="17"/>
      <c r="F81" s="17"/>
      <c r="G81" s="17"/>
      <c r="H81" s="15"/>
      <c r="I81" s="17"/>
      <c r="J81" s="17"/>
      <c r="K81" s="17"/>
      <c r="L81" s="1"/>
    </row>
    <row r="82" spans="2:12" ht="15" customHeight="1" x14ac:dyDescent="0.25">
      <c r="B82" s="15"/>
      <c r="C82" s="12"/>
      <c r="D82" s="17"/>
      <c r="E82" s="17"/>
      <c r="F82" s="17"/>
      <c r="G82" s="17"/>
      <c r="H82" s="15"/>
      <c r="I82" s="17"/>
      <c r="J82" s="17"/>
      <c r="K82" s="17"/>
      <c r="L82" s="1"/>
    </row>
    <row r="83" spans="2:12" ht="15" customHeight="1" x14ac:dyDescent="0.25">
      <c r="B83" s="15"/>
      <c r="C83" s="12"/>
      <c r="D83" s="17"/>
      <c r="E83" s="17"/>
      <c r="F83" s="17"/>
      <c r="G83" s="17"/>
      <c r="H83" s="15"/>
      <c r="I83" s="17"/>
      <c r="J83" s="17"/>
      <c r="K83" s="17"/>
      <c r="L83" s="1"/>
    </row>
    <row r="84" spans="2:12" ht="15" customHeight="1" x14ac:dyDescent="0.25">
      <c r="B84" s="15"/>
      <c r="C84" s="12"/>
      <c r="D84" s="17"/>
      <c r="E84" s="17"/>
      <c r="F84" s="17"/>
      <c r="G84" s="17"/>
      <c r="H84" s="15"/>
      <c r="I84" s="17"/>
      <c r="J84" s="17"/>
      <c r="K84" s="17"/>
      <c r="L84" s="1"/>
    </row>
    <row r="85" spans="2:12" ht="15" customHeight="1" x14ac:dyDescent="0.25">
      <c r="B85" s="15"/>
      <c r="C85" s="12"/>
      <c r="D85" s="15"/>
      <c r="E85" s="15"/>
      <c r="F85" s="15"/>
      <c r="G85" s="15"/>
      <c r="H85" s="15"/>
      <c r="I85" s="15"/>
      <c r="J85" s="15"/>
      <c r="K85" s="15"/>
      <c r="L85" s="1"/>
    </row>
    <row r="86" spans="2:12" ht="15" customHeight="1" x14ac:dyDescent="0.25">
      <c r="B86" s="15"/>
      <c r="C86" s="12"/>
      <c r="D86" s="15"/>
      <c r="E86" s="15"/>
      <c r="F86" s="15"/>
      <c r="G86" s="15"/>
      <c r="H86" s="15"/>
      <c r="I86" s="15"/>
      <c r="J86" s="15"/>
      <c r="K86" s="15"/>
      <c r="L86" s="1"/>
    </row>
    <row r="87" spans="2:12" ht="15" customHeight="1" x14ac:dyDescent="0.25">
      <c r="B87" s="15"/>
      <c r="C87" s="12"/>
      <c r="D87" s="15"/>
      <c r="E87" s="15"/>
      <c r="F87" s="15"/>
      <c r="G87" s="15"/>
      <c r="H87" s="15"/>
      <c r="I87" s="15"/>
      <c r="J87" s="15"/>
      <c r="K87" s="15"/>
      <c r="L87" s="1"/>
    </row>
    <row r="88" spans="2:12" ht="15" customHeight="1" x14ac:dyDescent="0.25">
      <c r="B88" s="15"/>
      <c r="C88" s="12"/>
      <c r="D88" s="15"/>
      <c r="E88" s="15"/>
      <c r="F88" s="15"/>
      <c r="G88" s="15"/>
      <c r="H88" s="15"/>
      <c r="I88" s="15"/>
      <c r="J88" s="15"/>
      <c r="K88" s="15"/>
      <c r="L88" s="1"/>
    </row>
    <row r="89" spans="2:12" ht="15" customHeight="1" x14ac:dyDescent="0.25">
      <c r="B89" s="15"/>
      <c r="C89" s="12"/>
      <c r="D89" s="15"/>
      <c r="E89" s="15"/>
      <c r="F89" s="15"/>
      <c r="G89" s="15"/>
      <c r="H89" s="15"/>
      <c r="I89" s="15"/>
      <c r="J89" s="15"/>
      <c r="K89" s="15"/>
      <c r="L89" s="1"/>
    </row>
    <row r="90" spans="2:12" ht="15" customHeight="1" x14ac:dyDescent="0.25">
      <c r="B90" s="15"/>
      <c r="C90" s="12"/>
      <c r="D90" s="15"/>
      <c r="E90" s="15"/>
      <c r="F90" s="15"/>
      <c r="G90" s="15"/>
      <c r="H90" s="15"/>
      <c r="I90" s="15"/>
      <c r="J90" s="15"/>
      <c r="K90" s="15"/>
      <c r="L90" s="1"/>
    </row>
    <row r="91" spans="2:12" ht="15" customHeight="1" x14ac:dyDescent="0.25">
      <c r="B91" s="15"/>
      <c r="C91" s="12"/>
      <c r="D91" s="15"/>
      <c r="E91" s="15"/>
      <c r="F91" s="15"/>
      <c r="G91" s="15"/>
      <c r="H91" s="15"/>
      <c r="I91" s="15"/>
      <c r="J91" s="15"/>
      <c r="K91" s="15"/>
      <c r="L91" s="1"/>
    </row>
    <row r="92" spans="2:12" ht="15" customHeight="1" x14ac:dyDescent="0.25">
      <c r="B92" s="15"/>
      <c r="C92" s="12"/>
      <c r="D92" s="15"/>
      <c r="E92" s="15"/>
      <c r="F92" s="15"/>
      <c r="G92" s="15"/>
      <c r="H92" s="15"/>
      <c r="I92" s="15"/>
      <c r="J92" s="15"/>
      <c r="K92" s="15"/>
      <c r="L92" s="1"/>
    </row>
    <row r="93" spans="2:12" ht="15" customHeight="1" x14ac:dyDescent="0.25">
      <c r="B93" s="15"/>
      <c r="C93" s="12"/>
      <c r="D93" s="15"/>
      <c r="E93" s="15"/>
      <c r="F93" s="15"/>
      <c r="G93" s="15"/>
      <c r="H93" s="15"/>
      <c r="I93" s="15"/>
      <c r="J93" s="15"/>
      <c r="K93" s="15"/>
      <c r="L93" s="1"/>
    </row>
    <row r="94" spans="2:12" ht="15" customHeight="1" x14ac:dyDescent="0.25">
      <c r="B94" s="15"/>
      <c r="C94" s="12"/>
      <c r="D94" s="15"/>
      <c r="E94" s="15"/>
      <c r="F94" s="15"/>
      <c r="G94" s="15"/>
      <c r="H94" s="15"/>
      <c r="I94" s="15"/>
      <c r="J94" s="15"/>
      <c r="K94" s="15"/>
      <c r="L94" s="1"/>
    </row>
    <row r="95" spans="2:12" ht="15" customHeight="1" x14ac:dyDescent="0.25">
      <c r="B95" s="15"/>
      <c r="C95" s="12"/>
      <c r="D95" s="15"/>
      <c r="E95" s="15"/>
      <c r="F95" s="15"/>
      <c r="G95" s="15"/>
      <c r="H95" s="15"/>
      <c r="I95" s="15"/>
      <c r="J95" s="15"/>
      <c r="K95" s="15"/>
      <c r="L95" s="1"/>
    </row>
    <row r="96" spans="2:12" ht="15" customHeight="1" x14ac:dyDescent="0.25">
      <c r="B96" s="15"/>
      <c r="C96" s="12"/>
      <c r="D96" s="15"/>
      <c r="E96" s="15"/>
      <c r="F96" s="15"/>
      <c r="G96" s="15"/>
      <c r="H96" s="15"/>
      <c r="I96" s="15"/>
      <c r="J96" s="15"/>
      <c r="K96" s="15"/>
      <c r="L96" s="1"/>
    </row>
    <row r="97" spans="2:12" ht="15" customHeight="1" x14ac:dyDescent="0.25">
      <c r="B97" s="15"/>
      <c r="C97" s="12"/>
      <c r="D97" s="15"/>
      <c r="E97" s="15"/>
      <c r="F97" s="15"/>
      <c r="G97" s="15"/>
      <c r="H97" s="15"/>
      <c r="I97" s="15"/>
      <c r="J97" s="15"/>
      <c r="K97" s="15"/>
      <c r="L97" s="1"/>
    </row>
    <row r="98" spans="2:12" ht="15" customHeight="1" x14ac:dyDescent="0.25">
      <c r="B98" s="15"/>
      <c r="C98" s="12"/>
      <c r="D98" s="15"/>
      <c r="E98" s="15"/>
      <c r="F98" s="15"/>
      <c r="G98" s="15"/>
      <c r="H98" s="15"/>
      <c r="I98" s="15"/>
      <c r="J98" s="15"/>
      <c r="K98" s="15"/>
      <c r="L98" s="1"/>
    </row>
    <row r="99" spans="2:12" ht="15" customHeight="1" x14ac:dyDescent="0.25">
      <c r="C99" s="7"/>
      <c r="H99" s="3"/>
      <c r="L99" s="1"/>
    </row>
    <row r="100" spans="2:12" ht="15" customHeight="1" x14ac:dyDescent="0.25">
      <c r="C100" s="7"/>
      <c r="H100" s="3"/>
      <c r="L100" s="1"/>
    </row>
    <row r="101" spans="2:12" ht="15" customHeight="1" x14ac:dyDescent="0.25">
      <c r="C101" s="7"/>
      <c r="H101" s="3"/>
      <c r="L101" s="1"/>
    </row>
    <row r="102" spans="2:12" ht="15" customHeight="1" x14ac:dyDescent="0.25">
      <c r="C102" s="7"/>
      <c r="H102" s="3"/>
      <c r="L102" s="1"/>
    </row>
    <row r="103" spans="2:12" ht="15" customHeight="1" x14ac:dyDescent="0.25">
      <c r="C103" s="7"/>
      <c r="H103" s="3"/>
      <c r="L103" s="1"/>
    </row>
    <row r="104" spans="2:12" ht="15" customHeight="1" x14ac:dyDescent="0.25">
      <c r="C104" s="7"/>
      <c r="H104" s="3"/>
      <c r="L104" s="1"/>
    </row>
    <row r="105" spans="2:12" ht="15" customHeight="1" x14ac:dyDescent="0.25">
      <c r="C105" s="7"/>
      <c r="H105" s="3"/>
      <c r="L105" s="1"/>
    </row>
    <row r="106" spans="2:12" ht="15" customHeight="1" x14ac:dyDescent="0.25">
      <c r="C106" s="7"/>
      <c r="L106" s="1"/>
    </row>
    <row r="107" spans="2:12" ht="15" customHeight="1" x14ac:dyDescent="0.25">
      <c r="C107" s="7"/>
      <c r="L107" s="1"/>
    </row>
    <row r="108" spans="2:12" ht="15" customHeight="1" x14ac:dyDescent="0.25">
      <c r="C108" s="7"/>
    </row>
    <row r="109" spans="2:12" ht="15" customHeight="1" x14ac:dyDescent="0.25">
      <c r="C109" s="7"/>
    </row>
    <row r="110" spans="2:12" ht="15" customHeight="1" x14ac:dyDescent="0.25">
      <c r="C110" s="7"/>
    </row>
    <row r="111" spans="2:12" ht="15" customHeight="1" x14ac:dyDescent="0.25">
      <c r="C111" s="7"/>
    </row>
    <row r="112" spans="2:12" ht="15" customHeight="1" x14ac:dyDescent="0.25">
      <c r="C112" s="7"/>
    </row>
    <row r="113" spans="3:3" ht="15" customHeight="1" x14ac:dyDescent="0.25">
      <c r="C113" s="7"/>
    </row>
    <row r="114" spans="3:3" ht="15" customHeight="1" x14ac:dyDescent="0.25">
      <c r="C114" s="7"/>
    </row>
    <row r="115" spans="3:3" ht="15" customHeight="1" x14ac:dyDescent="0.25">
      <c r="C115" s="7"/>
    </row>
    <row r="116" spans="3:3" ht="15" customHeight="1" x14ac:dyDescent="0.25">
      <c r="C116" s="7"/>
    </row>
    <row r="117" spans="3:3" ht="15" customHeight="1" x14ac:dyDescent="0.25">
      <c r="C117" s="7"/>
    </row>
    <row r="118" spans="3:3" ht="15" customHeight="1" x14ac:dyDescent="0.25">
      <c r="C118" s="7"/>
    </row>
    <row r="119" spans="3:3" ht="15" customHeight="1" x14ac:dyDescent="0.25">
      <c r="C119" s="7"/>
    </row>
    <row r="120" spans="3:3" ht="15" customHeight="1" x14ac:dyDescent="0.25">
      <c r="C120" s="7"/>
    </row>
    <row r="121" spans="3:3" ht="15" customHeight="1" x14ac:dyDescent="0.25">
      <c r="C121" s="7"/>
    </row>
    <row r="122" spans="3:3" ht="15" customHeight="1" x14ac:dyDescent="0.25">
      <c r="C122" s="7"/>
    </row>
    <row r="123" spans="3:3" ht="15" customHeight="1" x14ac:dyDescent="0.25">
      <c r="C123" s="7"/>
    </row>
    <row r="124" spans="3:3" ht="15" customHeight="1" x14ac:dyDescent="0.25">
      <c r="C124" s="7"/>
    </row>
    <row r="125" spans="3:3" ht="15" customHeight="1" x14ac:dyDescent="0.25">
      <c r="C125" s="7"/>
    </row>
    <row r="126" spans="3:3" ht="15" customHeight="1" x14ac:dyDescent="0.25">
      <c r="C126" s="7"/>
    </row>
    <row r="127" spans="3:3" ht="15" customHeight="1" x14ac:dyDescent="0.25">
      <c r="C127" s="7"/>
    </row>
    <row r="128" spans="3:3" ht="15" customHeight="1" x14ac:dyDescent="0.25">
      <c r="C128" s="5"/>
    </row>
    <row r="129" spans="3:3" ht="15" customHeight="1" x14ac:dyDescent="0.25">
      <c r="C129" s="5"/>
    </row>
    <row r="130" spans="3:3" ht="15" customHeight="1" x14ac:dyDescent="0.25">
      <c r="C130" s="5"/>
    </row>
    <row r="131" spans="3:3" ht="15" customHeight="1" x14ac:dyDescent="0.25">
      <c r="C131" s="5"/>
    </row>
    <row r="132" spans="3:3" ht="15" customHeight="1" x14ac:dyDescent="0.25">
      <c r="C132" s="5"/>
    </row>
    <row r="133" spans="3:3" ht="15" customHeight="1" x14ac:dyDescent="0.25">
      <c r="C133" s="5"/>
    </row>
    <row r="134" spans="3:3" ht="15" customHeight="1" x14ac:dyDescent="0.25">
      <c r="C134" s="5"/>
    </row>
    <row r="135" spans="3:3" ht="15" customHeight="1" x14ac:dyDescent="0.25">
      <c r="C135" s="5"/>
    </row>
    <row r="136" spans="3:3" ht="15" customHeight="1" x14ac:dyDescent="0.25">
      <c r="C136" s="5"/>
    </row>
    <row r="137" spans="3:3" ht="15" customHeight="1" x14ac:dyDescent="0.25">
      <c r="C137" s="5"/>
    </row>
    <row r="138" spans="3:3" ht="15" customHeight="1" x14ac:dyDescent="0.25">
      <c r="C138" s="5"/>
    </row>
    <row r="139" spans="3:3" ht="15" customHeight="1" x14ac:dyDescent="0.25">
      <c r="C139" s="5"/>
    </row>
    <row r="140" spans="3:3" ht="15" customHeight="1" x14ac:dyDescent="0.25">
      <c r="C140" s="5"/>
    </row>
    <row r="141" spans="3:3" ht="15" customHeight="1" x14ac:dyDescent="0.25">
      <c r="C141" s="5"/>
    </row>
    <row r="142" spans="3:3" ht="15" customHeight="1" x14ac:dyDescent="0.25">
      <c r="C142" s="5"/>
    </row>
    <row r="143" spans="3:3" ht="15" customHeight="1" x14ac:dyDescent="0.25">
      <c r="C143" s="5"/>
    </row>
    <row r="144" spans="3:3" ht="15" customHeight="1" x14ac:dyDescent="0.25">
      <c r="C144" s="5"/>
    </row>
    <row r="145" spans="3:3" ht="15" customHeight="1" x14ac:dyDescent="0.25">
      <c r="C145" s="5"/>
    </row>
    <row r="146" spans="3:3" ht="15" customHeight="1" x14ac:dyDescent="0.25">
      <c r="C146" s="5"/>
    </row>
    <row r="147" spans="3:3" ht="15" customHeight="1" x14ac:dyDescent="0.25">
      <c r="C147" s="5"/>
    </row>
    <row r="148" spans="3:3" ht="15" customHeight="1" x14ac:dyDescent="0.25">
      <c r="C148" s="5"/>
    </row>
    <row r="149" spans="3:3" ht="15" customHeight="1" x14ac:dyDescent="0.25">
      <c r="C149" s="5"/>
    </row>
    <row r="150" spans="3:3" ht="15" customHeight="1" x14ac:dyDescent="0.25">
      <c r="C150" s="5"/>
    </row>
    <row r="151" spans="3:3" ht="15" customHeight="1" x14ac:dyDescent="0.25">
      <c r="C151" s="5"/>
    </row>
    <row r="152" spans="3:3" ht="15" customHeight="1" x14ac:dyDescent="0.25">
      <c r="C152" s="5"/>
    </row>
    <row r="153" spans="3:3" ht="15" customHeight="1" x14ac:dyDescent="0.25">
      <c r="C153" s="5"/>
    </row>
    <row r="154" spans="3:3" ht="15" customHeight="1" x14ac:dyDescent="0.25">
      <c r="C154" s="5"/>
    </row>
    <row r="155" spans="3:3" ht="15" customHeight="1" x14ac:dyDescent="0.25">
      <c r="C155" s="5"/>
    </row>
    <row r="156" spans="3:3" ht="15" customHeight="1" x14ac:dyDescent="0.25">
      <c r="C156" s="5"/>
    </row>
    <row r="157" spans="3:3" ht="15" customHeight="1" x14ac:dyDescent="0.25">
      <c r="C157" s="5"/>
    </row>
    <row r="158" spans="3:3" ht="15" customHeight="1" x14ac:dyDescent="0.25">
      <c r="C158" s="5"/>
    </row>
    <row r="159" spans="3:3" ht="15" customHeight="1" x14ac:dyDescent="0.25">
      <c r="C159" s="5"/>
    </row>
    <row r="160" spans="3:3" ht="15" customHeight="1" x14ac:dyDescent="0.25">
      <c r="C160" s="5"/>
    </row>
  </sheetData>
  <mergeCells count="15">
    <mergeCell ref="A3:K3"/>
    <mergeCell ref="A4:A5"/>
    <mergeCell ref="B4:D4"/>
    <mergeCell ref="E4:G4"/>
    <mergeCell ref="H4:I4"/>
    <mergeCell ref="J4:K4"/>
    <mergeCell ref="I44:K44"/>
    <mergeCell ref="I45:K45"/>
    <mergeCell ref="I46:K46"/>
    <mergeCell ref="A36:D36"/>
    <mergeCell ref="I39:K39"/>
    <mergeCell ref="I40:K40"/>
    <mergeCell ref="I41:K41"/>
    <mergeCell ref="I42:K42"/>
    <mergeCell ref="I43:K43"/>
  </mergeCells>
  <pageMargins left="0.31496062992125984" right="0.31496062992125984" top="0.35433070866141736" bottom="0.74803149606299213" header="0.31496062992125984" footer="0.31496062992125984"/>
  <pageSetup paperSize="5" scale="95" orientation="landscape" horizontalDpi="4294967293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L160"/>
  <sheetViews>
    <sheetView topLeftCell="A28" zoomScaleNormal="100" zoomScalePageLayoutView="85" workbookViewId="0">
      <selection activeCell="L22" sqref="L22"/>
    </sheetView>
  </sheetViews>
  <sheetFormatPr defaultRowHeight="15" customHeight="1" x14ac:dyDescent="0.25"/>
  <cols>
    <col min="1" max="1" width="12" customWidth="1"/>
    <col min="2" max="2" width="10.28515625" customWidth="1"/>
    <col min="3" max="3" width="14.28515625" customWidth="1"/>
    <col min="4" max="4" width="17.28515625" customWidth="1"/>
    <col min="5" max="5" width="8.5703125" customWidth="1"/>
    <col min="6" max="6" width="13.28515625" customWidth="1"/>
    <col min="7" max="7" width="16.85546875" customWidth="1"/>
    <col min="8" max="8" width="11.42578125" bestFit="1" customWidth="1"/>
    <col min="9" max="9" width="18.28515625" customWidth="1"/>
    <col min="10" max="10" width="11.5703125" customWidth="1"/>
    <col min="11" max="11" width="18" customWidth="1"/>
    <col min="12" max="12" width="22" customWidth="1"/>
  </cols>
  <sheetData>
    <row r="1" spans="1:12" s="95" customFormat="1" ht="15" customHeight="1" x14ac:dyDescent="0.25">
      <c r="A1" s="116" t="s">
        <v>12</v>
      </c>
    </row>
    <row r="2" spans="1:12" s="95" customFormat="1" ht="15" customHeight="1" x14ac:dyDescent="0.25">
      <c r="A2" s="116" t="s">
        <v>108</v>
      </c>
    </row>
    <row r="3" spans="1:12" s="95" customFormat="1" ht="23.25" customHeight="1" x14ac:dyDescent="0.25">
      <c r="A3" s="475" t="s">
        <v>23</v>
      </c>
      <c r="B3" s="475"/>
      <c r="C3" s="475"/>
      <c r="D3" s="475"/>
      <c r="E3" s="475"/>
      <c r="F3" s="475"/>
      <c r="G3" s="475"/>
      <c r="H3" s="475"/>
      <c r="I3" s="475"/>
      <c r="J3" s="475"/>
      <c r="K3" s="475"/>
    </row>
    <row r="4" spans="1:12" ht="18.75" customHeight="1" x14ac:dyDescent="0.25">
      <c r="A4" s="476" t="s">
        <v>0</v>
      </c>
      <c r="B4" s="476" t="s">
        <v>7</v>
      </c>
      <c r="C4" s="476"/>
      <c r="D4" s="476"/>
      <c r="E4" s="476" t="s">
        <v>5</v>
      </c>
      <c r="F4" s="476"/>
      <c r="G4" s="476"/>
      <c r="H4" s="476" t="s">
        <v>4</v>
      </c>
      <c r="I4" s="476"/>
      <c r="J4" s="476" t="s">
        <v>6</v>
      </c>
      <c r="K4" s="476"/>
    </row>
    <row r="5" spans="1:12" ht="21" customHeight="1" x14ac:dyDescent="0.25">
      <c r="A5" s="476"/>
      <c r="B5" s="28" t="s">
        <v>8</v>
      </c>
      <c r="C5" s="28" t="s">
        <v>14</v>
      </c>
      <c r="D5" s="28" t="s">
        <v>13</v>
      </c>
      <c r="E5" s="28" t="s">
        <v>8</v>
      </c>
      <c r="F5" s="28" t="s">
        <v>14</v>
      </c>
      <c r="G5" s="28" t="s">
        <v>10</v>
      </c>
      <c r="H5" s="28" t="s">
        <v>8</v>
      </c>
      <c r="I5" s="28" t="s">
        <v>13</v>
      </c>
      <c r="J5" s="28" t="s">
        <v>8</v>
      </c>
      <c r="K5" s="28" t="s">
        <v>15</v>
      </c>
    </row>
    <row r="6" spans="1:12" ht="11.25" customHeight="1" x14ac:dyDescent="0.25">
      <c r="A6" s="29"/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12" ht="15" customHeight="1" x14ac:dyDescent="0.25">
      <c r="A7" s="40" t="s">
        <v>1</v>
      </c>
      <c r="B7" s="35"/>
      <c r="C7" s="27"/>
      <c r="D7" s="27">
        <f>B7*C7</f>
        <v>0</v>
      </c>
      <c r="E7" s="36"/>
      <c r="F7" s="27"/>
      <c r="G7" s="27">
        <f>E7*F7</f>
        <v>0</v>
      </c>
      <c r="H7" s="36"/>
      <c r="I7" s="27">
        <f>H7*C7</f>
        <v>0</v>
      </c>
      <c r="J7" s="26">
        <f>B7+E7-H7</f>
        <v>0</v>
      </c>
      <c r="K7" s="27">
        <f>D7+G7-I7</f>
        <v>0</v>
      </c>
    </row>
    <row r="8" spans="1:12" ht="15" customHeight="1" x14ac:dyDescent="0.25">
      <c r="A8" s="40"/>
      <c r="B8" s="35"/>
      <c r="C8" s="27"/>
      <c r="D8" s="27">
        <f>B8*C8</f>
        <v>0</v>
      </c>
      <c r="E8" s="44"/>
      <c r="F8" s="43"/>
      <c r="G8" s="43"/>
      <c r="H8" s="36"/>
      <c r="I8" s="27">
        <f>H8*C8</f>
        <v>0</v>
      </c>
      <c r="J8" s="26">
        <f t="shared" ref="J8:J19" si="0">B8+E8-H8</f>
        <v>0</v>
      </c>
      <c r="K8" s="27">
        <f>D8+G8-I8</f>
        <v>0</v>
      </c>
      <c r="L8" s="15"/>
    </row>
    <row r="9" spans="1:12" ht="15" customHeight="1" x14ac:dyDescent="0.25">
      <c r="A9" s="40" t="s">
        <v>21</v>
      </c>
      <c r="B9" s="35"/>
      <c r="C9" s="27"/>
      <c r="D9" s="43">
        <f>B9*C9</f>
        <v>0</v>
      </c>
      <c r="E9" s="44"/>
      <c r="F9" s="43"/>
      <c r="G9" s="43">
        <f>E9*F9</f>
        <v>0</v>
      </c>
      <c r="H9" s="36"/>
      <c r="I9" s="27">
        <f>H9*C9</f>
        <v>0</v>
      </c>
      <c r="J9" s="26">
        <f t="shared" si="0"/>
        <v>0</v>
      </c>
      <c r="K9" s="27">
        <f>J9*C9</f>
        <v>0</v>
      </c>
      <c r="L9" s="15"/>
    </row>
    <row r="10" spans="1:12" ht="15" customHeight="1" x14ac:dyDescent="0.25">
      <c r="A10" s="40"/>
      <c r="B10" s="35"/>
      <c r="C10" s="27"/>
      <c r="D10" s="43"/>
      <c r="E10" s="44"/>
      <c r="F10" s="43"/>
      <c r="G10" s="43">
        <f>E10*F10</f>
        <v>0</v>
      </c>
      <c r="H10" s="36"/>
      <c r="I10" s="27"/>
      <c r="J10" s="26">
        <f t="shared" si="0"/>
        <v>0</v>
      </c>
      <c r="K10" s="27">
        <f>J10*F10</f>
        <v>0</v>
      </c>
      <c r="L10" s="15"/>
    </row>
    <row r="11" spans="1:12" ht="15" customHeight="1" x14ac:dyDescent="0.25">
      <c r="A11" s="40" t="s">
        <v>22</v>
      </c>
      <c r="B11" s="35"/>
      <c r="C11" s="27"/>
      <c r="D11" s="43">
        <f>B11*C11</f>
        <v>0</v>
      </c>
      <c r="E11" s="44"/>
      <c r="F11" s="43"/>
      <c r="G11" s="43"/>
      <c r="H11" s="36"/>
      <c r="I11" s="27">
        <f>H11*C11</f>
        <v>0</v>
      </c>
      <c r="J11" s="26">
        <f t="shared" si="0"/>
        <v>0</v>
      </c>
      <c r="K11" s="27">
        <f>J11*C11</f>
        <v>0</v>
      </c>
      <c r="L11" s="15"/>
    </row>
    <row r="12" spans="1:12" ht="15" customHeight="1" x14ac:dyDescent="0.25">
      <c r="A12" s="40"/>
      <c r="B12" s="42"/>
      <c r="C12" s="27"/>
      <c r="D12" s="43"/>
      <c r="E12" s="44"/>
      <c r="F12" s="43"/>
      <c r="G12" s="43">
        <f>E12*F12</f>
        <v>0</v>
      </c>
      <c r="H12" s="36"/>
      <c r="I12" s="27"/>
      <c r="J12" s="26">
        <f t="shared" si="0"/>
        <v>0</v>
      </c>
      <c r="K12" s="27">
        <f>J12*F12</f>
        <v>0</v>
      </c>
      <c r="L12" s="15"/>
    </row>
    <row r="13" spans="1:12" ht="15" customHeight="1" x14ac:dyDescent="0.25">
      <c r="A13" s="40"/>
      <c r="B13" s="42"/>
      <c r="C13" s="27"/>
      <c r="D13" s="43"/>
      <c r="E13" s="44"/>
      <c r="F13" s="43"/>
      <c r="G13" s="43"/>
      <c r="H13" s="36"/>
      <c r="I13" s="27"/>
      <c r="J13" s="131">
        <f>SUM(J11:J12)</f>
        <v>0</v>
      </c>
      <c r="K13" s="132">
        <f>SUM(K11:K12)</f>
        <v>0</v>
      </c>
      <c r="L13" s="15"/>
    </row>
    <row r="14" spans="1:12" ht="15" customHeight="1" x14ac:dyDescent="0.25">
      <c r="A14" s="40"/>
      <c r="B14" s="42"/>
      <c r="C14" s="27"/>
      <c r="D14" s="43"/>
      <c r="E14" s="44"/>
      <c r="F14" s="43"/>
      <c r="G14" s="43"/>
      <c r="H14" s="36"/>
      <c r="I14" s="27"/>
      <c r="J14" s="26"/>
      <c r="K14" s="27"/>
      <c r="L14" s="15"/>
    </row>
    <row r="15" spans="1:12" ht="15" customHeight="1" x14ac:dyDescent="0.25">
      <c r="A15" s="40"/>
      <c r="B15" s="42"/>
      <c r="C15" s="27"/>
      <c r="D15" s="43"/>
      <c r="E15" s="44"/>
      <c r="F15" s="43"/>
      <c r="G15" s="43"/>
      <c r="H15" s="36"/>
      <c r="I15" s="27"/>
      <c r="J15" s="26"/>
      <c r="K15" s="27"/>
      <c r="L15" s="15"/>
    </row>
    <row r="16" spans="1:12" ht="15" customHeight="1" x14ac:dyDescent="0.25">
      <c r="A16" s="40"/>
      <c r="B16" s="42"/>
      <c r="C16" s="27"/>
      <c r="D16" s="43"/>
      <c r="E16" s="44"/>
      <c r="F16" s="43"/>
      <c r="G16" s="43"/>
      <c r="H16" s="36"/>
      <c r="I16" s="27"/>
      <c r="J16" s="26"/>
      <c r="K16" s="27"/>
      <c r="L16" s="15"/>
    </row>
    <row r="17" spans="1:12" ht="14.25" customHeight="1" x14ac:dyDescent="0.25">
      <c r="A17" s="40"/>
      <c r="B17" s="42"/>
      <c r="C17" s="27"/>
      <c r="D17" s="43"/>
      <c r="E17" s="44"/>
      <c r="F17" s="43"/>
      <c r="G17" s="43"/>
      <c r="H17" s="36"/>
      <c r="I17" s="27"/>
      <c r="J17" s="26">
        <f t="shared" si="0"/>
        <v>0</v>
      </c>
      <c r="K17" s="27"/>
      <c r="L17" s="15"/>
    </row>
    <row r="18" spans="1:12" ht="15" customHeight="1" x14ac:dyDescent="0.25">
      <c r="A18" s="40" t="s">
        <v>24</v>
      </c>
      <c r="B18" s="42"/>
      <c r="C18" s="27"/>
      <c r="D18" s="43">
        <f>B18*C18</f>
        <v>0</v>
      </c>
      <c r="E18" s="421"/>
      <c r="F18" s="422"/>
      <c r="G18" s="422">
        <f>E18*F18</f>
        <v>0</v>
      </c>
      <c r="H18" s="36"/>
      <c r="I18" s="27">
        <f>H18*C18</f>
        <v>0</v>
      </c>
      <c r="J18" s="26">
        <f t="shared" si="0"/>
        <v>0</v>
      </c>
      <c r="K18" s="27">
        <f>J18*C18</f>
        <v>0</v>
      </c>
      <c r="L18" s="15"/>
    </row>
    <row r="19" spans="1:12" ht="15" customHeight="1" x14ac:dyDescent="0.25">
      <c r="A19" s="40"/>
      <c r="B19" s="351"/>
      <c r="C19" s="27"/>
      <c r="D19" s="43">
        <f>B19*C19</f>
        <v>0</v>
      </c>
      <c r="E19" s="44"/>
      <c r="F19" s="43"/>
      <c r="G19" s="43">
        <v>0</v>
      </c>
      <c r="H19" s="36"/>
      <c r="I19" s="27">
        <v>0</v>
      </c>
      <c r="J19" s="353">
        <f t="shared" si="0"/>
        <v>0</v>
      </c>
      <c r="K19" s="352">
        <f>J19*C19</f>
        <v>0</v>
      </c>
      <c r="L19" s="15">
        <f>J19*C19</f>
        <v>0</v>
      </c>
    </row>
    <row r="20" spans="1:12" ht="15" customHeight="1" x14ac:dyDescent="0.25">
      <c r="A20" s="40"/>
      <c r="B20" s="42"/>
      <c r="C20" s="42"/>
      <c r="D20" s="43">
        <f>B20*C20</f>
        <v>0</v>
      </c>
      <c r="E20" s="44"/>
      <c r="F20" s="43"/>
      <c r="G20" s="43">
        <f>E20*F20</f>
        <v>0</v>
      </c>
      <c r="H20" s="36"/>
      <c r="I20" s="27">
        <f>H20*C20:C20</f>
        <v>0</v>
      </c>
      <c r="J20" s="26">
        <f>SUM(J18:J19)</f>
        <v>0</v>
      </c>
      <c r="K20" s="27">
        <f>SUM(K18:K19)</f>
        <v>0</v>
      </c>
      <c r="L20" s="15">
        <f>J20*C20</f>
        <v>0</v>
      </c>
    </row>
    <row r="21" spans="1:12" ht="15" customHeight="1" x14ac:dyDescent="0.25">
      <c r="A21" s="40"/>
      <c r="B21" s="42"/>
      <c r="C21" s="42"/>
      <c r="D21" s="43"/>
      <c r="E21" s="44"/>
      <c r="F21" s="43"/>
      <c r="G21" s="43"/>
      <c r="H21" s="36"/>
      <c r="I21" s="27"/>
      <c r="J21" s="26"/>
      <c r="K21" s="27"/>
      <c r="L21" s="15"/>
    </row>
    <row r="22" spans="1:12" ht="15" customHeight="1" x14ac:dyDescent="0.25">
      <c r="A22" s="40" t="s">
        <v>28</v>
      </c>
      <c r="B22" s="42"/>
      <c r="C22" s="42"/>
      <c r="D22" s="43">
        <f>B22*C22</f>
        <v>0</v>
      </c>
      <c r="E22" s="44"/>
      <c r="F22" s="43"/>
      <c r="G22" s="43"/>
      <c r="H22" s="36"/>
      <c r="I22" s="27">
        <f>H22*C22</f>
        <v>0</v>
      </c>
      <c r="J22" s="26">
        <f>B22-H22</f>
        <v>0</v>
      </c>
      <c r="K22" s="27">
        <f>J22*C22</f>
        <v>0</v>
      </c>
      <c r="L22" s="15"/>
    </row>
    <row r="23" spans="1:12" ht="15" customHeight="1" x14ac:dyDescent="0.25">
      <c r="A23" s="40"/>
      <c r="B23" s="42"/>
      <c r="C23" s="42"/>
      <c r="D23" s="43">
        <f>B23*C23</f>
        <v>0</v>
      </c>
      <c r="E23" s="44"/>
      <c r="F23" s="43"/>
      <c r="G23" s="43"/>
      <c r="H23" s="42"/>
      <c r="I23" s="27">
        <f t="shared" ref="I23:I31" si="1">H23*C23</f>
        <v>0</v>
      </c>
      <c r="J23" s="26">
        <f>B23-H23</f>
        <v>0</v>
      </c>
      <c r="K23" s="27">
        <f>J23*C23</f>
        <v>0</v>
      </c>
      <c r="L23" s="15"/>
    </row>
    <row r="24" spans="1:12" ht="15" customHeight="1" x14ac:dyDescent="0.25">
      <c r="A24" s="40"/>
      <c r="B24" s="42"/>
      <c r="C24" s="42"/>
      <c r="D24" s="43"/>
      <c r="E24" s="44"/>
      <c r="F24" s="43"/>
      <c r="G24" s="43"/>
      <c r="H24" s="42"/>
      <c r="I24" s="27"/>
      <c r="J24" s="131">
        <f>SUM(J22:J23)</f>
        <v>0</v>
      </c>
      <c r="K24" s="132">
        <f>SUM(K22:K23)</f>
        <v>0</v>
      </c>
      <c r="L24" s="15">
        <f>J24*C24</f>
        <v>0</v>
      </c>
    </row>
    <row r="25" spans="1:12" ht="15" customHeight="1" x14ac:dyDescent="0.25">
      <c r="A25" s="40"/>
      <c r="B25" s="42"/>
      <c r="C25" s="42"/>
      <c r="D25" s="43">
        <f t="shared" ref="D25:D34" si="2">B25*C25</f>
        <v>0</v>
      </c>
      <c r="E25" s="44"/>
      <c r="F25" s="43"/>
      <c r="G25" s="43">
        <f t="shared" ref="G25:G35" si="3">E25*F25</f>
        <v>0</v>
      </c>
      <c r="H25" s="42"/>
      <c r="I25" s="27">
        <f t="shared" si="1"/>
        <v>0</v>
      </c>
      <c r="J25" s="26">
        <f t="shared" ref="J25:J28" si="4">B25-H25</f>
        <v>0</v>
      </c>
      <c r="K25" s="27">
        <f t="shared" ref="K25:K29" si="5">J25*C25</f>
        <v>0</v>
      </c>
      <c r="L25" s="15"/>
    </row>
    <row r="26" spans="1:12" ht="15" customHeight="1" x14ac:dyDescent="0.25">
      <c r="A26" s="40" t="s">
        <v>31</v>
      </c>
      <c r="B26" s="42"/>
      <c r="C26" s="42"/>
      <c r="D26" s="43">
        <f t="shared" si="2"/>
        <v>0</v>
      </c>
      <c r="E26" s="44"/>
      <c r="F26" s="43"/>
      <c r="G26" s="43">
        <f t="shared" si="3"/>
        <v>0</v>
      </c>
      <c r="H26" s="42"/>
      <c r="I26" s="27">
        <f t="shared" si="1"/>
        <v>0</v>
      </c>
      <c r="J26" s="26">
        <f t="shared" si="4"/>
        <v>0</v>
      </c>
      <c r="K26" s="27">
        <f t="shared" si="5"/>
        <v>0</v>
      </c>
      <c r="L26" s="15">
        <f>J26*F26</f>
        <v>0</v>
      </c>
    </row>
    <row r="27" spans="1:12" ht="15" customHeight="1" x14ac:dyDescent="0.25">
      <c r="A27" s="40"/>
      <c r="B27" s="42"/>
      <c r="C27" s="42"/>
      <c r="D27" s="43">
        <f t="shared" si="2"/>
        <v>0</v>
      </c>
      <c r="E27" s="44"/>
      <c r="F27" s="43"/>
      <c r="G27" s="43">
        <f t="shared" si="3"/>
        <v>0</v>
      </c>
      <c r="H27" s="42"/>
      <c r="I27" s="27">
        <f t="shared" si="1"/>
        <v>0</v>
      </c>
      <c r="J27" s="26">
        <f t="shared" si="4"/>
        <v>0</v>
      </c>
      <c r="K27" s="27">
        <f t="shared" si="5"/>
        <v>0</v>
      </c>
      <c r="L27" s="15"/>
    </row>
    <row r="28" spans="1:12" ht="15" customHeight="1" x14ac:dyDescent="0.25">
      <c r="A28" s="40" t="s">
        <v>104</v>
      </c>
      <c r="B28" s="42"/>
      <c r="C28" s="42"/>
      <c r="D28" s="43">
        <f t="shared" si="2"/>
        <v>0</v>
      </c>
      <c r="E28" s="44"/>
      <c r="F28" s="43"/>
      <c r="G28" s="43">
        <f t="shared" si="3"/>
        <v>0</v>
      </c>
      <c r="H28" s="42"/>
      <c r="I28" s="27">
        <f t="shared" si="1"/>
        <v>0</v>
      </c>
      <c r="J28" s="26">
        <f t="shared" si="4"/>
        <v>0</v>
      </c>
      <c r="K28" s="27">
        <f t="shared" si="5"/>
        <v>0</v>
      </c>
      <c r="L28" s="15"/>
    </row>
    <row r="29" spans="1:12" ht="15" customHeight="1" x14ac:dyDescent="0.25">
      <c r="A29" s="40"/>
      <c r="B29" s="42"/>
      <c r="C29" s="42"/>
      <c r="D29" s="43">
        <f t="shared" si="2"/>
        <v>0</v>
      </c>
      <c r="E29" s="44"/>
      <c r="F29" s="43"/>
      <c r="G29" s="43">
        <f t="shared" si="3"/>
        <v>0</v>
      </c>
      <c r="H29" s="42"/>
      <c r="I29" s="27">
        <f t="shared" si="1"/>
        <v>0</v>
      </c>
      <c r="J29" s="26"/>
      <c r="K29" s="27">
        <f t="shared" si="5"/>
        <v>0</v>
      </c>
      <c r="L29" s="15"/>
    </row>
    <row r="30" spans="1:12" ht="15" customHeight="1" x14ac:dyDescent="0.25">
      <c r="A30" s="40" t="s">
        <v>105</v>
      </c>
      <c r="B30" s="42"/>
      <c r="C30" s="42"/>
      <c r="D30" s="43">
        <f t="shared" si="2"/>
        <v>0</v>
      </c>
      <c r="E30" s="44"/>
      <c r="F30" s="43"/>
      <c r="G30" s="43">
        <f t="shared" si="3"/>
        <v>0</v>
      </c>
      <c r="H30" s="42"/>
      <c r="I30" s="27">
        <f t="shared" si="1"/>
        <v>0</v>
      </c>
      <c r="J30" s="26">
        <f>B30+E30-H30</f>
        <v>0</v>
      </c>
      <c r="K30" s="27">
        <f>J30*C30</f>
        <v>0</v>
      </c>
      <c r="L30" s="15"/>
    </row>
    <row r="31" spans="1:12" ht="15" customHeight="1" x14ac:dyDescent="0.25">
      <c r="A31" s="40"/>
      <c r="B31" s="42"/>
      <c r="C31" s="42"/>
      <c r="D31" s="43">
        <f t="shared" si="2"/>
        <v>0</v>
      </c>
      <c r="E31" s="44"/>
      <c r="F31" s="43"/>
      <c r="G31" s="43">
        <f t="shared" si="3"/>
        <v>0</v>
      </c>
      <c r="H31" s="42"/>
      <c r="I31" s="27">
        <f t="shared" si="1"/>
        <v>0</v>
      </c>
      <c r="J31" s="26"/>
      <c r="K31" s="27"/>
      <c r="L31" s="15"/>
    </row>
    <row r="32" spans="1:12" ht="15" customHeight="1" x14ac:dyDescent="0.25">
      <c r="A32" s="40" t="s">
        <v>34</v>
      </c>
      <c r="B32" s="42"/>
      <c r="C32" s="42"/>
      <c r="D32" s="43">
        <f t="shared" si="2"/>
        <v>0</v>
      </c>
      <c r="E32" s="44"/>
      <c r="F32" s="43"/>
      <c r="G32" s="43">
        <f t="shared" si="3"/>
        <v>0</v>
      </c>
      <c r="H32" s="433"/>
      <c r="I32" s="434">
        <f>H32*F32</f>
        <v>0</v>
      </c>
      <c r="J32" s="26">
        <f>B32+E32-H32</f>
        <v>0</v>
      </c>
      <c r="K32" s="27">
        <f>J32*F32</f>
        <v>0</v>
      </c>
      <c r="L32" s="15">
        <f>J32*C32</f>
        <v>0</v>
      </c>
    </row>
    <row r="33" spans="1:12" ht="15" customHeight="1" x14ac:dyDescent="0.25">
      <c r="A33" s="40"/>
      <c r="B33" s="42"/>
      <c r="C33" s="42"/>
      <c r="D33" s="43">
        <f t="shared" si="2"/>
        <v>0</v>
      </c>
      <c r="E33" s="44"/>
      <c r="F33" s="43"/>
      <c r="G33" s="43">
        <f t="shared" si="3"/>
        <v>0</v>
      </c>
      <c r="H33" s="42"/>
      <c r="I33" s="27"/>
      <c r="J33" s="26">
        <f>B33+E33-H33</f>
        <v>0</v>
      </c>
      <c r="K33" s="27">
        <f>J33*F33</f>
        <v>0</v>
      </c>
      <c r="L33" s="15"/>
    </row>
    <row r="34" spans="1:12" ht="15" customHeight="1" x14ac:dyDescent="0.25">
      <c r="A34" s="40" t="s">
        <v>35</v>
      </c>
      <c r="B34" s="42"/>
      <c r="C34" s="42"/>
      <c r="D34" s="43">
        <f t="shared" si="2"/>
        <v>0</v>
      </c>
      <c r="E34" s="44"/>
      <c r="F34" s="43"/>
      <c r="G34" s="43">
        <f t="shared" si="3"/>
        <v>0</v>
      </c>
      <c r="H34" s="433"/>
      <c r="I34" s="434">
        <f>H34*C34</f>
        <v>0</v>
      </c>
      <c r="J34" s="26">
        <f>B34+E34-H34</f>
        <v>0</v>
      </c>
      <c r="K34" s="27">
        <f>J34*C34</f>
        <v>0</v>
      </c>
      <c r="L34" s="15"/>
    </row>
    <row r="35" spans="1:12" ht="15" customHeight="1" x14ac:dyDescent="0.25">
      <c r="A35" s="40"/>
      <c r="B35" s="42"/>
      <c r="C35" s="42"/>
      <c r="D35" s="43">
        <f>B35*C35</f>
        <v>0</v>
      </c>
      <c r="E35" s="44"/>
      <c r="F35" s="43"/>
      <c r="G35" s="43">
        <f t="shared" si="3"/>
        <v>0</v>
      </c>
      <c r="H35" s="42"/>
      <c r="I35" s="27"/>
      <c r="J35" s="26">
        <f>B35+E35-H35</f>
        <v>0</v>
      </c>
      <c r="K35" s="27">
        <f>J35*C35</f>
        <v>0</v>
      </c>
      <c r="L35" s="15"/>
    </row>
    <row r="36" spans="1:12" ht="27" customHeight="1" thickBot="1" x14ac:dyDescent="0.3">
      <c r="A36" s="471" t="s">
        <v>110</v>
      </c>
      <c r="B36" s="472"/>
      <c r="C36" s="472"/>
      <c r="D36" s="472"/>
      <c r="E36" s="94">
        <f>SUM(E8:E35)</f>
        <v>0</v>
      </c>
      <c r="F36" s="94"/>
      <c r="G36" s="94">
        <f>SUM(G8:G35)</f>
        <v>0</v>
      </c>
      <c r="H36" s="85"/>
      <c r="I36" s="85"/>
      <c r="J36" s="55">
        <f>J18</f>
        <v>0</v>
      </c>
      <c r="K36" s="56">
        <f>K18</f>
        <v>0</v>
      </c>
      <c r="L36" s="15"/>
    </row>
    <row r="37" spans="1:12" ht="15" customHeight="1" x14ac:dyDescent="0.25">
      <c r="A37" s="46"/>
      <c r="B37" s="47"/>
      <c r="C37" s="48"/>
      <c r="D37" s="49"/>
      <c r="E37" s="50"/>
      <c r="F37" s="50"/>
      <c r="G37" s="50"/>
      <c r="H37" s="47"/>
      <c r="I37" s="50"/>
      <c r="J37" s="23"/>
      <c r="K37" s="24"/>
      <c r="L37" s="15"/>
    </row>
    <row r="38" spans="1:12" ht="15" customHeight="1" x14ac:dyDescent="0.25">
      <c r="A38" s="46"/>
      <c r="B38" s="47"/>
      <c r="C38" s="48"/>
      <c r="D38" s="49"/>
      <c r="E38" s="50"/>
      <c r="F38" s="50"/>
      <c r="G38" s="50"/>
      <c r="H38" s="47"/>
      <c r="I38" s="50"/>
      <c r="J38" s="23"/>
      <c r="K38" s="24"/>
      <c r="L38" s="15"/>
    </row>
    <row r="39" spans="1:12" ht="15" customHeight="1" x14ac:dyDescent="0.25">
      <c r="A39" s="51"/>
      <c r="B39" s="47"/>
      <c r="C39" s="48"/>
      <c r="D39" s="50"/>
      <c r="E39" s="50"/>
      <c r="F39" s="50"/>
      <c r="G39" s="50"/>
      <c r="H39" s="47"/>
      <c r="I39" s="474"/>
      <c r="J39" s="474"/>
      <c r="K39" s="474"/>
      <c r="L39" s="15"/>
    </row>
    <row r="40" spans="1:12" ht="15" customHeight="1" x14ac:dyDescent="0.25">
      <c r="A40" s="51"/>
      <c r="B40" s="47"/>
      <c r="C40" s="48"/>
      <c r="D40" s="49"/>
      <c r="E40" s="50"/>
      <c r="F40" s="50"/>
      <c r="G40" s="50"/>
      <c r="H40" s="47"/>
      <c r="I40" s="474"/>
      <c r="J40" s="474"/>
      <c r="K40" s="474"/>
      <c r="L40" s="15"/>
    </row>
    <row r="41" spans="1:12" ht="15" customHeight="1" x14ac:dyDescent="0.25">
      <c r="A41" s="63"/>
      <c r="B41" s="47"/>
      <c r="C41" s="48"/>
      <c r="D41" s="50"/>
      <c r="E41" s="50"/>
      <c r="F41" s="50"/>
      <c r="G41" s="50"/>
      <c r="H41" s="47"/>
      <c r="I41" s="474"/>
      <c r="J41" s="474"/>
      <c r="K41" s="474"/>
      <c r="L41" s="15"/>
    </row>
    <row r="42" spans="1:12" ht="15" customHeight="1" x14ac:dyDescent="0.25">
      <c r="A42" s="63"/>
      <c r="B42" s="47"/>
      <c r="C42" s="48"/>
      <c r="D42" s="50"/>
      <c r="E42" s="50"/>
      <c r="F42" s="50"/>
      <c r="G42" s="50"/>
      <c r="H42" s="47"/>
      <c r="I42" s="474"/>
      <c r="J42" s="474"/>
      <c r="K42" s="474"/>
      <c r="L42" s="15"/>
    </row>
    <row r="43" spans="1:12" ht="15" customHeight="1" x14ac:dyDescent="0.25">
      <c r="A43" s="63"/>
      <c r="B43" s="47"/>
      <c r="C43" s="48"/>
      <c r="D43" s="49"/>
      <c r="E43" s="50"/>
      <c r="F43" s="50"/>
      <c r="G43" s="50"/>
      <c r="H43" s="47"/>
      <c r="I43" s="474"/>
      <c r="J43" s="474"/>
      <c r="K43" s="474"/>
      <c r="L43" s="15"/>
    </row>
    <row r="44" spans="1:12" ht="15" customHeight="1" x14ac:dyDescent="0.25">
      <c r="A44" s="63"/>
      <c r="B44" s="47"/>
      <c r="C44" s="48"/>
      <c r="D44" s="50"/>
      <c r="E44" s="50"/>
      <c r="F44" s="50"/>
      <c r="G44" s="50"/>
      <c r="H44" s="47"/>
      <c r="I44" s="473"/>
      <c r="J44" s="473"/>
      <c r="K44" s="473"/>
      <c r="L44" s="15"/>
    </row>
    <row r="45" spans="1:12" ht="15" customHeight="1" x14ac:dyDescent="0.25">
      <c r="A45" s="63"/>
      <c r="B45" s="47"/>
      <c r="C45" s="48"/>
      <c r="D45" s="50"/>
      <c r="E45" s="50"/>
      <c r="F45" s="50"/>
      <c r="G45" s="50"/>
      <c r="H45" s="47"/>
      <c r="I45" s="473"/>
      <c r="J45" s="473"/>
      <c r="K45" s="473"/>
      <c r="L45" s="15"/>
    </row>
    <row r="46" spans="1:12" ht="15" customHeight="1" x14ac:dyDescent="0.25">
      <c r="A46" s="63"/>
      <c r="B46" s="47"/>
      <c r="C46" s="48"/>
      <c r="D46" s="49"/>
      <c r="E46" s="50"/>
      <c r="F46" s="50"/>
      <c r="G46" s="50"/>
      <c r="H46" s="47"/>
      <c r="I46" s="474"/>
      <c r="J46" s="474"/>
      <c r="K46" s="474"/>
      <c r="L46" s="15"/>
    </row>
    <row r="47" spans="1:12" ht="15" customHeight="1" x14ac:dyDescent="0.25">
      <c r="A47" s="63"/>
      <c r="B47" s="47"/>
      <c r="C47" s="48"/>
      <c r="D47" s="50"/>
      <c r="E47" s="50"/>
      <c r="F47" s="50"/>
      <c r="G47" s="50"/>
      <c r="H47" s="47"/>
      <c r="I47" s="50"/>
      <c r="J47" s="23"/>
      <c r="K47" s="24"/>
      <c r="L47" s="15"/>
    </row>
    <row r="48" spans="1:12" ht="15" customHeight="1" x14ac:dyDescent="0.25">
      <c r="A48" s="63"/>
      <c r="B48" s="47"/>
      <c r="C48" s="48"/>
      <c r="D48" s="50"/>
      <c r="E48" s="50"/>
      <c r="F48" s="50"/>
      <c r="G48" s="50"/>
      <c r="H48" s="47"/>
      <c r="I48" s="50"/>
      <c r="J48" s="23"/>
      <c r="K48" s="24"/>
      <c r="L48" s="15"/>
    </row>
    <row r="49" spans="2:12" ht="15" customHeight="1" x14ac:dyDescent="0.25">
      <c r="B49" s="15"/>
      <c r="C49" s="12"/>
      <c r="D49" s="9"/>
      <c r="E49" s="17"/>
      <c r="F49" s="17"/>
      <c r="G49" s="17"/>
      <c r="H49" s="15"/>
      <c r="I49" s="9"/>
      <c r="J49" s="19"/>
      <c r="K49" s="14"/>
      <c r="L49" s="15"/>
    </row>
    <row r="50" spans="2:12" ht="15" customHeight="1" x14ac:dyDescent="0.25">
      <c r="B50" s="15"/>
      <c r="D50" s="17"/>
      <c r="E50" s="17"/>
      <c r="F50" s="17"/>
      <c r="G50" s="17"/>
      <c r="H50" s="15"/>
      <c r="I50" s="17"/>
      <c r="J50" s="19"/>
      <c r="K50" s="20"/>
      <c r="L50" s="15"/>
    </row>
    <row r="51" spans="2:12" ht="15" customHeight="1" x14ac:dyDescent="0.25">
      <c r="B51" s="15"/>
      <c r="D51" s="17"/>
      <c r="E51" s="17"/>
      <c r="F51" s="17"/>
      <c r="G51" s="17"/>
      <c r="H51" s="15"/>
      <c r="I51" s="17"/>
      <c r="J51" s="19"/>
      <c r="K51" s="20"/>
      <c r="L51" s="15"/>
    </row>
    <row r="52" spans="2:12" ht="15" customHeight="1" x14ac:dyDescent="0.25">
      <c r="B52" s="15"/>
      <c r="C52" s="12"/>
      <c r="D52" s="9"/>
      <c r="E52" s="17"/>
      <c r="F52" s="17"/>
      <c r="G52" s="17"/>
      <c r="H52" s="15"/>
      <c r="I52" s="9"/>
      <c r="J52" s="19"/>
      <c r="K52" s="14"/>
      <c r="L52" s="15"/>
    </row>
    <row r="53" spans="2:12" ht="15" customHeight="1" x14ac:dyDescent="0.25">
      <c r="B53" s="15"/>
      <c r="C53" s="12"/>
      <c r="D53" s="17"/>
      <c r="E53" s="17"/>
      <c r="F53" s="17"/>
      <c r="G53" s="17"/>
      <c r="H53" s="15"/>
      <c r="I53" s="17"/>
      <c r="J53" s="19"/>
      <c r="K53" s="20"/>
      <c r="L53" s="15"/>
    </row>
    <row r="54" spans="2:12" ht="15" customHeight="1" x14ac:dyDescent="0.25">
      <c r="B54" s="15"/>
      <c r="C54" s="12"/>
      <c r="D54" s="17"/>
      <c r="E54" s="17"/>
      <c r="F54" s="17"/>
      <c r="G54" s="17"/>
      <c r="H54" s="15"/>
      <c r="I54" s="17"/>
      <c r="J54" s="19"/>
      <c r="K54" s="20"/>
      <c r="L54" s="15"/>
    </row>
    <row r="55" spans="2:12" ht="15" customHeight="1" x14ac:dyDescent="0.25">
      <c r="B55" s="15"/>
      <c r="C55" s="12"/>
      <c r="D55" s="9"/>
      <c r="E55" s="17"/>
      <c r="F55" s="17"/>
      <c r="G55" s="17"/>
      <c r="H55" s="15"/>
      <c r="I55" s="9"/>
      <c r="J55" s="19"/>
      <c r="K55" s="14"/>
      <c r="L55" s="15"/>
    </row>
    <row r="56" spans="2:12" ht="15" customHeight="1" x14ac:dyDescent="0.25">
      <c r="B56" s="15"/>
      <c r="C56" s="12"/>
      <c r="D56" s="17"/>
      <c r="E56" s="17"/>
      <c r="F56" s="17"/>
      <c r="G56" s="17"/>
      <c r="H56" s="15"/>
      <c r="I56" s="17"/>
      <c r="J56" s="19"/>
      <c r="K56" s="20"/>
      <c r="L56" s="15"/>
    </row>
    <row r="57" spans="2:12" ht="15" customHeight="1" x14ac:dyDescent="0.25">
      <c r="B57" s="15"/>
      <c r="C57" s="12"/>
      <c r="D57" s="17"/>
      <c r="E57" s="17"/>
      <c r="F57" s="17"/>
      <c r="G57" s="17"/>
      <c r="H57" s="15"/>
      <c r="I57" s="17"/>
      <c r="J57" s="19"/>
      <c r="K57" s="20"/>
      <c r="L57" s="15"/>
    </row>
    <row r="58" spans="2:12" ht="15" customHeight="1" x14ac:dyDescent="0.25">
      <c r="B58" s="15"/>
      <c r="C58" s="12"/>
      <c r="D58" s="9"/>
      <c r="E58" s="17"/>
      <c r="F58" s="17"/>
      <c r="G58" s="17"/>
      <c r="H58" s="15"/>
      <c r="I58" s="9"/>
      <c r="J58" s="19"/>
      <c r="K58" s="14"/>
      <c r="L58" s="15"/>
    </row>
    <row r="59" spans="2:12" ht="15" customHeight="1" x14ac:dyDescent="0.25">
      <c r="B59" s="15"/>
      <c r="C59" s="12"/>
      <c r="D59" s="17"/>
      <c r="E59" s="17"/>
      <c r="F59" s="17"/>
      <c r="G59" s="17"/>
      <c r="H59" s="15"/>
      <c r="I59" s="17"/>
      <c r="J59" s="15"/>
      <c r="K59" s="17"/>
      <c r="L59" s="15"/>
    </row>
    <row r="60" spans="2:12" ht="15" customHeight="1" x14ac:dyDescent="0.25">
      <c r="B60" s="15"/>
      <c r="C60" s="12"/>
      <c r="D60" s="17"/>
      <c r="E60" s="17"/>
      <c r="F60" s="17"/>
      <c r="G60" s="17"/>
      <c r="H60" s="15"/>
      <c r="I60" s="17"/>
      <c r="J60" s="15"/>
      <c r="K60" s="17"/>
      <c r="L60" s="15"/>
    </row>
    <row r="61" spans="2:12" ht="15" customHeight="1" x14ac:dyDescent="0.25">
      <c r="B61" s="15"/>
      <c r="C61" s="12"/>
      <c r="D61" s="9"/>
      <c r="E61" s="17"/>
      <c r="F61" s="17"/>
      <c r="G61" s="17"/>
      <c r="H61" s="15"/>
      <c r="I61" s="9"/>
      <c r="J61" s="15"/>
      <c r="K61" s="9"/>
      <c r="L61" s="15"/>
    </row>
    <row r="62" spans="2:12" ht="15" customHeight="1" x14ac:dyDescent="0.25">
      <c r="B62" s="15"/>
      <c r="C62" s="12"/>
      <c r="D62" s="17"/>
      <c r="E62" s="17"/>
      <c r="F62" s="17"/>
      <c r="G62" s="17"/>
      <c r="H62" s="15"/>
      <c r="I62" s="17"/>
      <c r="J62" s="15"/>
      <c r="K62" s="17"/>
      <c r="L62" s="15"/>
    </row>
    <row r="63" spans="2:12" ht="15" customHeight="1" x14ac:dyDescent="0.25">
      <c r="B63" s="15"/>
      <c r="C63" s="12"/>
      <c r="D63" s="17"/>
      <c r="E63" s="17"/>
      <c r="F63" s="17"/>
      <c r="G63" s="17"/>
      <c r="H63" s="15"/>
      <c r="I63" s="17"/>
      <c r="J63" s="15"/>
      <c r="K63" s="17"/>
      <c r="L63" s="15"/>
    </row>
    <row r="64" spans="2:12" ht="15" customHeight="1" x14ac:dyDescent="0.25">
      <c r="B64" s="15"/>
      <c r="C64" s="12"/>
      <c r="D64" s="9"/>
      <c r="E64" s="15"/>
      <c r="F64" s="17"/>
      <c r="G64" s="17"/>
      <c r="H64" s="15"/>
      <c r="I64" s="17"/>
      <c r="J64" s="15"/>
      <c r="K64" s="9"/>
      <c r="L64" s="15"/>
    </row>
    <row r="65" spans="1:12" ht="15" customHeight="1" x14ac:dyDescent="0.25">
      <c r="B65" s="15"/>
      <c r="C65" s="15"/>
      <c r="D65" s="9"/>
      <c r="E65" s="17"/>
      <c r="F65" s="17"/>
      <c r="G65" s="17"/>
      <c r="H65" s="15"/>
      <c r="I65" s="17"/>
      <c r="J65" s="15"/>
      <c r="K65" s="17"/>
      <c r="L65" s="15"/>
    </row>
    <row r="66" spans="1:12" ht="15" customHeight="1" x14ac:dyDescent="0.25">
      <c r="B66" s="15"/>
      <c r="C66" s="12"/>
      <c r="D66" s="17"/>
      <c r="E66" s="17"/>
      <c r="F66" s="17"/>
      <c r="G66" s="17"/>
      <c r="H66" s="15"/>
      <c r="I66" s="17"/>
      <c r="J66" s="15"/>
      <c r="K66" s="17"/>
      <c r="L66" s="1"/>
    </row>
    <row r="67" spans="1:12" ht="15" customHeight="1" x14ac:dyDescent="0.25">
      <c r="B67" s="15"/>
      <c r="C67" s="12"/>
      <c r="D67" s="9"/>
      <c r="E67" s="17"/>
      <c r="F67" s="17"/>
      <c r="G67" s="17"/>
      <c r="H67" s="15"/>
      <c r="I67" s="17"/>
      <c r="J67" s="15"/>
      <c r="K67" s="9"/>
      <c r="L67" s="1"/>
    </row>
    <row r="68" spans="1:12" ht="15" customHeight="1" x14ac:dyDescent="0.25">
      <c r="B68" s="15"/>
      <c r="C68" s="12"/>
      <c r="D68" s="17"/>
      <c r="E68" s="17"/>
      <c r="F68" s="17"/>
      <c r="G68" s="17"/>
      <c r="H68" s="15"/>
      <c r="I68" s="17"/>
      <c r="J68" s="15"/>
      <c r="K68" s="17"/>
      <c r="L68" s="1"/>
    </row>
    <row r="69" spans="1:12" ht="15" customHeight="1" x14ac:dyDescent="0.25">
      <c r="B69" s="15"/>
      <c r="C69" s="12"/>
      <c r="D69" s="17"/>
      <c r="E69" s="17"/>
      <c r="F69" s="17"/>
      <c r="G69" s="17"/>
      <c r="H69" s="15"/>
      <c r="I69" s="17"/>
      <c r="J69" s="15"/>
      <c r="K69" s="17"/>
      <c r="L69" s="1"/>
    </row>
    <row r="70" spans="1:12" ht="15" customHeight="1" x14ac:dyDescent="0.25">
      <c r="A70" s="32"/>
      <c r="B70" s="32"/>
      <c r="C70" s="32"/>
      <c r="D70" s="32"/>
      <c r="E70" s="17"/>
      <c r="F70" s="17"/>
      <c r="G70" s="17"/>
      <c r="H70" s="25"/>
      <c r="I70" s="25"/>
      <c r="J70" s="15"/>
      <c r="K70" s="17"/>
      <c r="L70" s="1"/>
    </row>
    <row r="71" spans="1:12" ht="15" customHeight="1" x14ac:dyDescent="0.25">
      <c r="B71" s="15"/>
      <c r="C71" s="12"/>
      <c r="D71" s="17"/>
      <c r="E71" s="17"/>
      <c r="F71" s="17"/>
      <c r="G71" s="17"/>
      <c r="H71" s="15"/>
      <c r="I71" s="17"/>
      <c r="J71" s="15"/>
      <c r="K71" s="17"/>
      <c r="L71" s="1"/>
    </row>
    <row r="72" spans="1:12" ht="15" customHeight="1" x14ac:dyDescent="0.25">
      <c r="B72" s="15"/>
      <c r="C72" s="12"/>
      <c r="D72" s="17"/>
      <c r="E72" s="17"/>
      <c r="F72" s="17"/>
      <c r="G72" s="17"/>
      <c r="H72" s="15"/>
      <c r="I72" s="17"/>
      <c r="J72" s="15"/>
      <c r="K72" s="17"/>
      <c r="L72" s="1"/>
    </row>
    <row r="73" spans="1:12" ht="15" customHeight="1" x14ac:dyDescent="0.25">
      <c r="B73" s="15"/>
      <c r="C73" s="12"/>
      <c r="D73" s="17"/>
      <c r="E73" s="17"/>
      <c r="F73" s="17"/>
      <c r="G73" s="17"/>
      <c r="H73" s="15"/>
      <c r="I73" s="17"/>
      <c r="J73" s="15"/>
      <c r="K73" s="17"/>
      <c r="L73" s="1"/>
    </row>
    <row r="74" spans="1:12" ht="15" customHeight="1" x14ac:dyDescent="0.25">
      <c r="B74" s="15"/>
      <c r="C74" s="12"/>
      <c r="D74" s="17"/>
      <c r="E74" s="17"/>
      <c r="F74" s="17"/>
      <c r="G74" s="17"/>
      <c r="H74" s="15"/>
      <c r="I74" s="17"/>
      <c r="J74" s="15"/>
      <c r="K74" s="17"/>
      <c r="L74" s="1"/>
    </row>
    <row r="75" spans="1:12" ht="15" customHeight="1" x14ac:dyDescent="0.25">
      <c r="B75" s="15"/>
      <c r="C75" s="12"/>
      <c r="D75" s="17"/>
      <c r="E75" s="17"/>
      <c r="F75" s="17"/>
      <c r="G75" s="17"/>
      <c r="H75" s="15"/>
      <c r="I75" s="17"/>
      <c r="J75" s="15"/>
      <c r="K75" s="17"/>
      <c r="L75" s="1"/>
    </row>
    <row r="76" spans="1:12" ht="15" customHeight="1" x14ac:dyDescent="0.25">
      <c r="B76" s="15"/>
      <c r="C76" s="12"/>
      <c r="D76" s="17"/>
      <c r="E76" s="17"/>
      <c r="F76" s="17"/>
      <c r="G76" s="17"/>
      <c r="H76" s="15"/>
      <c r="I76" s="17"/>
      <c r="J76" s="17"/>
      <c r="K76" s="17"/>
      <c r="L76" s="1"/>
    </row>
    <row r="77" spans="1:12" ht="15" customHeight="1" x14ac:dyDescent="0.25">
      <c r="B77" s="15"/>
      <c r="C77" s="12"/>
      <c r="D77" s="17"/>
      <c r="E77" s="17"/>
      <c r="F77" s="17"/>
      <c r="G77" s="17"/>
      <c r="H77" s="15"/>
      <c r="I77" s="17"/>
      <c r="J77" s="17"/>
      <c r="K77" s="17"/>
      <c r="L77" s="1"/>
    </row>
    <row r="78" spans="1:12" ht="15" customHeight="1" x14ac:dyDescent="0.25">
      <c r="B78" s="15"/>
      <c r="C78" s="12"/>
      <c r="D78" s="17"/>
      <c r="E78" s="17"/>
      <c r="F78" s="17"/>
      <c r="G78" s="17"/>
      <c r="H78" s="15"/>
      <c r="I78" s="17"/>
      <c r="J78" s="17"/>
      <c r="K78" s="17"/>
      <c r="L78" s="1"/>
    </row>
    <row r="79" spans="1:12" ht="15" customHeight="1" x14ac:dyDescent="0.25">
      <c r="B79" s="15"/>
      <c r="C79" s="12"/>
      <c r="D79" s="17"/>
      <c r="E79" s="17"/>
      <c r="F79" s="17"/>
      <c r="G79" s="17"/>
      <c r="H79" s="15"/>
      <c r="I79" s="17"/>
      <c r="J79" s="17"/>
      <c r="K79" s="17"/>
      <c r="L79" s="1"/>
    </row>
    <row r="80" spans="1:12" ht="15" customHeight="1" x14ac:dyDescent="0.25">
      <c r="B80" s="15"/>
      <c r="C80" s="12"/>
      <c r="D80" s="17"/>
      <c r="E80" s="17"/>
      <c r="F80" s="17"/>
      <c r="G80" s="17"/>
      <c r="H80" s="15"/>
      <c r="I80" s="17"/>
      <c r="J80" s="17"/>
      <c r="K80" s="17"/>
      <c r="L80" s="1"/>
    </row>
    <row r="81" spans="2:12" ht="15" customHeight="1" x14ac:dyDescent="0.25">
      <c r="B81" s="15"/>
      <c r="C81" s="12"/>
      <c r="D81" s="17"/>
      <c r="E81" s="17"/>
      <c r="F81" s="17"/>
      <c r="G81" s="17"/>
      <c r="H81" s="15"/>
      <c r="I81" s="17"/>
      <c r="J81" s="17"/>
      <c r="K81" s="17"/>
      <c r="L81" s="1"/>
    </row>
    <row r="82" spans="2:12" ht="15" customHeight="1" x14ac:dyDescent="0.25">
      <c r="B82" s="15"/>
      <c r="C82" s="12"/>
      <c r="D82" s="17"/>
      <c r="E82" s="17"/>
      <c r="F82" s="17"/>
      <c r="G82" s="17"/>
      <c r="H82" s="15"/>
      <c r="I82" s="17"/>
      <c r="J82" s="17"/>
      <c r="K82" s="17"/>
      <c r="L82" s="1"/>
    </row>
    <row r="83" spans="2:12" ht="15" customHeight="1" x14ac:dyDescent="0.25">
      <c r="B83" s="15"/>
      <c r="C83" s="12"/>
      <c r="D83" s="17"/>
      <c r="E83" s="17"/>
      <c r="F83" s="17"/>
      <c r="G83" s="17"/>
      <c r="H83" s="15"/>
      <c r="I83" s="17"/>
      <c r="J83" s="17"/>
      <c r="K83" s="17"/>
      <c r="L83" s="1"/>
    </row>
    <row r="84" spans="2:12" ht="15" customHeight="1" x14ac:dyDescent="0.25">
      <c r="B84" s="15"/>
      <c r="C84" s="12"/>
      <c r="D84" s="17"/>
      <c r="E84" s="17"/>
      <c r="F84" s="17"/>
      <c r="G84" s="17"/>
      <c r="H84" s="15"/>
      <c r="I84" s="17"/>
      <c r="J84" s="17"/>
      <c r="K84" s="17"/>
      <c r="L84" s="1"/>
    </row>
    <row r="85" spans="2:12" ht="15" customHeight="1" x14ac:dyDescent="0.25">
      <c r="B85" s="15"/>
      <c r="C85" s="12"/>
      <c r="D85" s="15"/>
      <c r="E85" s="15"/>
      <c r="F85" s="15"/>
      <c r="G85" s="15"/>
      <c r="H85" s="15"/>
      <c r="I85" s="15"/>
      <c r="J85" s="15"/>
      <c r="K85" s="15"/>
      <c r="L85" s="1"/>
    </row>
    <row r="86" spans="2:12" ht="15" customHeight="1" x14ac:dyDescent="0.25">
      <c r="B86" s="15"/>
      <c r="C86" s="12"/>
      <c r="D86" s="15"/>
      <c r="E86" s="15"/>
      <c r="F86" s="15"/>
      <c r="G86" s="15"/>
      <c r="H86" s="15"/>
      <c r="I86" s="15"/>
      <c r="J86" s="15"/>
      <c r="K86" s="15"/>
      <c r="L86" s="1"/>
    </row>
    <row r="87" spans="2:12" ht="15" customHeight="1" x14ac:dyDescent="0.25">
      <c r="B87" s="15"/>
      <c r="C87" s="12"/>
      <c r="D87" s="15"/>
      <c r="E87" s="15"/>
      <c r="F87" s="15"/>
      <c r="G87" s="15"/>
      <c r="H87" s="15"/>
      <c r="I87" s="15"/>
      <c r="J87" s="15"/>
      <c r="K87" s="15"/>
      <c r="L87" s="1"/>
    </row>
    <row r="88" spans="2:12" ht="15" customHeight="1" x14ac:dyDescent="0.25">
      <c r="B88" s="15"/>
      <c r="C88" s="12"/>
      <c r="D88" s="15"/>
      <c r="E88" s="15"/>
      <c r="F88" s="15"/>
      <c r="G88" s="15"/>
      <c r="H88" s="15"/>
      <c r="I88" s="15"/>
      <c r="J88" s="15"/>
      <c r="K88" s="15"/>
      <c r="L88" s="1"/>
    </row>
    <row r="89" spans="2:12" ht="15" customHeight="1" x14ac:dyDescent="0.25">
      <c r="B89" s="15"/>
      <c r="C89" s="12"/>
      <c r="D89" s="15"/>
      <c r="E89" s="15"/>
      <c r="F89" s="15"/>
      <c r="G89" s="15"/>
      <c r="H89" s="15"/>
      <c r="I89" s="15"/>
      <c r="J89" s="15"/>
      <c r="K89" s="15"/>
      <c r="L89" s="1"/>
    </row>
    <row r="90" spans="2:12" ht="15" customHeight="1" x14ac:dyDescent="0.25">
      <c r="B90" s="15"/>
      <c r="C90" s="12"/>
      <c r="D90" s="15"/>
      <c r="E90" s="15"/>
      <c r="F90" s="15"/>
      <c r="G90" s="15"/>
      <c r="H90" s="15"/>
      <c r="I90" s="15"/>
      <c r="J90" s="15"/>
      <c r="K90" s="15"/>
      <c r="L90" s="1"/>
    </row>
    <row r="91" spans="2:12" ht="15" customHeight="1" x14ac:dyDescent="0.25">
      <c r="B91" s="15"/>
      <c r="C91" s="12"/>
      <c r="D91" s="15"/>
      <c r="E91" s="15"/>
      <c r="F91" s="15"/>
      <c r="G91" s="15"/>
      <c r="H91" s="15"/>
      <c r="I91" s="15"/>
      <c r="J91" s="15"/>
      <c r="K91" s="15"/>
      <c r="L91" s="1"/>
    </row>
    <row r="92" spans="2:12" ht="15" customHeight="1" x14ac:dyDescent="0.25">
      <c r="B92" s="15"/>
      <c r="C92" s="12"/>
      <c r="D92" s="15"/>
      <c r="E92" s="15"/>
      <c r="F92" s="15"/>
      <c r="G92" s="15"/>
      <c r="H92" s="15"/>
      <c r="I92" s="15"/>
      <c r="J92" s="15"/>
      <c r="K92" s="15"/>
      <c r="L92" s="1"/>
    </row>
    <row r="93" spans="2:12" ht="15" customHeight="1" x14ac:dyDescent="0.25">
      <c r="B93" s="15"/>
      <c r="C93" s="12"/>
      <c r="D93" s="15"/>
      <c r="E93" s="15"/>
      <c r="F93" s="15"/>
      <c r="G93" s="15"/>
      <c r="H93" s="15"/>
      <c r="I93" s="15"/>
      <c r="J93" s="15"/>
      <c r="K93" s="15"/>
      <c r="L93" s="1"/>
    </row>
    <row r="94" spans="2:12" ht="15" customHeight="1" x14ac:dyDescent="0.25">
      <c r="B94" s="15"/>
      <c r="C94" s="12"/>
      <c r="D94" s="15"/>
      <c r="E94" s="15"/>
      <c r="F94" s="15"/>
      <c r="G94" s="15"/>
      <c r="H94" s="15"/>
      <c r="I94" s="15"/>
      <c r="J94" s="15"/>
      <c r="K94" s="15"/>
      <c r="L94" s="1"/>
    </row>
    <row r="95" spans="2:12" ht="15" customHeight="1" x14ac:dyDescent="0.25">
      <c r="B95" s="15"/>
      <c r="C95" s="12"/>
      <c r="D95" s="15"/>
      <c r="E95" s="15"/>
      <c r="F95" s="15"/>
      <c r="G95" s="15"/>
      <c r="H95" s="15"/>
      <c r="I95" s="15"/>
      <c r="J95" s="15"/>
      <c r="K95" s="15"/>
      <c r="L95" s="1"/>
    </row>
    <row r="96" spans="2:12" ht="15" customHeight="1" x14ac:dyDescent="0.25">
      <c r="B96" s="15"/>
      <c r="C96" s="12"/>
      <c r="D96" s="15"/>
      <c r="E96" s="15"/>
      <c r="F96" s="15"/>
      <c r="G96" s="15"/>
      <c r="H96" s="15"/>
      <c r="I96" s="15"/>
      <c r="J96" s="15"/>
      <c r="K96" s="15"/>
      <c r="L96" s="1"/>
    </row>
    <row r="97" spans="2:12" ht="15" customHeight="1" x14ac:dyDescent="0.25">
      <c r="B97" s="15"/>
      <c r="C97" s="12"/>
      <c r="D97" s="15"/>
      <c r="E97" s="15"/>
      <c r="F97" s="15"/>
      <c r="G97" s="15"/>
      <c r="H97" s="15"/>
      <c r="I97" s="15"/>
      <c r="J97" s="15"/>
      <c r="K97" s="15"/>
      <c r="L97" s="1"/>
    </row>
    <row r="98" spans="2:12" ht="15" customHeight="1" x14ac:dyDescent="0.25">
      <c r="B98" s="15"/>
      <c r="C98" s="12"/>
      <c r="D98" s="15"/>
      <c r="E98" s="15"/>
      <c r="F98" s="15"/>
      <c r="G98" s="15"/>
      <c r="H98" s="15"/>
      <c r="I98" s="15"/>
      <c r="J98" s="15"/>
      <c r="K98" s="15"/>
      <c r="L98" s="1"/>
    </row>
    <row r="99" spans="2:12" ht="15" customHeight="1" x14ac:dyDescent="0.25">
      <c r="C99" s="7"/>
      <c r="H99" s="3"/>
      <c r="L99" s="1"/>
    </row>
    <row r="100" spans="2:12" ht="15" customHeight="1" x14ac:dyDescent="0.25">
      <c r="C100" s="7"/>
      <c r="H100" s="3"/>
      <c r="L100" s="1"/>
    </row>
    <row r="101" spans="2:12" ht="15" customHeight="1" x14ac:dyDescent="0.25">
      <c r="C101" s="7"/>
      <c r="H101" s="3"/>
      <c r="L101" s="1"/>
    </row>
    <row r="102" spans="2:12" ht="15" customHeight="1" x14ac:dyDescent="0.25">
      <c r="C102" s="7"/>
      <c r="H102" s="3"/>
      <c r="L102" s="1"/>
    </row>
    <row r="103" spans="2:12" ht="15" customHeight="1" x14ac:dyDescent="0.25">
      <c r="C103" s="7"/>
      <c r="H103" s="3"/>
      <c r="L103" s="1"/>
    </row>
    <row r="104" spans="2:12" ht="15" customHeight="1" x14ac:dyDescent="0.25">
      <c r="C104" s="7"/>
      <c r="H104" s="3"/>
      <c r="L104" s="1"/>
    </row>
    <row r="105" spans="2:12" ht="15" customHeight="1" x14ac:dyDescent="0.25">
      <c r="C105" s="7"/>
      <c r="H105" s="3"/>
      <c r="L105" s="1"/>
    </row>
    <row r="106" spans="2:12" ht="15" customHeight="1" x14ac:dyDescent="0.25">
      <c r="C106" s="7"/>
      <c r="L106" s="1"/>
    </row>
    <row r="107" spans="2:12" ht="15" customHeight="1" x14ac:dyDescent="0.25">
      <c r="C107" s="7"/>
      <c r="L107" s="1"/>
    </row>
    <row r="108" spans="2:12" ht="15" customHeight="1" x14ac:dyDescent="0.25">
      <c r="C108" s="7"/>
    </row>
    <row r="109" spans="2:12" ht="15" customHeight="1" x14ac:dyDescent="0.25">
      <c r="C109" s="7"/>
    </row>
    <row r="110" spans="2:12" ht="15" customHeight="1" x14ac:dyDescent="0.25">
      <c r="C110" s="7"/>
    </row>
    <row r="111" spans="2:12" ht="15" customHeight="1" x14ac:dyDescent="0.25">
      <c r="C111" s="7"/>
    </row>
    <row r="112" spans="2:12" ht="15" customHeight="1" x14ac:dyDescent="0.25">
      <c r="C112" s="7"/>
    </row>
    <row r="113" spans="3:3" ht="15" customHeight="1" x14ac:dyDescent="0.25">
      <c r="C113" s="7"/>
    </row>
    <row r="114" spans="3:3" ht="15" customHeight="1" x14ac:dyDescent="0.25">
      <c r="C114" s="7"/>
    </row>
    <row r="115" spans="3:3" ht="15" customHeight="1" x14ac:dyDescent="0.25">
      <c r="C115" s="7"/>
    </row>
    <row r="116" spans="3:3" ht="15" customHeight="1" x14ac:dyDescent="0.25">
      <c r="C116" s="7"/>
    </row>
    <row r="117" spans="3:3" ht="15" customHeight="1" x14ac:dyDescent="0.25">
      <c r="C117" s="7"/>
    </row>
    <row r="118" spans="3:3" ht="15" customHeight="1" x14ac:dyDescent="0.25">
      <c r="C118" s="7"/>
    </row>
    <row r="119" spans="3:3" ht="15" customHeight="1" x14ac:dyDescent="0.25">
      <c r="C119" s="7"/>
    </row>
    <row r="120" spans="3:3" ht="15" customHeight="1" x14ac:dyDescent="0.25">
      <c r="C120" s="7"/>
    </row>
    <row r="121" spans="3:3" ht="15" customHeight="1" x14ac:dyDescent="0.25">
      <c r="C121" s="7"/>
    </row>
    <row r="122" spans="3:3" ht="15" customHeight="1" x14ac:dyDescent="0.25">
      <c r="C122" s="7"/>
    </row>
    <row r="123" spans="3:3" ht="15" customHeight="1" x14ac:dyDescent="0.25">
      <c r="C123" s="7"/>
    </row>
    <row r="124" spans="3:3" ht="15" customHeight="1" x14ac:dyDescent="0.25">
      <c r="C124" s="7"/>
    </row>
    <row r="125" spans="3:3" ht="15" customHeight="1" x14ac:dyDescent="0.25">
      <c r="C125" s="7"/>
    </row>
    <row r="126" spans="3:3" ht="15" customHeight="1" x14ac:dyDescent="0.25">
      <c r="C126" s="7"/>
    </row>
    <row r="127" spans="3:3" ht="15" customHeight="1" x14ac:dyDescent="0.25">
      <c r="C127" s="7"/>
    </row>
    <row r="128" spans="3:3" ht="15" customHeight="1" x14ac:dyDescent="0.25">
      <c r="C128" s="5"/>
    </row>
    <row r="129" spans="3:3" ht="15" customHeight="1" x14ac:dyDescent="0.25">
      <c r="C129" s="5"/>
    </row>
    <row r="130" spans="3:3" ht="15" customHeight="1" x14ac:dyDescent="0.25">
      <c r="C130" s="5"/>
    </row>
    <row r="131" spans="3:3" ht="15" customHeight="1" x14ac:dyDescent="0.25">
      <c r="C131" s="5"/>
    </row>
    <row r="132" spans="3:3" ht="15" customHeight="1" x14ac:dyDescent="0.25">
      <c r="C132" s="5"/>
    </row>
    <row r="133" spans="3:3" ht="15" customHeight="1" x14ac:dyDescent="0.25">
      <c r="C133" s="5"/>
    </row>
    <row r="134" spans="3:3" ht="15" customHeight="1" x14ac:dyDescent="0.25">
      <c r="C134" s="5"/>
    </row>
    <row r="135" spans="3:3" ht="15" customHeight="1" x14ac:dyDescent="0.25">
      <c r="C135" s="5"/>
    </row>
    <row r="136" spans="3:3" ht="15" customHeight="1" x14ac:dyDescent="0.25">
      <c r="C136" s="5"/>
    </row>
    <row r="137" spans="3:3" ht="15" customHeight="1" x14ac:dyDescent="0.25">
      <c r="C137" s="5"/>
    </row>
    <row r="138" spans="3:3" ht="15" customHeight="1" x14ac:dyDescent="0.25">
      <c r="C138" s="5"/>
    </row>
    <row r="139" spans="3:3" ht="15" customHeight="1" x14ac:dyDescent="0.25">
      <c r="C139" s="5"/>
    </row>
    <row r="140" spans="3:3" ht="15" customHeight="1" x14ac:dyDescent="0.25">
      <c r="C140" s="5"/>
    </row>
    <row r="141" spans="3:3" ht="15" customHeight="1" x14ac:dyDescent="0.25">
      <c r="C141" s="5"/>
    </row>
    <row r="142" spans="3:3" ht="15" customHeight="1" x14ac:dyDescent="0.25">
      <c r="C142" s="5"/>
    </row>
    <row r="143" spans="3:3" ht="15" customHeight="1" x14ac:dyDescent="0.25">
      <c r="C143" s="5"/>
    </row>
    <row r="144" spans="3:3" ht="15" customHeight="1" x14ac:dyDescent="0.25">
      <c r="C144" s="5"/>
    </row>
    <row r="145" spans="3:3" ht="15" customHeight="1" x14ac:dyDescent="0.25">
      <c r="C145" s="5"/>
    </row>
    <row r="146" spans="3:3" ht="15" customHeight="1" x14ac:dyDescent="0.25">
      <c r="C146" s="5"/>
    </row>
    <row r="147" spans="3:3" ht="15" customHeight="1" x14ac:dyDescent="0.25">
      <c r="C147" s="5"/>
    </row>
    <row r="148" spans="3:3" ht="15" customHeight="1" x14ac:dyDescent="0.25">
      <c r="C148" s="5"/>
    </row>
    <row r="149" spans="3:3" ht="15" customHeight="1" x14ac:dyDescent="0.25">
      <c r="C149" s="5"/>
    </row>
    <row r="150" spans="3:3" ht="15" customHeight="1" x14ac:dyDescent="0.25">
      <c r="C150" s="5"/>
    </row>
    <row r="151" spans="3:3" ht="15" customHeight="1" x14ac:dyDescent="0.25">
      <c r="C151" s="5"/>
    </row>
    <row r="152" spans="3:3" ht="15" customHeight="1" x14ac:dyDescent="0.25">
      <c r="C152" s="5"/>
    </row>
    <row r="153" spans="3:3" ht="15" customHeight="1" x14ac:dyDescent="0.25">
      <c r="C153" s="5"/>
    </row>
    <row r="154" spans="3:3" ht="15" customHeight="1" x14ac:dyDescent="0.25">
      <c r="C154" s="5"/>
    </row>
    <row r="155" spans="3:3" ht="15" customHeight="1" x14ac:dyDescent="0.25">
      <c r="C155" s="5"/>
    </row>
    <row r="156" spans="3:3" ht="15" customHeight="1" x14ac:dyDescent="0.25">
      <c r="C156" s="5"/>
    </row>
    <row r="157" spans="3:3" ht="15" customHeight="1" x14ac:dyDescent="0.25">
      <c r="C157" s="5"/>
    </row>
    <row r="158" spans="3:3" ht="15" customHeight="1" x14ac:dyDescent="0.25">
      <c r="C158" s="5"/>
    </row>
    <row r="159" spans="3:3" ht="15" customHeight="1" x14ac:dyDescent="0.25">
      <c r="C159" s="5"/>
    </row>
    <row r="160" spans="3:3" ht="15" customHeight="1" x14ac:dyDescent="0.25">
      <c r="C160" s="5"/>
    </row>
  </sheetData>
  <mergeCells count="15">
    <mergeCell ref="A3:K3"/>
    <mergeCell ref="A4:A5"/>
    <mergeCell ref="B4:D4"/>
    <mergeCell ref="E4:G4"/>
    <mergeCell ref="H4:I4"/>
    <mergeCell ref="J4:K4"/>
    <mergeCell ref="I44:K44"/>
    <mergeCell ref="I45:K45"/>
    <mergeCell ref="I46:K46"/>
    <mergeCell ref="A36:D36"/>
    <mergeCell ref="I39:K39"/>
    <mergeCell ref="I40:K40"/>
    <mergeCell ref="I41:K41"/>
    <mergeCell ref="I42:K42"/>
    <mergeCell ref="I43:K43"/>
  </mergeCells>
  <pageMargins left="0.31496062992125984" right="0.31496062992125984" top="0.35433070866141736" bottom="0.74803149606299213" header="0.31496062992125984" footer="0.31496062992125984"/>
  <pageSetup paperSize="5" scale="95" orientation="landscape" horizontalDpi="4294967293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K20"/>
  <sheetViews>
    <sheetView topLeftCell="A13" zoomScale="120" zoomScaleNormal="120" workbookViewId="0">
      <selection activeCell="P12" sqref="P12"/>
    </sheetView>
  </sheetViews>
  <sheetFormatPr defaultRowHeight="15" x14ac:dyDescent="0.25"/>
  <cols>
    <col min="4" max="4" width="9.85546875" bestFit="1" customWidth="1"/>
    <col min="11" max="11" width="9.5703125" customWidth="1"/>
  </cols>
  <sheetData>
    <row r="1" spans="1:11" x14ac:dyDescent="0.25">
      <c r="A1" s="146" t="s">
        <v>12</v>
      </c>
      <c r="B1" s="203"/>
      <c r="C1" s="203"/>
      <c r="D1" s="203"/>
      <c r="E1" s="204"/>
      <c r="F1" s="204"/>
      <c r="G1" s="203"/>
      <c r="H1" s="203"/>
      <c r="I1" s="203"/>
      <c r="J1" s="203"/>
      <c r="K1" s="203"/>
    </row>
    <row r="2" spans="1:11" x14ac:dyDescent="0.25">
      <c r="A2" s="146" t="s">
        <v>92</v>
      </c>
      <c r="B2" s="147"/>
      <c r="C2" s="147"/>
      <c r="D2" s="147"/>
      <c r="E2" s="147"/>
      <c r="F2" s="147"/>
      <c r="G2" s="147"/>
      <c r="H2" s="203"/>
      <c r="I2" s="203"/>
      <c r="J2" s="203"/>
      <c r="K2" s="203"/>
    </row>
    <row r="3" spans="1:11" x14ac:dyDescent="0.25">
      <c r="A3" s="147"/>
      <c r="B3" s="203"/>
      <c r="C3" s="203"/>
      <c r="D3" s="203"/>
      <c r="E3" s="204"/>
      <c r="F3" s="204"/>
      <c r="G3" s="203"/>
      <c r="H3" s="203"/>
      <c r="I3" s="203"/>
      <c r="J3" s="203"/>
      <c r="K3" s="203"/>
    </row>
    <row r="4" spans="1:11" x14ac:dyDescent="0.25">
      <c r="A4" s="500" t="s">
        <v>67</v>
      </c>
      <c r="B4" s="500"/>
      <c r="C4" s="500"/>
      <c r="D4" s="500"/>
      <c r="E4" s="500"/>
      <c r="F4" s="500"/>
      <c r="G4" s="500"/>
      <c r="H4" s="500"/>
      <c r="I4" s="500"/>
      <c r="J4" s="500"/>
      <c r="K4" s="500"/>
    </row>
    <row r="5" spans="1:11" x14ac:dyDescent="0.25">
      <c r="A5" s="205"/>
      <c r="B5" s="206"/>
      <c r="C5" s="206"/>
      <c r="D5" s="206"/>
      <c r="E5" s="207"/>
      <c r="F5" s="207"/>
      <c r="G5" s="206"/>
      <c r="H5" s="206"/>
      <c r="I5" s="206"/>
      <c r="J5" s="206"/>
      <c r="K5" s="206"/>
    </row>
    <row r="6" spans="1:11" x14ac:dyDescent="0.25">
      <c r="A6" s="501" t="s">
        <v>0</v>
      </c>
      <c r="B6" s="503" t="s">
        <v>7</v>
      </c>
      <c r="C6" s="503"/>
      <c r="D6" s="503"/>
      <c r="E6" s="503" t="s">
        <v>5</v>
      </c>
      <c r="F6" s="503"/>
      <c r="G6" s="503"/>
      <c r="H6" s="503" t="s">
        <v>4</v>
      </c>
      <c r="I6" s="503"/>
      <c r="J6" s="503" t="s">
        <v>6</v>
      </c>
      <c r="K6" s="503"/>
    </row>
    <row r="7" spans="1:11" x14ac:dyDescent="0.25">
      <c r="A7" s="502"/>
      <c r="B7" s="208" t="s">
        <v>8</v>
      </c>
      <c r="C7" s="208" t="s">
        <v>9</v>
      </c>
      <c r="D7" s="208" t="s">
        <v>13</v>
      </c>
      <c r="E7" s="209" t="s">
        <v>8</v>
      </c>
      <c r="F7" s="209" t="s">
        <v>9</v>
      </c>
      <c r="G7" s="208" t="s">
        <v>13</v>
      </c>
      <c r="H7" s="208" t="s">
        <v>8</v>
      </c>
      <c r="I7" s="208" t="s">
        <v>13</v>
      </c>
      <c r="J7" s="208" t="s">
        <v>8</v>
      </c>
      <c r="K7" s="208" t="s">
        <v>13</v>
      </c>
    </row>
    <row r="8" spans="1:11" x14ac:dyDescent="0.25">
      <c r="A8" s="364" t="s">
        <v>1</v>
      </c>
      <c r="B8" s="365"/>
      <c r="C8" s="365"/>
      <c r="D8" s="365">
        <f t="shared" ref="D8:D12" si="0">B8*C8</f>
        <v>0</v>
      </c>
      <c r="E8" s="366"/>
      <c r="F8" s="366"/>
      <c r="G8" s="366"/>
      <c r="H8" s="365"/>
      <c r="I8" s="365">
        <f>H8*C8</f>
        <v>0</v>
      </c>
      <c r="J8" s="365">
        <f t="shared" ref="J8:J12" si="1">B8+E8-H8</f>
        <v>0</v>
      </c>
      <c r="K8" s="365">
        <f>J8*C8</f>
        <v>0</v>
      </c>
    </row>
    <row r="9" spans="1:11" x14ac:dyDescent="0.25">
      <c r="A9" s="367" t="s">
        <v>21</v>
      </c>
      <c r="B9" s="368"/>
      <c r="C9" s="369"/>
      <c r="D9" s="370">
        <f t="shared" si="0"/>
        <v>0</v>
      </c>
      <c r="E9" s="370"/>
      <c r="F9" s="370"/>
      <c r="G9" s="370">
        <f>E9*F9</f>
        <v>0</v>
      </c>
      <c r="H9" s="370"/>
      <c r="I9" s="370">
        <f>H9*F9</f>
        <v>0</v>
      </c>
      <c r="J9" s="370">
        <f t="shared" si="1"/>
        <v>0</v>
      </c>
      <c r="K9" s="365">
        <f>J9*C9</f>
        <v>0</v>
      </c>
    </row>
    <row r="10" spans="1:11" x14ac:dyDescent="0.25">
      <c r="A10" s="367" t="s">
        <v>22</v>
      </c>
      <c r="B10" s="368"/>
      <c r="C10" s="369"/>
      <c r="D10" s="370">
        <f t="shared" si="0"/>
        <v>0</v>
      </c>
      <c r="E10" s="370"/>
      <c r="F10" s="370"/>
      <c r="G10" s="370"/>
      <c r="H10" s="370"/>
      <c r="I10" s="370">
        <f t="shared" ref="I10:I17" si="2">H10*C10</f>
        <v>0</v>
      </c>
      <c r="J10" s="370">
        <f t="shared" si="1"/>
        <v>0</v>
      </c>
      <c r="K10" s="370">
        <f t="shared" ref="K10:K17" si="3">J10*C10</f>
        <v>0</v>
      </c>
    </row>
    <row r="11" spans="1:11" x14ac:dyDescent="0.25">
      <c r="A11" s="367" t="s">
        <v>24</v>
      </c>
      <c r="B11" s="368"/>
      <c r="C11" s="369"/>
      <c r="D11" s="371">
        <f t="shared" si="0"/>
        <v>0</v>
      </c>
      <c r="E11" s="371"/>
      <c r="F11" s="371"/>
      <c r="G11" s="371">
        <f>E11*F11</f>
        <v>0</v>
      </c>
      <c r="H11" s="370"/>
      <c r="I11" s="370">
        <f t="shared" si="2"/>
        <v>0</v>
      </c>
      <c r="J11" s="370">
        <f t="shared" si="1"/>
        <v>0</v>
      </c>
      <c r="K11" s="370">
        <f t="shared" si="3"/>
        <v>0</v>
      </c>
    </row>
    <row r="12" spans="1:11" x14ac:dyDescent="0.25">
      <c r="A12" s="367" t="s">
        <v>27</v>
      </c>
      <c r="B12" s="368"/>
      <c r="C12" s="369"/>
      <c r="D12" s="371">
        <f t="shared" si="0"/>
        <v>0</v>
      </c>
      <c r="E12" s="371"/>
      <c r="F12" s="371"/>
      <c r="G12" s="371">
        <f>E12*F12</f>
        <v>0</v>
      </c>
      <c r="H12" s="371"/>
      <c r="I12" s="370">
        <f t="shared" si="2"/>
        <v>0</v>
      </c>
      <c r="J12" s="369">
        <f t="shared" si="1"/>
        <v>0</v>
      </c>
      <c r="K12" s="370">
        <f t="shared" si="3"/>
        <v>0</v>
      </c>
    </row>
    <row r="13" spans="1:11" x14ac:dyDescent="0.25">
      <c r="A13" s="367" t="s">
        <v>51</v>
      </c>
      <c r="B13" s="374"/>
      <c r="C13" s="369"/>
      <c r="D13" s="371">
        <f t="shared" ref="D13:D18" si="4">B13*C13</f>
        <v>0</v>
      </c>
      <c r="E13" s="371"/>
      <c r="F13" s="371"/>
      <c r="G13" s="371"/>
      <c r="H13" s="371"/>
      <c r="I13" s="370">
        <f t="shared" si="2"/>
        <v>0</v>
      </c>
      <c r="J13" s="369">
        <f>B13+E13-H13</f>
        <v>0</v>
      </c>
      <c r="K13" s="370">
        <f t="shared" si="3"/>
        <v>0</v>
      </c>
    </row>
    <row r="14" spans="1:11" x14ac:dyDescent="0.25">
      <c r="A14" s="367" t="s">
        <v>52</v>
      </c>
      <c r="B14" s="371"/>
      <c r="C14" s="369"/>
      <c r="D14" s="371">
        <f t="shared" si="4"/>
        <v>0</v>
      </c>
      <c r="E14" s="371"/>
      <c r="F14" s="371"/>
      <c r="G14" s="371"/>
      <c r="H14" s="371"/>
      <c r="I14" s="371">
        <f t="shared" si="2"/>
        <v>0</v>
      </c>
      <c r="J14" s="369">
        <f>B14-H14</f>
        <v>0</v>
      </c>
      <c r="K14" s="370">
        <f t="shared" si="3"/>
        <v>0</v>
      </c>
    </row>
    <row r="15" spans="1:11" x14ac:dyDescent="0.25">
      <c r="A15" s="367" t="s">
        <v>53</v>
      </c>
      <c r="B15" s="371"/>
      <c r="C15" s="369"/>
      <c r="D15" s="371">
        <f t="shared" si="4"/>
        <v>0</v>
      </c>
      <c r="E15" s="371"/>
      <c r="F15" s="371"/>
      <c r="G15" s="371">
        <f>E15*F15</f>
        <v>0</v>
      </c>
      <c r="H15" s="372"/>
      <c r="I15" s="370">
        <f t="shared" si="2"/>
        <v>0</v>
      </c>
      <c r="J15" s="369">
        <f>B15+E15-H15</f>
        <v>0</v>
      </c>
      <c r="K15" s="370">
        <f t="shared" si="3"/>
        <v>0</v>
      </c>
    </row>
    <row r="16" spans="1:11" x14ac:dyDescent="0.25">
      <c r="A16" s="367" t="s">
        <v>54</v>
      </c>
      <c r="B16" s="371"/>
      <c r="C16" s="369"/>
      <c r="D16" s="371">
        <f t="shared" si="4"/>
        <v>0</v>
      </c>
      <c r="E16" s="371"/>
      <c r="F16" s="371"/>
      <c r="G16" s="371"/>
      <c r="H16" s="371"/>
      <c r="I16" s="371">
        <f t="shared" si="2"/>
        <v>0</v>
      </c>
      <c r="J16" s="369">
        <f>B16-H16</f>
        <v>0</v>
      </c>
      <c r="K16" s="370">
        <f t="shared" si="3"/>
        <v>0</v>
      </c>
    </row>
    <row r="17" spans="1:11" x14ac:dyDescent="0.25">
      <c r="A17" s="367" t="s">
        <v>55</v>
      </c>
      <c r="B17" s="374"/>
      <c r="C17" s="369"/>
      <c r="D17" s="371">
        <f t="shared" si="4"/>
        <v>0</v>
      </c>
      <c r="E17" s="371"/>
      <c r="F17" s="371"/>
      <c r="G17" s="371">
        <f>E17*F17</f>
        <v>0</v>
      </c>
      <c r="H17" s="371"/>
      <c r="I17" s="371">
        <f t="shared" si="2"/>
        <v>0</v>
      </c>
      <c r="J17" s="369">
        <f>B17+E17-H17</f>
        <v>0</v>
      </c>
      <c r="K17" s="370">
        <f t="shared" si="3"/>
        <v>0</v>
      </c>
    </row>
    <row r="18" spans="1:11" x14ac:dyDescent="0.25">
      <c r="A18" s="367" t="s">
        <v>64</v>
      </c>
      <c r="B18" s="374"/>
      <c r="C18" s="369"/>
      <c r="D18" s="371">
        <f t="shared" si="4"/>
        <v>0</v>
      </c>
      <c r="E18" s="371"/>
      <c r="F18" s="371"/>
      <c r="G18" s="371">
        <f>E18*F18</f>
        <v>0</v>
      </c>
      <c r="H18" s="371"/>
      <c r="I18" s="371">
        <f>H18*F18</f>
        <v>0</v>
      </c>
      <c r="J18" s="369">
        <f>B18+E18-H18</f>
        <v>0</v>
      </c>
      <c r="K18" s="370">
        <f>J18*C18</f>
        <v>0</v>
      </c>
    </row>
    <row r="19" spans="1:11" x14ac:dyDescent="0.25">
      <c r="A19" s="367" t="s">
        <v>65</v>
      </c>
      <c r="B19" s="371"/>
      <c r="C19" s="369"/>
      <c r="D19" s="371">
        <f>B19*C19</f>
        <v>0</v>
      </c>
      <c r="E19" s="371"/>
      <c r="F19" s="371"/>
      <c r="G19" s="371">
        <f>E19*F19</f>
        <v>0</v>
      </c>
      <c r="H19" s="372"/>
      <c r="I19" s="440">
        <f>H19*C19</f>
        <v>0</v>
      </c>
      <c r="J19" s="369">
        <f>B19+E19-H19</f>
        <v>0</v>
      </c>
      <c r="K19" s="370">
        <f>J19*C19</f>
        <v>0</v>
      </c>
    </row>
    <row r="20" spans="1:11" x14ac:dyDescent="0.25">
      <c r="A20" s="498" t="s">
        <v>66</v>
      </c>
      <c r="B20" s="499"/>
      <c r="C20" s="499"/>
      <c r="D20" s="499"/>
      <c r="E20" s="373">
        <f t="shared" ref="E20:K20" si="5">SUM(E8:E19)</f>
        <v>0</v>
      </c>
      <c r="F20" s="373">
        <f t="shared" si="5"/>
        <v>0</v>
      </c>
      <c r="G20" s="373">
        <f t="shared" si="5"/>
        <v>0</v>
      </c>
      <c r="H20" s="373">
        <f t="shared" si="5"/>
        <v>0</v>
      </c>
      <c r="I20" s="373">
        <f t="shared" si="5"/>
        <v>0</v>
      </c>
      <c r="J20" s="373">
        <f t="shared" si="5"/>
        <v>0</v>
      </c>
      <c r="K20" s="373">
        <f t="shared" si="5"/>
        <v>0</v>
      </c>
    </row>
  </sheetData>
  <mergeCells count="7">
    <mergeCell ref="A20:D20"/>
    <mergeCell ref="A4:K4"/>
    <mergeCell ref="A6:A7"/>
    <mergeCell ref="B6:D6"/>
    <mergeCell ref="E6:G6"/>
    <mergeCell ref="H6:I6"/>
    <mergeCell ref="J6:K6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62"/>
  <sheetViews>
    <sheetView showWhiteSpace="0" topLeftCell="A31" zoomScale="115" zoomScaleNormal="115" zoomScaleSheetLayoutView="66" zoomScalePageLayoutView="75" workbookViewId="0">
      <selection activeCell="O24" sqref="O24"/>
    </sheetView>
  </sheetViews>
  <sheetFormatPr defaultRowHeight="15" customHeight="1" x14ac:dyDescent="0.25"/>
  <cols>
    <col min="1" max="1" width="14.140625" customWidth="1"/>
    <col min="2" max="2" width="9.28515625" customWidth="1"/>
    <col min="3" max="3" width="13" customWidth="1"/>
    <col min="4" max="4" width="16.7109375" customWidth="1"/>
    <col min="5" max="5" width="9.7109375" customWidth="1"/>
    <col min="6" max="6" width="11.85546875" customWidth="1"/>
    <col min="7" max="7" width="16.5703125" customWidth="1"/>
    <col min="8" max="8" width="11.5703125" customWidth="1"/>
    <col min="9" max="9" width="12.28515625" customWidth="1"/>
    <col min="10" max="10" width="15.42578125" customWidth="1"/>
    <col min="11" max="11" width="11" customWidth="1"/>
    <col min="12" max="12" width="10.85546875" customWidth="1"/>
    <col min="13" max="13" width="16.28515625" customWidth="1"/>
    <col min="14" max="14" width="9.5703125" customWidth="1"/>
    <col min="15" max="15" width="18.140625" customWidth="1"/>
    <col min="16" max="16" width="10.28515625" customWidth="1"/>
    <col min="17" max="17" width="18" customWidth="1"/>
    <col min="18" max="18" width="22" customWidth="1"/>
    <col min="19" max="19" width="23.140625" customWidth="1"/>
  </cols>
  <sheetData>
    <row r="1" spans="1:18" s="95" customFormat="1" ht="15" customHeight="1" x14ac:dyDescent="0.25">
      <c r="A1" s="162" t="s">
        <v>12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</row>
    <row r="2" spans="1:18" s="95" customFormat="1" ht="15" customHeight="1" x14ac:dyDescent="0.25">
      <c r="A2" s="162" t="s">
        <v>108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</row>
    <row r="3" spans="1:18" s="95" customFormat="1" ht="23.25" customHeight="1" x14ac:dyDescent="0.25">
      <c r="A3" s="504" t="s">
        <v>2</v>
      </c>
      <c r="B3" s="504"/>
      <c r="C3" s="504"/>
      <c r="D3" s="504"/>
      <c r="E3" s="504"/>
      <c r="F3" s="504"/>
      <c r="G3" s="504"/>
      <c r="H3" s="504"/>
      <c r="I3" s="504"/>
      <c r="J3" s="504"/>
      <c r="K3" s="504"/>
      <c r="L3" s="504"/>
      <c r="M3" s="504"/>
      <c r="N3" s="504"/>
      <c r="O3" s="504"/>
      <c r="P3" s="504"/>
      <c r="Q3" s="504"/>
    </row>
    <row r="4" spans="1:18" ht="18.75" customHeight="1" x14ac:dyDescent="0.25">
      <c r="A4" s="505" t="s">
        <v>0</v>
      </c>
      <c r="B4" s="505" t="s">
        <v>7</v>
      </c>
      <c r="C4" s="505"/>
      <c r="D4" s="505"/>
      <c r="E4" s="505" t="s">
        <v>5</v>
      </c>
      <c r="F4" s="505"/>
      <c r="G4" s="505"/>
      <c r="H4" s="508" t="s">
        <v>25</v>
      </c>
      <c r="I4" s="509"/>
      <c r="J4" s="510"/>
      <c r="K4" s="508" t="s">
        <v>26</v>
      </c>
      <c r="L4" s="509"/>
      <c r="M4" s="510"/>
      <c r="N4" s="505" t="s">
        <v>4</v>
      </c>
      <c r="O4" s="505"/>
      <c r="P4" s="505" t="s">
        <v>6</v>
      </c>
      <c r="Q4" s="505"/>
    </row>
    <row r="5" spans="1:18" ht="21" customHeight="1" x14ac:dyDescent="0.25">
      <c r="A5" s="505"/>
      <c r="B5" s="164" t="s">
        <v>8</v>
      </c>
      <c r="C5" s="164" t="s">
        <v>14</v>
      </c>
      <c r="D5" s="164" t="s">
        <v>13</v>
      </c>
      <c r="E5" s="164" t="s">
        <v>8</v>
      </c>
      <c r="F5" s="164" t="s">
        <v>14</v>
      </c>
      <c r="G5" s="164" t="s">
        <v>10</v>
      </c>
      <c r="H5" s="164" t="s">
        <v>8</v>
      </c>
      <c r="I5" s="164" t="s">
        <v>9</v>
      </c>
      <c r="J5" s="164" t="s">
        <v>13</v>
      </c>
      <c r="K5" s="164" t="s">
        <v>8</v>
      </c>
      <c r="L5" s="164" t="s">
        <v>9</v>
      </c>
      <c r="M5" s="164" t="s">
        <v>13</v>
      </c>
      <c r="N5" s="164" t="s">
        <v>8</v>
      </c>
      <c r="O5" s="164" t="s">
        <v>13</v>
      </c>
      <c r="P5" s="164" t="s">
        <v>8</v>
      </c>
      <c r="Q5" s="164" t="s">
        <v>15</v>
      </c>
    </row>
    <row r="6" spans="1:18" ht="11.25" customHeight="1" x14ac:dyDescent="0.25">
      <c r="A6" s="165"/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</row>
    <row r="7" spans="1:18" ht="15" customHeight="1" x14ac:dyDescent="0.25">
      <c r="A7" s="167" t="s">
        <v>1</v>
      </c>
      <c r="B7" s="168"/>
      <c r="C7" s="161"/>
      <c r="D7" s="161">
        <f>B7*C7</f>
        <v>0</v>
      </c>
      <c r="E7" s="169"/>
      <c r="F7" s="161"/>
      <c r="G7" s="161"/>
      <c r="H7" s="161"/>
      <c r="I7" s="161"/>
      <c r="J7" s="161">
        <f>H7*I7</f>
        <v>0</v>
      </c>
      <c r="K7" s="161"/>
      <c r="L7" s="161"/>
      <c r="M7" s="161">
        <f>K7*L7</f>
        <v>0</v>
      </c>
      <c r="N7" s="302"/>
      <c r="O7" s="161">
        <f>N7*C7</f>
        <v>0</v>
      </c>
      <c r="P7" s="170">
        <f>B7+E7-N7-H7-K7</f>
        <v>0</v>
      </c>
      <c r="Q7" s="161">
        <f>D7+G7-O7-J7-M7</f>
        <v>0</v>
      </c>
    </row>
    <row r="8" spans="1:18" ht="15" customHeight="1" x14ac:dyDescent="0.25">
      <c r="A8" s="167"/>
      <c r="B8" s="168"/>
      <c r="C8" s="161"/>
      <c r="D8" s="161">
        <f>B8*C8</f>
        <v>0</v>
      </c>
      <c r="E8" s="169"/>
      <c r="F8" s="161"/>
      <c r="G8" s="171"/>
      <c r="H8" s="171"/>
      <c r="I8" s="171"/>
      <c r="J8" s="161"/>
      <c r="K8" s="171"/>
      <c r="L8" s="171"/>
      <c r="M8" s="171"/>
      <c r="N8" s="169"/>
      <c r="O8" s="161"/>
      <c r="P8" s="170">
        <f>B8+E8-N8-H8-K8</f>
        <v>0</v>
      </c>
      <c r="Q8" s="161">
        <f>D8+G8-O8-J8-M8</f>
        <v>0</v>
      </c>
    </row>
    <row r="9" spans="1:18" ht="15" customHeight="1" x14ac:dyDescent="0.25">
      <c r="A9" s="167"/>
      <c r="B9" s="168"/>
      <c r="C9" s="161"/>
      <c r="D9" s="439">
        <f>SUM(D7:D8)</f>
        <v>0</v>
      </c>
      <c r="E9" s="169"/>
      <c r="F9" s="161"/>
      <c r="G9" s="171"/>
      <c r="H9" s="171"/>
      <c r="I9" s="171"/>
      <c r="J9" s="161"/>
      <c r="K9" s="171"/>
      <c r="L9" s="171"/>
      <c r="M9" s="171"/>
      <c r="N9" s="169"/>
      <c r="O9" s="161"/>
      <c r="P9" s="438">
        <f>SUM(P7:P8)</f>
        <v>0</v>
      </c>
      <c r="Q9" s="439">
        <f>SUM(Q7:Q8)</f>
        <v>0</v>
      </c>
    </row>
    <row r="10" spans="1:18" ht="15" customHeight="1" x14ac:dyDescent="0.25">
      <c r="A10" s="167"/>
      <c r="B10" s="168"/>
      <c r="C10" s="161"/>
      <c r="D10" s="161"/>
      <c r="E10" s="169"/>
      <c r="F10" s="161"/>
      <c r="G10" s="171"/>
      <c r="H10" s="171"/>
      <c r="I10" s="171"/>
      <c r="J10" s="161"/>
      <c r="K10" s="171"/>
      <c r="L10" s="171"/>
      <c r="M10" s="171"/>
      <c r="N10" s="169"/>
      <c r="O10" s="161"/>
      <c r="P10" s="170"/>
      <c r="Q10" s="161"/>
    </row>
    <row r="11" spans="1:18" s="297" customFormat="1" ht="15" customHeight="1" x14ac:dyDescent="0.25">
      <c r="A11" s="277" t="s">
        <v>21</v>
      </c>
      <c r="B11" s="168"/>
      <c r="C11" s="161"/>
      <c r="D11" s="293">
        <f>B11*C11</f>
        <v>0</v>
      </c>
      <c r="E11" s="302"/>
      <c r="F11" s="293"/>
      <c r="G11" s="293"/>
      <c r="H11" s="171"/>
      <c r="I11" s="293">
        <f>C11</f>
        <v>0</v>
      </c>
      <c r="J11" s="293">
        <f>H11*I11</f>
        <v>0</v>
      </c>
      <c r="K11" s="293"/>
      <c r="L11" s="293"/>
      <c r="M11" s="293">
        <f>K11*L11</f>
        <v>0</v>
      </c>
      <c r="N11" s="302"/>
      <c r="O11" s="293">
        <f>N11*C11</f>
        <v>0</v>
      </c>
      <c r="P11" s="449">
        <f>B11+E11-N11-H11-K11</f>
        <v>0</v>
      </c>
      <c r="Q11" s="293">
        <f>P11*C11</f>
        <v>0</v>
      </c>
    </row>
    <row r="12" spans="1:18" ht="15" customHeight="1" x14ac:dyDescent="0.25">
      <c r="A12" s="167"/>
      <c r="B12" s="168"/>
      <c r="C12" s="161"/>
      <c r="D12" s="161">
        <f>B12*C12</f>
        <v>0</v>
      </c>
      <c r="E12" s="169"/>
      <c r="F12" s="161"/>
      <c r="G12" s="161"/>
      <c r="H12" s="171"/>
      <c r="I12" s="161">
        <f>C12</f>
        <v>0</v>
      </c>
      <c r="J12" s="161">
        <f>H12*I12</f>
        <v>0</v>
      </c>
      <c r="K12" s="161"/>
      <c r="L12" s="161">
        <f>C12</f>
        <v>0</v>
      </c>
      <c r="M12" s="161">
        <f>K12*L12</f>
        <v>0</v>
      </c>
      <c r="N12" s="169"/>
      <c r="O12" s="161">
        <f>N12*C12</f>
        <v>0</v>
      </c>
      <c r="P12" s="449">
        <f>B12+E12-N12-H12-K12</f>
        <v>0</v>
      </c>
      <c r="Q12" s="293">
        <f>P12*C12</f>
        <v>0</v>
      </c>
    </row>
    <row r="13" spans="1:18" ht="15" customHeight="1" x14ac:dyDescent="0.25">
      <c r="A13" s="167"/>
      <c r="B13" s="168"/>
      <c r="C13" s="161"/>
      <c r="D13" s="439">
        <f>SUM(D11:D12)</f>
        <v>0</v>
      </c>
      <c r="E13" s="169"/>
      <c r="F13" s="161"/>
      <c r="G13" s="161"/>
      <c r="H13" s="171"/>
      <c r="I13" s="439"/>
      <c r="J13" s="439">
        <f>SUM(J11:J12)</f>
        <v>0</v>
      </c>
      <c r="K13" s="161"/>
      <c r="L13" s="161"/>
      <c r="M13" s="161"/>
      <c r="N13" s="169"/>
      <c r="O13" s="161"/>
      <c r="P13" s="438">
        <f>SUM(P11:P12)</f>
        <v>0</v>
      </c>
      <c r="Q13" s="439">
        <f>SUM(Q11:Q12)</f>
        <v>0</v>
      </c>
    </row>
    <row r="14" spans="1:18" ht="15" customHeight="1" x14ac:dyDescent="0.25">
      <c r="A14" s="167"/>
      <c r="B14" s="168"/>
      <c r="C14" s="161"/>
      <c r="D14" s="161"/>
      <c r="E14" s="169"/>
      <c r="F14" s="161"/>
      <c r="G14" s="161"/>
      <c r="H14" s="171"/>
      <c r="I14" s="161"/>
      <c r="J14" s="161"/>
      <c r="K14" s="161"/>
      <c r="L14" s="161"/>
      <c r="M14" s="161"/>
      <c r="N14" s="169"/>
      <c r="O14" s="161"/>
      <c r="P14" s="170"/>
      <c r="Q14" s="161"/>
    </row>
    <row r="15" spans="1:18" ht="15" customHeight="1" x14ac:dyDescent="0.25">
      <c r="A15" s="167"/>
      <c r="B15" s="168"/>
      <c r="C15" s="161"/>
      <c r="D15" s="171"/>
      <c r="E15" s="173"/>
      <c r="F15" s="171"/>
      <c r="G15" s="171"/>
      <c r="H15" s="171"/>
      <c r="I15" s="171"/>
      <c r="J15" s="171"/>
      <c r="K15" s="171"/>
      <c r="L15" s="171"/>
      <c r="M15" s="171"/>
      <c r="N15" s="174"/>
      <c r="O15" s="175"/>
      <c r="P15" s="176"/>
      <c r="Q15" s="175"/>
      <c r="R15" s="15"/>
    </row>
    <row r="16" spans="1:18" ht="15" customHeight="1" x14ac:dyDescent="0.25">
      <c r="A16" s="167" t="s">
        <v>22</v>
      </c>
      <c r="B16" s="168"/>
      <c r="C16" s="161"/>
      <c r="D16" s="161">
        <f>B16*C16</f>
        <v>0</v>
      </c>
      <c r="E16" s="173"/>
      <c r="F16" s="171"/>
      <c r="G16" s="171"/>
      <c r="H16" s="171"/>
      <c r="I16" s="171">
        <f>C16</f>
        <v>0</v>
      </c>
      <c r="J16" s="171">
        <f>H16*I16</f>
        <v>0</v>
      </c>
      <c r="K16" s="171"/>
      <c r="L16" s="171">
        <f>C16</f>
        <v>0</v>
      </c>
      <c r="M16" s="171">
        <f>K16*L16</f>
        <v>0</v>
      </c>
      <c r="N16" s="292"/>
      <c r="O16" s="161">
        <f>N16*C16</f>
        <v>0</v>
      </c>
      <c r="P16" s="170">
        <f>B16+E16-H16-K16-N16</f>
        <v>0</v>
      </c>
      <c r="Q16" s="161">
        <f>P16*C16</f>
        <v>0</v>
      </c>
      <c r="R16" s="15"/>
    </row>
    <row r="17" spans="1:18" ht="15" customHeight="1" x14ac:dyDescent="0.25">
      <c r="A17" s="167"/>
      <c r="B17" s="168"/>
      <c r="C17" s="161"/>
      <c r="D17" s="161"/>
      <c r="E17" s="173"/>
      <c r="F17" s="171"/>
      <c r="G17" s="171">
        <f>E17*F17</f>
        <v>0</v>
      </c>
      <c r="H17" s="171"/>
      <c r="I17" s="171"/>
      <c r="J17" s="171"/>
      <c r="K17" s="171"/>
      <c r="L17" s="171"/>
      <c r="M17" s="171"/>
      <c r="N17" s="292"/>
      <c r="O17" s="161">
        <f>N17*F17</f>
        <v>0</v>
      </c>
      <c r="P17" s="170">
        <f>B17+E17-H17-K17-N17</f>
        <v>0</v>
      </c>
      <c r="Q17" s="161">
        <f>P17*F17</f>
        <v>0</v>
      </c>
      <c r="R17" s="15"/>
    </row>
    <row r="18" spans="1:18" ht="15" customHeight="1" x14ac:dyDescent="0.25">
      <c r="A18" s="167"/>
      <c r="B18" s="168"/>
      <c r="C18" s="161"/>
      <c r="D18" s="161"/>
      <c r="E18" s="173"/>
      <c r="F18" s="171"/>
      <c r="G18" s="171"/>
      <c r="H18" s="357"/>
      <c r="I18" s="171"/>
      <c r="J18" s="171"/>
      <c r="K18" s="171"/>
      <c r="L18" s="171"/>
      <c r="M18" s="171"/>
      <c r="N18" s="454"/>
      <c r="O18" s="439">
        <f>SUM(O16:O17)</f>
        <v>0</v>
      </c>
      <c r="P18" s="438">
        <f>SUM(P16:P17)</f>
        <v>0</v>
      </c>
      <c r="Q18" s="439">
        <f>SUM(Q16:Q17)</f>
        <v>0</v>
      </c>
      <c r="R18" s="15"/>
    </row>
    <row r="19" spans="1:18" ht="15" customHeight="1" x14ac:dyDescent="0.25">
      <c r="A19" s="167"/>
      <c r="B19" s="168"/>
      <c r="C19" s="161"/>
      <c r="D19" s="161"/>
      <c r="E19" s="173"/>
      <c r="F19" s="171"/>
      <c r="G19" s="171"/>
      <c r="H19" s="357"/>
      <c r="I19" s="171"/>
      <c r="J19" s="171"/>
      <c r="K19" s="171"/>
      <c r="L19" s="171"/>
      <c r="M19" s="171"/>
      <c r="N19" s="292"/>
      <c r="O19" s="161"/>
      <c r="P19" s="170"/>
      <c r="Q19" s="161"/>
      <c r="R19" s="15"/>
    </row>
    <row r="20" spans="1:18" ht="15" customHeight="1" x14ac:dyDescent="0.25">
      <c r="A20" s="167"/>
      <c r="B20" s="168"/>
      <c r="C20" s="161"/>
      <c r="D20" s="161"/>
      <c r="E20" s="173"/>
      <c r="F20" s="171"/>
      <c r="G20" s="171">
        <f>E20*F20</f>
        <v>0</v>
      </c>
      <c r="H20" s="171"/>
      <c r="I20" s="171"/>
      <c r="J20" s="171"/>
      <c r="K20" s="171"/>
      <c r="L20" s="171"/>
      <c r="M20" s="171"/>
      <c r="N20" s="172"/>
      <c r="O20" s="161">
        <f>N20*F20</f>
        <v>0</v>
      </c>
      <c r="P20" s="170">
        <f>B20+E20-H20-K20-N20</f>
        <v>0</v>
      </c>
      <c r="Q20" s="161">
        <f>P20*C20</f>
        <v>0</v>
      </c>
      <c r="R20" s="15"/>
    </row>
    <row r="21" spans="1:18" ht="15" customHeight="1" x14ac:dyDescent="0.25">
      <c r="A21" s="167" t="s">
        <v>24</v>
      </c>
      <c r="B21" s="168"/>
      <c r="C21" s="161"/>
      <c r="D21" s="161">
        <f>B21*C21</f>
        <v>0</v>
      </c>
      <c r="E21" s="173"/>
      <c r="F21" s="171"/>
      <c r="G21" s="171">
        <f>E21*F21</f>
        <v>0</v>
      </c>
      <c r="H21" s="171"/>
      <c r="I21" s="171"/>
      <c r="J21" s="171">
        <f>H21*I21</f>
        <v>0</v>
      </c>
      <c r="K21" s="171"/>
      <c r="L21" s="171"/>
      <c r="M21" s="171">
        <f>K21*L21</f>
        <v>0</v>
      </c>
      <c r="N21" s="172"/>
      <c r="O21" s="161">
        <f>N21*C21</f>
        <v>0</v>
      </c>
      <c r="P21" s="170">
        <f>B21+E21-H21-K21-N21</f>
        <v>0</v>
      </c>
      <c r="Q21" s="161">
        <f>P21*C21</f>
        <v>0</v>
      </c>
      <c r="R21" s="15"/>
    </row>
    <row r="22" spans="1:18" ht="15" customHeight="1" x14ac:dyDescent="0.25">
      <c r="A22" s="167"/>
      <c r="B22" s="168"/>
      <c r="C22" s="161"/>
      <c r="D22" s="172"/>
      <c r="E22" s="173"/>
      <c r="F22" s="171"/>
      <c r="G22" s="171"/>
      <c r="H22" s="171"/>
      <c r="I22" s="171"/>
      <c r="J22" s="171" t="s">
        <v>39</v>
      </c>
      <c r="K22" s="171"/>
      <c r="L22" s="171"/>
      <c r="M22" s="171"/>
      <c r="N22" s="174"/>
      <c r="O22" s="175"/>
      <c r="P22" s="170"/>
      <c r="Q22" s="161"/>
      <c r="R22" s="138" t="e">
        <f>Q22+'Tawas Hanau'!K19+'Tawas K. B'!#REF!</f>
        <v>#REF!</v>
      </c>
    </row>
    <row r="23" spans="1:18" ht="15" customHeight="1" x14ac:dyDescent="0.25">
      <c r="A23" s="167" t="s">
        <v>27</v>
      </c>
      <c r="B23" s="168"/>
      <c r="C23" s="161"/>
      <c r="D23" s="161">
        <f>B23*C23</f>
        <v>0</v>
      </c>
      <c r="E23" s="173"/>
      <c r="F23" s="171"/>
      <c r="G23" s="171"/>
      <c r="H23" s="357"/>
      <c r="I23" s="171"/>
      <c r="J23" s="171">
        <f>H23*I23</f>
        <v>0</v>
      </c>
      <c r="K23" s="171"/>
      <c r="L23" s="171"/>
      <c r="M23" s="171">
        <f>K23*L23</f>
        <v>0</v>
      </c>
      <c r="N23" s="172"/>
      <c r="O23" s="161">
        <f>N23*C23</f>
        <v>0</v>
      </c>
      <c r="P23" s="170">
        <f>B23+E23-H23-K23-N23</f>
        <v>0</v>
      </c>
      <c r="Q23" s="161">
        <f>P23*C23</f>
        <v>0</v>
      </c>
      <c r="R23" s="138"/>
    </row>
    <row r="24" spans="1:18" ht="15" customHeight="1" x14ac:dyDescent="0.25">
      <c r="A24" s="167"/>
      <c r="B24" s="174"/>
      <c r="C24" s="161"/>
      <c r="D24" s="177"/>
      <c r="E24" s="173"/>
      <c r="F24" s="171"/>
      <c r="G24" s="171"/>
      <c r="H24" s="171"/>
      <c r="I24" s="171"/>
      <c r="J24" s="171"/>
      <c r="K24" s="171"/>
      <c r="L24" s="171"/>
      <c r="M24" s="171"/>
      <c r="N24" s="172"/>
      <c r="O24" s="161"/>
      <c r="P24" s="176"/>
      <c r="Q24" s="175"/>
      <c r="R24" s="138"/>
    </row>
    <row r="25" spans="1:18" ht="15" customHeight="1" x14ac:dyDescent="0.25">
      <c r="A25" s="167" t="s">
        <v>29</v>
      </c>
      <c r="B25" s="172"/>
      <c r="C25" s="172"/>
      <c r="D25" s="171">
        <f>B25*C25</f>
        <v>0</v>
      </c>
      <c r="E25" s="173"/>
      <c r="F25" s="171"/>
      <c r="G25" s="171"/>
      <c r="H25" s="171"/>
      <c r="I25" s="171"/>
      <c r="J25" s="171">
        <f>H25*I25</f>
        <v>0</v>
      </c>
      <c r="K25" s="171"/>
      <c r="L25" s="171"/>
      <c r="M25" s="171">
        <f>K25*L25</f>
        <v>0</v>
      </c>
      <c r="N25" s="292"/>
      <c r="O25" s="293">
        <f>N25*C25</f>
        <v>0</v>
      </c>
      <c r="P25" s="170">
        <f>B25+E25-H25-K25-N25</f>
        <v>0</v>
      </c>
      <c r="Q25" s="161">
        <f>P25*C25</f>
        <v>0</v>
      </c>
      <c r="R25" s="139">
        <f>P25*C25</f>
        <v>0</v>
      </c>
    </row>
    <row r="26" spans="1:18" ht="15" customHeight="1" x14ac:dyDescent="0.25">
      <c r="A26" s="167"/>
      <c r="B26" s="172"/>
      <c r="C26" s="172"/>
      <c r="D26" s="171"/>
      <c r="E26" s="173"/>
      <c r="F26" s="171"/>
      <c r="G26" s="171">
        <f>E26*F26</f>
        <v>0</v>
      </c>
      <c r="H26" s="171"/>
      <c r="I26" s="171"/>
      <c r="J26" s="171">
        <f>H26*I26</f>
        <v>0</v>
      </c>
      <c r="K26" s="171"/>
      <c r="L26" s="171"/>
      <c r="M26" s="171">
        <f>K26*L26</f>
        <v>0</v>
      </c>
      <c r="N26" s="172"/>
      <c r="O26" s="161">
        <f>N26*F26</f>
        <v>0</v>
      </c>
      <c r="P26" s="170">
        <f>B26+E26-H26-K26-N26</f>
        <v>0</v>
      </c>
      <c r="Q26" s="161">
        <f>P26*F26</f>
        <v>0</v>
      </c>
      <c r="R26" s="139"/>
    </row>
    <row r="27" spans="1:18" ht="15" customHeight="1" x14ac:dyDescent="0.25">
      <c r="A27" s="167" t="s">
        <v>30</v>
      </c>
      <c r="B27" s="172"/>
      <c r="C27" s="172"/>
      <c r="D27" s="171">
        <f t="shared" ref="D27:D33" si="0">B27*C27</f>
        <v>0</v>
      </c>
      <c r="E27" s="173"/>
      <c r="F27" s="171"/>
      <c r="G27" s="171">
        <f>E27*F27</f>
        <v>0</v>
      </c>
      <c r="H27" s="171"/>
      <c r="I27" s="171"/>
      <c r="J27" s="171">
        <f>H27*I27</f>
        <v>0</v>
      </c>
      <c r="K27" s="171"/>
      <c r="L27" s="171"/>
      <c r="M27" s="171">
        <f>K27*L27</f>
        <v>0</v>
      </c>
      <c r="N27" s="172"/>
      <c r="O27" s="161">
        <f>N27*C27</f>
        <v>0</v>
      </c>
      <c r="P27" s="170">
        <f>B27+E27-H27-K27-N27</f>
        <v>0</v>
      </c>
      <c r="Q27" s="161">
        <f t="shared" ref="Q27:Q33" si="1">P27*C27</f>
        <v>0</v>
      </c>
      <c r="R27" s="138">
        <f>P27*C27</f>
        <v>0</v>
      </c>
    </row>
    <row r="28" spans="1:18" ht="15" customHeight="1" x14ac:dyDescent="0.25">
      <c r="A28" s="167"/>
      <c r="B28" s="172"/>
      <c r="C28" s="172"/>
      <c r="D28" s="171">
        <f t="shared" si="0"/>
        <v>0</v>
      </c>
      <c r="E28" s="173"/>
      <c r="F28" s="171"/>
      <c r="G28" s="171"/>
      <c r="H28" s="171"/>
      <c r="I28" s="171"/>
      <c r="J28" s="171"/>
      <c r="K28" s="171"/>
      <c r="L28" s="171"/>
      <c r="M28" s="171"/>
      <c r="N28" s="172"/>
      <c r="O28" s="161"/>
      <c r="P28" s="170">
        <f>B28+E28-H28-N28</f>
        <v>0</v>
      </c>
      <c r="Q28" s="161">
        <f t="shared" si="1"/>
        <v>0</v>
      </c>
      <c r="R28" s="138"/>
    </row>
    <row r="29" spans="1:18" ht="15" customHeight="1" x14ac:dyDescent="0.25">
      <c r="A29" s="167" t="s">
        <v>31</v>
      </c>
      <c r="B29" s="172"/>
      <c r="C29" s="172"/>
      <c r="D29" s="171">
        <f t="shared" si="0"/>
        <v>0</v>
      </c>
      <c r="E29" s="173"/>
      <c r="F29" s="171"/>
      <c r="G29" s="171"/>
      <c r="H29" s="171"/>
      <c r="I29" s="171"/>
      <c r="J29" s="171">
        <f>H29*I29</f>
        <v>0</v>
      </c>
      <c r="K29" s="171"/>
      <c r="L29" s="171"/>
      <c r="M29" s="171">
        <f>K29*L29</f>
        <v>0</v>
      </c>
      <c r="N29" s="172"/>
      <c r="O29" s="161">
        <f>N29*C29</f>
        <v>0</v>
      </c>
      <c r="P29" s="170">
        <f>B29+E29-H29-K29-N29</f>
        <v>0</v>
      </c>
      <c r="Q29" s="161">
        <f t="shared" si="1"/>
        <v>0</v>
      </c>
      <c r="R29" s="138">
        <f>P29*C29</f>
        <v>0</v>
      </c>
    </row>
    <row r="30" spans="1:18" ht="15" customHeight="1" x14ac:dyDescent="0.25">
      <c r="A30" s="167"/>
      <c r="B30" s="172"/>
      <c r="C30" s="172"/>
      <c r="D30" s="171">
        <f t="shared" si="0"/>
        <v>0</v>
      </c>
      <c r="E30" s="173"/>
      <c r="F30" s="171"/>
      <c r="G30" s="171">
        <f>E30*F30</f>
        <v>0</v>
      </c>
      <c r="H30" s="171"/>
      <c r="I30" s="171"/>
      <c r="J30" s="171"/>
      <c r="K30" s="171"/>
      <c r="L30" s="171"/>
      <c r="M30" s="171"/>
      <c r="N30" s="172"/>
      <c r="O30" s="161">
        <f>N30*F30</f>
        <v>0</v>
      </c>
      <c r="P30" s="170">
        <f>B30+E30-H30-K30-N30</f>
        <v>0</v>
      </c>
      <c r="Q30" s="161">
        <f t="shared" si="1"/>
        <v>0</v>
      </c>
      <c r="R30" s="15"/>
    </row>
    <row r="31" spans="1:18" ht="15" customHeight="1" x14ac:dyDescent="0.25">
      <c r="A31" s="167" t="s">
        <v>32</v>
      </c>
      <c r="B31" s="172"/>
      <c r="C31" s="172"/>
      <c r="D31" s="171">
        <f t="shared" si="0"/>
        <v>0</v>
      </c>
      <c r="E31" s="173"/>
      <c r="F31" s="171"/>
      <c r="G31" s="171"/>
      <c r="H31" s="171"/>
      <c r="I31" s="171"/>
      <c r="J31" s="171">
        <f>H31*I31</f>
        <v>0</v>
      </c>
      <c r="K31" s="171"/>
      <c r="L31" s="171"/>
      <c r="M31" s="171"/>
      <c r="N31" s="292"/>
      <c r="O31" s="161">
        <f>N31*C31</f>
        <v>0</v>
      </c>
      <c r="P31" s="170">
        <f>B31+E31-H31-K31-N31</f>
        <v>0</v>
      </c>
      <c r="Q31" s="161">
        <f t="shared" si="1"/>
        <v>0</v>
      </c>
      <c r="R31" s="138">
        <f>P31*C31</f>
        <v>0</v>
      </c>
    </row>
    <row r="32" spans="1:18" ht="15" customHeight="1" x14ac:dyDescent="0.25">
      <c r="A32" s="167"/>
      <c r="B32" s="172"/>
      <c r="C32" s="172"/>
      <c r="D32" s="171">
        <f t="shared" si="0"/>
        <v>0</v>
      </c>
      <c r="E32" s="173"/>
      <c r="F32" s="171"/>
      <c r="G32" s="171"/>
      <c r="H32" s="171"/>
      <c r="I32" s="171"/>
      <c r="J32" s="171"/>
      <c r="K32" s="171"/>
      <c r="L32" s="171"/>
      <c r="M32" s="171"/>
      <c r="N32" s="292"/>
      <c r="O32" s="161">
        <f>N32*C32</f>
        <v>0</v>
      </c>
      <c r="P32" s="170">
        <f>B32+E32-H32-K32-N32</f>
        <v>0</v>
      </c>
      <c r="Q32" s="161">
        <f t="shared" si="1"/>
        <v>0</v>
      </c>
      <c r="R32" s="15"/>
    </row>
    <row r="33" spans="1:18" ht="15" customHeight="1" x14ac:dyDescent="0.25">
      <c r="A33" s="167" t="s">
        <v>33</v>
      </c>
      <c r="B33" s="172"/>
      <c r="C33" s="172"/>
      <c r="D33" s="171">
        <f t="shared" si="0"/>
        <v>0</v>
      </c>
      <c r="E33" s="173"/>
      <c r="F33" s="171"/>
      <c r="G33" s="171">
        <f>E33*F33</f>
        <v>0</v>
      </c>
      <c r="H33" s="171"/>
      <c r="I33" s="171"/>
      <c r="J33" s="171">
        <f>H33*I33</f>
        <v>0</v>
      </c>
      <c r="K33" s="171"/>
      <c r="L33" s="171"/>
      <c r="M33" s="171">
        <f>K33*L33</f>
        <v>0</v>
      </c>
      <c r="N33" s="172"/>
      <c r="O33" s="161">
        <f>N33*C33</f>
        <v>0</v>
      </c>
      <c r="P33" s="170">
        <f>B33+E33-H33-K33-N33</f>
        <v>0</v>
      </c>
      <c r="Q33" s="161">
        <f t="shared" si="1"/>
        <v>0</v>
      </c>
      <c r="R33" s="138">
        <f>P33*C33</f>
        <v>0</v>
      </c>
    </row>
    <row r="34" spans="1:18" ht="15" customHeight="1" x14ac:dyDescent="0.25">
      <c r="A34" s="167"/>
      <c r="B34" s="172"/>
      <c r="C34" s="172"/>
      <c r="D34" s="171"/>
      <c r="E34" s="173"/>
      <c r="F34" s="171"/>
      <c r="G34" s="171"/>
      <c r="H34" s="171"/>
      <c r="I34" s="171"/>
      <c r="J34" s="171"/>
      <c r="K34" s="171"/>
      <c r="L34" s="171"/>
      <c r="M34" s="171"/>
      <c r="N34" s="172"/>
      <c r="O34" s="161"/>
      <c r="P34" s="170"/>
      <c r="Q34" s="161"/>
      <c r="R34" s="15"/>
    </row>
    <row r="35" spans="1:18" ht="15" customHeight="1" x14ac:dyDescent="0.25">
      <c r="A35" s="167" t="s">
        <v>34</v>
      </c>
      <c r="B35" s="172"/>
      <c r="C35" s="172"/>
      <c r="D35" s="171">
        <f>B35*C35</f>
        <v>0</v>
      </c>
      <c r="E35" s="173"/>
      <c r="F35" s="171"/>
      <c r="G35" s="171"/>
      <c r="H35" s="171"/>
      <c r="I35" s="171"/>
      <c r="J35" s="171">
        <f>H35*I35</f>
        <v>0</v>
      </c>
      <c r="K35" s="171"/>
      <c r="L35" s="171"/>
      <c r="M35" s="171">
        <f>K35*L35</f>
        <v>0</v>
      </c>
      <c r="N35" s="292"/>
      <c r="O35" s="293">
        <f>N35*C35</f>
        <v>0</v>
      </c>
      <c r="P35" s="170">
        <f>B35+E35-H35-K35-N35</f>
        <v>0</v>
      </c>
      <c r="Q35" s="161">
        <f>P35*C35</f>
        <v>0</v>
      </c>
      <c r="R35" s="15"/>
    </row>
    <row r="36" spans="1:18" ht="15" customHeight="1" x14ac:dyDescent="0.25">
      <c r="A36" s="167"/>
      <c r="B36" s="172"/>
      <c r="C36" s="172"/>
      <c r="D36" s="171"/>
      <c r="E36" s="173"/>
      <c r="F36" s="171"/>
      <c r="G36" s="171"/>
      <c r="H36" s="171"/>
      <c r="I36" s="171"/>
      <c r="J36" s="171"/>
      <c r="K36" s="171"/>
      <c r="L36" s="171"/>
      <c r="M36" s="171"/>
      <c r="N36" s="172"/>
      <c r="O36" s="161"/>
      <c r="P36" s="170">
        <f>B36+E36-H36-K36-N36</f>
        <v>0</v>
      </c>
      <c r="Q36" s="161"/>
      <c r="R36" s="15"/>
    </row>
    <row r="37" spans="1:18" ht="30.75" customHeight="1" x14ac:dyDescent="0.25">
      <c r="A37" s="167" t="s">
        <v>35</v>
      </c>
      <c r="B37" s="172"/>
      <c r="C37" s="172"/>
      <c r="D37" s="171">
        <f>B37*C37</f>
        <v>0</v>
      </c>
      <c r="E37" s="173"/>
      <c r="F37" s="171"/>
      <c r="G37" s="171">
        <f>E37*F37</f>
        <v>0</v>
      </c>
      <c r="H37" s="171"/>
      <c r="I37" s="171"/>
      <c r="J37" s="171">
        <f>H37*I37</f>
        <v>0</v>
      </c>
      <c r="K37" s="171"/>
      <c r="L37" s="171"/>
      <c r="M37" s="171">
        <f>K37*L37</f>
        <v>0</v>
      </c>
      <c r="N37" s="292"/>
      <c r="O37" s="293">
        <f>N37*C37</f>
        <v>0</v>
      </c>
      <c r="P37" s="170">
        <f>B37+E37-H37-K37-N37</f>
        <v>0</v>
      </c>
      <c r="Q37" s="161">
        <f>P37*C37</f>
        <v>0</v>
      </c>
      <c r="R37" s="15"/>
    </row>
    <row r="38" spans="1:18" ht="27" customHeight="1" thickBot="1" x14ac:dyDescent="0.3">
      <c r="A38" s="506" t="s">
        <v>18</v>
      </c>
      <c r="B38" s="507"/>
      <c r="C38" s="507"/>
      <c r="D38" s="507"/>
      <c r="E38" s="178">
        <f>SUM(E7:E37)</f>
        <v>0</v>
      </c>
      <c r="F38" s="178"/>
      <c r="G38" s="178">
        <f>SUM(G15:G37)</f>
        <v>0</v>
      </c>
      <c r="H38" s="178">
        <f>SUM(H8:H37)</f>
        <v>0</v>
      </c>
      <c r="I38" s="178"/>
      <c r="J38" s="178"/>
      <c r="K38" s="178">
        <f>SUM(K8:K37)</f>
        <v>0</v>
      </c>
      <c r="L38" s="178"/>
      <c r="M38" s="178"/>
      <c r="N38" s="179" t="e">
        <f>N7+N11+#REF!+N16+N20+#REF!+#REF!+N21+#REF!+N22+N24+N25</f>
        <v>#REF!</v>
      </c>
      <c r="O38" s="179" t="e">
        <f>O7+O11+#REF!+O16+O20+#REF!+#REF!+O21+#REF!+O22+O24+O25</f>
        <v>#REF!</v>
      </c>
      <c r="P38" s="180">
        <f>P25</f>
        <v>0</v>
      </c>
      <c r="Q38" s="181">
        <f>Q25</f>
        <v>0</v>
      </c>
      <c r="R38" s="15"/>
    </row>
    <row r="39" spans="1:18" ht="15" customHeight="1" x14ac:dyDescent="0.25">
      <c r="A39" s="182"/>
      <c r="B39" s="183"/>
      <c r="C39" s="184"/>
      <c r="D39" s="185"/>
      <c r="E39" s="186"/>
      <c r="F39" s="186"/>
      <c r="G39" s="186"/>
      <c r="H39" s="186"/>
      <c r="I39" s="186"/>
      <c r="J39" s="186"/>
      <c r="K39" s="186"/>
      <c r="L39" s="186"/>
      <c r="M39" s="186"/>
      <c r="N39" s="183"/>
      <c r="O39" s="186"/>
      <c r="P39" s="187"/>
      <c r="Q39" s="188"/>
      <c r="R39" s="15"/>
    </row>
    <row r="40" spans="1:18" ht="15" customHeight="1" x14ac:dyDescent="0.25">
      <c r="A40" s="182"/>
      <c r="B40" s="183"/>
      <c r="C40" s="184"/>
      <c r="D40" s="185"/>
      <c r="E40" s="186"/>
      <c r="F40" s="186"/>
      <c r="G40" s="186"/>
      <c r="H40" s="186"/>
      <c r="I40" s="186"/>
      <c r="J40" s="186"/>
      <c r="K40" s="186"/>
      <c r="L40" s="186"/>
      <c r="M40" s="186"/>
      <c r="N40" s="183"/>
      <c r="O40" s="186"/>
      <c r="P40" s="187"/>
      <c r="Q40" s="188"/>
      <c r="R40" s="15"/>
    </row>
    <row r="41" spans="1:18" ht="15" customHeight="1" x14ac:dyDescent="0.25">
      <c r="A41" s="51"/>
      <c r="B41" s="47"/>
      <c r="C41" s="48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47"/>
      <c r="O41" s="474"/>
      <c r="P41" s="474"/>
      <c r="Q41" s="474"/>
      <c r="R41" s="15"/>
    </row>
    <row r="42" spans="1:18" ht="15" customHeight="1" x14ac:dyDescent="0.25">
      <c r="A42" s="51"/>
      <c r="B42" s="47"/>
      <c r="C42" s="48"/>
      <c r="D42" s="49"/>
      <c r="E42" s="50"/>
      <c r="F42" s="50"/>
      <c r="G42" s="50"/>
      <c r="H42" s="50"/>
      <c r="I42" s="50"/>
      <c r="J42" s="50"/>
      <c r="K42" s="50"/>
      <c r="L42" s="50"/>
      <c r="M42" s="50"/>
      <c r="N42" s="47"/>
      <c r="O42" s="474"/>
      <c r="P42" s="474"/>
      <c r="Q42" s="474"/>
      <c r="R42" s="15"/>
    </row>
    <row r="43" spans="1:18" ht="15" customHeight="1" x14ac:dyDescent="0.25">
      <c r="A43" s="63"/>
      <c r="B43" s="47"/>
      <c r="C43" s="48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47"/>
      <c r="O43" s="474"/>
      <c r="P43" s="474"/>
      <c r="Q43" s="474"/>
      <c r="R43" s="15"/>
    </row>
    <row r="44" spans="1:18" ht="15" customHeight="1" x14ac:dyDescent="0.25">
      <c r="A44" s="63"/>
      <c r="B44" s="47"/>
      <c r="C44" s="48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47"/>
      <c r="O44" s="474"/>
      <c r="P44" s="474"/>
      <c r="Q44" s="474"/>
      <c r="R44" s="15"/>
    </row>
    <row r="45" spans="1:18" ht="15" customHeight="1" x14ac:dyDescent="0.25">
      <c r="A45" s="63"/>
      <c r="B45" s="47"/>
      <c r="C45" s="48"/>
      <c r="D45" s="49"/>
      <c r="E45" s="50"/>
      <c r="F45" s="50"/>
      <c r="G45" s="50"/>
      <c r="H45" s="50"/>
      <c r="I45" s="50"/>
      <c r="J45" s="50"/>
      <c r="K45" s="50"/>
      <c r="L45" s="50"/>
      <c r="M45" s="50"/>
      <c r="N45" s="47"/>
      <c r="O45" s="474"/>
      <c r="P45" s="474"/>
      <c r="Q45" s="474"/>
      <c r="R45" s="15"/>
    </row>
    <row r="46" spans="1:18" ht="15" customHeight="1" x14ac:dyDescent="0.25">
      <c r="A46" s="63"/>
      <c r="B46" s="47"/>
      <c r="C46" s="48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47"/>
      <c r="O46" s="473"/>
      <c r="P46" s="473"/>
      <c r="Q46" s="473"/>
      <c r="R46" s="15"/>
    </row>
    <row r="47" spans="1:18" ht="15" customHeight="1" x14ac:dyDescent="0.25">
      <c r="A47" s="63"/>
      <c r="B47" s="47"/>
      <c r="C47" s="48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47"/>
      <c r="O47" s="473"/>
      <c r="P47" s="473"/>
      <c r="Q47" s="473"/>
      <c r="R47" s="15"/>
    </row>
    <row r="48" spans="1:18" ht="15" customHeight="1" x14ac:dyDescent="0.25">
      <c r="A48" s="63"/>
      <c r="B48" s="47"/>
      <c r="C48" s="48"/>
      <c r="D48" s="49"/>
      <c r="E48" s="50"/>
      <c r="F48" s="50"/>
      <c r="G48" s="50"/>
      <c r="H48" s="50"/>
      <c r="I48" s="50"/>
      <c r="J48" s="50"/>
      <c r="K48" s="50"/>
      <c r="L48" s="50"/>
      <c r="M48" s="50"/>
      <c r="N48" s="47"/>
      <c r="O48" s="474"/>
      <c r="P48" s="474"/>
      <c r="Q48" s="474"/>
      <c r="R48" s="15"/>
    </row>
    <row r="49" spans="1:18" ht="15" customHeight="1" x14ac:dyDescent="0.25">
      <c r="A49" s="63"/>
      <c r="B49" s="47"/>
      <c r="C49" s="48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47"/>
      <c r="O49" s="50"/>
      <c r="P49" s="23"/>
      <c r="Q49" s="24"/>
      <c r="R49" s="15"/>
    </row>
    <row r="50" spans="1:18" ht="15" customHeight="1" x14ac:dyDescent="0.25">
      <c r="A50" s="63"/>
      <c r="B50" s="47"/>
      <c r="C50" s="48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47"/>
      <c r="O50" s="50"/>
      <c r="P50" s="23"/>
      <c r="Q50" s="24"/>
      <c r="R50" s="15"/>
    </row>
    <row r="51" spans="1:18" ht="15" customHeight="1" x14ac:dyDescent="0.25">
      <c r="B51" s="15"/>
      <c r="C51" s="12"/>
      <c r="D51" s="9"/>
      <c r="E51" s="17"/>
      <c r="F51" s="17"/>
      <c r="G51" s="17"/>
      <c r="H51" s="17"/>
      <c r="I51" s="17"/>
      <c r="J51" s="17"/>
      <c r="K51" s="17"/>
      <c r="L51" s="17"/>
      <c r="M51" s="17"/>
      <c r="N51" s="15"/>
      <c r="O51" s="9"/>
      <c r="P51" s="19"/>
      <c r="Q51" s="14"/>
      <c r="R51" s="15"/>
    </row>
    <row r="52" spans="1:18" ht="15" customHeight="1" x14ac:dyDescent="0.25">
      <c r="B52" s="15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5"/>
      <c r="O52" s="17"/>
      <c r="P52" s="19"/>
      <c r="Q52" s="20"/>
      <c r="R52" s="15"/>
    </row>
    <row r="53" spans="1:18" ht="15" customHeight="1" x14ac:dyDescent="0.25">
      <c r="B53" s="15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5"/>
      <c r="O53" s="17"/>
      <c r="P53" s="19"/>
      <c r="Q53" s="20"/>
      <c r="R53" s="15"/>
    </row>
    <row r="54" spans="1:18" ht="15" customHeight="1" x14ac:dyDescent="0.25">
      <c r="B54" s="15"/>
      <c r="C54" s="12"/>
      <c r="D54" s="9"/>
      <c r="E54" s="17"/>
      <c r="F54" s="17"/>
      <c r="G54" s="17"/>
      <c r="H54" s="17"/>
      <c r="I54" s="17"/>
      <c r="J54" s="17"/>
      <c r="K54" s="17"/>
      <c r="L54" s="17"/>
      <c r="M54" s="17"/>
      <c r="N54" s="15"/>
      <c r="O54" s="9"/>
      <c r="P54" s="19"/>
      <c r="Q54" s="14"/>
      <c r="R54" s="15"/>
    </row>
    <row r="55" spans="1:18" ht="15" customHeight="1" x14ac:dyDescent="0.25">
      <c r="B55" s="15"/>
      <c r="C55" s="12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5"/>
      <c r="O55" s="17"/>
      <c r="P55" s="19"/>
      <c r="Q55" s="20"/>
      <c r="R55" s="15"/>
    </row>
    <row r="56" spans="1:18" ht="15" customHeight="1" x14ac:dyDescent="0.25">
      <c r="B56" s="15"/>
      <c r="C56" s="12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5"/>
      <c r="O56" s="17"/>
      <c r="P56" s="19"/>
      <c r="Q56" s="20"/>
      <c r="R56" s="15"/>
    </row>
    <row r="57" spans="1:18" ht="15" customHeight="1" x14ac:dyDescent="0.25">
      <c r="B57" s="15"/>
      <c r="C57" s="12"/>
      <c r="D57" s="9"/>
      <c r="E57" s="17"/>
      <c r="F57" s="17"/>
      <c r="G57" s="17"/>
      <c r="H57" s="17"/>
      <c r="I57" s="17"/>
      <c r="J57" s="17"/>
      <c r="K57" s="17"/>
      <c r="L57" s="17"/>
      <c r="M57" s="17"/>
      <c r="N57" s="15"/>
      <c r="O57" s="9"/>
      <c r="P57" s="19"/>
      <c r="Q57" s="14"/>
      <c r="R57" s="15"/>
    </row>
    <row r="58" spans="1:18" ht="15" customHeight="1" x14ac:dyDescent="0.25">
      <c r="B58" s="15"/>
      <c r="C58" s="12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5"/>
      <c r="O58" s="17"/>
      <c r="P58" s="19"/>
      <c r="Q58" s="20"/>
      <c r="R58" s="15"/>
    </row>
    <row r="59" spans="1:18" ht="15" customHeight="1" x14ac:dyDescent="0.25">
      <c r="B59" s="15"/>
      <c r="C59" s="12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5"/>
      <c r="O59" s="17"/>
      <c r="P59" s="19"/>
      <c r="Q59" s="20"/>
      <c r="R59" s="15"/>
    </row>
    <row r="60" spans="1:18" ht="15" customHeight="1" x14ac:dyDescent="0.25">
      <c r="B60" s="15"/>
      <c r="C60" s="12"/>
      <c r="D60" s="9"/>
      <c r="E60" s="17"/>
      <c r="F60" s="17"/>
      <c r="G60" s="17"/>
      <c r="H60" s="17"/>
      <c r="I60" s="17"/>
      <c r="J60" s="17"/>
      <c r="K60" s="17"/>
      <c r="L60" s="17"/>
      <c r="M60" s="17"/>
      <c r="N60" s="15"/>
      <c r="O60" s="9"/>
      <c r="P60" s="19"/>
      <c r="Q60" s="14"/>
      <c r="R60" s="15"/>
    </row>
    <row r="61" spans="1:18" ht="15" customHeight="1" x14ac:dyDescent="0.25">
      <c r="B61" s="15"/>
      <c r="C61" s="12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5"/>
      <c r="O61" s="17"/>
      <c r="P61" s="15"/>
      <c r="Q61" s="17"/>
      <c r="R61" s="15"/>
    </row>
    <row r="62" spans="1:18" ht="15" customHeight="1" x14ac:dyDescent="0.25">
      <c r="B62" s="15"/>
      <c r="C62" s="12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5"/>
      <c r="O62" s="17"/>
      <c r="P62" s="15"/>
      <c r="Q62" s="17"/>
      <c r="R62" s="15"/>
    </row>
    <row r="63" spans="1:18" ht="15" customHeight="1" x14ac:dyDescent="0.25">
      <c r="B63" s="15"/>
      <c r="C63" s="12"/>
      <c r="D63" s="9"/>
      <c r="E63" s="17"/>
      <c r="F63" s="17"/>
      <c r="G63" s="17"/>
      <c r="H63" s="17"/>
      <c r="I63" s="17"/>
      <c r="J63" s="17"/>
      <c r="K63" s="17"/>
      <c r="L63" s="17"/>
      <c r="M63" s="17"/>
      <c r="N63" s="15"/>
      <c r="O63" s="9"/>
      <c r="P63" s="15"/>
      <c r="Q63" s="9"/>
      <c r="R63" s="15"/>
    </row>
    <row r="64" spans="1:18" ht="15" customHeight="1" x14ac:dyDescent="0.25">
      <c r="B64" s="15"/>
      <c r="C64" s="12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5"/>
      <c r="O64" s="17"/>
      <c r="P64" s="15"/>
      <c r="Q64" s="17"/>
      <c r="R64" s="15"/>
    </row>
    <row r="65" spans="1:18" ht="15" customHeight="1" x14ac:dyDescent="0.25">
      <c r="B65" s="15"/>
      <c r="C65" s="12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5"/>
      <c r="O65" s="17"/>
      <c r="P65" s="15"/>
      <c r="Q65" s="17"/>
      <c r="R65" s="15"/>
    </row>
    <row r="66" spans="1:18" ht="15" customHeight="1" x14ac:dyDescent="0.25">
      <c r="B66" s="15"/>
      <c r="C66" s="12"/>
      <c r="D66" s="9"/>
      <c r="E66" s="15"/>
      <c r="F66" s="17"/>
      <c r="G66" s="17"/>
      <c r="H66" s="17"/>
      <c r="I66" s="17"/>
      <c r="J66" s="17"/>
      <c r="K66" s="17"/>
      <c r="L66" s="17"/>
      <c r="M66" s="17"/>
      <c r="N66" s="15"/>
      <c r="O66" s="17"/>
      <c r="P66" s="15"/>
      <c r="Q66" s="9"/>
      <c r="R66" s="15"/>
    </row>
    <row r="67" spans="1:18" ht="15" customHeight="1" x14ac:dyDescent="0.25">
      <c r="B67" s="15"/>
      <c r="C67" s="15"/>
      <c r="D67" s="9"/>
      <c r="E67" s="17"/>
      <c r="F67" s="17"/>
      <c r="G67" s="17"/>
      <c r="H67" s="17"/>
      <c r="I67" s="17"/>
      <c r="J67" s="17"/>
      <c r="K67" s="17"/>
      <c r="L67" s="17"/>
      <c r="M67" s="17"/>
      <c r="N67" s="15"/>
      <c r="O67" s="17"/>
      <c r="P67" s="15"/>
      <c r="Q67" s="17"/>
      <c r="R67" s="15"/>
    </row>
    <row r="68" spans="1:18" ht="15" customHeight="1" x14ac:dyDescent="0.25">
      <c r="B68" s="15"/>
      <c r="C68" s="12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5"/>
      <c r="O68" s="17"/>
      <c r="P68" s="15"/>
      <c r="Q68" s="17"/>
      <c r="R68" s="1"/>
    </row>
    <row r="69" spans="1:18" ht="15" customHeight="1" x14ac:dyDescent="0.25">
      <c r="B69" s="15"/>
      <c r="C69" s="12"/>
      <c r="D69" s="9"/>
      <c r="E69" s="17"/>
      <c r="F69" s="17"/>
      <c r="G69" s="17"/>
      <c r="H69" s="17"/>
      <c r="I69" s="17"/>
      <c r="J69" s="17"/>
      <c r="K69" s="17"/>
      <c r="L69" s="17"/>
      <c r="M69" s="17"/>
      <c r="N69" s="15"/>
      <c r="O69" s="17"/>
      <c r="P69" s="15"/>
      <c r="Q69" s="9"/>
      <c r="R69" s="1"/>
    </row>
    <row r="70" spans="1:18" ht="15" customHeight="1" x14ac:dyDescent="0.25">
      <c r="B70" s="15"/>
      <c r="C70" s="12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5"/>
      <c r="O70" s="17"/>
      <c r="P70" s="15"/>
      <c r="Q70" s="17"/>
      <c r="R70" s="1"/>
    </row>
    <row r="71" spans="1:18" ht="15" customHeight="1" x14ac:dyDescent="0.25">
      <c r="B71" s="15"/>
      <c r="C71" s="12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5"/>
      <c r="O71" s="17"/>
      <c r="P71" s="15"/>
      <c r="Q71" s="17"/>
      <c r="R71" s="1"/>
    </row>
    <row r="72" spans="1:18" ht="15" customHeight="1" x14ac:dyDescent="0.25">
      <c r="A72" s="32"/>
      <c r="B72" s="32"/>
      <c r="C72" s="32"/>
      <c r="D72" s="32"/>
      <c r="E72" s="17"/>
      <c r="F72" s="17"/>
      <c r="G72" s="17"/>
      <c r="H72" s="17"/>
      <c r="I72" s="17"/>
      <c r="J72" s="17"/>
      <c r="K72" s="17"/>
      <c r="L72" s="17"/>
      <c r="M72" s="17"/>
      <c r="N72" s="25"/>
      <c r="O72" s="25"/>
      <c r="P72" s="15"/>
      <c r="Q72" s="17"/>
      <c r="R72" s="1"/>
    </row>
    <row r="73" spans="1:18" ht="15" customHeight="1" x14ac:dyDescent="0.25">
      <c r="B73" s="15"/>
      <c r="C73" s="12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5"/>
      <c r="O73" s="17"/>
      <c r="P73" s="15"/>
      <c r="Q73" s="17"/>
      <c r="R73" s="1"/>
    </row>
    <row r="74" spans="1:18" ht="15" customHeight="1" x14ac:dyDescent="0.25">
      <c r="B74" s="15"/>
      <c r="C74" s="12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5"/>
      <c r="O74" s="17"/>
      <c r="P74" s="15"/>
      <c r="Q74" s="17"/>
      <c r="R74" s="1"/>
    </row>
    <row r="75" spans="1:18" ht="15" customHeight="1" x14ac:dyDescent="0.25">
      <c r="B75" s="15"/>
      <c r="C75" s="12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5"/>
      <c r="O75" s="17"/>
      <c r="P75" s="15"/>
      <c r="Q75" s="17"/>
      <c r="R75" s="1"/>
    </row>
    <row r="76" spans="1:18" ht="15" customHeight="1" x14ac:dyDescent="0.25">
      <c r="B76" s="15"/>
      <c r="C76" s="12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5"/>
      <c r="O76" s="17"/>
      <c r="P76" s="15"/>
      <c r="Q76" s="17"/>
      <c r="R76" s="1"/>
    </row>
    <row r="77" spans="1:18" ht="15" customHeight="1" x14ac:dyDescent="0.25">
      <c r="B77" s="15"/>
      <c r="C77" s="12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5"/>
      <c r="O77" s="17"/>
      <c r="P77" s="15"/>
      <c r="Q77" s="17"/>
      <c r="R77" s="1"/>
    </row>
    <row r="78" spans="1:18" ht="15" customHeight="1" x14ac:dyDescent="0.25">
      <c r="B78" s="15"/>
      <c r="C78" s="12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5"/>
      <c r="O78" s="17"/>
      <c r="P78" s="17"/>
      <c r="Q78" s="17"/>
      <c r="R78" s="1"/>
    </row>
    <row r="79" spans="1:18" ht="15" customHeight="1" x14ac:dyDescent="0.25">
      <c r="B79" s="15"/>
      <c r="C79" s="12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5"/>
      <c r="O79" s="17"/>
      <c r="P79" s="17"/>
      <c r="Q79" s="17"/>
      <c r="R79" s="1"/>
    </row>
    <row r="80" spans="1:18" ht="15" customHeight="1" x14ac:dyDescent="0.25">
      <c r="B80" s="15"/>
      <c r="C80" s="12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5"/>
      <c r="O80" s="17"/>
      <c r="P80" s="17"/>
      <c r="Q80" s="17"/>
      <c r="R80" s="1"/>
    </row>
    <row r="81" spans="2:18" ht="15" customHeight="1" x14ac:dyDescent="0.25">
      <c r="B81" s="15"/>
      <c r="C81" s="12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5"/>
      <c r="O81" s="17"/>
      <c r="P81" s="17"/>
      <c r="Q81" s="17"/>
      <c r="R81" s="1"/>
    </row>
    <row r="82" spans="2:18" ht="15" customHeight="1" x14ac:dyDescent="0.25">
      <c r="B82" s="15"/>
      <c r="C82" s="12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5"/>
      <c r="O82" s="17"/>
      <c r="P82" s="17"/>
      <c r="Q82" s="17"/>
      <c r="R82" s="1"/>
    </row>
    <row r="83" spans="2:18" ht="15" customHeight="1" x14ac:dyDescent="0.25">
      <c r="B83" s="15"/>
      <c r="C83" s="12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5"/>
      <c r="O83" s="17"/>
      <c r="P83" s="17"/>
      <c r="Q83" s="17"/>
      <c r="R83" s="1"/>
    </row>
    <row r="84" spans="2:18" ht="15" customHeight="1" x14ac:dyDescent="0.25">
      <c r="B84" s="15"/>
      <c r="C84" s="12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5"/>
      <c r="O84" s="17"/>
      <c r="P84" s="17"/>
      <c r="Q84" s="17"/>
      <c r="R84" s="1"/>
    </row>
    <row r="85" spans="2:18" ht="15" customHeight="1" x14ac:dyDescent="0.25">
      <c r="B85" s="15"/>
      <c r="C85" s="12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5"/>
      <c r="O85" s="17"/>
      <c r="P85" s="17"/>
      <c r="Q85" s="17"/>
      <c r="R85" s="1"/>
    </row>
    <row r="86" spans="2:18" ht="15" customHeight="1" x14ac:dyDescent="0.25">
      <c r="B86" s="15"/>
      <c r="C86" s="12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5"/>
      <c r="O86" s="17"/>
      <c r="P86" s="17"/>
      <c r="Q86" s="17"/>
      <c r="R86" s="1"/>
    </row>
    <row r="87" spans="2:18" ht="15" customHeight="1" x14ac:dyDescent="0.25">
      <c r="B87" s="15"/>
      <c r="C87" s="1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"/>
    </row>
    <row r="88" spans="2:18" ht="15" customHeight="1" x14ac:dyDescent="0.25">
      <c r="B88" s="15"/>
      <c r="C88" s="1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"/>
    </row>
    <row r="89" spans="2:18" ht="15" customHeight="1" x14ac:dyDescent="0.25">
      <c r="B89" s="15"/>
      <c r="C89" s="1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"/>
    </row>
    <row r="90" spans="2:18" ht="15" customHeight="1" x14ac:dyDescent="0.25">
      <c r="B90" s="15"/>
      <c r="C90" s="1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"/>
    </row>
    <row r="91" spans="2:18" ht="15" customHeight="1" x14ac:dyDescent="0.25">
      <c r="B91" s="15"/>
      <c r="C91" s="1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"/>
    </row>
    <row r="92" spans="2:18" ht="15" customHeight="1" x14ac:dyDescent="0.25">
      <c r="B92" s="15"/>
      <c r="C92" s="1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"/>
    </row>
    <row r="93" spans="2:18" ht="15" customHeight="1" x14ac:dyDescent="0.25">
      <c r="B93" s="15"/>
      <c r="C93" s="1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"/>
    </row>
    <row r="94" spans="2:18" ht="15" customHeight="1" x14ac:dyDescent="0.25">
      <c r="B94" s="15"/>
      <c r="C94" s="1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"/>
    </row>
    <row r="95" spans="2:18" ht="15" customHeight="1" x14ac:dyDescent="0.25">
      <c r="B95" s="15"/>
      <c r="C95" s="1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"/>
    </row>
    <row r="96" spans="2:18" ht="15" customHeight="1" x14ac:dyDescent="0.25">
      <c r="B96" s="15"/>
      <c r="C96" s="1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"/>
    </row>
    <row r="97" spans="2:18" ht="15" customHeight="1" x14ac:dyDescent="0.25">
      <c r="B97" s="15"/>
      <c r="C97" s="1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"/>
    </row>
    <row r="98" spans="2:18" ht="15" customHeight="1" x14ac:dyDescent="0.25">
      <c r="B98" s="15"/>
      <c r="C98" s="1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"/>
    </row>
    <row r="99" spans="2:18" ht="15" customHeight="1" x14ac:dyDescent="0.25">
      <c r="B99" s="15"/>
      <c r="C99" s="1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"/>
    </row>
    <row r="100" spans="2:18" ht="15" customHeight="1" x14ac:dyDescent="0.25">
      <c r="B100" s="15"/>
      <c r="C100" s="1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"/>
    </row>
    <row r="101" spans="2:18" ht="15" customHeight="1" x14ac:dyDescent="0.25">
      <c r="C101" s="7"/>
      <c r="N101" s="3"/>
      <c r="R101" s="1"/>
    </row>
    <row r="102" spans="2:18" ht="15" customHeight="1" x14ac:dyDescent="0.25">
      <c r="C102" s="7"/>
      <c r="N102" s="3"/>
      <c r="R102" s="1"/>
    </row>
    <row r="103" spans="2:18" ht="15" customHeight="1" x14ac:dyDescent="0.25">
      <c r="C103" s="7"/>
      <c r="N103" s="3"/>
      <c r="R103" s="1"/>
    </row>
    <row r="104" spans="2:18" ht="15" customHeight="1" x14ac:dyDescent="0.25">
      <c r="C104" s="7"/>
      <c r="N104" s="3"/>
      <c r="R104" s="1"/>
    </row>
    <row r="105" spans="2:18" ht="15" customHeight="1" x14ac:dyDescent="0.25">
      <c r="C105" s="7"/>
      <c r="N105" s="3"/>
      <c r="R105" s="1"/>
    </row>
    <row r="106" spans="2:18" ht="15" customHeight="1" x14ac:dyDescent="0.25">
      <c r="C106" s="7"/>
      <c r="N106" s="3"/>
      <c r="R106" s="1"/>
    </row>
    <row r="107" spans="2:18" ht="15" customHeight="1" x14ac:dyDescent="0.25">
      <c r="C107" s="7"/>
      <c r="N107" s="3"/>
      <c r="R107" s="1"/>
    </row>
    <row r="108" spans="2:18" ht="15" customHeight="1" x14ac:dyDescent="0.25">
      <c r="C108" s="7"/>
      <c r="R108" s="1"/>
    </row>
    <row r="109" spans="2:18" ht="15" customHeight="1" x14ac:dyDescent="0.25">
      <c r="C109" s="7"/>
      <c r="R109" s="1"/>
    </row>
    <row r="110" spans="2:18" ht="15" customHeight="1" x14ac:dyDescent="0.25">
      <c r="C110" s="7"/>
    </row>
    <row r="111" spans="2:18" ht="15" customHeight="1" x14ac:dyDescent="0.25">
      <c r="C111" s="7"/>
    </row>
    <row r="112" spans="2:18" ht="15" customHeight="1" x14ac:dyDescent="0.25">
      <c r="C112" s="7"/>
    </row>
    <row r="113" spans="3:3" ht="15" customHeight="1" x14ac:dyDescent="0.25">
      <c r="C113" s="7"/>
    </row>
    <row r="114" spans="3:3" ht="15" customHeight="1" x14ac:dyDescent="0.25">
      <c r="C114" s="7"/>
    </row>
    <row r="115" spans="3:3" ht="15" customHeight="1" x14ac:dyDescent="0.25">
      <c r="C115" s="7"/>
    </row>
    <row r="116" spans="3:3" ht="15" customHeight="1" x14ac:dyDescent="0.25">
      <c r="C116" s="7"/>
    </row>
    <row r="117" spans="3:3" ht="15" customHeight="1" x14ac:dyDescent="0.25">
      <c r="C117" s="7"/>
    </row>
    <row r="118" spans="3:3" ht="15" customHeight="1" x14ac:dyDescent="0.25">
      <c r="C118" s="7"/>
    </row>
    <row r="119" spans="3:3" ht="15" customHeight="1" x14ac:dyDescent="0.25">
      <c r="C119" s="7"/>
    </row>
    <row r="120" spans="3:3" ht="15" customHeight="1" x14ac:dyDescent="0.25">
      <c r="C120" s="7"/>
    </row>
    <row r="121" spans="3:3" ht="15" customHeight="1" x14ac:dyDescent="0.25">
      <c r="C121" s="7"/>
    </row>
    <row r="122" spans="3:3" ht="15" customHeight="1" x14ac:dyDescent="0.25">
      <c r="C122" s="7"/>
    </row>
    <row r="123" spans="3:3" ht="15" customHeight="1" x14ac:dyDescent="0.25">
      <c r="C123" s="7"/>
    </row>
    <row r="124" spans="3:3" ht="15" customHeight="1" x14ac:dyDescent="0.25">
      <c r="C124" s="7"/>
    </row>
    <row r="125" spans="3:3" ht="15" customHeight="1" x14ac:dyDescent="0.25">
      <c r="C125" s="7"/>
    </row>
    <row r="126" spans="3:3" ht="15" customHeight="1" x14ac:dyDescent="0.25">
      <c r="C126" s="7"/>
    </row>
    <row r="127" spans="3:3" ht="15" customHeight="1" x14ac:dyDescent="0.25">
      <c r="C127" s="7"/>
    </row>
    <row r="128" spans="3:3" ht="15" customHeight="1" x14ac:dyDescent="0.25">
      <c r="C128" s="7"/>
    </row>
    <row r="129" spans="3:3" ht="15" customHeight="1" x14ac:dyDescent="0.25">
      <c r="C129" s="7"/>
    </row>
    <row r="130" spans="3:3" ht="15" customHeight="1" x14ac:dyDescent="0.25">
      <c r="C130" s="5"/>
    </row>
    <row r="131" spans="3:3" ht="15" customHeight="1" x14ac:dyDescent="0.25">
      <c r="C131" s="5"/>
    </row>
    <row r="132" spans="3:3" ht="15" customHeight="1" x14ac:dyDescent="0.25">
      <c r="C132" s="5"/>
    </row>
    <row r="133" spans="3:3" ht="15" customHeight="1" x14ac:dyDescent="0.25">
      <c r="C133" s="5"/>
    </row>
    <row r="134" spans="3:3" ht="15" customHeight="1" x14ac:dyDescent="0.25">
      <c r="C134" s="5"/>
    </row>
    <row r="135" spans="3:3" ht="15" customHeight="1" x14ac:dyDescent="0.25">
      <c r="C135" s="5"/>
    </row>
    <row r="136" spans="3:3" ht="15" customHeight="1" x14ac:dyDescent="0.25">
      <c r="C136" s="5"/>
    </row>
    <row r="137" spans="3:3" ht="15" customHeight="1" x14ac:dyDescent="0.25">
      <c r="C137" s="5"/>
    </row>
    <row r="138" spans="3:3" ht="15" customHeight="1" x14ac:dyDescent="0.25">
      <c r="C138" s="5"/>
    </row>
    <row r="139" spans="3:3" ht="15" customHeight="1" x14ac:dyDescent="0.25">
      <c r="C139" s="5"/>
    </row>
    <row r="140" spans="3:3" ht="15" customHeight="1" x14ac:dyDescent="0.25">
      <c r="C140" s="5"/>
    </row>
    <row r="141" spans="3:3" ht="15" customHeight="1" x14ac:dyDescent="0.25">
      <c r="C141" s="5"/>
    </row>
    <row r="142" spans="3:3" ht="15" customHeight="1" x14ac:dyDescent="0.25">
      <c r="C142" s="5"/>
    </row>
    <row r="143" spans="3:3" ht="15" customHeight="1" x14ac:dyDescent="0.25">
      <c r="C143" s="5"/>
    </row>
    <row r="144" spans="3:3" ht="15" customHeight="1" x14ac:dyDescent="0.25">
      <c r="C144" s="5"/>
    </row>
    <row r="145" spans="3:3" ht="15" customHeight="1" x14ac:dyDescent="0.25">
      <c r="C145" s="5"/>
    </row>
    <row r="146" spans="3:3" ht="15" customHeight="1" x14ac:dyDescent="0.25">
      <c r="C146" s="5"/>
    </row>
    <row r="147" spans="3:3" ht="15" customHeight="1" x14ac:dyDescent="0.25">
      <c r="C147" s="5"/>
    </row>
    <row r="148" spans="3:3" ht="15" customHeight="1" x14ac:dyDescent="0.25">
      <c r="C148" s="5"/>
    </row>
    <row r="149" spans="3:3" ht="15" customHeight="1" x14ac:dyDescent="0.25">
      <c r="C149" s="5"/>
    </row>
    <row r="150" spans="3:3" ht="15" customHeight="1" x14ac:dyDescent="0.25">
      <c r="C150" s="5"/>
    </row>
    <row r="151" spans="3:3" ht="15" customHeight="1" x14ac:dyDescent="0.25">
      <c r="C151" s="5"/>
    </row>
    <row r="152" spans="3:3" ht="15" customHeight="1" x14ac:dyDescent="0.25">
      <c r="C152" s="5"/>
    </row>
    <row r="153" spans="3:3" ht="15" customHeight="1" x14ac:dyDescent="0.25">
      <c r="C153" s="5"/>
    </row>
    <row r="154" spans="3:3" ht="15" customHeight="1" x14ac:dyDescent="0.25">
      <c r="C154" s="5"/>
    </row>
    <row r="155" spans="3:3" ht="15" customHeight="1" x14ac:dyDescent="0.25">
      <c r="C155" s="5"/>
    </row>
    <row r="156" spans="3:3" ht="15" customHeight="1" x14ac:dyDescent="0.25">
      <c r="C156" s="5"/>
    </row>
    <row r="157" spans="3:3" ht="15" customHeight="1" x14ac:dyDescent="0.25">
      <c r="C157" s="5"/>
    </row>
    <row r="158" spans="3:3" ht="15" customHeight="1" x14ac:dyDescent="0.25">
      <c r="C158" s="5"/>
    </row>
    <row r="159" spans="3:3" ht="15" customHeight="1" x14ac:dyDescent="0.25">
      <c r="C159" s="5"/>
    </row>
    <row r="160" spans="3:3" ht="15" customHeight="1" x14ac:dyDescent="0.25">
      <c r="C160" s="5"/>
    </row>
    <row r="161" spans="3:3" ht="15" customHeight="1" x14ac:dyDescent="0.25">
      <c r="C161" s="5"/>
    </row>
    <row r="162" spans="3:3" ht="15" customHeight="1" x14ac:dyDescent="0.25">
      <c r="C162" s="5"/>
    </row>
  </sheetData>
  <mergeCells count="17">
    <mergeCell ref="O46:Q46"/>
    <mergeCell ref="O47:Q47"/>
    <mergeCell ref="O48:Q48"/>
    <mergeCell ref="H4:J4"/>
    <mergeCell ref="K4:M4"/>
    <mergeCell ref="O45:Q45"/>
    <mergeCell ref="A38:D38"/>
    <mergeCell ref="O41:Q41"/>
    <mergeCell ref="O42:Q42"/>
    <mergeCell ref="O43:Q43"/>
    <mergeCell ref="O44:Q44"/>
    <mergeCell ref="A3:Q3"/>
    <mergeCell ref="A4:A5"/>
    <mergeCell ref="B4:D4"/>
    <mergeCell ref="E4:G4"/>
    <mergeCell ref="N4:O4"/>
    <mergeCell ref="P4:Q4"/>
  </mergeCells>
  <pageMargins left="0.31496062992125984" right="0.31496062992125984" top="0.35433070866141736" bottom="0.74803149606299213" header="0.31496062992125984" footer="0.31496062992125984"/>
  <pageSetup paperSize="5" scale="67" orientation="landscape" horizontalDpi="4294967293" verticalDpi="360" r:id="rId1"/>
  <rowBreaks count="1" manualBreakCount="1">
    <brk id="39" max="16383" man="1"/>
  </rowBreaks>
  <colBreaks count="1" manualBreakCount="1">
    <brk id="17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37"/>
  <sheetViews>
    <sheetView showWhiteSpace="0" zoomScaleNormal="100" zoomScaleSheetLayoutView="83" zoomScalePageLayoutView="80" workbookViewId="0">
      <selection activeCell="O17" sqref="O17"/>
    </sheetView>
  </sheetViews>
  <sheetFormatPr defaultRowHeight="15" customHeight="1" x14ac:dyDescent="0.25"/>
  <cols>
    <col min="1" max="1" width="12.7109375" customWidth="1"/>
    <col min="2" max="2" width="10.28515625" customWidth="1"/>
    <col min="3" max="3" width="14.28515625" customWidth="1"/>
    <col min="4" max="4" width="17.42578125" customWidth="1"/>
    <col min="5" max="5" width="8.42578125" customWidth="1"/>
    <col min="6" max="6" width="10.42578125" style="57" customWidth="1"/>
    <col min="7" max="7" width="13.85546875" customWidth="1"/>
    <col min="8" max="8" width="8.5703125" customWidth="1"/>
    <col min="9" max="9" width="11.85546875" customWidth="1"/>
    <col min="10" max="10" width="12" customWidth="1"/>
    <col min="11" max="11" width="10.85546875" customWidth="1"/>
    <col min="12" max="12" width="10.28515625" customWidth="1"/>
    <col min="13" max="13" width="11.85546875" customWidth="1"/>
    <col min="14" max="14" width="10.42578125" bestFit="1" customWidth="1"/>
    <col min="15" max="15" width="19.42578125" customWidth="1"/>
    <col min="16" max="16" width="11.5703125" bestFit="1" customWidth="1"/>
    <col min="17" max="17" width="17.85546875" customWidth="1"/>
    <col min="19" max="19" width="27.140625" style="1" customWidth="1"/>
  </cols>
  <sheetData>
    <row r="1" spans="1:19" ht="15" customHeight="1" x14ac:dyDescent="0.25">
      <c r="A1" s="146" t="s">
        <v>12</v>
      </c>
      <c r="B1" s="147"/>
      <c r="C1" s="147"/>
      <c r="D1" s="147"/>
      <c r="E1" s="147"/>
      <c r="F1" s="189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</row>
    <row r="2" spans="1:19" ht="15" customHeight="1" x14ac:dyDescent="0.25">
      <c r="A2" s="146" t="s">
        <v>108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</row>
    <row r="3" spans="1:19" ht="15" customHeight="1" x14ac:dyDescent="0.35">
      <c r="A3" s="513" t="s">
        <v>3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513"/>
      <c r="N3" s="513"/>
      <c r="O3" s="513"/>
      <c r="P3" s="513"/>
      <c r="Q3" s="513"/>
      <c r="R3" s="54"/>
    </row>
    <row r="4" spans="1:19" ht="12" customHeight="1" x14ac:dyDescent="0.35">
      <c r="A4" s="190"/>
      <c r="B4" s="190"/>
      <c r="C4" s="190"/>
      <c r="D4" s="190"/>
      <c r="E4" s="190"/>
      <c r="F4" s="191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21"/>
    </row>
    <row r="5" spans="1:19" ht="15" customHeight="1" x14ac:dyDescent="0.25">
      <c r="A5" s="501" t="s">
        <v>0</v>
      </c>
      <c r="B5" s="514" t="s">
        <v>7</v>
      </c>
      <c r="C5" s="514"/>
      <c r="D5" s="514"/>
      <c r="E5" s="514" t="s">
        <v>5</v>
      </c>
      <c r="F5" s="514"/>
      <c r="G5" s="514"/>
      <c r="H5" s="515" t="s">
        <v>25</v>
      </c>
      <c r="I5" s="516"/>
      <c r="J5" s="517"/>
      <c r="K5" s="515" t="s">
        <v>26</v>
      </c>
      <c r="L5" s="516"/>
      <c r="M5" s="517"/>
      <c r="N5" s="514" t="s">
        <v>4</v>
      </c>
      <c r="O5" s="514"/>
      <c r="P5" s="514" t="s">
        <v>6</v>
      </c>
      <c r="Q5" s="514"/>
    </row>
    <row r="6" spans="1:19" ht="15" customHeight="1" x14ac:dyDescent="0.25">
      <c r="A6" s="502"/>
      <c r="B6" s="192" t="s">
        <v>8</v>
      </c>
      <c r="C6" s="192" t="s">
        <v>9</v>
      </c>
      <c r="D6" s="192" t="s">
        <v>13</v>
      </c>
      <c r="E6" s="192" t="s">
        <v>8</v>
      </c>
      <c r="F6" s="193" t="s">
        <v>9</v>
      </c>
      <c r="G6" s="192" t="s">
        <v>10</v>
      </c>
      <c r="H6" s="148" t="s">
        <v>8</v>
      </c>
      <c r="I6" s="148" t="s">
        <v>9</v>
      </c>
      <c r="J6" s="148" t="s">
        <v>13</v>
      </c>
      <c r="K6" s="148" t="s">
        <v>8</v>
      </c>
      <c r="L6" s="148" t="s">
        <v>9</v>
      </c>
      <c r="M6" s="148" t="s">
        <v>13</v>
      </c>
      <c r="N6" s="192" t="s">
        <v>8</v>
      </c>
      <c r="O6" s="192" t="s">
        <v>13</v>
      </c>
      <c r="P6" s="192" t="s">
        <v>8</v>
      </c>
      <c r="Q6" s="192" t="s">
        <v>13</v>
      </c>
    </row>
    <row r="7" spans="1:19" ht="15" customHeight="1" x14ac:dyDescent="0.25">
      <c r="A7" s="149"/>
      <c r="B7" s="150"/>
      <c r="C7" s="150"/>
      <c r="D7" s="150"/>
      <c r="E7" s="150"/>
      <c r="F7" s="194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</row>
    <row r="8" spans="1:19" ht="15" customHeight="1" x14ac:dyDescent="0.25">
      <c r="A8" s="195" t="s">
        <v>1</v>
      </c>
      <c r="B8" s="196"/>
      <c r="C8" s="154"/>
      <c r="D8" s="154">
        <f>B8*C8</f>
        <v>0</v>
      </c>
      <c r="E8" s="154"/>
      <c r="F8" s="154"/>
      <c r="G8" s="154"/>
      <c r="H8" s="154"/>
      <c r="I8" s="154"/>
      <c r="J8" s="154">
        <f>H8*I8</f>
        <v>0</v>
      </c>
      <c r="K8" s="154"/>
      <c r="L8" s="154"/>
      <c r="M8" s="154"/>
      <c r="N8" s="289"/>
      <c r="O8" s="154">
        <f>N8*C8</f>
        <v>0</v>
      </c>
      <c r="P8" s="154">
        <f>B8+E8-N8-H8-K8</f>
        <v>0</v>
      </c>
      <c r="Q8" s="154">
        <f>D8+G8-O8-J8-M8</f>
        <v>0</v>
      </c>
    </row>
    <row r="9" spans="1:19" ht="15" customHeight="1" x14ac:dyDescent="0.25">
      <c r="A9" s="195"/>
      <c r="B9" s="196"/>
      <c r="C9" s="154"/>
      <c r="D9" s="154"/>
      <c r="E9" s="154"/>
      <c r="F9" s="154"/>
      <c r="G9" s="197"/>
      <c r="H9" s="197"/>
      <c r="I9" s="197"/>
      <c r="J9" s="154"/>
      <c r="K9" s="197"/>
      <c r="L9" s="197"/>
      <c r="M9" s="197"/>
      <c r="N9" s="289"/>
      <c r="O9" s="154"/>
      <c r="P9" s="154">
        <f>B9+E9-N9-H9-K9</f>
        <v>0</v>
      </c>
      <c r="Q9" s="154">
        <f>D9+G9-O9-J9-M9</f>
        <v>0</v>
      </c>
    </row>
    <row r="10" spans="1:19" ht="15" customHeight="1" x14ac:dyDescent="0.25">
      <c r="A10" s="198" t="s">
        <v>21</v>
      </c>
      <c r="B10" s="196"/>
      <c r="C10" s="154"/>
      <c r="D10" s="154">
        <f>B10*C10</f>
        <v>0</v>
      </c>
      <c r="E10" s="197"/>
      <c r="F10" s="197"/>
      <c r="G10" s="197">
        <f>E10*F10</f>
        <v>0</v>
      </c>
      <c r="H10" s="197"/>
      <c r="I10" s="197"/>
      <c r="J10" s="154"/>
      <c r="K10" s="197"/>
      <c r="L10" s="197"/>
      <c r="M10" s="197">
        <f>K10*L10</f>
        <v>0</v>
      </c>
      <c r="N10" s="289"/>
      <c r="O10" s="289">
        <f>N10*C10</f>
        <v>0</v>
      </c>
      <c r="P10" s="154">
        <f>B10+E10-N10-H10-K10</f>
        <v>0</v>
      </c>
      <c r="Q10" s="154">
        <f>D10+G10-O10-J10-M10</f>
        <v>0</v>
      </c>
      <c r="R10" s="1"/>
    </row>
    <row r="11" spans="1:19" ht="15" customHeight="1" x14ac:dyDescent="0.25">
      <c r="A11" s="198"/>
      <c r="B11" s="196"/>
      <c r="C11" s="154"/>
      <c r="D11" s="154"/>
      <c r="E11" s="197"/>
      <c r="F11" s="197"/>
      <c r="G11" s="197"/>
      <c r="H11" s="197"/>
      <c r="I11" s="197"/>
      <c r="J11" s="154"/>
      <c r="K11" s="197"/>
      <c r="L11" s="197"/>
      <c r="M11" s="197"/>
      <c r="N11" s="289"/>
      <c r="O11" s="154"/>
      <c r="P11" s="154"/>
      <c r="Q11" s="154"/>
      <c r="R11" s="1"/>
    </row>
    <row r="12" spans="1:19" ht="15" customHeight="1" x14ac:dyDescent="0.25">
      <c r="A12" s="198" t="s">
        <v>22</v>
      </c>
      <c r="B12" s="196"/>
      <c r="C12" s="154"/>
      <c r="D12" s="154">
        <f>B12*C12</f>
        <v>0</v>
      </c>
      <c r="E12" s="197"/>
      <c r="F12" s="197"/>
      <c r="G12" s="197"/>
      <c r="H12" s="197"/>
      <c r="I12" s="197"/>
      <c r="J12" s="197">
        <f>H12*I12</f>
        <v>0</v>
      </c>
      <c r="K12" s="197"/>
      <c r="L12" s="197">
        <f>C12</f>
        <v>0</v>
      </c>
      <c r="M12" s="197">
        <f>K12*L12</f>
        <v>0</v>
      </c>
      <c r="N12" s="289"/>
      <c r="O12" s="154">
        <f>N12*C12</f>
        <v>0</v>
      </c>
      <c r="P12" s="154">
        <f>B12+E12-H12-K12-N12</f>
        <v>0</v>
      </c>
      <c r="Q12" s="154">
        <f>P12*C12</f>
        <v>0</v>
      </c>
      <c r="R12" s="1"/>
      <c r="S12" s="15"/>
    </row>
    <row r="13" spans="1:19" ht="15" customHeight="1" x14ac:dyDescent="0.25">
      <c r="A13" s="198"/>
      <c r="B13" s="196"/>
      <c r="C13" s="154"/>
      <c r="D13" s="154"/>
      <c r="E13" s="197"/>
      <c r="F13" s="197"/>
      <c r="G13" s="197">
        <f>E13*F13</f>
        <v>0</v>
      </c>
      <c r="H13" s="197"/>
      <c r="I13" s="197"/>
      <c r="J13" s="197"/>
      <c r="K13" s="197"/>
      <c r="L13" s="197"/>
      <c r="M13" s="197"/>
      <c r="N13" s="289"/>
      <c r="O13" s="197">
        <f>N13*F13</f>
        <v>0</v>
      </c>
      <c r="P13" s="154">
        <f>B13+E13-H13-K13-N13</f>
        <v>0</v>
      </c>
      <c r="Q13" s="154">
        <f>P13*F13</f>
        <v>0</v>
      </c>
      <c r="R13" s="1"/>
      <c r="S13" s="15"/>
    </row>
    <row r="14" spans="1:19" ht="15" customHeight="1" x14ac:dyDescent="0.25">
      <c r="A14" s="198"/>
      <c r="B14" s="196"/>
      <c r="C14" s="154"/>
      <c r="D14" s="154">
        <f>B14*C14</f>
        <v>0</v>
      </c>
      <c r="E14" s="197"/>
      <c r="F14" s="197"/>
      <c r="G14" s="197">
        <f>E14*F14</f>
        <v>0</v>
      </c>
      <c r="H14" s="197"/>
      <c r="I14" s="197"/>
      <c r="J14" s="197"/>
      <c r="K14" s="197"/>
      <c r="L14" s="197"/>
      <c r="M14" s="197"/>
      <c r="N14" s="289"/>
      <c r="O14" s="452">
        <f>SUM(O12:O13)</f>
        <v>0</v>
      </c>
      <c r="P14" s="452">
        <f>SUM(P12:P13)</f>
        <v>0</v>
      </c>
      <c r="Q14" s="452">
        <f>SUM(Q12:Q13)</f>
        <v>0</v>
      </c>
      <c r="R14" s="1"/>
      <c r="S14" s="25"/>
    </row>
    <row r="15" spans="1:19" ht="15" customHeight="1" x14ac:dyDescent="0.25">
      <c r="A15" s="198"/>
      <c r="B15" s="196"/>
      <c r="C15" s="154"/>
      <c r="D15" s="154">
        <f>B15*C15</f>
        <v>0</v>
      </c>
      <c r="E15" s="197"/>
      <c r="F15" s="197"/>
      <c r="G15" s="197">
        <f>E15*F15</f>
        <v>0</v>
      </c>
      <c r="H15" s="197"/>
      <c r="I15" s="197"/>
      <c r="J15" s="197"/>
      <c r="K15" s="197"/>
      <c r="L15" s="197"/>
      <c r="M15" s="197"/>
      <c r="N15" s="289"/>
      <c r="O15" s="154"/>
      <c r="P15" s="154">
        <f>B15+E15-H15-K15-N15</f>
        <v>0</v>
      </c>
      <c r="Q15" s="154"/>
      <c r="R15" s="1"/>
      <c r="S15" s="25"/>
    </row>
    <row r="16" spans="1:19" ht="15" customHeight="1" x14ac:dyDescent="0.25">
      <c r="A16" s="198" t="s">
        <v>24</v>
      </c>
      <c r="B16" s="196"/>
      <c r="C16" s="154"/>
      <c r="D16" s="154">
        <f>B16*C16</f>
        <v>0</v>
      </c>
      <c r="E16" s="197"/>
      <c r="F16" s="197"/>
      <c r="G16" s="197"/>
      <c r="H16" s="197"/>
      <c r="I16" s="197"/>
      <c r="J16" s="197"/>
      <c r="K16" s="197"/>
      <c r="L16" s="197"/>
      <c r="M16" s="197"/>
      <c r="N16" s="289"/>
      <c r="O16" s="154">
        <f>N16*C16</f>
        <v>0</v>
      </c>
      <c r="P16" s="154">
        <f>B16+E16-H16-K16-N16</f>
        <v>0</v>
      </c>
      <c r="Q16" s="154">
        <f>P16*C16</f>
        <v>0</v>
      </c>
      <c r="R16" s="1"/>
      <c r="S16" s="15"/>
    </row>
    <row r="17" spans="1:19" ht="15" customHeight="1" x14ac:dyDescent="0.25">
      <c r="A17" s="198"/>
      <c r="B17" s="196"/>
      <c r="C17" s="154"/>
      <c r="D17" s="154">
        <f>B17*C17</f>
        <v>0</v>
      </c>
      <c r="E17" s="197"/>
      <c r="F17" s="197"/>
      <c r="G17" s="197"/>
      <c r="H17" s="197"/>
      <c r="I17" s="197"/>
      <c r="J17" s="197"/>
      <c r="K17" s="197"/>
      <c r="L17" s="197"/>
      <c r="M17" s="197"/>
      <c r="N17" s="289"/>
      <c r="O17" s="154"/>
      <c r="P17" s="154">
        <f>B17+E17-H17-K17-M17</f>
        <v>0</v>
      </c>
      <c r="Q17" s="154">
        <f>P17*C17</f>
        <v>0</v>
      </c>
      <c r="R17" s="1"/>
      <c r="S17" s="15"/>
    </row>
    <row r="18" spans="1:19" ht="15" customHeight="1" x14ac:dyDescent="0.25">
      <c r="A18" s="198" t="s">
        <v>28</v>
      </c>
      <c r="B18" s="196"/>
      <c r="C18" s="154"/>
      <c r="D18" s="197">
        <f>B18*C18</f>
        <v>0</v>
      </c>
      <c r="E18" s="197"/>
      <c r="F18" s="197"/>
      <c r="G18" s="197">
        <f>E18*F18</f>
        <v>0</v>
      </c>
      <c r="H18" s="197"/>
      <c r="I18" s="197"/>
      <c r="J18" s="197"/>
      <c r="K18" s="197"/>
      <c r="L18" s="197"/>
      <c r="M18" s="197"/>
      <c r="N18" s="289"/>
      <c r="O18" s="289">
        <f>N18*C18</f>
        <v>0</v>
      </c>
      <c r="P18" s="154">
        <f>B18+E18-H18-N18</f>
        <v>0</v>
      </c>
      <c r="Q18" s="154">
        <f>P18*C18</f>
        <v>0</v>
      </c>
      <c r="R18" s="1"/>
    </row>
    <row r="19" spans="1:19" ht="15" customHeight="1" x14ac:dyDescent="0.25">
      <c r="A19" s="198"/>
      <c r="B19" s="197"/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289"/>
      <c r="O19" s="289"/>
      <c r="P19" s="154"/>
      <c r="Q19" s="154"/>
      <c r="R19" s="1"/>
    </row>
    <row r="20" spans="1:19" ht="15" customHeight="1" x14ac:dyDescent="0.25">
      <c r="A20" s="198" t="s">
        <v>30</v>
      </c>
      <c r="B20" s="197"/>
      <c r="C20" s="197"/>
      <c r="D20" s="197">
        <f>B20*C20</f>
        <v>0</v>
      </c>
      <c r="E20" s="197"/>
      <c r="F20" s="197"/>
      <c r="G20" s="197"/>
      <c r="H20" s="197"/>
      <c r="I20" s="197"/>
      <c r="J20" s="197"/>
      <c r="K20" s="197"/>
      <c r="L20" s="197"/>
      <c r="M20" s="197"/>
      <c r="N20" s="154"/>
      <c r="O20" s="154">
        <f>N20*C20</f>
        <v>0</v>
      </c>
      <c r="P20" s="154">
        <f>B20+E20-H20-N20</f>
        <v>0</v>
      </c>
      <c r="Q20" s="154">
        <f>P20*C20</f>
        <v>0</v>
      </c>
      <c r="R20" s="1"/>
      <c r="S20" s="1">
        <f>P20*C20</f>
        <v>0</v>
      </c>
    </row>
    <row r="21" spans="1:19" ht="15" customHeight="1" x14ac:dyDescent="0.25">
      <c r="A21" s="198"/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54"/>
      <c r="O21" s="154"/>
      <c r="P21" s="154"/>
      <c r="Q21" s="154"/>
      <c r="R21" s="1"/>
    </row>
    <row r="22" spans="1:19" ht="15" customHeight="1" x14ac:dyDescent="0.25">
      <c r="A22" s="198" t="s">
        <v>31</v>
      </c>
      <c r="B22" s="197"/>
      <c r="C22" s="197"/>
      <c r="D22" s="197">
        <f>B22*C22</f>
        <v>0</v>
      </c>
      <c r="E22" s="197"/>
      <c r="F22" s="197"/>
      <c r="G22" s="197">
        <f>E22*F22</f>
        <v>0</v>
      </c>
      <c r="H22" s="197"/>
      <c r="I22" s="197"/>
      <c r="J22" s="197"/>
      <c r="K22" s="197"/>
      <c r="L22" s="197"/>
      <c r="M22" s="197"/>
      <c r="N22" s="154"/>
      <c r="O22" s="154">
        <f>N22*C22</f>
        <v>0</v>
      </c>
      <c r="P22" s="154">
        <f>B22+E22-H22-K22-N22</f>
        <v>0</v>
      </c>
      <c r="Q22" s="154">
        <f>P22*C22</f>
        <v>0</v>
      </c>
      <c r="R22" s="1"/>
    </row>
    <row r="23" spans="1:19" ht="15" customHeight="1" x14ac:dyDescent="0.25">
      <c r="A23" s="198"/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54"/>
      <c r="O23" s="154"/>
      <c r="P23" s="154"/>
      <c r="Q23" s="154"/>
      <c r="R23" s="1"/>
    </row>
    <row r="24" spans="1:19" ht="15" customHeight="1" x14ac:dyDescent="0.25">
      <c r="A24" s="198" t="s">
        <v>32</v>
      </c>
      <c r="B24" s="197"/>
      <c r="C24" s="197"/>
      <c r="D24" s="197">
        <f>B24*C24</f>
        <v>0</v>
      </c>
      <c r="E24" s="197"/>
      <c r="F24" s="197"/>
      <c r="G24" s="197"/>
      <c r="H24" s="197"/>
      <c r="I24" s="197"/>
      <c r="J24" s="197"/>
      <c r="K24" s="197"/>
      <c r="L24" s="197"/>
      <c r="M24" s="197"/>
      <c r="N24" s="289"/>
      <c r="O24" s="154">
        <f>N24*C24</f>
        <v>0</v>
      </c>
      <c r="P24" s="154">
        <f t="shared" ref="P24:P26" si="0">B24+E24-H24-K24-N24</f>
        <v>0</v>
      </c>
      <c r="Q24" s="154"/>
      <c r="R24" s="1"/>
      <c r="S24" s="1">
        <f>P24*C24</f>
        <v>0</v>
      </c>
    </row>
    <row r="25" spans="1:19" ht="15" customHeight="1" x14ac:dyDescent="0.25">
      <c r="A25" s="198"/>
      <c r="B25" s="199"/>
      <c r="C25" s="199"/>
      <c r="D25" s="199"/>
      <c r="E25" s="197"/>
      <c r="F25" s="197"/>
      <c r="G25" s="197"/>
      <c r="H25" s="197"/>
      <c r="I25" s="197"/>
      <c r="J25" s="197"/>
      <c r="K25" s="197"/>
      <c r="L25" s="197"/>
      <c r="M25" s="197"/>
      <c r="N25" s="154"/>
      <c r="O25" s="154"/>
      <c r="P25" s="154">
        <f t="shared" si="0"/>
        <v>0</v>
      </c>
      <c r="Q25" s="154">
        <f>P25*C25</f>
        <v>0</v>
      </c>
      <c r="R25" s="1"/>
    </row>
    <row r="26" spans="1:19" ht="15" customHeight="1" x14ac:dyDescent="0.25">
      <c r="A26" s="198" t="s">
        <v>33</v>
      </c>
      <c r="B26" s="197"/>
      <c r="C26" s="197"/>
      <c r="D26" s="197">
        <f>B26*C26</f>
        <v>0</v>
      </c>
      <c r="E26" s="197"/>
      <c r="F26" s="197"/>
      <c r="G26" s="197">
        <f>E26*F26</f>
        <v>0</v>
      </c>
      <c r="H26" s="197"/>
      <c r="I26" s="197"/>
      <c r="J26" s="197"/>
      <c r="K26" s="197"/>
      <c r="L26" s="197"/>
      <c r="M26" s="197"/>
      <c r="N26" s="154"/>
      <c r="O26" s="154">
        <f>N26*F26</f>
        <v>0</v>
      </c>
      <c r="P26" s="154">
        <f t="shared" si="0"/>
        <v>0</v>
      </c>
      <c r="Q26" s="154">
        <f>P26*F26</f>
        <v>0</v>
      </c>
      <c r="R26" s="1"/>
    </row>
    <row r="27" spans="1:19" ht="15" customHeight="1" x14ac:dyDescent="0.25">
      <c r="B27" s="197"/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289"/>
      <c r="O27" s="154"/>
      <c r="P27" s="154"/>
      <c r="Q27" s="154"/>
      <c r="R27" s="1"/>
    </row>
    <row r="28" spans="1:19" ht="15" customHeight="1" x14ac:dyDescent="0.25">
      <c r="A28" s="198" t="s">
        <v>34</v>
      </c>
      <c r="B28" s="197"/>
      <c r="C28" s="197"/>
      <c r="D28" s="197">
        <f>B28*C28</f>
        <v>0</v>
      </c>
      <c r="E28" s="197"/>
      <c r="F28" s="197"/>
      <c r="G28" s="197"/>
      <c r="H28" s="197"/>
      <c r="I28" s="197"/>
      <c r="J28" s="197"/>
      <c r="K28" s="197"/>
      <c r="L28" s="197"/>
      <c r="M28" s="197"/>
      <c r="N28" s="154"/>
      <c r="O28" s="154">
        <f>N28*C28</f>
        <v>0</v>
      </c>
      <c r="P28" s="154">
        <f>B28+E28-H28-K28-N28</f>
        <v>0</v>
      </c>
      <c r="Q28" s="154">
        <f>P28*C28</f>
        <v>0</v>
      </c>
      <c r="R28" s="1"/>
    </row>
    <row r="29" spans="1:19" ht="15" customHeight="1" x14ac:dyDescent="0.25">
      <c r="A29" s="198"/>
      <c r="B29" s="197"/>
      <c r="C29" s="197"/>
      <c r="D29" s="197">
        <f>B29*C29</f>
        <v>0</v>
      </c>
      <c r="E29" s="197"/>
      <c r="F29" s="197"/>
      <c r="G29" s="197"/>
      <c r="H29" s="197"/>
      <c r="I29" s="197"/>
      <c r="J29" s="197"/>
      <c r="K29" s="197"/>
      <c r="L29" s="197"/>
      <c r="M29" s="197"/>
      <c r="N29" s="154"/>
      <c r="O29" s="154">
        <f>N29*C29</f>
        <v>0</v>
      </c>
      <c r="P29" s="154">
        <f>B29+E29-H29-K29-N29</f>
        <v>0</v>
      </c>
      <c r="Q29" s="154">
        <f>P29*C29</f>
        <v>0</v>
      </c>
      <c r="R29" s="1"/>
    </row>
    <row r="30" spans="1:19" ht="15" customHeight="1" x14ac:dyDescent="0.25">
      <c r="A30" s="198" t="s">
        <v>35</v>
      </c>
      <c r="B30" s="197"/>
      <c r="C30" s="197"/>
      <c r="D30" s="197">
        <f>B30*C30</f>
        <v>0</v>
      </c>
      <c r="E30" s="197"/>
      <c r="F30" s="197"/>
      <c r="G30" s="197">
        <f>E30*F30</f>
        <v>0</v>
      </c>
      <c r="H30" s="197"/>
      <c r="I30" s="197"/>
      <c r="J30" s="197"/>
      <c r="K30" s="197"/>
      <c r="L30" s="197"/>
      <c r="M30" s="197"/>
      <c r="N30" s="289"/>
      <c r="O30" s="289">
        <f>N30*C30</f>
        <v>0</v>
      </c>
      <c r="P30" s="154">
        <f>B30+E30-H30-K30-N30</f>
        <v>0</v>
      </c>
      <c r="Q30" s="154">
        <f>P30*C30</f>
        <v>0</v>
      </c>
      <c r="R30" s="1"/>
    </row>
    <row r="31" spans="1:19" ht="15" customHeight="1" x14ac:dyDescent="0.25">
      <c r="A31" s="154"/>
      <c r="B31" s="446"/>
      <c r="C31" s="446"/>
      <c r="D31" s="446"/>
      <c r="E31" s="446"/>
      <c r="F31" s="446"/>
      <c r="G31" s="446"/>
      <c r="H31" s="446"/>
      <c r="I31" s="446"/>
      <c r="J31" s="446"/>
      <c r="K31" s="446"/>
      <c r="L31" s="446"/>
      <c r="M31" s="446"/>
      <c r="N31" s="446"/>
      <c r="O31" s="446"/>
      <c r="P31" s="446"/>
      <c r="Q31" s="446"/>
      <c r="R31" s="1"/>
    </row>
    <row r="32" spans="1:19" ht="24.75" customHeight="1" thickBot="1" x14ac:dyDescent="0.3">
      <c r="A32" s="511" t="s">
        <v>17</v>
      </c>
      <c r="B32" s="512"/>
      <c r="C32" s="512"/>
      <c r="D32" s="512"/>
      <c r="E32" s="200">
        <f>SUM(E8:E31)</f>
        <v>0</v>
      </c>
      <c r="F32" s="200"/>
      <c r="G32" s="201">
        <f>SUM(G8:G31)</f>
        <v>0</v>
      </c>
      <c r="H32" s="201"/>
      <c r="I32" s="201"/>
      <c r="J32" s="201"/>
      <c r="K32" s="201"/>
      <c r="L32" s="201"/>
      <c r="M32" s="201"/>
      <c r="N32" s="202"/>
      <c r="O32" s="202"/>
      <c r="P32" s="202"/>
      <c r="Q32" s="202"/>
      <c r="R32" s="15"/>
    </row>
    <row r="33" spans="1:18" ht="15" customHeight="1" x14ac:dyDescent="0.25">
      <c r="A33" s="83"/>
      <c r="B33" s="25"/>
      <c r="C33" s="15"/>
      <c r="D33" s="1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84"/>
      <c r="P33" s="19"/>
      <c r="Q33" s="13"/>
      <c r="R33" s="1"/>
    </row>
    <row r="34" spans="1:18" ht="15" customHeight="1" x14ac:dyDescent="0.25">
      <c r="A34" s="83"/>
      <c r="B34" s="25"/>
      <c r="C34" s="15"/>
      <c r="D34" s="1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84"/>
      <c r="P34" s="19"/>
      <c r="Q34" s="13"/>
      <c r="R34" s="1"/>
    </row>
    <row r="35" spans="1:18" ht="15" customHeight="1" x14ac:dyDescent="0.25">
      <c r="A35" s="83"/>
      <c r="B35" s="11"/>
      <c r="C35" s="11"/>
      <c r="D35" s="11"/>
      <c r="E35" s="15"/>
      <c r="F35" s="15"/>
      <c r="G35" s="15"/>
      <c r="H35" s="15"/>
      <c r="I35" s="15"/>
      <c r="J35" s="15"/>
      <c r="K35" s="15"/>
      <c r="L35" s="15"/>
      <c r="M35" s="15"/>
      <c r="N35" s="11"/>
      <c r="O35" s="11"/>
      <c r="P35" s="13"/>
      <c r="Q35" s="13"/>
      <c r="R35" s="1"/>
    </row>
    <row r="36" spans="1:18" ht="15" customHeight="1" x14ac:dyDescent="0.25">
      <c r="A36" s="15"/>
      <c r="B36" s="25"/>
      <c r="C36" s="15"/>
      <c r="D36" s="1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17"/>
      <c r="P36" s="117"/>
      <c r="Q36" s="117"/>
      <c r="R36" s="1"/>
    </row>
    <row r="37" spans="1:18" ht="15" customHeight="1" x14ac:dyDescent="0.25">
      <c r="A37" s="15"/>
      <c r="B37" s="25"/>
      <c r="C37" s="15"/>
      <c r="D37" s="11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481"/>
      <c r="P37" s="481"/>
      <c r="Q37" s="481"/>
      <c r="R37" s="1"/>
    </row>
    <row r="38" spans="1:18" ht="15" customHeight="1" x14ac:dyDescent="0.25">
      <c r="A38" s="15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482"/>
      <c r="P38" s="482"/>
      <c r="Q38" s="482"/>
      <c r="R38" s="1"/>
    </row>
    <row r="39" spans="1:18" ht="15" customHeight="1" x14ac:dyDescent="0.25">
      <c r="A39" s="15"/>
      <c r="B39" s="25"/>
      <c r="C39" s="15"/>
      <c r="D39" s="11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9"/>
      <c r="Q39" s="13"/>
      <c r="R39" s="1"/>
    </row>
    <row r="40" spans="1:18" ht="15" customHeight="1" x14ac:dyDescent="0.25">
      <c r="A40" s="15"/>
      <c r="B40" s="25"/>
      <c r="C40" s="15"/>
      <c r="D40" s="11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9"/>
      <c r="Q40" s="13"/>
      <c r="R40" s="1"/>
    </row>
    <row r="41" spans="1:18" ht="15" customHeight="1" x14ac:dyDescent="0.25">
      <c r="A41" s="15"/>
      <c r="B41" s="25"/>
      <c r="C41" s="15"/>
      <c r="D41" s="11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9"/>
      <c r="Q41" s="13"/>
      <c r="R41" s="1"/>
    </row>
    <row r="42" spans="1:18" ht="15" customHeight="1" x14ac:dyDescent="0.25">
      <c r="A42" s="15"/>
      <c r="B42" s="11"/>
      <c r="C42" s="11"/>
      <c r="D42" s="11"/>
      <c r="E42" s="15"/>
      <c r="F42" s="15"/>
      <c r="G42" s="15"/>
      <c r="H42" s="15"/>
      <c r="I42" s="15"/>
      <c r="J42" s="15"/>
      <c r="K42" s="15"/>
      <c r="L42" s="15"/>
      <c r="M42" s="15"/>
      <c r="N42" s="11"/>
      <c r="O42" s="483"/>
      <c r="P42" s="483"/>
      <c r="Q42" s="483"/>
      <c r="R42" s="1"/>
    </row>
    <row r="43" spans="1:18" ht="15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9"/>
      <c r="Q43" s="16"/>
      <c r="R43" s="1"/>
    </row>
    <row r="44" spans="1:18" ht="15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9"/>
      <c r="Q44" s="16"/>
      <c r="R44" s="1"/>
    </row>
    <row r="45" spans="1:18" ht="15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9"/>
      <c r="Q45" s="16"/>
      <c r="R45" s="1"/>
    </row>
    <row r="46" spans="1:18" ht="1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"/>
    </row>
    <row r="47" spans="1:18" ht="15" customHeight="1" x14ac:dyDescent="0.25">
      <c r="A47" s="362" t="s">
        <v>63</v>
      </c>
      <c r="B47" s="362"/>
      <c r="C47" s="362"/>
      <c r="D47" s="362"/>
      <c r="E47" s="15"/>
      <c r="F47" s="15"/>
      <c r="G47" s="15"/>
      <c r="H47" s="15"/>
      <c r="I47" s="15"/>
      <c r="J47" s="15"/>
      <c r="K47" s="15"/>
      <c r="L47" s="15"/>
      <c r="M47" s="15"/>
      <c r="N47" s="25"/>
      <c r="O47" s="25"/>
      <c r="P47" s="15"/>
      <c r="Q47" s="15"/>
      <c r="R47" s="1"/>
    </row>
    <row r="48" spans="1:18" ht="15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"/>
    </row>
    <row r="49" spans="1:18" ht="1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"/>
    </row>
    <row r="50" spans="1:18" ht="15" customHeight="1" x14ac:dyDescent="0.25">
      <c r="B50" s="15"/>
      <c r="C50" s="12"/>
      <c r="D50" s="17"/>
      <c r="E50" s="17"/>
      <c r="F50" s="61"/>
      <c r="G50" s="17"/>
      <c r="H50" s="17"/>
      <c r="I50" s="17"/>
      <c r="J50" s="17"/>
      <c r="K50" s="17"/>
      <c r="L50" s="17"/>
      <c r="M50" s="17"/>
      <c r="N50" s="15"/>
      <c r="O50" s="17"/>
      <c r="P50" s="15"/>
      <c r="Q50" s="17"/>
      <c r="R50" s="1"/>
    </row>
    <row r="51" spans="1:18" ht="15" customHeight="1" x14ac:dyDescent="0.25">
      <c r="B51" s="15"/>
      <c r="C51" s="12"/>
      <c r="D51" s="17"/>
      <c r="E51" s="17"/>
      <c r="F51" s="61"/>
      <c r="G51" s="17"/>
      <c r="H51" s="17"/>
      <c r="I51" s="17"/>
      <c r="J51" s="17"/>
      <c r="K51" s="17"/>
      <c r="L51" s="17"/>
      <c r="M51" s="17"/>
      <c r="N51" s="15"/>
      <c r="O51" s="17"/>
      <c r="P51" s="15"/>
      <c r="Q51" s="17"/>
      <c r="R51" s="1"/>
    </row>
    <row r="52" spans="1:18" ht="15" customHeight="1" x14ac:dyDescent="0.25">
      <c r="B52" s="1"/>
      <c r="C52" s="6"/>
      <c r="D52" s="4"/>
      <c r="E52" s="4"/>
      <c r="F52" s="62"/>
      <c r="G52" s="4"/>
      <c r="H52" s="4"/>
      <c r="I52" s="4"/>
      <c r="J52" s="4"/>
      <c r="K52" s="4"/>
      <c r="L52" s="4"/>
      <c r="M52" s="4"/>
      <c r="N52" s="1"/>
      <c r="O52" s="4"/>
      <c r="P52" s="1"/>
      <c r="Q52" s="4"/>
      <c r="R52" s="1"/>
    </row>
    <row r="53" spans="1:18" ht="15" customHeight="1" x14ac:dyDescent="0.25">
      <c r="B53" s="1"/>
      <c r="C53" s="6"/>
      <c r="D53" s="4"/>
      <c r="E53" s="4"/>
      <c r="F53" s="62"/>
      <c r="G53" s="4"/>
      <c r="H53" s="4"/>
      <c r="I53" s="4"/>
      <c r="J53" s="4"/>
      <c r="K53" s="4"/>
      <c r="L53" s="4"/>
      <c r="M53" s="4"/>
      <c r="N53" s="1"/>
      <c r="O53" s="4"/>
      <c r="P53" s="4"/>
      <c r="Q53" s="4"/>
      <c r="R53" s="1"/>
    </row>
    <row r="54" spans="1:18" ht="15" customHeight="1" x14ac:dyDescent="0.25">
      <c r="B54" s="1"/>
      <c r="C54" s="6"/>
      <c r="D54" s="4"/>
      <c r="E54" s="4"/>
      <c r="F54" s="62"/>
      <c r="G54" s="4"/>
      <c r="H54" s="4"/>
      <c r="I54" s="4"/>
      <c r="J54" s="4"/>
      <c r="K54" s="4"/>
      <c r="L54" s="4"/>
      <c r="M54" s="4"/>
      <c r="N54" s="1"/>
      <c r="O54" s="4"/>
      <c r="P54" s="4"/>
      <c r="Q54" s="4"/>
      <c r="R54" s="1"/>
    </row>
    <row r="55" spans="1:18" ht="15" customHeight="1" x14ac:dyDescent="0.25">
      <c r="B55" s="1"/>
      <c r="C55" s="6"/>
      <c r="D55" s="4"/>
      <c r="E55" s="4"/>
      <c r="F55" s="62"/>
      <c r="G55" s="4"/>
      <c r="H55" s="4"/>
      <c r="I55" s="4"/>
      <c r="J55" s="4"/>
      <c r="K55" s="4"/>
      <c r="L55" s="4"/>
      <c r="M55" s="4"/>
      <c r="N55" s="1"/>
      <c r="O55" s="4"/>
      <c r="P55" s="4"/>
      <c r="Q55" s="4"/>
      <c r="R55" s="1"/>
    </row>
    <row r="56" spans="1:18" ht="15" customHeight="1" x14ac:dyDescent="0.25">
      <c r="B56" s="1"/>
      <c r="C56" s="6"/>
      <c r="D56" s="4"/>
      <c r="E56" s="4"/>
      <c r="F56" s="62"/>
      <c r="G56" s="4"/>
      <c r="H56" s="4"/>
      <c r="I56" s="4"/>
      <c r="J56" s="4"/>
      <c r="K56" s="4"/>
      <c r="L56" s="4"/>
      <c r="M56" s="4"/>
      <c r="N56" s="1"/>
      <c r="O56" s="4"/>
      <c r="P56" s="4"/>
      <c r="Q56" s="4"/>
      <c r="R56" s="1"/>
    </row>
    <row r="57" spans="1:18" ht="15" customHeight="1" x14ac:dyDescent="0.25">
      <c r="B57" s="1"/>
      <c r="C57" s="6"/>
      <c r="D57" s="4"/>
      <c r="E57" s="4"/>
      <c r="F57" s="62"/>
      <c r="G57" s="4"/>
      <c r="H57" s="4"/>
      <c r="I57" s="4"/>
      <c r="J57" s="4"/>
      <c r="K57" s="4"/>
      <c r="L57" s="4"/>
      <c r="M57" s="4"/>
      <c r="N57" s="1"/>
      <c r="O57" s="4"/>
      <c r="P57" s="4"/>
      <c r="Q57" s="4"/>
      <c r="R57" s="1"/>
    </row>
    <row r="58" spans="1:18" ht="15" customHeight="1" x14ac:dyDescent="0.25">
      <c r="B58" s="1"/>
      <c r="C58" s="6"/>
      <c r="D58" s="4"/>
      <c r="E58" s="4"/>
      <c r="F58" s="62"/>
      <c r="G58" s="4"/>
      <c r="H58" s="4"/>
      <c r="I58" s="4"/>
      <c r="J58" s="4"/>
      <c r="K58" s="4"/>
      <c r="L58" s="4"/>
      <c r="M58" s="4"/>
      <c r="N58" s="1"/>
      <c r="O58" s="4"/>
      <c r="P58" s="4"/>
      <c r="Q58" s="4"/>
      <c r="R58" s="1"/>
    </row>
    <row r="59" spans="1:18" ht="15" customHeight="1" x14ac:dyDescent="0.25">
      <c r="B59" s="1"/>
      <c r="C59" s="6"/>
      <c r="D59" s="4"/>
      <c r="E59" s="4"/>
      <c r="F59" s="62"/>
      <c r="G59" s="4"/>
      <c r="H59" s="4"/>
      <c r="I59" s="4"/>
      <c r="J59" s="4"/>
      <c r="K59" s="4"/>
      <c r="L59" s="4"/>
      <c r="M59" s="4"/>
      <c r="N59" s="1"/>
      <c r="O59" s="4"/>
      <c r="P59" s="4"/>
      <c r="Q59" s="4"/>
      <c r="R59" s="1"/>
    </row>
    <row r="60" spans="1:18" ht="15" customHeight="1" x14ac:dyDescent="0.25">
      <c r="B60" s="1"/>
      <c r="C60" s="6"/>
      <c r="D60" s="4"/>
      <c r="E60" s="4"/>
      <c r="F60" s="62"/>
      <c r="G60" s="4"/>
      <c r="H60" s="4"/>
      <c r="I60" s="4"/>
      <c r="J60" s="4"/>
      <c r="K60" s="4"/>
      <c r="L60" s="4"/>
      <c r="M60" s="4"/>
      <c r="N60" s="1"/>
      <c r="O60" s="4"/>
      <c r="P60" s="4"/>
      <c r="Q60" s="4"/>
      <c r="R60" s="1"/>
    </row>
    <row r="61" spans="1:18" ht="15" customHeight="1" x14ac:dyDescent="0.25">
      <c r="B61" s="1"/>
      <c r="C61" s="6"/>
      <c r="D61" s="4"/>
      <c r="E61" s="4"/>
      <c r="F61" s="62"/>
      <c r="G61" s="4"/>
      <c r="H61" s="4"/>
      <c r="I61" s="4"/>
      <c r="J61" s="4"/>
      <c r="K61" s="4"/>
      <c r="L61" s="4"/>
      <c r="M61" s="4"/>
      <c r="N61" s="1"/>
      <c r="O61" s="4"/>
      <c r="P61" s="4"/>
      <c r="Q61" s="4"/>
      <c r="R61" s="1"/>
    </row>
    <row r="62" spans="1:18" ht="15" customHeight="1" x14ac:dyDescent="0.25">
      <c r="B62" s="1"/>
      <c r="C62" s="6"/>
      <c r="D62" s="1"/>
      <c r="E62" s="1"/>
      <c r="F62" s="6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" customHeight="1" x14ac:dyDescent="0.25">
      <c r="B63" s="1"/>
      <c r="C63" s="6"/>
      <c r="D63" s="1"/>
      <c r="E63" s="1"/>
      <c r="F63" s="6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" customHeight="1" x14ac:dyDescent="0.25">
      <c r="B64" s="1"/>
      <c r="C64" s="6"/>
      <c r="D64" s="1"/>
      <c r="E64" s="1"/>
      <c r="F64" s="6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2:18" ht="15" customHeight="1" x14ac:dyDescent="0.25">
      <c r="B65" s="1"/>
      <c r="C65" s="6"/>
      <c r="D65" s="1"/>
      <c r="E65" s="1"/>
      <c r="F65" s="6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2:18" ht="15" customHeight="1" x14ac:dyDescent="0.25">
      <c r="B66" s="1"/>
      <c r="C66" s="6"/>
      <c r="D66" s="1"/>
      <c r="E66" s="1"/>
      <c r="F66" s="6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2:18" ht="15" customHeight="1" x14ac:dyDescent="0.25">
      <c r="B67" s="1"/>
      <c r="C67" s="6"/>
      <c r="D67" s="1"/>
      <c r="E67" s="1"/>
      <c r="F67" s="6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2:18" ht="15" customHeight="1" x14ac:dyDescent="0.25">
      <c r="B68" s="1"/>
      <c r="C68" s="6"/>
      <c r="D68" s="1"/>
      <c r="E68" s="1"/>
      <c r="F68" s="6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2:18" ht="15" customHeight="1" x14ac:dyDescent="0.25">
      <c r="B69" s="1"/>
      <c r="C69" s="6"/>
      <c r="D69" s="1"/>
      <c r="E69" s="1"/>
      <c r="F69" s="6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2:18" ht="15" customHeight="1" x14ac:dyDescent="0.25">
      <c r="B70" s="1"/>
      <c r="C70" s="6"/>
      <c r="D70" s="1"/>
      <c r="E70" s="1"/>
      <c r="F70" s="6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2:18" ht="15" customHeight="1" x14ac:dyDescent="0.25">
      <c r="B71" s="1"/>
      <c r="C71" s="6"/>
      <c r="D71" s="1"/>
      <c r="E71" s="1"/>
      <c r="F71" s="6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2:18" ht="15" customHeight="1" x14ac:dyDescent="0.25">
      <c r="B72" s="1"/>
      <c r="C72" s="6"/>
      <c r="D72" s="1"/>
      <c r="E72" s="1"/>
      <c r="F72" s="6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2:18" ht="15" customHeight="1" x14ac:dyDescent="0.25">
      <c r="B73" s="1"/>
      <c r="C73" s="6"/>
      <c r="D73" s="1"/>
      <c r="E73" s="1"/>
      <c r="F73" s="6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2:18" ht="15" customHeight="1" x14ac:dyDescent="0.25">
      <c r="B74" s="1"/>
      <c r="C74" s="6"/>
      <c r="D74" s="1"/>
      <c r="E74" s="1"/>
      <c r="F74" s="6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2:18" ht="15" customHeight="1" x14ac:dyDescent="0.25">
      <c r="B75" s="1"/>
      <c r="C75" s="6"/>
      <c r="D75" s="1"/>
      <c r="E75" s="1"/>
      <c r="F75" s="6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2:18" ht="15" customHeight="1" x14ac:dyDescent="0.25">
      <c r="C76" s="7"/>
      <c r="N76" s="3"/>
      <c r="R76" s="1"/>
    </row>
    <row r="77" spans="2:18" ht="15" customHeight="1" x14ac:dyDescent="0.25">
      <c r="C77" s="7"/>
      <c r="N77" s="3"/>
      <c r="R77" s="1"/>
    </row>
    <row r="78" spans="2:18" ht="15" customHeight="1" x14ac:dyDescent="0.25">
      <c r="C78" s="7"/>
      <c r="N78" s="3"/>
      <c r="R78" s="1"/>
    </row>
    <row r="79" spans="2:18" ht="15" customHeight="1" x14ac:dyDescent="0.25">
      <c r="C79" s="7"/>
      <c r="N79" s="3"/>
      <c r="R79" s="1"/>
    </row>
    <row r="80" spans="2:18" ht="15" customHeight="1" x14ac:dyDescent="0.25">
      <c r="C80" s="7"/>
      <c r="N80" s="3"/>
      <c r="R80" s="1"/>
    </row>
    <row r="81" spans="3:18" ht="15" customHeight="1" x14ac:dyDescent="0.25">
      <c r="C81" s="7"/>
      <c r="N81" s="3"/>
      <c r="R81" s="1"/>
    </row>
    <row r="82" spans="3:18" ht="15" customHeight="1" x14ac:dyDescent="0.25">
      <c r="C82" s="7"/>
      <c r="N82" s="3"/>
      <c r="R82" s="1"/>
    </row>
    <row r="83" spans="3:18" ht="15" customHeight="1" x14ac:dyDescent="0.25">
      <c r="C83" s="7"/>
      <c r="R83" s="1"/>
    </row>
    <row r="84" spans="3:18" ht="15" customHeight="1" x14ac:dyDescent="0.25">
      <c r="C84" s="7"/>
    </row>
    <row r="85" spans="3:18" ht="15" customHeight="1" x14ac:dyDescent="0.25">
      <c r="C85" s="7"/>
    </row>
    <row r="86" spans="3:18" ht="15" customHeight="1" x14ac:dyDescent="0.25">
      <c r="C86" s="7"/>
    </row>
    <row r="87" spans="3:18" ht="15" customHeight="1" x14ac:dyDescent="0.25">
      <c r="C87" s="7"/>
    </row>
    <row r="88" spans="3:18" ht="15" customHeight="1" x14ac:dyDescent="0.25">
      <c r="C88" s="7"/>
    </row>
    <row r="89" spans="3:18" ht="15" customHeight="1" x14ac:dyDescent="0.25">
      <c r="C89" s="7"/>
    </row>
    <row r="90" spans="3:18" ht="15" customHeight="1" x14ac:dyDescent="0.25">
      <c r="C90" s="7"/>
    </row>
    <row r="91" spans="3:18" ht="15" customHeight="1" x14ac:dyDescent="0.25">
      <c r="C91" s="7"/>
    </row>
    <row r="92" spans="3:18" ht="15" customHeight="1" x14ac:dyDescent="0.25">
      <c r="C92" s="7"/>
    </row>
    <row r="93" spans="3:18" ht="15" customHeight="1" x14ac:dyDescent="0.25">
      <c r="C93" s="7"/>
    </row>
    <row r="94" spans="3:18" ht="15" customHeight="1" x14ac:dyDescent="0.25">
      <c r="C94" s="7"/>
    </row>
    <row r="95" spans="3:18" ht="15" customHeight="1" x14ac:dyDescent="0.25">
      <c r="C95" s="7"/>
    </row>
    <row r="96" spans="3:18" ht="15" customHeight="1" x14ac:dyDescent="0.25">
      <c r="C96" s="7"/>
    </row>
    <row r="97" spans="3:3" ht="15" customHeight="1" x14ac:dyDescent="0.25">
      <c r="C97" s="7"/>
    </row>
    <row r="98" spans="3:3" ht="15" customHeight="1" x14ac:dyDescent="0.25">
      <c r="C98" s="7"/>
    </row>
    <row r="99" spans="3:3" ht="15" customHeight="1" x14ac:dyDescent="0.25">
      <c r="C99" s="7"/>
    </row>
    <row r="100" spans="3:3" ht="15" customHeight="1" x14ac:dyDescent="0.25">
      <c r="C100" s="7"/>
    </row>
    <row r="101" spans="3:3" ht="15" customHeight="1" x14ac:dyDescent="0.25">
      <c r="C101" s="7"/>
    </row>
    <row r="102" spans="3:3" ht="15" customHeight="1" x14ac:dyDescent="0.25">
      <c r="C102" s="7"/>
    </row>
    <row r="103" spans="3:3" ht="15" customHeight="1" x14ac:dyDescent="0.25">
      <c r="C103" s="7"/>
    </row>
    <row r="104" spans="3:3" ht="15" customHeight="1" x14ac:dyDescent="0.25">
      <c r="C104" s="7"/>
    </row>
    <row r="105" spans="3:3" ht="15" customHeight="1" x14ac:dyDescent="0.25">
      <c r="C105" s="5"/>
    </row>
    <row r="106" spans="3:3" ht="15" customHeight="1" x14ac:dyDescent="0.25">
      <c r="C106" s="5"/>
    </row>
    <row r="107" spans="3:3" ht="15" customHeight="1" x14ac:dyDescent="0.25">
      <c r="C107" s="5"/>
    </row>
    <row r="108" spans="3:3" ht="15" customHeight="1" x14ac:dyDescent="0.25">
      <c r="C108" s="5"/>
    </row>
    <row r="109" spans="3:3" ht="15" customHeight="1" x14ac:dyDescent="0.25">
      <c r="C109" s="5"/>
    </row>
    <row r="110" spans="3:3" ht="15" customHeight="1" x14ac:dyDescent="0.25">
      <c r="C110" s="5"/>
    </row>
    <row r="111" spans="3:3" ht="15" customHeight="1" x14ac:dyDescent="0.25">
      <c r="C111" s="5"/>
    </row>
    <row r="112" spans="3:3" ht="15" customHeight="1" x14ac:dyDescent="0.25">
      <c r="C112" s="5"/>
    </row>
    <row r="113" spans="3:3" ht="15" customHeight="1" x14ac:dyDescent="0.25">
      <c r="C113" s="5"/>
    </row>
    <row r="114" spans="3:3" ht="15" customHeight="1" x14ac:dyDescent="0.25">
      <c r="C114" s="5"/>
    </row>
    <row r="115" spans="3:3" ht="15" customHeight="1" x14ac:dyDescent="0.25">
      <c r="C115" s="5"/>
    </row>
    <row r="116" spans="3:3" ht="15" customHeight="1" x14ac:dyDescent="0.25">
      <c r="C116" s="5"/>
    </row>
    <row r="117" spans="3:3" ht="15" customHeight="1" x14ac:dyDescent="0.25">
      <c r="C117" s="5"/>
    </row>
    <row r="118" spans="3:3" ht="15" customHeight="1" x14ac:dyDescent="0.25">
      <c r="C118" s="5"/>
    </row>
    <row r="119" spans="3:3" ht="15" customHeight="1" x14ac:dyDescent="0.25">
      <c r="C119" s="5"/>
    </row>
    <row r="120" spans="3:3" ht="15" customHeight="1" x14ac:dyDescent="0.25">
      <c r="C120" s="5"/>
    </row>
    <row r="121" spans="3:3" ht="15" customHeight="1" x14ac:dyDescent="0.25">
      <c r="C121" s="5"/>
    </row>
    <row r="122" spans="3:3" ht="15" customHeight="1" x14ac:dyDescent="0.25">
      <c r="C122" s="5"/>
    </row>
    <row r="123" spans="3:3" ht="15" customHeight="1" x14ac:dyDescent="0.25">
      <c r="C123" s="5"/>
    </row>
    <row r="124" spans="3:3" ht="15" customHeight="1" x14ac:dyDescent="0.25">
      <c r="C124" s="5"/>
    </row>
    <row r="125" spans="3:3" ht="15" customHeight="1" x14ac:dyDescent="0.25">
      <c r="C125" s="5"/>
    </row>
    <row r="126" spans="3:3" ht="15" customHeight="1" x14ac:dyDescent="0.25">
      <c r="C126" s="5"/>
    </row>
    <row r="127" spans="3:3" ht="15" customHeight="1" x14ac:dyDescent="0.25">
      <c r="C127" s="5"/>
    </row>
    <row r="128" spans="3:3" ht="15" customHeight="1" x14ac:dyDescent="0.25">
      <c r="C128" s="5"/>
    </row>
    <row r="129" spans="3:3" ht="15" customHeight="1" x14ac:dyDescent="0.25">
      <c r="C129" s="5"/>
    </row>
    <row r="130" spans="3:3" ht="15" customHeight="1" x14ac:dyDescent="0.25">
      <c r="C130" s="5"/>
    </row>
    <row r="131" spans="3:3" ht="15" customHeight="1" x14ac:dyDescent="0.25">
      <c r="C131" s="5"/>
    </row>
    <row r="132" spans="3:3" ht="15" customHeight="1" x14ac:dyDescent="0.25">
      <c r="C132" s="5"/>
    </row>
    <row r="133" spans="3:3" ht="15" customHeight="1" x14ac:dyDescent="0.25">
      <c r="C133" s="5"/>
    </row>
    <row r="134" spans="3:3" ht="15" customHeight="1" x14ac:dyDescent="0.25">
      <c r="C134" s="5"/>
    </row>
    <row r="135" spans="3:3" ht="15" customHeight="1" x14ac:dyDescent="0.25">
      <c r="C135" s="5"/>
    </row>
    <row r="136" spans="3:3" ht="15" customHeight="1" x14ac:dyDescent="0.25">
      <c r="C136" s="5"/>
    </row>
    <row r="137" spans="3:3" ht="15" customHeight="1" x14ac:dyDescent="0.25">
      <c r="C137" s="5"/>
    </row>
  </sheetData>
  <mergeCells count="12">
    <mergeCell ref="A32:D32"/>
    <mergeCell ref="O37:Q37"/>
    <mergeCell ref="O38:Q38"/>
    <mergeCell ref="O42:Q42"/>
    <mergeCell ref="A3:Q3"/>
    <mergeCell ref="A5:A6"/>
    <mergeCell ref="B5:D5"/>
    <mergeCell ref="E5:G5"/>
    <mergeCell ref="N5:O5"/>
    <mergeCell ref="P5:Q5"/>
    <mergeCell ref="H5:J5"/>
    <mergeCell ref="K5:M5"/>
  </mergeCells>
  <pageMargins left="0.31496062992125984" right="0.31496062992125984" top="0.55118110236220474" bottom="0.74803149606299213" header="0.31496062992125984" footer="0.31496062992125984"/>
  <pageSetup paperSize="5" scale="75" orientation="landscape" horizontalDpi="4294967293" verticalDpi="360" r:id="rId1"/>
  <colBreaks count="1" manualBreakCount="1">
    <brk id="1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91"/>
  <sheetViews>
    <sheetView topLeftCell="A6" zoomScale="82" zoomScaleNormal="82" zoomScaleSheetLayoutView="82" zoomScalePageLayoutView="77" workbookViewId="0">
      <selection activeCell="S22" sqref="S22"/>
    </sheetView>
  </sheetViews>
  <sheetFormatPr defaultRowHeight="15" customHeight="1" x14ac:dyDescent="0.25"/>
  <cols>
    <col min="1" max="1" width="10.140625" customWidth="1"/>
    <col min="2" max="2" width="11.42578125" style="63" customWidth="1"/>
    <col min="3" max="3" width="12" style="63" customWidth="1"/>
    <col min="4" max="4" width="19.140625" style="63" customWidth="1"/>
    <col min="5" max="5" width="8.42578125" style="64" customWidth="1"/>
    <col min="6" max="6" width="10.28515625" style="64" customWidth="1"/>
    <col min="7" max="7" width="12.42578125" style="63" customWidth="1"/>
    <col min="8" max="8" width="10.7109375" style="63" customWidth="1"/>
    <col min="9" max="9" width="11.42578125" style="63" customWidth="1"/>
    <col min="10" max="10" width="12.140625" style="63" customWidth="1"/>
    <col min="11" max="11" width="9.28515625" style="63" customWidth="1"/>
    <col min="12" max="12" width="12.140625" style="63" customWidth="1"/>
    <col min="13" max="13" width="13.140625" style="63" customWidth="1"/>
    <col min="14" max="14" width="11.42578125" style="63" customWidth="1"/>
    <col min="15" max="15" width="14.85546875" style="63" customWidth="1"/>
    <col min="16" max="16" width="11.5703125" style="63" bestFit="1" customWidth="1"/>
    <col min="17" max="17" width="16.5703125" style="63" customWidth="1"/>
    <col min="18" max="18" width="20.42578125" customWidth="1"/>
  </cols>
  <sheetData>
    <row r="1" spans="1:18" ht="15" customHeight="1" x14ac:dyDescent="0.25">
      <c r="A1" s="146" t="s">
        <v>12</v>
      </c>
      <c r="B1" s="203"/>
      <c r="C1" s="203"/>
      <c r="D1" s="203"/>
      <c r="E1" s="204"/>
      <c r="F1" s="204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</row>
    <row r="2" spans="1:18" ht="15" customHeight="1" x14ac:dyDescent="0.25">
      <c r="A2" s="146" t="s">
        <v>112</v>
      </c>
      <c r="B2" s="147"/>
      <c r="C2" s="147"/>
      <c r="D2" s="147"/>
      <c r="E2" s="147"/>
      <c r="F2" s="147"/>
      <c r="G2" s="147"/>
      <c r="H2" s="203"/>
      <c r="I2" s="203"/>
      <c r="J2" s="203"/>
      <c r="K2" s="203"/>
      <c r="L2" s="203"/>
      <c r="M2" s="203"/>
      <c r="N2" s="203"/>
      <c r="O2" s="203"/>
      <c r="P2" s="203"/>
      <c r="Q2" s="203"/>
    </row>
    <row r="3" spans="1:18" ht="5.25" customHeight="1" x14ac:dyDescent="0.25">
      <c r="A3" s="147"/>
      <c r="B3" s="203"/>
      <c r="C3" s="203"/>
      <c r="D3" s="203"/>
      <c r="E3" s="204"/>
      <c r="F3" s="204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8" ht="15" customHeight="1" x14ac:dyDescent="0.25">
      <c r="A4" s="500" t="s">
        <v>11</v>
      </c>
      <c r="B4" s="500"/>
      <c r="C4" s="500"/>
      <c r="D4" s="500"/>
      <c r="E4" s="500"/>
      <c r="F4" s="500"/>
      <c r="G4" s="500"/>
      <c r="H4" s="500"/>
      <c r="I4" s="500"/>
      <c r="J4" s="500"/>
      <c r="K4" s="500"/>
      <c r="L4" s="500"/>
      <c r="M4" s="500"/>
      <c r="N4" s="500"/>
      <c r="O4" s="500"/>
      <c r="P4" s="500"/>
      <c r="Q4" s="500"/>
    </row>
    <row r="5" spans="1:18" ht="8.25" customHeight="1" x14ac:dyDescent="0.25">
      <c r="A5" s="205"/>
      <c r="B5" s="206"/>
      <c r="C5" s="206"/>
      <c r="D5" s="206"/>
      <c r="E5" s="207"/>
      <c r="F5" s="207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</row>
    <row r="6" spans="1:18" ht="15" customHeight="1" x14ac:dyDescent="0.25">
      <c r="A6" s="501" t="s">
        <v>0</v>
      </c>
      <c r="B6" s="503" t="s">
        <v>7</v>
      </c>
      <c r="C6" s="503"/>
      <c r="D6" s="503"/>
      <c r="E6" s="503" t="s">
        <v>5</v>
      </c>
      <c r="F6" s="503"/>
      <c r="G6" s="503"/>
      <c r="H6" s="515" t="s">
        <v>25</v>
      </c>
      <c r="I6" s="516"/>
      <c r="J6" s="517"/>
      <c r="K6" s="515" t="s">
        <v>26</v>
      </c>
      <c r="L6" s="516"/>
      <c r="M6" s="517"/>
      <c r="N6" s="503" t="s">
        <v>4</v>
      </c>
      <c r="O6" s="503"/>
      <c r="P6" s="503" t="s">
        <v>6</v>
      </c>
      <c r="Q6" s="503"/>
    </row>
    <row r="7" spans="1:18" ht="15" customHeight="1" x14ac:dyDescent="0.25">
      <c r="A7" s="502"/>
      <c r="B7" s="208" t="s">
        <v>8</v>
      </c>
      <c r="C7" s="208" t="s">
        <v>9</v>
      </c>
      <c r="D7" s="208" t="s">
        <v>13</v>
      </c>
      <c r="E7" s="209" t="s">
        <v>8</v>
      </c>
      <c r="F7" s="209" t="s">
        <v>9</v>
      </c>
      <c r="G7" s="208" t="s">
        <v>13</v>
      </c>
      <c r="H7" s="148" t="s">
        <v>8</v>
      </c>
      <c r="I7" s="148" t="s">
        <v>9</v>
      </c>
      <c r="J7" s="148" t="s">
        <v>13</v>
      </c>
      <c r="K7" s="148" t="s">
        <v>8</v>
      </c>
      <c r="L7" s="148" t="s">
        <v>9</v>
      </c>
      <c r="M7" s="148" t="s">
        <v>13</v>
      </c>
      <c r="N7" s="208" t="s">
        <v>8</v>
      </c>
      <c r="O7" s="208" t="s">
        <v>13</v>
      </c>
      <c r="P7" s="208" t="s">
        <v>8</v>
      </c>
      <c r="Q7" s="208" t="s">
        <v>13</v>
      </c>
    </row>
    <row r="8" spans="1:18" ht="15" customHeight="1" x14ac:dyDescent="0.25">
      <c r="A8" s="149"/>
      <c r="B8" s="210"/>
      <c r="C8" s="210"/>
      <c r="D8" s="210"/>
      <c r="E8" s="211"/>
      <c r="F8" s="211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</row>
    <row r="9" spans="1:18" ht="15" customHeight="1" x14ac:dyDescent="0.25">
      <c r="A9" s="151" t="s">
        <v>1</v>
      </c>
      <c r="B9" s="196"/>
      <c r="C9" s="212"/>
      <c r="D9" s="152">
        <f>B9*C9</f>
        <v>0</v>
      </c>
      <c r="E9" s="153"/>
      <c r="F9" s="153"/>
      <c r="G9" s="152">
        <f>E9*F9</f>
        <v>0</v>
      </c>
      <c r="H9" s="152"/>
      <c r="I9" s="152"/>
      <c r="J9" s="152">
        <f>H9*I9</f>
        <v>0</v>
      </c>
      <c r="K9" s="152"/>
      <c r="L9" s="152">
        <f>C9</f>
        <v>0</v>
      </c>
      <c r="M9" s="152">
        <f>K9*L9</f>
        <v>0</v>
      </c>
      <c r="N9" s="153"/>
      <c r="O9" s="152">
        <f>N9*C9</f>
        <v>0</v>
      </c>
      <c r="P9" s="154">
        <f>B9+E9-N9-H9-K9</f>
        <v>0</v>
      </c>
      <c r="Q9" s="152">
        <f>D9+G9-O9-J9-M9</f>
        <v>0</v>
      </c>
    </row>
    <row r="10" spans="1:18" ht="15" customHeight="1" x14ac:dyDescent="0.25">
      <c r="A10" s="151"/>
      <c r="B10" s="196"/>
      <c r="C10" s="212"/>
      <c r="D10" s="152">
        <f>B10*C10</f>
        <v>0</v>
      </c>
      <c r="E10" s="153"/>
      <c r="F10" s="153"/>
      <c r="G10" s="152"/>
      <c r="H10" s="152"/>
      <c r="I10" s="152"/>
      <c r="J10" s="152"/>
      <c r="K10" s="152"/>
      <c r="L10" s="152"/>
      <c r="M10" s="152"/>
      <c r="N10" s="153"/>
      <c r="O10" s="152">
        <f>N10*C10</f>
        <v>0</v>
      </c>
      <c r="P10" s="154">
        <f>B10+E10-N10-H10-K10</f>
        <v>0</v>
      </c>
      <c r="Q10" s="152">
        <f>D10+G10-O10-J10-M10</f>
        <v>0</v>
      </c>
    </row>
    <row r="11" spans="1:18" ht="15" customHeight="1" x14ac:dyDescent="0.25">
      <c r="A11" s="151"/>
      <c r="B11" s="196"/>
      <c r="C11" s="212"/>
      <c r="D11" s="394">
        <f>SUM(D9:D10)</f>
        <v>0</v>
      </c>
      <c r="E11" s="153"/>
      <c r="F11" s="153"/>
      <c r="G11" s="152"/>
      <c r="H11" s="152"/>
      <c r="I11" s="152"/>
      <c r="J11" s="152"/>
      <c r="K11" s="152"/>
      <c r="L11" s="152"/>
      <c r="M11" s="152"/>
      <c r="N11" s="153"/>
      <c r="O11" s="153"/>
      <c r="P11" s="448">
        <f t="shared" ref="P11:Q11" si="0">SUM(P9:P10)</f>
        <v>0</v>
      </c>
      <c r="Q11" s="448">
        <f t="shared" si="0"/>
        <v>0</v>
      </c>
    </row>
    <row r="12" spans="1:18" ht="15" customHeight="1" x14ac:dyDescent="0.25">
      <c r="A12" s="151"/>
      <c r="B12" s="196"/>
      <c r="C12" s="212"/>
      <c r="D12" s="152"/>
      <c r="E12" s="153"/>
      <c r="F12" s="153"/>
      <c r="G12" s="152"/>
      <c r="H12" s="152"/>
      <c r="I12" s="152"/>
      <c r="J12" s="152"/>
      <c r="K12" s="152"/>
      <c r="L12" s="152"/>
      <c r="M12" s="152"/>
      <c r="N12" s="153"/>
      <c r="O12" s="152"/>
      <c r="P12" s="154"/>
      <c r="Q12" s="152"/>
    </row>
    <row r="13" spans="1:18" ht="15" customHeight="1" x14ac:dyDescent="0.25">
      <c r="A13" s="151"/>
      <c r="B13" s="196"/>
      <c r="C13" s="212"/>
      <c r="D13" s="152"/>
      <c r="E13" s="153"/>
      <c r="F13" s="153"/>
      <c r="G13" s="152"/>
      <c r="H13" s="152"/>
      <c r="I13" s="152"/>
      <c r="J13" s="152"/>
      <c r="K13" s="152"/>
      <c r="L13" s="152"/>
      <c r="M13" s="152"/>
      <c r="N13" s="153"/>
      <c r="O13" s="152"/>
      <c r="P13" s="154"/>
      <c r="Q13" s="152"/>
    </row>
    <row r="14" spans="1:18" ht="15" customHeight="1" x14ac:dyDescent="0.25">
      <c r="A14" s="151" t="s">
        <v>21</v>
      </c>
      <c r="B14" s="196"/>
      <c r="C14" s="212"/>
      <c r="D14" s="155">
        <f>B14*C14</f>
        <v>0</v>
      </c>
      <c r="E14" s="157"/>
      <c r="F14" s="157"/>
      <c r="G14" s="155"/>
      <c r="H14" s="155"/>
      <c r="I14" s="155"/>
      <c r="J14" s="155">
        <f>H14*I14</f>
        <v>0</v>
      </c>
      <c r="K14" s="155"/>
      <c r="L14" s="155"/>
      <c r="M14" s="155">
        <f>K14*L14</f>
        <v>0</v>
      </c>
      <c r="N14" s="153"/>
      <c r="O14" s="291">
        <f>N14*C14</f>
        <v>0</v>
      </c>
      <c r="P14" s="154">
        <f>B14+E14-H14-K14-N14</f>
        <v>0</v>
      </c>
      <c r="Q14" s="152">
        <f>P14*C14</f>
        <v>0</v>
      </c>
      <c r="R14" s="15"/>
    </row>
    <row r="15" spans="1:18" ht="15" customHeight="1" x14ac:dyDescent="0.25">
      <c r="A15" s="151"/>
      <c r="B15" s="196"/>
      <c r="C15" s="212"/>
      <c r="D15" s="155">
        <f>B15*C15</f>
        <v>0</v>
      </c>
      <c r="E15" s="157"/>
      <c r="F15" s="157"/>
      <c r="G15" s="155">
        <f>E15*F15</f>
        <v>0</v>
      </c>
      <c r="H15" s="155"/>
      <c r="I15" s="155"/>
      <c r="J15" s="155"/>
      <c r="K15" s="155"/>
      <c r="L15" s="155"/>
      <c r="M15" s="155"/>
      <c r="N15" s="153"/>
      <c r="O15" s="291">
        <f>N15*C15</f>
        <v>0</v>
      </c>
      <c r="P15" s="154">
        <f>B15+E15-H15-K15-N15</f>
        <v>0</v>
      </c>
      <c r="Q15" s="152">
        <f>P15*C15</f>
        <v>0</v>
      </c>
      <c r="R15" s="138"/>
    </row>
    <row r="16" spans="1:18" ht="15" customHeight="1" x14ac:dyDescent="0.25">
      <c r="A16" s="151"/>
      <c r="B16" s="196"/>
      <c r="C16" s="212"/>
      <c r="D16" s="451">
        <f>SUM(D14:D15)</f>
        <v>0</v>
      </c>
      <c r="E16" s="157"/>
      <c r="F16" s="157"/>
      <c r="G16" s="155"/>
      <c r="H16" s="155"/>
      <c r="I16" s="155"/>
      <c r="J16" s="155"/>
      <c r="K16" s="155"/>
      <c r="L16" s="155"/>
      <c r="M16" s="155"/>
      <c r="N16" s="153"/>
      <c r="O16" s="453">
        <f>SUM(O14:O15)</f>
        <v>0</v>
      </c>
      <c r="P16" s="452">
        <f>SUM(P14:P15)</f>
        <v>0</v>
      </c>
      <c r="Q16" s="394">
        <f>SUM(Q14:Q15)</f>
        <v>0</v>
      </c>
      <c r="R16" s="138"/>
    </row>
    <row r="17" spans="1:18" ht="15" customHeight="1" x14ac:dyDescent="0.25">
      <c r="A17" s="151"/>
      <c r="B17" s="196"/>
      <c r="C17" s="212"/>
      <c r="D17" s="157"/>
      <c r="E17" s="157"/>
      <c r="F17" s="157"/>
      <c r="G17" s="155"/>
      <c r="H17" s="155"/>
      <c r="I17" s="155"/>
      <c r="J17" s="155"/>
      <c r="K17" s="155"/>
      <c r="L17" s="155"/>
      <c r="M17" s="155"/>
      <c r="N17" s="153"/>
      <c r="O17" s="160"/>
      <c r="P17" s="154"/>
      <c r="Q17" s="152"/>
      <c r="R17" s="138"/>
    </row>
    <row r="18" spans="1:18" ht="15" customHeight="1" x14ac:dyDescent="0.25">
      <c r="A18" s="151"/>
      <c r="B18" s="196"/>
      <c r="C18" s="212"/>
      <c r="D18" s="157"/>
      <c r="E18" s="157"/>
      <c r="F18" s="157"/>
      <c r="G18" s="155"/>
      <c r="H18" s="155"/>
      <c r="I18" s="155"/>
      <c r="J18" s="155"/>
      <c r="K18" s="155"/>
      <c r="L18" s="155"/>
      <c r="M18" s="155"/>
      <c r="N18" s="153"/>
      <c r="O18" s="160"/>
      <c r="P18" s="154"/>
      <c r="Q18" s="152"/>
      <c r="R18" s="138"/>
    </row>
    <row r="19" spans="1:18" ht="15" customHeight="1" x14ac:dyDescent="0.25">
      <c r="A19" s="151" t="s">
        <v>22</v>
      </c>
      <c r="B19" s="196"/>
      <c r="C19" s="212"/>
      <c r="D19" s="155">
        <f>B19*C19</f>
        <v>0</v>
      </c>
      <c r="E19" s="157"/>
      <c r="F19" s="157"/>
      <c r="G19" s="155"/>
      <c r="H19" s="155"/>
      <c r="I19" s="155">
        <f>C19</f>
        <v>0</v>
      </c>
      <c r="J19" s="155">
        <f>H19*I19</f>
        <v>0</v>
      </c>
      <c r="K19" s="155"/>
      <c r="L19" s="155">
        <f>C19</f>
        <v>0</v>
      </c>
      <c r="M19" s="155">
        <f>K19*L19</f>
        <v>0</v>
      </c>
      <c r="N19" s="153"/>
      <c r="O19" s="152">
        <f>N19*C19</f>
        <v>0</v>
      </c>
      <c r="P19" s="154">
        <f>B19+E19-H19-K19-N19</f>
        <v>0</v>
      </c>
      <c r="Q19" s="152">
        <f>P19*C19</f>
        <v>0</v>
      </c>
      <c r="R19" s="138"/>
    </row>
    <row r="20" spans="1:18" ht="15" customHeight="1" x14ac:dyDescent="0.25">
      <c r="A20" s="151"/>
      <c r="B20" s="196"/>
      <c r="C20" s="212"/>
      <c r="D20" s="155"/>
      <c r="E20" s="157"/>
      <c r="F20" s="157"/>
      <c r="G20" s="155">
        <f>E20*F20</f>
        <v>0</v>
      </c>
      <c r="H20" s="155"/>
      <c r="I20" s="155"/>
      <c r="J20" s="155"/>
      <c r="K20" s="155"/>
      <c r="L20" s="155"/>
      <c r="M20" s="155"/>
      <c r="N20" s="153"/>
      <c r="O20" s="152">
        <f>N20*F20</f>
        <v>0</v>
      </c>
      <c r="P20" s="154">
        <f>B20+E20-H20-K20-N20</f>
        <v>0</v>
      </c>
      <c r="Q20" s="152">
        <f>P20*F20</f>
        <v>0</v>
      </c>
      <c r="R20" s="138"/>
    </row>
    <row r="21" spans="1:18" ht="15" customHeight="1" x14ac:dyDescent="0.25">
      <c r="A21" s="151"/>
      <c r="B21" s="196"/>
      <c r="C21" s="212"/>
      <c r="D21" s="155"/>
      <c r="E21" s="157"/>
      <c r="F21" s="157"/>
      <c r="G21" s="155"/>
      <c r="H21" s="155"/>
      <c r="I21" s="155"/>
      <c r="J21" s="155"/>
      <c r="K21" s="155"/>
      <c r="L21" s="155"/>
      <c r="M21" s="155"/>
      <c r="N21" s="153"/>
      <c r="O21" s="394">
        <f>SUM(O19:O20)</f>
        <v>0</v>
      </c>
      <c r="P21" s="452">
        <f>SUM(P19:P20)</f>
        <v>0</v>
      </c>
      <c r="Q21" s="394">
        <f>SUM(Q19:Q20)</f>
        <v>0</v>
      </c>
      <c r="R21" s="138"/>
    </row>
    <row r="22" spans="1:18" ht="15" customHeight="1" x14ac:dyDescent="0.25">
      <c r="A22" s="151"/>
      <c r="B22" s="196"/>
      <c r="C22" s="212"/>
      <c r="D22" s="155"/>
      <c r="E22" s="157"/>
      <c r="F22" s="157"/>
      <c r="G22" s="155"/>
      <c r="H22" s="155"/>
      <c r="I22" s="155"/>
      <c r="J22" s="152"/>
      <c r="K22" s="155"/>
      <c r="L22" s="155"/>
      <c r="M22" s="155"/>
      <c r="N22" s="153"/>
      <c r="O22" s="155"/>
      <c r="P22" s="154"/>
      <c r="Q22" s="152"/>
      <c r="R22" s="138">
        <f>'Soda Ash'!L26</f>
        <v>0</v>
      </c>
    </row>
    <row r="23" spans="1:18" ht="15" customHeight="1" x14ac:dyDescent="0.25">
      <c r="A23" s="151" t="s">
        <v>24</v>
      </c>
      <c r="B23" s="196"/>
      <c r="C23" s="212"/>
      <c r="D23" s="155">
        <f>B23*C23</f>
        <v>0</v>
      </c>
      <c r="E23" s="157"/>
      <c r="F23" s="157"/>
      <c r="G23" s="155">
        <f>E23*F23</f>
        <v>0</v>
      </c>
      <c r="H23" s="155"/>
      <c r="I23" s="155"/>
      <c r="J23" s="155">
        <f>H23*I23</f>
        <v>0</v>
      </c>
      <c r="K23" s="155"/>
      <c r="L23" s="155"/>
      <c r="M23" s="155"/>
      <c r="N23" s="153"/>
      <c r="O23" s="152">
        <f>N23*C23</f>
        <v>0</v>
      </c>
      <c r="P23" s="154">
        <f>B23+E23-H23-K23-N23</f>
        <v>0</v>
      </c>
      <c r="Q23" s="152">
        <f>P23*C23</f>
        <v>0</v>
      </c>
      <c r="R23" s="138"/>
    </row>
    <row r="24" spans="1:18" ht="15" customHeight="1" x14ac:dyDescent="0.25">
      <c r="A24" s="151"/>
      <c r="B24" s="196"/>
      <c r="C24" s="212"/>
      <c r="D24" s="155"/>
      <c r="E24" s="157"/>
      <c r="F24" s="157"/>
      <c r="G24" s="155">
        <f>E24*F24</f>
        <v>0</v>
      </c>
      <c r="H24" s="155"/>
      <c r="I24" s="155"/>
      <c r="J24" s="155">
        <f>H24*I24</f>
        <v>0</v>
      </c>
      <c r="K24" s="155"/>
      <c r="L24" s="155"/>
      <c r="M24" s="155"/>
      <c r="N24" s="153"/>
      <c r="O24" s="152">
        <f>N24*F24</f>
        <v>0</v>
      </c>
      <c r="P24" s="154">
        <f>B24+E24-H24-K24-N24</f>
        <v>0</v>
      </c>
      <c r="Q24" s="152">
        <f>P24*F24</f>
        <v>0</v>
      </c>
      <c r="R24" s="138"/>
    </row>
    <row r="25" spans="1:18" ht="15" customHeight="1" x14ac:dyDescent="0.25">
      <c r="A25" s="151"/>
      <c r="B25" s="196"/>
      <c r="C25" s="212"/>
      <c r="D25" s="155"/>
      <c r="E25" s="157"/>
      <c r="F25" s="157"/>
      <c r="G25" s="155"/>
      <c r="H25" s="155"/>
      <c r="I25" s="155"/>
      <c r="J25" s="155">
        <f>SUM(J23:J24)</f>
        <v>0</v>
      </c>
      <c r="K25" s="155"/>
      <c r="L25" s="155"/>
      <c r="M25" s="155"/>
      <c r="N25" s="153"/>
      <c r="O25" s="152"/>
      <c r="P25" s="154">
        <f>SUM(P23:P24)</f>
        <v>0</v>
      </c>
      <c r="Q25" s="152">
        <f>SUM(Q23:Q24)</f>
        <v>0</v>
      </c>
      <c r="R25" s="138"/>
    </row>
    <row r="26" spans="1:18" ht="15" customHeight="1" x14ac:dyDescent="0.25">
      <c r="A26" s="151"/>
      <c r="B26" s="196"/>
      <c r="C26" s="212"/>
      <c r="D26" s="155"/>
      <c r="E26" s="157"/>
      <c r="F26" s="157"/>
      <c r="G26" s="155"/>
      <c r="H26" s="155"/>
      <c r="I26" s="155"/>
      <c r="J26" s="155"/>
      <c r="K26" s="155"/>
      <c r="L26" s="155"/>
      <c r="M26" s="155"/>
      <c r="N26" s="153"/>
      <c r="O26" s="155"/>
      <c r="P26" s="154"/>
      <c r="Q26" s="152"/>
      <c r="R26" s="138"/>
    </row>
    <row r="27" spans="1:18" ht="15" customHeight="1" x14ac:dyDescent="0.25">
      <c r="A27" s="151" t="s">
        <v>28</v>
      </c>
      <c r="B27" s="196"/>
      <c r="C27" s="212"/>
      <c r="D27" s="155">
        <f>B27*C27</f>
        <v>0</v>
      </c>
      <c r="E27" s="157"/>
      <c r="F27" s="157"/>
      <c r="G27" s="155">
        <f>E27*F27</f>
        <v>0</v>
      </c>
      <c r="H27" s="155"/>
      <c r="I27" s="155"/>
      <c r="J27" s="155">
        <f>H27*I27</f>
        <v>0</v>
      </c>
      <c r="K27" s="155"/>
      <c r="L27" s="155"/>
      <c r="M27" s="155">
        <f>K27*L27</f>
        <v>0</v>
      </c>
      <c r="N27" s="153"/>
      <c r="O27" s="152">
        <f>N27*C27</f>
        <v>0</v>
      </c>
      <c r="P27" s="154">
        <f>B27+E27-H27-K27-N27</f>
        <v>0</v>
      </c>
      <c r="Q27" s="152">
        <f>P27*C27</f>
        <v>0</v>
      </c>
      <c r="R27" s="138">
        <f>P27*C27</f>
        <v>0</v>
      </c>
    </row>
    <row r="28" spans="1:18" ht="15" customHeight="1" x14ac:dyDescent="0.25">
      <c r="A28" s="151"/>
      <c r="B28" s="157"/>
      <c r="C28" s="212"/>
      <c r="D28" s="155"/>
      <c r="E28" s="157"/>
      <c r="F28" s="157"/>
      <c r="G28" s="155"/>
      <c r="H28" s="155"/>
      <c r="I28" s="155"/>
      <c r="J28" s="155"/>
      <c r="K28" s="155"/>
      <c r="L28" s="155"/>
      <c r="M28" s="155"/>
      <c r="N28" s="157"/>
      <c r="O28" s="155"/>
      <c r="P28" s="154"/>
      <c r="Q28" s="152"/>
      <c r="R28" s="138">
        <f>P28*C28</f>
        <v>0</v>
      </c>
    </row>
    <row r="29" spans="1:18" ht="15" customHeight="1" x14ac:dyDescent="0.25">
      <c r="A29" s="151"/>
      <c r="B29" s="215"/>
      <c r="C29" s="212"/>
      <c r="D29" s="160"/>
      <c r="E29" s="157"/>
      <c r="F29" s="157"/>
      <c r="G29" s="155"/>
      <c r="H29" s="155"/>
      <c r="I29" s="155"/>
      <c r="J29" s="155"/>
      <c r="K29" s="155"/>
      <c r="L29" s="155"/>
      <c r="M29" s="155"/>
      <c r="N29" s="215"/>
      <c r="O29" s="160"/>
      <c r="P29" s="154"/>
      <c r="Q29" s="152"/>
      <c r="R29" s="138"/>
    </row>
    <row r="30" spans="1:18" ht="15" customHeight="1" x14ac:dyDescent="0.25">
      <c r="A30" s="151" t="s">
        <v>29</v>
      </c>
      <c r="B30" s="157"/>
      <c r="C30" s="212"/>
      <c r="D30" s="155">
        <f>B30*C30</f>
        <v>0</v>
      </c>
      <c r="E30" s="157"/>
      <c r="F30" s="157"/>
      <c r="G30" s="155"/>
      <c r="H30" s="155"/>
      <c r="I30" s="155"/>
      <c r="J30" s="155">
        <f>H30*I30</f>
        <v>0</v>
      </c>
      <c r="K30" s="155"/>
      <c r="L30" s="155"/>
      <c r="M30" s="155">
        <f>K30*L30</f>
        <v>0</v>
      </c>
      <c r="N30" s="290"/>
      <c r="O30" s="291">
        <f>N30*C30</f>
        <v>0</v>
      </c>
      <c r="P30" s="154">
        <f>B30+E30-H30-K30-N30</f>
        <v>0</v>
      </c>
      <c r="Q30" s="152">
        <f>P30*C30</f>
        <v>0</v>
      </c>
      <c r="R30" s="138"/>
    </row>
    <row r="31" spans="1:18" ht="15" customHeight="1" x14ac:dyDescent="0.25">
      <c r="A31" s="151"/>
      <c r="B31" s="157"/>
      <c r="C31" s="212"/>
      <c r="D31" s="155"/>
      <c r="E31" s="157"/>
      <c r="F31" s="157"/>
      <c r="G31" s="155">
        <f>E31*F31</f>
        <v>0</v>
      </c>
      <c r="H31" s="155"/>
      <c r="I31" s="155"/>
      <c r="J31" s="155">
        <f>H31*I31</f>
        <v>0</v>
      </c>
      <c r="K31" s="155"/>
      <c r="L31" s="155"/>
      <c r="M31" s="155"/>
      <c r="N31" s="290"/>
      <c r="O31" s="291">
        <f>N31*F31</f>
        <v>0</v>
      </c>
      <c r="P31" s="154">
        <f>B31+E31-H31-K31-N31</f>
        <v>0</v>
      </c>
      <c r="Q31" s="152">
        <f>P31*F31</f>
        <v>0</v>
      </c>
      <c r="R31" s="15"/>
    </row>
    <row r="32" spans="1:18" ht="15" customHeight="1" x14ac:dyDescent="0.25">
      <c r="A32" s="151" t="s">
        <v>30</v>
      </c>
      <c r="B32" s="157"/>
      <c r="C32" s="212"/>
      <c r="D32" s="155">
        <f>B32*C32</f>
        <v>0</v>
      </c>
      <c r="E32" s="157"/>
      <c r="F32" s="157"/>
      <c r="G32" s="155"/>
      <c r="H32" s="155"/>
      <c r="I32" s="155"/>
      <c r="J32" s="155"/>
      <c r="K32" s="155"/>
      <c r="L32" s="155"/>
      <c r="M32" s="155">
        <f>K32*L32</f>
        <v>0</v>
      </c>
      <c r="N32" s="157"/>
      <c r="O32" s="152">
        <f>N32*C32</f>
        <v>0</v>
      </c>
      <c r="P32" s="154">
        <f t="shared" ref="P32:P41" si="1">B32+E32-H32-K32-N32</f>
        <v>0</v>
      </c>
      <c r="Q32" s="152">
        <f>P32*C32</f>
        <v>0</v>
      </c>
      <c r="R32" s="15">
        <f>P32*C32</f>
        <v>0</v>
      </c>
    </row>
    <row r="33" spans="1:18" ht="15" customHeight="1" x14ac:dyDescent="0.25">
      <c r="A33" s="151"/>
      <c r="B33" s="157"/>
      <c r="C33" s="212"/>
      <c r="D33" s="155">
        <f>B33*C33</f>
        <v>0</v>
      </c>
      <c r="E33" s="157"/>
      <c r="F33" s="157"/>
      <c r="G33" s="155">
        <f>E33*F33</f>
        <v>0</v>
      </c>
      <c r="H33" s="155"/>
      <c r="I33" s="155"/>
      <c r="J33" s="155"/>
      <c r="K33" s="155"/>
      <c r="L33" s="155"/>
      <c r="M33" s="155"/>
      <c r="N33" s="157"/>
      <c r="O33" s="152">
        <f>N33*C33</f>
        <v>0</v>
      </c>
      <c r="P33" s="154">
        <f t="shared" si="1"/>
        <v>0</v>
      </c>
      <c r="Q33" s="152">
        <f>P33*F33</f>
        <v>0</v>
      </c>
      <c r="R33" s="15">
        <f>P33*C33</f>
        <v>0</v>
      </c>
    </row>
    <row r="34" spans="1:18" ht="16.5" customHeight="1" x14ac:dyDescent="0.25">
      <c r="A34" s="151"/>
      <c r="B34" s="157"/>
      <c r="C34" s="212"/>
      <c r="D34" s="155">
        <f>B34*C34</f>
        <v>0</v>
      </c>
      <c r="E34" s="157"/>
      <c r="F34" s="157"/>
      <c r="G34" s="155"/>
      <c r="H34" s="155"/>
      <c r="I34" s="155"/>
      <c r="J34" s="155">
        <f>H34*I34</f>
        <v>0</v>
      </c>
      <c r="K34" s="156"/>
      <c r="L34" s="155"/>
      <c r="M34" s="155"/>
      <c r="N34" s="157"/>
      <c r="O34" s="152">
        <f>N34*C34</f>
        <v>0</v>
      </c>
      <c r="P34" s="154">
        <f>SUM(P32:P33)</f>
        <v>0</v>
      </c>
      <c r="Q34" s="152">
        <f>SUM(Q32:Q33)</f>
        <v>0</v>
      </c>
      <c r="R34" s="15"/>
    </row>
    <row r="35" spans="1:18" ht="16.5" customHeight="1" x14ac:dyDescent="0.25">
      <c r="A35" s="151"/>
      <c r="B35" s="157"/>
      <c r="C35" s="212"/>
      <c r="D35" s="155"/>
      <c r="E35" s="157"/>
      <c r="F35" s="157"/>
      <c r="G35" s="155"/>
      <c r="H35" s="155"/>
      <c r="I35" s="155"/>
      <c r="J35" s="155"/>
      <c r="K35" s="156"/>
      <c r="L35" s="155"/>
      <c r="M35" s="155"/>
      <c r="N35" s="157"/>
      <c r="O35" s="152"/>
      <c r="P35" s="154"/>
      <c r="Q35" s="152"/>
      <c r="R35" s="15"/>
    </row>
    <row r="36" spans="1:18" ht="16.5" customHeight="1" x14ac:dyDescent="0.25">
      <c r="A36" s="151" t="s">
        <v>31</v>
      </c>
      <c r="B36" s="157"/>
      <c r="C36" s="212"/>
      <c r="D36" s="155">
        <f>B36*C36</f>
        <v>0</v>
      </c>
      <c r="E36" s="157"/>
      <c r="F36" s="157"/>
      <c r="G36" s="155"/>
      <c r="H36" s="155"/>
      <c r="I36" s="155"/>
      <c r="J36" s="155">
        <f>H36*I36</f>
        <v>0</v>
      </c>
      <c r="K36" s="156"/>
      <c r="L36" s="155"/>
      <c r="M36" s="155">
        <f>K36*L36</f>
        <v>0</v>
      </c>
      <c r="N36" s="157"/>
      <c r="O36" s="152">
        <f>N36*C36</f>
        <v>0</v>
      </c>
      <c r="P36" s="154">
        <f>B36-H36-K36-N36</f>
        <v>0</v>
      </c>
      <c r="Q36" s="152">
        <f>P36*C36</f>
        <v>0</v>
      </c>
      <c r="R36" s="15"/>
    </row>
    <row r="37" spans="1:18" ht="16.5" customHeight="1" x14ac:dyDescent="0.25">
      <c r="A37" s="151"/>
      <c r="B37" s="157"/>
      <c r="C37" s="212"/>
      <c r="D37" s="155">
        <f>B37*C37</f>
        <v>0</v>
      </c>
      <c r="E37" s="157"/>
      <c r="F37" s="157"/>
      <c r="G37" s="155"/>
      <c r="H37" s="155"/>
      <c r="I37" s="155"/>
      <c r="J37" s="155"/>
      <c r="K37" s="156"/>
      <c r="L37" s="155"/>
      <c r="M37" s="155"/>
      <c r="N37" s="157"/>
      <c r="O37" s="152">
        <f>N37*C37</f>
        <v>0</v>
      </c>
      <c r="P37" s="154">
        <f>B37-H37-K37-N37</f>
        <v>0</v>
      </c>
      <c r="Q37" s="152">
        <f>P37*C37</f>
        <v>0</v>
      </c>
      <c r="R37" s="15"/>
    </row>
    <row r="38" spans="1:18" ht="16.5" customHeight="1" x14ac:dyDescent="0.25">
      <c r="A38" s="151"/>
      <c r="B38" s="157"/>
      <c r="C38" s="212"/>
      <c r="D38" s="155">
        <f>SUM(D36:D37)</f>
        <v>0</v>
      </c>
      <c r="E38" s="157"/>
      <c r="F38" s="157"/>
      <c r="G38" s="155"/>
      <c r="H38" s="155"/>
      <c r="I38" s="155"/>
      <c r="J38" s="155"/>
      <c r="K38" s="156"/>
      <c r="L38" s="155"/>
      <c r="M38" s="155"/>
      <c r="N38" s="157"/>
      <c r="O38" s="152">
        <f>SUM(O36:O37)</f>
        <v>0</v>
      </c>
      <c r="P38" s="154">
        <f>SUM(P36:P37)</f>
        <v>0</v>
      </c>
      <c r="Q38" s="152">
        <f>SUM(Q36:Q37)</f>
        <v>0</v>
      </c>
      <c r="R38" s="15"/>
    </row>
    <row r="39" spans="1:18" ht="15" customHeight="1" x14ac:dyDescent="0.25">
      <c r="A39" s="151"/>
      <c r="B39" s="157"/>
      <c r="C39" s="212"/>
      <c r="D39" s="155"/>
      <c r="E39" s="157"/>
      <c r="F39" s="157"/>
      <c r="G39" s="155">
        <f>E39*F39</f>
        <v>0</v>
      </c>
      <c r="H39" s="155"/>
      <c r="I39" s="155"/>
      <c r="J39" s="155"/>
      <c r="K39" s="156"/>
      <c r="L39" s="155"/>
      <c r="M39" s="155"/>
      <c r="N39" s="157"/>
      <c r="O39" s="155"/>
      <c r="P39" s="154"/>
      <c r="Q39" s="152"/>
      <c r="R39" s="15"/>
    </row>
    <row r="40" spans="1:18" ht="15" customHeight="1" x14ac:dyDescent="0.25">
      <c r="A40" s="151" t="s">
        <v>32</v>
      </c>
      <c r="B40" s="157"/>
      <c r="C40" s="212"/>
      <c r="D40" s="155">
        <f>B40*C40</f>
        <v>0</v>
      </c>
      <c r="E40" s="157"/>
      <c r="F40" s="157"/>
      <c r="G40" s="155"/>
      <c r="H40" s="155"/>
      <c r="I40" s="155"/>
      <c r="J40" s="152">
        <f>H40*I40</f>
        <v>0</v>
      </c>
      <c r="K40" s="155"/>
      <c r="L40" s="155"/>
      <c r="M40" s="155"/>
      <c r="N40" s="290"/>
      <c r="O40" s="155">
        <f>N40*C40</f>
        <v>0</v>
      </c>
      <c r="P40" s="154">
        <f>B40+E40-H40-K40-N40</f>
        <v>0</v>
      </c>
      <c r="Q40" s="152">
        <f>P40*C40</f>
        <v>0</v>
      </c>
      <c r="R40" s="15">
        <f>P40*C40</f>
        <v>0</v>
      </c>
    </row>
    <row r="41" spans="1:18" ht="15" customHeight="1" x14ac:dyDescent="0.25">
      <c r="A41" s="151"/>
      <c r="B41" s="336"/>
      <c r="C41" s="212"/>
      <c r="D41" s="155">
        <f>B41*C41</f>
        <v>0</v>
      </c>
      <c r="E41" s="157"/>
      <c r="F41" s="157"/>
      <c r="G41" s="155"/>
      <c r="H41" s="155"/>
      <c r="I41" s="155"/>
      <c r="J41" s="155"/>
      <c r="K41" s="155"/>
      <c r="L41" s="155"/>
      <c r="M41" s="155"/>
      <c r="N41" s="290"/>
      <c r="O41" s="155">
        <f>N41*C41</f>
        <v>0</v>
      </c>
      <c r="P41" s="154">
        <f t="shared" si="1"/>
        <v>0</v>
      </c>
      <c r="Q41" s="152">
        <f>P41*C41</f>
        <v>0</v>
      </c>
      <c r="R41" s="15"/>
    </row>
    <row r="42" spans="1:18" ht="15" customHeight="1" x14ac:dyDescent="0.25">
      <c r="A42" s="151" t="s">
        <v>33</v>
      </c>
      <c r="B42" s="157"/>
      <c r="C42" s="212"/>
      <c r="D42" s="155">
        <f>B42*C42</f>
        <v>0</v>
      </c>
      <c r="E42" s="157"/>
      <c r="F42" s="157"/>
      <c r="G42" s="155">
        <f>E42*F42</f>
        <v>0</v>
      </c>
      <c r="H42" s="155"/>
      <c r="I42" s="155"/>
      <c r="J42" s="155">
        <f>H42*I42</f>
        <v>0</v>
      </c>
      <c r="K42" s="155"/>
      <c r="L42" s="155"/>
      <c r="M42" s="155">
        <f>K42*L42</f>
        <v>0</v>
      </c>
      <c r="N42" s="157"/>
      <c r="O42" s="152">
        <f>N42*C42</f>
        <v>0</v>
      </c>
      <c r="P42" s="154">
        <f>B42+E42-H42-K42-N42</f>
        <v>0</v>
      </c>
      <c r="Q42" s="152">
        <f>P42*C42</f>
        <v>0</v>
      </c>
      <c r="R42" s="15"/>
    </row>
    <row r="43" spans="1:18" ht="15" customHeight="1" x14ac:dyDescent="0.25">
      <c r="A43" s="151"/>
      <c r="B43" s="157"/>
      <c r="C43" s="212"/>
      <c r="D43" s="155"/>
      <c r="E43" s="157"/>
      <c r="F43" s="157"/>
      <c r="G43" s="155">
        <f>E43*F43</f>
        <v>0</v>
      </c>
      <c r="H43" s="155"/>
      <c r="I43" s="155"/>
      <c r="J43" s="152"/>
      <c r="K43" s="155"/>
      <c r="L43" s="155"/>
      <c r="M43" s="155"/>
      <c r="N43" s="157"/>
      <c r="O43" s="152"/>
      <c r="P43" s="154">
        <f>B43+E43-H43-K43-N43</f>
        <v>0</v>
      </c>
      <c r="Q43" s="152">
        <f>P43*F43</f>
        <v>0</v>
      </c>
      <c r="R43" s="15"/>
    </row>
    <row r="44" spans="1:18" ht="15" customHeight="1" x14ac:dyDescent="0.25">
      <c r="A44" s="151"/>
      <c r="B44" s="336"/>
      <c r="C44" s="212"/>
      <c r="D44" s="155">
        <f>B44*C44</f>
        <v>0</v>
      </c>
      <c r="E44" s="157"/>
      <c r="F44" s="157"/>
      <c r="G44" s="155"/>
      <c r="H44" s="155"/>
      <c r="I44" s="155"/>
      <c r="J44" s="155">
        <f>H44*I44</f>
        <v>0</v>
      </c>
      <c r="K44" s="155"/>
      <c r="L44" s="155"/>
      <c r="M44" s="155">
        <f>K44*L44</f>
        <v>0</v>
      </c>
      <c r="N44" s="290"/>
      <c r="O44" s="155">
        <f>N44*C44</f>
        <v>0</v>
      </c>
      <c r="P44" s="154">
        <f>SUM(P42:P43)</f>
        <v>0</v>
      </c>
      <c r="Q44" s="152">
        <f>SUM(Q42:Q43)</f>
        <v>0</v>
      </c>
      <c r="R44" s="15"/>
    </row>
    <row r="45" spans="1:18" ht="15" customHeight="1" x14ac:dyDescent="0.25">
      <c r="A45" s="337"/>
      <c r="B45" s="336"/>
      <c r="C45" s="431"/>
      <c r="D45" s="155"/>
      <c r="E45" s="338"/>
      <c r="F45" s="157"/>
      <c r="G45" s="341"/>
      <c r="H45" s="155"/>
      <c r="I45" s="343"/>
      <c r="J45" s="155"/>
      <c r="K45" s="342"/>
      <c r="L45" s="155"/>
      <c r="M45" s="155"/>
      <c r="N45" s="290"/>
      <c r="O45" s="155"/>
      <c r="P45" s="154"/>
      <c r="Q45" s="152"/>
      <c r="R45" s="15"/>
    </row>
    <row r="46" spans="1:18" ht="15" customHeight="1" x14ac:dyDescent="0.25">
      <c r="A46" s="151" t="s">
        <v>34</v>
      </c>
      <c r="B46" s="336"/>
      <c r="C46" s="431"/>
      <c r="D46" s="155">
        <f>B46*C46</f>
        <v>0</v>
      </c>
      <c r="E46" s="338"/>
      <c r="F46" s="157"/>
      <c r="G46" s="341"/>
      <c r="H46" s="155"/>
      <c r="I46" s="343"/>
      <c r="J46" s="155">
        <f>H46*I46</f>
        <v>0</v>
      </c>
      <c r="K46" s="342"/>
      <c r="L46" s="155"/>
      <c r="M46" s="155"/>
      <c r="N46" s="290"/>
      <c r="O46" s="155"/>
      <c r="P46" s="154">
        <f>B46+E46-H46-K46-N46</f>
        <v>0</v>
      </c>
      <c r="Q46" s="152">
        <f>P46*C46</f>
        <v>0</v>
      </c>
      <c r="R46" s="15"/>
    </row>
    <row r="47" spans="1:18" ht="15" customHeight="1" x14ac:dyDescent="0.25">
      <c r="A47" s="337"/>
      <c r="B47" s="336"/>
      <c r="C47" s="431"/>
      <c r="D47" s="155">
        <f>B47*C47</f>
        <v>0</v>
      </c>
      <c r="E47" s="338"/>
      <c r="F47" s="157"/>
      <c r="G47" s="341"/>
      <c r="H47" s="155"/>
      <c r="I47" s="343"/>
      <c r="J47" s="155">
        <f>H47*I47</f>
        <v>0</v>
      </c>
      <c r="K47" s="342"/>
      <c r="L47" s="155"/>
      <c r="M47" s="155">
        <f>K47*L47</f>
        <v>0</v>
      </c>
      <c r="N47" s="290"/>
      <c r="O47" s="435">
        <f>N47*C47</f>
        <v>0</v>
      </c>
      <c r="P47" s="154">
        <f>B47+E47-H47-K47-N47</f>
        <v>0</v>
      </c>
      <c r="Q47" s="152">
        <f>P47*C47</f>
        <v>0</v>
      </c>
      <c r="R47" s="15"/>
    </row>
    <row r="48" spans="1:18" ht="15" customHeight="1" x14ac:dyDescent="0.25">
      <c r="A48" s="337"/>
      <c r="B48" s="340"/>
      <c r="C48" s="339"/>
      <c r="D48" s="155">
        <f>SUM(D46:D47)</f>
        <v>0</v>
      </c>
      <c r="E48" s="338"/>
      <c r="F48" s="290"/>
      <c r="G48" s="341"/>
      <c r="H48" s="155"/>
      <c r="I48" s="343"/>
      <c r="J48" s="155">
        <f>SUM(J46:J47)</f>
        <v>0</v>
      </c>
      <c r="K48" s="342"/>
      <c r="L48" s="155"/>
      <c r="M48" s="155"/>
      <c r="N48" s="157"/>
      <c r="O48" s="155">
        <f>N48*C48</f>
        <v>0</v>
      </c>
      <c r="P48" s="154">
        <f>SUM(P46:P47)</f>
        <v>0</v>
      </c>
      <c r="Q48" s="152">
        <f>SUM(Q46:Q47)</f>
        <v>0</v>
      </c>
      <c r="R48" s="15"/>
    </row>
    <row r="49" spans="1:18" ht="15" customHeight="1" x14ac:dyDescent="0.25">
      <c r="A49" s="337"/>
      <c r="B49" s="213"/>
      <c r="C49" s="339"/>
      <c r="D49" s="155"/>
      <c r="E49" s="338"/>
      <c r="F49" s="290"/>
      <c r="G49" s="341"/>
      <c r="H49" s="155"/>
      <c r="I49" s="343"/>
      <c r="J49" s="155"/>
      <c r="K49" s="342"/>
      <c r="L49" s="155"/>
      <c r="M49" s="155"/>
      <c r="N49" s="157"/>
      <c r="O49" s="155"/>
      <c r="P49" s="154"/>
      <c r="Q49" s="152"/>
      <c r="R49" s="15"/>
    </row>
    <row r="50" spans="1:18" ht="15" customHeight="1" x14ac:dyDescent="0.25">
      <c r="A50" s="151" t="s">
        <v>35</v>
      </c>
      <c r="B50" s="336"/>
      <c r="C50" s="212"/>
      <c r="D50" s="155">
        <f>B50*C50</f>
        <v>0</v>
      </c>
      <c r="E50" s="157"/>
      <c r="F50" s="157"/>
      <c r="G50" s="155">
        <f>E50*F50</f>
        <v>0</v>
      </c>
      <c r="H50" s="155"/>
      <c r="I50" s="155"/>
      <c r="J50" s="155">
        <f>H50*I50</f>
        <v>0</v>
      </c>
      <c r="K50" s="155"/>
      <c r="L50" s="155"/>
      <c r="M50" s="155">
        <f>K50*L50</f>
        <v>0</v>
      </c>
      <c r="N50" s="290"/>
      <c r="O50" s="435">
        <f>N50*C50</f>
        <v>0</v>
      </c>
      <c r="P50" s="154">
        <f>B50+E50-H50-K50-N50</f>
        <v>0</v>
      </c>
      <c r="Q50" s="152">
        <f>P50*C50</f>
        <v>0</v>
      </c>
      <c r="R50" s="15"/>
    </row>
    <row r="51" spans="1:18" ht="15" customHeight="1" x14ac:dyDescent="0.25">
      <c r="A51" s="151"/>
      <c r="B51" s="336"/>
      <c r="C51" s="212"/>
      <c r="D51" s="155"/>
      <c r="E51" s="157"/>
      <c r="F51" s="157"/>
      <c r="G51" s="155">
        <f>E51*F51</f>
        <v>0</v>
      </c>
      <c r="H51" s="155"/>
      <c r="I51" s="155"/>
      <c r="J51" s="155"/>
      <c r="K51" s="155"/>
      <c r="L51" s="155"/>
      <c r="M51" s="155"/>
      <c r="N51" s="215"/>
      <c r="O51" s="160"/>
      <c r="P51" s="154">
        <f>B51+E51-H51-K51-N51</f>
        <v>0</v>
      </c>
      <c r="Q51" s="158">
        <f>P51*F51</f>
        <v>0</v>
      </c>
      <c r="R51" s="15"/>
    </row>
    <row r="52" spans="1:18" ht="15" customHeight="1" x14ac:dyDescent="0.25">
      <c r="A52" s="337"/>
      <c r="B52" s="340"/>
      <c r="C52" s="339"/>
      <c r="D52" s="160"/>
      <c r="E52" s="338"/>
      <c r="F52" s="157"/>
      <c r="G52" s="155"/>
      <c r="H52" s="155"/>
      <c r="I52" s="155"/>
      <c r="J52" s="155"/>
      <c r="K52" s="155"/>
      <c r="L52" s="155"/>
      <c r="M52" s="341"/>
      <c r="N52" s="215"/>
      <c r="O52" s="350"/>
      <c r="P52" s="159">
        <f>SUM(P50:P51)</f>
        <v>0</v>
      </c>
      <c r="Q52" s="447">
        <f>SUM(Q50:Q51)</f>
        <v>0</v>
      </c>
      <c r="R52" s="15"/>
    </row>
    <row r="53" spans="1:18" ht="15" customHeight="1" x14ac:dyDescent="0.25">
      <c r="A53" s="151"/>
      <c r="B53" s="213"/>
      <c r="C53" s="214"/>
      <c r="D53" s="160"/>
      <c r="E53" s="157"/>
      <c r="F53" s="157"/>
      <c r="G53" s="155"/>
      <c r="H53" s="155"/>
      <c r="I53" s="155"/>
      <c r="J53" s="155"/>
      <c r="K53" s="155"/>
      <c r="L53" s="155"/>
      <c r="M53" s="155"/>
      <c r="N53" s="215"/>
      <c r="O53" s="160"/>
      <c r="P53" s="159"/>
      <c r="Q53" s="158"/>
      <c r="R53" s="15"/>
    </row>
    <row r="54" spans="1:18" ht="15" customHeight="1" x14ac:dyDescent="0.25">
      <c r="A54" s="151"/>
      <c r="B54" s="213"/>
      <c r="C54" s="214"/>
      <c r="D54" s="160"/>
      <c r="E54" s="157"/>
      <c r="F54" s="157"/>
      <c r="G54" s="155"/>
      <c r="H54" s="155"/>
      <c r="I54" s="155"/>
      <c r="J54" s="155"/>
      <c r="K54" s="155"/>
      <c r="L54" s="155"/>
      <c r="M54" s="155"/>
      <c r="N54" s="215"/>
      <c r="O54" s="160"/>
      <c r="P54" s="159"/>
      <c r="Q54" s="158"/>
      <c r="R54" s="15"/>
    </row>
    <row r="55" spans="1:18" ht="15" customHeight="1" x14ac:dyDescent="0.25">
      <c r="A55" s="151"/>
      <c r="B55" s="213"/>
      <c r="C55" s="214"/>
      <c r="D55" s="160"/>
      <c r="E55" s="157"/>
      <c r="F55" s="157"/>
      <c r="G55" s="155"/>
      <c r="H55" s="155"/>
      <c r="I55" s="155"/>
      <c r="J55" s="155"/>
      <c r="K55" s="155"/>
      <c r="L55" s="155"/>
      <c r="M55" s="155"/>
      <c r="N55" s="215"/>
      <c r="O55" s="160"/>
      <c r="P55" s="159"/>
      <c r="Q55" s="158"/>
      <c r="R55" s="15"/>
    </row>
    <row r="56" spans="1:18" ht="15" customHeight="1" x14ac:dyDescent="0.25">
      <c r="A56" s="216"/>
      <c r="B56" s="215"/>
      <c r="C56" s="160"/>
      <c r="D56" s="160"/>
      <c r="E56" s="215"/>
      <c r="F56" s="215"/>
      <c r="G56" s="160"/>
      <c r="H56" s="160"/>
      <c r="I56" s="160"/>
      <c r="J56" s="160"/>
      <c r="K56" s="160"/>
      <c r="L56" s="160"/>
      <c r="M56" s="160"/>
      <c r="N56" s="215"/>
      <c r="O56" s="160"/>
      <c r="P56" s="217"/>
      <c r="Q56" s="218"/>
      <c r="R56" s="15"/>
    </row>
    <row r="57" spans="1:18" ht="30" customHeight="1" x14ac:dyDescent="0.25">
      <c r="A57" s="518" t="s">
        <v>19</v>
      </c>
      <c r="B57" s="519"/>
      <c r="C57" s="519"/>
      <c r="D57" s="519"/>
      <c r="E57" s="219">
        <f>SUM(E9:E56)</f>
        <v>0</v>
      </c>
      <c r="F57" s="219"/>
      <c r="G57" s="219">
        <f>SUM(G9:G56)</f>
        <v>0</v>
      </c>
      <c r="H57" s="219"/>
      <c r="I57" s="219"/>
      <c r="J57" s="219"/>
      <c r="K57" s="219"/>
      <c r="L57" s="219"/>
      <c r="M57" s="219"/>
      <c r="N57" s="220" t="e">
        <f>#REF!+#REF!+N30+N29+#REF!+N28+N27+#REF!+N19+N15+N14+N9</f>
        <v>#REF!</v>
      </c>
      <c r="O57" s="220" t="e">
        <f>#REF!+#REF!+O30+O29+#REF!+O28+O27+#REF!+O19+O15+O14+O9</f>
        <v>#REF!</v>
      </c>
      <c r="P57" s="220" t="e">
        <f>#REF!</f>
        <v>#REF!</v>
      </c>
      <c r="Q57" s="221" t="e">
        <f>#REF!</f>
        <v>#REF!</v>
      </c>
      <c r="R57" s="15"/>
    </row>
    <row r="58" spans="1:18" ht="15" customHeight="1" x14ac:dyDescent="0.25">
      <c r="A58" s="31"/>
      <c r="B58" s="47"/>
      <c r="C58" s="50"/>
      <c r="D58" s="50"/>
      <c r="E58" s="47"/>
      <c r="F58" s="47"/>
      <c r="G58" s="50"/>
      <c r="H58" s="50"/>
      <c r="I58" s="50"/>
      <c r="J58" s="50"/>
      <c r="K58" s="50"/>
      <c r="L58" s="50"/>
      <c r="M58" s="50"/>
      <c r="N58" s="47"/>
      <c r="O58" s="50"/>
      <c r="P58" s="23"/>
      <c r="Q58" s="24"/>
      <c r="R58" s="15"/>
    </row>
    <row r="59" spans="1:18" ht="15" customHeight="1" x14ac:dyDescent="0.25">
      <c r="A59" s="31"/>
      <c r="B59" s="74"/>
      <c r="C59" s="49"/>
      <c r="D59" s="49"/>
      <c r="E59" s="74"/>
      <c r="F59" s="74"/>
      <c r="G59" s="49"/>
      <c r="H59" s="49"/>
      <c r="I59" s="49"/>
      <c r="J59" s="49"/>
      <c r="K59" s="49"/>
      <c r="L59" s="49"/>
      <c r="M59" s="49"/>
      <c r="N59" s="74"/>
      <c r="O59" s="49"/>
      <c r="P59" s="75"/>
      <c r="Q59" s="76"/>
      <c r="R59" s="15"/>
    </row>
    <row r="60" spans="1:18" ht="15" customHeight="1" x14ac:dyDescent="0.25">
      <c r="A60" s="18"/>
      <c r="B60" s="47"/>
      <c r="C60" s="50"/>
      <c r="D60" s="50"/>
      <c r="E60" s="47"/>
      <c r="F60" s="47"/>
      <c r="G60" s="50"/>
      <c r="H60" s="50"/>
      <c r="I60" s="50"/>
      <c r="J60" s="50"/>
      <c r="K60" s="50"/>
      <c r="L60" s="50"/>
      <c r="M60" s="50"/>
      <c r="N60" s="47"/>
      <c r="O60" s="50"/>
      <c r="P60" s="23"/>
      <c r="Q60" s="24"/>
      <c r="R60" s="15"/>
    </row>
    <row r="61" spans="1:18" ht="15" customHeight="1" x14ac:dyDescent="0.25">
      <c r="A61" s="31"/>
      <c r="B61" s="47"/>
      <c r="C61" s="50"/>
      <c r="D61" s="50"/>
      <c r="E61" s="47"/>
      <c r="F61" s="47"/>
      <c r="G61" s="50"/>
      <c r="H61" s="50"/>
      <c r="I61" s="50"/>
      <c r="J61" s="50"/>
      <c r="K61" s="50"/>
      <c r="L61" s="50"/>
      <c r="M61" s="50"/>
      <c r="N61" s="47"/>
      <c r="O61" s="474"/>
      <c r="P61" s="474"/>
      <c r="Q61" s="474"/>
      <c r="R61" s="15"/>
    </row>
    <row r="62" spans="1:18" ht="15" customHeight="1" x14ac:dyDescent="0.25">
      <c r="A62" s="31"/>
      <c r="B62" s="47"/>
      <c r="C62" s="50"/>
      <c r="D62" s="50"/>
      <c r="E62" s="47"/>
      <c r="F62" s="47"/>
      <c r="G62" s="50"/>
      <c r="H62" s="50"/>
      <c r="I62" s="50"/>
      <c r="J62" s="50"/>
      <c r="K62" s="50"/>
      <c r="L62" s="50"/>
      <c r="M62" s="50"/>
      <c r="N62" s="47"/>
      <c r="O62" s="474"/>
      <c r="P62" s="474"/>
      <c r="Q62" s="474"/>
      <c r="R62" s="15"/>
    </row>
    <row r="63" spans="1:18" ht="15" customHeight="1" x14ac:dyDescent="0.25">
      <c r="A63" s="31"/>
      <c r="B63" s="74"/>
      <c r="C63" s="49"/>
      <c r="D63" s="49"/>
      <c r="E63" s="47"/>
      <c r="F63" s="47"/>
      <c r="G63" s="50"/>
      <c r="H63" s="50"/>
      <c r="I63" s="50"/>
      <c r="J63" s="50"/>
      <c r="K63" s="50"/>
      <c r="L63" s="50"/>
      <c r="M63" s="50"/>
      <c r="N63" s="74"/>
      <c r="O63" s="474"/>
      <c r="P63" s="474"/>
      <c r="Q63" s="474"/>
      <c r="R63" s="15"/>
    </row>
    <row r="64" spans="1:18" ht="15" customHeight="1" x14ac:dyDescent="0.25">
      <c r="B64" s="47"/>
      <c r="C64" s="50"/>
      <c r="D64" s="50"/>
      <c r="E64" s="47"/>
      <c r="F64" s="47"/>
      <c r="G64" s="50"/>
      <c r="H64" s="50"/>
      <c r="I64" s="50"/>
      <c r="J64" s="50"/>
      <c r="K64" s="50"/>
      <c r="L64" s="50"/>
      <c r="M64" s="50"/>
      <c r="N64" s="47"/>
      <c r="O64" s="50"/>
      <c r="P64" s="23"/>
      <c r="Q64" s="76"/>
      <c r="R64" s="15"/>
    </row>
    <row r="65" spans="1:18" ht="15" customHeight="1" x14ac:dyDescent="0.25">
      <c r="A65" s="31"/>
      <c r="B65" s="47"/>
      <c r="C65" s="50"/>
      <c r="D65" s="50"/>
      <c r="E65" s="47"/>
      <c r="F65" s="47"/>
      <c r="G65" s="50"/>
      <c r="H65" s="50"/>
      <c r="I65" s="50"/>
      <c r="J65" s="50"/>
      <c r="K65" s="50"/>
      <c r="L65" s="50"/>
      <c r="M65" s="50"/>
      <c r="N65" s="47"/>
      <c r="O65" s="50"/>
      <c r="P65" s="23"/>
      <c r="Q65" s="76"/>
      <c r="R65" s="15"/>
    </row>
    <row r="66" spans="1:18" ht="15" customHeight="1" x14ac:dyDescent="0.25">
      <c r="A66" s="31"/>
      <c r="B66" s="47"/>
      <c r="C66" s="50"/>
      <c r="D66" s="50"/>
      <c r="E66" s="47"/>
      <c r="F66" s="47"/>
      <c r="G66" s="50"/>
      <c r="H66" s="50"/>
      <c r="I66" s="50"/>
      <c r="J66" s="50"/>
      <c r="K66" s="50"/>
      <c r="L66" s="50"/>
      <c r="M66" s="50"/>
      <c r="N66" s="47"/>
      <c r="O66" s="50"/>
      <c r="P66" s="23"/>
      <c r="Q66" s="76"/>
      <c r="R66" s="15"/>
    </row>
    <row r="67" spans="1:18" ht="15" customHeight="1" x14ac:dyDescent="0.25">
      <c r="A67" s="31"/>
      <c r="B67" s="74"/>
      <c r="C67" s="49"/>
      <c r="D67" s="49"/>
      <c r="E67" s="74"/>
      <c r="F67" s="74"/>
      <c r="G67" s="49"/>
      <c r="H67" s="49"/>
      <c r="I67" s="49"/>
      <c r="J67" s="49"/>
      <c r="K67" s="49"/>
      <c r="L67" s="49"/>
      <c r="M67" s="49"/>
      <c r="N67" s="74"/>
      <c r="O67" s="473"/>
      <c r="P67" s="473"/>
      <c r="Q67" s="473"/>
      <c r="R67" s="15"/>
    </row>
    <row r="68" spans="1:18" ht="15" customHeight="1" x14ac:dyDescent="0.25">
      <c r="B68" s="47"/>
      <c r="C68" s="50"/>
      <c r="D68" s="50"/>
      <c r="E68" s="47"/>
      <c r="F68" s="47"/>
      <c r="G68" s="50"/>
      <c r="H68" s="50"/>
      <c r="I68" s="50"/>
      <c r="J68" s="50"/>
      <c r="K68" s="50"/>
      <c r="L68" s="50"/>
      <c r="M68" s="50"/>
      <c r="N68" s="47"/>
      <c r="O68" s="50"/>
      <c r="P68" s="23"/>
      <c r="Q68" s="24"/>
      <c r="R68" s="15"/>
    </row>
    <row r="69" spans="1:18" ht="15" customHeight="1" x14ac:dyDescent="0.25">
      <c r="A69" s="31"/>
      <c r="B69" s="47"/>
      <c r="C69" s="50"/>
      <c r="D69" s="50"/>
      <c r="E69" s="47"/>
      <c r="F69" s="47"/>
      <c r="G69" s="50"/>
      <c r="H69" s="50"/>
      <c r="I69" s="50"/>
      <c r="J69" s="50"/>
      <c r="K69" s="50"/>
      <c r="L69" s="50"/>
      <c r="M69" s="50"/>
      <c r="N69" s="47"/>
      <c r="O69" s="50"/>
      <c r="P69" s="23"/>
      <c r="Q69" s="24"/>
      <c r="R69" s="15"/>
    </row>
    <row r="70" spans="1:18" ht="15" customHeight="1" x14ac:dyDescent="0.25">
      <c r="A70" s="31"/>
      <c r="B70" s="47"/>
      <c r="C70" s="50"/>
      <c r="D70" s="50"/>
      <c r="E70" s="47"/>
      <c r="F70" s="47"/>
      <c r="G70" s="50"/>
      <c r="H70" s="50"/>
      <c r="I70" s="50"/>
      <c r="J70" s="50"/>
      <c r="K70" s="50"/>
      <c r="L70" s="50"/>
      <c r="M70" s="50"/>
      <c r="N70" s="47"/>
      <c r="O70" s="50"/>
      <c r="P70" s="23"/>
      <c r="Q70" s="24"/>
      <c r="R70" s="15"/>
    </row>
    <row r="71" spans="1:18" ht="15" customHeight="1" x14ac:dyDescent="0.25">
      <c r="A71" s="31"/>
      <c r="B71" s="74"/>
      <c r="C71" s="49"/>
      <c r="D71" s="49"/>
      <c r="E71" s="47"/>
      <c r="F71" s="47"/>
      <c r="G71" s="50"/>
      <c r="H71" s="50"/>
      <c r="I71" s="50"/>
      <c r="J71" s="50"/>
      <c r="K71" s="50"/>
      <c r="L71" s="50"/>
      <c r="M71" s="50"/>
      <c r="N71" s="74"/>
      <c r="O71" s="49"/>
      <c r="P71" s="75"/>
      <c r="Q71" s="76"/>
      <c r="R71" s="15"/>
    </row>
    <row r="72" spans="1:18" ht="15" customHeight="1" x14ac:dyDescent="0.25">
      <c r="B72" s="47"/>
      <c r="C72" s="50"/>
      <c r="D72" s="50"/>
      <c r="E72" s="47"/>
      <c r="F72" s="47"/>
      <c r="G72" s="50" t="s">
        <v>37</v>
      </c>
      <c r="H72" s="50"/>
      <c r="I72" s="50"/>
      <c r="J72" s="50"/>
      <c r="K72" s="50"/>
      <c r="L72" s="50"/>
      <c r="M72" s="50"/>
      <c r="N72" s="47"/>
      <c r="O72" s="50"/>
      <c r="P72" s="23"/>
      <c r="Q72" s="24"/>
      <c r="R72" s="15"/>
    </row>
    <row r="73" spans="1:18" ht="15" customHeight="1" x14ac:dyDescent="0.25">
      <c r="A73" s="31"/>
      <c r="B73" s="47"/>
      <c r="C73" s="50"/>
      <c r="D73" s="50"/>
      <c r="E73" s="47"/>
      <c r="F73" s="47"/>
      <c r="G73" s="50"/>
      <c r="H73" s="50"/>
      <c r="I73" s="50"/>
      <c r="J73" s="50"/>
      <c r="K73" s="50"/>
      <c r="L73" s="50"/>
      <c r="M73" s="50"/>
      <c r="N73" s="47"/>
      <c r="O73" s="50"/>
      <c r="P73" s="23"/>
      <c r="Q73" s="24"/>
      <c r="R73" s="15"/>
    </row>
    <row r="74" spans="1:18" ht="15" customHeight="1" x14ac:dyDescent="0.25">
      <c r="A74" s="31"/>
      <c r="B74" s="47"/>
      <c r="C74" s="50"/>
      <c r="D74" s="50"/>
      <c r="E74" s="47"/>
      <c r="F74" s="47"/>
      <c r="G74" s="50"/>
      <c r="H74" s="50"/>
      <c r="I74" s="50"/>
      <c r="J74" s="50"/>
      <c r="K74" s="50"/>
      <c r="L74" s="50"/>
      <c r="M74" s="50"/>
      <c r="N74" s="47"/>
      <c r="O74" s="50"/>
      <c r="P74" s="23"/>
      <c r="Q74" s="24"/>
      <c r="R74" s="15"/>
    </row>
    <row r="75" spans="1:18" ht="15" customHeight="1" x14ac:dyDescent="0.25">
      <c r="A75" s="31"/>
      <c r="B75" s="74"/>
      <c r="C75" s="49"/>
      <c r="D75" s="49"/>
      <c r="E75" s="47"/>
      <c r="F75" s="47"/>
      <c r="G75" s="50"/>
      <c r="H75" s="50"/>
      <c r="I75" s="50"/>
      <c r="J75" s="50"/>
      <c r="K75" s="50"/>
      <c r="L75" s="50"/>
      <c r="M75" s="50"/>
      <c r="N75" s="74"/>
      <c r="O75" s="49"/>
      <c r="P75" s="75"/>
      <c r="Q75" s="76"/>
      <c r="R75" s="15"/>
    </row>
    <row r="76" spans="1:18" ht="15" customHeight="1" x14ac:dyDescent="0.25">
      <c r="B76" s="47"/>
      <c r="C76" s="73"/>
      <c r="D76" s="50"/>
      <c r="E76" s="47"/>
      <c r="F76" s="47"/>
      <c r="G76" s="50"/>
      <c r="H76" s="50"/>
      <c r="I76" s="50"/>
      <c r="J76" s="50"/>
      <c r="K76" s="50"/>
      <c r="L76" s="50"/>
      <c r="M76" s="50"/>
      <c r="N76" s="47"/>
      <c r="O76" s="50"/>
      <c r="P76" s="75"/>
      <c r="Q76" s="76"/>
      <c r="R76" s="15"/>
    </row>
    <row r="77" spans="1:18" ht="15" customHeight="1" x14ac:dyDescent="0.25">
      <c r="A77" s="31"/>
      <c r="B77" s="47"/>
      <c r="C77" s="50"/>
      <c r="D77" s="50"/>
      <c r="E77" s="47"/>
      <c r="F77" s="47"/>
      <c r="G77" s="50"/>
      <c r="H77" s="50"/>
      <c r="I77" s="50"/>
      <c r="J77" s="50"/>
      <c r="K77" s="50"/>
      <c r="L77" s="50"/>
      <c r="M77" s="50"/>
      <c r="N77" s="47"/>
      <c r="O77" s="50"/>
      <c r="P77" s="23"/>
      <c r="Q77" s="24"/>
      <c r="R77" s="15"/>
    </row>
    <row r="78" spans="1:18" ht="15" customHeight="1" x14ac:dyDescent="0.25">
      <c r="A78" s="31"/>
      <c r="B78" s="47"/>
      <c r="C78" s="50"/>
      <c r="D78" s="50"/>
      <c r="E78" s="47"/>
      <c r="F78" s="47"/>
      <c r="G78" s="50"/>
      <c r="H78" s="50"/>
      <c r="I78" s="50"/>
      <c r="J78" s="50"/>
      <c r="K78" s="50"/>
      <c r="L78" s="50"/>
      <c r="M78" s="50"/>
      <c r="N78" s="47"/>
      <c r="O78" s="50"/>
      <c r="P78" s="23"/>
      <c r="Q78" s="24"/>
      <c r="R78" s="15"/>
    </row>
    <row r="79" spans="1:18" ht="15" customHeight="1" x14ac:dyDescent="0.25">
      <c r="A79" s="31"/>
      <c r="B79" s="74"/>
      <c r="C79" s="49"/>
      <c r="D79" s="49"/>
      <c r="E79" s="74"/>
      <c r="F79" s="74"/>
      <c r="G79" s="49"/>
      <c r="H79" s="49"/>
      <c r="I79" s="49"/>
      <c r="J79" s="49"/>
      <c r="K79" s="49"/>
      <c r="L79" s="49"/>
      <c r="M79" s="49"/>
      <c r="N79" s="74"/>
      <c r="O79" s="49"/>
      <c r="P79" s="75"/>
      <c r="Q79" s="76"/>
      <c r="R79" s="15"/>
    </row>
    <row r="80" spans="1:18" ht="15" customHeight="1" x14ac:dyDescent="0.25">
      <c r="B80" s="47"/>
      <c r="C80" s="50"/>
      <c r="D80" s="50"/>
      <c r="E80" s="47"/>
      <c r="F80" s="47"/>
      <c r="G80" s="50"/>
      <c r="H80" s="50"/>
      <c r="I80" s="50"/>
      <c r="J80" s="50"/>
      <c r="K80" s="50"/>
      <c r="L80" s="50"/>
      <c r="M80" s="50"/>
      <c r="N80" s="47"/>
      <c r="O80" s="50"/>
      <c r="P80" s="23"/>
      <c r="Q80" s="24"/>
      <c r="R80" s="15"/>
    </row>
    <row r="81" spans="1:18" ht="15" customHeight="1" x14ac:dyDescent="0.25">
      <c r="A81" s="31"/>
      <c r="B81" s="47"/>
      <c r="C81" s="73"/>
      <c r="D81" s="50"/>
      <c r="E81" s="47"/>
      <c r="F81" s="47"/>
      <c r="G81" s="50"/>
      <c r="H81" s="50"/>
      <c r="I81" s="50"/>
      <c r="J81" s="50"/>
      <c r="K81" s="50"/>
      <c r="L81" s="50"/>
      <c r="M81" s="50"/>
      <c r="N81" s="47"/>
      <c r="O81" s="50"/>
      <c r="P81" s="23"/>
      <c r="Q81" s="24"/>
      <c r="R81" s="15"/>
    </row>
    <row r="82" spans="1:18" ht="15" customHeight="1" x14ac:dyDescent="0.25">
      <c r="A82" s="31"/>
      <c r="B82" s="47"/>
      <c r="C82" s="73"/>
      <c r="D82" s="50"/>
      <c r="E82" s="47"/>
      <c r="F82" s="47"/>
      <c r="G82" s="50"/>
      <c r="H82" s="50"/>
      <c r="I82" s="50"/>
      <c r="J82" s="50"/>
      <c r="K82" s="50"/>
      <c r="L82" s="50"/>
      <c r="M82" s="50"/>
      <c r="N82" s="47"/>
      <c r="O82" s="50"/>
      <c r="P82" s="23"/>
      <c r="Q82" s="24"/>
      <c r="R82" s="15"/>
    </row>
    <row r="83" spans="1:18" ht="15" customHeight="1" x14ac:dyDescent="0.25">
      <c r="A83" s="31"/>
      <c r="B83" s="74"/>
      <c r="C83" s="49"/>
      <c r="D83" s="49"/>
      <c r="E83" s="74"/>
      <c r="F83" s="74"/>
      <c r="G83" s="49"/>
      <c r="H83" s="49"/>
      <c r="I83" s="49"/>
      <c r="J83" s="49"/>
      <c r="K83" s="49"/>
      <c r="L83" s="49"/>
      <c r="M83" s="49"/>
      <c r="N83" s="74"/>
      <c r="O83" s="49"/>
      <c r="P83" s="75"/>
      <c r="Q83" s="76"/>
      <c r="R83" s="15"/>
    </row>
    <row r="84" spans="1:18" ht="15" customHeight="1" x14ac:dyDescent="0.25">
      <c r="B84" s="47"/>
      <c r="C84" s="50"/>
      <c r="D84" s="50"/>
      <c r="E84" s="47"/>
      <c r="F84" s="47"/>
      <c r="G84" s="50"/>
      <c r="H84" s="50"/>
      <c r="I84" s="50"/>
      <c r="J84" s="50"/>
      <c r="K84" s="50"/>
      <c r="L84" s="50"/>
      <c r="M84" s="50"/>
      <c r="N84" s="47"/>
      <c r="O84" s="50"/>
      <c r="P84" s="23"/>
      <c r="Q84" s="24"/>
      <c r="R84" s="15"/>
    </row>
    <row r="85" spans="1:18" ht="15" customHeight="1" x14ac:dyDescent="0.25">
      <c r="A85" s="31"/>
      <c r="B85" s="47"/>
      <c r="C85" s="50"/>
      <c r="D85" s="50"/>
      <c r="E85" s="47"/>
      <c r="F85" s="47"/>
      <c r="G85" s="50"/>
      <c r="H85" s="50"/>
      <c r="I85" s="50"/>
      <c r="J85" s="50"/>
      <c r="K85" s="50"/>
      <c r="L85" s="50"/>
      <c r="M85" s="50"/>
      <c r="N85" s="47"/>
      <c r="O85" s="50"/>
      <c r="P85" s="23"/>
      <c r="Q85" s="24"/>
      <c r="R85" s="15"/>
    </row>
    <row r="86" spans="1:18" ht="15" customHeight="1" x14ac:dyDescent="0.25">
      <c r="A86" s="31"/>
      <c r="B86" s="47"/>
      <c r="C86" s="50"/>
      <c r="D86" s="50"/>
      <c r="E86" s="47"/>
      <c r="F86" s="47"/>
      <c r="G86" s="50"/>
      <c r="H86" s="50"/>
      <c r="I86" s="50"/>
      <c r="J86" s="50"/>
      <c r="K86" s="50"/>
      <c r="L86" s="50"/>
      <c r="M86" s="50"/>
      <c r="N86" s="47"/>
      <c r="O86" s="50"/>
      <c r="P86" s="23"/>
      <c r="Q86" s="24"/>
      <c r="R86" s="15"/>
    </row>
    <row r="87" spans="1:18" ht="15" customHeight="1" x14ac:dyDescent="0.25">
      <c r="A87" s="31"/>
      <c r="B87" s="74"/>
      <c r="C87" s="49"/>
      <c r="D87" s="49"/>
      <c r="E87" s="74"/>
      <c r="F87" s="74"/>
      <c r="G87" s="49"/>
      <c r="H87" s="49"/>
      <c r="I87" s="49"/>
      <c r="J87" s="49"/>
      <c r="K87" s="49"/>
      <c r="L87" s="49"/>
      <c r="M87" s="49"/>
      <c r="N87" s="74"/>
      <c r="O87" s="49"/>
      <c r="P87" s="75"/>
      <c r="Q87" s="76"/>
      <c r="R87" s="15"/>
    </row>
    <row r="88" spans="1:18" ht="15" customHeight="1" x14ac:dyDescent="0.25">
      <c r="B88" s="47"/>
      <c r="C88" s="50"/>
      <c r="D88" s="50"/>
      <c r="E88" s="47"/>
      <c r="F88" s="47"/>
      <c r="G88" s="50"/>
      <c r="H88" s="50"/>
      <c r="I88" s="50"/>
      <c r="J88" s="50"/>
      <c r="K88" s="50"/>
      <c r="L88" s="50"/>
      <c r="M88" s="50"/>
      <c r="N88" s="47"/>
      <c r="O88" s="50"/>
      <c r="P88" s="47"/>
      <c r="Q88" s="50"/>
      <c r="R88" s="15"/>
    </row>
    <row r="89" spans="1:18" ht="15" customHeight="1" x14ac:dyDescent="0.25">
      <c r="A89" s="31"/>
      <c r="B89" s="47"/>
      <c r="C89" s="50"/>
      <c r="D89" s="50"/>
      <c r="E89" s="47"/>
      <c r="F89" s="47"/>
      <c r="G89" s="50"/>
      <c r="H89" s="50"/>
      <c r="I89" s="50"/>
      <c r="J89" s="50"/>
      <c r="K89" s="50"/>
      <c r="L89" s="50"/>
      <c r="M89" s="50"/>
      <c r="N89" s="47"/>
      <c r="O89" s="50"/>
      <c r="P89" s="47"/>
      <c r="Q89" s="50"/>
      <c r="R89" s="15"/>
    </row>
    <row r="90" spans="1:18" ht="15" customHeight="1" x14ac:dyDescent="0.25">
      <c r="A90" s="31"/>
      <c r="B90" s="47"/>
      <c r="C90" s="50"/>
      <c r="D90" s="50"/>
      <c r="E90" s="47"/>
      <c r="F90" s="47"/>
      <c r="G90" s="50"/>
      <c r="H90" s="50"/>
      <c r="I90" s="50"/>
      <c r="J90" s="50"/>
      <c r="K90" s="50"/>
      <c r="L90" s="50"/>
      <c r="M90" s="50"/>
      <c r="N90" s="47"/>
      <c r="O90" s="50"/>
      <c r="P90" s="47"/>
      <c r="Q90" s="50"/>
      <c r="R90" s="15"/>
    </row>
    <row r="91" spans="1:18" ht="15" customHeight="1" x14ac:dyDescent="0.25">
      <c r="A91" s="31"/>
      <c r="B91" s="74"/>
      <c r="C91" s="49"/>
      <c r="D91" s="49"/>
      <c r="E91" s="47"/>
      <c r="F91" s="47"/>
      <c r="G91" s="50"/>
      <c r="H91" s="50"/>
      <c r="I91" s="50"/>
      <c r="J91" s="50"/>
      <c r="K91" s="50"/>
      <c r="L91" s="50"/>
      <c r="M91" s="50"/>
      <c r="N91" s="74"/>
      <c r="O91" s="49"/>
      <c r="P91" s="74"/>
      <c r="Q91" s="49"/>
      <c r="R91" s="15"/>
    </row>
    <row r="92" spans="1:18" ht="15" customHeight="1" x14ac:dyDescent="0.25">
      <c r="A92" s="34"/>
      <c r="B92" s="74"/>
      <c r="C92" s="49"/>
      <c r="D92" s="49"/>
      <c r="E92" s="47"/>
      <c r="F92" s="47"/>
      <c r="G92" s="50"/>
      <c r="H92" s="50"/>
      <c r="I92" s="50"/>
      <c r="J92" s="50"/>
      <c r="K92" s="50"/>
      <c r="L92" s="50"/>
      <c r="M92" s="50"/>
      <c r="N92" s="47"/>
      <c r="O92" s="50"/>
      <c r="P92" s="47"/>
      <c r="Q92" s="50"/>
      <c r="R92" s="15"/>
    </row>
    <row r="93" spans="1:18" ht="15" customHeight="1" x14ac:dyDescent="0.25">
      <c r="A93" s="31"/>
      <c r="B93" s="47"/>
      <c r="C93" s="50"/>
      <c r="D93" s="50"/>
      <c r="E93" s="47"/>
      <c r="F93" s="47"/>
      <c r="G93" s="50"/>
      <c r="H93" s="50"/>
      <c r="I93" s="50"/>
      <c r="J93" s="50"/>
      <c r="K93" s="50"/>
      <c r="L93" s="50"/>
      <c r="M93" s="50"/>
      <c r="N93" s="47"/>
      <c r="O93" s="50"/>
      <c r="P93" s="47"/>
      <c r="Q93" s="50"/>
      <c r="R93" s="15"/>
    </row>
    <row r="94" spans="1:18" ht="15" customHeight="1" x14ac:dyDescent="0.25">
      <c r="A94" s="31"/>
      <c r="B94" s="47"/>
      <c r="C94" s="50"/>
      <c r="D94" s="50"/>
      <c r="E94" s="47"/>
      <c r="F94" s="47"/>
      <c r="G94" s="50"/>
      <c r="H94" s="50"/>
      <c r="I94" s="50"/>
      <c r="J94" s="50"/>
      <c r="K94" s="50"/>
      <c r="L94" s="50"/>
      <c r="M94" s="50"/>
      <c r="N94" s="47"/>
      <c r="O94" s="50"/>
      <c r="P94" s="47"/>
      <c r="Q94" s="50"/>
      <c r="R94" s="15"/>
    </row>
    <row r="95" spans="1:18" ht="15" customHeight="1" x14ac:dyDescent="0.25">
      <c r="A95" s="31"/>
      <c r="B95" s="74"/>
      <c r="C95" s="49"/>
      <c r="D95" s="49"/>
      <c r="E95" s="47"/>
      <c r="F95" s="47"/>
      <c r="G95" s="50"/>
      <c r="H95" s="50"/>
      <c r="I95" s="50"/>
      <c r="J95" s="50"/>
      <c r="K95" s="50"/>
      <c r="L95" s="50"/>
      <c r="M95" s="50"/>
      <c r="N95" s="74"/>
      <c r="O95" s="49"/>
      <c r="P95" s="74"/>
      <c r="Q95" s="49"/>
      <c r="R95" s="15"/>
    </row>
    <row r="96" spans="1:18" ht="15" customHeight="1" x14ac:dyDescent="0.25">
      <c r="B96" s="47"/>
      <c r="C96" s="50"/>
      <c r="D96" s="50"/>
      <c r="E96" s="47"/>
      <c r="F96" s="47"/>
      <c r="G96" s="50"/>
      <c r="H96" s="50"/>
      <c r="I96" s="50"/>
      <c r="J96" s="50"/>
      <c r="K96" s="50"/>
      <c r="L96" s="50"/>
      <c r="M96" s="50"/>
      <c r="N96" s="47"/>
      <c r="O96" s="50"/>
      <c r="P96" s="47"/>
      <c r="Q96" s="50"/>
      <c r="R96" s="15"/>
    </row>
    <row r="97" spans="1:18" ht="15" customHeight="1" x14ac:dyDescent="0.25">
      <c r="B97" s="47"/>
      <c r="C97" s="50"/>
      <c r="D97" s="50"/>
      <c r="E97" s="47"/>
      <c r="F97" s="47"/>
      <c r="G97" s="50"/>
      <c r="H97" s="50"/>
      <c r="I97" s="50"/>
      <c r="J97" s="50"/>
      <c r="K97" s="50"/>
      <c r="L97" s="50"/>
      <c r="M97" s="50"/>
      <c r="N97" s="47"/>
      <c r="O97" s="50"/>
      <c r="P97" s="47"/>
      <c r="Q97" s="50"/>
      <c r="R97" s="15"/>
    </row>
    <row r="98" spans="1:18" ht="15" customHeight="1" x14ac:dyDescent="0.25">
      <c r="B98" s="47"/>
      <c r="C98" s="50"/>
      <c r="D98" s="50"/>
      <c r="E98" s="47"/>
      <c r="F98" s="47"/>
      <c r="G98" s="50"/>
      <c r="H98" s="50"/>
      <c r="I98" s="50"/>
      <c r="J98" s="50"/>
      <c r="K98" s="50"/>
      <c r="L98" s="50"/>
      <c r="M98" s="50"/>
      <c r="N98" s="47"/>
      <c r="O98" s="50"/>
      <c r="P98" s="47"/>
      <c r="Q98" s="50"/>
      <c r="R98" s="15"/>
    </row>
    <row r="99" spans="1:18" ht="15" customHeight="1" x14ac:dyDescent="0.25">
      <c r="B99" s="74"/>
      <c r="C99" s="49"/>
      <c r="D99" s="49"/>
      <c r="E99" s="47"/>
      <c r="F99" s="47"/>
      <c r="G99" s="50"/>
      <c r="H99" s="50"/>
      <c r="I99" s="50"/>
      <c r="J99" s="50"/>
      <c r="K99" s="50"/>
      <c r="L99" s="50"/>
      <c r="M99" s="50"/>
      <c r="N99" s="74"/>
      <c r="O99" s="49"/>
      <c r="P99" s="74"/>
      <c r="Q99" s="49"/>
      <c r="R99" s="15"/>
    </row>
    <row r="100" spans="1:18" ht="15" customHeight="1" x14ac:dyDescent="0.25">
      <c r="B100" s="47"/>
      <c r="C100" s="48"/>
      <c r="D100" s="50"/>
      <c r="E100" s="47"/>
      <c r="F100" s="47"/>
      <c r="G100" s="50"/>
      <c r="H100" s="50"/>
      <c r="I100" s="50"/>
      <c r="J100" s="50"/>
      <c r="K100" s="50"/>
      <c r="L100" s="50"/>
      <c r="M100" s="50"/>
      <c r="N100" s="47"/>
      <c r="O100" s="50"/>
      <c r="P100" s="47"/>
      <c r="Q100" s="50"/>
      <c r="R100" s="15"/>
    </row>
    <row r="101" spans="1:18" ht="15" customHeight="1" x14ac:dyDescent="0.25">
      <c r="A101" s="32"/>
      <c r="B101" s="77"/>
      <c r="C101" s="77"/>
      <c r="D101" s="77"/>
      <c r="E101" s="47"/>
      <c r="F101" s="47"/>
      <c r="G101" s="50"/>
      <c r="H101" s="50"/>
      <c r="I101" s="50"/>
      <c r="J101" s="50"/>
      <c r="K101" s="50"/>
      <c r="L101" s="50"/>
      <c r="M101" s="50"/>
      <c r="N101" s="74"/>
      <c r="O101" s="74"/>
      <c r="P101" s="47"/>
      <c r="Q101" s="50"/>
      <c r="R101" s="15"/>
    </row>
    <row r="102" spans="1:18" ht="15" customHeight="1" x14ac:dyDescent="0.25">
      <c r="B102" s="47"/>
      <c r="C102" s="48"/>
      <c r="D102" s="50"/>
      <c r="E102" s="47"/>
      <c r="F102" s="47"/>
      <c r="G102" s="50"/>
      <c r="H102" s="50"/>
      <c r="I102" s="50"/>
      <c r="J102" s="50"/>
      <c r="K102" s="50"/>
      <c r="L102" s="50"/>
      <c r="M102" s="50"/>
      <c r="N102" s="47"/>
      <c r="O102" s="50"/>
      <c r="P102" s="47"/>
      <c r="Q102" s="50"/>
      <c r="R102" s="15"/>
    </row>
    <row r="103" spans="1:18" ht="15" customHeight="1" x14ac:dyDescent="0.25">
      <c r="B103" s="47"/>
      <c r="C103" s="48"/>
      <c r="D103" s="50"/>
      <c r="E103" s="47"/>
      <c r="F103" s="47"/>
      <c r="G103" s="50"/>
      <c r="H103" s="50"/>
      <c r="I103" s="50"/>
      <c r="J103" s="50"/>
      <c r="K103" s="50"/>
      <c r="L103" s="50"/>
      <c r="M103" s="50"/>
      <c r="N103" s="47"/>
      <c r="O103" s="50"/>
      <c r="P103" s="47"/>
      <c r="Q103" s="50"/>
      <c r="R103" s="15"/>
    </row>
    <row r="104" spans="1:18" ht="15" customHeight="1" x14ac:dyDescent="0.25">
      <c r="B104" s="47"/>
      <c r="C104" s="48"/>
      <c r="D104" s="50"/>
      <c r="E104" s="47"/>
      <c r="F104" s="47"/>
      <c r="G104" s="50"/>
      <c r="H104" s="50"/>
      <c r="I104" s="50"/>
      <c r="J104" s="50"/>
      <c r="K104" s="50"/>
      <c r="L104" s="50"/>
      <c r="M104" s="50"/>
      <c r="N104" s="47"/>
      <c r="O104" s="50"/>
      <c r="P104" s="47"/>
      <c r="Q104" s="50"/>
      <c r="R104" s="15"/>
    </row>
    <row r="105" spans="1:18" ht="15" customHeight="1" x14ac:dyDescent="0.25">
      <c r="B105" s="47"/>
      <c r="C105" s="48"/>
      <c r="D105" s="50"/>
      <c r="E105" s="47"/>
      <c r="F105" s="47"/>
      <c r="G105" s="50"/>
      <c r="H105" s="50"/>
      <c r="I105" s="50"/>
      <c r="J105" s="50"/>
      <c r="K105" s="50"/>
      <c r="L105" s="50"/>
      <c r="M105" s="50"/>
      <c r="N105" s="47"/>
      <c r="O105" s="50"/>
      <c r="P105" s="47"/>
      <c r="Q105" s="50"/>
      <c r="R105" s="15"/>
    </row>
    <row r="106" spans="1:18" ht="15" customHeight="1" x14ac:dyDescent="0.25">
      <c r="B106" s="47"/>
      <c r="C106" s="48"/>
      <c r="D106" s="50"/>
      <c r="E106" s="47"/>
      <c r="F106" s="47"/>
      <c r="G106" s="50"/>
      <c r="H106" s="50"/>
      <c r="I106" s="50"/>
      <c r="J106" s="50"/>
      <c r="K106" s="50"/>
      <c r="L106" s="50"/>
      <c r="M106" s="50"/>
      <c r="N106" s="47"/>
      <c r="O106" s="50"/>
      <c r="P106" s="47"/>
      <c r="Q106" s="50"/>
      <c r="R106" s="1"/>
    </row>
    <row r="107" spans="1:18" ht="15" customHeight="1" x14ac:dyDescent="0.25">
      <c r="B107" s="47"/>
      <c r="C107" s="48"/>
      <c r="D107" s="50"/>
      <c r="E107" s="47"/>
      <c r="F107" s="47"/>
      <c r="G107" s="50"/>
      <c r="H107" s="50"/>
      <c r="I107" s="50"/>
      <c r="J107" s="50"/>
      <c r="K107" s="50"/>
      <c r="L107" s="50"/>
      <c r="M107" s="50"/>
      <c r="N107" s="47"/>
      <c r="O107" s="50"/>
      <c r="P107" s="50"/>
      <c r="Q107" s="50"/>
      <c r="R107" s="1"/>
    </row>
    <row r="108" spans="1:18" ht="15" customHeight="1" x14ac:dyDescent="0.25">
      <c r="B108" s="78"/>
      <c r="C108" s="79"/>
      <c r="D108" s="80"/>
      <c r="E108" s="78"/>
      <c r="F108" s="78"/>
      <c r="G108" s="80"/>
      <c r="H108" s="80"/>
      <c r="I108" s="80"/>
      <c r="J108" s="80"/>
      <c r="K108" s="80"/>
      <c r="L108" s="80"/>
      <c r="M108" s="80"/>
      <c r="N108" s="78"/>
      <c r="O108" s="80"/>
      <c r="P108" s="80"/>
      <c r="Q108" s="80"/>
      <c r="R108" s="1"/>
    </row>
    <row r="109" spans="1:18" ht="15" customHeight="1" x14ac:dyDescent="0.25">
      <c r="B109" s="78"/>
      <c r="C109" s="79"/>
      <c r="D109" s="80"/>
      <c r="E109" s="78"/>
      <c r="F109" s="78"/>
      <c r="G109" s="80"/>
      <c r="H109" s="80"/>
      <c r="I109" s="80"/>
      <c r="J109" s="80"/>
      <c r="K109" s="80"/>
      <c r="L109" s="80"/>
      <c r="M109" s="80"/>
      <c r="N109" s="78"/>
      <c r="O109" s="80"/>
      <c r="P109" s="80"/>
      <c r="Q109" s="80"/>
      <c r="R109" s="1"/>
    </row>
    <row r="110" spans="1:18" ht="15" customHeight="1" x14ac:dyDescent="0.25">
      <c r="B110" s="78"/>
      <c r="C110" s="79"/>
      <c r="D110" s="80"/>
      <c r="E110" s="78"/>
      <c r="F110" s="78"/>
      <c r="G110" s="80"/>
      <c r="H110" s="80"/>
      <c r="I110" s="80"/>
      <c r="J110" s="80"/>
      <c r="K110" s="80"/>
      <c r="L110" s="80"/>
      <c r="M110" s="80"/>
      <c r="N110" s="78"/>
      <c r="O110" s="80"/>
      <c r="P110" s="80"/>
      <c r="Q110" s="80"/>
      <c r="R110" s="1"/>
    </row>
    <row r="111" spans="1:18" ht="15" customHeight="1" x14ac:dyDescent="0.25">
      <c r="B111" s="78"/>
      <c r="C111" s="79"/>
      <c r="D111" s="80"/>
      <c r="E111" s="78"/>
      <c r="F111" s="78"/>
      <c r="G111" s="80"/>
      <c r="H111" s="80"/>
      <c r="I111" s="80"/>
      <c r="J111" s="80"/>
      <c r="K111" s="80"/>
      <c r="L111" s="80"/>
      <c r="M111" s="80"/>
      <c r="N111" s="78"/>
      <c r="O111" s="80"/>
      <c r="P111" s="80"/>
      <c r="Q111" s="80"/>
      <c r="R111" s="1"/>
    </row>
    <row r="112" spans="1:18" ht="15" customHeight="1" x14ac:dyDescent="0.25">
      <c r="B112" s="78"/>
      <c r="C112" s="79"/>
      <c r="D112" s="80"/>
      <c r="E112" s="78"/>
      <c r="F112" s="78"/>
      <c r="G112" s="80"/>
      <c r="H112" s="80"/>
      <c r="I112" s="80"/>
      <c r="J112" s="80"/>
      <c r="K112" s="80"/>
      <c r="L112" s="80"/>
      <c r="M112" s="80"/>
      <c r="N112" s="78"/>
      <c r="O112" s="80"/>
      <c r="P112" s="80"/>
      <c r="Q112" s="80"/>
      <c r="R112" s="1"/>
    </row>
    <row r="113" spans="2:18" ht="15" customHeight="1" x14ac:dyDescent="0.25">
      <c r="B113" s="78"/>
      <c r="C113" s="79"/>
      <c r="D113" s="80"/>
      <c r="E113" s="78"/>
      <c r="F113" s="78"/>
      <c r="G113" s="80"/>
      <c r="H113" s="80"/>
      <c r="I113" s="80"/>
      <c r="J113" s="80"/>
      <c r="K113" s="80"/>
      <c r="L113" s="80"/>
      <c r="M113" s="80"/>
      <c r="N113" s="78"/>
      <c r="O113" s="80"/>
      <c r="P113" s="80"/>
      <c r="Q113" s="80"/>
      <c r="R113" s="1"/>
    </row>
    <row r="114" spans="2:18" ht="15" customHeight="1" x14ac:dyDescent="0.25">
      <c r="B114" s="78"/>
      <c r="C114" s="79"/>
      <c r="D114" s="80"/>
      <c r="E114" s="78"/>
      <c r="F114" s="78"/>
      <c r="G114" s="80"/>
      <c r="H114" s="80"/>
      <c r="I114" s="80"/>
      <c r="J114" s="80"/>
      <c r="K114" s="80"/>
      <c r="L114" s="80"/>
      <c r="M114" s="80"/>
      <c r="N114" s="78"/>
      <c r="O114" s="80"/>
      <c r="P114" s="80"/>
      <c r="Q114" s="80"/>
      <c r="R114" s="1"/>
    </row>
    <row r="115" spans="2:18" ht="15" customHeight="1" x14ac:dyDescent="0.25">
      <c r="B115" s="78"/>
      <c r="C115" s="79"/>
      <c r="D115" s="80"/>
      <c r="E115" s="78"/>
      <c r="F115" s="78"/>
      <c r="G115" s="80"/>
      <c r="H115" s="80"/>
      <c r="I115" s="80"/>
      <c r="J115" s="80"/>
      <c r="K115" s="80"/>
      <c r="L115" s="80"/>
      <c r="M115" s="80"/>
      <c r="N115" s="78"/>
      <c r="O115" s="80"/>
      <c r="P115" s="80"/>
      <c r="Q115" s="80"/>
      <c r="R115" s="1"/>
    </row>
    <row r="116" spans="2:18" ht="15" customHeight="1" x14ac:dyDescent="0.25">
      <c r="B116" s="78"/>
      <c r="C116" s="79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1"/>
    </row>
    <row r="117" spans="2:18" ht="15" customHeight="1" x14ac:dyDescent="0.25">
      <c r="B117" s="78"/>
      <c r="C117" s="79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1"/>
    </row>
    <row r="118" spans="2:18" ht="15" customHeight="1" x14ac:dyDescent="0.25">
      <c r="B118" s="78"/>
      <c r="C118" s="79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1"/>
    </row>
    <row r="119" spans="2:18" ht="15" customHeight="1" x14ac:dyDescent="0.25">
      <c r="B119" s="78"/>
      <c r="C119" s="79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1"/>
    </row>
    <row r="120" spans="2:18" ht="15" customHeight="1" x14ac:dyDescent="0.25">
      <c r="B120" s="78"/>
      <c r="C120" s="79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1"/>
    </row>
    <row r="121" spans="2:18" ht="15" customHeight="1" x14ac:dyDescent="0.25">
      <c r="B121" s="78"/>
      <c r="C121" s="79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1"/>
    </row>
    <row r="122" spans="2:18" ht="15" customHeight="1" x14ac:dyDescent="0.25">
      <c r="B122" s="78"/>
      <c r="C122" s="79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1"/>
    </row>
    <row r="123" spans="2:18" ht="15" customHeight="1" x14ac:dyDescent="0.25">
      <c r="B123" s="78"/>
      <c r="C123" s="79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1"/>
    </row>
    <row r="124" spans="2:18" ht="15" customHeight="1" x14ac:dyDescent="0.25">
      <c r="B124" s="78"/>
      <c r="C124" s="79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1"/>
    </row>
    <row r="125" spans="2:18" ht="15" customHeight="1" x14ac:dyDescent="0.25">
      <c r="B125" s="78"/>
      <c r="C125" s="79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1"/>
    </row>
    <row r="126" spans="2:18" ht="15" customHeight="1" x14ac:dyDescent="0.25">
      <c r="B126" s="78"/>
      <c r="C126" s="79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1"/>
    </row>
    <row r="127" spans="2:18" ht="15" customHeight="1" x14ac:dyDescent="0.25">
      <c r="B127" s="78"/>
      <c r="C127" s="79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1"/>
    </row>
    <row r="128" spans="2:18" ht="15" customHeight="1" x14ac:dyDescent="0.25">
      <c r="B128" s="78"/>
      <c r="C128" s="79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1"/>
    </row>
    <row r="129" spans="2:18" ht="15" customHeight="1" x14ac:dyDescent="0.25">
      <c r="B129" s="78"/>
      <c r="C129" s="79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1"/>
    </row>
    <row r="130" spans="2:18" ht="15" customHeight="1" x14ac:dyDescent="0.25">
      <c r="C130" s="81"/>
      <c r="N130" s="64"/>
    </row>
    <row r="131" spans="2:18" ht="15" customHeight="1" x14ac:dyDescent="0.25">
      <c r="C131" s="81"/>
      <c r="N131" s="64"/>
    </row>
    <row r="132" spans="2:18" ht="15" customHeight="1" x14ac:dyDescent="0.25">
      <c r="C132" s="81"/>
      <c r="N132" s="64"/>
    </row>
    <row r="133" spans="2:18" ht="15" customHeight="1" x14ac:dyDescent="0.25">
      <c r="C133" s="81"/>
      <c r="N133" s="64"/>
    </row>
    <row r="134" spans="2:18" ht="15" customHeight="1" x14ac:dyDescent="0.25">
      <c r="C134" s="81"/>
      <c r="N134" s="64"/>
    </row>
    <row r="135" spans="2:18" ht="15" customHeight="1" x14ac:dyDescent="0.25">
      <c r="C135" s="81"/>
      <c r="N135" s="64"/>
    </row>
    <row r="136" spans="2:18" ht="15" customHeight="1" x14ac:dyDescent="0.25">
      <c r="C136" s="81"/>
      <c r="N136" s="64"/>
    </row>
    <row r="137" spans="2:18" ht="15" customHeight="1" x14ac:dyDescent="0.25">
      <c r="C137" s="81"/>
    </row>
    <row r="138" spans="2:18" ht="15" customHeight="1" x14ac:dyDescent="0.25">
      <c r="C138" s="81"/>
    </row>
    <row r="139" spans="2:18" ht="15" customHeight="1" x14ac:dyDescent="0.25">
      <c r="C139" s="81"/>
    </row>
    <row r="140" spans="2:18" ht="15" customHeight="1" x14ac:dyDescent="0.25">
      <c r="C140" s="81"/>
    </row>
    <row r="141" spans="2:18" ht="15" customHeight="1" x14ac:dyDescent="0.25">
      <c r="C141" s="81"/>
    </row>
    <row r="142" spans="2:18" ht="15" customHeight="1" x14ac:dyDescent="0.25">
      <c r="C142" s="81"/>
    </row>
    <row r="143" spans="2:18" ht="15" customHeight="1" x14ac:dyDescent="0.25">
      <c r="C143" s="81"/>
    </row>
    <row r="144" spans="2:18" ht="15" customHeight="1" x14ac:dyDescent="0.25">
      <c r="C144" s="81"/>
    </row>
    <row r="145" spans="3:3" ht="15" customHeight="1" x14ac:dyDescent="0.25">
      <c r="C145" s="81"/>
    </row>
    <row r="146" spans="3:3" ht="15" customHeight="1" x14ac:dyDescent="0.25">
      <c r="C146" s="81"/>
    </row>
    <row r="147" spans="3:3" ht="15" customHeight="1" x14ac:dyDescent="0.25">
      <c r="C147" s="81"/>
    </row>
    <row r="148" spans="3:3" ht="15" customHeight="1" x14ac:dyDescent="0.25">
      <c r="C148" s="81"/>
    </row>
    <row r="149" spans="3:3" ht="15" customHeight="1" x14ac:dyDescent="0.25">
      <c r="C149" s="81"/>
    </row>
    <row r="150" spans="3:3" ht="15" customHeight="1" x14ac:dyDescent="0.25">
      <c r="C150" s="81"/>
    </row>
    <row r="151" spans="3:3" ht="15" customHeight="1" x14ac:dyDescent="0.25">
      <c r="C151" s="81"/>
    </row>
    <row r="152" spans="3:3" ht="15" customHeight="1" x14ac:dyDescent="0.25">
      <c r="C152" s="81"/>
    </row>
    <row r="153" spans="3:3" ht="15" customHeight="1" x14ac:dyDescent="0.25">
      <c r="C153" s="81"/>
    </row>
    <row r="154" spans="3:3" ht="15" customHeight="1" x14ac:dyDescent="0.25">
      <c r="C154" s="81"/>
    </row>
    <row r="155" spans="3:3" ht="15" customHeight="1" x14ac:dyDescent="0.25">
      <c r="C155" s="81"/>
    </row>
    <row r="156" spans="3:3" ht="15" customHeight="1" x14ac:dyDescent="0.25">
      <c r="C156" s="81"/>
    </row>
    <row r="157" spans="3:3" ht="15" customHeight="1" x14ac:dyDescent="0.25">
      <c r="C157" s="81"/>
    </row>
    <row r="158" spans="3:3" ht="15" customHeight="1" x14ac:dyDescent="0.25">
      <c r="C158" s="81"/>
    </row>
    <row r="159" spans="3:3" ht="15" customHeight="1" x14ac:dyDescent="0.25">
      <c r="C159" s="73"/>
    </row>
    <row r="160" spans="3:3" ht="15" customHeight="1" x14ac:dyDescent="0.25">
      <c r="C160" s="73"/>
    </row>
    <row r="161" spans="3:3" ht="15" customHeight="1" x14ac:dyDescent="0.25">
      <c r="C161" s="73"/>
    </row>
    <row r="162" spans="3:3" ht="15" customHeight="1" x14ac:dyDescent="0.25">
      <c r="C162" s="73"/>
    </row>
    <row r="163" spans="3:3" ht="15" customHeight="1" x14ac:dyDescent="0.25">
      <c r="C163" s="73"/>
    </row>
    <row r="164" spans="3:3" ht="15" customHeight="1" x14ac:dyDescent="0.25">
      <c r="C164" s="73"/>
    </row>
    <row r="165" spans="3:3" ht="15" customHeight="1" x14ac:dyDescent="0.25">
      <c r="C165" s="73"/>
    </row>
    <row r="166" spans="3:3" ht="15" customHeight="1" x14ac:dyDescent="0.25">
      <c r="C166" s="73"/>
    </row>
    <row r="167" spans="3:3" ht="15" customHeight="1" x14ac:dyDescent="0.25">
      <c r="C167" s="73"/>
    </row>
    <row r="168" spans="3:3" ht="15" customHeight="1" x14ac:dyDescent="0.25">
      <c r="C168" s="73"/>
    </row>
    <row r="169" spans="3:3" ht="15" customHeight="1" x14ac:dyDescent="0.25">
      <c r="C169" s="73"/>
    </row>
    <row r="170" spans="3:3" ht="15" customHeight="1" x14ac:dyDescent="0.25">
      <c r="C170" s="73"/>
    </row>
    <row r="171" spans="3:3" ht="15" customHeight="1" x14ac:dyDescent="0.25">
      <c r="C171" s="73"/>
    </row>
    <row r="172" spans="3:3" ht="15" customHeight="1" x14ac:dyDescent="0.25">
      <c r="C172" s="73"/>
    </row>
    <row r="173" spans="3:3" ht="15" customHeight="1" x14ac:dyDescent="0.25">
      <c r="C173" s="73"/>
    </row>
    <row r="174" spans="3:3" ht="15" customHeight="1" x14ac:dyDescent="0.25">
      <c r="C174" s="73"/>
    </row>
    <row r="175" spans="3:3" ht="15" customHeight="1" x14ac:dyDescent="0.25">
      <c r="C175" s="73"/>
    </row>
    <row r="176" spans="3:3" ht="15" customHeight="1" x14ac:dyDescent="0.25">
      <c r="C176" s="73"/>
    </row>
    <row r="177" spans="3:3" ht="15" customHeight="1" x14ac:dyDescent="0.25">
      <c r="C177" s="73"/>
    </row>
    <row r="178" spans="3:3" ht="15" customHeight="1" x14ac:dyDescent="0.25">
      <c r="C178" s="73"/>
    </row>
    <row r="179" spans="3:3" ht="15" customHeight="1" x14ac:dyDescent="0.25">
      <c r="C179" s="73"/>
    </row>
    <row r="180" spans="3:3" ht="15" customHeight="1" x14ac:dyDescent="0.25">
      <c r="C180" s="73"/>
    </row>
    <row r="181" spans="3:3" ht="15" customHeight="1" x14ac:dyDescent="0.25">
      <c r="C181" s="73"/>
    </row>
    <row r="182" spans="3:3" ht="15" customHeight="1" x14ac:dyDescent="0.25">
      <c r="C182" s="73"/>
    </row>
    <row r="183" spans="3:3" ht="15" customHeight="1" x14ac:dyDescent="0.25">
      <c r="C183" s="73"/>
    </row>
    <row r="184" spans="3:3" ht="15" customHeight="1" x14ac:dyDescent="0.25">
      <c r="C184" s="73"/>
    </row>
    <row r="185" spans="3:3" ht="15" customHeight="1" x14ac:dyDescent="0.25">
      <c r="C185" s="73"/>
    </row>
    <row r="186" spans="3:3" ht="15" customHeight="1" x14ac:dyDescent="0.25">
      <c r="C186" s="73"/>
    </row>
    <row r="187" spans="3:3" ht="15" customHeight="1" x14ac:dyDescent="0.25">
      <c r="C187" s="73"/>
    </row>
    <row r="188" spans="3:3" ht="15" customHeight="1" x14ac:dyDescent="0.25">
      <c r="C188" s="73"/>
    </row>
    <row r="189" spans="3:3" ht="15" customHeight="1" x14ac:dyDescent="0.25">
      <c r="C189" s="73"/>
    </row>
    <row r="190" spans="3:3" ht="15" customHeight="1" x14ac:dyDescent="0.25">
      <c r="C190" s="73"/>
    </row>
    <row r="191" spans="3:3" ht="15" customHeight="1" x14ac:dyDescent="0.25">
      <c r="C191" s="73"/>
    </row>
  </sheetData>
  <mergeCells count="13">
    <mergeCell ref="A57:D57"/>
    <mergeCell ref="O61:Q61"/>
    <mergeCell ref="O62:Q62"/>
    <mergeCell ref="O63:Q63"/>
    <mergeCell ref="O67:Q67"/>
    <mergeCell ref="A4:Q4"/>
    <mergeCell ref="A6:A7"/>
    <mergeCell ref="B6:D6"/>
    <mergeCell ref="E6:G6"/>
    <mergeCell ref="N6:O6"/>
    <mergeCell ref="P6:Q6"/>
    <mergeCell ref="H6:J6"/>
    <mergeCell ref="K6:M6"/>
  </mergeCells>
  <pageMargins left="0.31496062992125984" right="0.31496062992125984" top="0.55118110236220474" bottom="0.74803149606299213" header="0.31496062992125984" footer="0.31496062992125984"/>
  <pageSetup paperSize="5" scale="69" orientation="landscape" horizontalDpi="4294967293" verticalDpi="360" r:id="rId1"/>
  <colBreaks count="1" manualBreakCount="1">
    <brk id="17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Q20"/>
  <sheetViews>
    <sheetView topLeftCell="A4" zoomScale="130" zoomScaleNormal="130" workbookViewId="0">
      <selection activeCell="N9" sqref="N9:N12"/>
    </sheetView>
  </sheetViews>
  <sheetFormatPr defaultRowHeight="15" x14ac:dyDescent="0.25"/>
  <cols>
    <col min="7" max="7" width="10.5703125" bestFit="1" customWidth="1"/>
    <col min="15" max="15" width="10.140625" customWidth="1"/>
    <col min="17" max="17" width="11.28515625" customWidth="1"/>
  </cols>
  <sheetData>
    <row r="1" spans="1:17" x14ac:dyDescent="0.25">
      <c r="A1" s="146" t="s">
        <v>12</v>
      </c>
      <c r="B1" s="203"/>
      <c r="C1" s="203"/>
      <c r="D1" s="203"/>
      <c r="E1" s="204"/>
      <c r="F1" s="204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</row>
    <row r="2" spans="1:17" x14ac:dyDescent="0.25">
      <c r="A2" s="146" t="s">
        <v>112</v>
      </c>
      <c r="B2" s="147"/>
      <c r="C2" s="147"/>
      <c r="D2" s="147"/>
      <c r="E2" s="147"/>
      <c r="F2" s="147"/>
      <c r="G2" s="147"/>
      <c r="H2" s="203"/>
      <c r="I2" s="203"/>
      <c r="J2" s="203"/>
      <c r="K2" s="203"/>
      <c r="L2" s="203"/>
      <c r="M2" s="203"/>
      <c r="N2" s="203"/>
      <c r="O2" s="203"/>
      <c r="P2" s="203"/>
      <c r="Q2" s="203"/>
    </row>
    <row r="3" spans="1:17" x14ac:dyDescent="0.25">
      <c r="A3" s="147"/>
      <c r="B3" s="203"/>
      <c r="C3" s="203"/>
      <c r="D3" s="203"/>
      <c r="E3" s="204"/>
      <c r="F3" s="204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x14ac:dyDescent="0.25">
      <c r="A4" s="500" t="s">
        <v>67</v>
      </c>
      <c r="B4" s="500"/>
      <c r="C4" s="500"/>
      <c r="D4" s="500"/>
      <c r="E4" s="500"/>
      <c r="F4" s="500"/>
      <c r="G4" s="500"/>
      <c r="H4" s="500"/>
      <c r="I4" s="500"/>
      <c r="J4" s="500"/>
      <c r="K4" s="500"/>
      <c r="L4" s="500"/>
      <c r="M4" s="500"/>
      <c r="N4" s="500"/>
      <c r="O4" s="500"/>
      <c r="P4" s="500"/>
      <c r="Q4" s="500"/>
    </row>
    <row r="5" spans="1:17" x14ac:dyDescent="0.25">
      <c r="A5" s="205"/>
      <c r="B5" s="206"/>
      <c r="C5" s="206"/>
      <c r="D5" s="206"/>
      <c r="E5" s="207"/>
      <c r="F5" s="207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</row>
    <row r="6" spans="1:17" x14ac:dyDescent="0.25">
      <c r="A6" s="501" t="s">
        <v>0</v>
      </c>
      <c r="B6" s="503" t="s">
        <v>7</v>
      </c>
      <c r="C6" s="503"/>
      <c r="D6" s="503"/>
      <c r="E6" s="503" t="s">
        <v>5</v>
      </c>
      <c r="F6" s="503"/>
      <c r="G6" s="503"/>
      <c r="H6" s="515" t="s">
        <v>25</v>
      </c>
      <c r="I6" s="516"/>
      <c r="J6" s="517"/>
      <c r="K6" s="515" t="s">
        <v>26</v>
      </c>
      <c r="L6" s="516"/>
      <c r="M6" s="517"/>
      <c r="N6" s="503" t="s">
        <v>4</v>
      </c>
      <c r="O6" s="503"/>
      <c r="P6" s="503" t="s">
        <v>6</v>
      </c>
      <c r="Q6" s="503"/>
    </row>
    <row r="7" spans="1:17" x14ac:dyDescent="0.25">
      <c r="A7" s="502"/>
      <c r="B7" s="208" t="s">
        <v>8</v>
      </c>
      <c r="C7" s="208" t="s">
        <v>9</v>
      </c>
      <c r="D7" s="208" t="s">
        <v>13</v>
      </c>
      <c r="E7" s="209" t="s">
        <v>8</v>
      </c>
      <c r="F7" s="209" t="s">
        <v>9</v>
      </c>
      <c r="G7" s="208" t="s">
        <v>13</v>
      </c>
      <c r="H7" s="148" t="s">
        <v>8</v>
      </c>
      <c r="I7" s="148" t="s">
        <v>9</v>
      </c>
      <c r="J7" s="148" t="s">
        <v>13</v>
      </c>
      <c r="K7" s="148" t="s">
        <v>8</v>
      </c>
      <c r="L7" s="148" t="s">
        <v>9</v>
      </c>
      <c r="M7" s="148" t="s">
        <v>13</v>
      </c>
      <c r="N7" s="208" t="s">
        <v>8</v>
      </c>
      <c r="O7" s="208" t="s">
        <v>13</v>
      </c>
      <c r="P7" s="208" t="s">
        <v>8</v>
      </c>
      <c r="Q7" s="208" t="s">
        <v>13</v>
      </c>
    </row>
    <row r="8" spans="1:17" x14ac:dyDescent="0.25">
      <c r="A8" s="149" t="s">
        <v>1</v>
      </c>
      <c r="B8" s="365"/>
      <c r="C8" s="365"/>
      <c r="D8" s="365">
        <f t="shared" ref="D8:D13" si="0">B8*C8</f>
        <v>0</v>
      </c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>
        <f>N8*C8</f>
        <v>0</v>
      </c>
      <c r="P8" s="365">
        <f t="shared" ref="P8:P13" si="1">B8+E8-H8-K8-N8</f>
        <v>0</v>
      </c>
      <c r="Q8" s="365">
        <f>P8*C8</f>
        <v>0</v>
      </c>
    </row>
    <row r="9" spans="1:17" x14ac:dyDescent="0.25">
      <c r="A9" s="151" t="s">
        <v>21</v>
      </c>
      <c r="B9" s="368"/>
      <c r="C9" s="369">
        <f>C8</f>
        <v>0</v>
      </c>
      <c r="D9" s="365">
        <f t="shared" si="0"/>
        <v>0</v>
      </c>
      <c r="E9" s="370"/>
      <c r="F9" s="370"/>
      <c r="G9" s="370">
        <f>E9*F9</f>
        <v>0</v>
      </c>
      <c r="H9" s="370"/>
      <c r="I9" s="370"/>
      <c r="J9" s="370">
        <f>H9*I9</f>
        <v>0</v>
      </c>
      <c r="K9" s="370"/>
      <c r="L9" s="370"/>
      <c r="M9" s="370">
        <f>K9*L9</f>
        <v>0</v>
      </c>
      <c r="N9" s="440"/>
      <c r="O9" s="440">
        <f>N9*C9</f>
        <v>0</v>
      </c>
      <c r="P9" s="370">
        <f t="shared" si="1"/>
        <v>0</v>
      </c>
      <c r="Q9" s="365">
        <f>P9*C9</f>
        <v>0</v>
      </c>
    </row>
    <row r="10" spans="1:17" x14ac:dyDescent="0.25">
      <c r="A10" s="151" t="s">
        <v>22</v>
      </c>
      <c r="B10" s="368"/>
      <c r="C10" s="369">
        <f t="shared" ref="C10:C12" si="2">C9</f>
        <v>0</v>
      </c>
      <c r="D10" s="370">
        <f t="shared" si="0"/>
        <v>0</v>
      </c>
      <c r="E10" s="370"/>
      <c r="F10" s="370"/>
      <c r="G10" s="370"/>
      <c r="H10" s="370"/>
      <c r="I10" s="370"/>
      <c r="J10" s="370"/>
      <c r="K10" s="370"/>
      <c r="L10" s="370"/>
      <c r="M10" s="370"/>
      <c r="N10" s="440"/>
      <c r="O10" s="370">
        <f t="shared" ref="O10:O15" si="3">N10*C10</f>
        <v>0</v>
      </c>
      <c r="P10" s="370">
        <f t="shared" si="1"/>
        <v>0</v>
      </c>
      <c r="Q10" s="370">
        <f t="shared" ref="Q10:Q14" si="4">P10*C10</f>
        <v>0</v>
      </c>
    </row>
    <row r="11" spans="1:17" x14ac:dyDescent="0.25">
      <c r="A11" s="151" t="s">
        <v>24</v>
      </c>
      <c r="B11" s="368"/>
      <c r="C11" s="369">
        <f t="shared" si="2"/>
        <v>0</v>
      </c>
      <c r="D11" s="371">
        <f t="shared" si="0"/>
        <v>0</v>
      </c>
      <c r="E11" s="371"/>
      <c r="F11" s="371"/>
      <c r="G11" s="371">
        <f>E11*F11</f>
        <v>0</v>
      </c>
      <c r="H11" s="371"/>
      <c r="I11" s="371"/>
      <c r="J11" s="371">
        <f>H11*I11</f>
        <v>0</v>
      </c>
      <c r="K11" s="371"/>
      <c r="L11" s="371"/>
      <c r="M11" s="371"/>
      <c r="N11" s="440"/>
      <c r="O11" s="370">
        <f t="shared" si="3"/>
        <v>0</v>
      </c>
      <c r="P11" s="370">
        <f t="shared" si="1"/>
        <v>0</v>
      </c>
      <c r="Q11" s="370">
        <f t="shared" si="4"/>
        <v>0</v>
      </c>
    </row>
    <row r="12" spans="1:17" x14ac:dyDescent="0.25">
      <c r="A12" s="151" t="s">
        <v>27</v>
      </c>
      <c r="B12" s="368"/>
      <c r="C12" s="369">
        <f t="shared" si="2"/>
        <v>0</v>
      </c>
      <c r="D12" s="371">
        <f t="shared" si="0"/>
        <v>0</v>
      </c>
      <c r="E12" s="371"/>
      <c r="F12" s="371"/>
      <c r="G12" s="371"/>
      <c r="H12" s="371"/>
      <c r="I12" s="371"/>
      <c r="J12" s="371">
        <f>H12*I12</f>
        <v>0</v>
      </c>
      <c r="K12" s="371"/>
      <c r="L12" s="371"/>
      <c r="M12" s="371"/>
      <c r="N12" s="440"/>
      <c r="O12" s="370">
        <f t="shared" si="3"/>
        <v>0</v>
      </c>
      <c r="P12" s="369">
        <f t="shared" si="1"/>
        <v>0</v>
      </c>
      <c r="Q12" s="370">
        <f t="shared" si="4"/>
        <v>0</v>
      </c>
    </row>
    <row r="13" spans="1:17" x14ac:dyDescent="0.25">
      <c r="A13" s="151" t="s">
        <v>51</v>
      </c>
      <c r="B13" s="374"/>
      <c r="C13" s="369"/>
      <c r="D13" s="371">
        <f t="shared" si="0"/>
        <v>0</v>
      </c>
      <c r="E13" s="371"/>
      <c r="F13" s="371"/>
      <c r="G13" s="371"/>
      <c r="H13" s="371"/>
      <c r="I13" s="371"/>
      <c r="J13" s="371">
        <f>H13*I13</f>
        <v>0</v>
      </c>
      <c r="K13" s="371"/>
      <c r="L13" s="371"/>
      <c r="M13" s="371"/>
      <c r="N13" s="371"/>
      <c r="O13" s="370">
        <f t="shared" si="3"/>
        <v>0</v>
      </c>
      <c r="P13" s="369">
        <f t="shared" si="1"/>
        <v>0</v>
      </c>
      <c r="Q13" s="370">
        <f t="shared" si="4"/>
        <v>0</v>
      </c>
    </row>
    <row r="14" spans="1:17" x14ac:dyDescent="0.25">
      <c r="A14" s="151" t="s">
        <v>52</v>
      </c>
      <c r="B14" s="371"/>
      <c r="C14" s="369"/>
      <c r="D14" s="371">
        <f t="shared" ref="D14:D18" si="5">B14*C14</f>
        <v>0</v>
      </c>
      <c r="E14" s="371"/>
      <c r="F14" s="371"/>
      <c r="G14" s="371">
        <f>E14*F14</f>
        <v>0</v>
      </c>
      <c r="H14" s="371"/>
      <c r="I14" s="371"/>
      <c r="J14" s="371"/>
      <c r="K14" s="371"/>
      <c r="L14" s="371"/>
      <c r="M14" s="371">
        <f>K14*L14</f>
        <v>0</v>
      </c>
      <c r="N14" s="371"/>
      <c r="O14" s="371">
        <f t="shared" si="3"/>
        <v>0</v>
      </c>
      <c r="P14" s="369">
        <f>B14+E14-H14-K14-N14</f>
        <v>0</v>
      </c>
      <c r="Q14" s="370">
        <f t="shared" si="4"/>
        <v>0</v>
      </c>
    </row>
    <row r="15" spans="1:17" x14ac:dyDescent="0.25">
      <c r="A15" s="151" t="s">
        <v>53</v>
      </c>
      <c r="B15" s="371"/>
      <c r="C15" s="369"/>
      <c r="D15" s="371">
        <f t="shared" si="5"/>
        <v>0</v>
      </c>
      <c r="E15" s="371"/>
      <c r="F15" s="371"/>
      <c r="G15" s="371"/>
      <c r="H15" s="371"/>
      <c r="I15" s="371"/>
      <c r="J15" s="371">
        <f>H15*I15</f>
        <v>0</v>
      </c>
      <c r="K15" s="371"/>
      <c r="L15" s="371"/>
      <c r="M15" s="371"/>
      <c r="N15" s="372"/>
      <c r="O15" s="370">
        <f t="shared" si="3"/>
        <v>0</v>
      </c>
      <c r="P15" s="369">
        <f>B15+E15-H15-K15-N15</f>
        <v>0</v>
      </c>
      <c r="Q15" s="370">
        <f>P15*C15</f>
        <v>0</v>
      </c>
    </row>
    <row r="16" spans="1:17" x14ac:dyDescent="0.25">
      <c r="A16" s="151" t="s">
        <v>54</v>
      </c>
      <c r="B16" s="371"/>
      <c r="C16" s="369"/>
      <c r="D16" s="371">
        <f t="shared" si="5"/>
        <v>0</v>
      </c>
      <c r="E16" s="371"/>
      <c r="F16" s="371"/>
      <c r="G16" s="371"/>
      <c r="H16" s="371"/>
      <c r="I16" s="371"/>
      <c r="J16" s="370"/>
      <c r="K16" s="371"/>
      <c r="L16" s="371"/>
      <c r="M16" s="371"/>
      <c r="N16" s="371"/>
      <c r="O16" s="371">
        <f>N16*C16</f>
        <v>0</v>
      </c>
      <c r="P16" s="369">
        <f>B16+E16-H16-N16</f>
        <v>0</v>
      </c>
      <c r="Q16" s="370">
        <f>P16*C16</f>
        <v>0</v>
      </c>
    </row>
    <row r="17" spans="1:17" x14ac:dyDescent="0.25">
      <c r="A17" s="151" t="s">
        <v>55</v>
      </c>
      <c r="B17" s="374"/>
      <c r="C17" s="369"/>
      <c r="D17" s="371">
        <f t="shared" si="5"/>
        <v>0</v>
      </c>
      <c r="E17" s="371"/>
      <c r="F17" s="371"/>
      <c r="G17" s="371"/>
      <c r="H17" s="371"/>
      <c r="I17" s="371"/>
      <c r="J17" s="371">
        <f>H17*I17</f>
        <v>0</v>
      </c>
      <c r="K17" s="371"/>
      <c r="L17" s="371"/>
      <c r="M17" s="371"/>
      <c r="N17" s="371"/>
      <c r="O17" s="371">
        <f>N17*C17</f>
        <v>0</v>
      </c>
      <c r="P17" s="369">
        <f t="shared" ref="P17" si="6">B17+E17-H17-N17</f>
        <v>0</v>
      </c>
      <c r="Q17" s="370">
        <f t="shared" ref="Q17" si="7">P17*C17</f>
        <v>0</v>
      </c>
    </row>
    <row r="18" spans="1:17" x14ac:dyDescent="0.25">
      <c r="A18" s="151" t="s">
        <v>64</v>
      </c>
      <c r="B18" s="390"/>
      <c r="C18" s="409"/>
      <c r="D18" s="371">
        <f t="shared" si="5"/>
        <v>0</v>
      </c>
      <c r="E18" s="371"/>
      <c r="F18" s="371"/>
      <c r="G18" s="371">
        <f>E18*F18</f>
        <v>0</v>
      </c>
      <c r="H18" s="371"/>
      <c r="I18" s="371"/>
      <c r="J18" s="371">
        <f>H18*I18</f>
        <v>0</v>
      </c>
      <c r="K18" s="371"/>
      <c r="L18" s="371"/>
      <c r="M18" s="371"/>
      <c r="N18" s="371"/>
      <c r="O18" s="370">
        <f>N18*C18</f>
        <v>0</v>
      </c>
      <c r="P18" s="369">
        <f>B18+E18-H18-K18-N18</f>
        <v>0</v>
      </c>
      <c r="Q18" s="370">
        <f>P18*C18</f>
        <v>0</v>
      </c>
    </row>
    <row r="19" spans="1:17" x14ac:dyDescent="0.25">
      <c r="A19" s="337" t="s">
        <v>96</v>
      </c>
      <c r="B19" s="408"/>
      <c r="C19" s="410"/>
      <c r="D19" s="411">
        <f>B19*C19</f>
        <v>0</v>
      </c>
      <c r="E19" s="371"/>
      <c r="F19" s="371"/>
      <c r="G19" s="371"/>
      <c r="H19" s="411"/>
      <c r="I19" s="411"/>
      <c r="J19" s="411"/>
      <c r="K19" s="371"/>
      <c r="L19" s="371"/>
      <c r="M19" s="371"/>
      <c r="N19" s="372"/>
      <c r="O19" s="440">
        <f>N19*C19</f>
        <v>0</v>
      </c>
      <c r="P19" s="369">
        <f>B19+H19-N19</f>
        <v>0</v>
      </c>
      <c r="Q19" s="370">
        <f>P19*C19</f>
        <v>0</v>
      </c>
    </row>
    <row r="20" spans="1:17" x14ac:dyDescent="0.25">
      <c r="A20" s="518" t="s">
        <v>66</v>
      </c>
      <c r="B20" s="519"/>
      <c r="C20" s="519"/>
      <c r="D20" s="519"/>
      <c r="E20" s="219">
        <f t="shared" ref="E20:Q20" si="8">SUM(E8:E18)</f>
        <v>0</v>
      </c>
      <c r="F20" s="219">
        <f t="shared" si="8"/>
        <v>0</v>
      </c>
      <c r="G20" s="219">
        <f t="shared" si="8"/>
        <v>0</v>
      </c>
      <c r="H20" s="219">
        <f t="shared" si="8"/>
        <v>0</v>
      </c>
      <c r="I20" s="219">
        <f t="shared" si="8"/>
        <v>0</v>
      </c>
      <c r="J20" s="219">
        <f t="shared" si="8"/>
        <v>0</v>
      </c>
      <c r="K20" s="219">
        <f t="shared" si="8"/>
        <v>0</v>
      </c>
      <c r="L20" s="219">
        <f t="shared" si="8"/>
        <v>0</v>
      </c>
      <c r="M20" s="219">
        <f t="shared" si="8"/>
        <v>0</v>
      </c>
      <c r="N20" s="219">
        <f>SUM(N8:N19)</f>
        <v>0</v>
      </c>
      <c r="O20" s="219">
        <f>SUM(O8:O19)</f>
        <v>0</v>
      </c>
      <c r="P20" s="219">
        <f t="shared" si="8"/>
        <v>0</v>
      </c>
      <c r="Q20" s="219">
        <f t="shared" si="8"/>
        <v>0</v>
      </c>
    </row>
  </sheetData>
  <mergeCells count="9">
    <mergeCell ref="A20:D20"/>
    <mergeCell ref="A4:Q4"/>
    <mergeCell ref="A6:A7"/>
    <mergeCell ref="B6:D6"/>
    <mergeCell ref="E6:G6"/>
    <mergeCell ref="H6:J6"/>
    <mergeCell ref="K6:M6"/>
    <mergeCell ref="N6:O6"/>
    <mergeCell ref="P6:Q6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358"/>
  <sheetViews>
    <sheetView topLeftCell="A328" zoomScale="130" zoomScaleNormal="130" zoomScaleSheetLayoutView="100" zoomScalePageLayoutView="91" workbookViewId="0">
      <selection activeCell="F70" sqref="F70"/>
    </sheetView>
  </sheetViews>
  <sheetFormatPr defaultRowHeight="15" x14ac:dyDescent="0.25"/>
  <cols>
    <col min="1" max="1" width="8.5703125" customWidth="1"/>
    <col min="2" max="2" width="7.42578125" customWidth="1"/>
    <col min="3" max="3" width="9.85546875" bestFit="1" customWidth="1"/>
    <col min="4" max="4" width="14.140625" customWidth="1"/>
    <col min="5" max="5" width="7.140625" customWidth="1"/>
    <col min="6" max="6" width="9.5703125" bestFit="1" customWidth="1"/>
    <col min="7" max="7" width="13.5703125" customWidth="1"/>
    <col min="8" max="8" width="8.42578125" customWidth="1"/>
    <col min="9" max="9" width="13.42578125" customWidth="1"/>
    <col min="10" max="10" width="14.28515625" customWidth="1"/>
    <col min="11" max="11" width="11.85546875" customWidth="1"/>
    <col min="12" max="12" width="6" customWidth="1"/>
    <col min="13" max="13" width="10.42578125" customWidth="1"/>
    <col min="14" max="14" width="6.5703125" customWidth="1"/>
    <col min="15" max="15" width="11.42578125" customWidth="1"/>
    <col min="16" max="16" width="7.140625" customWidth="1"/>
    <col min="17" max="17" width="12.5703125" customWidth="1"/>
  </cols>
  <sheetData>
    <row r="1" spans="1:17" ht="21" x14ac:dyDescent="0.35">
      <c r="A1" s="54" t="s">
        <v>114</v>
      </c>
    </row>
    <row r="3" spans="1:17" x14ac:dyDescent="0.25">
      <c r="A3" s="504" t="s">
        <v>40</v>
      </c>
      <c r="B3" s="504"/>
      <c r="C3" s="504"/>
      <c r="D3" s="504"/>
      <c r="E3" s="504"/>
      <c r="F3" s="504"/>
      <c r="G3" s="504"/>
      <c r="H3" s="504"/>
      <c r="I3" s="504"/>
      <c r="J3" s="504"/>
      <c r="K3" s="504"/>
      <c r="L3" s="504"/>
      <c r="M3" s="504"/>
      <c r="N3" s="504"/>
      <c r="O3" s="504"/>
      <c r="P3" s="504"/>
      <c r="Q3" s="504"/>
    </row>
    <row r="4" spans="1:17" x14ac:dyDescent="0.25">
      <c r="A4" s="505" t="s">
        <v>0</v>
      </c>
      <c r="B4" s="505" t="s">
        <v>7</v>
      </c>
      <c r="C4" s="505"/>
      <c r="D4" s="505"/>
      <c r="E4" s="505" t="s">
        <v>5</v>
      </c>
      <c r="F4" s="505"/>
      <c r="G4" s="505"/>
      <c r="H4" s="508" t="s">
        <v>25</v>
      </c>
      <c r="I4" s="509"/>
      <c r="J4" s="510"/>
      <c r="K4" s="508" t="s">
        <v>26</v>
      </c>
      <c r="L4" s="509"/>
      <c r="M4" s="510"/>
      <c r="N4" s="505" t="s">
        <v>4</v>
      </c>
      <c r="O4" s="505"/>
      <c r="P4" s="505" t="s">
        <v>6</v>
      </c>
      <c r="Q4" s="505"/>
    </row>
    <row r="5" spans="1:17" x14ac:dyDescent="0.25">
      <c r="A5" s="505"/>
      <c r="B5" s="164" t="s">
        <v>8</v>
      </c>
      <c r="C5" s="164" t="s">
        <v>14</v>
      </c>
      <c r="D5" s="164" t="s">
        <v>13</v>
      </c>
      <c r="E5" s="164" t="s">
        <v>8</v>
      </c>
      <c r="F5" s="164" t="s">
        <v>14</v>
      </c>
      <c r="G5" s="164" t="s">
        <v>10</v>
      </c>
      <c r="H5" s="164" t="s">
        <v>8</v>
      </c>
      <c r="I5" s="164" t="s">
        <v>9</v>
      </c>
      <c r="J5" s="164" t="s">
        <v>13</v>
      </c>
      <c r="K5" s="164" t="s">
        <v>8</v>
      </c>
      <c r="L5" s="164" t="s">
        <v>9</v>
      </c>
      <c r="M5" s="164" t="s">
        <v>13</v>
      </c>
      <c r="N5" s="164" t="s">
        <v>8</v>
      </c>
      <c r="O5" s="164" t="s">
        <v>13</v>
      </c>
      <c r="P5" s="164" t="s">
        <v>8</v>
      </c>
      <c r="Q5" s="164" t="s">
        <v>13</v>
      </c>
    </row>
    <row r="6" spans="1:17" x14ac:dyDescent="0.25">
      <c r="A6" s="165"/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</row>
    <row r="7" spans="1:17" x14ac:dyDescent="0.25">
      <c r="A7" s="167" t="s">
        <v>1</v>
      </c>
      <c r="B7" s="168">
        <f>'TAWAS BENAR'!B7</f>
        <v>0</v>
      </c>
      <c r="C7" s="168">
        <f>'TAWAS BENAR'!C7</f>
        <v>0</v>
      </c>
      <c r="D7" s="168">
        <f>'TAWAS BENAR'!D7</f>
        <v>0</v>
      </c>
      <c r="E7" s="168">
        <f>'TAWAS BENAR'!E7</f>
        <v>0</v>
      </c>
      <c r="F7" s="168">
        <f>'TAWAS BENAR'!F7</f>
        <v>0</v>
      </c>
      <c r="G7" s="168">
        <f>'TAWAS BENAR'!G7</f>
        <v>0</v>
      </c>
      <c r="H7" s="168">
        <f>'TAWAS BENAR'!H7</f>
        <v>0</v>
      </c>
      <c r="I7" s="168">
        <f>'TAWAS BENAR'!I7</f>
        <v>0</v>
      </c>
      <c r="J7" s="168">
        <f>'TAWAS BENAR'!J7</f>
        <v>0</v>
      </c>
      <c r="K7" s="168">
        <f>'TAWAS BENAR'!K7</f>
        <v>0</v>
      </c>
      <c r="L7" s="168">
        <f>'TAWAS BENAR'!L7</f>
        <v>0</v>
      </c>
      <c r="M7" s="168">
        <f>'TAWAS BENAR'!M7</f>
        <v>0</v>
      </c>
      <c r="N7" s="168">
        <f>'TAWAS BENAR'!N7</f>
        <v>0</v>
      </c>
      <c r="O7" s="168">
        <f>'TAWAS BENAR'!O7</f>
        <v>0</v>
      </c>
      <c r="P7" s="168">
        <f>'TAWAS BENAR'!P7</f>
        <v>0</v>
      </c>
      <c r="Q7" s="168">
        <f>'TAWAS BENAR'!Q7</f>
        <v>0</v>
      </c>
    </row>
    <row r="8" spans="1:17" x14ac:dyDescent="0.25">
      <c r="A8" s="167"/>
      <c r="B8" s="168">
        <f>'TAWAS BENAR'!B8</f>
        <v>0</v>
      </c>
      <c r="C8" s="168">
        <f>'TAWAS BENAR'!C8</f>
        <v>0</v>
      </c>
      <c r="D8" s="168">
        <f>'TAWAS BENAR'!D8</f>
        <v>0</v>
      </c>
      <c r="E8" s="168">
        <f>'TAWAS BENAR'!E8</f>
        <v>0</v>
      </c>
      <c r="F8" s="168">
        <f>'TAWAS BENAR'!F8</f>
        <v>0</v>
      </c>
      <c r="G8" s="168">
        <f>'TAWAS BENAR'!G8</f>
        <v>0</v>
      </c>
      <c r="H8" s="168">
        <f>'TAWAS BENAR'!H8</f>
        <v>0</v>
      </c>
      <c r="I8" s="168">
        <f>'TAWAS BENAR'!I8</f>
        <v>0</v>
      </c>
      <c r="J8" s="168">
        <f>'TAWAS BENAR'!J8</f>
        <v>0</v>
      </c>
      <c r="K8" s="168">
        <f>'TAWAS BENAR'!K8</f>
        <v>0</v>
      </c>
      <c r="L8" s="168">
        <f>'TAWAS BENAR'!L8</f>
        <v>0</v>
      </c>
      <c r="M8" s="168">
        <f>'TAWAS BENAR'!M8</f>
        <v>0</v>
      </c>
      <c r="N8" s="168">
        <f>'TAWAS BENAR'!N8</f>
        <v>0</v>
      </c>
      <c r="O8" s="168">
        <f>'TAWAS BENAR'!O8</f>
        <v>0</v>
      </c>
      <c r="P8" s="168">
        <f>'TAWAS BENAR'!P8</f>
        <v>0</v>
      </c>
      <c r="Q8" s="168">
        <f>'TAWAS BENAR'!Q8</f>
        <v>0</v>
      </c>
    </row>
    <row r="9" spans="1:17" x14ac:dyDescent="0.25">
      <c r="A9" s="167"/>
      <c r="B9" s="294">
        <f>'TAWAS BENAR'!B9</f>
        <v>0</v>
      </c>
      <c r="C9" s="294">
        <f>'TAWAS BENAR'!C9</f>
        <v>0</v>
      </c>
      <c r="D9" s="294">
        <f>'TAWAS BENAR'!D9</f>
        <v>0</v>
      </c>
      <c r="E9" s="168">
        <f>'TAWAS BENAR'!E9</f>
        <v>0</v>
      </c>
      <c r="F9" s="168">
        <f>'TAWAS BENAR'!F9</f>
        <v>0</v>
      </c>
      <c r="G9" s="168">
        <f>'TAWAS BENAR'!G9</f>
        <v>0</v>
      </c>
      <c r="H9" s="168">
        <f>'TAWAS BENAR'!H9</f>
        <v>0</v>
      </c>
      <c r="I9" s="168">
        <f>'TAWAS BENAR'!I9</f>
        <v>0</v>
      </c>
      <c r="J9" s="168">
        <f>'TAWAS BENAR'!J9</f>
        <v>0</v>
      </c>
      <c r="K9" s="168">
        <f>'TAWAS BENAR'!K9</f>
        <v>0</v>
      </c>
      <c r="L9" s="168">
        <f>'TAWAS BENAR'!L9</f>
        <v>0</v>
      </c>
      <c r="M9" s="168">
        <f>'TAWAS BENAR'!M9</f>
        <v>0</v>
      </c>
      <c r="N9" s="168">
        <f>'TAWAS BENAR'!N9</f>
        <v>0</v>
      </c>
      <c r="O9" s="168">
        <f>'TAWAS BENAR'!O9</f>
        <v>0</v>
      </c>
      <c r="P9" s="294">
        <f>'TAWAS BENAR'!P9</f>
        <v>0</v>
      </c>
      <c r="Q9" s="294">
        <f>'TAWAS BENAR'!Q9</f>
        <v>0</v>
      </c>
    </row>
    <row r="10" spans="1:17" x14ac:dyDescent="0.25">
      <c r="A10" s="222"/>
      <c r="B10" s="223"/>
      <c r="C10" s="224"/>
      <c r="D10" s="224"/>
      <c r="E10" s="225"/>
      <c r="F10" s="224"/>
      <c r="G10" s="224"/>
      <c r="H10" s="224"/>
      <c r="I10" s="224"/>
      <c r="J10" s="224"/>
      <c r="K10" s="224"/>
      <c r="L10" s="224"/>
      <c r="M10" s="224"/>
      <c r="N10" s="225"/>
      <c r="O10" s="224">
        <f>N10*C10</f>
        <v>0</v>
      </c>
      <c r="P10" s="226"/>
      <c r="Q10" s="224"/>
    </row>
    <row r="11" spans="1:17" x14ac:dyDescent="0.25">
      <c r="A11" s="163"/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</row>
    <row r="12" spans="1:17" x14ac:dyDescent="0.25">
      <c r="A12" s="163"/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</row>
    <row r="13" spans="1:17" x14ac:dyDescent="0.25">
      <c r="A13" s="504" t="s">
        <v>41</v>
      </c>
      <c r="B13" s="504"/>
      <c r="C13" s="504"/>
      <c r="D13" s="504"/>
      <c r="E13" s="504"/>
      <c r="F13" s="504"/>
      <c r="G13" s="504"/>
      <c r="H13" s="504"/>
      <c r="I13" s="504"/>
      <c r="J13" s="504"/>
      <c r="K13" s="504"/>
      <c r="L13" s="163"/>
      <c r="M13" s="163"/>
      <c r="N13" s="163"/>
      <c r="O13" s="163"/>
      <c r="P13" s="163"/>
      <c r="Q13" s="163"/>
    </row>
    <row r="14" spans="1:17" x14ac:dyDescent="0.25">
      <c r="A14" s="505" t="s">
        <v>0</v>
      </c>
      <c r="B14" s="505" t="s">
        <v>7</v>
      </c>
      <c r="C14" s="505"/>
      <c r="D14" s="505"/>
      <c r="E14" s="505" t="s">
        <v>5</v>
      </c>
      <c r="F14" s="505"/>
      <c r="G14" s="505"/>
      <c r="H14" s="505" t="s">
        <v>4</v>
      </c>
      <c r="I14" s="505"/>
      <c r="J14" s="505" t="s">
        <v>6</v>
      </c>
      <c r="K14" s="505"/>
      <c r="L14" s="163"/>
      <c r="M14" s="163"/>
      <c r="N14" s="163"/>
      <c r="O14" s="163"/>
      <c r="P14" s="163"/>
      <c r="Q14" s="163"/>
    </row>
    <row r="15" spans="1:17" x14ac:dyDescent="0.25">
      <c r="A15" s="505"/>
      <c r="B15" s="164" t="s">
        <v>8</v>
      </c>
      <c r="C15" s="164" t="s">
        <v>14</v>
      </c>
      <c r="D15" s="164" t="s">
        <v>13</v>
      </c>
      <c r="E15" s="164" t="s">
        <v>8</v>
      </c>
      <c r="F15" s="164" t="s">
        <v>14</v>
      </c>
      <c r="G15" s="164" t="s">
        <v>10</v>
      </c>
      <c r="H15" s="164" t="s">
        <v>8</v>
      </c>
      <c r="I15" s="164" t="s">
        <v>13</v>
      </c>
      <c r="J15" s="164" t="s">
        <v>8</v>
      </c>
      <c r="K15" s="164" t="s">
        <v>13</v>
      </c>
      <c r="L15" s="163"/>
      <c r="M15" s="163"/>
      <c r="N15" s="163"/>
      <c r="O15" s="163"/>
      <c r="P15" s="163"/>
      <c r="Q15" s="163"/>
    </row>
    <row r="16" spans="1:17" x14ac:dyDescent="0.25">
      <c r="A16" s="165"/>
      <c r="B16" s="166"/>
      <c r="C16" s="166"/>
      <c r="D16" s="166"/>
      <c r="E16" s="166"/>
      <c r="F16" s="166"/>
      <c r="G16" s="166"/>
      <c r="H16" s="166"/>
      <c r="I16" s="166"/>
      <c r="J16" s="166"/>
      <c r="K16" s="166"/>
      <c r="L16" s="163"/>
      <c r="M16" s="163"/>
      <c r="N16" s="163"/>
      <c r="O16" s="163"/>
      <c r="P16" s="163"/>
      <c r="Q16" s="163"/>
    </row>
    <row r="17" spans="1:17" x14ac:dyDescent="0.25">
      <c r="A17" s="167" t="s">
        <v>1</v>
      </c>
      <c r="B17" s="168">
        <f>'Tawas K. B'!B7</f>
        <v>0</v>
      </c>
      <c r="C17" s="168">
        <f>'Tawas K. B'!C7</f>
        <v>0</v>
      </c>
      <c r="D17" s="168">
        <f>'Tawas K. B'!D7</f>
        <v>0</v>
      </c>
      <c r="E17" s="168">
        <f>'Tawas K. B'!E7</f>
        <v>0</v>
      </c>
      <c r="F17" s="168">
        <f>'Tawas K. B'!F7</f>
        <v>0</v>
      </c>
      <c r="G17" s="168">
        <f>'Tawas K. B'!G7</f>
        <v>0</v>
      </c>
      <c r="H17" s="168">
        <f>'Tawas K. B'!H7</f>
        <v>0</v>
      </c>
      <c r="I17" s="168">
        <f>'Tawas K. B'!I7</f>
        <v>0</v>
      </c>
      <c r="J17" s="168">
        <f>'Tawas K. B'!J7</f>
        <v>0</v>
      </c>
      <c r="K17" s="168">
        <f>'Tawas K. B'!K7</f>
        <v>0</v>
      </c>
      <c r="L17" s="163"/>
      <c r="M17" s="163"/>
      <c r="N17" s="163"/>
      <c r="O17" s="163"/>
      <c r="P17" s="163"/>
      <c r="Q17" s="163"/>
    </row>
    <row r="18" spans="1:17" x14ac:dyDescent="0.25">
      <c r="A18" s="222"/>
      <c r="B18" s="252"/>
      <c r="C18" s="252"/>
      <c r="D18" s="253"/>
      <c r="E18" s="254"/>
      <c r="F18" s="253"/>
      <c r="G18" s="253"/>
      <c r="H18" s="252"/>
      <c r="I18" s="224"/>
      <c r="J18" s="226"/>
      <c r="K18" s="224"/>
      <c r="L18" s="163"/>
      <c r="M18" s="163"/>
      <c r="N18" s="163"/>
      <c r="O18" s="163"/>
      <c r="P18" s="163"/>
      <c r="Q18" s="163"/>
    </row>
    <row r="19" spans="1:17" x14ac:dyDescent="0.25">
      <c r="A19" s="163"/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</row>
    <row r="20" spans="1:17" x14ac:dyDescent="0.25">
      <c r="A20" s="163"/>
      <c r="B20" s="163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</row>
    <row r="21" spans="1:17" x14ac:dyDescent="0.25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</row>
    <row r="22" spans="1:17" x14ac:dyDescent="0.25">
      <c r="A22" s="504" t="s">
        <v>42</v>
      </c>
      <c r="B22" s="504"/>
      <c r="C22" s="504"/>
      <c r="D22" s="504"/>
      <c r="E22" s="504"/>
      <c r="F22" s="504"/>
      <c r="G22" s="504"/>
      <c r="H22" s="504"/>
      <c r="I22" s="504"/>
      <c r="J22" s="504"/>
      <c r="K22" s="504"/>
      <c r="L22" s="163"/>
      <c r="M22" s="163"/>
      <c r="N22" s="163"/>
      <c r="O22" s="163"/>
      <c r="P22" s="163"/>
      <c r="Q22" s="163"/>
    </row>
    <row r="23" spans="1:17" x14ac:dyDescent="0.25">
      <c r="A23" s="505" t="s">
        <v>0</v>
      </c>
      <c r="B23" s="505" t="s">
        <v>7</v>
      </c>
      <c r="C23" s="505"/>
      <c r="D23" s="505"/>
      <c r="E23" s="505" t="s">
        <v>5</v>
      </c>
      <c r="F23" s="505"/>
      <c r="G23" s="505"/>
      <c r="H23" s="505" t="s">
        <v>4</v>
      </c>
      <c r="I23" s="505"/>
      <c r="J23" s="505" t="s">
        <v>6</v>
      </c>
      <c r="K23" s="505"/>
      <c r="L23" s="163"/>
      <c r="M23" s="163"/>
      <c r="N23" s="163"/>
      <c r="O23" s="163"/>
      <c r="P23" s="163"/>
      <c r="Q23" s="163"/>
    </row>
    <row r="24" spans="1:17" x14ac:dyDescent="0.25">
      <c r="A24" s="505"/>
      <c r="B24" s="164" t="s">
        <v>8</v>
      </c>
      <c r="C24" s="164" t="s">
        <v>14</v>
      </c>
      <c r="D24" s="164" t="s">
        <v>13</v>
      </c>
      <c r="E24" s="164" t="s">
        <v>8</v>
      </c>
      <c r="F24" s="164" t="s">
        <v>14</v>
      </c>
      <c r="G24" s="164" t="s">
        <v>10</v>
      </c>
      <c r="H24" s="164" t="s">
        <v>8</v>
      </c>
      <c r="I24" s="164" t="s">
        <v>13</v>
      </c>
      <c r="J24" s="164" t="s">
        <v>8</v>
      </c>
      <c r="K24" s="164" t="s">
        <v>13</v>
      </c>
      <c r="L24" s="163"/>
      <c r="M24" s="163"/>
      <c r="N24" s="163"/>
      <c r="O24" s="163"/>
      <c r="P24" s="163"/>
      <c r="Q24" s="163"/>
    </row>
    <row r="25" spans="1:17" x14ac:dyDescent="0.25">
      <c r="A25" s="165"/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3"/>
      <c r="M25" s="163"/>
      <c r="N25" s="163"/>
      <c r="O25" s="163"/>
      <c r="P25" s="163"/>
      <c r="Q25" s="163"/>
    </row>
    <row r="26" spans="1:17" x14ac:dyDescent="0.25">
      <c r="A26" s="167" t="s">
        <v>1</v>
      </c>
      <c r="B26" s="168">
        <f>'Tawas Hanau'!B7</f>
        <v>0</v>
      </c>
      <c r="C26" s="168">
        <f>'Tawas Hanau'!C7</f>
        <v>0</v>
      </c>
      <c r="D26" s="168">
        <f>'Tawas Hanau'!D7</f>
        <v>0</v>
      </c>
      <c r="E26" s="168">
        <f>'Tawas Hanau'!E7</f>
        <v>0</v>
      </c>
      <c r="F26" s="168">
        <f>'Tawas Hanau'!F7</f>
        <v>0</v>
      </c>
      <c r="G26" s="168">
        <f>'Tawas Hanau'!G7</f>
        <v>0</v>
      </c>
      <c r="H26" s="168">
        <f>'Tawas Hanau'!H7</f>
        <v>0</v>
      </c>
      <c r="I26" s="168">
        <f>'Tawas Hanau'!I7</f>
        <v>0</v>
      </c>
      <c r="J26" s="168">
        <f>'Tawas Hanau'!J7</f>
        <v>0</v>
      </c>
      <c r="K26" s="168">
        <f>'Tawas Hanau'!K7</f>
        <v>0</v>
      </c>
      <c r="L26" s="163"/>
      <c r="M26" s="163"/>
      <c r="N26" s="163"/>
      <c r="O26" s="163"/>
      <c r="P26" s="163"/>
      <c r="Q26" s="163"/>
    </row>
    <row r="27" spans="1:17" x14ac:dyDescent="0.25">
      <c r="A27" s="222"/>
      <c r="B27" s="252"/>
      <c r="C27" s="252"/>
      <c r="D27" s="253"/>
      <c r="E27" s="254"/>
      <c r="F27" s="253"/>
      <c r="G27" s="253"/>
      <c r="H27" s="252"/>
      <c r="I27" s="224"/>
      <c r="J27" s="226"/>
      <c r="K27" s="224"/>
      <c r="L27" s="163"/>
      <c r="M27" s="163"/>
      <c r="N27" s="163"/>
      <c r="O27" s="163"/>
      <c r="P27" s="163"/>
      <c r="Q27" s="163"/>
    </row>
    <row r="31" spans="1:17" ht="21" x14ac:dyDescent="0.35">
      <c r="A31" s="54" t="s">
        <v>115</v>
      </c>
    </row>
    <row r="32" spans="1:17" x14ac:dyDescent="0.25">
      <c r="A32" s="504" t="s">
        <v>40</v>
      </c>
      <c r="B32" s="504"/>
      <c r="C32" s="504"/>
      <c r="D32" s="504"/>
      <c r="E32" s="504"/>
      <c r="F32" s="504"/>
      <c r="G32" s="504"/>
      <c r="H32" s="504"/>
      <c r="I32" s="504"/>
      <c r="J32" s="504"/>
      <c r="K32" s="504"/>
      <c r="L32" s="504"/>
      <c r="M32" s="504"/>
      <c r="N32" s="504"/>
      <c r="O32" s="504"/>
      <c r="P32" s="504"/>
      <c r="Q32" s="504"/>
    </row>
    <row r="33" spans="1:17" x14ac:dyDescent="0.25">
      <c r="A33" s="505" t="s">
        <v>0</v>
      </c>
      <c r="B33" s="505" t="s">
        <v>7</v>
      </c>
      <c r="C33" s="505"/>
      <c r="D33" s="505"/>
      <c r="E33" s="505" t="s">
        <v>5</v>
      </c>
      <c r="F33" s="505"/>
      <c r="G33" s="505"/>
      <c r="H33" s="508" t="s">
        <v>25</v>
      </c>
      <c r="I33" s="509"/>
      <c r="J33" s="510"/>
      <c r="K33" s="508" t="s">
        <v>26</v>
      </c>
      <c r="L33" s="509"/>
      <c r="M33" s="510"/>
      <c r="N33" s="505" t="s">
        <v>4</v>
      </c>
      <c r="O33" s="505"/>
      <c r="P33" s="505" t="s">
        <v>6</v>
      </c>
      <c r="Q33" s="505"/>
    </row>
    <row r="34" spans="1:17" x14ac:dyDescent="0.25">
      <c r="A34" s="505"/>
      <c r="B34" s="164" t="s">
        <v>8</v>
      </c>
      <c r="C34" s="164" t="s">
        <v>14</v>
      </c>
      <c r="D34" s="164" t="s">
        <v>13</v>
      </c>
      <c r="E34" s="164" t="s">
        <v>8</v>
      </c>
      <c r="F34" s="164" t="s">
        <v>14</v>
      </c>
      <c r="G34" s="164" t="s">
        <v>10</v>
      </c>
      <c r="H34" s="164" t="s">
        <v>8</v>
      </c>
      <c r="I34" s="164" t="s">
        <v>9</v>
      </c>
      <c r="J34" s="164" t="s">
        <v>13</v>
      </c>
      <c r="K34" s="164" t="s">
        <v>8</v>
      </c>
      <c r="L34" s="164" t="s">
        <v>9</v>
      </c>
      <c r="M34" s="164" t="s">
        <v>13</v>
      </c>
      <c r="N34" s="164" t="s">
        <v>8</v>
      </c>
      <c r="O34" s="164" t="s">
        <v>13</v>
      </c>
      <c r="P34" s="164" t="s">
        <v>8</v>
      </c>
      <c r="Q34" s="164" t="s">
        <v>13</v>
      </c>
    </row>
    <row r="35" spans="1:17" x14ac:dyDescent="0.25">
      <c r="A35" s="165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</row>
    <row r="36" spans="1:17" x14ac:dyDescent="0.25">
      <c r="A36" s="167" t="s">
        <v>21</v>
      </c>
      <c r="B36" s="168">
        <f>'TAWAS BENAR'!B11</f>
        <v>0</v>
      </c>
      <c r="C36" s="168">
        <f>'TAWAS BENAR'!C11</f>
        <v>0</v>
      </c>
      <c r="D36" s="168">
        <f>'TAWAS BENAR'!D11</f>
        <v>0</v>
      </c>
      <c r="E36" s="168">
        <f>'TAWAS BENAR'!E11</f>
        <v>0</v>
      </c>
      <c r="F36" s="168">
        <f>'TAWAS BENAR'!F11</f>
        <v>0</v>
      </c>
      <c r="G36" s="168">
        <f>'TAWAS BENAR'!G11</f>
        <v>0</v>
      </c>
      <c r="H36" s="168">
        <f>'TAWAS BENAR'!H11</f>
        <v>0</v>
      </c>
      <c r="I36" s="168">
        <f>'TAWAS BENAR'!I11</f>
        <v>0</v>
      </c>
      <c r="J36" s="168">
        <f>'TAWAS BENAR'!J11</f>
        <v>0</v>
      </c>
      <c r="K36" s="168">
        <f>'TAWAS BENAR'!K11</f>
        <v>0</v>
      </c>
      <c r="L36" s="168">
        <f>'TAWAS BENAR'!L11</f>
        <v>0</v>
      </c>
      <c r="M36" s="168">
        <f>'TAWAS BENAR'!M11</f>
        <v>0</v>
      </c>
      <c r="N36" s="168">
        <f>'TAWAS BENAR'!N11</f>
        <v>0</v>
      </c>
      <c r="O36" s="168">
        <f>'TAWAS BENAR'!O11</f>
        <v>0</v>
      </c>
      <c r="P36" s="168">
        <f>'TAWAS BENAR'!P11</f>
        <v>0</v>
      </c>
      <c r="Q36" s="168">
        <f>'TAWAS BENAR'!Q11</f>
        <v>0</v>
      </c>
    </row>
    <row r="37" spans="1:17" x14ac:dyDescent="0.25">
      <c r="A37" s="167"/>
      <c r="B37" s="168">
        <f>'TAWAS BENAR'!B12</f>
        <v>0</v>
      </c>
      <c r="C37" s="168">
        <f>'TAWAS BENAR'!C12</f>
        <v>0</v>
      </c>
      <c r="D37" s="168">
        <f>'TAWAS BENAR'!D12</f>
        <v>0</v>
      </c>
      <c r="E37" s="168">
        <f>'TAWAS BENAR'!E12</f>
        <v>0</v>
      </c>
      <c r="F37" s="168">
        <f>'TAWAS BENAR'!F12</f>
        <v>0</v>
      </c>
      <c r="G37" s="168">
        <f>'TAWAS BENAR'!G12</f>
        <v>0</v>
      </c>
      <c r="H37" s="168">
        <f>'TAWAS BENAR'!H12</f>
        <v>0</v>
      </c>
      <c r="I37" s="168">
        <f>'TAWAS BENAR'!I12</f>
        <v>0</v>
      </c>
      <c r="J37" s="168">
        <f>'TAWAS BENAR'!J12</f>
        <v>0</v>
      </c>
      <c r="K37" s="168">
        <f>'TAWAS BENAR'!K12</f>
        <v>0</v>
      </c>
      <c r="L37" s="168">
        <f>'TAWAS BENAR'!L12</f>
        <v>0</v>
      </c>
      <c r="M37" s="168">
        <f>'TAWAS BENAR'!M12</f>
        <v>0</v>
      </c>
      <c r="N37" s="168">
        <f>'TAWAS BENAR'!N12</f>
        <v>0</v>
      </c>
      <c r="O37" s="168">
        <f>'TAWAS BENAR'!O12</f>
        <v>0</v>
      </c>
      <c r="P37" s="168">
        <f>'TAWAS BENAR'!P12</f>
        <v>0</v>
      </c>
      <c r="Q37" s="168">
        <f>'TAWAS BENAR'!Q12</f>
        <v>0</v>
      </c>
    </row>
    <row r="38" spans="1:17" x14ac:dyDescent="0.25">
      <c r="A38" s="167"/>
      <c r="B38" s="294">
        <f>'TAWAS BENAR'!B13</f>
        <v>0</v>
      </c>
      <c r="C38" s="294">
        <f>'TAWAS BENAR'!C13</f>
        <v>0</v>
      </c>
      <c r="D38" s="294">
        <f>'TAWAS BENAR'!D13</f>
        <v>0</v>
      </c>
      <c r="E38" s="168">
        <f>'TAWAS BENAR'!E13</f>
        <v>0</v>
      </c>
      <c r="F38" s="168">
        <f>'TAWAS BENAR'!F13</f>
        <v>0</v>
      </c>
      <c r="G38" s="168">
        <f>'TAWAS BENAR'!G13</f>
        <v>0</v>
      </c>
      <c r="H38" s="294">
        <f>'TAWAS BENAR'!H13</f>
        <v>0</v>
      </c>
      <c r="I38" s="294">
        <f>'TAWAS BENAR'!I13</f>
        <v>0</v>
      </c>
      <c r="J38" s="294">
        <f>'TAWAS BENAR'!J13</f>
        <v>0</v>
      </c>
      <c r="K38" s="168">
        <f>'TAWAS BENAR'!K13</f>
        <v>0</v>
      </c>
      <c r="L38" s="168">
        <f>'TAWAS BENAR'!L13</f>
        <v>0</v>
      </c>
      <c r="M38" s="168">
        <f>'TAWAS BENAR'!M13</f>
        <v>0</v>
      </c>
      <c r="N38" s="168">
        <f>'TAWAS BENAR'!N13</f>
        <v>0</v>
      </c>
      <c r="O38" s="168">
        <f>'TAWAS BENAR'!O13</f>
        <v>0</v>
      </c>
      <c r="P38" s="294">
        <f>'TAWAS BENAR'!P13</f>
        <v>0</v>
      </c>
      <c r="Q38" s="294">
        <f>'TAWAS BENAR'!Q13</f>
        <v>0</v>
      </c>
    </row>
    <row r="39" spans="1:17" x14ac:dyDescent="0.25">
      <c r="A39" s="222"/>
      <c r="B39" s="223"/>
      <c r="C39" s="224"/>
      <c r="D39" s="224"/>
      <c r="E39" s="225"/>
      <c r="F39" s="224"/>
      <c r="G39" s="224"/>
      <c r="H39" s="224"/>
      <c r="I39" s="224"/>
      <c r="J39" s="224"/>
      <c r="K39" s="224"/>
      <c r="L39" s="224"/>
      <c r="M39" s="224"/>
      <c r="N39" s="225"/>
      <c r="O39" s="224"/>
      <c r="P39" s="226"/>
      <c r="Q39" s="224"/>
    </row>
    <row r="40" spans="1:17" x14ac:dyDescent="0.25">
      <c r="A40" s="163"/>
      <c r="B40" s="163"/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</row>
    <row r="41" spans="1:17" x14ac:dyDescent="0.25">
      <c r="A41" s="163"/>
      <c r="B41" s="163"/>
      <c r="C41" s="163" t="s">
        <v>39</v>
      </c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</row>
    <row r="42" spans="1:17" x14ac:dyDescent="0.25">
      <c r="A42" s="504" t="s">
        <v>41</v>
      </c>
      <c r="B42" s="504"/>
      <c r="C42" s="504"/>
      <c r="D42" s="504"/>
      <c r="E42" s="504"/>
      <c r="F42" s="504"/>
      <c r="G42" s="504"/>
      <c r="H42" s="504"/>
      <c r="I42" s="504"/>
      <c r="J42" s="504"/>
      <c r="K42" s="504"/>
      <c r="L42" s="163"/>
      <c r="M42" s="163"/>
      <c r="N42" s="163"/>
      <c r="O42" s="163"/>
      <c r="P42" s="163"/>
      <c r="Q42" s="163"/>
    </row>
    <row r="43" spans="1:17" x14ac:dyDescent="0.25">
      <c r="A43" s="505" t="s">
        <v>0</v>
      </c>
      <c r="B43" s="505" t="s">
        <v>7</v>
      </c>
      <c r="C43" s="505"/>
      <c r="D43" s="505"/>
      <c r="E43" s="505" t="s">
        <v>5</v>
      </c>
      <c r="F43" s="505"/>
      <c r="G43" s="505"/>
      <c r="H43" s="505" t="s">
        <v>4</v>
      </c>
      <c r="I43" s="505"/>
      <c r="J43" s="505" t="s">
        <v>6</v>
      </c>
      <c r="K43" s="505"/>
      <c r="L43" s="163"/>
      <c r="M43" s="163"/>
      <c r="N43" s="163"/>
      <c r="O43" s="163"/>
      <c r="P43" s="163"/>
      <c r="Q43" s="163"/>
    </row>
    <row r="44" spans="1:17" x14ac:dyDescent="0.25">
      <c r="A44" s="505"/>
      <c r="B44" s="164" t="s">
        <v>8</v>
      </c>
      <c r="C44" s="164" t="s">
        <v>14</v>
      </c>
      <c r="D44" s="164" t="s">
        <v>13</v>
      </c>
      <c r="E44" s="164" t="s">
        <v>8</v>
      </c>
      <c r="F44" s="164" t="s">
        <v>14</v>
      </c>
      <c r="G44" s="164" t="s">
        <v>10</v>
      </c>
      <c r="H44" s="164" t="s">
        <v>8</v>
      </c>
      <c r="I44" s="164" t="s">
        <v>13</v>
      </c>
      <c r="J44" s="164" t="s">
        <v>8</v>
      </c>
      <c r="K44" s="164" t="s">
        <v>13</v>
      </c>
      <c r="L44" s="163"/>
      <c r="M44" s="163"/>
      <c r="N44" s="163"/>
      <c r="O44" s="163"/>
      <c r="P44" s="163"/>
      <c r="Q44" s="163"/>
    </row>
    <row r="45" spans="1:17" x14ac:dyDescent="0.25">
      <c r="A45" s="165"/>
      <c r="B45" s="166"/>
      <c r="C45" s="166"/>
      <c r="D45" s="166"/>
      <c r="E45" s="166"/>
      <c r="F45" s="166"/>
      <c r="G45" s="166"/>
      <c r="H45" s="166"/>
      <c r="I45" s="166"/>
      <c r="J45" s="166"/>
      <c r="K45" s="166"/>
      <c r="L45" s="163"/>
      <c r="M45" s="163"/>
      <c r="N45" s="163"/>
      <c r="O45" s="163"/>
      <c r="P45" s="163"/>
      <c r="Q45" s="163"/>
    </row>
    <row r="46" spans="1:17" x14ac:dyDescent="0.25">
      <c r="A46" s="167" t="s">
        <v>21</v>
      </c>
      <c r="B46" s="168">
        <f>'Tawas K. B'!B9</f>
        <v>0</v>
      </c>
      <c r="C46" s="168">
        <f>'Tawas K. B'!C9</f>
        <v>0</v>
      </c>
      <c r="D46" s="168">
        <f>'Tawas K. B'!D9</f>
        <v>0</v>
      </c>
      <c r="E46" s="168">
        <f>'Tawas K. B'!E9</f>
        <v>0</v>
      </c>
      <c r="F46" s="168">
        <f>'Tawas K. B'!F9</f>
        <v>0</v>
      </c>
      <c r="G46" s="168">
        <f>'Tawas K. B'!G9</f>
        <v>0</v>
      </c>
      <c r="H46" s="168">
        <f>'Tawas K. B'!H9</f>
        <v>0</v>
      </c>
      <c r="I46" s="168">
        <f>'Tawas K. B'!I9</f>
        <v>0</v>
      </c>
      <c r="J46" s="168">
        <f>'Tawas K. B'!J9</f>
        <v>0</v>
      </c>
      <c r="K46" s="168">
        <f>'Tawas K. B'!K9</f>
        <v>0</v>
      </c>
      <c r="L46" s="168"/>
      <c r="M46" s="168"/>
      <c r="N46" s="163"/>
      <c r="O46" s="163"/>
      <c r="P46" s="163"/>
      <c r="Q46" s="163"/>
    </row>
    <row r="47" spans="1:17" x14ac:dyDescent="0.25">
      <c r="A47" s="167"/>
      <c r="B47" s="168">
        <f>'Tawas K. B'!B10</f>
        <v>0</v>
      </c>
      <c r="C47" s="168">
        <f>'Tawas K. B'!C10</f>
        <v>0</v>
      </c>
      <c r="D47" s="168">
        <f>'Tawas K. B'!D10</f>
        <v>0</v>
      </c>
      <c r="E47" s="168">
        <f>'Tawas K. B'!E10</f>
        <v>0</v>
      </c>
      <c r="F47" s="168">
        <f>'Tawas K. B'!F10</f>
        <v>0</v>
      </c>
      <c r="G47" s="168">
        <f>'Tawas K. B'!G10</f>
        <v>0</v>
      </c>
      <c r="H47" s="168">
        <f>'Tawas K. B'!H10</f>
        <v>0</v>
      </c>
      <c r="I47" s="168">
        <f>'Tawas K. B'!I10</f>
        <v>0</v>
      </c>
      <c r="J47" s="168">
        <f>'Tawas K. B'!J10</f>
        <v>0</v>
      </c>
      <c r="K47" s="168">
        <f>'Tawas K. B'!K10</f>
        <v>0</v>
      </c>
      <c r="L47" s="163"/>
      <c r="M47" s="163"/>
      <c r="N47" s="163"/>
      <c r="O47" s="163"/>
      <c r="P47" s="163"/>
      <c r="Q47" s="163"/>
    </row>
    <row r="48" spans="1:17" x14ac:dyDescent="0.25">
      <c r="A48" s="167"/>
      <c r="B48" s="168">
        <f>'Tawas K. B'!B11</f>
        <v>0</v>
      </c>
      <c r="C48" s="168">
        <f>'Tawas K. B'!C11</f>
        <v>0</v>
      </c>
      <c r="D48" s="168">
        <f>'Tawas K. B'!D11</f>
        <v>0</v>
      </c>
      <c r="E48" s="294">
        <f>'Tawas K. B'!E11</f>
        <v>0</v>
      </c>
      <c r="F48" s="294">
        <f>'Tawas K. B'!F11</f>
        <v>0</v>
      </c>
      <c r="G48" s="294">
        <f>'Tawas K. B'!G11</f>
        <v>0</v>
      </c>
      <c r="H48" s="294">
        <f>'Tawas K. B'!H11</f>
        <v>0</v>
      </c>
      <c r="I48" s="294">
        <f>'Tawas K. B'!I11</f>
        <v>0</v>
      </c>
      <c r="J48" s="294">
        <f>'Tawas K. B'!J11</f>
        <v>0</v>
      </c>
      <c r="K48" s="294">
        <f>'Tawas K. B'!K11</f>
        <v>0</v>
      </c>
      <c r="L48" s="163"/>
      <c r="M48" s="163"/>
      <c r="N48" s="163"/>
      <c r="O48" s="163"/>
      <c r="P48" s="163"/>
      <c r="Q48" s="163"/>
    </row>
    <row r="49" spans="1:17" x14ac:dyDescent="0.25">
      <c r="A49" s="222"/>
      <c r="B49" s="223"/>
      <c r="C49" s="224"/>
      <c r="D49" s="224"/>
      <c r="E49" s="225"/>
      <c r="F49" s="224"/>
      <c r="G49" s="224"/>
      <c r="H49" s="225"/>
      <c r="I49" s="224"/>
      <c r="J49" s="226"/>
      <c r="K49" s="224"/>
      <c r="L49" s="163"/>
      <c r="M49" s="163"/>
      <c r="N49" s="163"/>
      <c r="O49" s="163"/>
      <c r="P49" s="163"/>
      <c r="Q49" s="163"/>
    </row>
    <row r="50" spans="1:17" x14ac:dyDescent="0.25">
      <c r="A50" s="163"/>
      <c r="B50" s="163"/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</row>
    <row r="51" spans="1:17" x14ac:dyDescent="0.25">
      <c r="A51" s="163"/>
      <c r="B51" s="163"/>
      <c r="C51" s="163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</row>
    <row r="52" spans="1:17" x14ac:dyDescent="0.25">
      <c r="A52" s="163"/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</row>
    <row r="53" spans="1:17" x14ac:dyDescent="0.25">
      <c r="A53" s="504" t="s">
        <v>42</v>
      </c>
      <c r="B53" s="504"/>
      <c r="C53" s="504"/>
      <c r="D53" s="504"/>
      <c r="E53" s="504"/>
      <c r="F53" s="504"/>
      <c r="G53" s="504"/>
      <c r="H53" s="504"/>
      <c r="I53" s="504"/>
      <c r="J53" s="504"/>
      <c r="K53" s="504"/>
      <c r="L53" s="163"/>
      <c r="M53" s="163"/>
      <c r="N53" s="163"/>
      <c r="O53" s="163"/>
      <c r="P53" s="163"/>
      <c r="Q53" s="163"/>
    </row>
    <row r="54" spans="1:17" x14ac:dyDescent="0.25">
      <c r="A54" s="505" t="s">
        <v>0</v>
      </c>
      <c r="B54" s="505" t="s">
        <v>7</v>
      </c>
      <c r="C54" s="505"/>
      <c r="D54" s="505"/>
      <c r="E54" s="505" t="s">
        <v>5</v>
      </c>
      <c r="F54" s="505"/>
      <c r="G54" s="505"/>
      <c r="H54" s="505" t="s">
        <v>4</v>
      </c>
      <c r="I54" s="505"/>
      <c r="J54" s="505" t="s">
        <v>6</v>
      </c>
      <c r="K54" s="505"/>
      <c r="L54" s="163"/>
      <c r="M54" s="163"/>
      <c r="N54" s="163"/>
      <c r="O54" s="163"/>
      <c r="P54" s="163"/>
      <c r="Q54" s="163"/>
    </row>
    <row r="55" spans="1:17" x14ac:dyDescent="0.25">
      <c r="A55" s="505"/>
      <c r="B55" s="164" t="s">
        <v>8</v>
      </c>
      <c r="C55" s="164" t="s">
        <v>14</v>
      </c>
      <c r="D55" s="164" t="s">
        <v>13</v>
      </c>
      <c r="E55" s="164" t="s">
        <v>8</v>
      </c>
      <c r="F55" s="164" t="s">
        <v>14</v>
      </c>
      <c r="G55" s="164" t="s">
        <v>10</v>
      </c>
      <c r="H55" s="164" t="s">
        <v>8</v>
      </c>
      <c r="I55" s="164" t="s">
        <v>13</v>
      </c>
      <c r="J55" s="164" t="s">
        <v>8</v>
      </c>
      <c r="K55" s="164" t="s">
        <v>13</v>
      </c>
      <c r="L55" s="163"/>
      <c r="M55" s="163"/>
      <c r="N55" s="163"/>
      <c r="O55" s="163"/>
      <c r="P55" s="163"/>
      <c r="Q55" s="163"/>
    </row>
    <row r="56" spans="1:17" x14ac:dyDescent="0.25">
      <c r="A56" s="165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3"/>
      <c r="M56" s="163"/>
      <c r="N56" s="163"/>
      <c r="O56" s="163"/>
      <c r="P56" s="163"/>
      <c r="Q56" s="163"/>
    </row>
    <row r="57" spans="1:17" x14ac:dyDescent="0.25">
      <c r="A57" s="167" t="s">
        <v>21</v>
      </c>
      <c r="B57" s="168">
        <f>'Tawas Hanau'!B9</f>
        <v>0</v>
      </c>
      <c r="C57" s="168">
        <f>'Tawas Hanau'!C9</f>
        <v>0</v>
      </c>
      <c r="D57" s="168">
        <f>'Tawas Hanau'!D9</f>
        <v>0</v>
      </c>
      <c r="E57" s="168">
        <f>'Tawas Hanau'!E9</f>
        <v>0</v>
      </c>
      <c r="F57" s="168">
        <f>'Tawas Hanau'!F9</f>
        <v>0</v>
      </c>
      <c r="G57" s="168">
        <f>'Tawas Hanau'!G9</f>
        <v>0</v>
      </c>
      <c r="H57" s="168">
        <f>'Tawas Hanau'!H9</f>
        <v>0</v>
      </c>
      <c r="I57" s="168">
        <f>'Tawas Hanau'!I9</f>
        <v>0</v>
      </c>
      <c r="J57" s="168">
        <f>'Tawas Hanau'!J9</f>
        <v>0</v>
      </c>
      <c r="K57" s="168">
        <f>'Tawas Hanau'!K9</f>
        <v>0</v>
      </c>
      <c r="L57" s="163"/>
      <c r="M57" s="163"/>
      <c r="N57" s="163"/>
      <c r="O57" s="163"/>
      <c r="P57" s="163"/>
      <c r="Q57" s="163"/>
    </row>
    <row r="58" spans="1:17" x14ac:dyDescent="0.25">
      <c r="A58" s="167"/>
      <c r="B58" s="168">
        <f>'Tawas Hanau'!B10</f>
        <v>0</v>
      </c>
      <c r="C58" s="168">
        <f>'Tawas Hanau'!C10</f>
        <v>0</v>
      </c>
      <c r="D58" s="168">
        <f>'Tawas Hanau'!D10</f>
        <v>0</v>
      </c>
      <c r="E58" s="168">
        <f>'Tawas Hanau'!E10</f>
        <v>0</v>
      </c>
      <c r="F58" s="168">
        <f>'Tawas Hanau'!F10</f>
        <v>0</v>
      </c>
      <c r="G58" s="168">
        <f>'Tawas Hanau'!G10</f>
        <v>0</v>
      </c>
      <c r="H58" s="168">
        <f>'Tawas Hanau'!H10</f>
        <v>0</v>
      </c>
      <c r="I58" s="168">
        <f>'Tawas Hanau'!I10</f>
        <v>0</v>
      </c>
      <c r="J58" s="168">
        <f>'Tawas Hanau'!J10</f>
        <v>0</v>
      </c>
      <c r="K58" s="168">
        <f>'Tawas Hanau'!K10</f>
        <v>0</v>
      </c>
      <c r="L58" s="163"/>
      <c r="M58" s="163"/>
      <c r="N58" s="163"/>
      <c r="O58" s="163"/>
      <c r="P58" s="163"/>
      <c r="Q58" s="163"/>
    </row>
    <row r="59" spans="1:17" x14ac:dyDescent="0.25">
      <c r="A59" s="167"/>
      <c r="B59" s="168">
        <f>'Tawas Hanau'!B11</f>
        <v>0</v>
      </c>
      <c r="C59" s="168">
        <f>'Tawas Hanau'!C11</f>
        <v>0</v>
      </c>
      <c r="D59" s="168">
        <f>'Tawas Hanau'!D11</f>
        <v>0</v>
      </c>
      <c r="E59" s="168">
        <f>'Tawas Hanau'!E11</f>
        <v>0</v>
      </c>
      <c r="F59" s="168">
        <f>'Tawas Hanau'!F11</f>
        <v>0</v>
      </c>
      <c r="G59" s="168">
        <f>'Tawas Hanau'!G11</f>
        <v>0</v>
      </c>
      <c r="H59" s="294">
        <f>'Tawas Hanau'!H11</f>
        <v>0</v>
      </c>
      <c r="I59" s="294">
        <f>'Tawas Hanau'!I11</f>
        <v>0</v>
      </c>
      <c r="J59" s="294">
        <f>'Tawas Hanau'!J11</f>
        <v>0</v>
      </c>
      <c r="K59" s="294">
        <f>'Tawas Hanau'!K11</f>
        <v>0</v>
      </c>
      <c r="L59" s="163"/>
      <c r="M59" s="163"/>
      <c r="N59" s="163"/>
      <c r="O59" s="163"/>
      <c r="P59" s="163"/>
      <c r="Q59" s="163"/>
    </row>
    <row r="60" spans="1:17" x14ac:dyDescent="0.25">
      <c r="A60" s="222"/>
      <c r="B60" s="252"/>
      <c r="C60" s="252"/>
      <c r="D60" s="253"/>
      <c r="E60" s="254"/>
      <c r="F60" s="253"/>
      <c r="G60" s="253"/>
      <c r="H60" s="252"/>
      <c r="I60" s="224"/>
      <c r="J60" s="226"/>
      <c r="K60" s="224"/>
      <c r="L60" s="163"/>
      <c r="M60" s="163"/>
      <c r="N60" s="163"/>
      <c r="O60" s="163"/>
      <c r="P60" s="163"/>
      <c r="Q60" s="163"/>
    </row>
    <row r="64" spans="1:17" ht="21" x14ac:dyDescent="0.35">
      <c r="A64" s="278" t="s">
        <v>116</v>
      </c>
      <c r="B64" s="297"/>
      <c r="C64" s="297"/>
    </row>
    <row r="65" spans="1:17" x14ac:dyDescent="0.25">
      <c r="A65" s="504" t="s">
        <v>40</v>
      </c>
      <c r="B65" s="504"/>
      <c r="C65" s="504"/>
      <c r="D65" s="504"/>
      <c r="E65" s="504"/>
      <c r="F65" s="504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</row>
    <row r="66" spans="1:17" x14ac:dyDescent="0.25">
      <c r="A66" s="505" t="s">
        <v>0</v>
      </c>
      <c r="B66" s="505" t="s">
        <v>7</v>
      </c>
      <c r="C66" s="505"/>
      <c r="D66" s="505"/>
      <c r="E66" s="505" t="s">
        <v>5</v>
      </c>
      <c r="F66" s="505"/>
      <c r="G66" s="505"/>
      <c r="H66" s="508" t="s">
        <v>25</v>
      </c>
      <c r="I66" s="509"/>
      <c r="J66" s="510"/>
      <c r="K66" s="508" t="s">
        <v>26</v>
      </c>
      <c r="L66" s="509"/>
      <c r="M66" s="510"/>
      <c r="N66" s="505" t="s">
        <v>4</v>
      </c>
      <c r="O66" s="505"/>
      <c r="P66" s="505" t="s">
        <v>6</v>
      </c>
      <c r="Q66" s="505"/>
    </row>
    <row r="67" spans="1:17" x14ac:dyDescent="0.25">
      <c r="A67" s="505"/>
      <c r="B67" s="164" t="s">
        <v>8</v>
      </c>
      <c r="C67" s="164" t="s">
        <v>14</v>
      </c>
      <c r="D67" s="164" t="s">
        <v>13</v>
      </c>
      <c r="E67" s="164" t="s">
        <v>8</v>
      </c>
      <c r="F67" s="164" t="s">
        <v>14</v>
      </c>
      <c r="G67" s="164" t="s">
        <v>10</v>
      </c>
      <c r="H67" s="164" t="s">
        <v>8</v>
      </c>
      <c r="I67" s="164" t="s">
        <v>9</v>
      </c>
      <c r="J67" s="164" t="s">
        <v>13</v>
      </c>
      <c r="K67" s="164" t="s">
        <v>8</v>
      </c>
      <c r="L67" s="164" t="s">
        <v>9</v>
      </c>
      <c r="M67" s="164" t="s">
        <v>13</v>
      </c>
      <c r="N67" s="164" t="s">
        <v>8</v>
      </c>
      <c r="O67" s="164" t="s">
        <v>13</v>
      </c>
      <c r="P67" s="164" t="s">
        <v>8</v>
      </c>
      <c r="Q67" s="164" t="s">
        <v>13</v>
      </c>
    </row>
    <row r="68" spans="1:17" x14ac:dyDescent="0.25">
      <c r="A68" s="165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</row>
    <row r="69" spans="1:17" x14ac:dyDescent="0.25">
      <c r="A69" s="167" t="s">
        <v>22</v>
      </c>
      <c r="B69" s="168">
        <f>'TAWAS BENAR'!B16</f>
        <v>0</v>
      </c>
      <c r="C69" s="168">
        <f>'TAWAS BENAR'!C16</f>
        <v>0</v>
      </c>
      <c r="D69" s="168">
        <f>'TAWAS BENAR'!D16</f>
        <v>0</v>
      </c>
      <c r="E69" s="168">
        <f>'TAWAS BENAR'!E16</f>
        <v>0</v>
      </c>
      <c r="F69" s="168">
        <f>'TAWAS BENAR'!F16</f>
        <v>0</v>
      </c>
      <c r="G69" s="168">
        <f>'TAWAS BENAR'!G16</f>
        <v>0</v>
      </c>
      <c r="H69" s="168">
        <f>'TAWAS BENAR'!H16</f>
        <v>0</v>
      </c>
      <c r="I69" s="168">
        <f>'TAWAS BENAR'!I16</f>
        <v>0</v>
      </c>
      <c r="J69" s="168">
        <f>'TAWAS BENAR'!J16</f>
        <v>0</v>
      </c>
      <c r="K69" s="168">
        <f>'TAWAS BENAR'!K16</f>
        <v>0</v>
      </c>
      <c r="L69" s="168">
        <f>'TAWAS BENAR'!L16</f>
        <v>0</v>
      </c>
      <c r="M69" s="168">
        <f>'TAWAS BENAR'!M16</f>
        <v>0</v>
      </c>
      <c r="N69" s="168">
        <f>'TAWAS BENAR'!N16</f>
        <v>0</v>
      </c>
      <c r="O69" s="168">
        <f>'TAWAS BENAR'!O16</f>
        <v>0</v>
      </c>
      <c r="P69" s="168">
        <f>'TAWAS BENAR'!P16</f>
        <v>0</v>
      </c>
      <c r="Q69" s="168">
        <f>'TAWAS BENAR'!Q16</f>
        <v>0</v>
      </c>
    </row>
    <row r="70" spans="1:17" ht="13.5" customHeight="1" x14ac:dyDescent="0.25">
      <c r="A70" s="167"/>
      <c r="B70" s="168">
        <f>'TAWAS BENAR'!B17</f>
        <v>0</v>
      </c>
      <c r="C70" s="168">
        <f>'TAWAS BENAR'!C17</f>
        <v>0</v>
      </c>
      <c r="D70" s="168">
        <f>'TAWAS BENAR'!D17</f>
        <v>0</v>
      </c>
      <c r="E70" s="168">
        <f>'TAWAS BENAR'!E17</f>
        <v>0</v>
      </c>
      <c r="F70" s="168">
        <f>'TAWAS BENAR'!F17</f>
        <v>0</v>
      </c>
      <c r="G70" s="168">
        <f>'TAWAS BENAR'!G17</f>
        <v>0</v>
      </c>
      <c r="H70" s="168">
        <f>'TAWAS BENAR'!H17</f>
        <v>0</v>
      </c>
      <c r="I70" s="168">
        <f>'TAWAS BENAR'!I17</f>
        <v>0</v>
      </c>
      <c r="J70" s="168">
        <f>'TAWAS BENAR'!J17</f>
        <v>0</v>
      </c>
      <c r="K70" s="168">
        <f>'TAWAS BENAR'!K17</f>
        <v>0</v>
      </c>
      <c r="L70" s="168">
        <f>'TAWAS BENAR'!L17</f>
        <v>0</v>
      </c>
      <c r="M70" s="168">
        <f>'TAWAS BENAR'!M17</f>
        <v>0</v>
      </c>
      <c r="N70" s="168">
        <f>'TAWAS BENAR'!N17</f>
        <v>0</v>
      </c>
      <c r="O70" s="168">
        <f>'TAWAS BENAR'!O17</f>
        <v>0</v>
      </c>
      <c r="P70" s="168">
        <f>'TAWAS BENAR'!P17</f>
        <v>0</v>
      </c>
      <c r="Q70" s="168">
        <f>'TAWAS BENAR'!Q17</f>
        <v>0</v>
      </c>
    </row>
    <row r="71" spans="1:17" x14ac:dyDescent="0.25">
      <c r="A71" s="167"/>
      <c r="B71" s="168">
        <f>'TAWAS BENAR'!B18</f>
        <v>0</v>
      </c>
      <c r="C71" s="168">
        <f>'TAWAS BENAR'!C18</f>
        <v>0</v>
      </c>
      <c r="D71" s="168">
        <f>'TAWAS BENAR'!D18</f>
        <v>0</v>
      </c>
      <c r="E71" s="168">
        <f>'TAWAS BENAR'!E18</f>
        <v>0</v>
      </c>
      <c r="F71" s="168">
        <f>'TAWAS BENAR'!F18</f>
        <v>0</v>
      </c>
      <c r="G71" s="168">
        <f>'TAWAS BENAR'!G18</f>
        <v>0</v>
      </c>
      <c r="H71" s="168">
        <f>'TAWAS BENAR'!H18</f>
        <v>0</v>
      </c>
      <c r="I71" s="168">
        <f>'TAWAS BENAR'!I18</f>
        <v>0</v>
      </c>
      <c r="J71" s="168">
        <f>'TAWAS BENAR'!J18</f>
        <v>0</v>
      </c>
      <c r="K71" s="168">
        <f>'TAWAS BENAR'!K18</f>
        <v>0</v>
      </c>
      <c r="L71" s="168">
        <f>'TAWAS BENAR'!L18</f>
        <v>0</v>
      </c>
      <c r="M71" s="168">
        <f>'TAWAS BENAR'!M18</f>
        <v>0</v>
      </c>
      <c r="N71" s="294">
        <f>'TAWAS BENAR'!N18</f>
        <v>0</v>
      </c>
      <c r="O71" s="294">
        <f>'TAWAS BENAR'!O18</f>
        <v>0</v>
      </c>
      <c r="P71" s="294">
        <f>'TAWAS BENAR'!P18</f>
        <v>0</v>
      </c>
      <c r="Q71" s="294">
        <f>'TAWAS BENAR'!Q18</f>
        <v>0</v>
      </c>
    </row>
    <row r="72" spans="1:17" x14ac:dyDescent="0.25">
      <c r="A72" s="222"/>
      <c r="B72" s="223"/>
      <c r="C72" s="224"/>
      <c r="D72" s="224"/>
      <c r="E72" s="225"/>
      <c r="F72" s="224"/>
      <c r="G72" s="224"/>
      <c r="H72" s="224"/>
      <c r="I72" s="224"/>
      <c r="J72" s="224"/>
      <c r="K72" s="224"/>
      <c r="L72" s="224"/>
      <c r="M72" s="224"/>
      <c r="N72" s="225"/>
      <c r="O72" s="224"/>
      <c r="P72" s="226"/>
      <c r="Q72" s="224"/>
    </row>
    <row r="73" spans="1:17" x14ac:dyDescent="0.25">
      <c r="A73" s="163"/>
      <c r="B73" s="163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</row>
    <row r="74" spans="1:17" x14ac:dyDescent="0.25">
      <c r="A74" s="163"/>
      <c r="B74" s="163"/>
      <c r="C74" s="163" t="s">
        <v>39</v>
      </c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</row>
    <row r="75" spans="1:17" x14ac:dyDescent="0.25">
      <c r="A75" s="504" t="s">
        <v>41</v>
      </c>
      <c r="B75" s="504"/>
      <c r="C75" s="504"/>
      <c r="D75" s="504"/>
      <c r="E75" s="504"/>
      <c r="F75" s="504"/>
      <c r="G75" s="504"/>
      <c r="H75" s="504"/>
      <c r="I75" s="504"/>
      <c r="J75" s="504"/>
      <c r="K75" s="504"/>
      <c r="L75" s="163"/>
      <c r="M75" s="163"/>
      <c r="N75" s="163"/>
      <c r="O75" s="163"/>
      <c r="P75" s="163"/>
      <c r="Q75" s="163"/>
    </row>
    <row r="76" spans="1:17" x14ac:dyDescent="0.25">
      <c r="A76" s="505" t="s">
        <v>0</v>
      </c>
      <c r="B76" s="505" t="s">
        <v>7</v>
      </c>
      <c r="C76" s="505"/>
      <c r="D76" s="505"/>
      <c r="E76" s="505" t="s">
        <v>5</v>
      </c>
      <c r="F76" s="505"/>
      <c r="G76" s="505"/>
      <c r="H76" s="505" t="s">
        <v>4</v>
      </c>
      <c r="I76" s="505"/>
      <c r="J76" s="505" t="s">
        <v>6</v>
      </c>
      <c r="K76" s="505"/>
      <c r="L76" s="163"/>
      <c r="M76" s="163"/>
      <c r="N76" s="163"/>
      <c r="O76" s="163"/>
      <c r="P76" s="163"/>
      <c r="Q76" s="163"/>
    </row>
    <row r="77" spans="1:17" x14ac:dyDescent="0.25">
      <c r="A77" s="505"/>
      <c r="B77" s="164" t="s">
        <v>8</v>
      </c>
      <c r="C77" s="164" t="s">
        <v>14</v>
      </c>
      <c r="D77" s="164" t="s">
        <v>13</v>
      </c>
      <c r="E77" s="164" t="s">
        <v>8</v>
      </c>
      <c r="F77" s="164" t="s">
        <v>14</v>
      </c>
      <c r="G77" s="164" t="s">
        <v>10</v>
      </c>
      <c r="H77" s="164" t="s">
        <v>8</v>
      </c>
      <c r="I77" s="164" t="s">
        <v>13</v>
      </c>
      <c r="J77" s="164" t="s">
        <v>8</v>
      </c>
      <c r="K77" s="164" t="s">
        <v>13</v>
      </c>
      <c r="L77" s="163"/>
      <c r="M77" s="163"/>
      <c r="N77" s="163"/>
      <c r="O77" s="163"/>
      <c r="P77" s="163"/>
      <c r="Q77" s="163"/>
    </row>
    <row r="78" spans="1:17" x14ac:dyDescent="0.25">
      <c r="A78" s="165"/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3"/>
      <c r="M78" s="163"/>
      <c r="N78" s="163"/>
      <c r="O78" s="163"/>
      <c r="P78" s="163"/>
      <c r="Q78" s="163"/>
    </row>
    <row r="79" spans="1:17" x14ac:dyDescent="0.25">
      <c r="A79" s="167" t="s">
        <v>22</v>
      </c>
      <c r="B79" s="168">
        <f>'Tawas K. B'!B14</f>
        <v>0</v>
      </c>
      <c r="C79" s="168">
        <f>'Tawas K. B'!C14</f>
        <v>0</v>
      </c>
      <c r="D79" s="168">
        <f>'Tawas K. B'!D14</f>
        <v>0</v>
      </c>
      <c r="E79" s="168">
        <f>'Tawas K. B'!E14</f>
        <v>0</v>
      </c>
      <c r="F79" s="168">
        <f>'Tawas K. B'!F14</f>
        <v>0</v>
      </c>
      <c r="G79" s="168">
        <f>'Tawas K. B'!G14</f>
        <v>0</v>
      </c>
      <c r="H79" s="168">
        <f>'Tawas K. B'!H14</f>
        <v>0</v>
      </c>
      <c r="I79" s="168">
        <f>'Tawas K. B'!I14</f>
        <v>0</v>
      </c>
      <c r="J79" s="168">
        <f>'Tawas K. B'!J14</f>
        <v>0</v>
      </c>
      <c r="K79" s="168">
        <f>'Tawas K. B'!K14</f>
        <v>0</v>
      </c>
      <c r="L79" s="163"/>
      <c r="M79" s="163"/>
      <c r="N79" s="163"/>
      <c r="O79" s="163"/>
      <c r="P79" s="163"/>
      <c r="Q79" s="163"/>
    </row>
    <row r="80" spans="1:17" x14ac:dyDescent="0.25">
      <c r="A80" s="167"/>
      <c r="B80" s="168">
        <f>'Tawas K. B'!B18</f>
        <v>0</v>
      </c>
      <c r="C80" s="168">
        <f>'Tawas K. B'!C18</f>
        <v>0</v>
      </c>
      <c r="D80" s="168">
        <f>'Tawas K. B'!D18</f>
        <v>0</v>
      </c>
      <c r="E80" s="168">
        <f>'Tawas K. B'!E18</f>
        <v>0</v>
      </c>
      <c r="F80" s="168">
        <f>'Tawas K. B'!F18</f>
        <v>0</v>
      </c>
      <c r="G80" s="168">
        <f>'Tawas K. B'!G18</f>
        <v>0</v>
      </c>
      <c r="H80" s="168">
        <f>'Tawas K. B'!H18</f>
        <v>0</v>
      </c>
      <c r="I80" s="168">
        <f>'Tawas K. B'!I18</f>
        <v>0</v>
      </c>
      <c r="J80" s="168">
        <f>'Tawas K. B'!J18</f>
        <v>0</v>
      </c>
      <c r="K80" s="168">
        <f>'Tawas K. B'!K18</f>
        <v>0</v>
      </c>
      <c r="L80" s="163"/>
      <c r="M80" s="163"/>
      <c r="N80" s="163"/>
      <c r="O80" s="163"/>
      <c r="P80" s="163"/>
      <c r="Q80" s="163"/>
    </row>
    <row r="81" spans="1:17" x14ac:dyDescent="0.25">
      <c r="A81" s="167"/>
      <c r="B81" s="168"/>
      <c r="C81" s="168"/>
      <c r="D81" s="168"/>
      <c r="E81" s="168"/>
      <c r="F81" s="168"/>
      <c r="G81" s="168"/>
      <c r="H81" s="294"/>
      <c r="I81" s="294"/>
      <c r="J81" s="294"/>
      <c r="K81" s="294"/>
      <c r="L81" s="163"/>
      <c r="M81" s="163"/>
      <c r="N81" s="163"/>
      <c r="O81" s="163"/>
      <c r="P81" s="163"/>
      <c r="Q81" s="163"/>
    </row>
    <row r="82" spans="1:17" s="419" customFormat="1" x14ac:dyDescent="0.25">
      <c r="A82" s="418"/>
      <c r="B82" s="418"/>
      <c r="C82" s="418"/>
      <c r="D82" s="418"/>
      <c r="E82" s="418"/>
      <c r="F82" s="418"/>
      <c r="G82" s="418"/>
      <c r="H82" s="418"/>
      <c r="I82" s="418"/>
      <c r="J82" s="418"/>
      <c r="K82" s="418"/>
      <c r="L82" s="163"/>
      <c r="M82" s="163"/>
      <c r="N82" s="163"/>
      <c r="O82" s="163"/>
      <c r="P82" s="163"/>
      <c r="Q82" s="163"/>
    </row>
    <row r="83" spans="1:17" x14ac:dyDescent="0.25">
      <c r="A83" s="163"/>
      <c r="B83" s="163"/>
      <c r="C83" s="16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</row>
    <row r="84" spans="1:17" x14ac:dyDescent="0.25">
      <c r="A84" s="163"/>
      <c r="B84" s="163"/>
      <c r="C84" s="163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</row>
    <row r="85" spans="1:17" x14ac:dyDescent="0.25">
      <c r="A85" s="504" t="s">
        <v>42</v>
      </c>
      <c r="B85" s="504"/>
      <c r="C85" s="504"/>
      <c r="D85" s="504"/>
      <c r="E85" s="504"/>
      <c r="F85" s="504"/>
      <c r="G85" s="504"/>
      <c r="H85" s="504"/>
      <c r="I85" s="504"/>
      <c r="J85" s="504"/>
      <c r="K85" s="504"/>
      <c r="L85" s="163"/>
      <c r="M85" s="163"/>
      <c r="N85" s="163"/>
      <c r="O85" s="163"/>
      <c r="P85" s="163"/>
      <c r="Q85" s="163"/>
    </row>
    <row r="86" spans="1:17" x14ac:dyDescent="0.25">
      <c r="A86" s="505" t="s">
        <v>0</v>
      </c>
      <c r="B86" s="505" t="s">
        <v>7</v>
      </c>
      <c r="C86" s="505"/>
      <c r="D86" s="505"/>
      <c r="E86" s="505" t="s">
        <v>5</v>
      </c>
      <c r="F86" s="505"/>
      <c r="G86" s="505"/>
      <c r="H86" s="505" t="s">
        <v>4</v>
      </c>
      <c r="I86" s="505"/>
      <c r="J86" s="505" t="s">
        <v>6</v>
      </c>
      <c r="K86" s="505"/>
      <c r="L86" s="163"/>
      <c r="M86" s="163"/>
      <c r="N86" s="163"/>
      <c r="O86" s="163"/>
      <c r="P86" s="163"/>
      <c r="Q86" s="163"/>
    </row>
    <row r="87" spans="1:17" x14ac:dyDescent="0.25">
      <c r="A87" s="505"/>
      <c r="B87" s="164" t="s">
        <v>8</v>
      </c>
      <c r="C87" s="164" t="s">
        <v>14</v>
      </c>
      <c r="D87" s="164" t="s">
        <v>13</v>
      </c>
      <c r="E87" s="164" t="s">
        <v>8</v>
      </c>
      <c r="F87" s="164" t="s">
        <v>14</v>
      </c>
      <c r="G87" s="164" t="s">
        <v>10</v>
      </c>
      <c r="H87" s="164" t="s">
        <v>8</v>
      </c>
      <c r="I87" s="164" t="s">
        <v>13</v>
      </c>
      <c r="J87" s="164" t="s">
        <v>8</v>
      </c>
      <c r="K87" s="164" t="s">
        <v>13</v>
      </c>
      <c r="L87" s="163"/>
      <c r="M87" s="163"/>
      <c r="N87" s="163"/>
      <c r="O87" s="163"/>
      <c r="P87" s="163"/>
      <c r="Q87" s="163"/>
    </row>
    <row r="88" spans="1:17" x14ac:dyDescent="0.25">
      <c r="A88" s="165"/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3"/>
      <c r="M88" s="163"/>
      <c r="N88" s="163"/>
      <c r="O88" s="163"/>
      <c r="P88" s="163"/>
      <c r="Q88" s="163"/>
    </row>
    <row r="89" spans="1:17" x14ac:dyDescent="0.25">
      <c r="A89" s="167" t="s">
        <v>22</v>
      </c>
      <c r="B89" s="168">
        <f>'Tawas Hanau'!B14</f>
        <v>0</v>
      </c>
      <c r="C89" s="168">
        <f>'Tawas Hanau'!C14</f>
        <v>0</v>
      </c>
      <c r="D89" s="168">
        <f>'Tawas Hanau'!D14</f>
        <v>0</v>
      </c>
      <c r="E89" s="168">
        <f>'Tawas Hanau'!E14</f>
        <v>0</v>
      </c>
      <c r="F89" s="168">
        <f>'Tawas Hanau'!F14</f>
        <v>0</v>
      </c>
      <c r="G89" s="168">
        <f>'Tawas Hanau'!G14</f>
        <v>0</v>
      </c>
      <c r="H89" s="168">
        <f>'Tawas Hanau'!H14</f>
        <v>0</v>
      </c>
      <c r="I89" s="168">
        <f>'Tawas Hanau'!I14</f>
        <v>0</v>
      </c>
      <c r="J89" s="168">
        <f>'Tawas Hanau'!J14</f>
        <v>0</v>
      </c>
      <c r="K89" s="168">
        <f>'Tawas Hanau'!K14</f>
        <v>0</v>
      </c>
      <c r="L89" s="163"/>
      <c r="M89" s="163"/>
      <c r="N89" s="163"/>
      <c r="O89" s="163"/>
      <c r="P89" s="163"/>
      <c r="Q89" s="163"/>
    </row>
    <row r="90" spans="1:17" x14ac:dyDescent="0.25">
      <c r="A90" s="167"/>
      <c r="B90" s="168"/>
      <c r="C90" s="168"/>
      <c r="D90" s="168"/>
      <c r="E90" s="168"/>
      <c r="F90" s="168"/>
      <c r="G90" s="168">
        <f>E90*F90</f>
        <v>0</v>
      </c>
      <c r="H90" s="168">
        <f>1300-H89</f>
        <v>1300</v>
      </c>
      <c r="I90" s="168"/>
      <c r="J90" s="168"/>
      <c r="K90" s="168">
        <f>J90*F90</f>
        <v>0</v>
      </c>
      <c r="L90" s="163"/>
      <c r="M90" s="163"/>
      <c r="N90" s="163"/>
      <c r="O90" s="163"/>
      <c r="P90" s="163"/>
      <c r="Q90" s="163"/>
    </row>
    <row r="91" spans="1:17" x14ac:dyDescent="0.25">
      <c r="A91" s="167"/>
      <c r="B91" s="168"/>
      <c r="C91" s="168"/>
      <c r="D91" s="168"/>
      <c r="E91" s="168"/>
      <c r="F91" s="168"/>
      <c r="G91" s="168"/>
      <c r="H91" s="168"/>
      <c r="I91" s="168"/>
      <c r="J91" s="168"/>
      <c r="K91" s="168">
        <f>K90</f>
        <v>0</v>
      </c>
      <c r="L91" s="163"/>
      <c r="M91" s="163"/>
      <c r="N91" s="163"/>
      <c r="O91" s="163"/>
      <c r="P91" s="163"/>
      <c r="Q91" s="163"/>
    </row>
    <row r="92" spans="1:17" x14ac:dyDescent="0.25">
      <c r="A92" s="167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3"/>
      <c r="M92" s="163"/>
      <c r="N92" s="163"/>
      <c r="O92" s="163"/>
      <c r="P92" s="163"/>
      <c r="Q92" s="163"/>
    </row>
    <row r="93" spans="1:17" x14ac:dyDescent="0.25">
      <c r="A93" s="167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3"/>
      <c r="M93" s="163"/>
      <c r="N93" s="163"/>
      <c r="O93" s="163"/>
      <c r="P93" s="163"/>
      <c r="Q93" s="163"/>
    </row>
    <row r="94" spans="1:17" x14ac:dyDescent="0.25">
      <c r="A94" s="222"/>
      <c r="B94" s="252"/>
      <c r="C94" s="252"/>
      <c r="D94" s="253"/>
      <c r="E94" s="254"/>
      <c r="F94" s="253"/>
      <c r="G94" s="253"/>
      <c r="H94" s="252"/>
      <c r="I94" s="224"/>
      <c r="J94" s="226"/>
      <c r="K94" s="224"/>
      <c r="L94" s="163"/>
      <c r="M94" s="163"/>
      <c r="N94" s="163"/>
      <c r="O94" s="163"/>
      <c r="P94" s="163"/>
      <c r="Q94" s="163"/>
    </row>
    <row r="97" spans="1:17" ht="21" x14ac:dyDescent="0.35">
      <c r="A97" s="520">
        <v>45748</v>
      </c>
      <c r="B97" s="520"/>
    </row>
    <row r="98" spans="1:17" x14ac:dyDescent="0.25">
      <c r="A98" s="504" t="s">
        <v>40</v>
      </c>
      <c r="B98" s="504"/>
      <c r="C98" s="504"/>
      <c r="D98" s="504"/>
      <c r="E98" s="50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</row>
    <row r="99" spans="1:17" x14ac:dyDescent="0.25">
      <c r="A99" s="505" t="s">
        <v>0</v>
      </c>
      <c r="B99" s="505" t="s">
        <v>7</v>
      </c>
      <c r="C99" s="505"/>
      <c r="D99" s="505"/>
      <c r="E99" s="505" t="s">
        <v>5</v>
      </c>
      <c r="F99" s="505"/>
      <c r="G99" s="505"/>
      <c r="H99" s="508" t="s">
        <v>25</v>
      </c>
      <c r="I99" s="509"/>
      <c r="J99" s="510"/>
      <c r="K99" s="508" t="s">
        <v>26</v>
      </c>
      <c r="L99" s="509"/>
      <c r="M99" s="510"/>
      <c r="N99" s="505" t="s">
        <v>4</v>
      </c>
      <c r="O99" s="505"/>
      <c r="P99" s="505" t="s">
        <v>6</v>
      </c>
      <c r="Q99" s="505"/>
    </row>
    <row r="100" spans="1:17" x14ac:dyDescent="0.25">
      <c r="A100" s="505"/>
      <c r="B100" s="164" t="s">
        <v>8</v>
      </c>
      <c r="C100" s="164" t="s">
        <v>14</v>
      </c>
      <c r="D100" s="164" t="s">
        <v>13</v>
      </c>
      <c r="E100" s="164" t="s">
        <v>8</v>
      </c>
      <c r="F100" s="164" t="s">
        <v>14</v>
      </c>
      <c r="G100" s="164" t="s">
        <v>10</v>
      </c>
      <c r="H100" s="164" t="s">
        <v>8</v>
      </c>
      <c r="I100" s="164" t="s">
        <v>9</v>
      </c>
      <c r="J100" s="164" t="s">
        <v>13</v>
      </c>
      <c r="K100" s="164" t="s">
        <v>8</v>
      </c>
      <c r="L100" s="164" t="s">
        <v>9</v>
      </c>
      <c r="M100" s="164" t="s">
        <v>13</v>
      </c>
      <c r="N100" s="164" t="s">
        <v>8</v>
      </c>
      <c r="O100" s="164" t="s">
        <v>13</v>
      </c>
      <c r="P100" s="164" t="s">
        <v>8</v>
      </c>
      <c r="Q100" s="164" t="s">
        <v>13</v>
      </c>
    </row>
    <row r="101" spans="1:17" x14ac:dyDescent="0.25">
      <c r="A101" s="165"/>
      <c r="B101" s="166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</row>
    <row r="102" spans="1:17" x14ac:dyDescent="0.25">
      <c r="A102" s="277" t="s">
        <v>24</v>
      </c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</row>
    <row r="103" spans="1:17" x14ac:dyDescent="0.25">
      <c r="A103" s="167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</row>
    <row r="104" spans="1:17" x14ac:dyDescent="0.25">
      <c r="A104" s="222"/>
      <c r="B104" s="223">
        <f>'TAWAS BENAR'!B22</f>
        <v>0</v>
      </c>
      <c r="C104" s="223">
        <f>'TAWAS BENAR'!C22</f>
        <v>0</v>
      </c>
      <c r="D104" s="223">
        <f>'TAWAS BENAR'!D22</f>
        <v>0</v>
      </c>
      <c r="E104" s="223">
        <f>'TAWAS BENAR'!E22</f>
        <v>0</v>
      </c>
      <c r="F104" s="223">
        <f>'TAWAS BENAR'!F22</f>
        <v>0</v>
      </c>
      <c r="G104" s="223">
        <f>'TAWAS BENAR'!G22</f>
        <v>0</v>
      </c>
      <c r="H104" s="223">
        <f>'TAWAS BENAR'!H22</f>
        <v>0</v>
      </c>
      <c r="I104" s="223">
        <f>'TAWAS BENAR'!I22</f>
        <v>0</v>
      </c>
      <c r="J104" s="223" t="str">
        <f>'TAWAS BENAR'!J22</f>
        <v xml:space="preserve"> </v>
      </c>
      <c r="K104" s="223">
        <f>'TAWAS BENAR'!K22</f>
        <v>0</v>
      </c>
      <c r="L104" s="223">
        <f>'TAWAS BENAR'!L22</f>
        <v>0</v>
      </c>
      <c r="M104" s="223">
        <f>'TAWAS BENAR'!M22</f>
        <v>0</v>
      </c>
      <c r="N104" s="223">
        <f>'TAWAS BENAR'!N22</f>
        <v>0</v>
      </c>
      <c r="O104" s="223">
        <f>'TAWAS BENAR'!O22</f>
        <v>0</v>
      </c>
      <c r="P104" s="223">
        <f>'TAWAS BENAR'!P22</f>
        <v>0</v>
      </c>
      <c r="Q104" s="223">
        <f>'TAWAS BENAR'!Q22</f>
        <v>0</v>
      </c>
    </row>
    <row r="105" spans="1:17" x14ac:dyDescent="0.25">
      <c r="A105" s="163"/>
      <c r="B105" s="163"/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</row>
    <row r="106" spans="1:17" x14ac:dyDescent="0.25">
      <c r="A106" s="163"/>
      <c r="B106" s="163"/>
      <c r="C106" s="163" t="s">
        <v>39</v>
      </c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</row>
    <row r="107" spans="1:17" x14ac:dyDescent="0.25">
      <c r="A107" s="504" t="s">
        <v>41</v>
      </c>
      <c r="B107" s="504"/>
      <c r="C107" s="504"/>
      <c r="D107" s="504"/>
      <c r="E107" s="504"/>
      <c r="F107" s="504"/>
      <c r="G107" s="504"/>
      <c r="H107" s="504"/>
      <c r="I107" s="504"/>
      <c r="J107" s="504"/>
      <c r="K107" s="504"/>
      <c r="L107" s="163"/>
      <c r="M107" s="163"/>
      <c r="N107" s="163"/>
      <c r="O107" s="163"/>
      <c r="P107" s="163"/>
      <c r="Q107" s="163"/>
    </row>
    <row r="108" spans="1:17" x14ac:dyDescent="0.25">
      <c r="A108" s="505" t="s">
        <v>0</v>
      </c>
      <c r="B108" s="505" t="s">
        <v>7</v>
      </c>
      <c r="C108" s="505"/>
      <c r="D108" s="505"/>
      <c r="E108" s="505" t="s">
        <v>5</v>
      </c>
      <c r="F108" s="505"/>
      <c r="G108" s="505"/>
      <c r="H108" s="505" t="s">
        <v>4</v>
      </c>
      <c r="I108" s="505"/>
      <c r="J108" s="505" t="s">
        <v>6</v>
      </c>
      <c r="K108" s="505"/>
      <c r="L108" s="163"/>
      <c r="M108" s="163"/>
      <c r="N108" s="163"/>
      <c r="O108" s="163"/>
      <c r="P108" s="163"/>
      <c r="Q108" s="163"/>
    </row>
    <row r="109" spans="1:17" x14ac:dyDescent="0.25">
      <c r="A109" s="505"/>
      <c r="B109" s="164" t="s">
        <v>8</v>
      </c>
      <c r="C109" s="164" t="s">
        <v>14</v>
      </c>
      <c r="D109" s="164" t="s">
        <v>13</v>
      </c>
      <c r="E109" s="164" t="s">
        <v>8</v>
      </c>
      <c r="F109" s="164" t="s">
        <v>14</v>
      </c>
      <c r="G109" s="164" t="s">
        <v>10</v>
      </c>
      <c r="H109" s="164" t="s">
        <v>8</v>
      </c>
      <c r="I109" s="164" t="s">
        <v>13</v>
      </c>
      <c r="J109" s="164" t="s">
        <v>8</v>
      </c>
      <c r="K109" s="164" t="s">
        <v>13</v>
      </c>
      <c r="L109" s="163"/>
      <c r="M109" s="163"/>
      <c r="N109" s="163"/>
      <c r="O109" s="163"/>
      <c r="P109" s="163"/>
      <c r="Q109" s="163"/>
    </row>
    <row r="110" spans="1:17" x14ac:dyDescent="0.25">
      <c r="A110" s="165"/>
      <c r="B110" s="166"/>
      <c r="C110" s="166"/>
      <c r="D110" s="166"/>
      <c r="E110" s="166"/>
      <c r="F110" s="166"/>
      <c r="G110" s="166"/>
      <c r="H110" s="166"/>
      <c r="I110" s="166"/>
      <c r="J110" s="166"/>
      <c r="K110" s="166"/>
      <c r="L110" s="163"/>
      <c r="M110" s="163"/>
      <c r="N110" s="163"/>
      <c r="O110" s="163"/>
      <c r="P110" s="163"/>
      <c r="Q110" s="163"/>
    </row>
    <row r="111" spans="1:17" x14ac:dyDescent="0.25">
      <c r="A111" s="167" t="s">
        <v>24</v>
      </c>
      <c r="B111" s="168">
        <f>'Tawas K. B'!B19</f>
        <v>0</v>
      </c>
      <c r="C111" s="168">
        <f>'Tawas K. B'!C19</f>
        <v>0</v>
      </c>
      <c r="D111" s="168">
        <f>'Tawas K. B'!D19</f>
        <v>0</v>
      </c>
      <c r="E111" s="168">
        <f>'Tawas K. B'!E19</f>
        <v>0</v>
      </c>
      <c r="F111" s="168">
        <f>'Tawas K. B'!F19</f>
        <v>0</v>
      </c>
      <c r="G111" s="168">
        <f>'Tawas K. B'!G19</f>
        <v>0</v>
      </c>
      <c r="H111" s="168">
        <f>'Tawas K. B'!H19</f>
        <v>0</v>
      </c>
      <c r="I111" s="168">
        <f>'Tawas K. B'!I19</f>
        <v>0</v>
      </c>
      <c r="J111" s="168">
        <f>'Tawas K. B'!J19</f>
        <v>0</v>
      </c>
      <c r="K111" s="168">
        <f>'Tawas K. B'!K19</f>
        <v>0</v>
      </c>
      <c r="L111" s="163"/>
      <c r="M111" s="163"/>
      <c r="N111" s="163"/>
      <c r="O111" s="163"/>
      <c r="P111" s="163"/>
      <c r="Q111" s="163"/>
    </row>
    <row r="112" spans="1:17" x14ac:dyDescent="0.25">
      <c r="A112" s="167"/>
      <c r="B112" s="168"/>
      <c r="C112" s="161"/>
      <c r="D112" s="161"/>
      <c r="E112" s="169"/>
      <c r="F112" s="161"/>
      <c r="G112" s="161">
        <f>E112*F112</f>
        <v>0</v>
      </c>
      <c r="H112" s="169"/>
      <c r="I112" s="161"/>
      <c r="J112" s="170">
        <f>B112+E112-H112</f>
        <v>0</v>
      </c>
      <c r="K112" s="161">
        <f>D112+G112-I112</f>
        <v>0</v>
      </c>
      <c r="L112" s="163"/>
      <c r="M112" s="163"/>
      <c r="N112" s="163"/>
      <c r="O112" s="163"/>
      <c r="P112" s="163"/>
      <c r="Q112" s="163"/>
    </row>
    <row r="113" spans="1:17" x14ac:dyDescent="0.25">
      <c r="A113" s="167"/>
      <c r="B113" s="168"/>
      <c r="C113" s="161"/>
      <c r="D113" s="161"/>
      <c r="E113" s="169"/>
      <c r="F113" s="161"/>
      <c r="G113" s="161"/>
      <c r="H113" s="169"/>
      <c r="I113" s="161"/>
      <c r="J113" s="170"/>
      <c r="K113" s="161"/>
      <c r="L113" s="163"/>
      <c r="M113" s="163"/>
      <c r="N113" s="163"/>
      <c r="O113" s="163"/>
      <c r="P113" s="163"/>
      <c r="Q113" s="163"/>
    </row>
    <row r="114" spans="1:17" x14ac:dyDescent="0.25">
      <c r="A114" s="222"/>
      <c r="B114" s="223"/>
      <c r="C114" s="224"/>
      <c r="D114" s="224"/>
      <c r="E114" s="225"/>
      <c r="F114" s="224"/>
      <c r="G114" s="224"/>
      <c r="H114" s="225"/>
      <c r="I114" s="224"/>
      <c r="J114" s="226"/>
      <c r="K114" s="224"/>
      <c r="L114" s="163"/>
      <c r="M114" s="163"/>
      <c r="N114" s="163"/>
      <c r="O114" s="163"/>
      <c r="P114" s="163"/>
      <c r="Q114" s="163"/>
    </row>
    <row r="115" spans="1:17" x14ac:dyDescent="0.25">
      <c r="A115" s="163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</row>
    <row r="116" spans="1:17" x14ac:dyDescent="0.25">
      <c r="A116" s="163"/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</row>
    <row r="117" spans="1:17" x14ac:dyDescent="0.25">
      <c r="A117" s="163"/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</row>
    <row r="118" spans="1:17" x14ac:dyDescent="0.25">
      <c r="A118" s="504" t="s">
        <v>42</v>
      </c>
      <c r="B118" s="504"/>
      <c r="C118" s="504"/>
      <c r="D118" s="504"/>
      <c r="E118" s="504"/>
      <c r="F118" s="504"/>
      <c r="G118" s="504"/>
      <c r="H118" s="504"/>
      <c r="I118" s="504"/>
      <c r="J118" s="504"/>
      <c r="K118" s="504"/>
      <c r="L118" s="163"/>
      <c r="M118" s="163"/>
      <c r="N118" s="163"/>
      <c r="O118" s="163"/>
      <c r="P118" s="163"/>
      <c r="Q118" s="163"/>
    </row>
    <row r="119" spans="1:17" x14ac:dyDescent="0.25">
      <c r="A119" s="505" t="s">
        <v>0</v>
      </c>
      <c r="B119" s="505" t="s">
        <v>7</v>
      </c>
      <c r="C119" s="505"/>
      <c r="D119" s="505"/>
      <c r="E119" s="505" t="s">
        <v>5</v>
      </c>
      <c r="F119" s="505"/>
      <c r="G119" s="505"/>
      <c r="H119" s="505" t="s">
        <v>4</v>
      </c>
      <c r="I119" s="505"/>
      <c r="J119" s="505" t="s">
        <v>6</v>
      </c>
      <c r="K119" s="505"/>
      <c r="L119" s="163"/>
      <c r="M119" s="163"/>
      <c r="N119" s="163"/>
      <c r="O119" s="163"/>
      <c r="P119" s="163"/>
      <c r="Q119" s="163"/>
    </row>
    <row r="120" spans="1:17" x14ac:dyDescent="0.25">
      <c r="A120" s="505"/>
      <c r="B120" s="164" t="s">
        <v>8</v>
      </c>
      <c r="C120" s="164" t="s">
        <v>14</v>
      </c>
      <c r="D120" s="164" t="s">
        <v>13</v>
      </c>
      <c r="E120" s="164" t="s">
        <v>8</v>
      </c>
      <c r="F120" s="164" t="s">
        <v>14</v>
      </c>
      <c r="G120" s="164" t="s">
        <v>10</v>
      </c>
      <c r="H120" s="164" t="s">
        <v>8</v>
      </c>
      <c r="I120" s="164" t="s">
        <v>13</v>
      </c>
      <c r="J120" s="164" t="s">
        <v>8</v>
      </c>
      <c r="K120" s="164" t="s">
        <v>13</v>
      </c>
      <c r="L120" s="163"/>
      <c r="M120" s="163"/>
      <c r="N120" s="163"/>
      <c r="O120" s="163"/>
      <c r="P120" s="163"/>
      <c r="Q120" s="163"/>
    </row>
    <row r="121" spans="1:17" x14ac:dyDescent="0.25">
      <c r="A121" s="165"/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3"/>
      <c r="M121" s="163"/>
      <c r="N121" s="163"/>
      <c r="O121" s="163"/>
      <c r="P121" s="163"/>
      <c r="Q121" s="163"/>
    </row>
    <row r="122" spans="1:17" x14ac:dyDescent="0.25">
      <c r="A122" s="167" t="s">
        <v>24</v>
      </c>
      <c r="B122" s="168">
        <f>'Tawas Hanau'!B19</f>
        <v>0</v>
      </c>
      <c r="C122" s="168">
        <f>'Tawas Hanau'!C19</f>
        <v>0</v>
      </c>
      <c r="D122" s="168">
        <f>'Tawas Hanau'!D19</f>
        <v>0</v>
      </c>
      <c r="E122" s="168">
        <f>'Tawas Hanau'!E19</f>
        <v>0</v>
      </c>
      <c r="F122" s="168">
        <f>'Tawas Hanau'!F19</f>
        <v>0</v>
      </c>
      <c r="G122" s="168">
        <f>'Tawas Hanau'!G19</f>
        <v>0</v>
      </c>
      <c r="H122" s="168">
        <f>'Tawas Hanau'!H19</f>
        <v>0</v>
      </c>
      <c r="I122" s="168">
        <f>'Tawas Hanau'!I19</f>
        <v>0</v>
      </c>
      <c r="J122" s="168">
        <f>'Tawas Hanau'!J19</f>
        <v>0</v>
      </c>
      <c r="K122" s="168">
        <f>'Tawas Hanau'!K19</f>
        <v>0</v>
      </c>
      <c r="L122" s="163"/>
      <c r="M122" s="163"/>
      <c r="N122" s="163"/>
      <c r="O122" s="163"/>
      <c r="P122" s="163"/>
      <c r="Q122" s="163"/>
    </row>
    <row r="123" spans="1:17" x14ac:dyDescent="0.25">
      <c r="A123" s="167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3"/>
      <c r="M123" s="163"/>
      <c r="N123" s="163"/>
      <c r="O123" s="163"/>
      <c r="P123" s="163"/>
      <c r="Q123" s="163"/>
    </row>
    <row r="124" spans="1:17" x14ac:dyDescent="0.25">
      <c r="A124" s="167"/>
      <c r="B124" s="294"/>
      <c r="C124" s="294"/>
      <c r="D124" s="294"/>
      <c r="E124" s="168"/>
      <c r="F124" s="168"/>
      <c r="G124" s="168"/>
      <c r="H124" s="294"/>
      <c r="I124" s="294"/>
      <c r="J124" s="294"/>
      <c r="K124" s="294"/>
      <c r="L124" s="163"/>
      <c r="M124" s="163"/>
      <c r="N124" s="163"/>
      <c r="O124" s="163"/>
      <c r="P124" s="163"/>
      <c r="Q124" s="163"/>
    </row>
    <row r="125" spans="1:17" x14ac:dyDescent="0.25">
      <c r="A125" s="222"/>
      <c r="B125" s="252"/>
      <c r="C125" s="252"/>
      <c r="D125" s="253"/>
      <c r="E125" s="254"/>
      <c r="F125" s="253"/>
      <c r="G125" s="253"/>
      <c r="H125" s="252"/>
      <c r="I125" s="224"/>
      <c r="J125" s="226"/>
      <c r="K125" s="224"/>
      <c r="L125" s="163"/>
      <c r="M125" s="163"/>
      <c r="N125" s="163"/>
      <c r="O125" s="163"/>
      <c r="P125" s="163"/>
      <c r="Q125" s="163"/>
    </row>
    <row r="128" spans="1:17" ht="21" x14ac:dyDescent="0.35">
      <c r="A128" s="278" t="s">
        <v>98</v>
      </c>
    </row>
    <row r="129" spans="1:17" x14ac:dyDescent="0.25">
      <c r="A129" s="504" t="s">
        <v>40</v>
      </c>
      <c r="B129" s="504"/>
      <c r="C129" s="504"/>
      <c r="D129" s="504"/>
      <c r="E129" s="50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</row>
    <row r="130" spans="1:17" x14ac:dyDescent="0.25">
      <c r="A130" s="505" t="s">
        <v>0</v>
      </c>
      <c r="B130" s="505" t="s">
        <v>7</v>
      </c>
      <c r="C130" s="505"/>
      <c r="D130" s="505"/>
      <c r="E130" s="505" t="s">
        <v>5</v>
      </c>
      <c r="F130" s="505"/>
      <c r="G130" s="505"/>
      <c r="H130" s="508" t="s">
        <v>25</v>
      </c>
      <c r="I130" s="509"/>
      <c r="J130" s="510"/>
      <c r="K130" s="508" t="s">
        <v>26</v>
      </c>
      <c r="L130" s="509"/>
      <c r="M130" s="510"/>
      <c r="N130" s="505" t="s">
        <v>4</v>
      </c>
      <c r="O130" s="505"/>
      <c r="P130" s="505" t="s">
        <v>6</v>
      </c>
      <c r="Q130" s="505"/>
    </row>
    <row r="131" spans="1:17" x14ac:dyDescent="0.25">
      <c r="A131" s="505"/>
      <c r="B131" s="164" t="s">
        <v>8</v>
      </c>
      <c r="C131" s="164" t="s">
        <v>14</v>
      </c>
      <c r="D131" s="164" t="s">
        <v>13</v>
      </c>
      <c r="E131" s="164" t="s">
        <v>8</v>
      </c>
      <c r="F131" s="164" t="s">
        <v>14</v>
      </c>
      <c r="G131" s="164" t="s">
        <v>10</v>
      </c>
      <c r="H131" s="164" t="s">
        <v>8</v>
      </c>
      <c r="I131" s="164" t="s">
        <v>9</v>
      </c>
      <c r="J131" s="164" t="s">
        <v>13</v>
      </c>
      <c r="K131" s="164" t="s">
        <v>8</v>
      </c>
      <c r="L131" s="164" t="s">
        <v>9</v>
      </c>
      <c r="M131" s="164" t="s">
        <v>13</v>
      </c>
      <c r="N131" s="164" t="s">
        <v>8</v>
      </c>
      <c r="O131" s="164" t="s">
        <v>13</v>
      </c>
      <c r="P131" s="164" t="s">
        <v>8</v>
      </c>
      <c r="Q131" s="164" t="s">
        <v>13</v>
      </c>
    </row>
    <row r="132" spans="1:17" x14ac:dyDescent="0.25">
      <c r="A132" s="165"/>
      <c r="B132" s="166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</row>
    <row r="133" spans="1:17" x14ac:dyDescent="0.25">
      <c r="A133" s="277" t="s">
        <v>27</v>
      </c>
      <c r="B133" s="168">
        <f>'TAWAS BENAR'!B23</f>
        <v>0</v>
      </c>
      <c r="C133" s="168">
        <f>'TAWAS BENAR'!C23</f>
        <v>0</v>
      </c>
      <c r="D133" s="168">
        <f>'TAWAS BENAR'!D23</f>
        <v>0</v>
      </c>
      <c r="E133" s="168">
        <f>'TAWAS BENAR'!E23</f>
        <v>0</v>
      </c>
      <c r="F133" s="168">
        <f>'TAWAS BENAR'!F23</f>
        <v>0</v>
      </c>
      <c r="G133" s="168">
        <f>'TAWAS BENAR'!G23</f>
        <v>0</v>
      </c>
      <c r="H133" s="168">
        <f>'TAWAS BENAR'!H23</f>
        <v>0</v>
      </c>
      <c r="I133" s="168">
        <f>'TAWAS BENAR'!I23</f>
        <v>0</v>
      </c>
      <c r="J133" s="168">
        <f>'TAWAS BENAR'!J23</f>
        <v>0</v>
      </c>
      <c r="K133" s="168">
        <f>'TAWAS BENAR'!K23</f>
        <v>0</v>
      </c>
      <c r="L133" s="168">
        <f>'TAWAS BENAR'!L23</f>
        <v>0</v>
      </c>
      <c r="M133" s="168">
        <f>'TAWAS BENAR'!M23</f>
        <v>0</v>
      </c>
      <c r="N133" s="168">
        <f>'TAWAS BENAR'!N23</f>
        <v>0</v>
      </c>
      <c r="O133" s="168">
        <f>'TAWAS BENAR'!O23</f>
        <v>0</v>
      </c>
      <c r="P133" s="168">
        <f>'TAWAS BENAR'!P23</f>
        <v>0</v>
      </c>
      <c r="Q133" s="168">
        <f>'TAWAS BENAR'!Q23</f>
        <v>0</v>
      </c>
    </row>
    <row r="134" spans="1:17" x14ac:dyDescent="0.25">
      <c r="A134" s="167"/>
      <c r="B134" s="168"/>
      <c r="C134" s="161"/>
      <c r="D134" s="161"/>
      <c r="E134" s="169"/>
      <c r="F134" s="161"/>
      <c r="G134" s="171"/>
      <c r="H134" s="171"/>
      <c r="I134" s="171"/>
      <c r="J134" s="171"/>
      <c r="K134" s="171"/>
      <c r="L134" s="171"/>
      <c r="M134" s="171"/>
      <c r="N134" s="169"/>
      <c r="O134" s="161"/>
      <c r="P134" s="170"/>
      <c r="Q134" s="161"/>
    </row>
    <row r="135" spans="1:17" x14ac:dyDescent="0.25">
      <c r="A135" s="167"/>
      <c r="B135" s="168"/>
      <c r="C135" s="161"/>
      <c r="D135" s="161"/>
      <c r="E135" s="169"/>
      <c r="F135" s="161"/>
      <c r="G135" s="161"/>
      <c r="H135" s="161"/>
      <c r="I135" s="161"/>
      <c r="J135" s="161">
        <f>H135*I135</f>
        <v>0</v>
      </c>
      <c r="K135" s="161"/>
      <c r="L135" s="161"/>
      <c r="M135" s="161"/>
      <c r="N135" s="169"/>
      <c r="O135" s="270"/>
      <c r="P135" s="170"/>
      <c r="Q135" s="161"/>
    </row>
    <row r="136" spans="1:17" x14ac:dyDescent="0.25">
      <c r="A136" s="222"/>
      <c r="B136" s="223"/>
      <c r="C136" s="224"/>
      <c r="D136" s="224"/>
      <c r="E136" s="225"/>
      <c r="F136" s="224"/>
      <c r="G136" s="224"/>
      <c r="H136" s="224"/>
      <c r="I136" s="224"/>
      <c r="J136" s="224"/>
      <c r="K136" s="224"/>
      <c r="L136" s="224"/>
      <c r="M136" s="224"/>
      <c r="N136" s="225"/>
      <c r="O136" s="224"/>
      <c r="P136" s="226"/>
      <c r="Q136" s="224"/>
    </row>
    <row r="137" spans="1:17" x14ac:dyDescent="0.25">
      <c r="A137" s="163"/>
      <c r="B137" s="163"/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</row>
    <row r="138" spans="1:17" x14ac:dyDescent="0.25">
      <c r="A138" s="163"/>
      <c r="B138" s="163"/>
      <c r="C138" s="163" t="s">
        <v>39</v>
      </c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</row>
    <row r="139" spans="1:17" x14ac:dyDescent="0.25">
      <c r="A139" s="504" t="s">
        <v>41</v>
      </c>
      <c r="B139" s="504"/>
      <c r="C139" s="504"/>
      <c r="D139" s="504"/>
      <c r="E139" s="504"/>
      <c r="F139" s="504"/>
      <c r="G139" s="504"/>
      <c r="H139" s="504"/>
      <c r="I139" s="504"/>
      <c r="J139" s="504"/>
      <c r="K139" s="504"/>
      <c r="L139" s="163"/>
      <c r="M139" s="163"/>
      <c r="N139" s="163"/>
      <c r="O139" s="163"/>
      <c r="P139" s="163"/>
      <c r="Q139" s="163"/>
    </row>
    <row r="140" spans="1:17" x14ac:dyDescent="0.25">
      <c r="A140" s="505" t="s">
        <v>0</v>
      </c>
      <c r="B140" s="505" t="s">
        <v>7</v>
      </c>
      <c r="C140" s="505"/>
      <c r="D140" s="505"/>
      <c r="E140" s="505" t="s">
        <v>5</v>
      </c>
      <c r="F140" s="505"/>
      <c r="G140" s="505"/>
      <c r="H140" s="505" t="s">
        <v>4</v>
      </c>
      <c r="I140" s="505"/>
      <c r="J140" s="505" t="s">
        <v>6</v>
      </c>
      <c r="K140" s="505"/>
      <c r="L140" s="163"/>
      <c r="M140" s="163"/>
      <c r="N140" s="163"/>
      <c r="O140" s="163"/>
      <c r="P140" s="163"/>
      <c r="Q140" s="163"/>
    </row>
    <row r="141" spans="1:17" x14ac:dyDescent="0.25">
      <c r="A141" s="505"/>
      <c r="B141" s="164" t="s">
        <v>8</v>
      </c>
      <c r="C141" s="164" t="s">
        <v>14</v>
      </c>
      <c r="D141" s="164" t="s">
        <v>13</v>
      </c>
      <c r="E141" s="164" t="s">
        <v>8</v>
      </c>
      <c r="F141" s="164" t="s">
        <v>14</v>
      </c>
      <c r="G141" s="164" t="s">
        <v>10</v>
      </c>
      <c r="H141" s="164" t="s">
        <v>8</v>
      </c>
      <c r="I141" s="164" t="s">
        <v>13</v>
      </c>
      <c r="J141" s="164" t="s">
        <v>8</v>
      </c>
      <c r="K141" s="164" t="s">
        <v>13</v>
      </c>
      <c r="L141" s="163"/>
      <c r="M141" s="163"/>
      <c r="N141" s="163"/>
      <c r="O141" s="163"/>
      <c r="P141" s="163"/>
      <c r="Q141" s="163"/>
    </row>
    <row r="142" spans="1:17" x14ac:dyDescent="0.25">
      <c r="A142" s="165"/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3"/>
      <c r="M142" s="163"/>
      <c r="N142" s="163"/>
      <c r="O142" s="163"/>
      <c r="P142" s="163"/>
      <c r="Q142" s="163"/>
    </row>
    <row r="143" spans="1:17" x14ac:dyDescent="0.25">
      <c r="A143" s="167" t="s">
        <v>27</v>
      </c>
      <c r="B143" s="168">
        <f>'Tawas K. B'!B21</f>
        <v>0</v>
      </c>
      <c r="C143" s="168">
        <f>'Tawas K. B'!C21</f>
        <v>0</v>
      </c>
      <c r="D143" s="168">
        <f>'Tawas K. B'!D21</f>
        <v>0</v>
      </c>
      <c r="E143" s="168">
        <f>'Tawas K. B'!E21</f>
        <v>0</v>
      </c>
      <c r="F143" s="168">
        <f>'Tawas K. B'!F21</f>
        <v>0</v>
      </c>
      <c r="G143" s="168">
        <f>'Tawas K. B'!G21</f>
        <v>0</v>
      </c>
      <c r="H143" s="168">
        <f>'Tawas K. B'!H21</f>
        <v>0</v>
      </c>
      <c r="I143" s="168">
        <f>'Tawas K. B'!I21</f>
        <v>0</v>
      </c>
      <c r="J143" s="168">
        <f>'Tawas K. B'!J21</f>
        <v>0</v>
      </c>
      <c r="K143" s="168">
        <f>'Tawas K. B'!K21</f>
        <v>0</v>
      </c>
      <c r="L143" s="163"/>
      <c r="M143" s="163"/>
      <c r="N143" s="163"/>
      <c r="O143" s="163"/>
      <c r="P143" s="163"/>
      <c r="Q143" s="163"/>
    </row>
    <row r="144" spans="1:17" x14ac:dyDescent="0.25">
      <c r="A144" s="167"/>
      <c r="B144" s="168"/>
      <c r="C144" s="161"/>
      <c r="D144" s="161"/>
      <c r="E144" s="169"/>
      <c r="F144" s="161"/>
      <c r="G144" s="161"/>
      <c r="H144" s="169"/>
      <c r="I144" s="161"/>
      <c r="J144" s="170"/>
      <c r="K144" s="161"/>
      <c r="L144" s="163"/>
      <c r="M144" s="163"/>
      <c r="N144" s="163"/>
      <c r="O144" s="163"/>
      <c r="P144" s="163"/>
      <c r="Q144" s="163"/>
    </row>
    <row r="145" spans="1:17" x14ac:dyDescent="0.25">
      <c r="A145" s="222"/>
      <c r="B145" s="223"/>
      <c r="C145" s="224"/>
      <c r="D145" s="224"/>
      <c r="E145" s="225"/>
      <c r="F145" s="224"/>
      <c r="G145" s="224"/>
      <c r="H145" s="225"/>
      <c r="I145" s="224"/>
      <c r="J145" s="226"/>
      <c r="K145" s="224"/>
      <c r="L145" s="163"/>
      <c r="M145" s="163"/>
      <c r="N145" s="163"/>
      <c r="O145" s="163"/>
      <c r="P145" s="163"/>
      <c r="Q145" s="163"/>
    </row>
    <row r="146" spans="1:17" x14ac:dyDescent="0.25">
      <c r="A146" s="163"/>
      <c r="B146" s="163"/>
      <c r="C146" s="163"/>
      <c r="D146" s="163"/>
      <c r="E146" s="163" t="s">
        <v>50</v>
      </c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</row>
    <row r="147" spans="1:17" x14ac:dyDescent="0.25">
      <c r="A147" s="163"/>
      <c r="B147" s="163"/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</row>
    <row r="148" spans="1:17" x14ac:dyDescent="0.25">
      <c r="A148" s="163"/>
      <c r="B148" s="163"/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</row>
    <row r="149" spans="1:17" x14ac:dyDescent="0.25">
      <c r="A149" s="504" t="s">
        <v>99</v>
      </c>
      <c r="B149" s="504"/>
      <c r="C149" s="504"/>
      <c r="D149" s="504"/>
      <c r="E149" s="504"/>
      <c r="F149" s="504"/>
      <c r="G149" s="504"/>
      <c r="H149" s="504"/>
      <c r="I149" s="504"/>
      <c r="J149" s="504"/>
      <c r="K149" s="504"/>
      <c r="L149" s="163"/>
      <c r="M149" s="163"/>
      <c r="N149" s="163"/>
      <c r="O149" s="163"/>
      <c r="P149" s="163"/>
      <c r="Q149" s="163"/>
    </row>
    <row r="150" spans="1:17" x14ac:dyDescent="0.25">
      <c r="A150" s="505" t="s">
        <v>0</v>
      </c>
      <c r="B150" s="505" t="s">
        <v>7</v>
      </c>
      <c r="C150" s="505"/>
      <c r="D150" s="505"/>
      <c r="E150" s="505" t="s">
        <v>5</v>
      </c>
      <c r="F150" s="505"/>
      <c r="G150" s="505"/>
      <c r="H150" s="505" t="s">
        <v>4</v>
      </c>
      <c r="I150" s="505"/>
      <c r="J150" s="505" t="s">
        <v>6</v>
      </c>
      <c r="K150" s="505"/>
      <c r="L150" s="163"/>
      <c r="M150" s="163"/>
      <c r="N150" s="163"/>
      <c r="O150" s="163"/>
      <c r="P150" s="163"/>
      <c r="Q150" s="163"/>
    </row>
    <row r="151" spans="1:17" x14ac:dyDescent="0.25">
      <c r="A151" s="505"/>
      <c r="B151" s="164" t="s">
        <v>8</v>
      </c>
      <c r="C151" s="164" t="s">
        <v>14</v>
      </c>
      <c r="D151" s="164" t="s">
        <v>13</v>
      </c>
      <c r="E151" s="164" t="s">
        <v>8</v>
      </c>
      <c r="F151" s="164" t="s">
        <v>14</v>
      </c>
      <c r="G151" s="164" t="s">
        <v>10</v>
      </c>
      <c r="H151" s="164" t="s">
        <v>8</v>
      </c>
      <c r="I151" s="164" t="s">
        <v>13</v>
      </c>
      <c r="J151" s="164" t="s">
        <v>8</v>
      </c>
      <c r="K151" s="164" t="s">
        <v>13</v>
      </c>
      <c r="L151" s="163"/>
      <c r="M151" s="163"/>
      <c r="N151" s="163"/>
      <c r="O151" s="163"/>
      <c r="P151" s="163"/>
      <c r="Q151" s="163"/>
    </row>
    <row r="152" spans="1:17" x14ac:dyDescent="0.25">
      <c r="A152" s="165"/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163"/>
      <c r="M152" s="163"/>
      <c r="N152" s="163"/>
      <c r="O152" s="163"/>
      <c r="P152" s="163"/>
      <c r="Q152" s="163"/>
    </row>
    <row r="153" spans="1:17" ht="17.25" customHeight="1" x14ac:dyDescent="0.25">
      <c r="A153" s="167" t="s">
        <v>27</v>
      </c>
      <c r="B153" s="168">
        <f>'Tawas Hanau'!B21</f>
        <v>0</v>
      </c>
      <c r="C153" s="168">
        <f>'Tawas Hanau'!C21</f>
        <v>0</v>
      </c>
      <c r="D153" s="168">
        <f>'Tawas Hanau'!D21</f>
        <v>0</v>
      </c>
      <c r="E153" s="168">
        <f>'Tawas Hanau'!E21</f>
        <v>0</v>
      </c>
      <c r="F153" s="168">
        <f>'Tawas Hanau'!F21</f>
        <v>0</v>
      </c>
      <c r="G153" s="168">
        <f>'Tawas Hanau'!G21</f>
        <v>0</v>
      </c>
      <c r="H153" s="168">
        <f>'Tawas Hanau'!H21</f>
        <v>0</v>
      </c>
      <c r="I153" s="168">
        <f>'Tawas Hanau'!I21</f>
        <v>0</v>
      </c>
      <c r="J153" s="168">
        <f>'Tawas Hanau'!J21</f>
        <v>0</v>
      </c>
      <c r="K153" s="168">
        <f>'Tawas Hanau'!K21</f>
        <v>0</v>
      </c>
      <c r="L153" s="163"/>
      <c r="M153" s="163"/>
      <c r="N153" s="163"/>
      <c r="O153" s="163"/>
      <c r="P153" s="163"/>
      <c r="Q153" s="163"/>
    </row>
    <row r="154" spans="1:17" ht="17.25" customHeight="1" x14ac:dyDescent="0.25">
      <c r="A154" s="167"/>
      <c r="B154" s="168"/>
      <c r="C154" s="161"/>
      <c r="D154" s="161"/>
      <c r="E154" s="169"/>
      <c r="F154" s="161"/>
      <c r="G154" s="161">
        <f>E154*F154</f>
        <v>0</v>
      </c>
      <c r="H154" s="169"/>
      <c r="I154" s="161">
        <f>H154*F154</f>
        <v>0</v>
      </c>
      <c r="J154" s="170">
        <f>B154+E154-H154</f>
        <v>0</v>
      </c>
      <c r="K154" s="161">
        <f>D154+G154-I154</f>
        <v>0</v>
      </c>
      <c r="L154" s="163"/>
      <c r="M154" s="163"/>
      <c r="N154" s="163"/>
      <c r="O154" s="163"/>
      <c r="P154" s="163"/>
      <c r="Q154" s="163"/>
    </row>
    <row r="155" spans="1:17" ht="17.25" customHeight="1" x14ac:dyDescent="0.25">
      <c r="A155" s="167"/>
      <c r="B155" s="168"/>
      <c r="C155" s="161"/>
      <c r="D155" s="161"/>
      <c r="E155" s="169"/>
      <c r="F155" s="161"/>
      <c r="G155" s="270"/>
      <c r="H155" s="169"/>
      <c r="I155" s="188"/>
      <c r="J155" s="170"/>
      <c r="K155" s="161"/>
      <c r="L155" s="163"/>
      <c r="M155" s="163"/>
      <c r="N155" s="163"/>
      <c r="O155" s="163"/>
      <c r="P155" s="163"/>
      <c r="Q155" s="163"/>
    </row>
    <row r="156" spans="1:17" x14ac:dyDescent="0.25">
      <c r="A156" s="222"/>
      <c r="B156" s="252"/>
      <c r="C156" s="252"/>
      <c r="D156" s="253"/>
      <c r="E156" s="254"/>
      <c r="F156" s="253"/>
      <c r="G156" s="253"/>
      <c r="H156" s="252"/>
      <c r="I156" s="224"/>
      <c r="J156" s="226"/>
      <c r="K156" s="224"/>
      <c r="L156" s="163"/>
      <c r="M156" s="163"/>
      <c r="N156" s="163"/>
      <c r="O156" s="163"/>
      <c r="P156" s="163"/>
      <c r="Q156" s="163"/>
    </row>
    <row r="159" spans="1:17" ht="21" x14ac:dyDescent="0.35">
      <c r="A159" s="278" t="s">
        <v>101</v>
      </c>
    </row>
    <row r="160" spans="1:17" x14ac:dyDescent="0.25">
      <c r="A160" s="504" t="s">
        <v>40</v>
      </c>
      <c r="B160" s="504"/>
      <c r="C160" s="504"/>
      <c r="D160" s="504"/>
      <c r="E160" s="50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</row>
    <row r="161" spans="1:17" x14ac:dyDescent="0.25">
      <c r="A161" s="505" t="s">
        <v>0</v>
      </c>
      <c r="B161" s="505" t="s">
        <v>7</v>
      </c>
      <c r="C161" s="505"/>
      <c r="D161" s="505"/>
      <c r="E161" s="505" t="s">
        <v>5</v>
      </c>
      <c r="F161" s="505"/>
      <c r="G161" s="505"/>
      <c r="H161" s="508" t="s">
        <v>25</v>
      </c>
      <c r="I161" s="509"/>
      <c r="J161" s="510"/>
      <c r="K161" s="508" t="s">
        <v>26</v>
      </c>
      <c r="L161" s="509"/>
      <c r="M161" s="510"/>
      <c r="N161" s="505" t="s">
        <v>4</v>
      </c>
      <c r="O161" s="505"/>
      <c r="P161" s="505" t="s">
        <v>6</v>
      </c>
      <c r="Q161" s="505"/>
    </row>
    <row r="162" spans="1:17" x14ac:dyDescent="0.25">
      <c r="A162" s="505"/>
      <c r="B162" s="164" t="s">
        <v>8</v>
      </c>
      <c r="C162" s="164" t="s">
        <v>14</v>
      </c>
      <c r="D162" s="164" t="s">
        <v>13</v>
      </c>
      <c r="E162" s="164" t="s">
        <v>8</v>
      </c>
      <c r="F162" s="164" t="s">
        <v>14</v>
      </c>
      <c r="G162" s="164" t="s">
        <v>10</v>
      </c>
      <c r="H162" s="164" t="s">
        <v>8</v>
      </c>
      <c r="I162" s="164" t="s">
        <v>9</v>
      </c>
      <c r="J162" s="164" t="s">
        <v>13</v>
      </c>
      <c r="K162" s="164" t="s">
        <v>8</v>
      </c>
      <c r="L162" s="164" t="s">
        <v>9</v>
      </c>
      <c r="M162" s="164" t="s">
        <v>13</v>
      </c>
      <c r="N162" s="164" t="s">
        <v>8</v>
      </c>
      <c r="O162" s="164" t="s">
        <v>13</v>
      </c>
      <c r="P162" s="164" t="s">
        <v>8</v>
      </c>
      <c r="Q162" s="164" t="s">
        <v>13</v>
      </c>
    </row>
    <row r="163" spans="1:17" x14ac:dyDescent="0.25">
      <c r="A163" s="165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</row>
    <row r="164" spans="1:17" x14ac:dyDescent="0.25">
      <c r="A164" s="277" t="s">
        <v>51</v>
      </c>
      <c r="B164" s="168">
        <f>'TAWAS BENAR'!B25</f>
        <v>0</v>
      </c>
      <c r="C164" s="168">
        <f>'TAWAS BENAR'!C25</f>
        <v>0</v>
      </c>
      <c r="D164" s="168">
        <f>'TAWAS BENAR'!D25</f>
        <v>0</v>
      </c>
      <c r="E164" s="168">
        <f>'TAWAS BENAR'!E25</f>
        <v>0</v>
      </c>
      <c r="F164" s="168">
        <f>'TAWAS BENAR'!F25</f>
        <v>0</v>
      </c>
      <c r="G164" s="168">
        <f>'TAWAS BENAR'!G25</f>
        <v>0</v>
      </c>
      <c r="H164" s="168">
        <f>'TAWAS BENAR'!H25</f>
        <v>0</v>
      </c>
      <c r="I164" s="168">
        <f>'TAWAS BENAR'!I25</f>
        <v>0</v>
      </c>
      <c r="J164" s="168">
        <f>'TAWAS BENAR'!J25</f>
        <v>0</v>
      </c>
      <c r="K164" s="168">
        <f>'TAWAS BENAR'!K25</f>
        <v>0</v>
      </c>
      <c r="L164" s="168">
        <f>'TAWAS BENAR'!L25</f>
        <v>0</v>
      </c>
      <c r="M164" s="168">
        <f>'TAWAS BENAR'!M25</f>
        <v>0</v>
      </c>
      <c r="N164" s="168">
        <f>'TAWAS BENAR'!N25</f>
        <v>0</v>
      </c>
      <c r="O164" s="168">
        <f>'TAWAS BENAR'!O25</f>
        <v>0</v>
      </c>
      <c r="P164" s="168">
        <f>'TAWAS BENAR'!P25</f>
        <v>0</v>
      </c>
      <c r="Q164" s="168">
        <f>'TAWAS BENAR'!Q25</f>
        <v>0</v>
      </c>
    </row>
    <row r="165" spans="1:17" x14ac:dyDescent="0.25">
      <c r="A165" s="167"/>
      <c r="B165" s="168"/>
      <c r="C165" s="168"/>
      <c r="D165" s="168"/>
      <c r="E165" s="168">
        <f>'TAWAS BENAR'!E26</f>
        <v>0</v>
      </c>
      <c r="F165" s="168">
        <f>'TAWAS BENAR'!F26</f>
        <v>0</v>
      </c>
      <c r="G165" s="168">
        <f>'TAWAS BENAR'!G26</f>
        <v>0</v>
      </c>
      <c r="H165" s="168"/>
      <c r="I165" s="168"/>
      <c r="J165" s="168"/>
      <c r="K165" s="168">
        <f>'TAWAS BENAR'!K26</f>
        <v>0</v>
      </c>
      <c r="L165" s="168">
        <f>'TAWAS BENAR'!L26</f>
        <v>0</v>
      </c>
      <c r="M165" s="168">
        <f>'TAWAS BENAR'!M26</f>
        <v>0</v>
      </c>
      <c r="N165" s="168">
        <f>'TAWAS BENAR'!N26</f>
        <v>0</v>
      </c>
      <c r="O165" s="168">
        <f>'TAWAS BENAR'!O26</f>
        <v>0</v>
      </c>
      <c r="P165" s="168">
        <f>'TAWAS BENAR'!P26</f>
        <v>0</v>
      </c>
      <c r="Q165" s="168">
        <f>'TAWAS BENAR'!Q26</f>
        <v>0</v>
      </c>
    </row>
    <row r="166" spans="1:17" x14ac:dyDescent="0.25">
      <c r="A166" s="222"/>
      <c r="B166" s="223"/>
      <c r="C166" s="224"/>
      <c r="D166" s="224"/>
      <c r="E166" s="225"/>
      <c r="F166" s="224"/>
      <c r="G166" s="224"/>
      <c r="H166" s="224"/>
      <c r="I166" s="224"/>
      <c r="J166" s="224"/>
      <c r="K166" s="224"/>
      <c r="L166" s="224"/>
      <c r="M166" s="224"/>
      <c r="N166" s="225"/>
      <c r="O166" s="224"/>
      <c r="P166" s="226"/>
      <c r="Q166" s="224"/>
    </row>
    <row r="167" spans="1:17" x14ac:dyDescent="0.25">
      <c r="A167" s="163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</row>
    <row r="168" spans="1:17" x14ac:dyDescent="0.25">
      <c r="A168" s="163"/>
      <c r="B168" s="163"/>
      <c r="C168" s="163" t="s">
        <v>39</v>
      </c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</row>
    <row r="169" spans="1:17" x14ac:dyDescent="0.25">
      <c r="A169" s="504" t="s">
        <v>41</v>
      </c>
      <c r="B169" s="504"/>
      <c r="C169" s="504"/>
      <c r="D169" s="504"/>
      <c r="E169" s="504"/>
      <c r="F169" s="504"/>
      <c r="G169" s="504"/>
      <c r="H169" s="504"/>
      <c r="I169" s="504"/>
      <c r="J169" s="504"/>
      <c r="K169" s="504"/>
      <c r="L169" s="163"/>
      <c r="M169" s="163"/>
      <c r="N169" s="163"/>
      <c r="O169" s="163"/>
      <c r="P169" s="163"/>
      <c r="Q169" s="163"/>
    </row>
    <row r="170" spans="1:17" x14ac:dyDescent="0.25">
      <c r="A170" s="505" t="s">
        <v>0</v>
      </c>
      <c r="B170" s="505" t="s">
        <v>7</v>
      </c>
      <c r="C170" s="505"/>
      <c r="D170" s="505"/>
      <c r="E170" s="505" t="s">
        <v>5</v>
      </c>
      <c r="F170" s="505"/>
      <c r="G170" s="505"/>
      <c r="H170" s="505" t="s">
        <v>4</v>
      </c>
      <c r="I170" s="505"/>
      <c r="J170" s="505" t="s">
        <v>6</v>
      </c>
      <c r="K170" s="505"/>
      <c r="L170" s="163"/>
      <c r="M170" s="163"/>
      <c r="N170" s="163"/>
      <c r="O170" s="163"/>
      <c r="P170" s="163"/>
      <c r="Q170" s="163"/>
    </row>
    <row r="171" spans="1:17" x14ac:dyDescent="0.25">
      <c r="A171" s="505"/>
      <c r="B171" s="164" t="s">
        <v>8</v>
      </c>
      <c r="C171" s="164" t="s">
        <v>14</v>
      </c>
      <c r="D171" s="164" t="s">
        <v>13</v>
      </c>
      <c r="E171" s="164" t="s">
        <v>8</v>
      </c>
      <c r="F171" s="164" t="s">
        <v>14</v>
      </c>
      <c r="G171" s="164" t="s">
        <v>10</v>
      </c>
      <c r="H171" s="164" t="s">
        <v>8</v>
      </c>
      <c r="I171" s="164" t="s">
        <v>13</v>
      </c>
      <c r="J171" s="164" t="s">
        <v>8</v>
      </c>
      <c r="K171" s="164" t="s">
        <v>13</v>
      </c>
      <c r="L171" s="163"/>
      <c r="M171" s="163"/>
      <c r="N171" s="163"/>
      <c r="O171" s="163"/>
      <c r="P171" s="163"/>
      <c r="Q171" s="163"/>
    </row>
    <row r="172" spans="1:17" x14ac:dyDescent="0.25">
      <c r="A172" s="165"/>
      <c r="B172" s="166"/>
      <c r="C172" s="166"/>
      <c r="D172" s="166"/>
      <c r="E172" s="166"/>
      <c r="F172" s="166"/>
      <c r="G172" s="166"/>
      <c r="H172" s="166"/>
      <c r="I172" s="166"/>
      <c r="J172" s="166"/>
      <c r="K172" s="166"/>
      <c r="L172" s="163"/>
      <c r="M172" s="163"/>
      <c r="N172" s="163"/>
      <c r="O172" s="163"/>
      <c r="P172" s="163"/>
      <c r="Q172" s="163"/>
    </row>
    <row r="173" spans="1:17" x14ac:dyDescent="0.25">
      <c r="A173" s="167" t="s">
        <v>51</v>
      </c>
      <c r="B173" s="168">
        <f>'Tawas K. B'!B23</f>
        <v>0</v>
      </c>
      <c r="C173" s="168">
        <f>'Tawas K. B'!C23</f>
        <v>0</v>
      </c>
      <c r="D173" s="168">
        <f>'Tawas K. B'!D23</f>
        <v>0</v>
      </c>
      <c r="E173" s="168">
        <f>'Tawas K. B'!E23</f>
        <v>0</v>
      </c>
      <c r="F173" s="168">
        <f>'Tawas K. B'!F23</f>
        <v>0</v>
      </c>
      <c r="G173" s="168">
        <f>'Tawas K. B'!G23</f>
        <v>0</v>
      </c>
      <c r="H173" s="168">
        <f>'Tawas K. B'!H23</f>
        <v>0</v>
      </c>
      <c r="I173" s="168">
        <f>'Tawas K. B'!I23</f>
        <v>0</v>
      </c>
      <c r="J173" s="168">
        <f>'Tawas K. B'!J23</f>
        <v>0</v>
      </c>
      <c r="K173" s="168">
        <f>'Tawas K. B'!K23</f>
        <v>0</v>
      </c>
      <c r="L173" s="163"/>
      <c r="M173" s="163"/>
      <c r="N173" s="163"/>
      <c r="O173" s="163"/>
      <c r="P173" s="163"/>
      <c r="Q173" s="163"/>
    </row>
    <row r="174" spans="1:17" x14ac:dyDescent="0.25">
      <c r="A174" s="222"/>
      <c r="B174" s="223"/>
      <c r="C174" s="224"/>
      <c r="D174" s="224"/>
      <c r="E174" s="225"/>
      <c r="F174" s="224"/>
      <c r="G174" s="224"/>
      <c r="H174" s="225"/>
      <c r="I174" s="224"/>
      <c r="J174" s="226"/>
      <c r="K174" s="224"/>
      <c r="L174" s="163"/>
      <c r="M174" s="163"/>
      <c r="N174" s="163"/>
      <c r="O174" s="163"/>
      <c r="P174" s="163"/>
      <c r="Q174" s="163"/>
    </row>
    <row r="175" spans="1:17" x14ac:dyDescent="0.25">
      <c r="A175" s="163"/>
      <c r="B175" s="163"/>
      <c r="C175" s="163"/>
      <c r="D175" s="163"/>
      <c r="E175" s="163" t="s">
        <v>50</v>
      </c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</row>
    <row r="176" spans="1:17" x14ac:dyDescent="0.25">
      <c r="A176" s="163"/>
      <c r="B176" s="163"/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</row>
    <row r="177" spans="1:17" x14ac:dyDescent="0.25">
      <c r="A177" s="163"/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</row>
    <row r="178" spans="1:17" x14ac:dyDescent="0.25">
      <c r="A178" s="504" t="s">
        <v>42</v>
      </c>
      <c r="B178" s="504"/>
      <c r="C178" s="504"/>
      <c r="D178" s="504"/>
      <c r="E178" s="504"/>
      <c r="F178" s="504"/>
      <c r="G178" s="504"/>
      <c r="H178" s="504"/>
      <c r="I178" s="504"/>
      <c r="J178" s="504"/>
      <c r="K178" s="504"/>
      <c r="L178" s="163"/>
      <c r="M178" s="163"/>
      <c r="N178" s="163"/>
      <c r="O178" s="163"/>
      <c r="P178" s="163"/>
      <c r="Q178" s="163"/>
    </row>
    <row r="179" spans="1:17" x14ac:dyDescent="0.25">
      <c r="A179" s="505" t="s">
        <v>0</v>
      </c>
      <c r="B179" s="505" t="s">
        <v>7</v>
      </c>
      <c r="C179" s="505"/>
      <c r="D179" s="505"/>
      <c r="E179" s="505" t="s">
        <v>5</v>
      </c>
      <c r="F179" s="505"/>
      <c r="G179" s="505"/>
      <c r="H179" s="505" t="s">
        <v>4</v>
      </c>
      <c r="I179" s="505"/>
      <c r="J179" s="505" t="s">
        <v>6</v>
      </c>
      <c r="K179" s="505"/>
      <c r="L179" s="163"/>
      <c r="M179" s="163"/>
      <c r="N179" s="163"/>
      <c r="O179" s="163"/>
      <c r="P179" s="163"/>
      <c r="Q179" s="163"/>
    </row>
    <row r="180" spans="1:17" x14ac:dyDescent="0.25">
      <c r="A180" s="505"/>
      <c r="B180" s="164" t="s">
        <v>8</v>
      </c>
      <c r="C180" s="164" t="s">
        <v>14</v>
      </c>
      <c r="D180" s="164" t="s">
        <v>13</v>
      </c>
      <c r="E180" s="164" t="s">
        <v>8</v>
      </c>
      <c r="F180" s="164" t="s">
        <v>14</v>
      </c>
      <c r="G180" s="164" t="s">
        <v>10</v>
      </c>
      <c r="H180" s="164" t="s">
        <v>8</v>
      </c>
      <c r="I180" s="164" t="s">
        <v>13</v>
      </c>
      <c r="J180" s="164" t="s">
        <v>8</v>
      </c>
      <c r="K180" s="164" t="s">
        <v>13</v>
      </c>
      <c r="L180" s="163"/>
      <c r="M180" s="163"/>
      <c r="N180" s="163"/>
      <c r="O180" s="163"/>
      <c r="P180" s="163"/>
      <c r="Q180" s="163"/>
    </row>
    <row r="181" spans="1:17" x14ac:dyDescent="0.25">
      <c r="A181" s="165"/>
      <c r="B181" s="166"/>
      <c r="C181" s="166"/>
      <c r="D181" s="166"/>
      <c r="E181" s="166"/>
      <c r="F181" s="166"/>
      <c r="G181" s="166"/>
      <c r="H181" s="166"/>
      <c r="I181" s="166"/>
      <c r="J181" s="166"/>
      <c r="K181" s="166"/>
      <c r="L181" s="163"/>
      <c r="M181" s="163"/>
      <c r="N181" s="163"/>
      <c r="O181" s="163"/>
      <c r="P181" s="163"/>
      <c r="Q181" s="163"/>
    </row>
    <row r="182" spans="1:17" x14ac:dyDescent="0.25">
      <c r="A182" s="167" t="s">
        <v>51</v>
      </c>
      <c r="B182" s="168">
        <f>'Tawas Hanau'!B23</f>
        <v>0</v>
      </c>
      <c r="C182" s="168">
        <f>'Tawas Hanau'!C23</f>
        <v>0</v>
      </c>
      <c r="D182" s="168">
        <f>'Tawas Hanau'!D23</f>
        <v>0</v>
      </c>
      <c r="E182" s="168">
        <f>'Tawas Hanau'!E23</f>
        <v>0</v>
      </c>
      <c r="F182" s="168">
        <f>'Tawas Hanau'!F23</f>
        <v>0</v>
      </c>
      <c r="G182" s="168">
        <f>'Tawas Hanau'!G23</f>
        <v>0</v>
      </c>
      <c r="H182" s="168">
        <f>'Tawas Hanau'!H23</f>
        <v>0</v>
      </c>
      <c r="I182" s="168">
        <f>'Tawas Hanau'!I23</f>
        <v>0</v>
      </c>
      <c r="J182" s="168">
        <f>'Tawas Hanau'!J23</f>
        <v>0</v>
      </c>
      <c r="K182" s="168">
        <f>'Tawas Hanau'!K23</f>
        <v>0</v>
      </c>
      <c r="L182" s="163"/>
      <c r="M182" s="163"/>
      <c r="N182" s="163"/>
      <c r="O182" s="163"/>
      <c r="P182" s="163"/>
      <c r="Q182" s="163"/>
    </row>
    <row r="183" spans="1:17" x14ac:dyDescent="0.25">
      <c r="A183" s="167"/>
      <c r="B183" s="168"/>
      <c r="C183" s="161"/>
      <c r="D183" s="161"/>
      <c r="E183" s="169"/>
      <c r="F183" s="161"/>
      <c r="G183" s="161">
        <f>E183*F183</f>
        <v>0</v>
      </c>
      <c r="H183" s="169"/>
      <c r="I183" s="161"/>
      <c r="J183" s="170">
        <f>B183+E183-H183</f>
        <v>0</v>
      </c>
      <c r="K183" s="161">
        <f>D183+G183-I183</f>
        <v>0</v>
      </c>
      <c r="L183" s="163"/>
      <c r="M183" s="163"/>
      <c r="N183" s="163"/>
      <c r="O183" s="163"/>
      <c r="P183" s="163"/>
      <c r="Q183" s="163"/>
    </row>
    <row r="184" spans="1:17" x14ac:dyDescent="0.25">
      <c r="A184" s="222"/>
      <c r="B184" s="223"/>
      <c r="C184" s="224"/>
      <c r="D184" s="224"/>
      <c r="E184" s="225"/>
      <c r="F184" s="224"/>
      <c r="G184" s="224">
        <f>E184*F184</f>
        <v>0</v>
      </c>
      <c r="H184" s="225"/>
      <c r="I184" s="224">
        <f>H184*F184</f>
        <v>0</v>
      </c>
      <c r="J184" s="226">
        <f>B184+E184-H184</f>
        <v>0</v>
      </c>
      <c r="K184" s="224">
        <f>D184+G184-I184</f>
        <v>0</v>
      </c>
      <c r="L184" s="163"/>
      <c r="M184" s="163"/>
      <c r="N184" s="163"/>
      <c r="O184" s="163"/>
      <c r="P184" s="163"/>
      <c r="Q184" s="163"/>
    </row>
    <row r="186" spans="1:17" ht="21" x14ac:dyDescent="0.35">
      <c r="A186" s="278" t="s">
        <v>102</v>
      </c>
    </row>
    <row r="187" spans="1:17" x14ac:dyDescent="0.25">
      <c r="A187" s="504" t="s">
        <v>40</v>
      </c>
      <c r="B187" s="504"/>
      <c r="C187" s="504"/>
      <c r="D187" s="504"/>
      <c r="E187" s="50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</row>
    <row r="188" spans="1:17" x14ac:dyDescent="0.25">
      <c r="A188" s="505" t="s">
        <v>0</v>
      </c>
      <c r="B188" s="505" t="s">
        <v>7</v>
      </c>
      <c r="C188" s="505"/>
      <c r="D188" s="505"/>
      <c r="E188" s="505" t="s">
        <v>5</v>
      </c>
      <c r="F188" s="505"/>
      <c r="G188" s="505"/>
      <c r="H188" s="508" t="s">
        <v>25</v>
      </c>
      <c r="I188" s="509"/>
      <c r="J188" s="510"/>
      <c r="K188" s="508" t="s">
        <v>26</v>
      </c>
      <c r="L188" s="509"/>
      <c r="M188" s="510"/>
      <c r="N188" s="505" t="s">
        <v>4</v>
      </c>
      <c r="O188" s="505"/>
      <c r="P188" s="505" t="s">
        <v>6</v>
      </c>
      <c r="Q188" s="505"/>
    </row>
    <row r="189" spans="1:17" x14ac:dyDescent="0.25">
      <c r="A189" s="505"/>
      <c r="B189" s="164" t="s">
        <v>8</v>
      </c>
      <c r="C189" s="164" t="s">
        <v>14</v>
      </c>
      <c r="D189" s="164" t="s">
        <v>13</v>
      </c>
      <c r="E189" s="164" t="s">
        <v>8</v>
      </c>
      <c r="F189" s="164" t="s">
        <v>14</v>
      </c>
      <c r="G189" s="164" t="s">
        <v>10</v>
      </c>
      <c r="H189" s="164" t="s">
        <v>8</v>
      </c>
      <c r="I189" s="164" t="s">
        <v>9</v>
      </c>
      <c r="J189" s="164" t="s">
        <v>13</v>
      </c>
      <c r="K189" s="164" t="s">
        <v>8</v>
      </c>
      <c r="L189" s="164" t="s">
        <v>9</v>
      </c>
      <c r="M189" s="164" t="s">
        <v>13</v>
      </c>
      <c r="N189" s="164" t="s">
        <v>8</v>
      </c>
      <c r="O189" s="164" t="s">
        <v>13</v>
      </c>
      <c r="P189" s="164" t="s">
        <v>8</v>
      </c>
      <c r="Q189" s="164" t="s">
        <v>13</v>
      </c>
    </row>
    <row r="190" spans="1:17" x14ac:dyDescent="0.25">
      <c r="A190" s="165"/>
      <c r="B190" s="166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</row>
    <row r="191" spans="1:17" x14ac:dyDescent="0.25">
      <c r="A191" s="277" t="s">
        <v>52</v>
      </c>
      <c r="B191" s="168">
        <f>'TAWAS BENAR'!B27</f>
        <v>0</v>
      </c>
      <c r="C191" s="168">
        <f>'TAWAS BENAR'!C27</f>
        <v>0</v>
      </c>
      <c r="D191" s="168">
        <f>'TAWAS BENAR'!D27</f>
        <v>0</v>
      </c>
      <c r="E191" s="168">
        <f>'TAWAS BENAR'!E27</f>
        <v>0</v>
      </c>
      <c r="F191" s="168">
        <f>'TAWAS BENAR'!F27</f>
        <v>0</v>
      </c>
      <c r="G191" s="168">
        <f>'TAWAS BENAR'!G27</f>
        <v>0</v>
      </c>
      <c r="H191" s="168">
        <f>'TAWAS BENAR'!H27</f>
        <v>0</v>
      </c>
      <c r="I191" s="168">
        <f>'TAWAS BENAR'!I27</f>
        <v>0</v>
      </c>
      <c r="J191" s="168">
        <f>'TAWAS BENAR'!J27</f>
        <v>0</v>
      </c>
      <c r="K191" s="168">
        <f>'TAWAS BENAR'!K27</f>
        <v>0</v>
      </c>
      <c r="L191" s="168">
        <f>'TAWAS BENAR'!L27</f>
        <v>0</v>
      </c>
      <c r="M191" s="168">
        <f>'TAWAS BENAR'!M27</f>
        <v>0</v>
      </c>
      <c r="N191" s="168">
        <f>'TAWAS BENAR'!N27</f>
        <v>0</v>
      </c>
      <c r="O191" s="168">
        <f>'TAWAS BENAR'!O27</f>
        <v>0</v>
      </c>
      <c r="P191" s="168">
        <f>'TAWAS BENAR'!P27</f>
        <v>0</v>
      </c>
      <c r="Q191" s="168">
        <f>'TAWAS BENAR'!Q27</f>
        <v>0</v>
      </c>
    </row>
    <row r="192" spans="1:17" x14ac:dyDescent="0.25">
      <c r="A192" s="167"/>
      <c r="B192" s="168">
        <f>'TAWAS BENAR'!B28</f>
        <v>0</v>
      </c>
      <c r="C192" s="168">
        <f>'TAWAS BENAR'!C28</f>
        <v>0</v>
      </c>
      <c r="D192" s="168">
        <f>'TAWAS BENAR'!D28</f>
        <v>0</v>
      </c>
      <c r="E192" s="168">
        <f>'TAWAS BENAR'!E28</f>
        <v>0</v>
      </c>
      <c r="F192" s="168">
        <f>'TAWAS BENAR'!F28</f>
        <v>0</v>
      </c>
      <c r="G192" s="168">
        <f>'TAWAS BENAR'!G28</f>
        <v>0</v>
      </c>
      <c r="H192" s="168">
        <f>'TAWAS BENAR'!H28</f>
        <v>0</v>
      </c>
      <c r="I192" s="168">
        <f>'TAWAS BENAR'!I28</f>
        <v>0</v>
      </c>
      <c r="J192" s="168">
        <f>'TAWAS BENAR'!J28</f>
        <v>0</v>
      </c>
      <c r="K192" s="168">
        <f>'TAWAS BENAR'!K28</f>
        <v>0</v>
      </c>
      <c r="L192" s="168">
        <f>'TAWAS BENAR'!L28</f>
        <v>0</v>
      </c>
      <c r="M192" s="168">
        <f>'TAWAS BENAR'!M28</f>
        <v>0</v>
      </c>
      <c r="N192" s="168">
        <f>'TAWAS BENAR'!N28</f>
        <v>0</v>
      </c>
      <c r="O192" s="168">
        <f>'TAWAS BENAR'!O28</f>
        <v>0</v>
      </c>
      <c r="P192" s="168">
        <f>'TAWAS BENAR'!P28</f>
        <v>0</v>
      </c>
      <c r="Q192" s="168">
        <f>'TAWAS BENAR'!Q28</f>
        <v>0</v>
      </c>
    </row>
    <row r="193" spans="1:17" x14ac:dyDescent="0.25">
      <c r="A193" s="167"/>
      <c r="B193" s="168" t="e">
        <f>'TAWAS BENAR'!#REF!</f>
        <v>#REF!</v>
      </c>
      <c r="C193" s="168" t="e">
        <f>'TAWAS BENAR'!#REF!</f>
        <v>#REF!</v>
      </c>
      <c r="D193" s="168" t="e">
        <f>'TAWAS BENAR'!#REF!</f>
        <v>#REF!</v>
      </c>
      <c r="E193" s="168" t="e">
        <f>'TAWAS BENAR'!#REF!</f>
        <v>#REF!</v>
      </c>
      <c r="F193" s="168" t="e">
        <f>'TAWAS BENAR'!#REF!</f>
        <v>#REF!</v>
      </c>
      <c r="G193" s="168" t="e">
        <f>'TAWAS BENAR'!#REF!</f>
        <v>#REF!</v>
      </c>
      <c r="H193" s="168" t="e">
        <f>'TAWAS BENAR'!#REF!</f>
        <v>#REF!</v>
      </c>
      <c r="I193" s="168" t="e">
        <f>'TAWAS BENAR'!#REF!</f>
        <v>#REF!</v>
      </c>
      <c r="J193" s="168" t="e">
        <f>'TAWAS BENAR'!#REF!</f>
        <v>#REF!</v>
      </c>
      <c r="K193" s="168" t="e">
        <f>'TAWAS BENAR'!#REF!</f>
        <v>#REF!</v>
      </c>
      <c r="L193" s="168" t="e">
        <f>'TAWAS BENAR'!#REF!</f>
        <v>#REF!</v>
      </c>
      <c r="M193" s="168" t="e">
        <f>'TAWAS BENAR'!#REF!</f>
        <v>#REF!</v>
      </c>
      <c r="N193" s="168" t="e">
        <f>'TAWAS BENAR'!#REF!</f>
        <v>#REF!</v>
      </c>
      <c r="O193" s="168" t="e">
        <f>'TAWAS BENAR'!#REF!</f>
        <v>#REF!</v>
      </c>
      <c r="P193" s="168" t="e">
        <f>'TAWAS BENAR'!#REF!</f>
        <v>#REF!</v>
      </c>
      <c r="Q193" s="168" t="e">
        <f>'TAWAS BENAR'!#REF!</f>
        <v>#REF!</v>
      </c>
    </row>
    <row r="194" spans="1:17" x14ac:dyDescent="0.25">
      <c r="A194" s="222"/>
      <c r="B194" s="223"/>
      <c r="C194" s="224"/>
      <c r="D194" s="224"/>
      <c r="E194" s="225"/>
      <c r="F194" s="224"/>
      <c r="G194" s="224"/>
      <c r="H194" s="224"/>
      <c r="I194" s="224"/>
      <c r="J194" s="224"/>
      <c r="K194" s="224"/>
      <c r="L194" s="224"/>
      <c r="M194" s="224"/>
      <c r="N194" s="225"/>
      <c r="O194" s="224"/>
      <c r="P194" s="226"/>
      <c r="Q194" s="224"/>
    </row>
    <row r="195" spans="1:17" x14ac:dyDescent="0.25">
      <c r="A195" s="163"/>
      <c r="B195" s="163"/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</row>
    <row r="196" spans="1:17" x14ac:dyDescent="0.25">
      <c r="A196" s="163"/>
      <c r="B196" s="163"/>
      <c r="C196" s="163" t="s">
        <v>39</v>
      </c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</row>
    <row r="197" spans="1:17" x14ac:dyDescent="0.25">
      <c r="A197" s="504" t="s">
        <v>41</v>
      </c>
      <c r="B197" s="504"/>
      <c r="C197" s="504"/>
      <c r="D197" s="504"/>
      <c r="E197" s="504"/>
      <c r="F197" s="504"/>
      <c r="G197" s="504"/>
      <c r="H197" s="504"/>
      <c r="I197" s="504"/>
      <c r="J197" s="504"/>
      <c r="K197" s="504"/>
      <c r="L197" s="163"/>
      <c r="M197" s="163"/>
      <c r="N197" s="163"/>
      <c r="O197" s="163"/>
      <c r="P197" s="163"/>
      <c r="Q197" s="163"/>
    </row>
    <row r="198" spans="1:17" x14ac:dyDescent="0.25">
      <c r="A198" s="505" t="s">
        <v>0</v>
      </c>
      <c r="B198" s="505" t="s">
        <v>7</v>
      </c>
      <c r="C198" s="505"/>
      <c r="D198" s="505"/>
      <c r="E198" s="505" t="s">
        <v>5</v>
      </c>
      <c r="F198" s="505"/>
      <c r="G198" s="505"/>
      <c r="H198" s="505" t="s">
        <v>4</v>
      </c>
      <c r="I198" s="505"/>
      <c r="J198" s="505" t="s">
        <v>6</v>
      </c>
      <c r="K198" s="505"/>
      <c r="L198" s="163"/>
      <c r="M198" s="163"/>
      <c r="N198" s="163"/>
      <c r="O198" s="163"/>
      <c r="P198" s="163"/>
      <c r="Q198" s="163"/>
    </row>
    <row r="199" spans="1:17" x14ac:dyDescent="0.25">
      <c r="A199" s="505"/>
      <c r="B199" s="164" t="s">
        <v>8</v>
      </c>
      <c r="C199" s="164" t="s">
        <v>14</v>
      </c>
      <c r="D199" s="164" t="s">
        <v>13</v>
      </c>
      <c r="E199" s="164" t="s">
        <v>8</v>
      </c>
      <c r="F199" s="164" t="s">
        <v>14</v>
      </c>
      <c r="G199" s="164" t="s">
        <v>10</v>
      </c>
      <c r="H199" s="164" t="s">
        <v>8</v>
      </c>
      <c r="I199" s="164" t="s">
        <v>13</v>
      </c>
      <c r="J199" s="164" t="s">
        <v>8</v>
      </c>
      <c r="K199" s="164" t="s">
        <v>13</v>
      </c>
      <c r="L199" s="163"/>
      <c r="M199" s="163"/>
      <c r="N199" s="163"/>
      <c r="O199" s="163"/>
      <c r="P199" s="163"/>
      <c r="Q199" s="163"/>
    </row>
    <row r="200" spans="1:17" x14ac:dyDescent="0.25">
      <c r="A200" s="165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3"/>
      <c r="M200" s="163"/>
      <c r="N200" s="163"/>
      <c r="O200" s="163"/>
      <c r="P200" s="163"/>
      <c r="Q200" s="163"/>
    </row>
    <row r="201" spans="1:17" x14ac:dyDescent="0.25">
      <c r="A201" s="167" t="s">
        <v>52</v>
      </c>
      <c r="B201" s="168">
        <f>'Tawas K. B'!B25</f>
        <v>0</v>
      </c>
      <c r="C201" s="168">
        <f>'Tawas K. B'!C25</f>
        <v>0</v>
      </c>
      <c r="D201" s="168">
        <f>'Tawas K. B'!D25</f>
        <v>0</v>
      </c>
      <c r="E201" s="168">
        <f>'Tawas K. B'!E25</f>
        <v>0</v>
      </c>
      <c r="F201" s="168">
        <f>'Tawas K. B'!F25</f>
        <v>0</v>
      </c>
      <c r="G201" s="168">
        <f>'Tawas K. B'!G25</f>
        <v>0</v>
      </c>
      <c r="H201" s="168">
        <f>'Tawas K. B'!H25</f>
        <v>0</v>
      </c>
      <c r="I201" s="168">
        <f>'Tawas K. B'!I25</f>
        <v>0</v>
      </c>
      <c r="J201" s="168">
        <f>'Tawas K. B'!J25</f>
        <v>0</v>
      </c>
      <c r="K201" s="168">
        <f>'Tawas K. B'!K25</f>
        <v>0</v>
      </c>
      <c r="L201" s="163"/>
      <c r="M201" s="163"/>
      <c r="N201" s="163"/>
      <c r="O201" s="163"/>
      <c r="P201" s="163"/>
      <c r="Q201" s="163"/>
    </row>
    <row r="202" spans="1:17" x14ac:dyDescent="0.25">
      <c r="A202" s="167"/>
      <c r="B202" s="168"/>
      <c r="C202" s="161"/>
      <c r="D202" s="161"/>
      <c r="E202" s="169"/>
      <c r="F202" s="161"/>
      <c r="G202" s="161"/>
      <c r="H202" s="169"/>
      <c r="I202" s="161"/>
      <c r="J202" s="170"/>
      <c r="K202" s="161"/>
      <c r="L202" s="163"/>
      <c r="M202" s="163"/>
      <c r="N202" s="163"/>
      <c r="O202" s="163"/>
      <c r="P202" s="163"/>
      <c r="Q202" s="163"/>
    </row>
    <row r="203" spans="1:17" x14ac:dyDescent="0.25">
      <c r="A203" s="222"/>
      <c r="B203" s="223"/>
      <c r="C203" s="224"/>
      <c r="D203" s="224"/>
      <c r="E203" s="225"/>
      <c r="F203" s="224"/>
      <c r="G203" s="224"/>
      <c r="H203" s="225"/>
      <c r="I203" s="224"/>
      <c r="J203" s="226"/>
      <c r="K203" s="224"/>
      <c r="L203" s="163"/>
      <c r="M203" s="163"/>
      <c r="N203" s="163"/>
      <c r="O203" s="163"/>
      <c r="P203" s="163"/>
      <c r="Q203" s="163"/>
    </row>
    <row r="204" spans="1:17" x14ac:dyDescent="0.25">
      <c r="A204" s="163"/>
      <c r="B204" s="163"/>
      <c r="C204" s="163"/>
      <c r="D204" s="163"/>
      <c r="E204" s="163" t="s">
        <v>50</v>
      </c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</row>
    <row r="205" spans="1:17" x14ac:dyDescent="0.25">
      <c r="A205" s="163"/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</row>
    <row r="206" spans="1:17" x14ac:dyDescent="0.25">
      <c r="A206" s="163"/>
      <c r="B206" s="163"/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</row>
    <row r="207" spans="1:17" x14ac:dyDescent="0.25">
      <c r="A207" s="504" t="s">
        <v>42</v>
      </c>
      <c r="B207" s="504"/>
      <c r="C207" s="504"/>
      <c r="D207" s="504"/>
      <c r="E207" s="504"/>
      <c r="F207" s="504"/>
      <c r="G207" s="504"/>
      <c r="H207" s="504"/>
      <c r="I207" s="504"/>
      <c r="J207" s="504"/>
      <c r="K207" s="504"/>
      <c r="L207" s="163"/>
      <c r="M207" s="163"/>
      <c r="N207" s="163"/>
      <c r="O207" s="163"/>
      <c r="P207" s="163"/>
      <c r="Q207" s="163"/>
    </row>
    <row r="208" spans="1:17" x14ac:dyDescent="0.25">
      <c r="A208" s="505" t="s">
        <v>0</v>
      </c>
      <c r="B208" s="505" t="s">
        <v>7</v>
      </c>
      <c r="C208" s="505"/>
      <c r="D208" s="505"/>
      <c r="E208" s="505" t="s">
        <v>5</v>
      </c>
      <c r="F208" s="505"/>
      <c r="G208" s="505"/>
      <c r="H208" s="505" t="s">
        <v>4</v>
      </c>
      <c r="I208" s="505"/>
      <c r="J208" s="505" t="s">
        <v>6</v>
      </c>
      <c r="K208" s="505"/>
      <c r="L208" s="163"/>
      <c r="M208" s="163"/>
      <c r="N208" s="163"/>
      <c r="O208" s="163"/>
      <c r="P208" s="163"/>
      <c r="Q208" s="163"/>
    </row>
    <row r="209" spans="1:17" x14ac:dyDescent="0.25">
      <c r="A209" s="505"/>
      <c r="B209" s="164" t="s">
        <v>8</v>
      </c>
      <c r="C209" s="164" t="s">
        <v>14</v>
      </c>
      <c r="D209" s="164" t="s">
        <v>13</v>
      </c>
      <c r="E209" s="164" t="s">
        <v>8</v>
      </c>
      <c r="F209" s="164" t="s">
        <v>14</v>
      </c>
      <c r="G209" s="164" t="s">
        <v>10</v>
      </c>
      <c r="H209" s="164" t="s">
        <v>8</v>
      </c>
      <c r="I209" s="164" t="s">
        <v>13</v>
      </c>
      <c r="J209" s="164" t="s">
        <v>8</v>
      </c>
      <c r="K209" s="164" t="s">
        <v>13</v>
      </c>
      <c r="L209" s="163"/>
      <c r="M209" s="163"/>
      <c r="N209" s="163"/>
      <c r="O209" s="163"/>
      <c r="P209" s="163"/>
      <c r="Q209" s="163"/>
    </row>
    <row r="210" spans="1:17" x14ac:dyDescent="0.25">
      <c r="A210" s="165"/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3"/>
      <c r="M210" s="163"/>
      <c r="N210" s="163"/>
      <c r="O210" s="163"/>
      <c r="P210" s="163"/>
      <c r="Q210" s="163"/>
    </row>
    <row r="211" spans="1:17" x14ac:dyDescent="0.25">
      <c r="A211" s="167" t="s">
        <v>52</v>
      </c>
      <c r="B211" s="168">
        <f>'Tawas Hanau'!B25</f>
        <v>0</v>
      </c>
      <c r="C211" s="168">
        <f>'Tawas Hanau'!C25</f>
        <v>0</v>
      </c>
      <c r="D211" s="168">
        <f>'Tawas Hanau'!D25</f>
        <v>0</v>
      </c>
      <c r="E211" s="168">
        <f>'Tawas Hanau'!E25</f>
        <v>0</v>
      </c>
      <c r="F211" s="168">
        <f>'Tawas Hanau'!F25</f>
        <v>0</v>
      </c>
      <c r="G211" s="168">
        <f>'Tawas Hanau'!G25</f>
        <v>0</v>
      </c>
      <c r="H211" s="168">
        <f>'Tawas Hanau'!H25</f>
        <v>0</v>
      </c>
      <c r="I211" s="168">
        <f>'Tawas Hanau'!I25</f>
        <v>0</v>
      </c>
      <c r="J211" s="168">
        <f>'Tawas Hanau'!J25</f>
        <v>0</v>
      </c>
      <c r="K211" s="168">
        <f>'Tawas Hanau'!K25</f>
        <v>0</v>
      </c>
      <c r="L211" s="163"/>
      <c r="M211" s="163"/>
      <c r="N211" s="163"/>
      <c r="O211" s="163"/>
      <c r="P211" s="163"/>
      <c r="Q211" s="163"/>
    </row>
    <row r="212" spans="1:17" x14ac:dyDescent="0.25">
      <c r="A212" s="167"/>
      <c r="B212" s="168"/>
      <c r="C212" s="161"/>
      <c r="D212" s="161"/>
      <c r="E212" s="169"/>
      <c r="F212" s="161"/>
      <c r="G212" s="161"/>
      <c r="H212" s="169"/>
      <c r="I212" s="161"/>
      <c r="J212" s="170"/>
      <c r="K212" s="161"/>
      <c r="L212" s="163"/>
      <c r="M212" s="163"/>
      <c r="N212" s="163"/>
      <c r="O212" s="163"/>
      <c r="P212" s="163"/>
      <c r="Q212" s="163"/>
    </row>
    <row r="213" spans="1:17" x14ac:dyDescent="0.25">
      <c r="A213" s="167"/>
      <c r="B213" s="168"/>
      <c r="C213" s="161"/>
      <c r="D213" s="161"/>
      <c r="E213" s="169"/>
      <c r="F213" s="161"/>
      <c r="G213" s="161"/>
      <c r="H213" s="169"/>
      <c r="I213" s="161"/>
      <c r="J213" s="170"/>
      <c r="K213" s="161"/>
      <c r="L213" s="163"/>
      <c r="M213" s="163"/>
      <c r="N213" s="163"/>
      <c r="O213" s="163"/>
      <c r="P213" s="163"/>
      <c r="Q213" s="163"/>
    </row>
    <row r="214" spans="1:17" x14ac:dyDescent="0.25">
      <c r="A214" s="222"/>
      <c r="B214" s="223"/>
      <c r="C214" s="224"/>
      <c r="D214" s="224"/>
      <c r="E214" s="225"/>
      <c r="F214" s="224"/>
      <c r="G214" s="224">
        <f>E214*F214</f>
        <v>0</v>
      </c>
      <c r="H214" s="225"/>
      <c r="I214" s="224">
        <f>H214*F214</f>
        <v>0</v>
      </c>
      <c r="J214" s="226">
        <f>B214+E214-H214</f>
        <v>0</v>
      </c>
      <c r="K214" s="224">
        <f>D214+G214-I214</f>
        <v>0</v>
      </c>
      <c r="L214" s="163"/>
      <c r="M214" s="163"/>
      <c r="N214" s="163"/>
      <c r="O214" s="163"/>
      <c r="P214" s="163"/>
      <c r="Q214" s="163"/>
    </row>
    <row r="220" spans="1:17" ht="21" x14ac:dyDescent="0.35">
      <c r="A220" s="278" t="s">
        <v>103</v>
      </c>
      <c r="B220" s="297"/>
      <c r="C220" s="297"/>
      <c r="D220" s="297"/>
      <c r="E220" s="297"/>
      <c r="F220" s="297"/>
      <c r="G220" s="297"/>
      <c r="H220" s="297"/>
      <c r="I220" s="297"/>
      <c r="J220" s="297"/>
      <c r="K220" s="297"/>
      <c r="L220" s="297"/>
      <c r="M220" s="297"/>
      <c r="N220" s="297"/>
      <c r="O220" s="297"/>
      <c r="P220" s="297"/>
      <c r="Q220" s="297"/>
    </row>
    <row r="221" spans="1:17" x14ac:dyDescent="0.25">
      <c r="A221" s="524" t="s">
        <v>40</v>
      </c>
      <c r="B221" s="524"/>
      <c r="C221" s="524"/>
      <c r="D221" s="524"/>
      <c r="E221" s="524"/>
      <c r="F221" s="524"/>
      <c r="G221" s="524"/>
      <c r="H221" s="524"/>
      <c r="I221" s="524"/>
      <c r="J221" s="524"/>
      <c r="K221" s="524"/>
      <c r="L221" s="524"/>
      <c r="M221" s="524"/>
      <c r="N221" s="524"/>
      <c r="O221" s="524"/>
      <c r="P221" s="524"/>
      <c r="Q221" s="524"/>
    </row>
    <row r="222" spans="1:17" x14ac:dyDescent="0.25">
      <c r="A222" s="525" t="s">
        <v>0</v>
      </c>
      <c r="B222" s="525" t="s">
        <v>7</v>
      </c>
      <c r="C222" s="525"/>
      <c r="D222" s="525"/>
      <c r="E222" s="525" t="s">
        <v>5</v>
      </c>
      <c r="F222" s="525"/>
      <c r="G222" s="525"/>
      <c r="H222" s="526" t="s">
        <v>25</v>
      </c>
      <c r="I222" s="527"/>
      <c r="J222" s="528"/>
      <c r="K222" s="526" t="s">
        <v>26</v>
      </c>
      <c r="L222" s="527"/>
      <c r="M222" s="528"/>
      <c r="N222" s="525" t="s">
        <v>4</v>
      </c>
      <c r="O222" s="525"/>
      <c r="P222" s="525" t="s">
        <v>6</v>
      </c>
      <c r="Q222" s="525"/>
    </row>
    <row r="223" spans="1:17" x14ac:dyDescent="0.25">
      <c r="A223" s="525"/>
      <c r="B223" s="298" t="s">
        <v>8</v>
      </c>
      <c r="C223" s="298" t="s">
        <v>14</v>
      </c>
      <c r="D223" s="298" t="s">
        <v>13</v>
      </c>
      <c r="E223" s="298" t="s">
        <v>8</v>
      </c>
      <c r="F223" s="298" t="s">
        <v>14</v>
      </c>
      <c r="G223" s="298" t="s">
        <v>10</v>
      </c>
      <c r="H223" s="298" t="s">
        <v>8</v>
      </c>
      <c r="I223" s="298" t="s">
        <v>9</v>
      </c>
      <c r="J223" s="298" t="s">
        <v>13</v>
      </c>
      <c r="K223" s="298" t="s">
        <v>8</v>
      </c>
      <c r="L223" s="298" t="s">
        <v>9</v>
      </c>
      <c r="M223" s="298" t="s">
        <v>13</v>
      </c>
      <c r="N223" s="298" t="s">
        <v>8</v>
      </c>
      <c r="O223" s="298" t="s">
        <v>13</v>
      </c>
      <c r="P223" s="298" t="s">
        <v>8</v>
      </c>
      <c r="Q223" s="298" t="s">
        <v>13</v>
      </c>
    </row>
    <row r="224" spans="1:17" x14ac:dyDescent="0.25">
      <c r="A224" s="299"/>
      <c r="B224" s="300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</row>
    <row r="225" spans="1:17" x14ac:dyDescent="0.25">
      <c r="A225" s="277" t="s">
        <v>53</v>
      </c>
      <c r="B225" s="301">
        <f>'TAWAS BENAR'!B29</f>
        <v>0</v>
      </c>
      <c r="C225" s="301">
        <f>'TAWAS BENAR'!C29</f>
        <v>0</v>
      </c>
      <c r="D225" s="301">
        <f>'TAWAS BENAR'!D29</f>
        <v>0</v>
      </c>
      <c r="E225" s="301">
        <f>'TAWAS BENAR'!E29</f>
        <v>0</v>
      </c>
      <c r="F225" s="301">
        <f>'TAWAS BENAR'!F29</f>
        <v>0</v>
      </c>
      <c r="G225" s="301">
        <f>'TAWAS BENAR'!G29</f>
        <v>0</v>
      </c>
      <c r="H225" s="301">
        <f>'TAWAS BENAR'!H29</f>
        <v>0</v>
      </c>
      <c r="I225" s="301">
        <f>'TAWAS BENAR'!I29</f>
        <v>0</v>
      </c>
      <c r="J225" s="301">
        <f>'TAWAS BENAR'!J29</f>
        <v>0</v>
      </c>
      <c r="K225" s="301">
        <f>'TAWAS BENAR'!K29</f>
        <v>0</v>
      </c>
      <c r="L225" s="301">
        <f>'TAWAS BENAR'!L29</f>
        <v>0</v>
      </c>
      <c r="M225" s="301">
        <f>'TAWAS BENAR'!M29</f>
        <v>0</v>
      </c>
      <c r="N225" s="301">
        <f>'TAWAS BENAR'!N29</f>
        <v>0</v>
      </c>
      <c r="O225" s="301">
        <f>'TAWAS BENAR'!O29</f>
        <v>0</v>
      </c>
      <c r="P225" s="301">
        <f>'TAWAS BENAR'!P29</f>
        <v>0</v>
      </c>
      <c r="Q225" s="301">
        <f>'TAWAS BENAR'!Q29</f>
        <v>0</v>
      </c>
    </row>
    <row r="226" spans="1:17" x14ac:dyDescent="0.25">
      <c r="A226" s="277"/>
      <c r="B226" s="301"/>
      <c r="C226" s="301"/>
      <c r="D226" s="301"/>
      <c r="E226" s="301"/>
      <c r="F226" s="301"/>
      <c r="G226" s="301"/>
      <c r="H226" s="301"/>
      <c r="I226" s="301"/>
      <c r="J226" s="301"/>
      <c r="K226" s="301"/>
      <c r="L226" s="301"/>
      <c r="M226" s="301"/>
      <c r="N226" s="301"/>
      <c r="O226" s="301"/>
      <c r="P226" s="301"/>
      <c r="Q226" s="301"/>
    </row>
    <row r="227" spans="1:17" x14ac:dyDescent="0.25">
      <c r="A227" s="222"/>
      <c r="B227" s="223"/>
      <c r="C227" s="224"/>
      <c r="D227" s="224"/>
      <c r="E227" s="225"/>
      <c r="F227" s="224"/>
      <c r="G227" s="253"/>
      <c r="H227" s="253"/>
      <c r="I227" s="253"/>
      <c r="J227" s="253"/>
      <c r="K227" s="253"/>
      <c r="L227" s="253"/>
      <c r="M227" s="253"/>
      <c r="N227" s="225"/>
      <c r="O227" s="224"/>
      <c r="P227" s="226"/>
      <c r="Q227" s="224"/>
    </row>
    <row r="228" spans="1:17" x14ac:dyDescent="0.25">
      <c r="A228" s="163"/>
      <c r="B228" s="163"/>
      <c r="C228" s="163" t="s">
        <v>39</v>
      </c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</row>
    <row r="229" spans="1:17" x14ac:dyDescent="0.25">
      <c r="A229" s="504" t="s">
        <v>41</v>
      </c>
      <c r="B229" s="504"/>
      <c r="C229" s="504"/>
      <c r="D229" s="504"/>
      <c r="E229" s="504"/>
      <c r="F229" s="504"/>
      <c r="G229" s="504"/>
      <c r="H229" s="504"/>
      <c r="I229" s="504"/>
      <c r="J229" s="504"/>
      <c r="K229" s="504"/>
      <c r="L229" s="163"/>
      <c r="M229" s="163"/>
      <c r="N229" s="163"/>
      <c r="O229" s="163"/>
      <c r="P229" s="163"/>
      <c r="Q229" s="163"/>
    </row>
    <row r="230" spans="1:17" x14ac:dyDescent="0.25">
      <c r="A230" s="505" t="s">
        <v>0</v>
      </c>
      <c r="B230" s="505" t="s">
        <v>7</v>
      </c>
      <c r="C230" s="505"/>
      <c r="D230" s="505"/>
      <c r="E230" s="505" t="s">
        <v>5</v>
      </c>
      <c r="F230" s="505"/>
      <c r="G230" s="505"/>
      <c r="H230" s="505" t="s">
        <v>4</v>
      </c>
      <c r="I230" s="505"/>
      <c r="J230" s="505" t="s">
        <v>6</v>
      </c>
      <c r="K230" s="505"/>
      <c r="L230" s="163"/>
      <c r="M230" s="163"/>
      <c r="N230" s="163"/>
      <c r="O230" s="163"/>
      <c r="P230" s="163"/>
      <c r="Q230" s="163"/>
    </row>
    <row r="231" spans="1:17" x14ac:dyDescent="0.25">
      <c r="A231" s="505"/>
      <c r="B231" s="164" t="s">
        <v>8</v>
      </c>
      <c r="C231" s="164" t="s">
        <v>14</v>
      </c>
      <c r="D231" s="164" t="s">
        <v>13</v>
      </c>
      <c r="E231" s="164" t="s">
        <v>8</v>
      </c>
      <c r="F231" s="164" t="s">
        <v>14</v>
      </c>
      <c r="G231" s="164" t="s">
        <v>10</v>
      </c>
      <c r="H231" s="164" t="s">
        <v>8</v>
      </c>
      <c r="I231" s="164" t="s">
        <v>13</v>
      </c>
      <c r="J231" s="164" t="s">
        <v>8</v>
      </c>
      <c r="K231" s="164" t="s">
        <v>13</v>
      </c>
      <c r="L231" s="163"/>
      <c r="M231" s="163"/>
      <c r="N231" s="163"/>
      <c r="O231" s="163"/>
      <c r="P231" s="163"/>
      <c r="Q231" s="163"/>
    </row>
    <row r="232" spans="1:17" ht="15.75" customHeight="1" x14ac:dyDescent="0.25">
      <c r="A232" s="165"/>
      <c r="B232" s="166"/>
      <c r="C232" s="166"/>
      <c r="D232" s="166"/>
      <c r="E232" s="166"/>
      <c r="F232" s="166"/>
      <c r="G232" s="166"/>
      <c r="H232" s="166"/>
      <c r="I232" s="166"/>
      <c r="J232" s="166"/>
      <c r="K232" s="166"/>
      <c r="L232" s="163"/>
      <c r="Q232" s="163"/>
    </row>
    <row r="233" spans="1:17" ht="15.75" customHeight="1" x14ac:dyDescent="0.25">
      <c r="A233" s="167" t="s">
        <v>53</v>
      </c>
      <c r="B233" s="168">
        <f>'Tawas K. B'!B27</f>
        <v>0</v>
      </c>
      <c r="C233" s="168">
        <f>'Tawas K. B'!C27</f>
        <v>0</v>
      </c>
      <c r="D233" s="168">
        <f>'Tawas K. B'!D27</f>
        <v>0</v>
      </c>
      <c r="E233" s="168">
        <f>'Tawas K. B'!E27</f>
        <v>0</v>
      </c>
      <c r="F233" s="168">
        <f>'Tawas K. B'!F27</f>
        <v>0</v>
      </c>
      <c r="G233" s="168">
        <f>'Tawas K. B'!G27</f>
        <v>0</v>
      </c>
      <c r="H233" s="168">
        <f>'Tawas K. B'!H27</f>
        <v>0</v>
      </c>
      <c r="I233" s="168">
        <f>'Tawas K. B'!I27</f>
        <v>0</v>
      </c>
      <c r="J233" s="168">
        <f>'Tawas K. B'!J27</f>
        <v>0</v>
      </c>
      <c r="K233" s="168">
        <f>'Tawas K. B'!K27</f>
        <v>0</v>
      </c>
      <c r="L233" s="163"/>
      <c r="Q233" s="163"/>
    </row>
    <row r="234" spans="1:17" ht="15.75" customHeight="1" x14ac:dyDescent="0.25">
      <c r="A234" s="222"/>
      <c r="B234" s="223"/>
      <c r="C234" s="224"/>
      <c r="D234" s="224"/>
      <c r="E234" s="225"/>
      <c r="F234" s="224"/>
      <c r="G234" s="224"/>
      <c r="H234" s="225"/>
      <c r="I234" s="224"/>
      <c r="J234" s="226"/>
      <c r="K234" s="224"/>
      <c r="L234" s="163"/>
      <c r="M234" s="163"/>
      <c r="N234" s="163"/>
      <c r="O234" s="163"/>
      <c r="P234" s="163"/>
      <c r="Q234" s="163"/>
    </row>
    <row r="235" spans="1:17" x14ac:dyDescent="0.25">
      <c r="A235" s="163"/>
      <c r="B235" s="163"/>
      <c r="C235" s="163"/>
      <c r="D235" s="163"/>
      <c r="E235" s="163" t="s">
        <v>50</v>
      </c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</row>
    <row r="236" spans="1:17" x14ac:dyDescent="0.25">
      <c r="A236" s="163"/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</row>
    <row r="237" spans="1:17" x14ac:dyDescent="0.25">
      <c r="A237" s="163"/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521"/>
      <c r="N237" s="521"/>
      <c r="O237" s="523"/>
      <c r="P237" s="522"/>
      <c r="Q237" s="163"/>
    </row>
    <row r="238" spans="1:17" x14ac:dyDescent="0.25">
      <c r="A238" s="504" t="s">
        <v>42</v>
      </c>
      <c r="B238" s="504"/>
      <c r="C238" s="504"/>
      <c r="D238" s="504"/>
      <c r="E238" s="504"/>
      <c r="F238" s="504"/>
      <c r="G238" s="504"/>
      <c r="H238" s="504"/>
      <c r="I238" s="504"/>
      <c r="J238" s="504"/>
      <c r="K238" s="504"/>
      <c r="L238" s="163"/>
      <c r="M238" s="521"/>
      <c r="N238" s="521"/>
      <c r="O238" s="523"/>
      <c r="P238" s="522"/>
      <c r="Q238" s="163"/>
    </row>
    <row r="239" spans="1:17" x14ac:dyDescent="0.25">
      <c r="A239" s="505" t="s">
        <v>0</v>
      </c>
      <c r="B239" s="505" t="s">
        <v>7</v>
      </c>
      <c r="C239" s="505"/>
      <c r="D239" s="505"/>
      <c r="E239" s="505" t="s">
        <v>5</v>
      </c>
      <c r="F239" s="505"/>
      <c r="G239" s="505"/>
      <c r="H239" s="505" t="s">
        <v>4</v>
      </c>
      <c r="I239" s="505"/>
      <c r="J239" s="505" t="s">
        <v>6</v>
      </c>
      <c r="K239" s="505"/>
      <c r="L239" s="163"/>
      <c r="M239" s="163"/>
      <c r="N239" s="163"/>
      <c r="O239" s="163"/>
      <c r="P239" s="163"/>
      <c r="Q239" s="163"/>
    </row>
    <row r="240" spans="1:17" x14ac:dyDescent="0.25">
      <c r="A240" s="505"/>
      <c r="B240" s="164" t="s">
        <v>8</v>
      </c>
      <c r="C240" s="164" t="s">
        <v>14</v>
      </c>
      <c r="D240" s="164" t="s">
        <v>13</v>
      </c>
      <c r="E240" s="164" t="s">
        <v>8</v>
      </c>
      <c r="F240" s="164" t="s">
        <v>14</v>
      </c>
      <c r="G240" s="164" t="s">
        <v>10</v>
      </c>
      <c r="H240" s="164" t="s">
        <v>8</v>
      </c>
      <c r="I240" s="164" t="s">
        <v>13</v>
      </c>
      <c r="J240" s="164" t="s">
        <v>8</v>
      </c>
      <c r="K240" s="164" t="s">
        <v>13</v>
      </c>
      <c r="L240" s="163"/>
      <c r="M240" s="163"/>
      <c r="N240" s="163"/>
      <c r="O240" s="163"/>
      <c r="P240" s="163"/>
      <c r="Q240" s="163"/>
    </row>
    <row r="241" spans="1:17" x14ac:dyDescent="0.25">
      <c r="A241" s="165"/>
      <c r="B241" s="166"/>
      <c r="C241" s="166"/>
      <c r="D241" s="166"/>
      <c r="E241" s="168"/>
      <c r="F241" s="166"/>
      <c r="G241" s="166"/>
      <c r="H241" s="166"/>
      <c r="I241" s="166"/>
      <c r="J241" s="166"/>
      <c r="K241" s="166"/>
      <c r="L241" s="163"/>
      <c r="M241" s="163"/>
      <c r="N241" s="163"/>
      <c r="O241" s="163"/>
      <c r="P241" s="163"/>
      <c r="Q241" s="163"/>
    </row>
    <row r="242" spans="1:17" x14ac:dyDescent="0.25">
      <c r="A242" s="167" t="s">
        <v>53</v>
      </c>
      <c r="B242" s="168">
        <f>'Tawas Hanau'!B27</f>
        <v>0</v>
      </c>
      <c r="C242" s="168">
        <f>'Tawas Hanau'!C27</f>
        <v>0</v>
      </c>
      <c r="D242" s="168">
        <f>'Tawas Hanau'!D27</f>
        <v>0</v>
      </c>
      <c r="E242" s="168">
        <f>'Tawas Hanau'!E27</f>
        <v>0</v>
      </c>
      <c r="F242" s="168">
        <f>'Tawas Hanau'!F27</f>
        <v>0</v>
      </c>
      <c r="G242" s="168">
        <f>'Tawas Hanau'!G27</f>
        <v>0</v>
      </c>
      <c r="H242" s="168">
        <f>'Tawas Hanau'!H27</f>
        <v>0</v>
      </c>
      <c r="I242" s="168">
        <f>'Tawas Hanau'!I27</f>
        <v>0</v>
      </c>
      <c r="J242" s="168">
        <f>'Tawas Hanau'!J27</f>
        <v>0</v>
      </c>
      <c r="K242" s="168">
        <f>'Tawas Hanau'!K27</f>
        <v>0</v>
      </c>
      <c r="L242" s="163"/>
      <c r="M242" s="163"/>
      <c r="N242" s="163"/>
      <c r="O242" s="163"/>
      <c r="P242" s="163"/>
      <c r="Q242" s="163"/>
    </row>
    <row r="243" spans="1:17" x14ac:dyDescent="0.25">
      <c r="A243" s="167"/>
      <c r="B243" s="168"/>
      <c r="C243" s="161"/>
      <c r="D243" s="161"/>
      <c r="E243" s="169"/>
      <c r="F243" s="161"/>
      <c r="G243" s="161"/>
      <c r="H243" s="169"/>
      <c r="I243" s="161"/>
      <c r="J243" s="170"/>
      <c r="K243" s="161"/>
      <c r="L243" s="163"/>
      <c r="M243" s="163"/>
      <c r="N243" s="163"/>
      <c r="O243" s="163"/>
      <c r="P243" s="163"/>
      <c r="Q243" s="163"/>
    </row>
    <row r="244" spans="1:17" x14ac:dyDescent="0.25">
      <c r="A244" s="222"/>
      <c r="B244" s="223"/>
      <c r="C244" s="224"/>
      <c r="D244" s="224"/>
      <c r="E244" s="225"/>
      <c r="F244" s="224"/>
      <c r="G244" s="224">
        <f>E244*F244</f>
        <v>0</v>
      </c>
      <c r="H244" s="225"/>
      <c r="I244" s="224">
        <f>H244*F244</f>
        <v>0</v>
      </c>
      <c r="J244" s="226">
        <f>B244+E244-H244</f>
        <v>0</v>
      </c>
      <c r="K244" s="224">
        <f>D244+G244-I244</f>
        <v>0</v>
      </c>
      <c r="L244" s="163"/>
      <c r="M244" s="163"/>
      <c r="N244" s="163"/>
      <c r="O244" s="163"/>
      <c r="P244" s="163"/>
      <c r="Q244" s="163"/>
    </row>
    <row r="248" spans="1:17" ht="21" x14ac:dyDescent="0.35">
      <c r="A248" s="520">
        <v>45901</v>
      </c>
      <c r="B248" s="520"/>
      <c r="C248" s="520"/>
      <c r="D248" s="297"/>
      <c r="E248" s="297"/>
      <c r="F248" s="297"/>
      <c r="G248" s="297"/>
      <c r="H248" s="297"/>
      <c r="I248" s="297"/>
      <c r="J248" s="297"/>
      <c r="K248" s="297"/>
      <c r="L248" s="297"/>
      <c r="M248" s="297"/>
      <c r="N248" s="297"/>
      <c r="O248" s="297"/>
      <c r="P248" s="297"/>
      <c r="Q248" s="297"/>
    </row>
    <row r="249" spans="1:17" x14ac:dyDescent="0.25">
      <c r="A249" s="524" t="s">
        <v>40</v>
      </c>
      <c r="B249" s="524"/>
      <c r="C249" s="524"/>
      <c r="D249" s="524"/>
      <c r="E249" s="524"/>
      <c r="F249" s="524"/>
      <c r="G249" s="524"/>
      <c r="H249" s="524"/>
      <c r="I249" s="524"/>
      <c r="J249" s="524"/>
      <c r="K249" s="524"/>
      <c r="L249" s="524"/>
      <c r="M249" s="524"/>
      <c r="N249" s="524"/>
      <c r="O249" s="524"/>
      <c r="P249" s="524"/>
      <c r="Q249" s="524"/>
    </row>
    <row r="250" spans="1:17" x14ac:dyDescent="0.25">
      <c r="A250" s="525" t="s">
        <v>0</v>
      </c>
      <c r="B250" s="525" t="s">
        <v>7</v>
      </c>
      <c r="C250" s="525"/>
      <c r="D250" s="525"/>
      <c r="E250" s="525" t="s">
        <v>5</v>
      </c>
      <c r="F250" s="525"/>
      <c r="G250" s="525"/>
      <c r="H250" s="526" t="s">
        <v>25</v>
      </c>
      <c r="I250" s="527"/>
      <c r="J250" s="528"/>
      <c r="K250" s="526" t="s">
        <v>26</v>
      </c>
      <c r="L250" s="527"/>
      <c r="M250" s="528"/>
      <c r="N250" s="525" t="s">
        <v>4</v>
      </c>
      <c r="O250" s="525"/>
      <c r="P250" s="525" t="s">
        <v>6</v>
      </c>
      <c r="Q250" s="525"/>
    </row>
    <row r="251" spans="1:17" x14ac:dyDescent="0.25">
      <c r="A251" s="525"/>
      <c r="B251" s="298" t="s">
        <v>8</v>
      </c>
      <c r="C251" s="298" t="s">
        <v>14</v>
      </c>
      <c r="D251" s="298" t="s">
        <v>13</v>
      </c>
      <c r="E251" s="298" t="s">
        <v>8</v>
      </c>
      <c r="F251" s="298" t="s">
        <v>14</v>
      </c>
      <c r="G251" s="298" t="s">
        <v>10</v>
      </c>
      <c r="H251" s="298" t="s">
        <v>8</v>
      </c>
      <c r="I251" s="298" t="s">
        <v>9</v>
      </c>
      <c r="J251" s="298" t="s">
        <v>13</v>
      </c>
      <c r="K251" s="298" t="s">
        <v>8</v>
      </c>
      <c r="L251" s="298" t="s">
        <v>9</v>
      </c>
      <c r="M251" s="298" t="s">
        <v>13</v>
      </c>
      <c r="N251" s="298" t="s">
        <v>8</v>
      </c>
      <c r="O251" s="298" t="s">
        <v>13</v>
      </c>
      <c r="P251" s="298" t="s">
        <v>8</v>
      </c>
      <c r="Q251" s="298" t="s">
        <v>13</v>
      </c>
    </row>
    <row r="252" spans="1:17" x14ac:dyDescent="0.25">
      <c r="A252" s="299"/>
      <c r="B252" s="300"/>
      <c r="C252" s="300"/>
      <c r="D252" s="300"/>
      <c r="E252" s="300"/>
      <c r="F252" s="300"/>
      <c r="G252" s="300"/>
      <c r="H252" s="300"/>
      <c r="I252" s="300"/>
      <c r="J252" s="300"/>
      <c r="K252" s="300"/>
      <c r="L252" s="300"/>
      <c r="M252" s="300"/>
      <c r="N252" s="300"/>
      <c r="O252" s="300"/>
      <c r="P252" s="300"/>
      <c r="Q252" s="300"/>
    </row>
    <row r="253" spans="1:17" x14ac:dyDescent="0.25">
      <c r="A253" s="285" t="s">
        <v>94</v>
      </c>
      <c r="B253" s="301">
        <f>'TAWAS BENAR'!B31</f>
        <v>0</v>
      </c>
      <c r="C253" s="301">
        <f>'TAWAS BENAR'!C31</f>
        <v>0</v>
      </c>
      <c r="D253" s="301">
        <f>'TAWAS BENAR'!D31</f>
        <v>0</v>
      </c>
      <c r="E253" s="301">
        <f>'TAWAS BENAR'!E31</f>
        <v>0</v>
      </c>
      <c r="F253" s="301">
        <f>'TAWAS BENAR'!F31</f>
        <v>0</v>
      </c>
      <c r="G253" s="301">
        <f>'TAWAS BENAR'!G31</f>
        <v>0</v>
      </c>
      <c r="H253" s="301">
        <f>'TAWAS BENAR'!H31</f>
        <v>0</v>
      </c>
      <c r="I253" s="301">
        <f>'TAWAS BENAR'!I31</f>
        <v>0</v>
      </c>
      <c r="J253" s="301">
        <f>'TAWAS BENAR'!J31</f>
        <v>0</v>
      </c>
      <c r="K253" s="301">
        <f>'TAWAS BENAR'!K31</f>
        <v>0</v>
      </c>
      <c r="L253" s="301">
        <f>'TAWAS BENAR'!L31</f>
        <v>0</v>
      </c>
      <c r="M253" s="301">
        <f>'TAWAS BENAR'!M31</f>
        <v>0</v>
      </c>
      <c r="N253" s="301">
        <f>'TAWAS BENAR'!N31</f>
        <v>0</v>
      </c>
      <c r="O253" s="301">
        <f>'TAWAS BENAR'!O31</f>
        <v>0</v>
      </c>
      <c r="P253" s="301">
        <f>'TAWAS BENAR'!P31</f>
        <v>0</v>
      </c>
      <c r="Q253" s="301">
        <f>'TAWAS BENAR'!Q31</f>
        <v>0</v>
      </c>
    </row>
    <row r="254" spans="1:17" x14ac:dyDescent="0.25">
      <c r="A254" s="316"/>
      <c r="B254" s="400">
        <f>'TAWAS BENAR'!B32</f>
        <v>0</v>
      </c>
      <c r="C254" s="400">
        <f>'TAWAS BENAR'!C32</f>
        <v>0</v>
      </c>
      <c r="D254" s="400">
        <f>'TAWAS BENAR'!D32</f>
        <v>0</v>
      </c>
      <c r="E254" s="400">
        <f>'TAWAS BENAR'!E32</f>
        <v>0</v>
      </c>
      <c r="F254" s="400">
        <f>'TAWAS BENAR'!F32</f>
        <v>0</v>
      </c>
      <c r="G254" s="400">
        <f>'TAWAS BENAR'!G32</f>
        <v>0</v>
      </c>
      <c r="H254" s="400">
        <f>'TAWAS BENAR'!H32</f>
        <v>0</v>
      </c>
      <c r="I254" s="400">
        <f>'TAWAS BENAR'!I32</f>
        <v>0</v>
      </c>
      <c r="J254" s="400">
        <f>'TAWAS BENAR'!J32</f>
        <v>0</v>
      </c>
      <c r="K254" s="400">
        <f>'TAWAS BENAR'!K32</f>
        <v>0</v>
      </c>
      <c r="L254" s="400">
        <f>'TAWAS BENAR'!L32</f>
        <v>0</v>
      </c>
      <c r="M254" s="400">
        <f>'TAWAS BENAR'!M32</f>
        <v>0</v>
      </c>
      <c r="N254" s="400">
        <f>'TAWAS BENAR'!N32</f>
        <v>0</v>
      </c>
      <c r="O254" s="400">
        <f>'TAWAS BENAR'!O32</f>
        <v>0</v>
      </c>
      <c r="P254" s="400">
        <f>'TAWAS BENAR'!P32</f>
        <v>0</v>
      </c>
      <c r="Q254" s="400">
        <f>'TAWAS BENAR'!Q32</f>
        <v>0</v>
      </c>
    </row>
    <row r="255" spans="1:17" x14ac:dyDescent="0.25">
      <c r="A255" s="314"/>
      <c r="B255" s="429"/>
      <c r="C255" s="429"/>
      <c r="D255" s="429"/>
      <c r="E255" s="429"/>
      <c r="F255" s="429"/>
      <c r="G255" s="429"/>
      <c r="H255" s="429"/>
      <c r="I255" s="429"/>
      <c r="J255" s="429"/>
      <c r="K255" s="429"/>
      <c r="L255" s="429"/>
      <c r="M255" s="429"/>
      <c r="N255" s="429"/>
      <c r="O255" s="429"/>
      <c r="P255" s="429"/>
      <c r="Q255" s="429"/>
    </row>
    <row r="256" spans="1:17" x14ac:dyDescent="0.25">
      <c r="A256" s="314"/>
      <c r="B256" s="429"/>
      <c r="C256" s="429"/>
      <c r="D256" s="429"/>
      <c r="E256" s="429"/>
      <c r="F256" s="429"/>
      <c r="G256" s="429"/>
      <c r="H256" s="429"/>
      <c r="I256" s="429"/>
      <c r="J256" s="429"/>
      <c r="K256" s="429"/>
      <c r="L256" s="429"/>
      <c r="M256" s="429"/>
      <c r="N256" s="429"/>
      <c r="O256" s="429"/>
      <c r="P256" s="429"/>
      <c r="Q256" s="429"/>
    </row>
    <row r="257" spans="1:17" x14ac:dyDescent="0.25">
      <c r="A257" s="163"/>
      <c r="B257" s="163"/>
      <c r="C257" s="163" t="s">
        <v>39</v>
      </c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</row>
    <row r="258" spans="1:17" x14ac:dyDescent="0.25">
      <c r="A258" s="504" t="s">
        <v>41</v>
      </c>
      <c r="B258" s="504"/>
      <c r="C258" s="504"/>
      <c r="D258" s="504"/>
      <c r="E258" s="504"/>
      <c r="F258" s="504"/>
      <c r="G258" s="504"/>
      <c r="H258" s="504"/>
      <c r="I258" s="504"/>
      <c r="J258" s="504"/>
      <c r="K258" s="504"/>
      <c r="L258" s="163"/>
      <c r="M258" s="163"/>
      <c r="N258" s="163"/>
      <c r="O258" s="163"/>
      <c r="P258" s="163"/>
      <c r="Q258" s="163"/>
    </row>
    <row r="259" spans="1:17" x14ac:dyDescent="0.25">
      <c r="A259" s="505" t="s">
        <v>0</v>
      </c>
      <c r="B259" s="505" t="s">
        <v>7</v>
      </c>
      <c r="C259" s="505"/>
      <c r="D259" s="505"/>
      <c r="E259" s="505" t="s">
        <v>5</v>
      </c>
      <c r="F259" s="505"/>
      <c r="G259" s="505"/>
      <c r="H259" s="505" t="s">
        <v>4</v>
      </c>
      <c r="I259" s="505"/>
      <c r="J259" s="505" t="s">
        <v>6</v>
      </c>
      <c r="K259" s="505"/>
      <c r="L259" s="163"/>
      <c r="M259" s="163"/>
      <c r="N259" s="163"/>
      <c r="O259" s="163"/>
      <c r="P259" s="163"/>
      <c r="Q259" s="163"/>
    </row>
    <row r="260" spans="1:17" x14ac:dyDescent="0.25">
      <c r="A260" s="505"/>
      <c r="B260" s="164" t="s">
        <v>8</v>
      </c>
      <c r="C260" s="164" t="s">
        <v>14</v>
      </c>
      <c r="D260" s="164" t="s">
        <v>13</v>
      </c>
      <c r="E260" s="164" t="s">
        <v>8</v>
      </c>
      <c r="F260" s="164" t="s">
        <v>14</v>
      </c>
      <c r="G260" s="164" t="s">
        <v>10</v>
      </c>
      <c r="H260" s="164" t="s">
        <v>8</v>
      </c>
      <c r="I260" s="164" t="s">
        <v>13</v>
      </c>
      <c r="J260" s="164" t="s">
        <v>8</v>
      </c>
      <c r="K260" s="164" t="s">
        <v>13</v>
      </c>
      <c r="L260" s="163"/>
      <c r="M260" s="163"/>
      <c r="N260" s="163"/>
      <c r="O260" s="163"/>
      <c r="P260" s="163"/>
      <c r="Q260" s="163"/>
    </row>
    <row r="261" spans="1:17" x14ac:dyDescent="0.25">
      <c r="A261" s="165"/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3"/>
      <c r="M261" s="163"/>
      <c r="N261" s="163"/>
      <c r="O261" s="163"/>
      <c r="P261" s="163"/>
      <c r="Q261" s="163"/>
    </row>
    <row r="262" spans="1:17" x14ac:dyDescent="0.25">
      <c r="A262" s="167" t="s">
        <v>54</v>
      </c>
      <c r="B262" s="168">
        <f>'Tawas K. B'!B29</f>
        <v>0</v>
      </c>
      <c r="C262" s="168">
        <f>'Tawas K. B'!C29</f>
        <v>0</v>
      </c>
      <c r="D262" s="168">
        <f>'Tawas K. B'!D29</f>
        <v>0</v>
      </c>
      <c r="E262" s="168">
        <f>'Tawas K. B'!E29</f>
        <v>0</v>
      </c>
      <c r="F262" s="168">
        <f>'Tawas K. B'!F29</f>
        <v>0</v>
      </c>
      <c r="G262" s="168">
        <f>'Tawas K. B'!G29</f>
        <v>0</v>
      </c>
      <c r="H262" s="168">
        <f>'Tawas K. B'!H29</f>
        <v>0</v>
      </c>
      <c r="I262" s="168">
        <f>'Tawas K. B'!I29</f>
        <v>0</v>
      </c>
      <c r="J262" s="168">
        <f>'Tawas K. B'!J29</f>
        <v>0</v>
      </c>
      <c r="K262" s="168">
        <f>'Tawas K. B'!K29</f>
        <v>0</v>
      </c>
      <c r="L262" s="163"/>
      <c r="M262" s="163"/>
      <c r="N262" s="163"/>
      <c r="O262" s="401"/>
      <c r="P262" s="163"/>
      <c r="Q262" s="163"/>
    </row>
    <row r="263" spans="1:17" x14ac:dyDescent="0.25">
      <c r="A263" s="167"/>
      <c r="B263" s="168"/>
      <c r="C263" s="161"/>
      <c r="D263" s="161"/>
      <c r="E263" s="169"/>
      <c r="F263" s="161"/>
      <c r="G263" s="161"/>
      <c r="H263" s="169"/>
      <c r="I263" s="161"/>
      <c r="J263" s="170"/>
      <c r="K263" s="161"/>
      <c r="L263" s="163"/>
      <c r="M263" s="163"/>
      <c r="N263" s="163"/>
      <c r="O263" s="401"/>
      <c r="P263" s="163"/>
      <c r="Q263" s="163"/>
    </row>
    <row r="264" spans="1:17" x14ac:dyDescent="0.25">
      <c r="A264" s="222"/>
      <c r="B264" s="223"/>
      <c r="C264" s="224"/>
      <c r="D264" s="224"/>
      <c r="E264" s="225"/>
      <c r="F264" s="224"/>
      <c r="G264" s="224"/>
      <c r="H264" s="225"/>
      <c r="I264" s="224"/>
      <c r="J264" s="226"/>
      <c r="K264" s="224"/>
      <c r="L264" s="163"/>
      <c r="M264" s="163"/>
      <c r="N264" s="163"/>
      <c r="O264" s="163"/>
      <c r="P264" s="163"/>
      <c r="Q264" s="163"/>
    </row>
    <row r="265" spans="1:17" x14ac:dyDescent="0.25">
      <c r="A265" s="163"/>
      <c r="B265" s="163"/>
      <c r="C265" s="163"/>
      <c r="D265" s="163"/>
      <c r="E265" s="163" t="s">
        <v>50</v>
      </c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</row>
    <row r="266" spans="1:17" x14ac:dyDescent="0.25">
      <c r="A266" s="163"/>
      <c r="B266" s="163"/>
      <c r="C266" s="163"/>
      <c r="D266" s="163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</row>
    <row r="267" spans="1:17" x14ac:dyDescent="0.25">
      <c r="A267" s="163"/>
      <c r="B267" s="163"/>
      <c r="C267" s="163"/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</row>
    <row r="268" spans="1:17" x14ac:dyDescent="0.25">
      <c r="A268" s="504" t="s">
        <v>42</v>
      </c>
      <c r="B268" s="504"/>
      <c r="C268" s="504"/>
      <c r="D268" s="504"/>
      <c r="E268" s="504"/>
      <c r="F268" s="504"/>
      <c r="G268" s="504"/>
      <c r="H268" s="504"/>
      <c r="I268" s="504"/>
      <c r="J268" s="504"/>
      <c r="K268" s="504"/>
      <c r="L268" s="163"/>
      <c r="M268" s="163"/>
      <c r="N268" s="163"/>
      <c r="O268" s="163"/>
      <c r="P268" s="163"/>
      <c r="Q268" s="163"/>
    </row>
    <row r="269" spans="1:17" x14ac:dyDescent="0.25">
      <c r="A269" s="505" t="s">
        <v>0</v>
      </c>
      <c r="B269" s="505" t="s">
        <v>7</v>
      </c>
      <c r="C269" s="505"/>
      <c r="D269" s="505"/>
      <c r="E269" s="505" t="s">
        <v>5</v>
      </c>
      <c r="F269" s="505"/>
      <c r="G269" s="505"/>
      <c r="H269" s="505" t="s">
        <v>4</v>
      </c>
      <c r="I269" s="505"/>
      <c r="J269" s="505" t="s">
        <v>6</v>
      </c>
      <c r="K269" s="505"/>
      <c r="L269" s="163"/>
      <c r="M269" s="163"/>
      <c r="N269" s="163"/>
      <c r="O269" s="163"/>
      <c r="P269" s="163"/>
      <c r="Q269" s="163"/>
    </row>
    <row r="270" spans="1:17" x14ac:dyDescent="0.25">
      <c r="A270" s="505"/>
      <c r="B270" s="164" t="s">
        <v>8</v>
      </c>
      <c r="C270" s="164" t="s">
        <v>14</v>
      </c>
      <c r="D270" s="164" t="s">
        <v>13</v>
      </c>
      <c r="E270" s="164" t="s">
        <v>8</v>
      </c>
      <c r="F270" s="164" t="s">
        <v>14</v>
      </c>
      <c r="G270" s="164" t="s">
        <v>10</v>
      </c>
      <c r="H270" s="164" t="s">
        <v>8</v>
      </c>
      <c r="I270" s="164" t="s">
        <v>13</v>
      </c>
      <c r="J270" s="164" t="s">
        <v>8</v>
      </c>
      <c r="K270" s="164" t="s">
        <v>13</v>
      </c>
      <c r="L270" s="163"/>
      <c r="M270" s="163"/>
      <c r="N270" s="163"/>
      <c r="O270" s="163"/>
      <c r="P270" s="163"/>
      <c r="Q270" s="163"/>
    </row>
    <row r="271" spans="1:17" x14ac:dyDescent="0.25">
      <c r="A271" s="165"/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3"/>
      <c r="M271" s="163"/>
      <c r="N271" s="163"/>
      <c r="O271" s="163"/>
      <c r="P271" s="163"/>
      <c r="Q271" s="163"/>
    </row>
    <row r="272" spans="1:17" x14ac:dyDescent="0.25">
      <c r="A272" s="167" t="s">
        <v>94</v>
      </c>
      <c r="B272" s="168">
        <f>'Tawas Hanau'!B29</f>
        <v>0</v>
      </c>
      <c r="C272" s="168">
        <f>'Tawas Hanau'!C29</f>
        <v>0</v>
      </c>
      <c r="D272" s="168">
        <f>'Tawas Hanau'!D29</f>
        <v>0</v>
      </c>
      <c r="E272" s="168">
        <f>'Tawas Hanau'!E29</f>
        <v>0</v>
      </c>
      <c r="F272" s="168">
        <f>'Tawas Hanau'!F29</f>
        <v>0</v>
      </c>
      <c r="G272" s="168">
        <f>'Tawas Hanau'!G29</f>
        <v>0</v>
      </c>
      <c r="H272" s="168">
        <f>'Tawas Hanau'!H29</f>
        <v>0</v>
      </c>
      <c r="I272" s="168">
        <f>'Tawas Hanau'!I29</f>
        <v>0</v>
      </c>
      <c r="J272" s="168">
        <f>'Tawas Hanau'!J29</f>
        <v>0</v>
      </c>
      <c r="K272" s="168">
        <f>'Tawas Hanau'!K29</f>
        <v>0</v>
      </c>
      <c r="L272" s="163"/>
      <c r="M272" s="163"/>
      <c r="N272" s="163"/>
      <c r="O272" s="163"/>
      <c r="P272" s="163"/>
      <c r="Q272" s="163"/>
    </row>
    <row r="273" spans="1:17" x14ac:dyDescent="0.25">
      <c r="A273" s="167"/>
      <c r="B273" s="168"/>
      <c r="C273" s="161"/>
      <c r="D273" s="161">
        <f>B273*C273</f>
        <v>0</v>
      </c>
      <c r="E273" s="169"/>
      <c r="F273" s="161"/>
      <c r="G273" s="161">
        <f>E273*F273</f>
        <v>0</v>
      </c>
      <c r="H273" s="169"/>
      <c r="I273" s="161">
        <f>H273*C273</f>
        <v>0</v>
      </c>
      <c r="J273" s="170">
        <f>B273+E273-H273</f>
        <v>0</v>
      </c>
      <c r="K273" s="161">
        <f>D273+G273-I273</f>
        <v>0</v>
      </c>
      <c r="L273" s="163"/>
      <c r="M273" s="163"/>
      <c r="N273" s="163"/>
      <c r="O273" s="163"/>
      <c r="P273" s="163"/>
      <c r="Q273" s="163"/>
    </row>
    <row r="274" spans="1:17" x14ac:dyDescent="0.25">
      <c r="A274" s="222"/>
      <c r="B274" s="223"/>
      <c r="C274" s="224"/>
      <c r="D274" s="224"/>
      <c r="E274" s="225"/>
      <c r="F274" s="224"/>
      <c r="G274" s="224">
        <f>E274*F274</f>
        <v>0</v>
      </c>
      <c r="H274" s="225"/>
      <c r="I274" s="224">
        <f>H274*F274</f>
        <v>0</v>
      </c>
      <c r="J274" s="226">
        <f>B274+E274-H274</f>
        <v>0</v>
      </c>
      <c r="K274" s="224">
        <f>D274+G274-I274</f>
        <v>0</v>
      </c>
      <c r="L274" s="163"/>
      <c r="M274" s="163"/>
      <c r="N274" s="163"/>
      <c r="O274" s="163"/>
      <c r="P274" s="163"/>
      <c r="Q274" s="163"/>
    </row>
    <row r="278" spans="1:17" ht="21" x14ac:dyDescent="0.35">
      <c r="A278" s="278" t="s">
        <v>106</v>
      </c>
      <c r="B278" s="297"/>
      <c r="C278" s="297"/>
      <c r="D278" s="297"/>
      <c r="E278" s="297"/>
      <c r="F278" s="297"/>
      <c r="G278" s="297"/>
      <c r="H278" s="297"/>
      <c r="I278" s="297"/>
      <c r="J278" s="297"/>
      <c r="K278" s="297"/>
      <c r="L278" s="297"/>
      <c r="M278" s="297"/>
      <c r="N278" s="297"/>
      <c r="O278" s="297"/>
      <c r="P278" s="297"/>
      <c r="Q278" s="297"/>
    </row>
    <row r="279" spans="1:17" x14ac:dyDescent="0.25">
      <c r="A279" s="524" t="s">
        <v>40</v>
      </c>
      <c r="B279" s="524"/>
      <c r="C279" s="524"/>
      <c r="D279" s="524"/>
      <c r="E279" s="524"/>
      <c r="F279" s="524"/>
      <c r="G279" s="524"/>
      <c r="H279" s="524"/>
      <c r="I279" s="524"/>
      <c r="J279" s="524"/>
      <c r="K279" s="524"/>
      <c r="L279" s="524"/>
      <c r="M279" s="524"/>
      <c r="N279" s="524"/>
      <c r="O279" s="524"/>
      <c r="P279" s="524"/>
      <c r="Q279" s="524"/>
    </row>
    <row r="280" spans="1:17" x14ac:dyDescent="0.25">
      <c r="A280" s="525" t="s">
        <v>0</v>
      </c>
      <c r="B280" s="525" t="s">
        <v>7</v>
      </c>
      <c r="C280" s="525"/>
      <c r="D280" s="525"/>
      <c r="E280" s="525" t="s">
        <v>5</v>
      </c>
      <c r="F280" s="525"/>
      <c r="G280" s="525"/>
      <c r="H280" s="526" t="s">
        <v>25</v>
      </c>
      <c r="I280" s="527"/>
      <c r="J280" s="528"/>
      <c r="K280" s="526" t="s">
        <v>26</v>
      </c>
      <c r="L280" s="527"/>
      <c r="M280" s="528"/>
      <c r="N280" s="525" t="s">
        <v>4</v>
      </c>
      <c r="O280" s="525"/>
      <c r="P280" s="525" t="s">
        <v>6</v>
      </c>
      <c r="Q280" s="525"/>
    </row>
    <row r="281" spans="1:17" x14ac:dyDescent="0.25">
      <c r="A281" s="525"/>
      <c r="B281" s="298" t="s">
        <v>8</v>
      </c>
      <c r="C281" s="298" t="s">
        <v>14</v>
      </c>
      <c r="D281" s="298" t="s">
        <v>13</v>
      </c>
      <c r="E281" s="298" t="s">
        <v>8</v>
      </c>
      <c r="F281" s="298" t="s">
        <v>14</v>
      </c>
      <c r="G281" s="298" t="s">
        <v>10</v>
      </c>
      <c r="H281" s="298" t="s">
        <v>8</v>
      </c>
      <c r="I281" s="298" t="s">
        <v>9</v>
      </c>
      <c r="J281" s="298" t="s">
        <v>13</v>
      </c>
      <c r="K281" s="298" t="s">
        <v>8</v>
      </c>
      <c r="L281" s="298" t="s">
        <v>9</v>
      </c>
      <c r="M281" s="298" t="s">
        <v>13</v>
      </c>
      <c r="N281" s="298" t="s">
        <v>8</v>
      </c>
      <c r="O281" s="298" t="s">
        <v>13</v>
      </c>
      <c r="P281" s="298" t="s">
        <v>8</v>
      </c>
      <c r="Q281" s="298" t="s">
        <v>13</v>
      </c>
    </row>
    <row r="282" spans="1:17" x14ac:dyDescent="0.25">
      <c r="A282" s="299"/>
      <c r="B282" s="300"/>
      <c r="C282" s="300"/>
      <c r="D282" s="300"/>
      <c r="E282" s="300"/>
      <c r="F282" s="300"/>
      <c r="G282" s="300"/>
      <c r="H282" s="300"/>
      <c r="I282" s="300"/>
      <c r="J282" s="300"/>
      <c r="K282" s="300"/>
      <c r="L282" s="300"/>
      <c r="M282" s="300"/>
      <c r="N282" s="300"/>
      <c r="O282" s="300"/>
      <c r="P282" s="300"/>
      <c r="Q282" s="300"/>
    </row>
    <row r="283" spans="1:17" x14ac:dyDescent="0.25">
      <c r="A283" s="404" t="s">
        <v>55</v>
      </c>
      <c r="B283" s="405">
        <f>'TAWAS BENAR'!B33</f>
        <v>0</v>
      </c>
      <c r="C283" s="405">
        <f>'TAWAS BENAR'!C33</f>
        <v>0</v>
      </c>
      <c r="D283" s="405">
        <f>'TAWAS BENAR'!D33</f>
        <v>0</v>
      </c>
      <c r="E283" s="405">
        <f>'TAWAS BENAR'!E33</f>
        <v>0</v>
      </c>
      <c r="F283" s="405">
        <f>'TAWAS BENAR'!F33</f>
        <v>0</v>
      </c>
      <c r="G283" s="405">
        <f>'TAWAS BENAR'!G33</f>
        <v>0</v>
      </c>
      <c r="H283" s="405">
        <f>'TAWAS BENAR'!H33</f>
        <v>0</v>
      </c>
      <c r="I283" s="405">
        <f>'TAWAS BENAR'!I33</f>
        <v>0</v>
      </c>
      <c r="J283" s="405">
        <f>'TAWAS BENAR'!J33</f>
        <v>0</v>
      </c>
      <c r="K283" s="405">
        <f>'TAWAS BENAR'!K33</f>
        <v>0</v>
      </c>
      <c r="L283" s="405">
        <f>'TAWAS BENAR'!L33</f>
        <v>0</v>
      </c>
      <c r="M283" s="405">
        <f>'TAWAS BENAR'!M33</f>
        <v>0</v>
      </c>
      <c r="N283" s="405">
        <f>'TAWAS BENAR'!N33</f>
        <v>0</v>
      </c>
      <c r="O283" s="405">
        <f>'TAWAS BENAR'!O33</f>
        <v>0</v>
      </c>
      <c r="P283" s="405">
        <f>'TAWAS BENAR'!P33</f>
        <v>0</v>
      </c>
      <c r="Q283" s="405">
        <f>'TAWAS BENAR'!Q33</f>
        <v>0</v>
      </c>
    </row>
    <row r="284" spans="1:17" x14ac:dyDescent="0.25">
      <c r="A284" s="285"/>
      <c r="B284" s="311"/>
      <c r="C284" s="322"/>
      <c r="D284" s="323"/>
      <c r="E284" s="324"/>
      <c r="F284" s="324"/>
      <c r="G284" s="323"/>
      <c r="H284" s="323"/>
      <c r="I284" s="323"/>
      <c r="J284" s="323"/>
      <c r="K284" s="325"/>
      <c r="L284" s="323"/>
      <c r="M284" s="325"/>
      <c r="N284" s="324"/>
      <c r="O284" s="323"/>
      <c r="P284" s="312"/>
      <c r="Q284" s="323"/>
    </row>
    <row r="285" spans="1:17" x14ac:dyDescent="0.25">
      <c r="A285" s="222"/>
      <c r="B285" s="223"/>
      <c r="C285" s="224"/>
      <c r="D285" s="224"/>
      <c r="E285" s="225"/>
      <c r="F285" s="224"/>
      <c r="G285" s="253"/>
      <c r="H285" s="253"/>
      <c r="I285" s="253"/>
      <c r="J285" s="253"/>
      <c r="K285" s="253"/>
      <c r="L285" s="253"/>
      <c r="M285" s="253"/>
      <c r="N285" s="225"/>
      <c r="O285" s="224"/>
      <c r="P285" s="226"/>
      <c r="Q285" s="224"/>
    </row>
    <row r="286" spans="1:17" x14ac:dyDescent="0.25">
      <c r="A286" s="163"/>
      <c r="B286" s="163"/>
      <c r="C286" s="163" t="s">
        <v>39</v>
      </c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</row>
    <row r="287" spans="1:17" x14ac:dyDescent="0.25">
      <c r="A287" s="504" t="s">
        <v>41</v>
      </c>
      <c r="B287" s="504"/>
      <c r="C287" s="504"/>
      <c r="D287" s="504"/>
      <c r="E287" s="504"/>
      <c r="F287" s="504"/>
      <c r="G287" s="504"/>
      <c r="H287" s="504"/>
      <c r="I287" s="504"/>
      <c r="J287" s="504"/>
      <c r="K287" s="504"/>
      <c r="L287" s="163"/>
      <c r="M287" s="163"/>
      <c r="N287" s="163"/>
      <c r="O287" s="163"/>
      <c r="P287" s="163"/>
      <c r="Q287" s="163"/>
    </row>
    <row r="288" spans="1:17" x14ac:dyDescent="0.25">
      <c r="A288" s="505" t="s">
        <v>0</v>
      </c>
      <c r="B288" s="505" t="s">
        <v>7</v>
      </c>
      <c r="C288" s="505"/>
      <c r="D288" s="505"/>
      <c r="E288" s="505" t="s">
        <v>5</v>
      </c>
      <c r="F288" s="505"/>
      <c r="G288" s="505"/>
      <c r="H288" s="505" t="s">
        <v>4</v>
      </c>
      <c r="I288" s="505"/>
      <c r="J288" s="505" t="s">
        <v>6</v>
      </c>
      <c r="K288" s="505"/>
      <c r="L288" s="163"/>
      <c r="M288" s="163"/>
      <c r="N288" s="163"/>
      <c r="O288" s="163"/>
      <c r="P288" s="163"/>
      <c r="Q288" s="163"/>
    </row>
    <row r="289" spans="1:17" x14ac:dyDescent="0.25">
      <c r="A289" s="505"/>
      <c r="B289" s="164" t="s">
        <v>8</v>
      </c>
      <c r="C289" s="164" t="s">
        <v>14</v>
      </c>
      <c r="D289" s="164" t="s">
        <v>13</v>
      </c>
      <c r="E289" s="164" t="s">
        <v>8</v>
      </c>
      <c r="F289" s="164" t="s">
        <v>14</v>
      </c>
      <c r="G289" s="164" t="s">
        <v>10</v>
      </c>
      <c r="H289" s="164" t="s">
        <v>8</v>
      </c>
      <c r="I289" s="164" t="s">
        <v>13</v>
      </c>
      <c r="J289" s="164" t="s">
        <v>8</v>
      </c>
      <c r="K289" s="164" t="s">
        <v>13</v>
      </c>
      <c r="L289" s="163"/>
      <c r="M289" s="163"/>
      <c r="N289" s="163"/>
      <c r="O289" s="163"/>
      <c r="P289" s="163"/>
      <c r="Q289" s="163"/>
    </row>
    <row r="290" spans="1:17" x14ac:dyDescent="0.25">
      <c r="A290" s="165"/>
      <c r="B290" s="166"/>
      <c r="C290" s="166"/>
      <c r="D290" s="166"/>
      <c r="E290" s="166"/>
      <c r="F290" s="166"/>
      <c r="G290" s="166"/>
      <c r="H290" s="166"/>
      <c r="I290" s="166"/>
      <c r="J290" s="166"/>
      <c r="K290" s="166"/>
      <c r="L290" s="163"/>
      <c r="M290" s="163"/>
      <c r="N290" s="163"/>
      <c r="O290" s="163"/>
      <c r="P290" s="163"/>
      <c r="Q290" s="163"/>
    </row>
    <row r="291" spans="1:17" x14ac:dyDescent="0.25">
      <c r="A291" s="167" t="s">
        <v>55</v>
      </c>
      <c r="B291" s="168">
        <f>'Tawas K. B'!B31</f>
        <v>0</v>
      </c>
      <c r="C291" s="168">
        <f>'Tawas K. B'!C31</f>
        <v>0</v>
      </c>
      <c r="D291" s="168">
        <f>'Tawas K. B'!D31</f>
        <v>0</v>
      </c>
      <c r="E291" s="168">
        <f>'Tawas K. B'!E31</f>
        <v>0</v>
      </c>
      <c r="F291" s="168">
        <f>'Tawas K. B'!F31</f>
        <v>0</v>
      </c>
      <c r="G291" s="168">
        <f>'Tawas K. B'!G31</f>
        <v>0</v>
      </c>
      <c r="H291" s="168">
        <f>'Tawas K. B'!H31</f>
        <v>0</v>
      </c>
      <c r="I291" s="168">
        <f>'Tawas K. B'!I31</f>
        <v>0</v>
      </c>
      <c r="J291" s="168">
        <f>'Tawas K. B'!J31</f>
        <v>0</v>
      </c>
      <c r="K291" s="168">
        <f>'Tawas K. B'!K31</f>
        <v>0</v>
      </c>
      <c r="L291" s="163"/>
      <c r="M291" s="163"/>
      <c r="N291" s="163"/>
      <c r="O291" s="163"/>
      <c r="P291" s="163"/>
      <c r="Q291" s="163"/>
    </row>
    <row r="292" spans="1:17" x14ac:dyDescent="0.25">
      <c r="A292" s="167"/>
      <c r="B292" s="168"/>
      <c r="C292" s="161"/>
      <c r="D292" s="161"/>
      <c r="E292" s="169"/>
      <c r="F292" s="161"/>
      <c r="G292" s="161"/>
      <c r="H292" s="169"/>
      <c r="I292" s="161"/>
      <c r="J292" s="170"/>
      <c r="K292" s="161"/>
      <c r="L292" s="163"/>
      <c r="M292" s="163"/>
      <c r="N292" s="163"/>
      <c r="O292" s="163"/>
      <c r="P292" s="163"/>
      <c r="Q292" s="163"/>
    </row>
    <row r="293" spans="1:17" x14ac:dyDescent="0.25">
      <c r="A293" s="167"/>
      <c r="B293" s="168"/>
      <c r="C293" s="161"/>
      <c r="D293" s="161"/>
      <c r="E293" s="169"/>
      <c r="F293" s="161"/>
      <c r="G293" s="270"/>
      <c r="H293" s="169"/>
      <c r="I293" s="188"/>
      <c r="J293" s="170"/>
      <c r="K293" s="161"/>
      <c r="L293" s="163"/>
      <c r="M293" s="163"/>
      <c r="N293" s="163"/>
      <c r="O293" s="163"/>
      <c r="P293" s="163"/>
      <c r="Q293" s="163"/>
    </row>
    <row r="294" spans="1:17" x14ac:dyDescent="0.25">
      <c r="A294" s="222"/>
      <c r="B294" s="223"/>
      <c r="C294" s="224"/>
      <c r="D294" s="224"/>
      <c r="E294" s="225"/>
      <c r="F294" s="224"/>
      <c r="G294" s="224"/>
      <c r="H294" s="225"/>
      <c r="I294" s="224"/>
      <c r="J294" s="226"/>
      <c r="K294" s="224"/>
      <c r="L294" s="163"/>
      <c r="M294" s="163"/>
      <c r="N294" s="163"/>
      <c r="O294" s="163"/>
      <c r="P294" s="163"/>
      <c r="Q294" s="163"/>
    </row>
    <row r="295" spans="1:17" x14ac:dyDescent="0.25">
      <c r="A295" s="163"/>
      <c r="B295" s="163"/>
      <c r="C295" s="163"/>
      <c r="D295" s="163"/>
      <c r="E295" s="163" t="s">
        <v>50</v>
      </c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</row>
    <row r="296" spans="1:17" x14ac:dyDescent="0.25">
      <c r="A296" s="163"/>
      <c r="B296" s="163"/>
      <c r="C296" s="163"/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</row>
    <row r="297" spans="1:17" x14ac:dyDescent="0.25">
      <c r="A297" s="163"/>
      <c r="B297" s="163"/>
      <c r="C297" s="163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</row>
    <row r="298" spans="1:17" x14ac:dyDescent="0.25">
      <c r="A298" s="504" t="s">
        <v>42</v>
      </c>
      <c r="B298" s="504"/>
      <c r="C298" s="504"/>
      <c r="D298" s="504"/>
      <c r="E298" s="504"/>
      <c r="F298" s="504"/>
      <c r="G298" s="504"/>
      <c r="H298" s="504"/>
      <c r="I298" s="504"/>
      <c r="J298" s="504"/>
      <c r="K298" s="504"/>
      <c r="L298" s="163"/>
      <c r="M298" s="163"/>
      <c r="N298" s="163"/>
      <c r="O298" s="163"/>
      <c r="P298" s="163"/>
      <c r="Q298" s="163"/>
    </row>
    <row r="299" spans="1:17" x14ac:dyDescent="0.25">
      <c r="A299" s="505" t="s">
        <v>0</v>
      </c>
      <c r="B299" s="505" t="s">
        <v>7</v>
      </c>
      <c r="C299" s="505"/>
      <c r="D299" s="505"/>
      <c r="E299" s="505" t="s">
        <v>5</v>
      </c>
      <c r="F299" s="505"/>
      <c r="G299" s="505"/>
      <c r="H299" s="505" t="s">
        <v>4</v>
      </c>
      <c r="I299" s="505"/>
      <c r="J299" s="505" t="s">
        <v>6</v>
      </c>
      <c r="K299" s="505"/>
      <c r="L299" s="163"/>
      <c r="M299" s="163"/>
      <c r="N299" s="163"/>
      <c r="O299" s="163"/>
      <c r="P299" s="163"/>
      <c r="Q299" s="163"/>
    </row>
    <row r="300" spans="1:17" x14ac:dyDescent="0.25">
      <c r="A300" s="505"/>
      <c r="B300" s="164" t="s">
        <v>8</v>
      </c>
      <c r="C300" s="164" t="s">
        <v>14</v>
      </c>
      <c r="D300" s="164" t="s">
        <v>13</v>
      </c>
      <c r="E300" s="164" t="s">
        <v>8</v>
      </c>
      <c r="F300" s="164" t="s">
        <v>14</v>
      </c>
      <c r="G300" s="164" t="s">
        <v>10</v>
      </c>
      <c r="H300" s="164" t="s">
        <v>8</v>
      </c>
      <c r="I300" s="164" t="s">
        <v>13</v>
      </c>
      <c r="J300" s="164" t="s">
        <v>8</v>
      </c>
      <c r="K300" s="164" t="s">
        <v>13</v>
      </c>
      <c r="L300" s="163"/>
      <c r="M300" s="163"/>
      <c r="N300" s="163"/>
      <c r="O300" s="163"/>
      <c r="P300" s="163"/>
      <c r="Q300" s="163"/>
    </row>
    <row r="301" spans="1:17" x14ac:dyDescent="0.25">
      <c r="A301" s="165"/>
      <c r="B301" s="166"/>
      <c r="C301" s="166"/>
      <c r="D301" s="166"/>
      <c r="E301" s="166"/>
      <c r="F301" s="166"/>
      <c r="G301" s="166"/>
      <c r="H301" s="166"/>
      <c r="I301" s="166"/>
      <c r="J301" s="166"/>
      <c r="K301" s="166"/>
      <c r="L301" s="163"/>
      <c r="M301" s="163"/>
      <c r="N301" s="163"/>
      <c r="O301" s="163"/>
      <c r="P301" s="163"/>
      <c r="Q301" s="163"/>
    </row>
    <row r="302" spans="1:17" x14ac:dyDescent="0.25">
      <c r="A302" s="167" t="s">
        <v>55</v>
      </c>
      <c r="B302" s="168">
        <f>'Tawas Hanau'!B31</f>
        <v>0</v>
      </c>
      <c r="C302" s="168">
        <f>'Tawas Hanau'!C31</f>
        <v>0</v>
      </c>
      <c r="D302" s="168">
        <f>'Tawas Hanau'!D31</f>
        <v>0</v>
      </c>
      <c r="E302" s="168">
        <f>'Tawas Hanau'!E31</f>
        <v>0</v>
      </c>
      <c r="F302" s="168">
        <f>'Tawas Hanau'!F31</f>
        <v>0</v>
      </c>
      <c r="G302" s="168">
        <f>'Tawas Hanau'!G31</f>
        <v>0</v>
      </c>
      <c r="H302" s="168">
        <f>'Tawas Hanau'!H31</f>
        <v>0</v>
      </c>
      <c r="I302" s="168">
        <f>'Tawas Hanau'!I31</f>
        <v>0</v>
      </c>
      <c r="J302" s="168">
        <f>'Tawas Hanau'!J31</f>
        <v>0</v>
      </c>
      <c r="K302" s="168">
        <f>'Tawas Hanau'!K31</f>
        <v>0</v>
      </c>
      <c r="L302" s="163"/>
      <c r="M302" s="163"/>
      <c r="N302" s="163"/>
      <c r="O302" s="163"/>
      <c r="P302" s="163"/>
      <c r="Q302" s="163"/>
    </row>
    <row r="303" spans="1:17" x14ac:dyDescent="0.25">
      <c r="A303" s="167"/>
      <c r="B303" s="168"/>
      <c r="C303" s="161"/>
      <c r="D303" s="161"/>
      <c r="E303" s="169"/>
      <c r="F303" s="161"/>
      <c r="G303" s="161"/>
      <c r="H303" s="169"/>
      <c r="I303" s="161"/>
      <c r="J303" s="170"/>
      <c r="K303" s="161"/>
      <c r="L303" s="163"/>
      <c r="M303" s="163"/>
      <c r="N303" s="163"/>
      <c r="O303" s="163"/>
      <c r="P303" s="163"/>
      <c r="Q303" s="163"/>
    </row>
    <row r="304" spans="1:17" x14ac:dyDescent="0.25">
      <c r="A304" s="222"/>
      <c r="B304" s="223"/>
      <c r="C304" s="224"/>
      <c r="D304" s="224"/>
      <c r="E304" s="225"/>
      <c r="F304" s="224"/>
      <c r="G304" s="224"/>
      <c r="H304" s="225"/>
      <c r="I304" s="224"/>
      <c r="J304" s="226"/>
      <c r="K304" s="224"/>
      <c r="L304" s="163"/>
      <c r="M304" s="163"/>
      <c r="N304" s="163"/>
      <c r="O304" s="163"/>
      <c r="P304" s="163"/>
      <c r="Q304" s="163"/>
    </row>
    <row r="305" spans="1:17" x14ac:dyDescent="0.25">
      <c r="I305" s="5"/>
      <c r="J305" s="3"/>
      <c r="K305" s="5"/>
    </row>
    <row r="307" spans="1:17" ht="21" x14ac:dyDescent="0.35">
      <c r="A307" s="520">
        <v>45962</v>
      </c>
      <c r="B307" s="520"/>
      <c r="C307" s="297"/>
      <c r="D307" s="297"/>
      <c r="E307" s="297"/>
      <c r="F307" s="297"/>
      <c r="G307" s="297"/>
      <c r="H307" s="297"/>
      <c r="I307" s="297"/>
      <c r="J307" s="297"/>
      <c r="K307" s="297"/>
      <c r="L307" s="297"/>
      <c r="M307" s="297"/>
      <c r="N307" s="297"/>
      <c r="O307" s="297"/>
      <c r="P307" s="297"/>
      <c r="Q307" s="297"/>
    </row>
    <row r="308" spans="1:17" x14ac:dyDescent="0.25">
      <c r="A308" s="524" t="s">
        <v>40</v>
      </c>
      <c r="B308" s="524"/>
      <c r="C308" s="524"/>
      <c r="D308" s="524"/>
      <c r="E308" s="524"/>
      <c r="F308" s="524"/>
      <c r="G308" s="524"/>
      <c r="H308" s="524"/>
      <c r="I308" s="524"/>
      <c r="J308" s="524"/>
      <c r="K308" s="524"/>
      <c r="L308" s="524"/>
      <c r="M308" s="524"/>
      <c r="N308" s="524"/>
      <c r="O308" s="524"/>
      <c r="P308" s="524"/>
      <c r="Q308" s="524"/>
    </row>
    <row r="309" spans="1:17" x14ac:dyDescent="0.25">
      <c r="A309" s="525" t="s">
        <v>0</v>
      </c>
      <c r="B309" s="525" t="s">
        <v>7</v>
      </c>
      <c r="C309" s="525"/>
      <c r="D309" s="525"/>
      <c r="E309" s="525" t="s">
        <v>5</v>
      </c>
      <c r="F309" s="525"/>
      <c r="G309" s="525"/>
      <c r="H309" s="526" t="s">
        <v>25</v>
      </c>
      <c r="I309" s="527"/>
      <c r="J309" s="528"/>
      <c r="K309" s="526" t="s">
        <v>26</v>
      </c>
      <c r="L309" s="527"/>
      <c r="M309" s="528"/>
      <c r="N309" s="525" t="s">
        <v>4</v>
      </c>
      <c r="O309" s="525"/>
      <c r="P309" s="525" t="s">
        <v>6</v>
      </c>
      <c r="Q309" s="525"/>
    </row>
    <row r="310" spans="1:17" x14ac:dyDescent="0.25">
      <c r="A310" s="525"/>
      <c r="B310" s="298" t="s">
        <v>8</v>
      </c>
      <c r="C310" s="298" t="s">
        <v>14</v>
      </c>
      <c r="D310" s="298" t="s">
        <v>13</v>
      </c>
      <c r="E310" s="298" t="s">
        <v>8</v>
      </c>
      <c r="F310" s="298" t="s">
        <v>14</v>
      </c>
      <c r="G310" s="298" t="s">
        <v>10</v>
      </c>
      <c r="H310" s="298" t="s">
        <v>8</v>
      </c>
      <c r="I310" s="298" t="s">
        <v>9</v>
      </c>
      <c r="J310" s="298" t="s">
        <v>13</v>
      </c>
      <c r="K310" s="298" t="s">
        <v>8</v>
      </c>
      <c r="L310" s="298" t="s">
        <v>9</v>
      </c>
      <c r="M310" s="298" t="s">
        <v>13</v>
      </c>
      <c r="N310" s="298" t="s">
        <v>8</v>
      </c>
      <c r="O310" s="298" t="s">
        <v>13</v>
      </c>
      <c r="P310" s="298" t="s">
        <v>8</v>
      </c>
      <c r="Q310" s="298" t="s">
        <v>13</v>
      </c>
    </row>
    <row r="311" spans="1:17" x14ac:dyDescent="0.25">
      <c r="A311" s="299"/>
      <c r="B311" s="300"/>
      <c r="C311" s="300"/>
      <c r="D311" s="300"/>
      <c r="E311" s="300"/>
      <c r="F311" s="300"/>
      <c r="G311" s="300"/>
      <c r="H311" s="300"/>
      <c r="I311" s="300"/>
      <c r="J311" s="300"/>
      <c r="K311" s="300"/>
      <c r="L311" s="300"/>
      <c r="M311" s="300"/>
      <c r="N311" s="300"/>
      <c r="O311" s="300"/>
      <c r="P311" s="300"/>
      <c r="Q311" s="300"/>
    </row>
    <row r="312" spans="1:17" x14ac:dyDescent="0.25">
      <c r="A312" s="285" t="s">
        <v>56</v>
      </c>
      <c r="B312" s="301">
        <f>'TAWAS BENAR'!B35</f>
        <v>0</v>
      </c>
      <c r="C312" s="301">
        <f>'TAWAS BENAR'!C35</f>
        <v>0</v>
      </c>
      <c r="D312" s="301">
        <f>'TAWAS BENAR'!D35</f>
        <v>0</v>
      </c>
      <c r="E312" s="301">
        <f>'TAWAS BENAR'!E35</f>
        <v>0</v>
      </c>
      <c r="F312" s="301">
        <f>'TAWAS BENAR'!F35</f>
        <v>0</v>
      </c>
      <c r="G312" s="301">
        <f>'TAWAS BENAR'!G35</f>
        <v>0</v>
      </c>
      <c r="H312" s="301">
        <f>'TAWAS BENAR'!H35</f>
        <v>0</v>
      </c>
      <c r="I312" s="301">
        <f>'TAWAS BENAR'!I35</f>
        <v>0</v>
      </c>
      <c r="J312" s="301">
        <f>'TAWAS BENAR'!J35</f>
        <v>0</v>
      </c>
      <c r="K312" s="301">
        <f>'TAWAS BENAR'!K35</f>
        <v>0</v>
      </c>
      <c r="L312" s="301">
        <f>'TAWAS BENAR'!L35</f>
        <v>0</v>
      </c>
      <c r="M312" s="301">
        <f>'TAWAS BENAR'!M35</f>
        <v>0</v>
      </c>
      <c r="N312" s="301">
        <f>'TAWAS BENAR'!N35</f>
        <v>0</v>
      </c>
      <c r="O312" s="301">
        <f>'TAWAS BENAR'!O35</f>
        <v>0</v>
      </c>
      <c r="P312" s="301">
        <f>'TAWAS BENAR'!P35</f>
        <v>0</v>
      </c>
      <c r="Q312" s="301">
        <f>'TAWAS BENAR'!Q35</f>
        <v>0</v>
      </c>
    </row>
    <row r="313" spans="1:17" x14ac:dyDescent="0.25">
      <c r="A313" s="222"/>
      <c r="B313" s="223"/>
      <c r="C313" s="224"/>
      <c r="D313" s="224">
        <f>B313*C313</f>
        <v>0</v>
      </c>
      <c r="E313" s="225"/>
      <c r="F313" s="224"/>
      <c r="G313" s="253">
        <f>E313*F313</f>
        <v>0</v>
      </c>
      <c r="H313" s="253"/>
      <c r="I313" s="253"/>
      <c r="J313" s="253"/>
      <c r="K313" s="253"/>
      <c r="L313" s="253"/>
      <c r="M313" s="253"/>
      <c r="N313" s="225"/>
      <c r="O313" s="224">
        <f>N313*C313</f>
        <v>0</v>
      </c>
      <c r="P313" s="226">
        <f>B313+E313-N313-H313-K313</f>
        <v>0</v>
      </c>
      <c r="Q313" s="224">
        <f>D313+G313-O313-J313-M313</f>
        <v>0</v>
      </c>
    </row>
    <row r="314" spans="1:17" x14ac:dyDescent="0.25">
      <c r="A314" s="163"/>
      <c r="B314" s="163"/>
      <c r="C314" s="163" t="s">
        <v>39</v>
      </c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</row>
    <row r="315" spans="1:17" x14ac:dyDescent="0.25">
      <c r="A315" s="504" t="s">
        <v>41</v>
      </c>
      <c r="B315" s="504"/>
      <c r="C315" s="504"/>
      <c r="D315" s="504"/>
      <c r="E315" s="504"/>
      <c r="F315" s="504"/>
      <c r="G315" s="504"/>
      <c r="H315" s="504"/>
      <c r="I315" s="504"/>
      <c r="J315" s="504"/>
      <c r="K315" s="504"/>
      <c r="L315" s="163"/>
      <c r="M315" s="163"/>
      <c r="N315" s="163"/>
      <c r="O315" s="163"/>
      <c r="P315" s="163"/>
      <c r="Q315" s="163"/>
    </row>
    <row r="316" spans="1:17" x14ac:dyDescent="0.25">
      <c r="A316" s="505" t="s">
        <v>0</v>
      </c>
      <c r="B316" s="505" t="s">
        <v>7</v>
      </c>
      <c r="C316" s="505"/>
      <c r="D316" s="505"/>
      <c r="E316" s="505" t="s">
        <v>5</v>
      </c>
      <c r="F316" s="505"/>
      <c r="G316" s="505"/>
      <c r="H316" s="505" t="s">
        <v>4</v>
      </c>
      <c r="I316" s="505"/>
      <c r="J316" s="505" t="s">
        <v>6</v>
      </c>
      <c r="K316" s="505"/>
      <c r="L316" s="163"/>
      <c r="M316" s="163"/>
      <c r="N316" s="163"/>
      <c r="O316" s="163"/>
      <c r="P316" s="163"/>
      <c r="Q316" s="163"/>
    </row>
    <row r="317" spans="1:17" x14ac:dyDescent="0.25">
      <c r="A317" s="505"/>
      <c r="B317" s="164" t="s">
        <v>8</v>
      </c>
      <c r="C317" s="164" t="s">
        <v>14</v>
      </c>
      <c r="D317" s="164" t="s">
        <v>13</v>
      </c>
      <c r="E317" s="164" t="s">
        <v>8</v>
      </c>
      <c r="F317" s="164" t="s">
        <v>14</v>
      </c>
      <c r="G317" s="164" t="s">
        <v>10</v>
      </c>
      <c r="H317" s="164" t="s">
        <v>8</v>
      </c>
      <c r="I317" s="164" t="s">
        <v>13</v>
      </c>
      <c r="J317" s="164" t="s">
        <v>8</v>
      </c>
      <c r="K317" s="164" t="s">
        <v>13</v>
      </c>
      <c r="L317" s="163"/>
      <c r="M317" s="163"/>
      <c r="N317" s="163"/>
      <c r="O317" s="163"/>
      <c r="P317" s="163"/>
      <c r="Q317" s="163"/>
    </row>
    <row r="318" spans="1:17" x14ac:dyDescent="0.25">
      <c r="A318" s="165"/>
      <c r="B318" s="166"/>
      <c r="C318" s="166"/>
      <c r="D318" s="166"/>
      <c r="E318" s="166"/>
      <c r="F318" s="166"/>
      <c r="G318" s="166"/>
      <c r="H318" s="166"/>
      <c r="I318" s="166"/>
      <c r="J318" s="166"/>
      <c r="K318" s="166"/>
      <c r="L318" s="163"/>
      <c r="M318" s="163"/>
      <c r="N318" s="163"/>
      <c r="O318" s="163"/>
      <c r="P318" s="163"/>
      <c r="Q318" s="163"/>
    </row>
    <row r="319" spans="1:17" x14ac:dyDescent="0.25">
      <c r="A319" s="167" t="s">
        <v>56</v>
      </c>
      <c r="B319" s="168">
        <f>'Tawas K. B'!B33</f>
        <v>0</v>
      </c>
      <c r="C319" s="168">
        <f>'Tawas K. B'!C33</f>
        <v>0</v>
      </c>
      <c r="D319" s="168">
        <f>'Tawas K. B'!D33</f>
        <v>0</v>
      </c>
      <c r="E319" s="168">
        <f>'Tawas K. B'!E33</f>
        <v>0</v>
      </c>
      <c r="F319" s="168">
        <f>'Tawas K. B'!F33</f>
        <v>0</v>
      </c>
      <c r="G319" s="168">
        <f>'Tawas K. B'!G33</f>
        <v>0</v>
      </c>
      <c r="H319" s="168">
        <f>'Tawas K. B'!H33</f>
        <v>0</v>
      </c>
      <c r="I319" s="168">
        <f>'Tawas K. B'!I33</f>
        <v>0</v>
      </c>
      <c r="J319" s="168">
        <f>'Tawas K. B'!J33</f>
        <v>0</v>
      </c>
      <c r="K319" s="168">
        <f>'Tawas K. B'!K33</f>
        <v>0</v>
      </c>
      <c r="L319" s="163"/>
      <c r="M319" s="163"/>
      <c r="N319" s="163"/>
      <c r="O319" s="163"/>
      <c r="P319" s="163"/>
      <c r="Q319" s="163"/>
    </row>
    <row r="320" spans="1:17" x14ac:dyDescent="0.25">
      <c r="A320" s="167"/>
      <c r="B320" s="168">
        <f>'Tawas K. B'!B34</f>
        <v>0</v>
      </c>
      <c r="C320" s="168">
        <f>'Tawas K. B'!C34</f>
        <v>0</v>
      </c>
      <c r="D320" s="168">
        <f>'Tawas K. B'!D34</f>
        <v>0</v>
      </c>
      <c r="E320" s="168">
        <f>'Tawas K. B'!E34</f>
        <v>0</v>
      </c>
      <c r="F320" s="168">
        <f>'Tawas K. B'!F34</f>
        <v>0</v>
      </c>
      <c r="G320" s="168">
        <f>'Tawas K. B'!G34</f>
        <v>0</v>
      </c>
      <c r="H320" s="168">
        <f>'Tawas K. B'!H34</f>
        <v>0</v>
      </c>
      <c r="I320" s="168">
        <f>'Tawas K. B'!I34</f>
        <v>0</v>
      </c>
      <c r="J320" s="168">
        <f>'Tawas K. B'!J34</f>
        <v>0</v>
      </c>
      <c r="K320" s="168">
        <f>'Tawas K. B'!K34</f>
        <v>0</v>
      </c>
      <c r="L320" s="163"/>
      <c r="M320" s="163"/>
      <c r="N320" s="163"/>
      <c r="O320" s="163"/>
      <c r="P320" s="163"/>
      <c r="Q320" s="163"/>
    </row>
    <row r="321" spans="1:17" x14ac:dyDescent="0.25">
      <c r="A321" s="222"/>
      <c r="B321" s="223"/>
      <c r="C321" s="224"/>
      <c r="D321" s="224"/>
      <c r="E321" s="225"/>
      <c r="F321" s="224"/>
      <c r="G321" s="224"/>
      <c r="H321" s="225"/>
      <c r="I321" s="224"/>
      <c r="J321" s="226"/>
      <c r="K321" s="224"/>
      <c r="L321" s="163"/>
      <c r="M321" s="163"/>
      <c r="N321" s="163"/>
      <c r="O321" s="163"/>
      <c r="P321" s="163"/>
      <c r="Q321" s="163"/>
    </row>
    <row r="322" spans="1:17" x14ac:dyDescent="0.25">
      <c r="A322" s="163"/>
      <c r="B322" s="163"/>
      <c r="C322" s="163"/>
      <c r="D322" s="163"/>
      <c r="E322" s="163" t="s">
        <v>50</v>
      </c>
      <c r="F322" s="163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</row>
    <row r="323" spans="1:17" x14ac:dyDescent="0.25">
      <c r="A323" s="163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</row>
    <row r="324" spans="1:17" x14ac:dyDescent="0.25">
      <c r="A324" s="163"/>
      <c r="B324" s="163"/>
      <c r="C324" s="163"/>
      <c r="D324" s="163"/>
      <c r="E324" s="163"/>
      <c r="F324" s="163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</row>
    <row r="325" spans="1:17" x14ac:dyDescent="0.25">
      <c r="A325" s="504" t="s">
        <v>42</v>
      </c>
      <c r="B325" s="504"/>
      <c r="C325" s="504"/>
      <c r="D325" s="504"/>
      <c r="E325" s="504"/>
      <c r="F325" s="504"/>
      <c r="G325" s="504"/>
      <c r="H325" s="504"/>
      <c r="I325" s="504"/>
      <c r="J325" s="504"/>
      <c r="K325" s="504"/>
      <c r="L325" s="163"/>
      <c r="M325" s="163"/>
      <c r="N325" s="163"/>
      <c r="O325" s="163"/>
      <c r="P325" s="163"/>
      <c r="Q325" s="163"/>
    </row>
    <row r="326" spans="1:17" x14ac:dyDescent="0.25">
      <c r="A326" s="505" t="s">
        <v>0</v>
      </c>
      <c r="B326" s="505" t="s">
        <v>7</v>
      </c>
      <c r="C326" s="505"/>
      <c r="D326" s="505"/>
      <c r="E326" s="505" t="s">
        <v>5</v>
      </c>
      <c r="F326" s="505"/>
      <c r="G326" s="505"/>
      <c r="H326" s="505" t="s">
        <v>4</v>
      </c>
      <c r="I326" s="505"/>
      <c r="J326" s="505" t="s">
        <v>6</v>
      </c>
      <c r="K326" s="505"/>
      <c r="L326" s="163"/>
      <c r="M326" s="163"/>
      <c r="N326" s="163"/>
      <c r="O326" s="163"/>
      <c r="P326" s="163"/>
      <c r="Q326" s="163"/>
    </row>
    <row r="327" spans="1:17" x14ac:dyDescent="0.25">
      <c r="A327" s="505"/>
      <c r="B327" s="164" t="s">
        <v>8</v>
      </c>
      <c r="C327" s="164" t="s">
        <v>14</v>
      </c>
      <c r="D327" s="164" t="s">
        <v>13</v>
      </c>
      <c r="E327" s="164" t="s">
        <v>8</v>
      </c>
      <c r="F327" s="164" t="s">
        <v>14</v>
      </c>
      <c r="G327" s="164" t="s">
        <v>10</v>
      </c>
      <c r="H327" s="164" t="s">
        <v>8</v>
      </c>
      <c r="I327" s="164" t="s">
        <v>13</v>
      </c>
      <c r="J327" s="164" t="s">
        <v>8</v>
      </c>
      <c r="K327" s="164" t="s">
        <v>13</v>
      </c>
      <c r="L327" s="163"/>
      <c r="M327" s="163"/>
      <c r="N327" s="163"/>
      <c r="O327" s="163"/>
      <c r="P327" s="163"/>
      <c r="Q327" s="163"/>
    </row>
    <row r="328" spans="1:17" x14ac:dyDescent="0.25">
      <c r="A328" s="165"/>
      <c r="B328" s="166"/>
      <c r="C328" s="166"/>
      <c r="D328" s="166"/>
      <c r="E328" s="166"/>
      <c r="F328" s="166"/>
      <c r="G328" s="166"/>
      <c r="H328" s="166"/>
      <c r="I328" s="166"/>
      <c r="J328" s="166"/>
      <c r="K328" s="166"/>
      <c r="L328" s="163"/>
      <c r="M328" s="163"/>
      <c r="N328" s="163"/>
      <c r="O328" s="163"/>
      <c r="P328" s="163"/>
      <c r="Q328" s="163"/>
    </row>
    <row r="329" spans="1:17" x14ac:dyDescent="0.25">
      <c r="A329" s="167" t="s">
        <v>56</v>
      </c>
      <c r="B329" s="168">
        <f>'Tawas Hanau'!B33</f>
        <v>0</v>
      </c>
      <c r="C329" s="168">
        <f>'Tawas Hanau'!C33</f>
        <v>0</v>
      </c>
      <c r="D329" s="168">
        <f>'Tawas Hanau'!D33</f>
        <v>0</v>
      </c>
      <c r="E329" s="168">
        <f>'Tawas Hanau'!E33</f>
        <v>0</v>
      </c>
      <c r="F329" s="168">
        <f>'Tawas Hanau'!F33</f>
        <v>0</v>
      </c>
      <c r="G329" s="168">
        <f>'Tawas Hanau'!G33</f>
        <v>0</v>
      </c>
      <c r="H329" s="168">
        <f>'Tawas Hanau'!H33</f>
        <v>0</v>
      </c>
      <c r="I329" s="168">
        <f>'Tawas Hanau'!I33</f>
        <v>0</v>
      </c>
      <c r="J329" s="168">
        <f>'Tawas Hanau'!J33</f>
        <v>0</v>
      </c>
      <c r="K329" s="168">
        <f>'Tawas Hanau'!K33</f>
        <v>0</v>
      </c>
      <c r="L329" s="163"/>
      <c r="M329" s="163"/>
      <c r="N329" s="163"/>
      <c r="O329" s="163"/>
      <c r="P329" s="163"/>
      <c r="Q329" s="163"/>
    </row>
    <row r="330" spans="1:17" x14ac:dyDescent="0.25">
      <c r="A330" s="167"/>
      <c r="B330" s="168"/>
      <c r="C330" s="161"/>
      <c r="D330" s="161">
        <f>B330*C330</f>
        <v>0</v>
      </c>
      <c r="E330" s="169"/>
      <c r="F330" s="161"/>
      <c r="G330" s="161">
        <f>E330*F330</f>
        <v>0</v>
      </c>
      <c r="H330" s="169"/>
      <c r="I330" s="161">
        <f>H330*C330</f>
        <v>0</v>
      </c>
      <c r="J330" s="170">
        <f>B330+E330-H330</f>
        <v>0</v>
      </c>
      <c r="K330" s="161">
        <f>D330+G330-I330</f>
        <v>0</v>
      </c>
      <c r="L330" s="163"/>
      <c r="M330" s="163"/>
      <c r="N330" s="163"/>
      <c r="O330" s="163"/>
      <c r="P330" s="163"/>
      <c r="Q330" s="163"/>
    </row>
    <row r="331" spans="1:17" x14ac:dyDescent="0.25">
      <c r="A331" s="222"/>
      <c r="B331" s="223"/>
      <c r="C331" s="224"/>
      <c r="D331" s="224"/>
      <c r="E331" s="225"/>
      <c r="F331" s="224"/>
      <c r="G331" s="224">
        <f>E331*F331</f>
        <v>0</v>
      </c>
      <c r="H331" s="225"/>
      <c r="I331" s="224">
        <f>H331*F331</f>
        <v>0</v>
      </c>
      <c r="J331" s="226">
        <f>B331+E331-H331</f>
        <v>0</v>
      </c>
      <c r="K331" s="224">
        <f>D331+G331-I331</f>
        <v>0</v>
      </c>
      <c r="L331" s="163"/>
      <c r="M331" s="163"/>
      <c r="N331" s="163"/>
      <c r="O331" s="163"/>
      <c r="P331" s="163"/>
      <c r="Q331" s="163"/>
    </row>
    <row r="333" spans="1:17" ht="21" x14ac:dyDescent="0.35">
      <c r="A333" s="278" t="s">
        <v>107</v>
      </c>
      <c r="B333" s="297"/>
      <c r="C333" s="297"/>
      <c r="D333" s="297"/>
      <c r="E333" s="297"/>
      <c r="F333" s="297"/>
      <c r="G333" s="297"/>
      <c r="H333" s="297"/>
      <c r="I333" s="297"/>
      <c r="J333" s="297"/>
      <c r="K333" s="297"/>
      <c r="L333" s="297"/>
      <c r="M333" s="297"/>
      <c r="N333" s="297"/>
      <c r="O333" s="297"/>
      <c r="P333" s="297"/>
      <c r="Q333" s="297"/>
    </row>
    <row r="334" spans="1:17" x14ac:dyDescent="0.25">
      <c r="A334" s="524" t="s">
        <v>40</v>
      </c>
      <c r="B334" s="524"/>
      <c r="C334" s="524"/>
      <c r="D334" s="524"/>
      <c r="E334" s="524"/>
      <c r="F334" s="524"/>
      <c r="G334" s="524"/>
      <c r="H334" s="524"/>
      <c r="I334" s="524"/>
      <c r="J334" s="524"/>
      <c r="K334" s="524"/>
      <c r="L334" s="524"/>
      <c r="M334" s="524"/>
      <c r="N334" s="524"/>
      <c r="O334" s="524"/>
      <c r="P334" s="524"/>
      <c r="Q334" s="524"/>
    </row>
    <row r="335" spans="1:17" x14ac:dyDescent="0.25">
      <c r="A335" s="525" t="s">
        <v>0</v>
      </c>
      <c r="B335" s="525" t="s">
        <v>7</v>
      </c>
      <c r="C335" s="525"/>
      <c r="D335" s="525"/>
      <c r="E335" s="525" t="s">
        <v>5</v>
      </c>
      <c r="F335" s="525"/>
      <c r="G335" s="525"/>
      <c r="H335" s="526" t="s">
        <v>25</v>
      </c>
      <c r="I335" s="527"/>
      <c r="J335" s="528"/>
      <c r="K335" s="526" t="s">
        <v>26</v>
      </c>
      <c r="L335" s="527"/>
      <c r="M335" s="528"/>
      <c r="N335" s="525" t="s">
        <v>4</v>
      </c>
      <c r="O335" s="525"/>
      <c r="P335" s="525" t="s">
        <v>6</v>
      </c>
      <c r="Q335" s="525"/>
    </row>
    <row r="336" spans="1:17" x14ac:dyDescent="0.25">
      <c r="A336" s="525"/>
      <c r="B336" s="298" t="s">
        <v>8</v>
      </c>
      <c r="C336" s="298" t="s">
        <v>14</v>
      </c>
      <c r="D336" s="298" t="s">
        <v>13</v>
      </c>
      <c r="E336" s="298" t="s">
        <v>8</v>
      </c>
      <c r="F336" s="298" t="s">
        <v>14</v>
      </c>
      <c r="G336" s="298" t="s">
        <v>10</v>
      </c>
      <c r="H336" s="298" t="s">
        <v>8</v>
      </c>
      <c r="I336" s="298" t="s">
        <v>9</v>
      </c>
      <c r="J336" s="298" t="s">
        <v>13</v>
      </c>
      <c r="K336" s="298" t="s">
        <v>8</v>
      </c>
      <c r="L336" s="298" t="s">
        <v>9</v>
      </c>
      <c r="M336" s="298" t="s">
        <v>13</v>
      </c>
      <c r="N336" s="298" t="s">
        <v>8</v>
      </c>
      <c r="O336" s="298" t="s">
        <v>13</v>
      </c>
      <c r="P336" s="298" t="s">
        <v>8</v>
      </c>
      <c r="Q336" s="298" t="s">
        <v>13</v>
      </c>
    </row>
    <row r="337" spans="1:17" x14ac:dyDescent="0.25">
      <c r="A337" s="299"/>
      <c r="B337" s="300"/>
      <c r="C337" s="300"/>
      <c r="D337" s="300"/>
      <c r="E337" s="300"/>
      <c r="F337" s="300"/>
      <c r="G337" s="300"/>
      <c r="H337" s="300"/>
      <c r="I337" s="300"/>
      <c r="J337" s="300"/>
      <c r="K337" s="300"/>
      <c r="L337" s="300"/>
      <c r="M337" s="300"/>
      <c r="N337" s="300"/>
      <c r="O337" s="300"/>
      <c r="P337" s="300"/>
      <c r="Q337" s="300"/>
    </row>
    <row r="338" spans="1:17" x14ac:dyDescent="0.25">
      <c r="A338" s="285" t="s">
        <v>57</v>
      </c>
      <c r="B338" s="301">
        <f>'TAWAS BENAR'!B37</f>
        <v>0</v>
      </c>
      <c r="C338" s="301">
        <f>'TAWAS BENAR'!C37</f>
        <v>0</v>
      </c>
      <c r="D338" s="301">
        <f>'TAWAS BENAR'!D37</f>
        <v>0</v>
      </c>
      <c r="E338" s="301">
        <f>'TAWAS BENAR'!E37</f>
        <v>0</v>
      </c>
      <c r="F338" s="301">
        <f>'TAWAS BENAR'!F37</f>
        <v>0</v>
      </c>
      <c r="G338" s="301">
        <f>'TAWAS BENAR'!G37</f>
        <v>0</v>
      </c>
      <c r="H338" s="301">
        <f>'TAWAS BENAR'!H37</f>
        <v>0</v>
      </c>
      <c r="I338" s="301">
        <f>'TAWAS BENAR'!I37</f>
        <v>0</v>
      </c>
      <c r="J338" s="301">
        <f>'TAWAS BENAR'!J37</f>
        <v>0</v>
      </c>
      <c r="K338" s="301">
        <f>'TAWAS BENAR'!K37</f>
        <v>0</v>
      </c>
      <c r="L338" s="301">
        <f>'TAWAS BENAR'!L37</f>
        <v>0</v>
      </c>
      <c r="M338" s="301">
        <f>'TAWAS BENAR'!M37</f>
        <v>0</v>
      </c>
      <c r="N338" s="301">
        <f>'TAWAS BENAR'!N37</f>
        <v>0</v>
      </c>
      <c r="O338" s="301">
        <f>'TAWAS BENAR'!O37</f>
        <v>0</v>
      </c>
      <c r="P338" s="301">
        <f>'TAWAS BENAR'!P37</f>
        <v>0</v>
      </c>
      <c r="Q338" s="301">
        <f>'TAWAS BENAR'!Q37</f>
        <v>0</v>
      </c>
    </row>
    <row r="339" spans="1:17" x14ac:dyDescent="0.25">
      <c r="A339" s="285"/>
      <c r="B339" s="301" t="e">
        <f>'TAWAS BENAR'!#REF!</f>
        <v>#REF!</v>
      </c>
      <c r="C339" s="301" t="e">
        <f>'TAWAS BENAR'!#REF!</f>
        <v>#REF!</v>
      </c>
      <c r="D339" s="301" t="e">
        <f>'TAWAS BENAR'!#REF!</f>
        <v>#REF!</v>
      </c>
      <c r="E339" s="301" t="e">
        <f>'TAWAS BENAR'!#REF!</f>
        <v>#REF!</v>
      </c>
      <c r="F339" s="301" t="e">
        <f>'TAWAS BENAR'!#REF!</f>
        <v>#REF!</v>
      </c>
      <c r="G339" s="301" t="e">
        <f>'TAWAS BENAR'!#REF!</f>
        <v>#REF!</v>
      </c>
      <c r="H339" s="301" t="e">
        <f>'TAWAS BENAR'!#REF!</f>
        <v>#REF!</v>
      </c>
      <c r="I339" s="301" t="e">
        <f>'TAWAS BENAR'!#REF!</f>
        <v>#REF!</v>
      </c>
      <c r="J339" s="301" t="e">
        <f>'TAWAS BENAR'!#REF!</f>
        <v>#REF!</v>
      </c>
      <c r="K339" s="301" t="e">
        <f>'TAWAS BENAR'!#REF!</f>
        <v>#REF!</v>
      </c>
      <c r="L339" s="301" t="e">
        <f>'TAWAS BENAR'!#REF!</f>
        <v>#REF!</v>
      </c>
      <c r="M339" s="301" t="e">
        <f>'TAWAS BENAR'!#REF!</f>
        <v>#REF!</v>
      </c>
      <c r="N339" s="301" t="e">
        <f>'TAWAS BENAR'!#REF!</f>
        <v>#REF!</v>
      </c>
      <c r="O339" s="301" t="e">
        <f>'TAWAS BENAR'!#REF!</f>
        <v>#REF!</v>
      </c>
      <c r="P339" s="301" t="e">
        <f>'TAWAS BENAR'!#REF!</f>
        <v>#REF!</v>
      </c>
      <c r="Q339" s="301" t="e">
        <f>'TAWAS BENAR'!#REF!</f>
        <v>#REF!</v>
      </c>
    </row>
    <row r="340" spans="1:17" x14ac:dyDescent="0.25">
      <c r="A340" s="285"/>
      <c r="B340" s="301" t="e">
        <f>'TAWAS BENAR'!#REF!</f>
        <v>#REF!</v>
      </c>
      <c r="C340" s="301" t="e">
        <f>'TAWAS BENAR'!#REF!</f>
        <v>#REF!</v>
      </c>
      <c r="D340" s="301" t="e">
        <f>'TAWAS BENAR'!#REF!</f>
        <v>#REF!</v>
      </c>
      <c r="E340" s="301" t="e">
        <f>'TAWAS BENAR'!#REF!</f>
        <v>#REF!</v>
      </c>
      <c r="F340" s="301" t="e">
        <f>'TAWAS BENAR'!#REF!</f>
        <v>#REF!</v>
      </c>
      <c r="G340" s="301" t="e">
        <f>'TAWAS BENAR'!#REF!</f>
        <v>#REF!</v>
      </c>
      <c r="H340" s="301" t="e">
        <f>'TAWAS BENAR'!#REF!</f>
        <v>#REF!</v>
      </c>
      <c r="I340" s="301" t="e">
        <f>'TAWAS BENAR'!#REF!</f>
        <v>#REF!</v>
      </c>
      <c r="J340" s="301" t="e">
        <f>'TAWAS BENAR'!#REF!</f>
        <v>#REF!</v>
      </c>
      <c r="K340" s="301" t="e">
        <f>'TAWAS BENAR'!#REF!</f>
        <v>#REF!</v>
      </c>
      <c r="L340" s="301" t="e">
        <f>'TAWAS BENAR'!#REF!</f>
        <v>#REF!</v>
      </c>
      <c r="M340" s="301" t="e">
        <f>'TAWAS BENAR'!#REF!</f>
        <v>#REF!</v>
      </c>
      <c r="N340" s="301" t="e">
        <f>'TAWAS BENAR'!#REF!</f>
        <v>#REF!</v>
      </c>
      <c r="O340" s="301" t="e">
        <f>'TAWAS BENAR'!#REF!</f>
        <v>#REF!</v>
      </c>
      <c r="P340" s="441" t="e">
        <f>'TAWAS BENAR'!#REF!</f>
        <v>#REF!</v>
      </c>
      <c r="Q340" s="441" t="e">
        <f>'TAWAS BENAR'!#REF!</f>
        <v>#REF!</v>
      </c>
    </row>
    <row r="341" spans="1:17" x14ac:dyDescent="0.25">
      <c r="A341" s="222"/>
      <c r="B341" s="223"/>
      <c r="C341" s="224"/>
      <c r="D341" s="224">
        <f>B341*C341</f>
        <v>0</v>
      </c>
      <c r="E341" s="225"/>
      <c r="F341" s="224"/>
      <c r="G341" s="253">
        <f>E341*F341</f>
        <v>0</v>
      </c>
      <c r="H341" s="253"/>
      <c r="I341" s="253"/>
      <c r="J341" s="253"/>
      <c r="K341" s="253"/>
      <c r="L341" s="253"/>
      <c r="M341" s="253"/>
      <c r="N341" s="225"/>
      <c r="O341" s="224">
        <f>N341*C341</f>
        <v>0</v>
      </c>
      <c r="P341" s="226">
        <f>B341+E341-N341-H341-K341</f>
        <v>0</v>
      </c>
      <c r="Q341" s="224">
        <f>D341+G341-O341-J341-M341</f>
        <v>0</v>
      </c>
    </row>
    <row r="342" spans="1:17" x14ac:dyDescent="0.25">
      <c r="A342" s="163"/>
      <c r="B342" s="163"/>
      <c r="C342" s="163" t="s">
        <v>39</v>
      </c>
      <c r="D342" s="163"/>
      <c r="E342" s="163"/>
      <c r="F342" s="163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</row>
    <row r="343" spans="1:17" x14ac:dyDescent="0.25">
      <c r="A343" s="504" t="s">
        <v>41</v>
      </c>
      <c r="B343" s="504"/>
      <c r="C343" s="504"/>
      <c r="D343" s="504"/>
      <c r="E343" s="504"/>
      <c r="F343" s="504"/>
      <c r="G343" s="504"/>
      <c r="H343" s="504"/>
      <c r="I343" s="504"/>
      <c r="J343" s="504"/>
      <c r="K343" s="504"/>
      <c r="L343" s="163"/>
      <c r="M343" s="163"/>
      <c r="N343" s="163"/>
      <c r="O343" s="163"/>
      <c r="P343" s="163"/>
      <c r="Q343" s="163"/>
    </row>
    <row r="344" spans="1:17" x14ac:dyDescent="0.25">
      <c r="A344" s="505" t="s">
        <v>0</v>
      </c>
      <c r="B344" s="505" t="s">
        <v>7</v>
      </c>
      <c r="C344" s="505"/>
      <c r="D344" s="505"/>
      <c r="E344" s="505" t="s">
        <v>5</v>
      </c>
      <c r="F344" s="505"/>
      <c r="G344" s="505"/>
      <c r="H344" s="505" t="s">
        <v>4</v>
      </c>
      <c r="I344" s="505"/>
      <c r="J344" s="505" t="s">
        <v>6</v>
      </c>
      <c r="K344" s="505"/>
      <c r="L344" s="163"/>
      <c r="M344" s="163"/>
      <c r="N344" s="163"/>
      <c r="O344" s="163"/>
      <c r="P344" s="163"/>
      <c r="Q344" s="163"/>
    </row>
    <row r="345" spans="1:17" x14ac:dyDescent="0.25">
      <c r="A345" s="505"/>
      <c r="B345" s="164" t="s">
        <v>8</v>
      </c>
      <c r="C345" s="164" t="s">
        <v>14</v>
      </c>
      <c r="D345" s="164" t="s">
        <v>13</v>
      </c>
      <c r="E345" s="164" t="s">
        <v>8</v>
      </c>
      <c r="F345" s="164" t="s">
        <v>14</v>
      </c>
      <c r="G345" s="164" t="s">
        <v>10</v>
      </c>
      <c r="H345" s="164" t="s">
        <v>8</v>
      </c>
      <c r="I345" s="164" t="s">
        <v>13</v>
      </c>
      <c r="J345" s="164" t="s">
        <v>8</v>
      </c>
      <c r="K345" s="164" t="s">
        <v>13</v>
      </c>
      <c r="L345" s="163"/>
      <c r="M345" s="163"/>
      <c r="N345" s="163"/>
      <c r="O345" s="163"/>
      <c r="P345" s="163"/>
      <c r="Q345" s="163"/>
    </row>
    <row r="346" spans="1:17" x14ac:dyDescent="0.25">
      <c r="A346" s="165"/>
      <c r="B346" s="166"/>
      <c r="C346" s="166"/>
      <c r="D346" s="166"/>
      <c r="E346" s="166"/>
      <c r="F346" s="166"/>
      <c r="G346" s="166"/>
      <c r="H346" s="166"/>
      <c r="I346" s="166"/>
      <c r="J346" s="166"/>
      <c r="K346" s="166"/>
      <c r="L346" s="163"/>
      <c r="M346" s="163"/>
      <c r="N346" s="163"/>
      <c r="O346" s="163"/>
      <c r="P346" s="163"/>
      <c r="Q346" s="163"/>
    </row>
    <row r="347" spans="1:17" x14ac:dyDescent="0.25">
      <c r="A347" s="167" t="s">
        <v>57</v>
      </c>
      <c r="B347" s="168">
        <f>'Tawas K. B'!B35</f>
        <v>0</v>
      </c>
      <c r="C347" s="168">
        <f>'Tawas K. B'!C35</f>
        <v>0</v>
      </c>
      <c r="D347" s="168">
        <f>'Tawas K. B'!D35</f>
        <v>0</v>
      </c>
      <c r="E347" s="168">
        <f>'Tawas K. B'!E35</f>
        <v>0</v>
      </c>
      <c r="F347" s="168">
        <f>'Tawas K. B'!F35</f>
        <v>0</v>
      </c>
      <c r="G347" s="168">
        <f>'Tawas K. B'!G35</f>
        <v>0</v>
      </c>
      <c r="H347" s="168">
        <f>'Tawas K. B'!H35</f>
        <v>0</v>
      </c>
      <c r="I347" s="168">
        <f>'Tawas K. B'!I35</f>
        <v>0</v>
      </c>
      <c r="J347" s="168">
        <f>'Tawas K. B'!J35</f>
        <v>0</v>
      </c>
      <c r="K347" s="168">
        <f>'Tawas K. B'!K35</f>
        <v>0</v>
      </c>
      <c r="L347" s="163"/>
      <c r="M347" s="163"/>
      <c r="N347" s="163"/>
      <c r="O347" s="163"/>
      <c r="P347" s="163"/>
      <c r="Q347" s="163"/>
    </row>
    <row r="348" spans="1:17" x14ac:dyDescent="0.25">
      <c r="A348" s="167"/>
      <c r="B348" s="168"/>
      <c r="C348" s="161"/>
      <c r="D348" s="161"/>
      <c r="E348" s="169"/>
      <c r="F348" s="161"/>
      <c r="G348" s="161"/>
      <c r="H348" s="169"/>
      <c r="I348" s="161"/>
      <c r="J348" s="170"/>
      <c r="K348" s="161"/>
      <c r="L348" s="163"/>
      <c r="M348" s="163"/>
      <c r="N348" s="163"/>
      <c r="O348" s="163"/>
      <c r="P348" s="163"/>
      <c r="Q348" s="163"/>
    </row>
    <row r="349" spans="1:17" x14ac:dyDescent="0.25">
      <c r="A349" s="222"/>
      <c r="B349" s="223"/>
      <c r="C349" s="224"/>
      <c r="D349" s="224"/>
      <c r="E349" s="225"/>
      <c r="F349" s="224"/>
      <c r="G349" s="224"/>
      <c r="H349" s="225"/>
      <c r="I349" s="224"/>
      <c r="J349" s="226"/>
      <c r="K349" s="224"/>
      <c r="L349" s="163"/>
      <c r="M349" s="163"/>
      <c r="N349" s="163"/>
      <c r="O349" s="163"/>
      <c r="P349" s="163"/>
      <c r="Q349" s="163"/>
    </row>
    <row r="350" spans="1:17" x14ac:dyDescent="0.25">
      <c r="A350" s="163"/>
      <c r="B350" s="163"/>
      <c r="C350" s="163"/>
      <c r="D350" s="163"/>
      <c r="E350" s="163" t="s">
        <v>50</v>
      </c>
      <c r="F350" s="163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</row>
    <row r="351" spans="1:17" x14ac:dyDescent="0.25">
      <c r="A351" s="163"/>
      <c r="B351" s="163"/>
      <c r="C351" s="163"/>
      <c r="D351" s="163"/>
      <c r="E351" s="163"/>
      <c r="F351" s="163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</row>
    <row r="352" spans="1:17" x14ac:dyDescent="0.25">
      <c r="A352" s="163"/>
      <c r="B352" s="163"/>
      <c r="C352" s="163"/>
      <c r="D352" s="163"/>
      <c r="E352" s="163"/>
      <c r="F352" s="163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</row>
    <row r="353" spans="1:17" x14ac:dyDescent="0.25">
      <c r="A353" s="504" t="s">
        <v>42</v>
      </c>
      <c r="B353" s="504"/>
      <c r="C353" s="504"/>
      <c r="D353" s="504"/>
      <c r="E353" s="504"/>
      <c r="F353" s="504"/>
      <c r="G353" s="504"/>
      <c r="H353" s="504"/>
      <c r="I353" s="504"/>
      <c r="J353" s="504"/>
      <c r="K353" s="504"/>
      <c r="L353" s="163"/>
      <c r="M353" s="163"/>
      <c r="N353" s="163"/>
      <c r="O353" s="163"/>
      <c r="P353" s="163"/>
      <c r="Q353" s="163"/>
    </row>
    <row r="354" spans="1:17" x14ac:dyDescent="0.25">
      <c r="A354" s="505" t="s">
        <v>0</v>
      </c>
      <c r="B354" s="505" t="s">
        <v>7</v>
      </c>
      <c r="C354" s="505"/>
      <c r="D354" s="505"/>
      <c r="E354" s="505" t="s">
        <v>5</v>
      </c>
      <c r="F354" s="505"/>
      <c r="G354" s="505"/>
      <c r="H354" s="505" t="s">
        <v>4</v>
      </c>
      <c r="I354" s="505"/>
      <c r="J354" s="505" t="s">
        <v>6</v>
      </c>
      <c r="K354" s="505"/>
      <c r="L354" s="163"/>
      <c r="M354" s="163"/>
      <c r="N354" s="163"/>
      <c r="O354" s="163"/>
      <c r="P354" s="163"/>
      <c r="Q354" s="163"/>
    </row>
    <row r="355" spans="1:17" x14ac:dyDescent="0.25">
      <c r="A355" s="505"/>
      <c r="B355" s="164" t="s">
        <v>8</v>
      </c>
      <c r="C355" s="164" t="s">
        <v>14</v>
      </c>
      <c r="D355" s="164" t="s">
        <v>13</v>
      </c>
      <c r="E355" s="164" t="s">
        <v>8</v>
      </c>
      <c r="F355" s="164" t="s">
        <v>14</v>
      </c>
      <c r="G355" s="164" t="s">
        <v>10</v>
      </c>
      <c r="H355" s="164" t="s">
        <v>8</v>
      </c>
      <c r="I355" s="164" t="s">
        <v>13</v>
      </c>
      <c r="J355" s="164" t="s">
        <v>8</v>
      </c>
      <c r="K355" s="164" t="s">
        <v>13</v>
      </c>
      <c r="L355" s="163"/>
      <c r="M355" s="163"/>
      <c r="N355" s="163"/>
      <c r="O355" s="163"/>
      <c r="P355" s="163"/>
      <c r="Q355" s="163"/>
    </row>
    <row r="356" spans="1:17" x14ac:dyDescent="0.25">
      <c r="A356" s="165"/>
      <c r="B356" s="166"/>
      <c r="C356" s="166"/>
      <c r="D356" s="166"/>
      <c r="E356" s="166"/>
      <c r="F356" s="166"/>
      <c r="G356" s="166"/>
      <c r="H356" s="166"/>
      <c r="I356" s="166"/>
      <c r="J356" s="166"/>
      <c r="K356" s="166"/>
      <c r="L356" s="163"/>
      <c r="M356" s="163"/>
      <c r="N356" s="163"/>
      <c r="O356" s="163"/>
      <c r="P356" s="163"/>
      <c r="Q356" s="163"/>
    </row>
    <row r="357" spans="1:17" x14ac:dyDescent="0.25">
      <c r="A357" s="167" t="s">
        <v>57</v>
      </c>
      <c r="B357" s="168">
        <f>'Tawas Hanau'!B35</f>
        <v>0</v>
      </c>
      <c r="C357" s="168">
        <f>'Tawas Hanau'!C35</f>
        <v>0</v>
      </c>
      <c r="D357" s="168">
        <f>'Tawas Hanau'!D35</f>
        <v>0</v>
      </c>
      <c r="E357" s="168">
        <f>'Tawas Hanau'!E35</f>
        <v>0</v>
      </c>
      <c r="F357" s="168">
        <f>'Tawas Hanau'!F35</f>
        <v>0</v>
      </c>
      <c r="G357" s="168">
        <f>'Tawas Hanau'!G35</f>
        <v>0</v>
      </c>
      <c r="H357" s="168">
        <f>'Tawas Hanau'!H35</f>
        <v>0</v>
      </c>
      <c r="I357" s="168">
        <f>'Tawas Hanau'!I35</f>
        <v>0</v>
      </c>
      <c r="J357" s="168">
        <f>'Tawas Hanau'!J35</f>
        <v>0</v>
      </c>
      <c r="K357" s="168">
        <f>'Tawas Hanau'!K35</f>
        <v>0</v>
      </c>
      <c r="L357" s="163"/>
      <c r="M357" s="163"/>
      <c r="N357" s="163"/>
      <c r="O357" s="163"/>
      <c r="P357" s="163"/>
      <c r="Q357" s="163"/>
    </row>
    <row r="358" spans="1:17" x14ac:dyDescent="0.25">
      <c r="A358" s="222"/>
      <c r="B358" s="223"/>
      <c r="C358" s="224"/>
      <c r="D358" s="224"/>
      <c r="E358" s="225"/>
      <c r="F358" s="224"/>
      <c r="G358" s="224">
        <f>E358*F358</f>
        <v>0</v>
      </c>
      <c r="H358" s="225"/>
      <c r="I358" s="224">
        <f>H358*F358</f>
        <v>0</v>
      </c>
      <c r="J358" s="226">
        <f>B358+E358-H358</f>
        <v>0</v>
      </c>
      <c r="K358" s="224">
        <f>D358+G358-I358</f>
        <v>0</v>
      </c>
      <c r="L358" s="163"/>
      <c r="M358" s="163"/>
      <c r="N358" s="163"/>
      <c r="O358" s="163"/>
      <c r="P358" s="163"/>
      <c r="Q358" s="163"/>
    </row>
  </sheetData>
  <mergeCells count="246">
    <mergeCell ref="A97:B97"/>
    <mergeCell ref="A316:A317"/>
    <mergeCell ref="B316:D316"/>
    <mergeCell ref="E316:G316"/>
    <mergeCell ref="H316:I316"/>
    <mergeCell ref="J316:K316"/>
    <mergeCell ref="A325:K325"/>
    <mergeCell ref="A326:A327"/>
    <mergeCell ref="B326:D326"/>
    <mergeCell ref="E326:G326"/>
    <mergeCell ref="H326:I326"/>
    <mergeCell ref="J326:K326"/>
    <mergeCell ref="A308:Q308"/>
    <mergeCell ref="A309:A310"/>
    <mergeCell ref="B309:D309"/>
    <mergeCell ref="E309:G309"/>
    <mergeCell ref="H309:J309"/>
    <mergeCell ref="K309:M309"/>
    <mergeCell ref="N309:O309"/>
    <mergeCell ref="P309:Q309"/>
    <mergeCell ref="A315:K315"/>
    <mergeCell ref="A288:A289"/>
    <mergeCell ref="B288:D288"/>
    <mergeCell ref="E288:G288"/>
    <mergeCell ref="A230:A231"/>
    <mergeCell ref="B230:D230"/>
    <mergeCell ref="E230:G230"/>
    <mergeCell ref="H230:I230"/>
    <mergeCell ref="J230:K230"/>
    <mergeCell ref="A238:K238"/>
    <mergeCell ref="A239:A240"/>
    <mergeCell ref="B239:D239"/>
    <mergeCell ref="E239:G239"/>
    <mergeCell ref="H239:I239"/>
    <mergeCell ref="J239:K239"/>
    <mergeCell ref="A221:Q221"/>
    <mergeCell ref="A222:A223"/>
    <mergeCell ref="B222:D222"/>
    <mergeCell ref="E222:G222"/>
    <mergeCell ref="H222:J222"/>
    <mergeCell ref="K222:M222"/>
    <mergeCell ref="N222:O222"/>
    <mergeCell ref="P222:Q222"/>
    <mergeCell ref="A229:K229"/>
    <mergeCell ref="A108:A109"/>
    <mergeCell ref="B108:D108"/>
    <mergeCell ref="E108:G108"/>
    <mergeCell ref="H108:I108"/>
    <mergeCell ref="J108:K108"/>
    <mergeCell ref="A118:K118"/>
    <mergeCell ref="A119:A120"/>
    <mergeCell ref="B119:D119"/>
    <mergeCell ref="E119:G119"/>
    <mergeCell ref="H119:I119"/>
    <mergeCell ref="J119:K119"/>
    <mergeCell ref="A98:Q98"/>
    <mergeCell ref="A99:A100"/>
    <mergeCell ref="B99:D99"/>
    <mergeCell ref="E99:G99"/>
    <mergeCell ref="H99:J99"/>
    <mergeCell ref="K99:M99"/>
    <mergeCell ref="N99:O99"/>
    <mergeCell ref="P99:Q99"/>
    <mergeCell ref="A107:K107"/>
    <mergeCell ref="A76:A77"/>
    <mergeCell ref="B76:D76"/>
    <mergeCell ref="E76:G76"/>
    <mergeCell ref="H76:I76"/>
    <mergeCell ref="J76:K76"/>
    <mergeCell ref="A85:K85"/>
    <mergeCell ref="A86:A87"/>
    <mergeCell ref="B86:D86"/>
    <mergeCell ref="E86:G86"/>
    <mergeCell ref="H86:I86"/>
    <mergeCell ref="J86:K86"/>
    <mergeCell ref="A65:Q65"/>
    <mergeCell ref="A66:A67"/>
    <mergeCell ref="B66:D66"/>
    <mergeCell ref="E66:G66"/>
    <mergeCell ref="H66:J66"/>
    <mergeCell ref="K66:M66"/>
    <mergeCell ref="N66:O66"/>
    <mergeCell ref="P66:Q66"/>
    <mergeCell ref="A75:K75"/>
    <mergeCell ref="A43:A44"/>
    <mergeCell ref="B43:D43"/>
    <mergeCell ref="E43:G43"/>
    <mergeCell ref="H43:I43"/>
    <mergeCell ref="J43:K43"/>
    <mergeCell ref="A53:K53"/>
    <mergeCell ref="A54:A55"/>
    <mergeCell ref="B54:D54"/>
    <mergeCell ref="E54:G54"/>
    <mergeCell ref="H54:I54"/>
    <mergeCell ref="J54:K54"/>
    <mergeCell ref="A32:Q32"/>
    <mergeCell ref="A33:A34"/>
    <mergeCell ref="B33:D33"/>
    <mergeCell ref="E33:G33"/>
    <mergeCell ref="H33:J33"/>
    <mergeCell ref="K33:M33"/>
    <mergeCell ref="N33:O33"/>
    <mergeCell ref="P33:Q33"/>
    <mergeCell ref="A42:K42"/>
    <mergeCell ref="A14:A15"/>
    <mergeCell ref="B14:D14"/>
    <mergeCell ref="E14:G14"/>
    <mergeCell ref="H14:I14"/>
    <mergeCell ref="J14:K14"/>
    <mergeCell ref="A22:K22"/>
    <mergeCell ref="A23:A24"/>
    <mergeCell ref="B23:D23"/>
    <mergeCell ref="E23:G23"/>
    <mergeCell ref="H23:I23"/>
    <mergeCell ref="J23:K23"/>
    <mergeCell ref="A3:Q3"/>
    <mergeCell ref="A4:A5"/>
    <mergeCell ref="B4:D4"/>
    <mergeCell ref="E4:G4"/>
    <mergeCell ref="H4:J4"/>
    <mergeCell ref="K4:M4"/>
    <mergeCell ref="N4:O4"/>
    <mergeCell ref="P4:Q4"/>
    <mergeCell ref="A13:K13"/>
    <mergeCell ref="A139:K139"/>
    <mergeCell ref="A140:A141"/>
    <mergeCell ref="B140:D140"/>
    <mergeCell ref="E140:G140"/>
    <mergeCell ref="H140:I140"/>
    <mergeCell ref="J140:K140"/>
    <mergeCell ref="A129:Q129"/>
    <mergeCell ref="A130:A131"/>
    <mergeCell ref="B130:D130"/>
    <mergeCell ref="E130:G130"/>
    <mergeCell ref="H130:J130"/>
    <mergeCell ref="K130:M130"/>
    <mergeCell ref="N130:O130"/>
    <mergeCell ref="P130:Q130"/>
    <mergeCell ref="A160:Q160"/>
    <mergeCell ref="A161:A162"/>
    <mergeCell ref="B161:D161"/>
    <mergeCell ref="E161:G161"/>
    <mergeCell ref="H161:J161"/>
    <mergeCell ref="K161:M161"/>
    <mergeCell ref="N161:O161"/>
    <mergeCell ref="P161:Q161"/>
    <mergeCell ref="A149:K149"/>
    <mergeCell ref="A150:A151"/>
    <mergeCell ref="B150:D150"/>
    <mergeCell ref="E150:G150"/>
    <mergeCell ref="H150:I150"/>
    <mergeCell ref="J150:K150"/>
    <mergeCell ref="A178:K178"/>
    <mergeCell ref="A179:A180"/>
    <mergeCell ref="B179:D179"/>
    <mergeCell ref="E179:G179"/>
    <mergeCell ref="H179:I179"/>
    <mergeCell ref="J179:K179"/>
    <mergeCell ref="A169:K169"/>
    <mergeCell ref="A170:A171"/>
    <mergeCell ref="B170:D170"/>
    <mergeCell ref="E170:G170"/>
    <mergeCell ref="H170:I170"/>
    <mergeCell ref="J170:K170"/>
    <mergeCell ref="A187:Q187"/>
    <mergeCell ref="A188:A189"/>
    <mergeCell ref="B188:D188"/>
    <mergeCell ref="E188:G188"/>
    <mergeCell ref="H188:J188"/>
    <mergeCell ref="K188:M188"/>
    <mergeCell ref="N188:O188"/>
    <mergeCell ref="P188:Q188"/>
    <mergeCell ref="A197:K197"/>
    <mergeCell ref="A198:A199"/>
    <mergeCell ref="B198:D198"/>
    <mergeCell ref="E198:G198"/>
    <mergeCell ref="H198:I198"/>
    <mergeCell ref="J198:K198"/>
    <mergeCell ref="A207:K207"/>
    <mergeCell ref="A208:A209"/>
    <mergeCell ref="B208:D208"/>
    <mergeCell ref="E208:G208"/>
    <mergeCell ref="H208:I208"/>
    <mergeCell ref="J208:K208"/>
    <mergeCell ref="A354:A355"/>
    <mergeCell ref="B354:D354"/>
    <mergeCell ref="E354:G354"/>
    <mergeCell ref="H354:I354"/>
    <mergeCell ref="J354:K354"/>
    <mergeCell ref="A334:Q334"/>
    <mergeCell ref="A335:A336"/>
    <mergeCell ref="B335:D335"/>
    <mergeCell ref="E335:G335"/>
    <mergeCell ref="H335:J335"/>
    <mergeCell ref="K335:M335"/>
    <mergeCell ref="N335:O335"/>
    <mergeCell ref="P335:Q335"/>
    <mergeCell ref="A343:K343"/>
    <mergeCell ref="A353:K353"/>
    <mergeCell ref="A344:A345"/>
    <mergeCell ref="B344:D344"/>
    <mergeCell ref="E344:G344"/>
    <mergeCell ref="H344:I344"/>
    <mergeCell ref="J344:K344"/>
    <mergeCell ref="A249:Q249"/>
    <mergeCell ref="A250:A251"/>
    <mergeCell ref="B250:D250"/>
    <mergeCell ref="E250:G250"/>
    <mergeCell ref="H250:J250"/>
    <mergeCell ref="K250:M250"/>
    <mergeCell ref="N250:O250"/>
    <mergeCell ref="P250:Q250"/>
    <mergeCell ref="A258:K258"/>
    <mergeCell ref="J299:K299"/>
    <mergeCell ref="P280:Q280"/>
    <mergeCell ref="A287:K287"/>
    <mergeCell ref="H288:I288"/>
    <mergeCell ref="J288:K288"/>
    <mergeCell ref="A298:K298"/>
    <mergeCell ref="E269:G269"/>
    <mergeCell ref="H269:I269"/>
    <mergeCell ref="J269:K269"/>
    <mergeCell ref="A248:C248"/>
    <mergeCell ref="A307:B307"/>
    <mergeCell ref="M237:N238"/>
    <mergeCell ref="P237:P238"/>
    <mergeCell ref="O237:O238"/>
    <mergeCell ref="A279:Q279"/>
    <mergeCell ref="A280:A281"/>
    <mergeCell ref="B280:D280"/>
    <mergeCell ref="E280:G280"/>
    <mergeCell ref="H280:J280"/>
    <mergeCell ref="K280:M280"/>
    <mergeCell ref="N280:O280"/>
    <mergeCell ref="A259:A260"/>
    <mergeCell ref="B259:D259"/>
    <mergeCell ref="E259:G259"/>
    <mergeCell ref="H259:I259"/>
    <mergeCell ref="J259:K259"/>
    <mergeCell ref="A268:K268"/>
    <mergeCell ref="A269:A270"/>
    <mergeCell ref="B269:D269"/>
    <mergeCell ref="A299:A300"/>
    <mergeCell ref="B299:D299"/>
    <mergeCell ref="E299:G299"/>
    <mergeCell ref="H299:I299"/>
  </mergeCells>
  <pageMargins left="0.7" right="0.7" top="0.75" bottom="0.75" header="0.3" footer="0.3"/>
  <pageSetup paperSize="9" scale="75" orientation="landscape" horizontalDpi="360" verticalDpi="360" r:id="rId1"/>
  <rowBreaks count="11" manualBreakCount="11">
    <brk id="29" max="16383" man="1"/>
    <brk id="62" max="16383" man="1"/>
    <brk id="95" max="16383" man="1"/>
    <brk id="126" max="16383" man="1"/>
    <brk id="157" max="16383" man="1"/>
    <brk id="185" max="16383" man="1"/>
    <brk id="217" max="16383" man="1"/>
    <brk id="246" max="16383" man="1"/>
    <brk id="276" max="16383" man="1"/>
    <brk id="305" max="16383" man="1"/>
    <brk id="332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386"/>
  <sheetViews>
    <sheetView topLeftCell="A52" zoomScale="145" zoomScaleNormal="145" zoomScaleSheetLayoutView="93" workbookViewId="0">
      <selection activeCell="N39" sqref="N39"/>
    </sheetView>
  </sheetViews>
  <sheetFormatPr defaultRowHeight="15" x14ac:dyDescent="0.25"/>
  <cols>
    <col min="1" max="1" width="8.42578125" customWidth="1"/>
    <col min="2" max="2" width="7" customWidth="1"/>
    <col min="3" max="3" width="11.28515625" customWidth="1"/>
    <col min="4" max="4" width="11.5703125" customWidth="1"/>
    <col min="5" max="5" width="6.42578125" customWidth="1"/>
    <col min="6" max="6" width="9.28515625" customWidth="1"/>
    <col min="7" max="7" width="10.85546875" customWidth="1"/>
    <col min="8" max="8" width="7" customWidth="1"/>
    <col min="9" max="9" width="12.42578125" customWidth="1"/>
    <col min="10" max="10" width="6.5703125" customWidth="1"/>
    <col min="11" max="11" width="9.5703125" customWidth="1"/>
    <col min="12" max="12" width="7.42578125" customWidth="1"/>
    <col min="13" max="13" width="9" customWidth="1"/>
    <col min="14" max="14" width="7.85546875" customWidth="1"/>
    <col min="15" max="15" width="10" bestFit="1" customWidth="1"/>
    <col min="16" max="16" width="7.85546875" customWidth="1"/>
    <col min="17" max="17" width="11.140625" customWidth="1"/>
  </cols>
  <sheetData>
    <row r="1" spans="1:19" ht="21" x14ac:dyDescent="0.35">
      <c r="A1" s="54" t="s">
        <v>114</v>
      </c>
    </row>
    <row r="3" spans="1:19" x14ac:dyDescent="0.25">
      <c r="A3" s="538" t="s">
        <v>43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9" x14ac:dyDescent="0.25">
      <c r="A4" s="227"/>
      <c r="B4" s="227"/>
      <c r="C4" s="227"/>
      <c r="D4" s="227"/>
      <c r="E4" s="227"/>
      <c r="F4" s="228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</row>
    <row r="5" spans="1:19" x14ac:dyDescent="0.25">
      <c r="A5" s="539" t="s">
        <v>0</v>
      </c>
      <c r="B5" s="536" t="s">
        <v>7</v>
      </c>
      <c r="C5" s="536"/>
      <c r="D5" s="536"/>
      <c r="E5" s="536" t="s">
        <v>5</v>
      </c>
      <c r="F5" s="536"/>
      <c r="G5" s="536"/>
      <c r="H5" s="541" t="s">
        <v>25</v>
      </c>
      <c r="I5" s="542"/>
      <c r="J5" s="543"/>
      <c r="K5" s="541" t="s">
        <v>26</v>
      </c>
      <c r="L5" s="542"/>
      <c r="M5" s="543"/>
      <c r="N5" s="536" t="s">
        <v>4</v>
      </c>
      <c r="O5" s="536"/>
      <c r="P5" s="536" t="s">
        <v>6</v>
      </c>
      <c r="Q5" s="536"/>
    </row>
    <row r="6" spans="1:19" x14ac:dyDescent="0.25">
      <c r="A6" s="540"/>
      <c r="B6" s="229" t="s">
        <v>8</v>
      </c>
      <c r="C6" s="229" t="s">
        <v>9</v>
      </c>
      <c r="D6" s="229" t="s">
        <v>13</v>
      </c>
      <c r="E6" s="229" t="s">
        <v>8</v>
      </c>
      <c r="F6" s="230" t="s">
        <v>9</v>
      </c>
      <c r="G6" s="229" t="s">
        <v>10</v>
      </c>
      <c r="H6" s="231" t="s">
        <v>8</v>
      </c>
      <c r="I6" s="231" t="s">
        <v>9</v>
      </c>
      <c r="J6" s="231" t="s">
        <v>13</v>
      </c>
      <c r="K6" s="231" t="s">
        <v>8</v>
      </c>
      <c r="L6" s="231" t="s">
        <v>9</v>
      </c>
      <c r="M6" s="231" t="s">
        <v>13</v>
      </c>
      <c r="N6" s="229" t="s">
        <v>8</v>
      </c>
      <c r="O6" s="229" t="s">
        <v>13</v>
      </c>
      <c r="P6" s="229" t="s">
        <v>8</v>
      </c>
      <c r="Q6" s="229" t="s">
        <v>13</v>
      </c>
    </row>
    <row r="7" spans="1:19" x14ac:dyDescent="0.25">
      <c r="A7" s="232"/>
      <c r="B7" s="233"/>
      <c r="C7" s="233"/>
      <c r="D7" s="233"/>
      <c r="E7" s="233"/>
      <c r="F7" s="234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</row>
    <row r="8" spans="1:19" x14ac:dyDescent="0.25">
      <c r="A8" s="235" t="s">
        <v>1</v>
      </c>
      <c r="B8" s="236"/>
      <c r="C8" s="236"/>
      <c r="D8" s="236"/>
      <c r="E8" s="236">
        <f>'Kaporit BENAR'!E8</f>
        <v>0</v>
      </c>
      <c r="F8" s="236">
        <f>'Kaporit BENAR'!F8</f>
        <v>0</v>
      </c>
      <c r="G8" s="236">
        <f>'Kaporit BENAR'!G8</f>
        <v>0</v>
      </c>
      <c r="H8" s="236">
        <f>'Kaporit BENAR'!H8</f>
        <v>0</v>
      </c>
      <c r="I8" s="236">
        <f>'Kaporit BENAR'!I8</f>
        <v>0</v>
      </c>
      <c r="J8" s="236">
        <f>'Kaporit BENAR'!J8</f>
        <v>0</v>
      </c>
      <c r="K8" s="236">
        <f>'Kaporit BENAR'!K8</f>
        <v>0</v>
      </c>
      <c r="L8" s="236">
        <f>'Kaporit BENAR'!L8</f>
        <v>0</v>
      </c>
      <c r="M8" s="236">
        <f>'Kaporit BENAR'!M8</f>
        <v>0</v>
      </c>
      <c r="N8" s="236"/>
      <c r="O8" s="236"/>
      <c r="P8" s="236"/>
      <c r="Q8" s="236"/>
      <c r="R8" s="376"/>
      <c r="S8" s="377"/>
    </row>
    <row r="9" spans="1:19" x14ac:dyDescent="0.25">
      <c r="A9" s="235"/>
      <c r="B9" s="236"/>
      <c r="C9" s="237"/>
      <c r="D9" s="237"/>
      <c r="E9" s="237"/>
      <c r="F9" s="237"/>
      <c r="G9" s="238">
        <f>E9*F9</f>
        <v>0</v>
      </c>
      <c r="H9" s="238"/>
      <c r="I9" s="238"/>
      <c r="J9" s="238"/>
      <c r="K9" s="238"/>
      <c r="L9" s="238"/>
      <c r="M9" s="238"/>
      <c r="N9" s="237"/>
      <c r="O9" s="237"/>
      <c r="P9" s="237">
        <f>B9+E9-N9-H9-K9</f>
        <v>0</v>
      </c>
      <c r="Q9" s="237">
        <f>D9+G9-O9-J9-M9</f>
        <v>0</v>
      </c>
    </row>
    <row r="10" spans="1:19" x14ac:dyDescent="0.25">
      <c r="A10" s="239"/>
      <c r="B10" s="240"/>
      <c r="C10" s="241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73"/>
      <c r="Q10" s="273"/>
    </row>
    <row r="11" spans="1:19" x14ac:dyDescent="0.25">
      <c r="A11" s="242"/>
      <c r="B11" s="242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</row>
    <row r="12" spans="1:19" x14ac:dyDescent="0.25">
      <c r="A12" s="242"/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</row>
    <row r="13" spans="1:19" x14ac:dyDescent="0.25">
      <c r="A13" s="242"/>
      <c r="B13" s="242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</row>
    <row r="14" spans="1:19" x14ac:dyDescent="0.25">
      <c r="A14" s="537" t="s">
        <v>44</v>
      </c>
      <c r="B14" s="537"/>
      <c r="C14" s="537"/>
      <c r="D14" s="537"/>
      <c r="E14" s="537"/>
      <c r="F14" s="537"/>
      <c r="G14" s="537"/>
      <c r="H14" s="537"/>
      <c r="I14" s="537"/>
      <c r="J14" s="537"/>
      <c r="K14" s="537"/>
      <c r="L14" s="242"/>
      <c r="M14" s="242"/>
      <c r="N14" s="242"/>
      <c r="O14" s="242"/>
      <c r="P14" s="242"/>
      <c r="Q14" s="242"/>
    </row>
    <row r="15" spans="1:19" x14ac:dyDescent="0.25">
      <c r="A15" s="536" t="s">
        <v>0</v>
      </c>
      <c r="B15" s="536" t="s">
        <v>7</v>
      </c>
      <c r="C15" s="536"/>
      <c r="D15" s="536"/>
      <c r="E15" s="536" t="s">
        <v>5</v>
      </c>
      <c r="F15" s="536"/>
      <c r="G15" s="536"/>
      <c r="H15" s="536" t="s">
        <v>4</v>
      </c>
      <c r="I15" s="536"/>
      <c r="J15" s="536" t="s">
        <v>6</v>
      </c>
      <c r="K15" s="536"/>
      <c r="L15" s="242"/>
      <c r="M15" s="242"/>
      <c r="N15" s="242"/>
      <c r="O15" s="242"/>
      <c r="P15" s="242"/>
      <c r="Q15" s="242"/>
    </row>
    <row r="16" spans="1:19" x14ac:dyDescent="0.25">
      <c r="A16" s="536"/>
      <c r="B16" s="231" t="s">
        <v>8</v>
      </c>
      <c r="C16" s="231" t="s">
        <v>14</v>
      </c>
      <c r="D16" s="231" t="s">
        <v>13</v>
      </c>
      <c r="E16" s="231" t="s">
        <v>8</v>
      </c>
      <c r="F16" s="231" t="s">
        <v>14</v>
      </c>
      <c r="G16" s="231" t="s">
        <v>10</v>
      </c>
      <c r="H16" s="231" t="s">
        <v>8</v>
      </c>
      <c r="I16" s="231" t="s">
        <v>13</v>
      </c>
      <c r="J16" s="231" t="s">
        <v>8</v>
      </c>
      <c r="K16" s="231" t="s">
        <v>13</v>
      </c>
      <c r="L16" s="242"/>
      <c r="M16" s="242"/>
      <c r="N16" s="242"/>
      <c r="O16" s="242"/>
      <c r="P16" s="242"/>
      <c r="Q16" s="242"/>
    </row>
    <row r="17" spans="1:17" x14ac:dyDescent="0.25">
      <c r="A17" s="232"/>
      <c r="B17" s="233"/>
      <c r="C17" s="233"/>
      <c r="D17" s="233"/>
      <c r="E17" s="233"/>
      <c r="F17" s="233"/>
      <c r="G17" s="233"/>
      <c r="H17" s="233"/>
      <c r="I17" s="233"/>
      <c r="J17" s="233"/>
      <c r="K17" s="233"/>
      <c r="L17" s="242"/>
      <c r="M17" s="242"/>
      <c r="N17" s="242"/>
      <c r="O17" s="242"/>
      <c r="P17" s="242"/>
      <c r="Q17" s="242"/>
    </row>
    <row r="18" spans="1:17" x14ac:dyDescent="0.25">
      <c r="A18" s="243" t="s">
        <v>1</v>
      </c>
      <c r="B18" s="244">
        <f>'Kaporit K. B'!B7</f>
        <v>0</v>
      </c>
      <c r="C18" s="244">
        <f>'Kaporit K. B'!C7</f>
        <v>0</v>
      </c>
      <c r="D18" s="244">
        <f>'Kaporit K. B'!D7</f>
        <v>0</v>
      </c>
      <c r="E18" s="244">
        <f>'Kaporit K. B'!E7</f>
        <v>0</v>
      </c>
      <c r="F18" s="244">
        <f>'Kaporit K. B'!F7</f>
        <v>0</v>
      </c>
      <c r="G18" s="244">
        <f>'Kaporit K. B'!G7</f>
        <v>0</v>
      </c>
      <c r="H18" s="244">
        <f>'Kaporit K. B'!H7</f>
        <v>0</v>
      </c>
      <c r="I18" s="244">
        <f>'Kaporit K. B'!I7</f>
        <v>0</v>
      </c>
      <c r="J18" s="244">
        <f>'Kaporit K. B'!J7</f>
        <v>0</v>
      </c>
      <c r="K18" s="244">
        <f>'Kaporit K. B'!K7</f>
        <v>0</v>
      </c>
      <c r="L18" s="242"/>
      <c r="M18" s="242"/>
      <c r="N18" s="242"/>
      <c r="O18" s="242"/>
      <c r="P18" s="242"/>
      <c r="Q18" s="242"/>
    </row>
    <row r="19" spans="1:17" x14ac:dyDescent="0.25">
      <c r="A19" s="243"/>
      <c r="B19" s="244">
        <f>'Kaporit K. B'!B8</f>
        <v>0</v>
      </c>
      <c r="C19" s="244">
        <f>'Kaporit K. B'!C8</f>
        <v>0</v>
      </c>
      <c r="D19" s="244">
        <f>'Kaporit K. B'!D8</f>
        <v>0</v>
      </c>
      <c r="E19" s="244">
        <f>'Kaporit K. B'!E8</f>
        <v>0</v>
      </c>
      <c r="F19" s="244">
        <f>'Kaporit K. B'!F8</f>
        <v>0</v>
      </c>
      <c r="G19" s="244">
        <f>'Kaporit K. B'!G8</f>
        <v>0</v>
      </c>
      <c r="H19" s="244">
        <f>'Kaporit K. B'!H8</f>
        <v>0</v>
      </c>
      <c r="I19" s="244">
        <f>'Kaporit K. B'!I8</f>
        <v>0</v>
      </c>
      <c r="J19" s="244">
        <f>'Kaporit K. B'!J8</f>
        <v>0</v>
      </c>
      <c r="K19" s="244">
        <f>'Kaporit K. B'!K8</f>
        <v>0</v>
      </c>
      <c r="L19" s="244">
        <f>'Soda Ash K. B'!L8</f>
        <v>0</v>
      </c>
      <c r="M19" s="242"/>
      <c r="N19" s="242"/>
      <c r="O19" s="242"/>
      <c r="P19" s="242"/>
      <c r="Q19" s="242"/>
    </row>
    <row r="20" spans="1:17" x14ac:dyDescent="0.25">
      <c r="A20" s="247"/>
      <c r="B20" s="375">
        <f>'Kaporit K. B'!B9</f>
        <v>0</v>
      </c>
      <c r="C20" s="375">
        <f>'Kaporit K. B'!C9</f>
        <v>0</v>
      </c>
      <c r="D20" s="375">
        <f>'Kaporit K. B'!D9</f>
        <v>0</v>
      </c>
      <c r="E20" s="346">
        <f>'Kaporit K. B'!E9</f>
        <v>0</v>
      </c>
      <c r="F20" s="346">
        <f>'Kaporit K. B'!F9</f>
        <v>0</v>
      </c>
      <c r="G20" s="346">
        <f>'Kaporit K. B'!G9</f>
        <v>0</v>
      </c>
      <c r="H20" s="346">
        <f>'Kaporit K. B'!H9</f>
        <v>0</v>
      </c>
      <c r="I20" s="346">
        <f>'Kaporit K. B'!I9</f>
        <v>0</v>
      </c>
      <c r="J20" s="375">
        <f>'Kaporit K. B'!J9</f>
        <v>0</v>
      </c>
      <c r="K20" s="375">
        <f>'Kaporit K. B'!K9</f>
        <v>0</v>
      </c>
      <c r="L20" s="242"/>
      <c r="M20" s="242"/>
      <c r="N20" s="242"/>
      <c r="O20" s="242"/>
      <c r="P20" s="242"/>
      <c r="Q20" s="242"/>
    </row>
    <row r="21" spans="1:17" x14ac:dyDescent="0.25">
      <c r="A21" s="242"/>
      <c r="B21" s="242"/>
      <c r="C21" s="242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242"/>
      <c r="P21" s="242"/>
      <c r="Q21" s="242"/>
    </row>
    <row r="22" spans="1:17" x14ac:dyDescent="0.25">
      <c r="A22" s="242"/>
      <c r="B22" s="242"/>
      <c r="C22" s="242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2"/>
      <c r="O22" s="242"/>
      <c r="P22" s="242"/>
      <c r="Q22" s="242"/>
    </row>
    <row r="23" spans="1:17" x14ac:dyDescent="0.25">
      <c r="A23" s="242"/>
      <c r="B23" s="242"/>
      <c r="C23" s="242"/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42"/>
      <c r="O23" s="242"/>
      <c r="P23" s="242"/>
      <c r="Q23" s="242"/>
    </row>
    <row r="24" spans="1:17" x14ac:dyDescent="0.25">
      <c r="A24" s="537" t="s">
        <v>59</v>
      </c>
      <c r="B24" s="537"/>
      <c r="C24" s="537"/>
      <c r="D24" s="537"/>
      <c r="E24" s="537"/>
      <c r="F24" s="537"/>
      <c r="G24" s="537"/>
      <c r="H24" s="537"/>
      <c r="I24" s="537"/>
      <c r="J24" s="537"/>
      <c r="K24" s="537"/>
      <c r="L24" s="242"/>
      <c r="M24" s="242"/>
      <c r="N24" s="242"/>
      <c r="O24" s="242"/>
      <c r="P24" s="242"/>
      <c r="Q24" s="242"/>
    </row>
    <row r="25" spans="1:17" x14ac:dyDescent="0.25">
      <c r="A25" s="536" t="s">
        <v>0</v>
      </c>
      <c r="B25" s="536" t="s">
        <v>7</v>
      </c>
      <c r="C25" s="536"/>
      <c r="D25" s="536"/>
      <c r="E25" s="536" t="s">
        <v>5</v>
      </c>
      <c r="F25" s="536"/>
      <c r="G25" s="536"/>
      <c r="H25" s="536" t="s">
        <v>4</v>
      </c>
      <c r="I25" s="536"/>
      <c r="J25" s="536" t="s">
        <v>6</v>
      </c>
      <c r="K25" s="536"/>
      <c r="L25" s="242"/>
      <c r="M25" s="242"/>
      <c r="N25" s="242"/>
      <c r="O25" s="242"/>
      <c r="P25" s="242"/>
      <c r="Q25" s="242"/>
    </row>
    <row r="26" spans="1:17" x14ac:dyDescent="0.25">
      <c r="A26" s="536"/>
      <c r="B26" s="231" t="s">
        <v>8</v>
      </c>
      <c r="C26" s="231" t="s">
        <v>14</v>
      </c>
      <c r="D26" s="231" t="s">
        <v>13</v>
      </c>
      <c r="E26" s="231" t="s">
        <v>8</v>
      </c>
      <c r="F26" s="231" t="s">
        <v>14</v>
      </c>
      <c r="G26" s="231" t="s">
        <v>10</v>
      </c>
      <c r="H26" s="231" t="s">
        <v>8</v>
      </c>
      <c r="I26" s="231" t="s">
        <v>13</v>
      </c>
      <c r="J26" s="231" t="s">
        <v>8</v>
      </c>
      <c r="K26" s="231" t="s">
        <v>13</v>
      </c>
      <c r="L26" s="242"/>
      <c r="M26" s="242"/>
      <c r="N26" s="242"/>
      <c r="O26" s="242"/>
      <c r="P26" s="242"/>
      <c r="Q26" s="242"/>
    </row>
    <row r="27" spans="1:17" x14ac:dyDescent="0.25">
      <c r="A27" s="232"/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42"/>
      <c r="M27" s="242"/>
      <c r="N27" s="242"/>
      <c r="O27" s="242"/>
      <c r="P27" s="242"/>
      <c r="Q27" s="242"/>
    </row>
    <row r="28" spans="1:17" x14ac:dyDescent="0.25">
      <c r="A28" s="243" t="s">
        <v>1</v>
      </c>
      <c r="B28" s="244">
        <f>'Kaporit Hanau'!B7</f>
        <v>0</v>
      </c>
      <c r="C28" s="244">
        <f>'Kaporit Hanau'!C7</f>
        <v>0</v>
      </c>
      <c r="D28" s="244">
        <f>'Kaporit Hanau'!D7</f>
        <v>0</v>
      </c>
      <c r="E28" s="244">
        <f>'Kaporit Hanau'!E7</f>
        <v>0</v>
      </c>
      <c r="F28" s="244">
        <f>'Kaporit Hanau'!F7</f>
        <v>0</v>
      </c>
      <c r="G28" s="244">
        <f>'Kaporit Hanau'!G7</f>
        <v>0</v>
      </c>
      <c r="H28" s="244">
        <f>'Kaporit Hanau'!H7</f>
        <v>0</v>
      </c>
      <c r="I28" s="244">
        <f>'Kaporit Hanau'!I7</f>
        <v>0</v>
      </c>
      <c r="J28" s="244">
        <f>'Kaporit Hanau'!J7</f>
        <v>0</v>
      </c>
      <c r="K28" s="244">
        <f>'Kaporit Hanau'!K7</f>
        <v>0</v>
      </c>
      <c r="L28" s="242"/>
      <c r="M28" s="242"/>
      <c r="N28" s="242"/>
      <c r="O28" s="242"/>
      <c r="P28" s="242"/>
      <c r="Q28" s="242"/>
    </row>
    <row r="29" spans="1:17" x14ac:dyDescent="0.25">
      <c r="A29" s="247"/>
      <c r="B29" s="248"/>
      <c r="C29" s="248"/>
      <c r="D29" s="249"/>
      <c r="E29" s="250"/>
      <c r="F29" s="249"/>
      <c r="G29" s="249"/>
      <c r="H29" s="248"/>
      <c r="I29" s="251"/>
      <c r="J29" s="241"/>
      <c r="K29" s="251"/>
      <c r="L29" s="242"/>
      <c r="M29" s="242"/>
      <c r="N29" s="242"/>
      <c r="O29" s="242"/>
      <c r="P29" s="242"/>
      <c r="Q29" s="242"/>
    </row>
    <row r="33" spans="1:17" ht="21" x14ac:dyDescent="0.35">
      <c r="A33" s="54" t="s">
        <v>115</v>
      </c>
    </row>
    <row r="34" spans="1:17" x14ac:dyDescent="0.25">
      <c r="A34" s="538" t="s">
        <v>43</v>
      </c>
      <c r="B34" s="538"/>
      <c r="C34" s="538"/>
      <c r="D34" s="538"/>
      <c r="E34" s="538"/>
      <c r="F34" s="538"/>
      <c r="G34" s="538"/>
      <c r="H34" s="538"/>
      <c r="I34" s="538"/>
      <c r="J34" s="538"/>
      <c r="K34" s="538"/>
      <c r="L34" s="538"/>
      <c r="M34" s="538"/>
      <c r="N34" s="538"/>
      <c r="O34" s="538"/>
      <c r="P34" s="538"/>
      <c r="Q34" s="538"/>
    </row>
    <row r="35" spans="1:17" x14ac:dyDescent="0.25">
      <c r="A35" s="227"/>
      <c r="B35" s="227"/>
      <c r="C35" s="227"/>
      <c r="D35" s="227"/>
      <c r="E35" s="227"/>
      <c r="F35" s="228"/>
      <c r="G35" s="227"/>
      <c r="H35" s="227"/>
      <c r="I35" s="227"/>
      <c r="J35" s="227"/>
      <c r="K35" s="227"/>
      <c r="L35" s="227"/>
      <c r="M35" s="227"/>
      <c r="N35" s="227"/>
      <c r="O35" s="227"/>
      <c r="P35" s="227"/>
      <c r="Q35" s="227"/>
    </row>
    <row r="36" spans="1:17" x14ac:dyDescent="0.25">
      <c r="A36" s="539" t="s">
        <v>0</v>
      </c>
      <c r="B36" s="536" t="s">
        <v>7</v>
      </c>
      <c r="C36" s="536"/>
      <c r="D36" s="536"/>
      <c r="E36" s="536" t="s">
        <v>5</v>
      </c>
      <c r="F36" s="536"/>
      <c r="G36" s="536"/>
      <c r="H36" s="541" t="s">
        <v>25</v>
      </c>
      <c r="I36" s="542"/>
      <c r="J36" s="543"/>
      <c r="K36" s="541" t="s">
        <v>26</v>
      </c>
      <c r="L36" s="542"/>
      <c r="M36" s="543"/>
      <c r="N36" s="536" t="s">
        <v>4</v>
      </c>
      <c r="O36" s="536"/>
      <c r="P36" s="536" t="s">
        <v>6</v>
      </c>
      <c r="Q36" s="536"/>
    </row>
    <row r="37" spans="1:17" x14ac:dyDescent="0.25">
      <c r="A37" s="540"/>
      <c r="B37" s="229" t="s">
        <v>8</v>
      </c>
      <c r="C37" s="229" t="s">
        <v>9</v>
      </c>
      <c r="D37" s="229" t="s">
        <v>13</v>
      </c>
      <c r="E37" s="229" t="s">
        <v>8</v>
      </c>
      <c r="F37" s="230" t="s">
        <v>9</v>
      </c>
      <c r="G37" s="229" t="s">
        <v>10</v>
      </c>
      <c r="H37" s="231" t="s">
        <v>8</v>
      </c>
      <c r="I37" s="231" t="s">
        <v>9</v>
      </c>
      <c r="J37" s="231" t="s">
        <v>13</v>
      </c>
      <c r="K37" s="231" t="s">
        <v>8</v>
      </c>
      <c r="L37" s="231" t="s">
        <v>9</v>
      </c>
      <c r="M37" s="231" t="s">
        <v>13</v>
      </c>
      <c r="N37" s="229" t="s">
        <v>8</v>
      </c>
      <c r="O37" s="229" t="s">
        <v>13</v>
      </c>
      <c r="P37" s="229" t="s">
        <v>8</v>
      </c>
      <c r="Q37" s="229" t="s">
        <v>13</v>
      </c>
    </row>
    <row r="38" spans="1:17" x14ac:dyDescent="0.25">
      <c r="A38" s="232"/>
      <c r="B38" s="233"/>
      <c r="C38" s="233"/>
      <c r="D38" s="233"/>
      <c r="E38" s="233"/>
      <c r="F38" s="234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</row>
    <row r="39" spans="1:17" x14ac:dyDescent="0.25">
      <c r="A39" s="235" t="s">
        <v>21</v>
      </c>
      <c r="B39" s="236">
        <f>'Kaporit BENAR'!B10</f>
        <v>0</v>
      </c>
      <c r="C39" s="236">
        <f>'Kaporit BENAR'!C10</f>
        <v>0</v>
      </c>
      <c r="D39" s="236">
        <f>'Kaporit BENAR'!D10</f>
        <v>0</v>
      </c>
      <c r="E39" s="236">
        <f>'Kaporit BENAR'!E10</f>
        <v>0</v>
      </c>
      <c r="F39" s="236">
        <f>'Kaporit BENAR'!F10</f>
        <v>0</v>
      </c>
      <c r="G39" s="236">
        <f>'Kaporit BENAR'!G10</f>
        <v>0</v>
      </c>
      <c r="H39" s="236">
        <f>'Kaporit BENAR'!H10</f>
        <v>0</v>
      </c>
      <c r="I39" s="236">
        <f>'Kaporit BENAR'!I10</f>
        <v>0</v>
      </c>
      <c r="J39" s="236">
        <f>'Kaporit BENAR'!J10</f>
        <v>0</v>
      </c>
      <c r="K39" s="236">
        <f>'Kaporit BENAR'!K10</f>
        <v>0</v>
      </c>
      <c r="L39" s="236">
        <f>'Kaporit BENAR'!L10</f>
        <v>0</v>
      </c>
      <c r="M39" s="236">
        <f>'Kaporit BENAR'!M10</f>
        <v>0</v>
      </c>
      <c r="N39" s="236">
        <f>'Kaporit BENAR'!N10</f>
        <v>0</v>
      </c>
      <c r="O39" s="236">
        <f>'Kaporit BENAR'!O10</f>
        <v>0</v>
      </c>
      <c r="P39" s="236">
        <f>'Kaporit BENAR'!P10</f>
        <v>0</v>
      </c>
      <c r="Q39" s="236">
        <f>'Kaporit BENAR'!Q10</f>
        <v>0</v>
      </c>
    </row>
    <row r="40" spans="1:17" x14ac:dyDescent="0.25">
      <c r="A40" s="235"/>
      <c r="B40" s="236">
        <f>'Kaporit BENAR'!B11</f>
        <v>0</v>
      </c>
      <c r="C40" s="236">
        <f>'Kaporit BENAR'!C11</f>
        <v>0</v>
      </c>
      <c r="D40" s="236">
        <f>'Kaporit BENAR'!D11</f>
        <v>0</v>
      </c>
      <c r="E40" s="236">
        <f>'Kaporit BENAR'!E11</f>
        <v>0</v>
      </c>
      <c r="F40" s="236">
        <f>'Kaporit BENAR'!F11</f>
        <v>0</v>
      </c>
      <c r="G40" s="236">
        <f>'Kaporit BENAR'!G11</f>
        <v>0</v>
      </c>
      <c r="H40" s="236">
        <f>'Kaporit BENAR'!H11</f>
        <v>0</v>
      </c>
      <c r="I40" s="236">
        <f>'Kaporit BENAR'!I11</f>
        <v>0</v>
      </c>
      <c r="J40" s="236">
        <f>'Kaporit BENAR'!J11</f>
        <v>0</v>
      </c>
      <c r="K40" s="236">
        <f>'Kaporit BENAR'!K11</f>
        <v>0</v>
      </c>
      <c r="L40" s="236">
        <f>'Kaporit BENAR'!L11</f>
        <v>0</v>
      </c>
      <c r="M40" s="236">
        <f>'Kaporit BENAR'!M11</f>
        <v>0</v>
      </c>
      <c r="N40" s="236">
        <f>'Kaporit BENAR'!N11</f>
        <v>0</v>
      </c>
      <c r="O40" s="236">
        <f>'Kaporit BENAR'!O11</f>
        <v>0</v>
      </c>
      <c r="P40" s="236">
        <f>'Kaporit BENAR'!P11</f>
        <v>0</v>
      </c>
      <c r="Q40" s="236">
        <f>'Kaporit BENAR'!Q11</f>
        <v>0</v>
      </c>
    </row>
    <row r="41" spans="1:17" x14ac:dyDescent="0.25">
      <c r="A41" s="239"/>
      <c r="B41" s="236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</row>
    <row r="42" spans="1:17" x14ac:dyDescent="0.25">
      <c r="A42" s="242"/>
      <c r="B42" s="242"/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</row>
    <row r="43" spans="1:17" x14ac:dyDescent="0.25">
      <c r="A43" s="242"/>
      <c r="B43" s="242"/>
      <c r="C43" s="242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  <c r="O43" s="242"/>
      <c r="P43" s="242"/>
      <c r="Q43" s="242"/>
    </row>
    <row r="44" spans="1:17" x14ac:dyDescent="0.25">
      <c r="A44" s="242"/>
      <c r="B44" s="242"/>
      <c r="C44" s="242"/>
      <c r="D44" s="242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2"/>
      <c r="P44" s="242"/>
      <c r="Q44" s="242"/>
    </row>
    <row r="45" spans="1:17" x14ac:dyDescent="0.25">
      <c r="A45" s="537" t="s">
        <v>44</v>
      </c>
      <c r="B45" s="537"/>
      <c r="C45" s="537"/>
      <c r="D45" s="537"/>
      <c r="E45" s="537"/>
      <c r="F45" s="537"/>
      <c r="G45" s="537"/>
      <c r="H45" s="537"/>
      <c r="I45" s="537"/>
      <c r="J45" s="537"/>
      <c r="K45" s="537"/>
      <c r="L45" s="242"/>
      <c r="M45" s="242"/>
      <c r="N45" s="242"/>
      <c r="O45" s="242"/>
      <c r="P45" s="242"/>
      <c r="Q45" s="242"/>
    </row>
    <row r="46" spans="1:17" x14ac:dyDescent="0.25">
      <c r="A46" s="536" t="s">
        <v>0</v>
      </c>
      <c r="B46" s="536" t="s">
        <v>7</v>
      </c>
      <c r="C46" s="536"/>
      <c r="D46" s="536"/>
      <c r="E46" s="536" t="s">
        <v>5</v>
      </c>
      <c r="F46" s="536"/>
      <c r="G46" s="536"/>
      <c r="H46" s="536" t="s">
        <v>4</v>
      </c>
      <c r="I46" s="536"/>
      <c r="J46" s="536" t="s">
        <v>6</v>
      </c>
      <c r="K46" s="536"/>
      <c r="L46" s="242"/>
      <c r="M46" s="242"/>
      <c r="N46" s="242"/>
      <c r="O46" s="242"/>
      <c r="P46" s="242"/>
      <c r="Q46" s="242"/>
    </row>
    <row r="47" spans="1:17" x14ac:dyDescent="0.25">
      <c r="A47" s="536"/>
      <c r="B47" s="231" t="s">
        <v>8</v>
      </c>
      <c r="C47" s="231" t="s">
        <v>14</v>
      </c>
      <c r="D47" s="231" t="s">
        <v>13</v>
      </c>
      <c r="E47" s="231" t="s">
        <v>8</v>
      </c>
      <c r="F47" s="231" t="s">
        <v>14</v>
      </c>
      <c r="G47" s="231" t="s">
        <v>10</v>
      </c>
      <c r="H47" s="231" t="s">
        <v>8</v>
      </c>
      <c r="I47" s="231" t="s">
        <v>13</v>
      </c>
      <c r="J47" s="231" t="s">
        <v>8</v>
      </c>
      <c r="K47" s="231" t="s">
        <v>13</v>
      </c>
      <c r="L47" s="242"/>
      <c r="M47" s="242"/>
      <c r="N47" s="242"/>
      <c r="O47" s="242"/>
      <c r="P47" s="242"/>
      <c r="Q47" s="242"/>
    </row>
    <row r="48" spans="1:17" x14ac:dyDescent="0.25">
      <c r="A48" s="232"/>
      <c r="B48" s="233"/>
      <c r="C48" s="233"/>
      <c r="D48" s="233"/>
      <c r="E48" s="233"/>
      <c r="F48" s="233"/>
      <c r="G48" s="233"/>
      <c r="H48" s="233"/>
      <c r="I48" s="233"/>
      <c r="J48" s="233"/>
      <c r="K48" s="233"/>
      <c r="L48" s="242"/>
      <c r="M48" s="242"/>
      <c r="N48" s="242"/>
      <c r="O48" s="242"/>
      <c r="P48" s="242"/>
      <c r="Q48" s="242"/>
    </row>
    <row r="49" spans="1:17" x14ac:dyDescent="0.25">
      <c r="A49" s="243" t="s">
        <v>21</v>
      </c>
      <c r="B49" s="244">
        <f>'Kaporit K. B'!B11</f>
        <v>0</v>
      </c>
      <c r="C49" s="244">
        <f>'Kaporit K. B'!C11</f>
        <v>0</v>
      </c>
      <c r="D49" s="244">
        <f>'Kaporit K. B'!D11</f>
        <v>0</v>
      </c>
      <c r="E49" s="244">
        <f>'Kaporit K. B'!E11</f>
        <v>0</v>
      </c>
      <c r="F49" s="244">
        <f>'Kaporit K. B'!F11</f>
        <v>0</v>
      </c>
      <c r="G49" s="244">
        <f>'Kaporit K. B'!G11</f>
        <v>0</v>
      </c>
      <c r="H49" s="244">
        <f>'Kaporit K. B'!H11</f>
        <v>0</v>
      </c>
      <c r="I49" s="244">
        <f>'Kaporit K. B'!I11</f>
        <v>0</v>
      </c>
      <c r="J49" s="244">
        <f>'Kaporit K. B'!J11</f>
        <v>0</v>
      </c>
      <c r="K49" s="244">
        <f>'Kaporit K. B'!K11</f>
        <v>0</v>
      </c>
      <c r="L49" s="242"/>
      <c r="M49" s="242"/>
      <c r="N49" s="242"/>
      <c r="O49" s="242"/>
      <c r="P49" s="242"/>
      <c r="Q49" s="242"/>
    </row>
    <row r="50" spans="1:17" x14ac:dyDescent="0.25">
      <c r="A50" s="243"/>
      <c r="B50" s="244">
        <f>'Kaporit K. B'!B12</f>
        <v>0</v>
      </c>
      <c r="C50" s="244">
        <f>'Kaporit K. B'!C12</f>
        <v>0</v>
      </c>
      <c r="D50" s="244">
        <f>'Kaporit K. B'!D12</f>
        <v>0</v>
      </c>
      <c r="E50" s="244">
        <f>'Kaporit K. B'!E12</f>
        <v>0</v>
      </c>
      <c r="F50" s="244">
        <f>'Kaporit K. B'!F12</f>
        <v>0</v>
      </c>
      <c r="G50" s="244">
        <f>'Kaporit K. B'!G12</f>
        <v>0</v>
      </c>
      <c r="H50" s="244">
        <f>'Kaporit K. B'!H12</f>
        <v>0</v>
      </c>
      <c r="I50" s="244">
        <f>'Kaporit K. B'!I12</f>
        <v>0</v>
      </c>
      <c r="J50" s="244">
        <f>'Kaporit K. B'!J12</f>
        <v>0</v>
      </c>
      <c r="K50" s="244">
        <f>'Kaporit K. B'!K12</f>
        <v>0</v>
      </c>
      <c r="L50" s="242"/>
      <c r="M50" s="242"/>
      <c r="N50" s="242"/>
      <c r="O50" s="242"/>
      <c r="P50" s="242"/>
      <c r="Q50" s="242"/>
    </row>
    <row r="51" spans="1:17" x14ac:dyDescent="0.25">
      <c r="A51" s="243"/>
      <c r="B51" s="296">
        <f>'Kaporit K. B'!B13</f>
        <v>0</v>
      </c>
      <c r="C51" s="296">
        <f>'Kaporit K. B'!C13</f>
        <v>0</v>
      </c>
      <c r="D51" s="296">
        <f>'Kaporit K. B'!D13</f>
        <v>0</v>
      </c>
      <c r="E51" s="296">
        <f>'Kaporit K. B'!E13</f>
        <v>0</v>
      </c>
      <c r="F51" s="296">
        <f>'Kaporit K. B'!F13</f>
        <v>0</v>
      </c>
      <c r="G51" s="296">
        <f>'Kaporit K. B'!G13</f>
        <v>0</v>
      </c>
      <c r="H51" s="296">
        <f>'Kaporit K. B'!H13</f>
        <v>0</v>
      </c>
      <c r="I51" s="296">
        <f>'Kaporit K. B'!I13</f>
        <v>0</v>
      </c>
      <c r="J51" s="296">
        <f>'Kaporit K. B'!J13</f>
        <v>0</v>
      </c>
      <c r="K51" s="296">
        <f>'Kaporit K. B'!K13</f>
        <v>0</v>
      </c>
      <c r="L51" s="242"/>
      <c r="M51" s="242"/>
      <c r="N51" s="242"/>
      <c r="O51" s="242"/>
      <c r="P51" s="242"/>
      <c r="Q51" s="242"/>
    </row>
    <row r="52" spans="1:17" x14ac:dyDescent="0.25">
      <c r="A52" s="243"/>
      <c r="B52" s="244"/>
      <c r="C52" s="245"/>
      <c r="D52" s="245"/>
      <c r="E52" s="246"/>
      <c r="F52" s="245"/>
      <c r="G52" s="245"/>
      <c r="H52" s="246"/>
      <c r="I52" s="245"/>
      <c r="J52" s="237"/>
      <c r="K52" s="245"/>
      <c r="L52" s="242"/>
      <c r="M52" s="242"/>
      <c r="N52" s="242"/>
      <c r="O52" s="242"/>
      <c r="P52" s="242"/>
      <c r="Q52" s="242"/>
    </row>
    <row r="53" spans="1:17" x14ac:dyDescent="0.25">
      <c r="A53" s="247"/>
      <c r="B53" s="248"/>
      <c r="C53" s="248"/>
      <c r="D53" s="249"/>
      <c r="E53" s="250"/>
      <c r="F53" s="249"/>
      <c r="G53" s="249"/>
      <c r="H53" s="248"/>
      <c r="I53" s="251"/>
      <c r="J53" s="241"/>
      <c r="K53" s="251"/>
      <c r="L53" s="242"/>
      <c r="M53" s="242"/>
      <c r="N53" s="242"/>
      <c r="O53" s="242"/>
      <c r="P53" s="242"/>
      <c r="Q53" s="242"/>
    </row>
    <row r="54" spans="1:17" x14ac:dyDescent="0.25">
      <c r="A54" s="242"/>
      <c r="B54" s="242"/>
      <c r="C54" s="242"/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42"/>
      <c r="O54" s="242"/>
      <c r="P54" s="242"/>
      <c r="Q54" s="242"/>
    </row>
    <row r="55" spans="1:17" x14ac:dyDescent="0.25">
      <c r="A55" s="242"/>
      <c r="B55" s="242"/>
      <c r="C55" s="242"/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</row>
    <row r="56" spans="1:17" x14ac:dyDescent="0.25">
      <c r="A56" s="242"/>
      <c r="B56" s="242"/>
      <c r="C56" s="242"/>
      <c r="D56" s="242"/>
      <c r="E56" s="242"/>
      <c r="F56" s="242"/>
      <c r="G56" s="242"/>
      <c r="H56" s="242"/>
      <c r="I56" s="242"/>
      <c r="J56" s="242"/>
      <c r="K56" s="242"/>
      <c r="L56" s="242"/>
      <c r="M56" s="242"/>
      <c r="N56" s="242"/>
      <c r="O56" s="242"/>
      <c r="P56" s="242"/>
      <c r="Q56" s="242"/>
    </row>
    <row r="57" spans="1:17" x14ac:dyDescent="0.25">
      <c r="A57" s="537" t="s">
        <v>49</v>
      </c>
      <c r="B57" s="537"/>
      <c r="C57" s="537"/>
      <c r="D57" s="537"/>
      <c r="E57" s="537"/>
      <c r="F57" s="537"/>
      <c r="G57" s="537"/>
      <c r="H57" s="537"/>
      <c r="I57" s="537"/>
      <c r="J57" s="537"/>
      <c r="K57" s="537"/>
      <c r="L57" s="242"/>
      <c r="M57" s="242"/>
      <c r="N57" s="242"/>
      <c r="O57" s="242"/>
      <c r="P57" s="242"/>
      <c r="Q57" s="242"/>
    </row>
    <row r="58" spans="1:17" x14ac:dyDescent="0.25">
      <c r="A58" s="536" t="s">
        <v>0</v>
      </c>
      <c r="B58" s="536" t="s">
        <v>7</v>
      </c>
      <c r="C58" s="536"/>
      <c r="D58" s="536"/>
      <c r="E58" s="536" t="s">
        <v>5</v>
      </c>
      <c r="F58" s="536"/>
      <c r="G58" s="536"/>
      <c r="H58" s="536" t="s">
        <v>4</v>
      </c>
      <c r="I58" s="536"/>
      <c r="J58" s="536" t="s">
        <v>6</v>
      </c>
      <c r="K58" s="536"/>
      <c r="L58" s="242"/>
      <c r="M58" s="242"/>
      <c r="N58" s="242"/>
      <c r="O58" s="242"/>
      <c r="P58" s="242"/>
      <c r="Q58" s="242"/>
    </row>
    <row r="59" spans="1:17" x14ac:dyDescent="0.25">
      <c r="A59" s="536"/>
      <c r="B59" s="231" t="s">
        <v>8</v>
      </c>
      <c r="C59" s="231" t="s">
        <v>14</v>
      </c>
      <c r="D59" s="231" t="s">
        <v>13</v>
      </c>
      <c r="E59" s="231" t="s">
        <v>8</v>
      </c>
      <c r="F59" s="231" t="s">
        <v>14</v>
      </c>
      <c r="G59" s="231" t="s">
        <v>10</v>
      </c>
      <c r="H59" s="231" t="s">
        <v>8</v>
      </c>
      <c r="I59" s="231" t="s">
        <v>13</v>
      </c>
      <c r="J59" s="231" t="s">
        <v>8</v>
      </c>
      <c r="K59" s="231" t="s">
        <v>13</v>
      </c>
      <c r="L59" s="242"/>
      <c r="M59" s="242"/>
      <c r="N59" s="242"/>
      <c r="O59" s="242"/>
      <c r="P59" s="242"/>
      <c r="Q59" s="242"/>
    </row>
    <row r="60" spans="1:17" x14ac:dyDescent="0.25">
      <c r="A60" s="232"/>
      <c r="B60" s="233"/>
      <c r="C60" s="233"/>
      <c r="D60" s="233"/>
      <c r="E60" s="233"/>
      <c r="F60" s="233"/>
      <c r="G60" s="233"/>
      <c r="H60" s="233"/>
      <c r="I60" s="233"/>
      <c r="J60" s="233"/>
      <c r="K60" s="233"/>
      <c r="L60" s="242"/>
      <c r="M60" s="242"/>
      <c r="N60" s="242"/>
      <c r="O60" s="242"/>
      <c r="P60" s="242"/>
      <c r="Q60" s="242"/>
    </row>
    <row r="61" spans="1:17" x14ac:dyDescent="0.25">
      <c r="A61" s="243" t="s">
        <v>21</v>
      </c>
      <c r="B61" s="244">
        <f>'Kaporit Hanau'!B9</f>
        <v>0</v>
      </c>
      <c r="C61" s="244">
        <f>'Kaporit Hanau'!C9</f>
        <v>0</v>
      </c>
      <c r="D61" s="244">
        <f>'Kaporit Hanau'!D9</f>
        <v>0</v>
      </c>
      <c r="E61" s="244">
        <f>'Kaporit Hanau'!E9</f>
        <v>0</v>
      </c>
      <c r="F61" s="244">
        <f>'Kaporit Hanau'!F9</f>
        <v>0</v>
      </c>
      <c r="G61" s="244">
        <f>'Kaporit Hanau'!G9</f>
        <v>0</v>
      </c>
      <c r="H61" s="244">
        <f>'Kaporit Hanau'!H9</f>
        <v>0</v>
      </c>
      <c r="I61" s="244">
        <f>'Kaporit Hanau'!I9</f>
        <v>0</v>
      </c>
      <c r="J61" s="244">
        <f>'Kaporit Hanau'!J9</f>
        <v>0</v>
      </c>
      <c r="K61" s="244">
        <f>'Kaporit Hanau'!K9</f>
        <v>0</v>
      </c>
      <c r="L61" s="242"/>
      <c r="M61" s="242"/>
      <c r="N61" s="242"/>
      <c r="O61" s="242"/>
      <c r="P61" s="242"/>
      <c r="Q61" s="242"/>
    </row>
    <row r="62" spans="1:17" x14ac:dyDescent="0.25">
      <c r="A62" s="243"/>
      <c r="B62" s="244">
        <f>'Kaporit Hanau'!B10</f>
        <v>0</v>
      </c>
      <c r="C62" s="244">
        <f>'Kaporit Hanau'!C10</f>
        <v>0</v>
      </c>
      <c r="D62" s="244">
        <f>'Kaporit Hanau'!D10</f>
        <v>0</v>
      </c>
      <c r="E62" s="244">
        <f>'Kaporit Hanau'!E10</f>
        <v>0</v>
      </c>
      <c r="F62" s="244">
        <f>'Kaporit Hanau'!F10</f>
        <v>0</v>
      </c>
      <c r="G62" s="244">
        <f>'Kaporit Hanau'!G10</f>
        <v>0</v>
      </c>
      <c r="H62" s="244">
        <f>'Kaporit Hanau'!H10</f>
        <v>0</v>
      </c>
      <c r="I62" s="244">
        <f>'Kaporit Hanau'!I10</f>
        <v>0</v>
      </c>
      <c r="J62" s="244">
        <f>'Kaporit Hanau'!J10</f>
        <v>0</v>
      </c>
      <c r="K62" s="244">
        <f>'Kaporit Hanau'!K10</f>
        <v>0</v>
      </c>
      <c r="L62" s="242"/>
      <c r="M62" s="242"/>
      <c r="N62" s="242"/>
      <c r="O62" s="242"/>
      <c r="P62" s="242"/>
      <c r="Q62" s="242"/>
    </row>
    <row r="63" spans="1:17" x14ac:dyDescent="0.25">
      <c r="A63" s="243"/>
      <c r="B63" s="244"/>
      <c r="C63" s="244"/>
      <c r="D63" s="244"/>
      <c r="E63" s="244"/>
      <c r="F63" s="244"/>
      <c r="G63" s="244"/>
      <c r="H63" s="244"/>
      <c r="I63" s="244"/>
      <c r="J63" s="244"/>
      <c r="K63" s="244"/>
      <c r="L63" s="242"/>
      <c r="M63" s="242"/>
      <c r="N63" s="242"/>
      <c r="O63" s="242"/>
      <c r="P63" s="242"/>
      <c r="Q63" s="242"/>
    </row>
    <row r="64" spans="1:17" x14ac:dyDescent="0.25">
      <c r="A64" s="247"/>
      <c r="B64" s="355"/>
      <c r="C64" s="248"/>
      <c r="D64" s="356"/>
      <c r="E64" s="250"/>
      <c r="F64" s="356"/>
      <c r="G64" s="249"/>
      <c r="H64" s="355"/>
      <c r="I64" s="251"/>
      <c r="J64" s="271"/>
      <c r="K64" s="251"/>
      <c r="L64" s="242"/>
      <c r="M64" s="242"/>
      <c r="N64" s="242"/>
      <c r="O64" s="242"/>
      <c r="P64" s="242"/>
      <c r="Q64" s="242"/>
    </row>
    <row r="65" spans="1:17" x14ac:dyDescent="0.25">
      <c r="A65" s="256"/>
      <c r="B65" s="331"/>
      <c r="C65" s="331"/>
      <c r="D65" s="332"/>
      <c r="E65" s="333"/>
      <c r="F65" s="332"/>
      <c r="G65" s="332"/>
      <c r="H65" s="331"/>
      <c r="I65" s="329"/>
      <c r="J65" s="281"/>
      <c r="K65" s="329"/>
      <c r="L65" s="242"/>
      <c r="M65" s="242"/>
      <c r="N65" s="242"/>
      <c r="O65" s="242"/>
      <c r="P65" s="242"/>
      <c r="Q65" s="242"/>
    </row>
    <row r="67" spans="1:17" ht="21" x14ac:dyDescent="0.35">
      <c r="A67" s="278" t="s">
        <v>116</v>
      </c>
      <c r="B67" s="297"/>
      <c r="C67" s="297"/>
    </row>
    <row r="68" spans="1:17" x14ac:dyDescent="0.25">
      <c r="A68" s="538" t="s">
        <v>43</v>
      </c>
      <c r="B68" s="538"/>
      <c r="C68" s="538"/>
      <c r="D68" s="538"/>
      <c r="E68" s="538"/>
      <c r="F68" s="538"/>
      <c r="G68" s="538"/>
      <c r="H68" s="538"/>
      <c r="I68" s="538"/>
      <c r="J68" s="538"/>
      <c r="K68" s="538"/>
      <c r="L68" s="538"/>
      <c r="M68" s="538"/>
      <c r="N68" s="538"/>
      <c r="O68" s="538"/>
      <c r="P68" s="538"/>
      <c r="Q68" s="538"/>
    </row>
    <row r="69" spans="1:17" x14ac:dyDescent="0.25">
      <c r="A69" s="227"/>
      <c r="B69" s="227"/>
      <c r="C69" s="227"/>
      <c r="D69" s="227"/>
      <c r="E69" s="227"/>
      <c r="F69" s="228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/>
    </row>
    <row r="70" spans="1:17" x14ac:dyDescent="0.25">
      <c r="A70" s="539" t="s">
        <v>0</v>
      </c>
      <c r="B70" s="536" t="s">
        <v>7</v>
      </c>
      <c r="C70" s="536"/>
      <c r="D70" s="536"/>
      <c r="E70" s="536" t="s">
        <v>5</v>
      </c>
      <c r="F70" s="536"/>
      <c r="G70" s="536"/>
      <c r="H70" s="541" t="s">
        <v>25</v>
      </c>
      <c r="I70" s="542"/>
      <c r="J70" s="543"/>
      <c r="K70" s="541" t="s">
        <v>26</v>
      </c>
      <c r="L70" s="542"/>
      <c r="M70" s="543"/>
      <c r="N70" s="536" t="s">
        <v>4</v>
      </c>
      <c r="O70" s="536"/>
      <c r="P70" s="536" t="s">
        <v>6</v>
      </c>
      <c r="Q70" s="536"/>
    </row>
    <row r="71" spans="1:17" x14ac:dyDescent="0.25">
      <c r="A71" s="540"/>
      <c r="B71" s="229" t="s">
        <v>8</v>
      </c>
      <c r="C71" s="229" t="s">
        <v>9</v>
      </c>
      <c r="D71" s="229" t="s">
        <v>13</v>
      </c>
      <c r="E71" s="229" t="s">
        <v>8</v>
      </c>
      <c r="F71" s="230" t="s">
        <v>9</v>
      </c>
      <c r="G71" s="229" t="s">
        <v>10</v>
      </c>
      <c r="H71" s="231" t="s">
        <v>8</v>
      </c>
      <c r="I71" s="231" t="s">
        <v>9</v>
      </c>
      <c r="J71" s="231" t="s">
        <v>13</v>
      </c>
      <c r="K71" s="231" t="s">
        <v>8</v>
      </c>
      <c r="L71" s="231" t="s">
        <v>9</v>
      </c>
      <c r="M71" s="231" t="s">
        <v>13</v>
      </c>
      <c r="N71" s="229" t="s">
        <v>8</v>
      </c>
      <c r="O71" s="229" t="s">
        <v>13</v>
      </c>
      <c r="P71" s="229" t="s">
        <v>8</v>
      </c>
      <c r="Q71" s="229" t="s">
        <v>13</v>
      </c>
    </row>
    <row r="72" spans="1:17" x14ac:dyDescent="0.25">
      <c r="A72" s="232"/>
      <c r="B72" s="233"/>
      <c r="C72" s="233"/>
      <c r="D72" s="233"/>
      <c r="E72" s="233"/>
      <c r="F72" s="234"/>
      <c r="G72" s="233"/>
      <c r="H72" s="233"/>
      <c r="I72" s="233"/>
      <c r="J72" s="233"/>
      <c r="K72" s="233"/>
      <c r="L72" s="233"/>
      <c r="M72" s="233"/>
      <c r="N72" s="233"/>
      <c r="O72" s="233"/>
      <c r="P72" s="233"/>
      <c r="Q72" s="233"/>
    </row>
    <row r="73" spans="1:17" x14ac:dyDescent="0.25">
      <c r="A73" s="276" t="s">
        <v>22</v>
      </c>
      <c r="B73" s="236">
        <f>'Kaporit BENAR'!B12</f>
        <v>0</v>
      </c>
      <c r="C73" s="236">
        <f>'Kaporit BENAR'!C12</f>
        <v>0</v>
      </c>
      <c r="D73" s="236">
        <f>'Kaporit BENAR'!D12</f>
        <v>0</v>
      </c>
      <c r="E73" s="236">
        <f>'Kaporit BENAR'!E12</f>
        <v>0</v>
      </c>
      <c r="F73" s="236">
        <f>'Kaporit BENAR'!F12</f>
        <v>0</v>
      </c>
      <c r="G73" s="236">
        <f>'Kaporit BENAR'!G12</f>
        <v>0</v>
      </c>
      <c r="H73" s="236">
        <f>'Kaporit BENAR'!H12</f>
        <v>0</v>
      </c>
      <c r="I73" s="236">
        <f>'Kaporit BENAR'!I12</f>
        <v>0</v>
      </c>
      <c r="J73" s="236">
        <f>'Kaporit BENAR'!J12</f>
        <v>0</v>
      </c>
      <c r="K73" s="236">
        <f>'Kaporit BENAR'!K12</f>
        <v>0</v>
      </c>
      <c r="L73" s="236">
        <f>'Kaporit BENAR'!L12</f>
        <v>0</v>
      </c>
      <c r="M73" s="236">
        <f>'Kaporit BENAR'!M12</f>
        <v>0</v>
      </c>
      <c r="N73" s="236">
        <f>'Kaporit BENAR'!N12</f>
        <v>0</v>
      </c>
      <c r="O73" s="236">
        <f>'Kaporit BENAR'!O12</f>
        <v>0</v>
      </c>
      <c r="P73" s="236">
        <f>'Kaporit BENAR'!P12</f>
        <v>0</v>
      </c>
      <c r="Q73" s="236">
        <f>'Kaporit BENAR'!Q12</f>
        <v>0</v>
      </c>
    </row>
    <row r="74" spans="1:17" x14ac:dyDescent="0.25">
      <c r="A74" s="235"/>
      <c r="B74" s="236">
        <f>'Kaporit BENAR'!B13</f>
        <v>0</v>
      </c>
      <c r="C74" s="236">
        <f>'Kaporit BENAR'!C13</f>
        <v>0</v>
      </c>
      <c r="D74" s="236">
        <f>'Kaporit BENAR'!D13</f>
        <v>0</v>
      </c>
      <c r="E74" s="236">
        <f>'Kaporit BENAR'!E13</f>
        <v>0</v>
      </c>
      <c r="F74" s="236">
        <f>'Kaporit BENAR'!F13</f>
        <v>0</v>
      </c>
      <c r="G74" s="236">
        <f>'Kaporit BENAR'!G13</f>
        <v>0</v>
      </c>
      <c r="H74" s="236">
        <f>'Kaporit BENAR'!H13</f>
        <v>0</v>
      </c>
      <c r="I74" s="236">
        <f>'Kaporit BENAR'!I13</f>
        <v>0</v>
      </c>
      <c r="J74" s="236">
        <f>'Kaporit BENAR'!J13</f>
        <v>0</v>
      </c>
      <c r="K74" s="236">
        <f>'Kaporit BENAR'!K13</f>
        <v>0</v>
      </c>
      <c r="L74" s="236">
        <f>'Kaporit BENAR'!L13</f>
        <v>0</v>
      </c>
      <c r="M74" s="236">
        <f>'Kaporit BENAR'!M13</f>
        <v>0</v>
      </c>
      <c r="N74" s="236">
        <f>'Kaporit BENAR'!N13</f>
        <v>0</v>
      </c>
      <c r="O74" s="236">
        <f>'Kaporit BENAR'!O13</f>
        <v>0</v>
      </c>
      <c r="P74" s="236">
        <f>'Kaporit BENAR'!P13</f>
        <v>0</v>
      </c>
      <c r="Q74" s="236">
        <f>'Kaporit BENAR'!Q13</f>
        <v>0</v>
      </c>
    </row>
    <row r="75" spans="1:17" x14ac:dyDescent="0.25">
      <c r="A75" s="235"/>
      <c r="B75" s="236">
        <f>'Kaporit BENAR'!B14</f>
        <v>0</v>
      </c>
      <c r="C75" s="236">
        <f>'Kaporit BENAR'!C14</f>
        <v>0</v>
      </c>
      <c r="D75" s="236">
        <f>'Kaporit BENAR'!D14</f>
        <v>0</v>
      </c>
      <c r="E75" s="236">
        <f>'Kaporit BENAR'!E14</f>
        <v>0</v>
      </c>
      <c r="F75" s="236">
        <f>'Kaporit BENAR'!F14</f>
        <v>0</v>
      </c>
      <c r="G75" s="236">
        <f>'Kaporit BENAR'!G14</f>
        <v>0</v>
      </c>
      <c r="H75" s="236">
        <f>'Kaporit BENAR'!H14</f>
        <v>0</v>
      </c>
      <c r="I75" s="236">
        <f>'Kaporit BENAR'!I14</f>
        <v>0</v>
      </c>
      <c r="J75" s="236">
        <f>'Kaporit BENAR'!J14</f>
        <v>0</v>
      </c>
      <c r="K75" s="236">
        <f>'Kaporit BENAR'!K14</f>
        <v>0</v>
      </c>
      <c r="L75" s="236">
        <f>'Kaporit BENAR'!L14</f>
        <v>0</v>
      </c>
      <c r="M75" s="236">
        <f>'Kaporit BENAR'!M14</f>
        <v>0</v>
      </c>
      <c r="N75" s="262">
        <f>'Kaporit BENAR'!N14</f>
        <v>0</v>
      </c>
      <c r="O75" s="262">
        <f>'Kaporit BENAR'!O14</f>
        <v>0</v>
      </c>
      <c r="P75" s="262">
        <f>'Kaporit BENAR'!P14</f>
        <v>0</v>
      </c>
      <c r="Q75" s="262">
        <f>'Kaporit BENAR'!Q14</f>
        <v>0</v>
      </c>
    </row>
    <row r="76" spans="1:17" x14ac:dyDescent="0.25">
      <c r="A76" s="239"/>
      <c r="B76" s="240"/>
      <c r="C76" s="241"/>
      <c r="D76" s="241"/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71"/>
      <c r="P76" s="273"/>
      <c r="Q76" s="272"/>
    </row>
    <row r="77" spans="1:17" x14ac:dyDescent="0.25">
      <c r="A77" s="242"/>
      <c r="B77" s="242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</row>
    <row r="78" spans="1:17" x14ac:dyDescent="0.25">
      <c r="A78" s="242"/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</row>
    <row r="79" spans="1:17" x14ac:dyDescent="0.25">
      <c r="A79" s="537" t="s">
        <v>44</v>
      </c>
      <c r="B79" s="537"/>
      <c r="C79" s="537"/>
      <c r="D79" s="537"/>
      <c r="E79" s="537"/>
      <c r="F79" s="537"/>
      <c r="G79" s="537"/>
      <c r="H79" s="537"/>
      <c r="I79" s="537"/>
      <c r="J79" s="537"/>
      <c r="K79" s="537"/>
      <c r="L79" s="242"/>
      <c r="M79" s="242"/>
      <c r="N79" s="242"/>
      <c r="O79" s="242"/>
      <c r="P79" s="242"/>
      <c r="Q79" s="242"/>
    </row>
    <row r="80" spans="1:17" x14ac:dyDescent="0.25">
      <c r="A80" s="536" t="s">
        <v>0</v>
      </c>
      <c r="B80" s="536" t="s">
        <v>7</v>
      </c>
      <c r="C80" s="536"/>
      <c r="D80" s="536"/>
      <c r="E80" s="536" t="s">
        <v>5</v>
      </c>
      <c r="F80" s="536"/>
      <c r="G80" s="536"/>
      <c r="H80" s="536" t="s">
        <v>4</v>
      </c>
      <c r="I80" s="536"/>
      <c r="J80" s="536" t="s">
        <v>6</v>
      </c>
      <c r="K80" s="536"/>
      <c r="L80" s="242"/>
      <c r="M80" s="242"/>
      <c r="N80" s="242"/>
      <c r="O80" s="242"/>
      <c r="P80" s="242"/>
      <c r="Q80" s="242"/>
    </row>
    <row r="81" spans="1:17" x14ac:dyDescent="0.25">
      <c r="A81" s="536"/>
      <c r="B81" s="231" t="s">
        <v>8</v>
      </c>
      <c r="C81" s="231" t="s">
        <v>14</v>
      </c>
      <c r="D81" s="231" t="s">
        <v>13</v>
      </c>
      <c r="E81" s="231" t="s">
        <v>8</v>
      </c>
      <c r="F81" s="231" t="s">
        <v>14</v>
      </c>
      <c r="G81" s="231" t="s">
        <v>10</v>
      </c>
      <c r="H81" s="231" t="s">
        <v>8</v>
      </c>
      <c r="I81" s="231" t="s">
        <v>13</v>
      </c>
      <c r="J81" s="231" t="s">
        <v>8</v>
      </c>
      <c r="K81" s="231" t="s">
        <v>13</v>
      </c>
      <c r="L81" s="242"/>
      <c r="M81" s="242"/>
      <c r="N81" s="242"/>
      <c r="O81" s="242"/>
      <c r="P81" s="242"/>
      <c r="Q81" s="242"/>
    </row>
    <row r="82" spans="1:17" x14ac:dyDescent="0.25">
      <c r="A82" s="232"/>
      <c r="B82" s="233"/>
      <c r="C82" s="233"/>
      <c r="D82" s="233"/>
      <c r="E82" s="233"/>
      <c r="F82" s="233"/>
      <c r="G82" s="233"/>
      <c r="H82" s="233"/>
      <c r="I82" s="233"/>
      <c r="J82" s="233"/>
      <c r="K82" s="233"/>
      <c r="L82" s="242"/>
      <c r="M82" s="242"/>
      <c r="N82" s="242"/>
      <c r="O82" s="242"/>
      <c r="P82" s="242"/>
      <c r="Q82" s="242"/>
    </row>
    <row r="83" spans="1:17" x14ac:dyDescent="0.25">
      <c r="A83" s="243" t="s">
        <v>22</v>
      </c>
      <c r="B83" s="244">
        <f>'Kaporit K. B'!B16</f>
        <v>0</v>
      </c>
      <c r="C83" s="244">
        <f>'Kaporit K. B'!C16</f>
        <v>0</v>
      </c>
      <c r="D83" s="244">
        <f>'Kaporit K. B'!D16</f>
        <v>0</v>
      </c>
      <c r="E83" s="244">
        <f>'Kaporit K. B'!E16</f>
        <v>0</v>
      </c>
      <c r="F83" s="244">
        <f>'Kaporit K. B'!F16</f>
        <v>0</v>
      </c>
      <c r="G83" s="244">
        <f>'Kaporit K. B'!G16</f>
        <v>0</v>
      </c>
      <c r="H83" s="244">
        <f>'Kaporit K. B'!H16</f>
        <v>0</v>
      </c>
      <c r="I83" s="244">
        <f>'Kaporit K. B'!I16</f>
        <v>0</v>
      </c>
      <c r="J83" s="244">
        <f>'Kaporit K. B'!J16</f>
        <v>0</v>
      </c>
      <c r="K83" s="244">
        <f>'Kaporit K. B'!K16</f>
        <v>0</v>
      </c>
      <c r="L83" s="242"/>
      <c r="M83" s="242"/>
      <c r="N83" s="242"/>
      <c r="O83" s="242"/>
      <c r="P83" s="242"/>
      <c r="Q83" s="242"/>
    </row>
    <row r="84" spans="1:17" x14ac:dyDescent="0.25">
      <c r="A84" s="243"/>
      <c r="B84" s="244">
        <f>'Kaporit K. B'!B17</f>
        <v>0</v>
      </c>
      <c r="C84" s="244">
        <f>'Kaporit K. B'!C17</f>
        <v>0</v>
      </c>
      <c r="D84" s="244">
        <f>'Kaporit K. B'!D17</f>
        <v>0</v>
      </c>
      <c r="E84" s="244">
        <f>'Kaporit K. B'!E17</f>
        <v>0</v>
      </c>
      <c r="F84" s="244">
        <f>'Kaporit K. B'!F17</f>
        <v>0</v>
      </c>
      <c r="G84" s="244">
        <f>'Kaporit K. B'!G17</f>
        <v>0</v>
      </c>
      <c r="H84" s="244">
        <f>'Kaporit K. B'!H17</f>
        <v>0</v>
      </c>
      <c r="I84" s="244">
        <f>'Kaporit K. B'!I17</f>
        <v>0</v>
      </c>
      <c r="J84" s="244">
        <f>'Kaporit K. B'!J17</f>
        <v>0</v>
      </c>
      <c r="K84" s="244">
        <f>'Kaporit K. B'!K17</f>
        <v>0</v>
      </c>
      <c r="L84" s="242"/>
      <c r="M84" s="242"/>
      <c r="N84" s="242"/>
      <c r="O84" s="242"/>
      <c r="P84" s="242"/>
      <c r="Q84" s="242"/>
    </row>
    <row r="85" spans="1:17" x14ac:dyDescent="0.25">
      <c r="A85" s="243"/>
      <c r="B85" s="244"/>
      <c r="C85" s="244"/>
      <c r="D85" s="244"/>
      <c r="E85" s="244"/>
      <c r="F85" s="244"/>
      <c r="G85" s="244"/>
      <c r="H85" s="244"/>
      <c r="I85" s="244"/>
      <c r="J85" s="244"/>
      <c r="K85" s="244"/>
      <c r="L85" s="242"/>
      <c r="M85" s="242"/>
      <c r="N85" s="242"/>
      <c r="O85" s="242"/>
      <c r="P85" s="242"/>
      <c r="Q85" s="242"/>
    </row>
    <row r="86" spans="1:17" x14ac:dyDescent="0.25">
      <c r="A86" s="243"/>
      <c r="B86" s="244"/>
      <c r="C86" s="245"/>
      <c r="D86" s="245"/>
      <c r="E86" s="246"/>
      <c r="F86" s="245"/>
      <c r="G86" s="245"/>
      <c r="H86" s="246"/>
      <c r="I86" s="245"/>
      <c r="J86" s="237"/>
      <c r="K86" s="245"/>
      <c r="L86" s="242"/>
      <c r="M86" s="242"/>
      <c r="N86" s="242"/>
      <c r="O86" s="242"/>
      <c r="P86" s="242"/>
      <c r="Q86" s="242"/>
    </row>
    <row r="87" spans="1:17" x14ac:dyDescent="0.25">
      <c r="A87" s="247"/>
      <c r="B87" s="248"/>
      <c r="C87" s="248"/>
      <c r="D87" s="249"/>
      <c r="E87" s="250"/>
      <c r="F87" s="249"/>
      <c r="G87" s="249"/>
      <c r="H87" s="248"/>
      <c r="I87" s="251"/>
      <c r="J87" s="241"/>
      <c r="K87" s="251"/>
      <c r="L87" s="242"/>
      <c r="M87" s="242"/>
      <c r="N87" s="242"/>
      <c r="O87" s="242"/>
      <c r="P87" s="242"/>
      <c r="Q87" s="242"/>
    </row>
    <row r="88" spans="1:17" x14ac:dyDescent="0.25">
      <c r="A88" s="242"/>
      <c r="B88" s="242"/>
      <c r="C88" s="242"/>
      <c r="D88" s="242"/>
      <c r="E88" s="242"/>
      <c r="F88" s="242"/>
      <c r="G88" s="242"/>
      <c r="H88" s="242"/>
      <c r="I88" s="242"/>
      <c r="J88" s="242"/>
      <c r="K88" s="242"/>
      <c r="L88" s="242"/>
      <c r="M88" s="242"/>
      <c r="N88" s="242"/>
      <c r="O88" s="242"/>
      <c r="P88" s="242"/>
      <c r="Q88" s="242"/>
    </row>
    <row r="89" spans="1:17" x14ac:dyDescent="0.25">
      <c r="A89" s="242"/>
      <c r="B89" s="242"/>
      <c r="C89" s="242"/>
      <c r="D89" s="242"/>
      <c r="E89" s="242"/>
      <c r="F89" s="242"/>
      <c r="G89" s="242"/>
      <c r="H89" s="242"/>
      <c r="I89" s="242"/>
      <c r="J89" s="242"/>
      <c r="K89" s="242"/>
      <c r="L89" s="242"/>
      <c r="M89" s="242"/>
      <c r="N89" s="242"/>
      <c r="O89" s="242"/>
      <c r="P89" s="242"/>
      <c r="Q89" s="242"/>
    </row>
    <row r="90" spans="1:17" x14ac:dyDescent="0.25">
      <c r="A90" s="242"/>
      <c r="B90" s="242"/>
      <c r="C90" s="242"/>
      <c r="D90" s="242"/>
      <c r="E90" s="242"/>
      <c r="F90" s="242"/>
      <c r="G90" s="242"/>
      <c r="H90" s="242"/>
      <c r="I90" s="242"/>
      <c r="J90" s="242"/>
      <c r="K90" s="242"/>
      <c r="L90" s="242"/>
      <c r="M90" s="242"/>
      <c r="N90" s="242"/>
      <c r="O90" s="242"/>
      <c r="P90" s="242"/>
      <c r="Q90" s="242"/>
    </row>
    <row r="91" spans="1:17" x14ac:dyDescent="0.25">
      <c r="A91" s="537" t="s">
        <v>49</v>
      </c>
      <c r="B91" s="537"/>
      <c r="C91" s="537"/>
      <c r="D91" s="537"/>
      <c r="E91" s="537"/>
      <c r="F91" s="537"/>
      <c r="G91" s="537"/>
      <c r="H91" s="537"/>
      <c r="I91" s="537"/>
      <c r="J91" s="537"/>
      <c r="K91" s="537"/>
      <c r="L91" s="242"/>
      <c r="M91" s="242"/>
      <c r="N91" s="242"/>
      <c r="O91" s="242"/>
      <c r="P91" s="242"/>
      <c r="Q91" s="242"/>
    </row>
    <row r="92" spans="1:17" x14ac:dyDescent="0.25">
      <c r="A92" s="536" t="s">
        <v>0</v>
      </c>
      <c r="B92" s="536" t="s">
        <v>7</v>
      </c>
      <c r="C92" s="536"/>
      <c r="D92" s="536"/>
      <c r="E92" s="536" t="s">
        <v>5</v>
      </c>
      <c r="F92" s="536"/>
      <c r="G92" s="536"/>
      <c r="H92" s="536" t="s">
        <v>4</v>
      </c>
      <c r="I92" s="536"/>
      <c r="J92" s="536" t="s">
        <v>6</v>
      </c>
      <c r="K92" s="536"/>
      <c r="L92" s="242"/>
      <c r="M92" s="242"/>
      <c r="N92" s="242"/>
      <c r="O92" s="242"/>
      <c r="P92" s="242"/>
      <c r="Q92" s="242"/>
    </row>
    <row r="93" spans="1:17" x14ac:dyDescent="0.25">
      <c r="A93" s="536"/>
      <c r="B93" s="231" t="s">
        <v>8</v>
      </c>
      <c r="C93" s="231" t="s">
        <v>14</v>
      </c>
      <c r="D93" s="231" t="s">
        <v>13</v>
      </c>
      <c r="E93" s="231" t="s">
        <v>8</v>
      </c>
      <c r="F93" s="231" t="s">
        <v>14</v>
      </c>
      <c r="G93" s="231" t="s">
        <v>10</v>
      </c>
      <c r="H93" s="231" t="s">
        <v>8</v>
      </c>
      <c r="I93" s="231" t="s">
        <v>13</v>
      </c>
      <c r="J93" s="231" t="s">
        <v>8</v>
      </c>
      <c r="K93" s="231" t="s">
        <v>13</v>
      </c>
      <c r="L93" s="242"/>
      <c r="M93" s="242"/>
      <c r="N93" s="242"/>
      <c r="O93" s="242"/>
      <c r="P93" s="242"/>
      <c r="Q93" s="242"/>
    </row>
    <row r="94" spans="1:17" x14ac:dyDescent="0.25">
      <c r="A94" s="232"/>
      <c r="B94" s="233"/>
      <c r="C94" s="233"/>
      <c r="D94" s="233"/>
      <c r="E94" s="233"/>
      <c r="F94" s="233"/>
      <c r="G94" s="233"/>
      <c r="H94" s="233"/>
      <c r="I94" s="233"/>
      <c r="J94" s="233"/>
      <c r="K94" s="233"/>
      <c r="L94" s="242"/>
      <c r="M94" s="242"/>
      <c r="N94" s="242"/>
      <c r="O94" s="242"/>
      <c r="P94" s="242"/>
      <c r="Q94" s="242"/>
    </row>
    <row r="95" spans="1:17" x14ac:dyDescent="0.25">
      <c r="A95" s="243" t="s">
        <v>22</v>
      </c>
      <c r="B95" s="244">
        <f>'Kaporit Hanau'!B11</f>
        <v>0</v>
      </c>
      <c r="C95" s="244">
        <f>'Kaporit Hanau'!C11</f>
        <v>0</v>
      </c>
      <c r="D95" s="244">
        <f>'Kaporit Hanau'!D11</f>
        <v>0</v>
      </c>
      <c r="E95" s="244">
        <f>'Kaporit Hanau'!E11</f>
        <v>0</v>
      </c>
      <c r="F95" s="244">
        <f>'Kaporit Hanau'!F11</f>
        <v>0</v>
      </c>
      <c r="G95" s="244">
        <f>'Kaporit Hanau'!G11</f>
        <v>0</v>
      </c>
      <c r="H95" s="244">
        <f>'Kaporit Hanau'!H11</f>
        <v>0</v>
      </c>
      <c r="I95" s="244">
        <f>'Kaporit Hanau'!I11</f>
        <v>0</v>
      </c>
      <c r="J95" s="244">
        <f>'Kaporit Hanau'!J11</f>
        <v>0</v>
      </c>
      <c r="K95" s="244">
        <f>'Kaporit Hanau'!K11</f>
        <v>0</v>
      </c>
      <c r="L95" s="242"/>
      <c r="M95" s="242"/>
      <c r="N95" s="242"/>
      <c r="O95" s="242"/>
      <c r="P95" s="242"/>
      <c r="Q95" s="242"/>
    </row>
    <row r="96" spans="1:17" x14ac:dyDescent="0.25">
      <c r="A96" s="243"/>
      <c r="B96" s="244">
        <f>'Kaporit Hanau'!B12</f>
        <v>0</v>
      </c>
      <c r="C96" s="244">
        <f>'Kaporit Hanau'!C12</f>
        <v>0</v>
      </c>
      <c r="D96" s="244">
        <f>'Kaporit Hanau'!D12</f>
        <v>0</v>
      </c>
      <c r="E96" s="244">
        <f>'Kaporit Hanau'!E12</f>
        <v>0</v>
      </c>
      <c r="F96" s="244">
        <f>'Kaporit Hanau'!F12</f>
        <v>0</v>
      </c>
      <c r="G96" s="244">
        <f>'Kaporit Hanau'!G12</f>
        <v>0</v>
      </c>
      <c r="H96" s="244">
        <f>'Kaporit Hanau'!H12</f>
        <v>0</v>
      </c>
      <c r="I96" s="244">
        <f>'Kaporit Hanau'!I12</f>
        <v>0</v>
      </c>
      <c r="J96" s="244">
        <f>'Kaporit Hanau'!J12</f>
        <v>0</v>
      </c>
      <c r="K96" s="244">
        <f>'Kaporit Hanau'!K12</f>
        <v>0</v>
      </c>
      <c r="L96" s="242"/>
      <c r="M96" s="242"/>
      <c r="N96" s="242"/>
      <c r="O96" s="242"/>
      <c r="P96" s="242"/>
      <c r="Q96" s="242"/>
    </row>
    <row r="97" spans="1:17" x14ac:dyDescent="0.25">
      <c r="A97" s="243"/>
      <c r="B97" s="244">
        <f>'Kaporit Hanau'!B13</f>
        <v>0</v>
      </c>
      <c r="C97" s="244">
        <f>'Kaporit Hanau'!C13</f>
        <v>0</v>
      </c>
      <c r="D97" s="244">
        <f>'Kaporit Hanau'!D13</f>
        <v>0</v>
      </c>
      <c r="E97" s="244">
        <f>'Kaporit Hanau'!E13</f>
        <v>0</v>
      </c>
      <c r="F97" s="244">
        <f>'Kaporit Hanau'!F13</f>
        <v>0</v>
      </c>
      <c r="G97" s="244">
        <f>'Kaporit Hanau'!G13</f>
        <v>0</v>
      </c>
      <c r="H97" s="244">
        <f>'Kaporit Hanau'!H13</f>
        <v>0</v>
      </c>
      <c r="I97" s="244">
        <f>'Kaporit Hanau'!I13</f>
        <v>0</v>
      </c>
      <c r="J97" s="296">
        <f>'Kaporit Hanau'!J13</f>
        <v>0</v>
      </c>
      <c r="K97" s="296">
        <f>'Kaporit Hanau'!K13</f>
        <v>0</v>
      </c>
      <c r="L97" s="242"/>
      <c r="M97" s="242"/>
      <c r="N97" s="242"/>
      <c r="O97" s="242"/>
      <c r="P97" s="242"/>
      <c r="Q97" s="242"/>
    </row>
    <row r="98" spans="1:17" x14ac:dyDescent="0.25">
      <c r="A98" s="247"/>
      <c r="B98" s="248"/>
      <c r="C98" s="248"/>
      <c r="D98" s="249"/>
      <c r="E98" s="250"/>
      <c r="F98" s="249"/>
      <c r="G98" s="249"/>
      <c r="H98" s="248"/>
      <c r="I98" s="251"/>
      <c r="J98" s="241"/>
      <c r="K98" s="251"/>
      <c r="L98" s="242"/>
      <c r="M98" s="242"/>
      <c r="N98" s="242"/>
      <c r="O98" s="242"/>
      <c r="P98" s="242"/>
      <c r="Q98" s="242"/>
    </row>
    <row r="101" spans="1:17" ht="21" x14ac:dyDescent="0.35">
      <c r="A101" s="520">
        <v>45748</v>
      </c>
      <c r="B101" s="520"/>
    </row>
    <row r="102" spans="1:17" x14ac:dyDescent="0.25">
      <c r="A102" s="538" t="s">
        <v>43</v>
      </c>
      <c r="B102" s="538"/>
      <c r="C102" s="538"/>
      <c r="D102" s="538"/>
      <c r="E102" s="538"/>
      <c r="F102" s="538"/>
      <c r="G102" s="538"/>
      <c r="H102" s="538"/>
      <c r="I102" s="538"/>
      <c r="J102" s="538"/>
      <c r="K102" s="538"/>
      <c r="L102" s="538"/>
      <c r="M102" s="538"/>
      <c r="N102" s="538"/>
      <c r="O102" s="538"/>
      <c r="P102" s="538"/>
      <c r="Q102" s="538"/>
    </row>
    <row r="103" spans="1:17" x14ac:dyDescent="0.25">
      <c r="A103" s="227"/>
      <c r="B103" s="227"/>
      <c r="C103" s="227"/>
      <c r="D103" s="227"/>
      <c r="E103" s="227"/>
      <c r="F103" s="228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</row>
    <row r="104" spans="1:17" x14ac:dyDescent="0.25">
      <c r="A104" s="539" t="s">
        <v>0</v>
      </c>
      <c r="B104" s="536" t="s">
        <v>7</v>
      </c>
      <c r="C104" s="536"/>
      <c r="D104" s="536"/>
      <c r="E104" s="536" t="s">
        <v>5</v>
      </c>
      <c r="F104" s="536"/>
      <c r="G104" s="536"/>
      <c r="H104" s="541" t="s">
        <v>25</v>
      </c>
      <c r="I104" s="542"/>
      <c r="J104" s="543"/>
      <c r="K104" s="541" t="s">
        <v>26</v>
      </c>
      <c r="L104" s="542"/>
      <c r="M104" s="543"/>
      <c r="N104" s="536" t="s">
        <v>4</v>
      </c>
      <c r="O104" s="536"/>
      <c r="P104" s="536" t="s">
        <v>6</v>
      </c>
      <c r="Q104" s="536"/>
    </row>
    <row r="105" spans="1:17" x14ac:dyDescent="0.25">
      <c r="A105" s="540"/>
      <c r="B105" s="229" t="s">
        <v>8</v>
      </c>
      <c r="C105" s="229" t="s">
        <v>9</v>
      </c>
      <c r="D105" s="229" t="s">
        <v>13</v>
      </c>
      <c r="E105" s="229" t="s">
        <v>8</v>
      </c>
      <c r="F105" s="230" t="s">
        <v>9</v>
      </c>
      <c r="G105" s="229" t="s">
        <v>10</v>
      </c>
      <c r="H105" s="231" t="s">
        <v>8</v>
      </c>
      <c r="I105" s="231" t="s">
        <v>9</v>
      </c>
      <c r="J105" s="231" t="s">
        <v>13</v>
      </c>
      <c r="K105" s="231" t="s">
        <v>8</v>
      </c>
      <c r="L105" s="231" t="s">
        <v>9</v>
      </c>
      <c r="M105" s="231" t="s">
        <v>13</v>
      </c>
      <c r="N105" s="229" t="s">
        <v>8</v>
      </c>
      <c r="O105" s="229" t="s">
        <v>13</v>
      </c>
      <c r="P105" s="229" t="s">
        <v>8</v>
      </c>
      <c r="Q105" s="229" t="s">
        <v>13</v>
      </c>
    </row>
    <row r="106" spans="1:17" x14ac:dyDescent="0.25">
      <c r="A106" s="232"/>
      <c r="B106" s="233"/>
      <c r="C106" s="233"/>
      <c r="D106" s="233"/>
      <c r="E106" s="233"/>
      <c r="F106" s="234"/>
      <c r="G106" s="233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</row>
    <row r="107" spans="1:17" x14ac:dyDescent="0.25">
      <c r="A107" s="286" t="s">
        <v>24</v>
      </c>
      <c r="B107" s="236">
        <f>'Kaporit BENAR'!B14</f>
        <v>0</v>
      </c>
      <c r="C107" s="236">
        <f>'Kaporit BENAR'!C14</f>
        <v>0</v>
      </c>
      <c r="D107" s="236">
        <f>'Kaporit BENAR'!D14</f>
        <v>0</v>
      </c>
      <c r="E107" s="236">
        <f>'Kaporit BENAR'!E14</f>
        <v>0</v>
      </c>
      <c r="F107" s="236">
        <f>'Kaporit BENAR'!F14</f>
        <v>0</v>
      </c>
      <c r="G107" s="236">
        <f>'Kaporit BENAR'!G14</f>
        <v>0</v>
      </c>
      <c r="H107" s="236">
        <f>'Kaporit BENAR'!H14</f>
        <v>0</v>
      </c>
      <c r="I107" s="236">
        <f>'Kaporit BENAR'!I14</f>
        <v>0</v>
      </c>
      <c r="J107" s="236">
        <f>'Kaporit BENAR'!J14</f>
        <v>0</v>
      </c>
      <c r="K107" s="236">
        <f>'Kaporit BENAR'!K14</f>
        <v>0</v>
      </c>
      <c r="L107" s="236">
        <f>'Kaporit BENAR'!L14</f>
        <v>0</v>
      </c>
      <c r="M107" s="236">
        <f>'Kaporit BENAR'!M14</f>
        <v>0</v>
      </c>
      <c r="N107" s="236">
        <f>'Kaporit BENAR'!N14</f>
        <v>0</v>
      </c>
      <c r="O107" s="236">
        <f>'Kaporit BENAR'!O14</f>
        <v>0</v>
      </c>
      <c r="P107" s="236">
        <f>'Kaporit BENAR'!P14</f>
        <v>0</v>
      </c>
      <c r="Q107" s="236">
        <f>'Kaporit BENAR'!Q14</f>
        <v>0</v>
      </c>
    </row>
    <row r="108" spans="1:17" x14ac:dyDescent="0.25">
      <c r="A108" s="286"/>
      <c r="B108" s="236">
        <f>'Kaporit BENAR'!B15</f>
        <v>0</v>
      </c>
      <c r="C108" s="236">
        <f>'Kaporit BENAR'!C15</f>
        <v>0</v>
      </c>
      <c r="D108" s="236">
        <f>'Kaporit BENAR'!D15</f>
        <v>0</v>
      </c>
      <c r="E108" s="236">
        <f>'Kaporit BENAR'!E15</f>
        <v>0</v>
      </c>
      <c r="F108" s="236">
        <f>'Kaporit BENAR'!F15</f>
        <v>0</v>
      </c>
      <c r="G108" s="236">
        <f>'Kaporit BENAR'!G15</f>
        <v>0</v>
      </c>
      <c r="H108" s="236">
        <f>'Kaporit BENAR'!H15</f>
        <v>0</v>
      </c>
      <c r="I108" s="236">
        <f>'Kaporit BENAR'!I15</f>
        <v>0</v>
      </c>
      <c r="J108" s="236">
        <f>'Kaporit BENAR'!J15</f>
        <v>0</v>
      </c>
      <c r="K108" s="236">
        <f>'Kaporit BENAR'!K15</f>
        <v>0</v>
      </c>
      <c r="L108" s="236">
        <f>'Kaporit BENAR'!L15</f>
        <v>0</v>
      </c>
      <c r="M108" s="236">
        <f>'Kaporit BENAR'!M15</f>
        <v>0</v>
      </c>
      <c r="N108" s="236">
        <f>'Kaporit BENAR'!N15</f>
        <v>0</v>
      </c>
      <c r="O108" s="236">
        <f>'Kaporit BENAR'!O15</f>
        <v>0</v>
      </c>
      <c r="P108" s="236">
        <f>'Kaporit BENAR'!P15</f>
        <v>0</v>
      </c>
      <c r="Q108" s="236">
        <f>'Kaporit BENAR'!Q15</f>
        <v>0</v>
      </c>
    </row>
    <row r="109" spans="1:17" x14ac:dyDescent="0.25">
      <c r="A109" s="286"/>
      <c r="B109" s="236" t="e">
        <f>'Kaporit BENAR'!#REF!</f>
        <v>#REF!</v>
      </c>
      <c r="C109" s="236" t="e">
        <f>'Kaporit BENAR'!#REF!</f>
        <v>#REF!</v>
      </c>
      <c r="D109" s="236" t="e">
        <f>'Kaporit BENAR'!#REF!</f>
        <v>#REF!</v>
      </c>
      <c r="E109" s="236" t="e">
        <f>'Kaporit BENAR'!#REF!</f>
        <v>#REF!</v>
      </c>
      <c r="F109" s="236" t="e">
        <f>'Kaporit BENAR'!#REF!</f>
        <v>#REF!</v>
      </c>
      <c r="G109" s="236" t="e">
        <f>'Kaporit BENAR'!#REF!</f>
        <v>#REF!</v>
      </c>
      <c r="H109" s="236" t="e">
        <f>'Kaporit BENAR'!#REF!</f>
        <v>#REF!</v>
      </c>
      <c r="I109" s="236" t="e">
        <f>'Kaporit BENAR'!#REF!</f>
        <v>#REF!</v>
      </c>
      <c r="J109" s="236" t="e">
        <f>'Kaporit BENAR'!#REF!</f>
        <v>#REF!</v>
      </c>
      <c r="K109" s="236" t="e">
        <f>'Kaporit BENAR'!#REF!</f>
        <v>#REF!</v>
      </c>
      <c r="L109" s="236" t="e">
        <f>'Kaporit BENAR'!#REF!</f>
        <v>#REF!</v>
      </c>
      <c r="M109" s="236" t="e">
        <f>'Kaporit BENAR'!#REF!</f>
        <v>#REF!</v>
      </c>
      <c r="N109" s="236" t="e">
        <f>'Kaporit BENAR'!#REF!</f>
        <v>#REF!</v>
      </c>
      <c r="O109" s="236" t="e">
        <f>'Kaporit BENAR'!#REF!</f>
        <v>#REF!</v>
      </c>
      <c r="P109" s="262" t="e">
        <f>'Kaporit BENAR'!#REF!</f>
        <v>#REF!</v>
      </c>
      <c r="Q109" s="262" t="e">
        <f>'Kaporit BENAR'!#REF!</f>
        <v>#REF!</v>
      </c>
    </row>
    <row r="110" spans="1:17" x14ac:dyDescent="0.25">
      <c r="A110" s="239"/>
      <c r="B110" s="240"/>
      <c r="C110" s="241"/>
      <c r="D110" s="241"/>
      <c r="E110" s="241"/>
      <c r="F110" s="241"/>
      <c r="G110" s="241"/>
      <c r="H110" s="241"/>
      <c r="I110" s="241"/>
      <c r="J110" s="241"/>
      <c r="K110" s="241"/>
      <c r="L110" s="241"/>
      <c r="M110" s="241"/>
      <c r="N110" s="241"/>
      <c r="O110" s="271"/>
      <c r="P110" s="273"/>
      <c r="Q110" s="272"/>
    </row>
    <row r="111" spans="1:17" x14ac:dyDescent="0.25">
      <c r="A111" s="242"/>
      <c r="B111" s="242"/>
      <c r="C111" s="242"/>
      <c r="D111" s="242"/>
      <c r="E111" s="242"/>
      <c r="F111" s="242"/>
      <c r="G111" s="242"/>
      <c r="H111" s="242"/>
      <c r="I111" s="242"/>
      <c r="J111" s="242"/>
      <c r="K111" s="242"/>
      <c r="L111" s="242"/>
      <c r="M111" s="242"/>
      <c r="N111" s="242"/>
      <c r="O111" s="242"/>
      <c r="P111" s="242"/>
      <c r="Q111" s="242"/>
    </row>
    <row r="112" spans="1:17" x14ac:dyDescent="0.25">
      <c r="A112" s="242"/>
      <c r="B112" s="242"/>
      <c r="C112" s="242"/>
      <c r="D112" s="242"/>
      <c r="E112" s="242"/>
      <c r="F112" s="242"/>
      <c r="G112" s="242"/>
      <c r="H112" s="242"/>
      <c r="I112" s="242"/>
      <c r="J112" s="242"/>
      <c r="K112" s="242"/>
      <c r="L112" s="242"/>
      <c r="M112" s="242"/>
      <c r="N112" s="242"/>
      <c r="O112" s="242"/>
      <c r="P112" s="242"/>
      <c r="Q112" s="242"/>
    </row>
    <row r="113" spans="1:17" x14ac:dyDescent="0.25">
      <c r="A113" s="242"/>
      <c r="B113" s="242"/>
      <c r="C113" s="242"/>
      <c r="D113" s="242"/>
      <c r="E113" s="242"/>
      <c r="F113" s="242"/>
      <c r="G113" s="242"/>
      <c r="H113" s="242"/>
      <c r="I113" s="242"/>
      <c r="J113" s="242"/>
      <c r="K113" s="242"/>
      <c r="L113" s="242"/>
      <c r="M113" s="242"/>
      <c r="N113" s="242"/>
      <c r="O113" s="242"/>
      <c r="P113" s="242"/>
      <c r="Q113" s="242"/>
    </row>
    <row r="114" spans="1:17" x14ac:dyDescent="0.25">
      <c r="A114" s="537" t="s">
        <v>44</v>
      </c>
      <c r="B114" s="537"/>
      <c r="C114" s="537"/>
      <c r="D114" s="537"/>
      <c r="E114" s="537"/>
      <c r="F114" s="537"/>
      <c r="G114" s="537"/>
      <c r="H114" s="537"/>
      <c r="I114" s="537"/>
      <c r="J114" s="537"/>
      <c r="K114" s="537"/>
      <c r="L114" s="242"/>
      <c r="M114" s="242"/>
      <c r="N114" s="242"/>
      <c r="O114" s="242"/>
      <c r="P114" s="242"/>
      <c r="Q114" s="242"/>
    </row>
    <row r="115" spans="1:17" x14ac:dyDescent="0.25">
      <c r="A115" s="536" t="s">
        <v>0</v>
      </c>
      <c r="B115" s="536" t="s">
        <v>7</v>
      </c>
      <c r="C115" s="536"/>
      <c r="D115" s="536"/>
      <c r="E115" s="536" t="s">
        <v>5</v>
      </c>
      <c r="F115" s="536"/>
      <c r="G115" s="536"/>
      <c r="H115" s="536" t="s">
        <v>4</v>
      </c>
      <c r="I115" s="536"/>
      <c r="J115" s="536" t="s">
        <v>6</v>
      </c>
      <c r="K115" s="536"/>
      <c r="L115" s="242"/>
      <c r="M115" s="242"/>
      <c r="N115" s="242"/>
      <c r="O115" s="242"/>
      <c r="P115" s="242"/>
      <c r="Q115" s="242"/>
    </row>
    <row r="116" spans="1:17" x14ac:dyDescent="0.25">
      <c r="A116" s="536"/>
      <c r="B116" s="231" t="s">
        <v>8</v>
      </c>
      <c r="C116" s="231" t="s">
        <v>14</v>
      </c>
      <c r="D116" s="231" t="s">
        <v>13</v>
      </c>
      <c r="E116" s="231" t="s">
        <v>8</v>
      </c>
      <c r="F116" s="231" t="s">
        <v>14</v>
      </c>
      <c r="G116" s="231" t="s">
        <v>10</v>
      </c>
      <c r="H116" s="231" t="s">
        <v>8</v>
      </c>
      <c r="I116" s="231" t="s">
        <v>13</v>
      </c>
      <c r="J116" s="231" t="s">
        <v>8</v>
      </c>
      <c r="K116" s="231" t="s">
        <v>13</v>
      </c>
      <c r="L116" s="242"/>
      <c r="M116" s="242"/>
      <c r="N116" s="242"/>
      <c r="O116" s="242"/>
      <c r="P116" s="242"/>
      <c r="Q116" s="242"/>
    </row>
    <row r="117" spans="1:17" x14ac:dyDescent="0.25">
      <c r="A117" s="232"/>
      <c r="B117" s="233"/>
      <c r="C117" s="233"/>
      <c r="D117" s="233"/>
      <c r="E117" s="233"/>
      <c r="F117" s="233"/>
      <c r="G117" s="233"/>
      <c r="H117" s="233"/>
      <c r="I117" s="233"/>
      <c r="J117" s="233"/>
      <c r="K117" s="233"/>
      <c r="L117" s="242"/>
      <c r="M117" s="242"/>
      <c r="N117" s="242"/>
      <c r="O117" s="242"/>
      <c r="P117" s="242"/>
      <c r="Q117" s="242"/>
    </row>
    <row r="118" spans="1:17" x14ac:dyDescent="0.25">
      <c r="A118" s="243" t="s">
        <v>24</v>
      </c>
      <c r="B118" s="244">
        <f>'Kaporit K. B'!B18</f>
        <v>0</v>
      </c>
      <c r="C118" s="244">
        <f>'Kaporit K. B'!C18</f>
        <v>0</v>
      </c>
      <c r="D118" s="244">
        <f>'Kaporit K. B'!D18</f>
        <v>0</v>
      </c>
      <c r="E118" s="244">
        <f>'Kaporit K. B'!E18</f>
        <v>0</v>
      </c>
      <c r="F118" s="244">
        <f>'Kaporit K. B'!F18</f>
        <v>0</v>
      </c>
      <c r="G118" s="244">
        <f>'Kaporit K. B'!G18</f>
        <v>0</v>
      </c>
      <c r="H118" s="244">
        <f>'Kaporit K. B'!H18</f>
        <v>0</v>
      </c>
      <c r="I118" s="244">
        <f>'Kaporit K. B'!I18</f>
        <v>0</v>
      </c>
      <c r="J118" s="244">
        <f>'Kaporit K. B'!J18</f>
        <v>0</v>
      </c>
      <c r="K118" s="244">
        <f>'Kaporit K. B'!K18</f>
        <v>0</v>
      </c>
      <c r="L118" s="242"/>
      <c r="M118" s="242"/>
      <c r="N118" s="242"/>
      <c r="O118" s="242"/>
      <c r="P118" s="242"/>
      <c r="Q118" s="242"/>
    </row>
    <row r="119" spans="1:17" x14ac:dyDescent="0.25">
      <c r="A119" s="243"/>
      <c r="B119" s="244" t="e">
        <f>'Kaporit K. B'!#REF!</f>
        <v>#REF!</v>
      </c>
      <c r="C119" s="244" t="e">
        <f>'Kaporit K. B'!#REF!</f>
        <v>#REF!</v>
      </c>
      <c r="D119" s="244" t="e">
        <f>'Kaporit K. B'!#REF!</f>
        <v>#REF!</v>
      </c>
      <c r="E119" s="244" t="e">
        <f>'Kaporit K. B'!#REF!</f>
        <v>#REF!</v>
      </c>
      <c r="F119" s="244" t="e">
        <f>'Kaporit K. B'!#REF!</f>
        <v>#REF!</v>
      </c>
      <c r="G119" s="244" t="e">
        <f>'Kaporit K. B'!#REF!</f>
        <v>#REF!</v>
      </c>
      <c r="H119" s="244" t="e">
        <f>'Kaporit K. B'!#REF!</f>
        <v>#REF!</v>
      </c>
      <c r="I119" s="244" t="e">
        <f>'Kaporit K. B'!#REF!</f>
        <v>#REF!</v>
      </c>
      <c r="J119" s="244" t="e">
        <f>'Kaporit K. B'!#REF!</f>
        <v>#REF!</v>
      </c>
      <c r="K119" s="244" t="e">
        <f>'Kaporit K. B'!#REF!</f>
        <v>#REF!</v>
      </c>
      <c r="L119" s="242"/>
      <c r="M119" s="242"/>
      <c r="N119" s="242"/>
      <c r="O119" s="242"/>
      <c r="P119" s="242"/>
      <c r="Q119" s="242"/>
    </row>
    <row r="120" spans="1:17" x14ac:dyDescent="0.25">
      <c r="A120" s="243"/>
      <c r="B120" s="296" t="e">
        <f>'Kaporit K. B'!#REF!</f>
        <v>#REF!</v>
      </c>
      <c r="C120" s="296" t="e">
        <f>'Kaporit K. B'!#REF!</f>
        <v>#REF!</v>
      </c>
      <c r="D120" s="296" t="e">
        <f>'Kaporit K. B'!#REF!</f>
        <v>#REF!</v>
      </c>
      <c r="E120" s="244" t="e">
        <f>'Kaporit K. B'!#REF!</f>
        <v>#REF!</v>
      </c>
      <c r="F120" s="244" t="e">
        <f>'Kaporit K. B'!#REF!</f>
        <v>#REF!</v>
      </c>
      <c r="G120" s="244" t="e">
        <f>'Kaporit K. B'!#REF!</f>
        <v>#REF!</v>
      </c>
      <c r="H120" s="244" t="e">
        <f>'Kaporit K. B'!#REF!</f>
        <v>#REF!</v>
      </c>
      <c r="I120" s="244" t="e">
        <f>'Kaporit K. B'!#REF!</f>
        <v>#REF!</v>
      </c>
      <c r="J120" s="296" t="e">
        <f>'Kaporit K. B'!#REF!</f>
        <v>#REF!</v>
      </c>
      <c r="K120" s="296" t="e">
        <f>'Kaporit K. B'!#REF!</f>
        <v>#REF!</v>
      </c>
      <c r="L120" s="242"/>
      <c r="M120" s="242"/>
      <c r="N120" s="242"/>
      <c r="O120" s="242"/>
      <c r="P120" s="242"/>
      <c r="Q120" s="242"/>
    </row>
    <row r="121" spans="1:17" x14ac:dyDescent="0.25">
      <c r="A121" s="247"/>
      <c r="B121" s="248"/>
      <c r="C121" s="248"/>
      <c r="D121" s="249"/>
      <c r="E121" s="250"/>
      <c r="F121" s="249"/>
      <c r="G121" s="249"/>
      <c r="H121" s="248"/>
      <c r="I121" s="251"/>
      <c r="J121" s="241"/>
      <c r="K121" s="251"/>
      <c r="L121" s="242"/>
      <c r="M121" s="242"/>
      <c r="N121" s="242"/>
      <c r="O121" s="242"/>
      <c r="P121" s="242"/>
      <c r="Q121" s="242"/>
    </row>
    <row r="122" spans="1:17" x14ac:dyDescent="0.25">
      <c r="A122" s="242"/>
      <c r="B122" s="242"/>
      <c r="C122" s="242"/>
      <c r="D122" s="242"/>
      <c r="E122" s="242"/>
      <c r="F122" s="242"/>
      <c r="G122" s="242"/>
      <c r="H122" s="242"/>
      <c r="I122" s="242"/>
      <c r="J122" s="242"/>
      <c r="K122" s="242"/>
      <c r="L122" s="242"/>
      <c r="M122" s="242"/>
      <c r="N122" s="242"/>
      <c r="O122" s="242"/>
      <c r="P122" s="242"/>
      <c r="Q122" s="242"/>
    </row>
    <row r="123" spans="1:17" x14ac:dyDescent="0.25">
      <c r="A123" s="242"/>
      <c r="B123" s="242"/>
      <c r="C123" s="242"/>
      <c r="D123" s="242"/>
      <c r="E123" s="242"/>
      <c r="F123" s="242"/>
      <c r="G123" s="242"/>
      <c r="H123" s="242"/>
      <c r="I123" s="242"/>
      <c r="J123" s="242"/>
      <c r="K123" s="242"/>
      <c r="L123" s="242"/>
      <c r="M123" s="242"/>
      <c r="N123" s="242"/>
      <c r="O123" s="242"/>
      <c r="P123" s="242"/>
      <c r="Q123" s="242"/>
    </row>
    <row r="124" spans="1:17" x14ac:dyDescent="0.25">
      <c r="A124" s="242"/>
      <c r="B124" s="242"/>
      <c r="C124" s="242"/>
      <c r="D124" s="242"/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2"/>
      <c r="Q124" s="242"/>
    </row>
    <row r="125" spans="1:17" x14ac:dyDescent="0.25">
      <c r="A125" s="537" t="s">
        <v>49</v>
      </c>
      <c r="B125" s="537"/>
      <c r="C125" s="537"/>
      <c r="D125" s="537"/>
      <c r="E125" s="537"/>
      <c r="F125" s="537"/>
      <c r="G125" s="537"/>
      <c r="H125" s="537"/>
      <c r="I125" s="537"/>
      <c r="J125" s="537"/>
      <c r="K125" s="537"/>
      <c r="L125" s="242"/>
      <c r="M125" s="242"/>
      <c r="N125" s="242"/>
      <c r="O125" s="242"/>
      <c r="P125" s="242"/>
      <c r="Q125" s="242"/>
    </row>
    <row r="126" spans="1:17" x14ac:dyDescent="0.25">
      <c r="A126" s="536" t="s">
        <v>0</v>
      </c>
      <c r="B126" s="536" t="s">
        <v>7</v>
      </c>
      <c r="C126" s="536"/>
      <c r="D126" s="536"/>
      <c r="E126" s="536" t="s">
        <v>5</v>
      </c>
      <c r="F126" s="536"/>
      <c r="G126" s="536"/>
      <c r="H126" s="536" t="s">
        <v>4</v>
      </c>
      <c r="I126" s="536"/>
      <c r="J126" s="536" t="s">
        <v>6</v>
      </c>
      <c r="K126" s="536"/>
      <c r="L126" s="242"/>
      <c r="M126" s="242"/>
      <c r="N126" s="242"/>
      <c r="O126" s="242"/>
      <c r="P126" s="242"/>
      <c r="Q126" s="242"/>
    </row>
    <row r="127" spans="1:17" x14ac:dyDescent="0.25">
      <c r="A127" s="536"/>
      <c r="B127" s="231" t="s">
        <v>8</v>
      </c>
      <c r="C127" s="231" t="s">
        <v>14</v>
      </c>
      <c r="D127" s="231" t="s">
        <v>13</v>
      </c>
      <c r="E127" s="231" t="s">
        <v>8</v>
      </c>
      <c r="F127" s="231" t="s">
        <v>14</v>
      </c>
      <c r="G127" s="231" t="s">
        <v>10</v>
      </c>
      <c r="H127" s="231" t="s">
        <v>8</v>
      </c>
      <c r="I127" s="231" t="s">
        <v>13</v>
      </c>
      <c r="J127" s="231" t="s">
        <v>8</v>
      </c>
      <c r="K127" s="231" t="s">
        <v>13</v>
      </c>
      <c r="L127" s="242"/>
      <c r="M127" s="242"/>
      <c r="N127" s="242"/>
      <c r="O127" s="242"/>
      <c r="P127" s="242"/>
      <c r="Q127" s="242"/>
    </row>
    <row r="128" spans="1:17" x14ac:dyDescent="0.25">
      <c r="A128" s="232"/>
      <c r="B128" s="233"/>
      <c r="C128" s="233"/>
      <c r="D128" s="233"/>
      <c r="E128" s="233"/>
      <c r="F128" s="233"/>
      <c r="G128" s="233"/>
      <c r="H128" s="233"/>
      <c r="I128" s="233"/>
      <c r="J128" s="233"/>
      <c r="K128" s="233"/>
      <c r="L128" s="242"/>
      <c r="M128" s="242"/>
      <c r="N128" s="242"/>
      <c r="O128" s="242"/>
      <c r="P128" s="242"/>
      <c r="Q128" s="242"/>
    </row>
    <row r="129" spans="1:17" x14ac:dyDescent="0.25">
      <c r="A129" s="243" t="s">
        <v>24</v>
      </c>
      <c r="B129" s="244">
        <f>'Kaporit Hanau'!B13</f>
        <v>0</v>
      </c>
      <c r="C129" s="244">
        <f>'Kaporit Hanau'!C13</f>
        <v>0</v>
      </c>
      <c r="D129" s="244">
        <f>'Kaporit Hanau'!D13</f>
        <v>0</v>
      </c>
      <c r="E129" s="244">
        <f>'Kaporit Hanau'!E13</f>
        <v>0</v>
      </c>
      <c r="F129" s="244">
        <f>'Kaporit Hanau'!F13</f>
        <v>0</v>
      </c>
      <c r="G129" s="244">
        <f>'Kaporit Hanau'!G13</f>
        <v>0</v>
      </c>
      <c r="H129" s="244">
        <f>'Kaporit Hanau'!H13</f>
        <v>0</v>
      </c>
      <c r="I129" s="244">
        <f>'Kaporit Hanau'!I13</f>
        <v>0</v>
      </c>
      <c r="J129" s="244">
        <f>'Kaporit Hanau'!J13</f>
        <v>0</v>
      </c>
      <c r="K129" s="244">
        <f>'Kaporit Hanau'!K13</f>
        <v>0</v>
      </c>
      <c r="L129" s="242"/>
      <c r="M129" s="242"/>
      <c r="N129" s="242"/>
      <c r="O129" s="242"/>
      <c r="P129" s="242"/>
      <c r="Q129" s="242"/>
    </row>
    <row r="130" spans="1:17" x14ac:dyDescent="0.25">
      <c r="A130" s="243"/>
      <c r="B130" s="244" t="e">
        <f>'Kaporit Hanau'!#REF!</f>
        <v>#REF!</v>
      </c>
      <c r="C130" s="244" t="e">
        <f>'Kaporit Hanau'!#REF!</f>
        <v>#REF!</v>
      </c>
      <c r="D130" s="244" t="e">
        <f>'Kaporit Hanau'!#REF!</f>
        <v>#REF!</v>
      </c>
      <c r="E130" s="244" t="e">
        <f>'Kaporit Hanau'!#REF!</f>
        <v>#REF!</v>
      </c>
      <c r="F130" s="244" t="e">
        <f>'Kaporit Hanau'!#REF!</f>
        <v>#REF!</v>
      </c>
      <c r="G130" s="244" t="e">
        <f>'Kaporit Hanau'!#REF!</f>
        <v>#REF!</v>
      </c>
      <c r="H130" s="244" t="e">
        <f>'Kaporit Hanau'!#REF!</f>
        <v>#REF!</v>
      </c>
      <c r="I130" s="244" t="e">
        <f>'Kaporit Hanau'!#REF!</f>
        <v>#REF!</v>
      </c>
      <c r="J130" s="244" t="e">
        <f>'Kaporit Hanau'!#REF!</f>
        <v>#REF!</v>
      </c>
      <c r="K130" s="244" t="e">
        <f>'Kaporit Hanau'!#REF!</f>
        <v>#REF!</v>
      </c>
      <c r="L130" s="242"/>
      <c r="M130" s="242"/>
      <c r="N130" s="242"/>
      <c r="O130" s="242"/>
      <c r="P130" s="242"/>
      <c r="Q130" s="242"/>
    </row>
    <row r="131" spans="1:17" x14ac:dyDescent="0.25">
      <c r="A131" s="243"/>
      <c r="B131" s="296" t="e">
        <f>'Kaporit Hanau'!#REF!</f>
        <v>#REF!</v>
      </c>
      <c r="C131" s="296" t="e">
        <f>'Kaporit Hanau'!#REF!</f>
        <v>#REF!</v>
      </c>
      <c r="D131" s="296" t="e">
        <f>'Kaporit Hanau'!#REF!</f>
        <v>#REF!</v>
      </c>
      <c r="E131" s="244" t="e">
        <f>'Kaporit Hanau'!#REF!</f>
        <v>#REF!</v>
      </c>
      <c r="F131" s="244" t="e">
        <f>'Kaporit Hanau'!#REF!</f>
        <v>#REF!</v>
      </c>
      <c r="G131" s="244" t="e">
        <f>'Kaporit Hanau'!#REF!</f>
        <v>#REF!</v>
      </c>
      <c r="H131" s="244" t="e">
        <f>'Kaporit Hanau'!#REF!</f>
        <v>#REF!</v>
      </c>
      <c r="I131" s="244" t="e">
        <f>'Kaporit Hanau'!#REF!</f>
        <v>#REF!</v>
      </c>
      <c r="J131" s="296" t="e">
        <f>'Kaporit Hanau'!#REF!</f>
        <v>#REF!</v>
      </c>
      <c r="K131" s="296" t="e">
        <f>'Kaporit Hanau'!#REF!</f>
        <v>#REF!</v>
      </c>
      <c r="L131" s="242"/>
      <c r="M131" s="242"/>
      <c r="N131" s="242"/>
      <c r="O131" s="242"/>
      <c r="P131" s="242"/>
      <c r="Q131" s="242"/>
    </row>
    <row r="132" spans="1:17" x14ac:dyDescent="0.25">
      <c r="A132" s="247"/>
      <c r="B132" s="248"/>
      <c r="C132" s="248"/>
      <c r="D132" s="249"/>
      <c r="E132" s="250"/>
      <c r="F132" s="249"/>
      <c r="G132" s="249"/>
      <c r="H132" s="248"/>
      <c r="I132" s="251"/>
      <c r="J132" s="241"/>
      <c r="K132" s="251"/>
      <c r="L132" s="242"/>
      <c r="M132" s="242"/>
      <c r="N132" s="242"/>
      <c r="O132" s="242"/>
      <c r="P132" s="242"/>
      <c r="Q132" s="242"/>
    </row>
    <row r="136" spans="1:17" ht="21" x14ac:dyDescent="0.35">
      <c r="A136" s="278" t="s">
        <v>98</v>
      </c>
    </row>
    <row r="137" spans="1:17" x14ac:dyDescent="0.25">
      <c r="A137" s="538" t="s">
        <v>43</v>
      </c>
      <c r="B137" s="538"/>
      <c r="C137" s="538"/>
      <c r="D137" s="538"/>
      <c r="E137" s="538"/>
      <c r="F137" s="538"/>
      <c r="G137" s="538"/>
      <c r="H137" s="538"/>
      <c r="I137" s="538"/>
      <c r="J137" s="538"/>
      <c r="K137" s="538"/>
      <c r="L137" s="538"/>
      <c r="M137" s="538"/>
      <c r="N137" s="538"/>
      <c r="O137" s="538"/>
      <c r="P137" s="538"/>
      <c r="Q137" s="538"/>
    </row>
    <row r="138" spans="1:17" x14ac:dyDescent="0.25">
      <c r="A138" s="227"/>
      <c r="B138" s="227"/>
      <c r="C138" s="227"/>
      <c r="D138" s="227"/>
      <c r="E138" s="227"/>
      <c r="F138" s="228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</row>
    <row r="139" spans="1:17" x14ac:dyDescent="0.25">
      <c r="A139" s="539" t="s">
        <v>0</v>
      </c>
      <c r="B139" s="536" t="s">
        <v>7</v>
      </c>
      <c r="C139" s="536"/>
      <c r="D139" s="536"/>
      <c r="E139" s="536" t="s">
        <v>5</v>
      </c>
      <c r="F139" s="536"/>
      <c r="G139" s="536"/>
      <c r="H139" s="541" t="s">
        <v>25</v>
      </c>
      <c r="I139" s="542"/>
      <c r="J139" s="543"/>
      <c r="K139" s="541" t="s">
        <v>26</v>
      </c>
      <c r="L139" s="542"/>
      <c r="M139" s="543"/>
      <c r="N139" s="536" t="s">
        <v>4</v>
      </c>
      <c r="O139" s="536"/>
      <c r="P139" s="536" t="s">
        <v>6</v>
      </c>
      <c r="Q139" s="536"/>
    </row>
    <row r="140" spans="1:17" x14ac:dyDescent="0.25">
      <c r="A140" s="540"/>
      <c r="B140" s="229" t="s">
        <v>8</v>
      </c>
      <c r="C140" s="229" t="s">
        <v>9</v>
      </c>
      <c r="D140" s="229" t="s">
        <v>13</v>
      </c>
      <c r="E140" s="229" t="s">
        <v>8</v>
      </c>
      <c r="F140" s="230" t="s">
        <v>9</v>
      </c>
      <c r="G140" s="229" t="s">
        <v>10</v>
      </c>
      <c r="H140" s="231" t="s">
        <v>8</v>
      </c>
      <c r="I140" s="231" t="s">
        <v>9</v>
      </c>
      <c r="J140" s="231" t="s">
        <v>13</v>
      </c>
      <c r="K140" s="231" t="s">
        <v>8</v>
      </c>
      <c r="L140" s="231" t="s">
        <v>9</v>
      </c>
      <c r="M140" s="231" t="s">
        <v>13</v>
      </c>
      <c r="N140" s="229" t="s">
        <v>8</v>
      </c>
      <c r="O140" s="229" t="s">
        <v>13</v>
      </c>
      <c r="P140" s="229" t="s">
        <v>8</v>
      </c>
      <c r="Q140" s="229" t="s">
        <v>13</v>
      </c>
    </row>
    <row r="141" spans="1:17" x14ac:dyDescent="0.25">
      <c r="A141" s="232"/>
      <c r="B141" s="233"/>
      <c r="C141" s="233"/>
      <c r="D141" s="233"/>
      <c r="E141" s="233"/>
      <c r="F141" s="234"/>
      <c r="G141" s="233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</row>
    <row r="142" spans="1:17" x14ac:dyDescent="0.25">
      <c r="A142" s="286" t="s">
        <v>27</v>
      </c>
      <c r="B142" s="236">
        <f>'Kaporit BENAR'!B16</f>
        <v>0</v>
      </c>
      <c r="C142" s="236">
        <f>'Kaporit BENAR'!C16</f>
        <v>0</v>
      </c>
      <c r="D142" s="236">
        <f>'Kaporit BENAR'!D16</f>
        <v>0</v>
      </c>
      <c r="E142" s="236">
        <f>'Kaporit BENAR'!E16</f>
        <v>0</v>
      </c>
      <c r="F142" s="236">
        <f>'Kaporit BENAR'!F16</f>
        <v>0</v>
      </c>
      <c r="G142" s="236">
        <f>'Kaporit BENAR'!G16</f>
        <v>0</v>
      </c>
      <c r="H142" s="236">
        <f>'Kaporit BENAR'!H16</f>
        <v>0</v>
      </c>
      <c r="I142" s="236">
        <f>'Kaporit BENAR'!I16</f>
        <v>0</v>
      </c>
      <c r="J142" s="236">
        <f>'Kaporit BENAR'!J16</f>
        <v>0</v>
      </c>
      <c r="K142" s="236">
        <f>'Kaporit BENAR'!K16</f>
        <v>0</v>
      </c>
      <c r="L142" s="236">
        <f>'Kaporit BENAR'!L16</f>
        <v>0</v>
      </c>
      <c r="M142" s="236">
        <f>'Kaporit BENAR'!M16</f>
        <v>0</v>
      </c>
      <c r="N142" s="236">
        <f>'Kaporit BENAR'!N16</f>
        <v>0</v>
      </c>
      <c r="O142" s="236">
        <f>'Kaporit BENAR'!O16</f>
        <v>0</v>
      </c>
      <c r="P142" s="236">
        <f>'Kaporit BENAR'!P16</f>
        <v>0</v>
      </c>
      <c r="Q142" s="236">
        <f>'Kaporit BENAR'!Q16</f>
        <v>0</v>
      </c>
    </row>
    <row r="143" spans="1:17" x14ac:dyDescent="0.25">
      <c r="A143" s="406"/>
      <c r="B143" s="236">
        <f>'Kaporit BENAR'!B17</f>
        <v>0</v>
      </c>
      <c r="C143" s="236">
        <f>'Kaporit BENAR'!C17</f>
        <v>0</v>
      </c>
      <c r="D143" s="236">
        <f>'Kaporit BENAR'!D17</f>
        <v>0</v>
      </c>
      <c r="E143" s="236">
        <f>'Kaporit BENAR'!E17</f>
        <v>0</v>
      </c>
      <c r="F143" s="236">
        <f>'Kaporit BENAR'!F17</f>
        <v>0</v>
      </c>
      <c r="G143" s="236">
        <f>'Kaporit BENAR'!G17</f>
        <v>0</v>
      </c>
      <c r="H143" s="236">
        <f>'Kaporit BENAR'!H17</f>
        <v>0</v>
      </c>
      <c r="I143" s="236">
        <f>'Kaporit BENAR'!I17</f>
        <v>0</v>
      </c>
      <c r="J143" s="236">
        <f>'Kaporit BENAR'!J17</f>
        <v>0</v>
      </c>
      <c r="K143" s="236">
        <f>'Kaporit BENAR'!K17</f>
        <v>0</v>
      </c>
      <c r="L143" s="236">
        <f>'Kaporit BENAR'!L17</f>
        <v>0</v>
      </c>
      <c r="M143" s="236">
        <f>'Kaporit BENAR'!M17</f>
        <v>0</v>
      </c>
      <c r="N143" s="236">
        <f>'Kaporit BENAR'!N17</f>
        <v>0</v>
      </c>
      <c r="O143" s="236">
        <f>'Kaporit BENAR'!O17</f>
        <v>0</v>
      </c>
      <c r="P143" s="236">
        <f>'Kaporit BENAR'!P17</f>
        <v>0</v>
      </c>
      <c r="Q143" s="236">
        <f>'Kaporit BENAR'!Q17</f>
        <v>0</v>
      </c>
    </row>
    <row r="144" spans="1:17" x14ac:dyDescent="0.25">
      <c r="A144" s="279"/>
      <c r="B144" s="262" t="e">
        <f>'Kaporit BENAR'!#REF!</f>
        <v>#REF!</v>
      </c>
      <c r="C144" s="262" t="e">
        <f>'Kaporit BENAR'!#REF!</f>
        <v>#REF!</v>
      </c>
      <c r="D144" s="262" t="e">
        <f>'Kaporit BENAR'!#REF!</f>
        <v>#REF!</v>
      </c>
      <c r="E144" s="236" t="e">
        <f>'Kaporit BENAR'!#REF!</f>
        <v>#REF!</v>
      </c>
      <c r="F144" s="236" t="e">
        <f>'Kaporit BENAR'!#REF!</f>
        <v>#REF!</v>
      </c>
      <c r="G144" s="236" t="e">
        <f>'Kaporit BENAR'!#REF!</f>
        <v>#REF!</v>
      </c>
      <c r="H144" s="236" t="e">
        <f>'Kaporit BENAR'!#REF!</f>
        <v>#REF!</v>
      </c>
      <c r="I144" s="236" t="e">
        <f>'Kaporit BENAR'!#REF!</f>
        <v>#REF!</v>
      </c>
      <c r="J144" s="236" t="e">
        <f>'Kaporit BENAR'!#REF!</f>
        <v>#REF!</v>
      </c>
      <c r="K144" s="236" t="e">
        <f>'Kaporit BENAR'!#REF!</f>
        <v>#REF!</v>
      </c>
      <c r="L144" s="236" t="e">
        <f>'Kaporit BENAR'!#REF!</f>
        <v>#REF!</v>
      </c>
      <c r="M144" s="236" t="e">
        <f>'Kaporit BENAR'!#REF!</f>
        <v>#REF!</v>
      </c>
      <c r="N144" s="236" t="e">
        <f>'Kaporit BENAR'!#REF!</f>
        <v>#REF!</v>
      </c>
      <c r="O144" s="236" t="e">
        <f>'Kaporit BENAR'!#REF!</f>
        <v>#REF!</v>
      </c>
      <c r="P144" s="262" t="e">
        <f>'Kaporit BENAR'!#REF!</f>
        <v>#REF!</v>
      </c>
      <c r="Q144" s="262" t="e">
        <f>'Kaporit BENAR'!#REF!</f>
        <v>#REF!</v>
      </c>
    </row>
    <row r="145" spans="1:17" x14ac:dyDescent="0.25">
      <c r="A145" s="239"/>
      <c r="B145" s="240"/>
      <c r="C145" s="241"/>
      <c r="D145" s="241"/>
      <c r="E145" s="241"/>
      <c r="F145" s="241"/>
      <c r="G145" s="241"/>
      <c r="H145" s="241"/>
      <c r="I145" s="241"/>
      <c r="J145" s="241"/>
      <c r="K145" s="241"/>
      <c r="L145" s="241"/>
      <c r="M145" s="241"/>
      <c r="N145" s="241"/>
      <c r="O145" s="271"/>
      <c r="P145" s="273"/>
      <c r="Q145" s="272"/>
    </row>
    <row r="146" spans="1:17" x14ac:dyDescent="0.25">
      <c r="A146" s="242"/>
      <c r="B146" s="242"/>
      <c r="C146" s="242"/>
      <c r="D146" s="242"/>
      <c r="E146" s="242"/>
      <c r="F146" s="242"/>
      <c r="G146" s="242"/>
      <c r="H146" s="242"/>
      <c r="I146" s="242"/>
      <c r="J146" s="242"/>
      <c r="K146" s="242"/>
      <c r="L146" s="242"/>
      <c r="M146" s="242"/>
      <c r="N146" s="242"/>
      <c r="O146" s="242"/>
      <c r="P146" s="242"/>
      <c r="Q146" s="242"/>
    </row>
    <row r="147" spans="1:17" x14ac:dyDescent="0.25">
      <c r="A147" s="242"/>
      <c r="B147" s="242"/>
      <c r="C147" s="242"/>
      <c r="D147" s="242"/>
      <c r="E147" s="242"/>
      <c r="F147" s="242"/>
      <c r="G147" s="242"/>
      <c r="H147" s="242"/>
      <c r="I147" s="242"/>
      <c r="J147" s="242"/>
      <c r="K147" s="242"/>
      <c r="L147" s="242"/>
      <c r="M147" s="242"/>
      <c r="N147" s="242"/>
      <c r="O147" s="242"/>
      <c r="P147" s="242"/>
      <c r="Q147" s="242"/>
    </row>
    <row r="148" spans="1:17" x14ac:dyDescent="0.25">
      <c r="A148" s="242"/>
      <c r="B148" s="242"/>
      <c r="C148" s="242"/>
      <c r="D148" s="242"/>
      <c r="E148" s="242"/>
      <c r="F148" s="242"/>
      <c r="G148" s="242"/>
      <c r="H148" s="242"/>
      <c r="I148" s="242"/>
      <c r="J148" s="242"/>
      <c r="K148" s="242"/>
      <c r="L148" s="242"/>
      <c r="M148" s="242"/>
      <c r="N148" s="242"/>
      <c r="O148" s="242"/>
      <c r="P148" s="242"/>
      <c r="Q148" s="242"/>
    </row>
    <row r="149" spans="1:17" x14ac:dyDescent="0.25">
      <c r="A149" s="537" t="s">
        <v>44</v>
      </c>
      <c r="B149" s="537"/>
      <c r="C149" s="537"/>
      <c r="D149" s="537"/>
      <c r="E149" s="537"/>
      <c r="F149" s="537"/>
      <c r="G149" s="537"/>
      <c r="H149" s="537"/>
      <c r="I149" s="537"/>
      <c r="J149" s="537"/>
      <c r="K149" s="537"/>
      <c r="L149" s="242"/>
      <c r="M149" s="242"/>
      <c r="N149" s="242"/>
      <c r="O149" s="242"/>
      <c r="P149" s="242"/>
      <c r="Q149" s="242"/>
    </row>
    <row r="150" spans="1:17" x14ac:dyDescent="0.25">
      <c r="A150" s="536" t="s">
        <v>0</v>
      </c>
      <c r="B150" s="536" t="s">
        <v>7</v>
      </c>
      <c r="C150" s="536"/>
      <c r="D150" s="536"/>
      <c r="E150" s="536" t="s">
        <v>5</v>
      </c>
      <c r="F150" s="536"/>
      <c r="G150" s="536"/>
      <c r="H150" s="536" t="s">
        <v>4</v>
      </c>
      <c r="I150" s="536"/>
      <c r="J150" s="536" t="s">
        <v>6</v>
      </c>
      <c r="K150" s="536"/>
      <c r="L150" s="242"/>
      <c r="M150" s="242"/>
      <c r="N150" s="242"/>
      <c r="O150" s="242"/>
      <c r="P150" s="242"/>
      <c r="Q150" s="242"/>
    </row>
    <row r="151" spans="1:17" x14ac:dyDescent="0.25">
      <c r="A151" s="536"/>
      <c r="B151" s="231" t="s">
        <v>8</v>
      </c>
      <c r="C151" s="231" t="s">
        <v>14</v>
      </c>
      <c r="D151" s="231" t="s">
        <v>13</v>
      </c>
      <c r="E151" s="231" t="s">
        <v>8</v>
      </c>
      <c r="F151" s="231" t="s">
        <v>14</v>
      </c>
      <c r="G151" s="231" t="s">
        <v>10</v>
      </c>
      <c r="H151" s="231" t="s">
        <v>8</v>
      </c>
      <c r="I151" s="231" t="s">
        <v>13</v>
      </c>
      <c r="J151" s="231" t="s">
        <v>8</v>
      </c>
      <c r="K151" s="231" t="s">
        <v>13</v>
      </c>
      <c r="L151" s="242"/>
      <c r="M151" s="242"/>
      <c r="N151" s="242"/>
      <c r="O151" s="242"/>
      <c r="P151" s="242"/>
      <c r="Q151" s="242"/>
    </row>
    <row r="152" spans="1:17" x14ac:dyDescent="0.25">
      <c r="A152" s="232"/>
      <c r="B152" s="233"/>
      <c r="C152" s="233"/>
      <c r="D152" s="233"/>
      <c r="E152" s="233"/>
      <c r="F152" s="233"/>
      <c r="G152" s="233"/>
      <c r="H152" s="233"/>
      <c r="I152" s="233"/>
      <c r="J152" s="233"/>
      <c r="K152" s="233"/>
      <c r="L152" s="242"/>
      <c r="M152" s="242"/>
      <c r="N152" s="242"/>
      <c r="O152" s="242"/>
      <c r="P152" s="242"/>
      <c r="Q152" s="242"/>
    </row>
    <row r="153" spans="1:17" x14ac:dyDescent="0.25">
      <c r="A153" s="243" t="s">
        <v>27</v>
      </c>
      <c r="B153" s="244">
        <f>'Kaporit K. B'!B20</f>
        <v>0</v>
      </c>
      <c r="C153" s="244">
        <f>'Kaporit K. B'!C20</f>
        <v>0</v>
      </c>
      <c r="D153" s="244">
        <f>'Kaporit K. B'!D20</f>
        <v>0</v>
      </c>
      <c r="E153" s="244">
        <f>'Kaporit K. B'!E20</f>
        <v>0</v>
      </c>
      <c r="F153" s="244">
        <f>'Kaporit K. B'!F20</f>
        <v>0</v>
      </c>
      <c r="G153" s="244">
        <f>'Kaporit K. B'!G20</f>
        <v>0</v>
      </c>
      <c r="H153" s="244">
        <f>'Kaporit K. B'!H20</f>
        <v>0</v>
      </c>
      <c r="I153" s="244">
        <f>'Kaporit K. B'!I20</f>
        <v>0</v>
      </c>
      <c r="J153" s="244">
        <f>'Kaporit K. B'!J20</f>
        <v>0</v>
      </c>
      <c r="K153" s="244">
        <f>'Kaporit K. B'!K20</f>
        <v>0</v>
      </c>
      <c r="L153" s="242"/>
      <c r="M153" s="242"/>
      <c r="N153" s="242"/>
      <c r="O153" s="242"/>
      <c r="P153" s="242"/>
      <c r="Q153" s="242"/>
    </row>
    <row r="154" spans="1:17" x14ac:dyDescent="0.25">
      <c r="A154" s="243"/>
      <c r="B154" s="244" t="e">
        <f>'Kaporit K. B'!#REF!</f>
        <v>#REF!</v>
      </c>
      <c r="C154" s="244" t="e">
        <f>'Kaporit K. B'!#REF!</f>
        <v>#REF!</v>
      </c>
      <c r="D154" s="244" t="e">
        <f>'Kaporit K. B'!#REF!</f>
        <v>#REF!</v>
      </c>
      <c r="E154" s="244" t="e">
        <f>'Kaporit K. B'!#REF!</f>
        <v>#REF!</v>
      </c>
      <c r="F154" s="244" t="e">
        <f>'Kaporit K. B'!#REF!</f>
        <v>#REF!</v>
      </c>
      <c r="G154" s="244" t="e">
        <f>'Kaporit K. B'!#REF!</f>
        <v>#REF!</v>
      </c>
      <c r="H154" s="244" t="e">
        <f>'Kaporit K. B'!#REF!</f>
        <v>#REF!</v>
      </c>
      <c r="I154" s="244" t="e">
        <f>'Kaporit K. B'!#REF!</f>
        <v>#REF!</v>
      </c>
      <c r="J154" s="244" t="e">
        <f>'Kaporit K. B'!#REF!</f>
        <v>#REF!</v>
      </c>
      <c r="K154" s="244" t="e">
        <f>'Kaporit K. B'!#REF!</f>
        <v>#REF!</v>
      </c>
      <c r="L154" s="242"/>
      <c r="M154" s="242"/>
      <c r="N154" s="242"/>
      <c r="O154" s="242"/>
      <c r="P154" s="242"/>
      <c r="Q154" s="242"/>
    </row>
    <row r="155" spans="1:17" x14ac:dyDescent="0.25">
      <c r="A155" s="243"/>
      <c r="B155" s="296" t="e">
        <f>'Kaporit K. B'!#REF!</f>
        <v>#REF!</v>
      </c>
      <c r="C155" s="296" t="e">
        <f>'Kaporit K. B'!#REF!</f>
        <v>#REF!</v>
      </c>
      <c r="D155" s="296" t="e">
        <f>'Kaporit K. B'!#REF!</f>
        <v>#REF!</v>
      </c>
      <c r="E155" s="244" t="e">
        <f>'Kaporit K. B'!#REF!</f>
        <v>#REF!</v>
      </c>
      <c r="F155" s="244" t="e">
        <f>'Kaporit K. B'!#REF!</f>
        <v>#REF!</v>
      </c>
      <c r="G155" s="244" t="e">
        <f>'Kaporit K. B'!#REF!</f>
        <v>#REF!</v>
      </c>
      <c r="H155" s="244" t="e">
        <f>'Kaporit K. B'!#REF!</f>
        <v>#REF!</v>
      </c>
      <c r="I155" s="244" t="e">
        <f>'Kaporit K. B'!#REF!</f>
        <v>#REF!</v>
      </c>
      <c r="J155" s="296" t="e">
        <f>'Kaporit K. B'!#REF!</f>
        <v>#REF!</v>
      </c>
      <c r="K155" s="296" t="e">
        <f>'Kaporit K. B'!#REF!</f>
        <v>#REF!</v>
      </c>
      <c r="L155" s="242"/>
      <c r="M155" s="242"/>
      <c r="N155" s="242"/>
      <c r="O155" s="242"/>
      <c r="P155" s="242"/>
      <c r="Q155" s="242"/>
    </row>
    <row r="156" spans="1:17" x14ac:dyDescent="0.25">
      <c r="A156" s="247"/>
      <c r="B156" s="248"/>
      <c r="C156" s="248"/>
      <c r="D156" s="249"/>
      <c r="E156" s="250"/>
      <c r="F156" s="249"/>
      <c r="G156" s="249"/>
      <c r="H156" s="248"/>
      <c r="I156" s="251"/>
      <c r="J156" s="241"/>
      <c r="K156" s="251"/>
      <c r="L156" s="242"/>
      <c r="M156" s="242"/>
      <c r="N156" s="242"/>
      <c r="O156" s="242"/>
      <c r="P156" s="242"/>
      <c r="Q156" s="242"/>
    </row>
    <row r="157" spans="1:17" x14ac:dyDescent="0.25">
      <c r="A157" s="242"/>
      <c r="B157" s="242"/>
      <c r="C157" s="242"/>
      <c r="D157" s="242"/>
      <c r="E157" s="242"/>
      <c r="F157" s="242"/>
      <c r="G157" s="242"/>
      <c r="H157" s="242"/>
      <c r="I157" s="242"/>
      <c r="J157" s="242"/>
      <c r="K157" s="242"/>
      <c r="L157" s="242"/>
      <c r="M157" s="242"/>
      <c r="N157" s="242"/>
      <c r="O157" s="242"/>
      <c r="P157" s="242"/>
      <c r="Q157" s="242"/>
    </row>
    <row r="158" spans="1:17" x14ac:dyDescent="0.25">
      <c r="A158" s="242"/>
      <c r="B158" s="242"/>
      <c r="C158" s="242"/>
      <c r="D158" s="242"/>
      <c r="E158" s="242"/>
      <c r="F158" s="242"/>
      <c r="G158" s="242"/>
      <c r="H158" s="242"/>
      <c r="I158" s="242"/>
      <c r="J158" s="242"/>
      <c r="K158" s="242"/>
      <c r="L158" s="242"/>
      <c r="M158" s="242"/>
      <c r="N158" s="242"/>
      <c r="O158" s="242"/>
      <c r="P158" s="242"/>
      <c r="Q158" s="242"/>
    </row>
    <row r="159" spans="1:17" x14ac:dyDescent="0.25">
      <c r="A159" s="242"/>
      <c r="B159" s="242"/>
      <c r="C159" s="242"/>
      <c r="D159" s="242"/>
      <c r="E159" s="242"/>
      <c r="F159" s="242"/>
      <c r="G159" s="242"/>
      <c r="H159" s="242"/>
      <c r="I159" s="242"/>
      <c r="J159" s="242"/>
      <c r="K159" s="242"/>
      <c r="L159" s="242"/>
      <c r="M159" s="242"/>
      <c r="N159" s="242"/>
      <c r="O159" s="242"/>
      <c r="P159" s="242"/>
      <c r="Q159" s="242"/>
    </row>
    <row r="160" spans="1:17" x14ac:dyDescent="0.25">
      <c r="A160" s="537" t="s">
        <v>49</v>
      </c>
      <c r="B160" s="537"/>
      <c r="C160" s="537"/>
      <c r="D160" s="537"/>
      <c r="E160" s="537"/>
      <c r="F160" s="537"/>
      <c r="G160" s="537"/>
      <c r="H160" s="537"/>
      <c r="I160" s="537"/>
      <c r="J160" s="537"/>
      <c r="K160" s="537"/>
      <c r="L160" s="242"/>
      <c r="M160" s="242" t="s">
        <v>100</v>
      </c>
      <c r="N160" s="242"/>
      <c r="O160" s="242"/>
      <c r="P160" s="242"/>
      <c r="Q160" s="242"/>
    </row>
    <row r="161" spans="1:17" x14ac:dyDescent="0.25">
      <c r="A161" s="536" t="s">
        <v>0</v>
      </c>
      <c r="B161" s="536" t="s">
        <v>7</v>
      </c>
      <c r="C161" s="536"/>
      <c r="D161" s="536"/>
      <c r="E161" s="536" t="s">
        <v>5</v>
      </c>
      <c r="F161" s="536"/>
      <c r="G161" s="536"/>
      <c r="H161" s="536" t="s">
        <v>4</v>
      </c>
      <c r="I161" s="536"/>
      <c r="J161" s="536" t="s">
        <v>6</v>
      </c>
      <c r="K161" s="536"/>
      <c r="L161" s="242"/>
      <c r="M161" s="242"/>
      <c r="N161" s="242"/>
      <c r="O161" s="242"/>
      <c r="P161" s="242"/>
      <c r="Q161" s="242"/>
    </row>
    <row r="162" spans="1:17" x14ac:dyDescent="0.25">
      <c r="A162" s="536"/>
      <c r="B162" s="231" t="s">
        <v>8</v>
      </c>
      <c r="C162" s="231" t="s">
        <v>14</v>
      </c>
      <c r="D162" s="231" t="s">
        <v>13</v>
      </c>
      <c r="E162" s="231" t="s">
        <v>8</v>
      </c>
      <c r="F162" s="231" t="s">
        <v>14</v>
      </c>
      <c r="G162" s="231" t="s">
        <v>10</v>
      </c>
      <c r="H162" s="231" t="s">
        <v>8</v>
      </c>
      <c r="I162" s="231" t="s">
        <v>13</v>
      </c>
      <c r="J162" s="231" t="s">
        <v>8</v>
      </c>
      <c r="K162" s="231" t="s">
        <v>13</v>
      </c>
      <c r="L162" s="242"/>
      <c r="M162" s="242"/>
      <c r="N162" s="242"/>
      <c r="O162" s="242"/>
      <c r="P162" s="242"/>
      <c r="Q162" s="242"/>
    </row>
    <row r="163" spans="1:17" x14ac:dyDescent="0.25">
      <c r="A163" s="232"/>
      <c r="B163" s="233"/>
      <c r="C163" s="233"/>
      <c r="D163" s="233"/>
      <c r="E163" s="233"/>
      <c r="F163" s="233"/>
      <c r="G163" s="233"/>
      <c r="H163" s="233"/>
      <c r="I163" s="233"/>
      <c r="J163" s="233"/>
      <c r="K163" s="233"/>
      <c r="L163" s="242"/>
      <c r="M163" s="242"/>
      <c r="N163" s="242"/>
      <c r="O163" s="242"/>
      <c r="P163" s="242"/>
      <c r="Q163" s="242"/>
    </row>
    <row r="164" spans="1:17" x14ac:dyDescent="0.25">
      <c r="A164" s="243" t="s">
        <v>27</v>
      </c>
      <c r="B164" s="244">
        <f>'Kaporit Hanau'!B15</f>
        <v>0</v>
      </c>
      <c r="C164" s="244">
        <f>'Kaporit Hanau'!C15</f>
        <v>0</v>
      </c>
      <c r="D164" s="244">
        <f>'Kaporit Hanau'!D15</f>
        <v>0</v>
      </c>
      <c r="E164" s="244">
        <f>'Kaporit Hanau'!E15</f>
        <v>0</v>
      </c>
      <c r="F164" s="244">
        <f>'Kaporit Hanau'!F15</f>
        <v>0</v>
      </c>
      <c r="G164" s="244">
        <f>'Kaporit Hanau'!G15</f>
        <v>0</v>
      </c>
      <c r="H164" s="244">
        <f>'Kaporit Hanau'!H15</f>
        <v>0</v>
      </c>
      <c r="I164" s="244">
        <f>'Kaporit Hanau'!I15</f>
        <v>0</v>
      </c>
      <c r="J164" s="244">
        <f>'Kaporit Hanau'!J15</f>
        <v>0</v>
      </c>
      <c r="K164" s="244">
        <f>'Kaporit Hanau'!K15</f>
        <v>0</v>
      </c>
      <c r="L164" s="242"/>
      <c r="M164" s="242"/>
      <c r="N164" s="242"/>
      <c r="O164" s="242"/>
      <c r="P164" s="242"/>
      <c r="Q164" s="242"/>
    </row>
    <row r="165" spans="1:17" x14ac:dyDescent="0.25">
      <c r="A165" s="243"/>
      <c r="B165" s="244" t="e">
        <f>'Kaporit Hanau'!#REF!</f>
        <v>#REF!</v>
      </c>
      <c r="C165" s="244" t="e">
        <f>'Kaporit Hanau'!#REF!</f>
        <v>#REF!</v>
      </c>
      <c r="D165" s="244" t="e">
        <f>'Kaporit Hanau'!#REF!</f>
        <v>#REF!</v>
      </c>
      <c r="E165" s="244" t="e">
        <f>'Kaporit Hanau'!#REF!</f>
        <v>#REF!</v>
      </c>
      <c r="F165" s="244" t="e">
        <f>'Kaporit Hanau'!#REF!</f>
        <v>#REF!</v>
      </c>
      <c r="G165" s="244" t="e">
        <f>'Kaporit Hanau'!#REF!</f>
        <v>#REF!</v>
      </c>
      <c r="H165" s="244" t="e">
        <f>'Kaporit Hanau'!#REF!</f>
        <v>#REF!</v>
      </c>
      <c r="I165" s="244" t="e">
        <f>'Kaporit Hanau'!#REF!</f>
        <v>#REF!</v>
      </c>
      <c r="J165" s="244" t="e">
        <f>'Kaporit Hanau'!#REF!</f>
        <v>#REF!</v>
      </c>
      <c r="K165" s="244" t="e">
        <f>'Kaporit Hanau'!#REF!</f>
        <v>#REF!</v>
      </c>
      <c r="L165" s="242"/>
      <c r="M165" s="242"/>
      <c r="N165" s="242"/>
      <c r="O165" s="242"/>
      <c r="P165" s="242"/>
      <c r="Q165" s="242"/>
    </row>
    <row r="166" spans="1:17" x14ac:dyDescent="0.25">
      <c r="A166" s="243"/>
      <c r="B166" s="296" t="e">
        <f>'Kaporit Hanau'!#REF!</f>
        <v>#REF!</v>
      </c>
      <c r="C166" s="296" t="e">
        <f>'Kaporit Hanau'!#REF!</f>
        <v>#REF!</v>
      </c>
      <c r="D166" s="296" t="e">
        <f>'Kaporit Hanau'!#REF!</f>
        <v>#REF!</v>
      </c>
      <c r="E166" s="244" t="e">
        <f>'Kaporit Hanau'!#REF!</f>
        <v>#REF!</v>
      </c>
      <c r="F166" s="244" t="e">
        <f>'Kaporit Hanau'!#REF!</f>
        <v>#REF!</v>
      </c>
      <c r="G166" s="244" t="e">
        <f>'Kaporit Hanau'!#REF!</f>
        <v>#REF!</v>
      </c>
      <c r="H166" s="244" t="e">
        <f>'Kaporit Hanau'!#REF!</f>
        <v>#REF!</v>
      </c>
      <c r="I166" s="244" t="e">
        <f>'Kaporit Hanau'!#REF!</f>
        <v>#REF!</v>
      </c>
      <c r="J166" s="296" t="e">
        <f>'Kaporit Hanau'!#REF!</f>
        <v>#REF!</v>
      </c>
      <c r="K166" s="296" t="e">
        <f>'Kaporit Hanau'!#REF!</f>
        <v>#REF!</v>
      </c>
      <c r="L166" s="242"/>
      <c r="M166" s="242"/>
      <c r="N166" s="242"/>
      <c r="O166" s="242"/>
      <c r="P166" s="242"/>
      <c r="Q166" s="242"/>
    </row>
    <row r="167" spans="1:17" x14ac:dyDescent="0.25">
      <c r="A167" s="247"/>
      <c r="B167" s="248"/>
      <c r="C167" s="248"/>
      <c r="D167" s="249"/>
      <c r="E167" s="250"/>
      <c r="F167" s="249"/>
      <c r="G167" s="249"/>
      <c r="H167" s="248"/>
      <c r="I167" s="251"/>
      <c r="J167" s="241"/>
      <c r="K167" s="251"/>
      <c r="L167" s="242"/>
      <c r="M167" s="242"/>
      <c r="N167" s="242"/>
      <c r="O167" s="242"/>
      <c r="P167" s="242"/>
      <c r="Q167" s="242"/>
    </row>
    <row r="171" spans="1:17" ht="21" x14ac:dyDescent="0.35">
      <c r="A171" s="278" t="s">
        <v>101</v>
      </c>
    </row>
    <row r="172" spans="1:17" x14ac:dyDescent="0.25">
      <c r="A172" s="538" t="s">
        <v>43</v>
      </c>
      <c r="B172" s="538"/>
      <c r="C172" s="538"/>
      <c r="D172" s="538"/>
      <c r="E172" s="538"/>
      <c r="F172" s="538"/>
      <c r="G172" s="538"/>
      <c r="H172" s="538"/>
      <c r="I172" s="538"/>
      <c r="J172" s="538"/>
      <c r="K172" s="538"/>
      <c r="L172" s="538"/>
      <c r="M172" s="538"/>
      <c r="N172" s="538"/>
      <c r="O172" s="538"/>
      <c r="P172" s="538"/>
      <c r="Q172" s="538"/>
    </row>
    <row r="173" spans="1:17" x14ac:dyDescent="0.25">
      <c r="A173" s="227"/>
      <c r="B173" s="227"/>
      <c r="C173" s="227"/>
      <c r="D173" s="227"/>
      <c r="E173" s="227"/>
      <c r="F173" s="228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</row>
    <row r="174" spans="1:17" x14ac:dyDescent="0.25">
      <c r="A174" s="539" t="s">
        <v>0</v>
      </c>
      <c r="B174" s="536" t="s">
        <v>7</v>
      </c>
      <c r="C174" s="536"/>
      <c r="D174" s="536"/>
      <c r="E174" s="536" t="s">
        <v>5</v>
      </c>
      <c r="F174" s="536"/>
      <c r="G174" s="536"/>
      <c r="H174" s="541" t="s">
        <v>25</v>
      </c>
      <c r="I174" s="542"/>
      <c r="J174" s="543"/>
      <c r="K174" s="541" t="s">
        <v>26</v>
      </c>
      <c r="L174" s="542"/>
      <c r="M174" s="543"/>
      <c r="N174" s="536" t="s">
        <v>4</v>
      </c>
      <c r="O174" s="536"/>
      <c r="P174" s="536" t="s">
        <v>6</v>
      </c>
      <c r="Q174" s="536"/>
    </row>
    <row r="175" spans="1:17" x14ac:dyDescent="0.25">
      <c r="A175" s="540"/>
      <c r="B175" s="229" t="s">
        <v>8</v>
      </c>
      <c r="C175" s="229" t="s">
        <v>9</v>
      </c>
      <c r="D175" s="229" t="s">
        <v>13</v>
      </c>
      <c r="E175" s="229" t="s">
        <v>8</v>
      </c>
      <c r="F175" s="230" t="s">
        <v>9</v>
      </c>
      <c r="G175" s="229" t="s">
        <v>10</v>
      </c>
      <c r="H175" s="231" t="s">
        <v>8</v>
      </c>
      <c r="I175" s="231" t="s">
        <v>9</v>
      </c>
      <c r="J175" s="231" t="s">
        <v>13</v>
      </c>
      <c r="K175" s="231" t="s">
        <v>8</v>
      </c>
      <c r="L175" s="231" t="s">
        <v>9</v>
      </c>
      <c r="M175" s="231" t="s">
        <v>13</v>
      </c>
      <c r="N175" s="229" t="s">
        <v>8</v>
      </c>
      <c r="O175" s="229" t="s">
        <v>13</v>
      </c>
      <c r="P175" s="229" t="s">
        <v>8</v>
      </c>
      <c r="Q175" s="229" t="s">
        <v>13</v>
      </c>
    </row>
    <row r="176" spans="1:17" x14ac:dyDescent="0.25">
      <c r="A176" s="232"/>
      <c r="B176" s="233"/>
      <c r="C176" s="233"/>
      <c r="D176" s="233"/>
      <c r="E176" s="233"/>
      <c r="F176" s="234"/>
      <c r="G176" s="233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</row>
    <row r="177" spans="1:17" x14ac:dyDescent="0.25">
      <c r="A177" s="286" t="s">
        <v>51</v>
      </c>
      <c r="B177" s="236">
        <f>'Kaporit BENAR'!B18</f>
        <v>0</v>
      </c>
      <c r="C177" s="236">
        <f>'Kaporit BENAR'!C18</f>
        <v>0</v>
      </c>
      <c r="D177" s="236">
        <f>'Kaporit BENAR'!D18</f>
        <v>0</v>
      </c>
      <c r="E177" s="236">
        <f>'Kaporit BENAR'!E18</f>
        <v>0</v>
      </c>
      <c r="F177" s="236">
        <f>'Kaporit BENAR'!F18</f>
        <v>0</v>
      </c>
      <c r="G177" s="236">
        <f>'Kaporit BENAR'!G18</f>
        <v>0</v>
      </c>
      <c r="H177" s="236">
        <f>'Kaporit BENAR'!H18</f>
        <v>0</v>
      </c>
      <c r="I177" s="236">
        <f>'Kaporit BENAR'!I18</f>
        <v>0</v>
      </c>
      <c r="J177" s="236">
        <f>'Kaporit BENAR'!J18</f>
        <v>0</v>
      </c>
      <c r="K177" s="236">
        <f>'Kaporit BENAR'!K18</f>
        <v>0</v>
      </c>
      <c r="L177" s="236">
        <f>'Kaporit BENAR'!L18</f>
        <v>0</v>
      </c>
      <c r="M177" s="236">
        <f>'Kaporit BENAR'!M18</f>
        <v>0</v>
      </c>
      <c r="N177" s="236">
        <f>'Kaporit BENAR'!N18</f>
        <v>0</v>
      </c>
      <c r="O177" s="236">
        <f>'Kaporit BENAR'!O18</f>
        <v>0</v>
      </c>
      <c r="P177" s="236">
        <f>'Kaporit BENAR'!P18</f>
        <v>0</v>
      </c>
      <c r="Q177" s="236">
        <f>'Kaporit BENAR'!Q18</f>
        <v>0</v>
      </c>
    </row>
    <row r="178" spans="1:17" x14ac:dyDescent="0.25">
      <c r="A178" s="279"/>
      <c r="B178" s="236" t="e">
        <f>'Kaporit BENAR'!#REF!</f>
        <v>#REF!</v>
      </c>
      <c r="C178" s="236" t="e">
        <f>'Kaporit BENAR'!#REF!</f>
        <v>#REF!</v>
      </c>
      <c r="D178" s="236" t="e">
        <f>'Kaporit BENAR'!#REF!</f>
        <v>#REF!</v>
      </c>
      <c r="E178" s="236" t="e">
        <f>'Kaporit BENAR'!#REF!</f>
        <v>#REF!</v>
      </c>
      <c r="F178" s="236" t="e">
        <f>'Kaporit BENAR'!#REF!</f>
        <v>#REF!</v>
      </c>
      <c r="G178" s="236" t="e">
        <f>'Kaporit BENAR'!#REF!</f>
        <v>#REF!</v>
      </c>
      <c r="H178" s="236" t="e">
        <f>'Kaporit BENAR'!#REF!</f>
        <v>#REF!</v>
      </c>
      <c r="I178" s="236" t="e">
        <f>'Kaporit BENAR'!#REF!</f>
        <v>#REF!</v>
      </c>
      <c r="J178" s="236" t="e">
        <f>'Kaporit BENAR'!#REF!</f>
        <v>#REF!</v>
      </c>
      <c r="K178" s="236" t="e">
        <f>'Kaporit BENAR'!#REF!</f>
        <v>#REF!</v>
      </c>
      <c r="L178" s="236" t="e">
        <f>'Kaporit BENAR'!#REF!</f>
        <v>#REF!</v>
      </c>
      <c r="M178" s="236" t="e">
        <f>'Kaporit BENAR'!#REF!</f>
        <v>#REF!</v>
      </c>
      <c r="N178" s="236" t="e">
        <f>'Kaporit BENAR'!#REF!</f>
        <v>#REF!</v>
      </c>
      <c r="O178" s="236" t="e">
        <f>'Kaporit BENAR'!#REF!</f>
        <v>#REF!</v>
      </c>
      <c r="P178" s="236" t="e">
        <f>'Kaporit BENAR'!#REF!</f>
        <v>#REF!</v>
      </c>
      <c r="Q178" s="236" t="e">
        <f>'Kaporit BENAR'!#REF!</f>
        <v>#REF!</v>
      </c>
    </row>
    <row r="179" spans="1:17" x14ac:dyDescent="0.25">
      <c r="A179" s="239"/>
      <c r="B179" s="395" t="e">
        <f>'Kaporit BENAR'!#REF!</f>
        <v>#REF!</v>
      </c>
      <c r="C179" s="395" t="e">
        <f>'Kaporit BENAR'!#REF!</f>
        <v>#REF!</v>
      </c>
      <c r="D179" s="395" t="e">
        <f>'Kaporit BENAR'!#REF!</f>
        <v>#REF!</v>
      </c>
      <c r="E179" s="240" t="e">
        <f>'Kaporit BENAR'!#REF!</f>
        <v>#REF!</v>
      </c>
      <c r="F179" s="240" t="e">
        <f>'Kaporit BENAR'!#REF!</f>
        <v>#REF!</v>
      </c>
      <c r="G179" s="240" t="e">
        <f>'Kaporit BENAR'!#REF!</f>
        <v>#REF!</v>
      </c>
      <c r="H179" s="240" t="e">
        <f>'Kaporit BENAR'!#REF!</f>
        <v>#REF!</v>
      </c>
      <c r="I179" s="240" t="e">
        <f>'Kaporit BENAR'!#REF!</f>
        <v>#REF!</v>
      </c>
      <c r="J179" s="240" t="e">
        <f>'Kaporit BENAR'!#REF!</f>
        <v>#REF!</v>
      </c>
      <c r="K179" s="240" t="e">
        <f>'Kaporit BENAR'!#REF!</f>
        <v>#REF!</v>
      </c>
      <c r="L179" s="240" t="e">
        <f>'Kaporit BENAR'!#REF!</f>
        <v>#REF!</v>
      </c>
      <c r="M179" s="240" t="e">
        <f>'Kaporit BENAR'!#REF!</f>
        <v>#REF!</v>
      </c>
      <c r="N179" s="240" t="e">
        <f>'Kaporit BENAR'!#REF!</f>
        <v>#REF!</v>
      </c>
      <c r="O179" s="240" t="e">
        <f>'Kaporit BENAR'!#REF!</f>
        <v>#REF!</v>
      </c>
      <c r="P179" s="395" t="e">
        <f>'Kaporit BENAR'!#REF!</f>
        <v>#REF!</v>
      </c>
      <c r="Q179" s="395" t="e">
        <f>'Kaporit BENAR'!#REF!</f>
        <v>#REF!</v>
      </c>
    </row>
    <row r="180" spans="1:17" x14ac:dyDescent="0.25">
      <c r="A180" s="242"/>
      <c r="B180" s="242"/>
      <c r="C180" s="242"/>
      <c r="D180" s="242"/>
      <c r="E180" s="242"/>
      <c r="F180" s="242"/>
      <c r="G180" s="242"/>
      <c r="H180" s="242"/>
      <c r="I180" s="242"/>
      <c r="J180" s="242"/>
      <c r="K180" s="242"/>
      <c r="L180" s="242"/>
      <c r="M180" s="242"/>
      <c r="N180" s="242"/>
      <c r="O180" s="242"/>
      <c r="P180" s="242"/>
      <c r="Q180" s="242"/>
    </row>
    <row r="181" spans="1:17" x14ac:dyDescent="0.25">
      <c r="A181" s="242"/>
      <c r="B181" s="242"/>
      <c r="C181" s="242"/>
      <c r="D181" s="242"/>
      <c r="E181" s="242"/>
      <c r="F181" s="242"/>
      <c r="G181" s="242"/>
      <c r="H181" s="242"/>
      <c r="I181" s="242"/>
      <c r="J181" s="242"/>
      <c r="K181" s="242"/>
      <c r="L181" s="242"/>
      <c r="M181" s="242"/>
      <c r="N181" s="242"/>
      <c r="O181" s="242"/>
      <c r="P181" s="242"/>
      <c r="Q181" s="242"/>
    </row>
    <row r="182" spans="1:17" x14ac:dyDescent="0.25">
      <c r="A182" s="242"/>
      <c r="B182" s="242"/>
      <c r="C182" s="242"/>
      <c r="D182" s="242"/>
      <c r="E182" s="242"/>
      <c r="F182" s="242"/>
      <c r="G182" s="242"/>
      <c r="H182" s="242"/>
      <c r="I182" s="242"/>
      <c r="J182" s="242"/>
      <c r="K182" s="242"/>
      <c r="L182" s="242"/>
      <c r="M182" s="242"/>
      <c r="N182" s="242"/>
      <c r="O182" s="242"/>
      <c r="P182" s="242"/>
      <c r="Q182" s="242"/>
    </row>
    <row r="183" spans="1:17" x14ac:dyDescent="0.25">
      <c r="A183" s="537" t="s">
        <v>44</v>
      </c>
      <c r="B183" s="537"/>
      <c r="C183" s="537"/>
      <c r="D183" s="537"/>
      <c r="E183" s="537"/>
      <c r="F183" s="537"/>
      <c r="G183" s="537"/>
      <c r="H183" s="537"/>
      <c r="I183" s="537"/>
      <c r="J183" s="537"/>
      <c r="K183" s="537"/>
      <c r="L183" s="242"/>
      <c r="M183" s="242"/>
      <c r="N183" s="242"/>
      <c r="O183" s="242"/>
      <c r="P183" s="242"/>
      <c r="Q183" s="242"/>
    </row>
    <row r="184" spans="1:17" x14ac:dyDescent="0.25">
      <c r="A184" s="536" t="s">
        <v>0</v>
      </c>
      <c r="B184" s="536" t="s">
        <v>7</v>
      </c>
      <c r="C184" s="536"/>
      <c r="D184" s="536"/>
      <c r="E184" s="536" t="s">
        <v>5</v>
      </c>
      <c r="F184" s="536"/>
      <c r="G184" s="536"/>
      <c r="H184" s="536" t="s">
        <v>4</v>
      </c>
      <c r="I184" s="536"/>
      <c r="J184" s="536" t="s">
        <v>6</v>
      </c>
      <c r="K184" s="536"/>
      <c r="L184" s="242"/>
      <c r="M184" s="242"/>
      <c r="N184" s="242"/>
      <c r="O184" s="242"/>
      <c r="P184" s="242"/>
      <c r="Q184" s="242"/>
    </row>
    <row r="185" spans="1:17" x14ac:dyDescent="0.25">
      <c r="A185" s="536"/>
      <c r="B185" s="231" t="s">
        <v>8</v>
      </c>
      <c r="C185" s="231" t="s">
        <v>14</v>
      </c>
      <c r="D185" s="231" t="s">
        <v>13</v>
      </c>
      <c r="E185" s="231" t="s">
        <v>8</v>
      </c>
      <c r="F185" s="231" t="s">
        <v>14</v>
      </c>
      <c r="G185" s="231" t="s">
        <v>10</v>
      </c>
      <c r="H185" s="231" t="s">
        <v>8</v>
      </c>
      <c r="I185" s="231" t="s">
        <v>13</v>
      </c>
      <c r="J185" s="231" t="s">
        <v>8</v>
      </c>
      <c r="K185" s="231" t="s">
        <v>13</v>
      </c>
      <c r="L185" s="242"/>
      <c r="M185" s="242"/>
      <c r="N185" s="242"/>
      <c r="O185" s="242"/>
      <c r="P185" s="242"/>
      <c r="Q185" s="242"/>
    </row>
    <row r="186" spans="1:17" x14ac:dyDescent="0.25">
      <c r="A186" s="232"/>
      <c r="B186" s="233"/>
      <c r="C186" s="233"/>
      <c r="D186" s="233"/>
      <c r="E186" s="233"/>
      <c r="F186" s="233"/>
      <c r="G186" s="233"/>
      <c r="H186" s="233"/>
      <c r="I186" s="233"/>
      <c r="J186" s="233"/>
      <c r="K186" s="233"/>
      <c r="L186" s="242"/>
      <c r="M186" s="242"/>
      <c r="N186" s="242"/>
      <c r="O186" s="242"/>
      <c r="P186" s="242"/>
      <c r="Q186" s="242"/>
    </row>
    <row r="187" spans="1:17" x14ac:dyDescent="0.25">
      <c r="A187" s="243" t="s">
        <v>51</v>
      </c>
      <c r="B187" s="244">
        <f>'Kaporit K. B'!B22</f>
        <v>0</v>
      </c>
      <c r="C187" s="244">
        <f>'Kaporit K. B'!C22</f>
        <v>0</v>
      </c>
      <c r="D187" s="244">
        <f>'Kaporit K. B'!D22</f>
        <v>0</v>
      </c>
      <c r="E187" s="244">
        <f>'Kaporit K. B'!E22</f>
        <v>0</v>
      </c>
      <c r="F187" s="244">
        <f>'Kaporit K. B'!F22</f>
        <v>0</v>
      </c>
      <c r="G187" s="244">
        <f>'Kaporit K. B'!G22</f>
        <v>0</v>
      </c>
      <c r="H187" s="244">
        <f>'Kaporit K. B'!H22</f>
        <v>0</v>
      </c>
      <c r="I187" s="244">
        <f>'Kaporit K. B'!I22</f>
        <v>0</v>
      </c>
      <c r="J187" s="244">
        <f>'Kaporit K. B'!J22</f>
        <v>0</v>
      </c>
      <c r="K187" s="244">
        <f>'Kaporit K. B'!K22</f>
        <v>0</v>
      </c>
      <c r="L187" s="242"/>
      <c r="M187" s="242"/>
      <c r="N187" s="242"/>
      <c r="O187" s="242"/>
      <c r="P187" s="242"/>
      <c r="Q187" s="242"/>
    </row>
    <row r="188" spans="1:17" x14ac:dyDescent="0.25">
      <c r="A188" s="243"/>
      <c r="B188" s="244" t="e">
        <f>'Kaporit K. B'!#REF!</f>
        <v>#REF!</v>
      </c>
      <c r="C188" s="244" t="e">
        <f>'Kaporit K. B'!#REF!</f>
        <v>#REF!</v>
      </c>
      <c r="D188" s="244" t="e">
        <f>'Kaporit K. B'!#REF!</f>
        <v>#REF!</v>
      </c>
      <c r="E188" s="244" t="e">
        <f>'Kaporit K. B'!#REF!</f>
        <v>#REF!</v>
      </c>
      <c r="F188" s="244" t="e">
        <f>'Kaporit K. B'!#REF!</f>
        <v>#REF!</v>
      </c>
      <c r="G188" s="244" t="e">
        <f>'Kaporit K. B'!#REF!</f>
        <v>#REF!</v>
      </c>
      <c r="H188" s="244" t="e">
        <f>'Kaporit K. B'!#REF!</f>
        <v>#REF!</v>
      </c>
      <c r="I188" s="244" t="e">
        <f>'Kaporit K. B'!#REF!</f>
        <v>#REF!</v>
      </c>
      <c r="J188" s="244" t="e">
        <f>'Kaporit K. B'!#REF!</f>
        <v>#REF!</v>
      </c>
      <c r="K188" s="244" t="e">
        <f>'Kaporit K. B'!#REF!</f>
        <v>#REF!</v>
      </c>
      <c r="L188" s="242"/>
      <c r="M188" s="242"/>
      <c r="N188" s="242"/>
      <c r="O188" s="242"/>
      <c r="P188" s="242"/>
      <c r="Q188" s="242"/>
    </row>
    <row r="189" spans="1:17" x14ac:dyDescent="0.25">
      <c r="A189" s="243"/>
      <c r="B189" s="296" t="e">
        <f>'Kaporit K. B'!#REF!</f>
        <v>#REF!</v>
      </c>
      <c r="C189" s="296" t="e">
        <f>'Kaporit K. B'!#REF!</f>
        <v>#REF!</v>
      </c>
      <c r="D189" s="296" t="e">
        <f>'Kaporit K. B'!#REF!</f>
        <v>#REF!</v>
      </c>
      <c r="E189" s="244" t="e">
        <f>'Kaporit K. B'!#REF!</f>
        <v>#REF!</v>
      </c>
      <c r="F189" s="244" t="e">
        <f>'Kaporit K. B'!#REF!</f>
        <v>#REF!</v>
      </c>
      <c r="G189" s="244" t="e">
        <f>'Kaporit K. B'!#REF!</f>
        <v>#REF!</v>
      </c>
      <c r="H189" s="244" t="e">
        <f>'Kaporit K. B'!#REF!</f>
        <v>#REF!</v>
      </c>
      <c r="I189" s="244" t="e">
        <f>'Kaporit K. B'!#REF!</f>
        <v>#REF!</v>
      </c>
      <c r="J189" s="296" t="e">
        <f>'Kaporit K. B'!#REF!</f>
        <v>#REF!</v>
      </c>
      <c r="K189" s="296" t="e">
        <f>'Kaporit K. B'!#REF!</f>
        <v>#REF!</v>
      </c>
      <c r="L189" s="242"/>
      <c r="M189" s="242"/>
      <c r="N189" s="242"/>
      <c r="O189" s="242"/>
      <c r="P189" s="242"/>
      <c r="Q189" s="242"/>
    </row>
    <row r="190" spans="1:17" x14ac:dyDescent="0.25">
      <c r="A190" s="247"/>
      <c r="B190" s="248"/>
      <c r="C190" s="248"/>
      <c r="D190" s="249"/>
      <c r="E190" s="250"/>
      <c r="F190" s="249"/>
      <c r="G190" s="249"/>
      <c r="H190" s="248"/>
      <c r="I190" s="251"/>
      <c r="J190" s="241"/>
      <c r="K190" s="251"/>
      <c r="L190" s="242"/>
      <c r="M190" s="242"/>
      <c r="N190" s="242"/>
      <c r="O190" s="242"/>
      <c r="P190" s="242"/>
      <c r="Q190" s="242"/>
    </row>
    <row r="191" spans="1:17" x14ac:dyDescent="0.25">
      <c r="A191" s="242"/>
      <c r="B191" s="242"/>
      <c r="C191" s="242"/>
      <c r="D191" s="242"/>
      <c r="E191" s="242"/>
      <c r="F191" s="242"/>
      <c r="G191" s="242"/>
      <c r="H191" s="242"/>
      <c r="I191" s="242"/>
      <c r="J191" s="242"/>
      <c r="K191" s="242"/>
      <c r="L191" s="242"/>
      <c r="M191" s="242"/>
      <c r="N191" s="242"/>
      <c r="O191" s="242"/>
      <c r="P191" s="242"/>
      <c r="Q191" s="242"/>
    </row>
    <row r="192" spans="1:17" x14ac:dyDescent="0.25">
      <c r="A192" s="242"/>
      <c r="B192" s="242"/>
      <c r="C192" s="242"/>
      <c r="D192" s="242"/>
      <c r="E192" s="242"/>
      <c r="F192" s="242"/>
      <c r="G192" s="242"/>
      <c r="H192" s="242"/>
      <c r="I192" s="242"/>
      <c r="J192" s="242"/>
      <c r="K192" s="242"/>
      <c r="L192" s="242"/>
      <c r="M192" s="242"/>
      <c r="N192" s="242"/>
      <c r="O192" s="242"/>
      <c r="P192" s="242"/>
      <c r="Q192" s="242"/>
    </row>
    <row r="193" spans="1:17" x14ac:dyDescent="0.25">
      <c r="A193" s="242"/>
      <c r="B193" s="242"/>
      <c r="C193" s="242"/>
      <c r="D193" s="242"/>
      <c r="E193" s="242"/>
      <c r="F193" s="242"/>
      <c r="G193" s="242"/>
      <c r="H193" s="242"/>
      <c r="I193" s="242"/>
      <c r="J193" s="242"/>
      <c r="K193" s="242"/>
      <c r="L193" s="242"/>
      <c r="M193" s="242"/>
      <c r="N193" s="242"/>
      <c r="O193" s="242"/>
      <c r="P193" s="242"/>
      <c r="Q193" s="242"/>
    </row>
    <row r="194" spans="1:17" x14ac:dyDescent="0.25">
      <c r="A194" s="537" t="s">
        <v>49</v>
      </c>
      <c r="B194" s="537"/>
      <c r="C194" s="537"/>
      <c r="D194" s="537"/>
      <c r="E194" s="537"/>
      <c r="F194" s="537"/>
      <c r="G194" s="537"/>
      <c r="H194" s="537"/>
      <c r="I194" s="537"/>
      <c r="J194" s="537"/>
      <c r="K194" s="537"/>
      <c r="L194" s="242"/>
      <c r="M194" s="242"/>
      <c r="N194" s="242"/>
      <c r="O194" s="242"/>
      <c r="P194" s="242"/>
      <c r="Q194" s="242"/>
    </row>
    <row r="195" spans="1:17" x14ac:dyDescent="0.25">
      <c r="A195" s="536" t="s">
        <v>0</v>
      </c>
      <c r="B195" s="536" t="s">
        <v>7</v>
      </c>
      <c r="C195" s="536"/>
      <c r="D195" s="536"/>
      <c r="E195" s="536" t="s">
        <v>5</v>
      </c>
      <c r="F195" s="536"/>
      <c r="G195" s="536"/>
      <c r="H195" s="536" t="s">
        <v>4</v>
      </c>
      <c r="I195" s="536"/>
      <c r="J195" s="536" t="s">
        <v>6</v>
      </c>
      <c r="K195" s="536"/>
      <c r="L195" s="242"/>
      <c r="M195" s="242"/>
      <c r="N195" s="242"/>
      <c r="O195" s="242"/>
      <c r="P195" s="242"/>
      <c r="Q195" s="242"/>
    </row>
    <row r="196" spans="1:17" x14ac:dyDescent="0.25">
      <c r="A196" s="536"/>
      <c r="B196" s="231" t="s">
        <v>8</v>
      </c>
      <c r="C196" s="231" t="s">
        <v>14</v>
      </c>
      <c r="D196" s="231" t="s">
        <v>13</v>
      </c>
      <c r="E196" s="231" t="s">
        <v>8</v>
      </c>
      <c r="F196" s="231" t="s">
        <v>14</v>
      </c>
      <c r="G196" s="231" t="s">
        <v>10</v>
      </c>
      <c r="H196" s="231" t="s">
        <v>8</v>
      </c>
      <c r="I196" s="231" t="s">
        <v>13</v>
      </c>
      <c r="J196" s="231" t="s">
        <v>8</v>
      </c>
      <c r="K196" s="231" t="s">
        <v>13</v>
      </c>
      <c r="L196" s="242"/>
      <c r="M196" s="242"/>
      <c r="N196" s="242"/>
      <c r="O196" s="242"/>
      <c r="P196" s="242"/>
      <c r="Q196" s="242"/>
    </row>
    <row r="197" spans="1:17" x14ac:dyDescent="0.25">
      <c r="A197" s="232"/>
      <c r="B197" s="233"/>
      <c r="C197" s="233"/>
      <c r="D197" s="233"/>
      <c r="E197" s="233"/>
      <c r="F197" s="233"/>
      <c r="G197" s="233"/>
      <c r="H197" s="233"/>
      <c r="I197" s="233"/>
      <c r="J197" s="233"/>
      <c r="K197" s="233"/>
      <c r="L197" s="242"/>
      <c r="M197" s="242"/>
      <c r="N197" s="242"/>
      <c r="O197" s="242"/>
      <c r="P197" s="242"/>
      <c r="Q197" s="242"/>
    </row>
    <row r="198" spans="1:17" x14ac:dyDescent="0.25">
      <c r="A198" s="243" t="s">
        <v>51</v>
      </c>
      <c r="B198" s="244">
        <f>'Kaporit Hanau'!B17</f>
        <v>0</v>
      </c>
      <c r="C198" s="244">
        <f>'Kaporit Hanau'!C17</f>
        <v>0</v>
      </c>
      <c r="D198" s="244">
        <f>'Kaporit Hanau'!D17</f>
        <v>0</v>
      </c>
      <c r="E198" s="244">
        <f>'Kaporit Hanau'!E17</f>
        <v>0</v>
      </c>
      <c r="F198" s="244">
        <f>'Kaporit Hanau'!F17</f>
        <v>0</v>
      </c>
      <c r="G198" s="244">
        <f>'Kaporit Hanau'!G17</f>
        <v>0</v>
      </c>
      <c r="H198" s="244">
        <f>'Kaporit Hanau'!H17</f>
        <v>0</v>
      </c>
      <c r="I198" s="244">
        <f>'Kaporit Hanau'!I17</f>
        <v>0</v>
      </c>
      <c r="J198" s="244">
        <f>'Kaporit Hanau'!J17</f>
        <v>0</v>
      </c>
      <c r="K198" s="244">
        <f>'Kaporit Hanau'!K17</f>
        <v>0</v>
      </c>
      <c r="L198" s="242"/>
      <c r="M198" s="242"/>
      <c r="N198" s="242"/>
      <c r="O198" s="242"/>
      <c r="P198" s="242"/>
      <c r="Q198" s="242"/>
    </row>
    <row r="199" spans="1:17" x14ac:dyDescent="0.25">
      <c r="A199" s="243"/>
      <c r="B199" s="244">
        <f>'Kaporit Hanau'!B18</f>
        <v>0</v>
      </c>
      <c r="C199" s="244">
        <f>'Kaporit Hanau'!C18</f>
        <v>0</v>
      </c>
      <c r="D199" s="244">
        <f>'Kaporit Hanau'!D18</f>
        <v>0</v>
      </c>
      <c r="E199" s="244">
        <f>'Kaporit Hanau'!E18</f>
        <v>0</v>
      </c>
      <c r="F199" s="244">
        <f>'Kaporit Hanau'!F18</f>
        <v>0</v>
      </c>
      <c r="G199" s="244">
        <f>'Kaporit Hanau'!G18</f>
        <v>0</v>
      </c>
      <c r="H199" s="244">
        <f>'Kaporit Hanau'!H18</f>
        <v>0</v>
      </c>
      <c r="I199" s="244">
        <f>'Kaporit Hanau'!I18</f>
        <v>0</v>
      </c>
      <c r="J199" s="244">
        <f>'Kaporit Hanau'!J18</f>
        <v>0</v>
      </c>
      <c r="K199" s="244">
        <f>'Kaporit Hanau'!K18</f>
        <v>0</v>
      </c>
      <c r="L199" s="242"/>
      <c r="M199" s="242"/>
      <c r="N199" s="242"/>
      <c r="O199" s="242"/>
      <c r="P199" s="242"/>
      <c r="Q199" s="242"/>
    </row>
    <row r="200" spans="1:17" x14ac:dyDescent="0.25">
      <c r="A200" s="243"/>
      <c r="B200" s="296" t="e">
        <f>'Kaporit Hanau'!#REF!</f>
        <v>#REF!</v>
      </c>
      <c r="C200" s="296" t="e">
        <f>'Kaporit Hanau'!#REF!</f>
        <v>#REF!</v>
      </c>
      <c r="D200" s="296" t="e">
        <f>'Kaporit Hanau'!#REF!</f>
        <v>#REF!</v>
      </c>
      <c r="E200" s="244" t="e">
        <f>'Kaporit Hanau'!#REF!</f>
        <v>#REF!</v>
      </c>
      <c r="F200" s="244" t="e">
        <f>'Kaporit Hanau'!#REF!</f>
        <v>#REF!</v>
      </c>
      <c r="G200" s="244" t="e">
        <f>'Kaporit Hanau'!#REF!</f>
        <v>#REF!</v>
      </c>
      <c r="H200" s="244" t="e">
        <f>'Kaporit Hanau'!#REF!</f>
        <v>#REF!</v>
      </c>
      <c r="I200" s="244" t="e">
        <f>'Kaporit Hanau'!#REF!</f>
        <v>#REF!</v>
      </c>
      <c r="J200" s="296" t="e">
        <f>'Kaporit Hanau'!#REF!</f>
        <v>#REF!</v>
      </c>
      <c r="K200" s="296" t="e">
        <f>'Kaporit Hanau'!#REF!</f>
        <v>#REF!</v>
      </c>
      <c r="L200" s="242"/>
      <c r="M200" s="242"/>
      <c r="N200" s="242"/>
      <c r="O200" s="242"/>
      <c r="P200" s="242"/>
      <c r="Q200" s="242"/>
    </row>
    <row r="201" spans="1:17" x14ac:dyDescent="0.25">
      <c r="A201" s="247"/>
      <c r="B201" s="248"/>
      <c r="C201" s="248"/>
      <c r="D201" s="249"/>
      <c r="E201" s="250"/>
      <c r="F201" s="249"/>
      <c r="G201" s="249"/>
      <c r="H201" s="248"/>
      <c r="I201" s="251"/>
      <c r="J201" s="241"/>
      <c r="K201" s="251"/>
      <c r="L201" s="242"/>
      <c r="M201" s="242"/>
      <c r="N201" s="242"/>
      <c r="O201" s="242"/>
      <c r="P201" s="242"/>
      <c r="Q201" s="242"/>
    </row>
    <row r="205" spans="1:17" ht="21" x14ac:dyDescent="0.35">
      <c r="A205" s="278" t="s">
        <v>102</v>
      </c>
    </row>
    <row r="206" spans="1:17" x14ac:dyDescent="0.25">
      <c r="A206" s="538" t="s">
        <v>43</v>
      </c>
      <c r="B206" s="538"/>
      <c r="C206" s="538"/>
      <c r="D206" s="538"/>
      <c r="E206" s="538"/>
      <c r="F206" s="538"/>
      <c r="G206" s="538"/>
      <c r="H206" s="538"/>
      <c r="I206" s="538"/>
      <c r="J206" s="538"/>
      <c r="K206" s="538"/>
      <c r="L206" s="538"/>
      <c r="M206" s="538"/>
      <c r="N206" s="538"/>
      <c r="O206" s="538"/>
      <c r="P206" s="538"/>
      <c r="Q206" s="538"/>
    </row>
    <row r="207" spans="1:17" x14ac:dyDescent="0.25">
      <c r="A207" s="227"/>
      <c r="B207" s="227"/>
      <c r="C207" s="227"/>
      <c r="D207" s="227"/>
      <c r="E207" s="227"/>
      <c r="F207" s="228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</row>
    <row r="208" spans="1:17" x14ac:dyDescent="0.25">
      <c r="A208" s="539" t="s">
        <v>0</v>
      </c>
      <c r="B208" s="536" t="s">
        <v>7</v>
      </c>
      <c r="C208" s="536"/>
      <c r="D208" s="536"/>
      <c r="E208" s="536" t="s">
        <v>5</v>
      </c>
      <c r="F208" s="536"/>
      <c r="G208" s="536"/>
      <c r="H208" s="541" t="s">
        <v>25</v>
      </c>
      <c r="I208" s="542"/>
      <c r="J208" s="543"/>
      <c r="K208" s="541" t="s">
        <v>26</v>
      </c>
      <c r="L208" s="542"/>
      <c r="M208" s="543"/>
      <c r="N208" s="536" t="s">
        <v>4</v>
      </c>
      <c r="O208" s="536"/>
      <c r="P208" s="536" t="s">
        <v>6</v>
      </c>
      <c r="Q208" s="536"/>
    </row>
    <row r="209" spans="1:17" x14ac:dyDescent="0.25">
      <c r="A209" s="540"/>
      <c r="B209" s="229" t="s">
        <v>8</v>
      </c>
      <c r="C209" s="229" t="s">
        <v>9</v>
      </c>
      <c r="D209" s="229" t="s">
        <v>13</v>
      </c>
      <c r="E209" s="229" t="s">
        <v>8</v>
      </c>
      <c r="F209" s="230" t="s">
        <v>9</v>
      </c>
      <c r="G209" s="229" t="s">
        <v>10</v>
      </c>
      <c r="H209" s="231" t="s">
        <v>8</v>
      </c>
      <c r="I209" s="231" t="s">
        <v>9</v>
      </c>
      <c r="J209" s="231" t="s">
        <v>13</v>
      </c>
      <c r="K209" s="231" t="s">
        <v>8</v>
      </c>
      <c r="L209" s="231" t="s">
        <v>9</v>
      </c>
      <c r="M209" s="231" t="s">
        <v>13</v>
      </c>
      <c r="N209" s="229" t="s">
        <v>8</v>
      </c>
      <c r="O209" s="229" t="s">
        <v>13</v>
      </c>
      <c r="P209" s="229" t="s">
        <v>8</v>
      </c>
      <c r="Q209" s="229" t="s">
        <v>13</v>
      </c>
    </row>
    <row r="210" spans="1:17" x14ac:dyDescent="0.25">
      <c r="A210" s="232"/>
      <c r="B210" s="233"/>
      <c r="C210" s="233"/>
      <c r="D210" s="233"/>
      <c r="E210" s="233"/>
      <c r="F210" s="234"/>
      <c r="G210" s="233"/>
      <c r="H210" s="233"/>
      <c r="I210" s="233"/>
      <c r="J210" s="233"/>
      <c r="K210" s="233"/>
      <c r="L210" s="233"/>
      <c r="M210" s="233"/>
      <c r="N210" s="233"/>
      <c r="O210" s="233"/>
      <c r="P210" s="233"/>
      <c r="Q210" s="233"/>
    </row>
    <row r="211" spans="1:17" x14ac:dyDescent="0.25">
      <c r="A211" s="286" t="s">
        <v>52</v>
      </c>
      <c r="B211" s="236">
        <f>'Kaporit BENAR'!B20</f>
        <v>0</v>
      </c>
      <c r="C211" s="236">
        <f>'Kaporit BENAR'!C20</f>
        <v>0</v>
      </c>
      <c r="D211" s="236">
        <f>'Kaporit BENAR'!D20</f>
        <v>0</v>
      </c>
      <c r="E211" s="236">
        <f>'Kaporit BENAR'!E20</f>
        <v>0</v>
      </c>
      <c r="F211" s="236">
        <f>'Kaporit BENAR'!F20</f>
        <v>0</v>
      </c>
      <c r="G211" s="236">
        <f>'Kaporit BENAR'!G20</f>
        <v>0</v>
      </c>
      <c r="H211" s="236">
        <f>'Kaporit BENAR'!H20</f>
        <v>0</v>
      </c>
      <c r="I211" s="236">
        <f>'Kaporit BENAR'!I20</f>
        <v>0</v>
      </c>
      <c r="J211" s="236">
        <f>'Kaporit BENAR'!J20</f>
        <v>0</v>
      </c>
      <c r="K211" s="236">
        <f>'Kaporit BENAR'!K20</f>
        <v>0</v>
      </c>
      <c r="L211" s="236">
        <f>'Kaporit BENAR'!L20</f>
        <v>0</v>
      </c>
      <c r="M211" s="236">
        <f>'Kaporit BENAR'!M20</f>
        <v>0</v>
      </c>
      <c r="N211" s="236">
        <f>'Kaporit BENAR'!N20</f>
        <v>0</v>
      </c>
      <c r="O211" s="236">
        <f>'Kaporit BENAR'!O20</f>
        <v>0</v>
      </c>
      <c r="P211" s="236">
        <f>'Kaporit BENAR'!P20</f>
        <v>0</v>
      </c>
      <c r="Q211" s="236">
        <f>'Kaporit BENAR'!Q20</f>
        <v>0</v>
      </c>
    </row>
    <row r="212" spans="1:17" x14ac:dyDescent="0.25">
      <c r="A212" s="279"/>
      <c r="B212" s="236" t="e">
        <f>'Kaporit BENAR'!#REF!</f>
        <v>#REF!</v>
      </c>
      <c r="C212" s="236" t="e">
        <f>'Kaporit BENAR'!#REF!</f>
        <v>#REF!</v>
      </c>
      <c r="D212" s="236" t="e">
        <f>'Kaporit BENAR'!#REF!</f>
        <v>#REF!</v>
      </c>
      <c r="E212" s="236" t="e">
        <f>'Kaporit BENAR'!#REF!</f>
        <v>#REF!</v>
      </c>
      <c r="F212" s="236" t="e">
        <f>'Kaporit BENAR'!#REF!</f>
        <v>#REF!</v>
      </c>
      <c r="G212" s="236" t="e">
        <f>'Kaporit BENAR'!#REF!</f>
        <v>#REF!</v>
      </c>
      <c r="H212" s="236" t="e">
        <f>'Kaporit BENAR'!#REF!</f>
        <v>#REF!</v>
      </c>
      <c r="I212" s="236" t="e">
        <f>'Kaporit BENAR'!#REF!</f>
        <v>#REF!</v>
      </c>
      <c r="J212" s="236" t="e">
        <f>'Kaporit BENAR'!#REF!</f>
        <v>#REF!</v>
      </c>
      <c r="K212" s="236" t="e">
        <f>'Kaporit BENAR'!#REF!</f>
        <v>#REF!</v>
      </c>
      <c r="L212" s="236" t="e">
        <f>'Kaporit BENAR'!#REF!</f>
        <v>#REF!</v>
      </c>
      <c r="M212" s="236" t="e">
        <f>'Kaporit BENAR'!#REF!</f>
        <v>#REF!</v>
      </c>
      <c r="N212" s="236" t="e">
        <f>'Kaporit BENAR'!#REF!</f>
        <v>#REF!</v>
      </c>
      <c r="O212" s="236" t="e">
        <f>'Kaporit BENAR'!#REF!</f>
        <v>#REF!</v>
      </c>
      <c r="P212" s="236" t="e">
        <f>'Kaporit BENAR'!#REF!</f>
        <v>#REF!</v>
      </c>
      <c r="Q212" s="236" t="e">
        <f>'Kaporit BENAR'!#REF!</f>
        <v>#REF!</v>
      </c>
    </row>
    <row r="213" spans="1:17" x14ac:dyDescent="0.25">
      <c r="A213" s="239"/>
      <c r="B213" s="240" t="e">
        <f>'Kaporit BENAR'!#REF!</f>
        <v>#REF!</v>
      </c>
      <c r="C213" s="240" t="e">
        <f>'Kaporit BENAR'!#REF!</f>
        <v>#REF!</v>
      </c>
      <c r="D213" s="240" t="e">
        <f>'Kaporit BENAR'!#REF!</f>
        <v>#REF!</v>
      </c>
      <c r="E213" s="240" t="e">
        <f>'Kaporit BENAR'!#REF!</f>
        <v>#REF!</v>
      </c>
      <c r="F213" s="240" t="e">
        <f>'Kaporit BENAR'!#REF!</f>
        <v>#REF!</v>
      </c>
      <c r="G213" s="240" t="e">
        <f>'Kaporit BENAR'!#REF!</f>
        <v>#REF!</v>
      </c>
      <c r="H213" s="240" t="e">
        <f>'Kaporit BENAR'!#REF!</f>
        <v>#REF!</v>
      </c>
      <c r="I213" s="240" t="e">
        <f>'Kaporit BENAR'!#REF!</f>
        <v>#REF!</v>
      </c>
      <c r="J213" s="240" t="e">
        <f>'Kaporit BENAR'!#REF!</f>
        <v>#REF!</v>
      </c>
      <c r="K213" s="240" t="e">
        <f>'Kaporit BENAR'!#REF!</f>
        <v>#REF!</v>
      </c>
      <c r="L213" s="240" t="e">
        <f>'Kaporit BENAR'!#REF!</f>
        <v>#REF!</v>
      </c>
      <c r="M213" s="240" t="e">
        <f>'Kaporit BENAR'!#REF!</f>
        <v>#REF!</v>
      </c>
      <c r="N213" s="240" t="e">
        <f>'Kaporit BENAR'!#REF!</f>
        <v>#REF!</v>
      </c>
      <c r="O213" s="240" t="e">
        <f>'Kaporit BENAR'!#REF!</f>
        <v>#REF!</v>
      </c>
      <c r="P213" s="395" t="e">
        <f>'Kaporit BENAR'!#REF!</f>
        <v>#REF!</v>
      </c>
      <c r="Q213" s="395" t="e">
        <f>'Kaporit BENAR'!#REF!</f>
        <v>#REF!</v>
      </c>
    </row>
    <row r="214" spans="1:17" x14ac:dyDescent="0.25">
      <c r="A214" s="242"/>
      <c r="B214" s="242"/>
      <c r="C214" s="242"/>
      <c r="D214" s="242"/>
      <c r="E214" s="242"/>
      <c r="F214" s="242"/>
      <c r="G214" s="242"/>
      <c r="H214" s="242"/>
      <c r="I214" s="242"/>
      <c r="J214" s="242"/>
      <c r="K214" s="242"/>
      <c r="L214" s="242"/>
      <c r="M214" s="242"/>
      <c r="N214" s="242"/>
      <c r="O214" s="242"/>
      <c r="P214" s="242"/>
      <c r="Q214" s="242"/>
    </row>
    <row r="215" spans="1:17" x14ac:dyDescent="0.25">
      <c r="A215" s="242"/>
      <c r="B215" s="242"/>
      <c r="C215" s="242"/>
      <c r="D215" s="242"/>
      <c r="E215" s="242"/>
      <c r="F215" s="242"/>
      <c r="G215" s="242"/>
      <c r="H215" s="242"/>
      <c r="I215" s="242"/>
      <c r="J215" s="242"/>
      <c r="K215" s="242"/>
      <c r="L215" s="242"/>
      <c r="M215" s="242"/>
      <c r="N215" s="242"/>
      <c r="O215" s="242"/>
      <c r="P215" s="242"/>
      <c r="Q215" s="242"/>
    </row>
    <row r="216" spans="1:17" x14ac:dyDescent="0.25">
      <c r="A216" s="242"/>
      <c r="B216" s="242"/>
      <c r="C216" s="242"/>
      <c r="D216" s="242"/>
      <c r="E216" s="242"/>
      <c r="F216" s="242"/>
      <c r="G216" s="242"/>
      <c r="H216" s="242"/>
      <c r="I216" s="242"/>
      <c r="J216" s="242"/>
      <c r="K216" s="242"/>
      <c r="L216" s="242"/>
      <c r="M216" s="242"/>
      <c r="N216" s="242"/>
      <c r="O216" s="242"/>
      <c r="P216" s="242"/>
      <c r="Q216" s="242"/>
    </row>
    <row r="217" spans="1:17" x14ac:dyDescent="0.25">
      <c r="A217" s="537" t="s">
        <v>44</v>
      </c>
      <c r="B217" s="537"/>
      <c r="C217" s="537"/>
      <c r="D217" s="537"/>
      <c r="E217" s="537"/>
      <c r="F217" s="537"/>
      <c r="G217" s="537"/>
      <c r="H217" s="537"/>
      <c r="I217" s="537"/>
      <c r="J217" s="537"/>
      <c r="K217" s="537"/>
      <c r="L217" s="242"/>
      <c r="M217" s="242"/>
      <c r="N217" s="242"/>
      <c r="O217" s="242"/>
      <c r="P217" s="242"/>
      <c r="Q217" s="242"/>
    </row>
    <row r="218" spans="1:17" x14ac:dyDescent="0.25">
      <c r="A218" s="536" t="s">
        <v>0</v>
      </c>
      <c r="B218" s="536" t="s">
        <v>7</v>
      </c>
      <c r="C218" s="536"/>
      <c r="D218" s="536"/>
      <c r="E218" s="536" t="s">
        <v>5</v>
      </c>
      <c r="F218" s="536"/>
      <c r="G218" s="536"/>
      <c r="H218" s="536" t="s">
        <v>4</v>
      </c>
      <c r="I218" s="536"/>
      <c r="J218" s="536" t="s">
        <v>6</v>
      </c>
      <c r="K218" s="536"/>
      <c r="L218" s="242"/>
      <c r="M218" s="242"/>
      <c r="N218" s="242"/>
      <c r="O218" s="242"/>
      <c r="P218" s="242"/>
      <c r="Q218" s="242"/>
    </row>
    <row r="219" spans="1:17" x14ac:dyDescent="0.25">
      <c r="A219" s="536"/>
      <c r="B219" s="231" t="s">
        <v>8</v>
      </c>
      <c r="C219" s="231" t="s">
        <v>14</v>
      </c>
      <c r="D219" s="231" t="s">
        <v>13</v>
      </c>
      <c r="E219" s="231" t="s">
        <v>8</v>
      </c>
      <c r="F219" s="231" t="s">
        <v>14</v>
      </c>
      <c r="G219" s="231" t="s">
        <v>10</v>
      </c>
      <c r="H219" s="231" t="s">
        <v>8</v>
      </c>
      <c r="I219" s="231" t="s">
        <v>13</v>
      </c>
      <c r="J219" s="231" t="s">
        <v>8</v>
      </c>
      <c r="K219" s="231" t="s">
        <v>13</v>
      </c>
      <c r="L219" s="242"/>
      <c r="M219" s="242"/>
      <c r="N219" s="242"/>
      <c r="O219" s="242"/>
      <c r="P219" s="242"/>
      <c r="Q219" s="242"/>
    </row>
    <row r="220" spans="1:17" x14ac:dyDescent="0.25">
      <c r="A220" s="232"/>
      <c r="B220" s="233"/>
      <c r="C220" s="233"/>
      <c r="D220" s="233"/>
      <c r="E220" s="233"/>
      <c r="F220" s="233"/>
      <c r="G220" s="233"/>
      <c r="H220" s="233"/>
      <c r="I220" s="233"/>
      <c r="J220" s="233"/>
      <c r="K220" s="233"/>
      <c r="L220" s="242"/>
      <c r="M220" s="242"/>
      <c r="N220" s="242"/>
      <c r="O220" s="242"/>
      <c r="P220" s="242"/>
      <c r="Q220" s="242"/>
    </row>
    <row r="221" spans="1:17" x14ac:dyDescent="0.25">
      <c r="A221" s="243" t="s">
        <v>52</v>
      </c>
      <c r="B221" s="244">
        <f>'Kaporit K. B'!B24</f>
        <v>0</v>
      </c>
      <c r="C221" s="244">
        <f>'Kaporit K. B'!C24</f>
        <v>0</v>
      </c>
      <c r="D221" s="244">
        <f>'Kaporit K. B'!D24</f>
        <v>0</v>
      </c>
      <c r="E221" s="244">
        <f>'Kaporit K. B'!E24</f>
        <v>0</v>
      </c>
      <c r="F221" s="244">
        <f>'Kaporit K. B'!F24</f>
        <v>0</v>
      </c>
      <c r="G221" s="244">
        <f>'Kaporit K. B'!G24</f>
        <v>0</v>
      </c>
      <c r="H221" s="244">
        <f>'Kaporit K. B'!H24</f>
        <v>0</v>
      </c>
      <c r="I221" s="244">
        <f>'Kaporit K. B'!I24</f>
        <v>0</v>
      </c>
      <c r="J221" s="244">
        <f>'Kaporit K. B'!J24</f>
        <v>0</v>
      </c>
      <c r="K221" s="244">
        <f>'Kaporit K. B'!K24</f>
        <v>0</v>
      </c>
      <c r="L221" s="242"/>
      <c r="M221" s="242"/>
      <c r="N221" s="242"/>
      <c r="O221" s="242"/>
      <c r="P221" s="242"/>
      <c r="Q221" s="242"/>
    </row>
    <row r="222" spans="1:17" x14ac:dyDescent="0.25">
      <c r="A222" s="243"/>
      <c r="B222" s="244" t="e">
        <f>'Kaporit K. B'!#REF!</f>
        <v>#REF!</v>
      </c>
      <c r="C222" s="244" t="e">
        <f>'Kaporit K. B'!#REF!</f>
        <v>#REF!</v>
      </c>
      <c r="D222" s="244" t="e">
        <f>'Kaporit K. B'!#REF!</f>
        <v>#REF!</v>
      </c>
      <c r="E222" s="244" t="e">
        <f>'Kaporit K. B'!#REF!</f>
        <v>#REF!</v>
      </c>
      <c r="F222" s="244" t="e">
        <f>'Kaporit K. B'!#REF!</f>
        <v>#REF!</v>
      </c>
      <c r="G222" s="244" t="e">
        <f>'Kaporit K. B'!#REF!</f>
        <v>#REF!</v>
      </c>
      <c r="H222" s="244" t="e">
        <f>'Kaporit K. B'!#REF!</f>
        <v>#REF!</v>
      </c>
      <c r="I222" s="244" t="e">
        <f>'Kaporit K. B'!#REF!</f>
        <v>#REF!</v>
      </c>
      <c r="J222" s="244" t="e">
        <f>'Kaporit K. B'!#REF!</f>
        <v>#REF!</v>
      </c>
      <c r="K222" s="244" t="e">
        <f>'Kaporit K. B'!#REF!</f>
        <v>#REF!</v>
      </c>
      <c r="L222" s="242"/>
      <c r="M222" s="242"/>
      <c r="N222" s="242"/>
      <c r="O222" s="242"/>
      <c r="P222" s="242"/>
      <c r="Q222" s="242"/>
    </row>
    <row r="223" spans="1:17" x14ac:dyDescent="0.25">
      <c r="A223" s="247"/>
      <c r="B223" s="375" t="e">
        <f>'Kaporit K. B'!#REF!</f>
        <v>#REF!</v>
      </c>
      <c r="C223" s="375" t="e">
        <f>'Kaporit K. B'!#REF!</f>
        <v>#REF!</v>
      </c>
      <c r="D223" s="375" t="e">
        <f>'Kaporit K. B'!#REF!</f>
        <v>#REF!</v>
      </c>
      <c r="E223" s="346" t="e">
        <f>'Kaporit K. B'!#REF!</f>
        <v>#REF!</v>
      </c>
      <c r="F223" s="346" t="e">
        <f>'Kaporit K. B'!#REF!</f>
        <v>#REF!</v>
      </c>
      <c r="G223" s="346" t="e">
        <f>'Kaporit K. B'!#REF!</f>
        <v>#REF!</v>
      </c>
      <c r="H223" s="346" t="e">
        <f>'Kaporit K. B'!#REF!</f>
        <v>#REF!</v>
      </c>
      <c r="I223" s="346" t="e">
        <f>'Kaporit K. B'!#REF!</f>
        <v>#REF!</v>
      </c>
      <c r="J223" s="375" t="e">
        <f>'Kaporit K. B'!#REF!</f>
        <v>#REF!</v>
      </c>
      <c r="K223" s="375" t="e">
        <f>'Kaporit K. B'!#REF!</f>
        <v>#REF!</v>
      </c>
      <c r="L223" s="242"/>
      <c r="M223" s="242"/>
      <c r="N223" s="242"/>
      <c r="O223" s="242"/>
      <c r="P223" s="242"/>
      <c r="Q223" s="242"/>
    </row>
    <row r="224" spans="1:17" x14ac:dyDescent="0.25">
      <c r="A224" s="242"/>
      <c r="B224" s="242"/>
      <c r="C224" s="242"/>
      <c r="D224" s="242"/>
      <c r="E224" s="242"/>
      <c r="F224" s="242"/>
      <c r="G224" s="242"/>
      <c r="H224" s="242"/>
      <c r="I224" s="242"/>
      <c r="J224" s="242"/>
      <c r="K224" s="242"/>
      <c r="L224" s="242"/>
      <c r="M224" s="242"/>
      <c r="N224" s="242"/>
      <c r="O224" s="242"/>
      <c r="P224" s="242"/>
      <c r="Q224" s="242"/>
    </row>
    <row r="225" spans="1:17" x14ac:dyDescent="0.25">
      <c r="A225" s="242"/>
      <c r="B225" s="242"/>
      <c r="C225" s="242"/>
      <c r="D225" s="242"/>
      <c r="E225" s="242"/>
      <c r="F225" s="242"/>
      <c r="G225" s="242"/>
      <c r="H225" s="242"/>
      <c r="I225" s="242"/>
      <c r="J225" s="242"/>
      <c r="K225" s="242"/>
      <c r="L225" s="242"/>
      <c r="M225" s="242"/>
      <c r="N225" s="242"/>
      <c r="O225" s="242"/>
      <c r="P225" s="242"/>
      <c r="Q225" s="242"/>
    </row>
    <row r="226" spans="1:17" x14ac:dyDescent="0.25">
      <c r="A226" s="242"/>
      <c r="B226" s="242"/>
      <c r="C226" s="242"/>
      <c r="D226" s="242"/>
      <c r="E226" s="242"/>
      <c r="F226" s="242"/>
      <c r="G226" s="242"/>
      <c r="H226" s="242"/>
      <c r="I226" s="242"/>
      <c r="J226" s="242"/>
      <c r="K226" s="242"/>
      <c r="L226" s="242"/>
      <c r="M226" s="242"/>
      <c r="N226" s="242"/>
      <c r="O226" s="242"/>
      <c r="P226" s="242"/>
      <c r="Q226" s="242"/>
    </row>
    <row r="227" spans="1:17" x14ac:dyDescent="0.25">
      <c r="A227" s="537" t="s">
        <v>49</v>
      </c>
      <c r="B227" s="537"/>
      <c r="C227" s="537"/>
      <c r="D227" s="537"/>
      <c r="E227" s="537"/>
      <c r="F227" s="537"/>
      <c r="G227" s="537"/>
      <c r="H227" s="537"/>
      <c r="I227" s="537"/>
      <c r="J227" s="537"/>
      <c r="K227" s="537"/>
      <c r="L227" s="242"/>
      <c r="M227" s="242"/>
      <c r="N227" s="242"/>
      <c r="O227" s="242"/>
      <c r="P227" s="242"/>
      <c r="Q227" s="242"/>
    </row>
    <row r="228" spans="1:17" x14ac:dyDescent="0.25">
      <c r="A228" s="536" t="s">
        <v>0</v>
      </c>
      <c r="B228" s="536" t="s">
        <v>7</v>
      </c>
      <c r="C228" s="536"/>
      <c r="D228" s="536"/>
      <c r="E228" s="536" t="s">
        <v>5</v>
      </c>
      <c r="F228" s="536"/>
      <c r="G228" s="536"/>
      <c r="H228" s="536" t="s">
        <v>4</v>
      </c>
      <c r="I228" s="536"/>
      <c r="J228" s="536" t="s">
        <v>6</v>
      </c>
      <c r="K228" s="536"/>
      <c r="L228" s="242"/>
      <c r="M228" s="242"/>
      <c r="N228" s="242"/>
      <c r="O228" s="242"/>
      <c r="P228" s="242"/>
      <c r="Q228" s="242"/>
    </row>
    <row r="229" spans="1:17" x14ac:dyDescent="0.25">
      <c r="A229" s="536"/>
      <c r="B229" s="231" t="s">
        <v>8</v>
      </c>
      <c r="C229" s="231" t="s">
        <v>14</v>
      </c>
      <c r="D229" s="231" t="s">
        <v>13</v>
      </c>
      <c r="E229" s="231" t="s">
        <v>8</v>
      </c>
      <c r="F229" s="231" t="s">
        <v>14</v>
      </c>
      <c r="G229" s="231" t="s">
        <v>10</v>
      </c>
      <c r="H229" s="231" t="s">
        <v>8</v>
      </c>
      <c r="I229" s="231" t="s">
        <v>13</v>
      </c>
      <c r="J229" s="231" t="s">
        <v>8</v>
      </c>
      <c r="K229" s="231" t="s">
        <v>13</v>
      </c>
      <c r="L229" s="242"/>
      <c r="M229" s="242"/>
      <c r="N229" s="242"/>
      <c r="O229" s="242"/>
      <c r="P229" s="242"/>
      <c r="Q229" s="242"/>
    </row>
    <row r="230" spans="1:17" x14ac:dyDescent="0.25">
      <c r="A230" s="232"/>
      <c r="B230" s="233"/>
      <c r="C230" s="233"/>
      <c r="D230" s="233"/>
      <c r="E230" s="233"/>
      <c r="F230" s="233"/>
      <c r="G230" s="233"/>
      <c r="H230" s="233"/>
      <c r="I230" s="233"/>
      <c r="J230" s="233"/>
      <c r="K230" s="233"/>
      <c r="L230" s="242"/>
      <c r="M230" s="242"/>
      <c r="N230" s="242"/>
      <c r="O230" s="242"/>
      <c r="P230" s="242"/>
      <c r="Q230" s="242"/>
    </row>
    <row r="231" spans="1:17" x14ac:dyDescent="0.25">
      <c r="A231" s="243" t="s">
        <v>52</v>
      </c>
      <c r="B231" s="244">
        <f>'Kaporit Hanau'!B19</f>
        <v>0</v>
      </c>
      <c r="C231" s="244">
        <f>'Kaporit Hanau'!C19</f>
        <v>0</v>
      </c>
      <c r="D231" s="244">
        <f>'Kaporit Hanau'!D19</f>
        <v>0</v>
      </c>
      <c r="E231" s="244">
        <f>'Kaporit Hanau'!E19</f>
        <v>0</v>
      </c>
      <c r="F231" s="244">
        <f>'Kaporit Hanau'!F19</f>
        <v>0</v>
      </c>
      <c r="G231" s="244">
        <f>'Kaporit Hanau'!G19</f>
        <v>0</v>
      </c>
      <c r="H231" s="244">
        <f>'Kaporit Hanau'!H19</f>
        <v>0</v>
      </c>
      <c r="I231" s="244">
        <f>'Kaporit Hanau'!I19</f>
        <v>0</v>
      </c>
      <c r="J231" s="244">
        <f>'Kaporit Hanau'!J19</f>
        <v>0</v>
      </c>
      <c r="K231" s="244">
        <f>'Kaporit Hanau'!K19</f>
        <v>0</v>
      </c>
      <c r="L231" s="242"/>
      <c r="M231" s="242"/>
      <c r="N231" s="242"/>
      <c r="O231" s="242"/>
      <c r="P231" s="242"/>
      <c r="Q231" s="242"/>
    </row>
    <row r="232" spans="1:17" x14ac:dyDescent="0.25">
      <c r="A232" s="243"/>
      <c r="B232" s="244" t="e">
        <f>'Kaporit Hanau'!#REF!</f>
        <v>#REF!</v>
      </c>
      <c r="C232" s="244" t="e">
        <f>'Kaporit Hanau'!#REF!</f>
        <v>#REF!</v>
      </c>
      <c r="D232" s="244" t="e">
        <f>'Kaporit Hanau'!#REF!</f>
        <v>#REF!</v>
      </c>
      <c r="E232" s="244" t="e">
        <f>'Kaporit Hanau'!#REF!</f>
        <v>#REF!</v>
      </c>
      <c r="F232" s="244" t="e">
        <f>'Kaporit Hanau'!#REF!</f>
        <v>#REF!</v>
      </c>
      <c r="G232" s="244" t="e">
        <f>'Kaporit Hanau'!#REF!</f>
        <v>#REF!</v>
      </c>
      <c r="H232" s="244" t="e">
        <f>'Kaporit Hanau'!#REF!</f>
        <v>#REF!</v>
      </c>
      <c r="I232" s="244" t="e">
        <f>'Kaporit Hanau'!#REF!</f>
        <v>#REF!</v>
      </c>
      <c r="J232" s="244" t="e">
        <f>'Kaporit Hanau'!#REF!</f>
        <v>#REF!</v>
      </c>
      <c r="K232" s="244" t="e">
        <f>'Kaporit Hanau'!#REF!</f>
        <v>#REF!</v>
      </c>
      <c r="L232" s="242"/>
      <c r="M232" s="242"/>
      <c r="N232" s="242"/>
      <c r="O232" s="242"/>
      <c r="P232" s="242"/>
      <c r="Q232" s="242"/>
    </row>
    <row r="233" spans="1:17" x14ac:dyDescent="0.25">
      <c r="A233" s="247"/>
      <c r="B233" s="375" t="e">
        <f>'Kaporit Hanau'!#REF!</f>
        <v>#REF!</v>
      </c>
      <c r="C233" s="375" t="e">
        <f>'Kaporit Hanau'!#REF!</f>
        <v>#REF!</v>
      </c>
      <c r="D233" s="375" t="e">
        <f>'Kaporit Hanau'!#REF!</f>
        <v>#REF!</v>
      </c>
      <c r="E233" s="346" t="e">
        <f>'Kaporit Hanau'!#REF!</f>
        <v>#REF!</v>
      </c>
      <c r="F233" s="346" t="e">
        <f>'Kaporit Hanau'!#REF!</f>
        <v>#REF!</v>
      </c>
      <c r="G233" s="346" t="e">
        <f>'Kaporit Hanau'!#REF!</f>
        <v>#REF!</v>
      </c>
      <c r="H233" s="346" t="e">
        <f>'Kaporit Hanau'!#REF!</f>
        <v>#REF!</v>
      </c>
      <c r="I233" s="346" t="e">
        <f>'Kaporit Hanau'!#REF!</f>
        <v>#REF!</v>
      </c>
      <c r="J233" s="375" t="e">
        <f>'Kaporit Hanau'!#REF!</f>
        <v>#REF!</v>
      </c>
      <c r="K233" s="375" t="e">
        <f>'Kaporit Hanau'!#REF!</f>
        <v>#REF!</v>
      </c>
      <c r="L233" s="242"/>
      <c r="M233" s="242"/>
      <c r="N233" s="242"/>
      <c r="O233" s="242"/>
      <c r="P233" s="242"/>
      <c r="Q233" s="242"/>
    </row>
    <row r="237" spans="1:17" ht="21" x14ac:dyDescent="0.35">
      <c r="A237" s="278" t="s">
        <v>103</v>
      </c>
      <c r="B237" s="297"/>
      <c r="C237" s="297"/>
      <c r="D237" s="297"/>
      <c r="E237" s="297"/>
      <c r="F237" s="297"/>
      <c r="G237" s="297"/>
      <c r="H237" s="297"/>
      <c r="I237" s="297"/>
      <c r="J237" s="297"/>
      <c r="K237" s="297"/>
      <c r="L237" s="297"/>
      <c r="M237" s="297"/>
      <c r="N237" s="297"/>
      <c r="O237" s="297"/>
      <c r="P237" s="297"/>
      <c r="Q237" s="297"/>
    </row>
    <row r="238" spans="1:17" x14ac:dyDescent="0.25">
      <c r="A238" s="529" t="s">
        <v>43</v>
      </c>
      <c r="B238" s="529"/>
      <c r="C238" s="529"/>
      <c r="D238" s="529"/>
      <c r="E238" s="529"/>
      <c r="F238" s="529"/>
      <c r="G238" s="529"/>
      <c r="H238" s="529"/>
      <c r="I238" s="529"/>
      <c r="J238" s="529"/>
      <c r="K238" s="529"/>
      <c r="L238" s="529"/>
      <c r="M238" s="529"/>
      <c r="N238" s="529"/>
      <c r="O238" s="529"/>
      <c r="P238" s="529"/>
      <c r="Q238" s="529"/>
    </row>
    <row r="239" spans="1:17" x14ac:dyDescent="0.25">
      <c r="A239" s="303"/>
      <c r="B239" s="303"/>
      <c r="C239" s="303"/>
      <c r="D239" s="303"/>
      <c r="E239" s="303"/>
      <c r="F239" s="304"/>
      <c r="G239" s="303"/>
      <c r="H239" s="303"/>
      <c r="I239" s="303"/>
      <c r="J239" s="303"/>
      <c r="K239" s="303"/>
      <c r="L239" s="303"/>
      <c r="M239" s="303"/>
      <c r="N239" s="303"/>
      <c r="O239" s="303"/>
      <c r="P239" s="303"/>
      <c r="Q239" s="303"/>
    </row>
    <row r="240" spans="1:17" x14ac:dyDescent="0.25">
      <c r="A240" s="530" t="s">
        <v>0</v>
      </c>
      <c r="B240" s="532" t="s">
        <v>7</v>
      </c>
      <c r="C240" s="532"/>
      <c r="D240" s="532"/>
      <c r="E240" s="532" t="s">
        <v>5</v>
      </c>
      <c r="F240" s="532"/>
      <c r="G240" s="532"/>
      <c r="H240" s="533" t="s">
        <v>25</v>
      </c>
      <c r="I240" s="534"/>
      <c r="J240" s="535"/>
      <c r="K240" s="533" t="s">
        <v>26</v>
      </c>
      <c r="L240" s="534"/>
      <c r="M240" s="535"/>
      <c r="N240" s="532" t="s">
        <v>4</v>
      </c>
      <c r="O240" s="532"/>
      <c r="P240" s="532" t="s">
        <v>6</v>
      </c>
      <c r="Q240" s="532"/>
    </row>
    <row r="241" spans="1:17" x14ac:dyDescent="0.25">
      <c r="A241" s="531"/>
      <c r="B241" s="305" t="s">
        <v>8</v>
      </c>
      <c r="C241" s="305" t="s">
        <v>9</v>
      </c>
      <c r="D241" s="305" t="s">
        <v>13</v>
      </c>
      <c r="E241" s="305" t="s">
        <v>8</v>
      </c>
      <c r="F241" s="306" t="s">
        <v>9</v>
      </c>
      <c r="G241" s="305" t="s">
        <v>10</v>
      </c>
      <c r="H241" s="307" t="s">
        <v>8</v>
      </c>
      <c r="I241" s="307" t="s">
        <v>9</v>
      </c>
      <c r="J241" s="307" t="s">
        <v>13</v>
      </c>
      <c r="K241" s="307" t="s">
        <v>8</v>
      </c>
      <c r="L241" s="307" t="s">
        <v>9</v>
      </c>
      <c r="M241" s="307" t="s">
        <v>13</v>
      </c>
      <c r="N241" s="305" t="s">
        <v>8</v>
      </c>
      <c r="O241" s="305" t="s">
        <v>13</v>
      </c>
      <c r="P241" s="305" t="s">
        <v>8</v>
      </c>
      <c r="Q241" s="305" t="s">
        <v>13</v>
      </c>
    </row>
    <row r="242" spans="1:17" x14ac:dyDescent="0.25">
      <c r="A242" s="308"/>
      <c r="B242" s="309"/>
      <c r="C242" s="309"/>
      <c r="D242" s="309"/>
      <c r="E242" s="309"/>
      <c r="F242" s="310"/>
      <c r="G242" s="309"/>
      <c r="H242" s="309"/>
      <c r="I242" s="309"/>
      <c r="J242" s="309"/>
      <c r="K242" s="309"/>
      <c r="L242" s="309"/>
      <c r="M242" s="309"/>
      <c r="N242" s="309"/>
      <c r="O242" s="309"/>
      <c r="P242" s="309"/>
      <c r="Q242" s="309"/>
    </row>
    <row r="243" spans="1:17" x14ac:dyDescent="0.25">
      <c r="A243" s="286" t="s">
        <v>53</v>
      </c>
      <c r="B243" s="311">
        <f>'Kaporit BENAR'!B22</f>
        <v>0</v>
      </c>
      <c r="C243" s="311">
        <f>'Kaporit BENAR'!C22</f>
        <v>0</v>
      </c>
      <c r="D243" s="311">
        <f>'Kaporit BENAR'!D22</f>
        <v>0</v>
      </c>
      <c r="E243" s="311">
        <f>'Kaporit BENAR'!E22</f>
        <v>0</v>
      </c>
      <c r="F243" s="311">
        <f>'Kaporit BENAR'!F22</f>
        <v>0</v>
      </c>
      <c r="G243" s="311">
        <f>'Kaporit BENAR'!G22</f>
        <v>0</v>
      </c>
      <c r="H243" s="311">
        <f>'Kaporit BENAR'!H22</f>
        <v>0</v>
      </c>
      <c r="I243" s="311">
        <f>'Kaporit BENAR'!I22</f>
        <v>0</v>
      </c>
      <c r="J243" s="311">
        <f>'Kaporit BENAR'!J22</f>
        <v>0</v>
      </c>
      <c r="K243" s="311">
        <f>'Kaporit BENAR'!K22</f>
        <v>0</v>
      </c>
      <c r="L243" s="311">
        <f>'Kaporit BENAR'!L22</f>
        <v>0</v>
      </c>
      <c r="M243" s="311">
        <f>'Kaporit BENAR'!M22</f>
        <v>0</v>
      </c>
      <c r="N243" s="311">
        <f>'Kaporit BENAR'!N22</f>
        <v>0</v>
      </c>
      <c r="O243" s="311">
        <f>'Kaporit BENAR'!O22</f>
        <v>0</v>
      </c>
      <c r="P243" s="311">
        <f>'Kaporit BENAR'!P22</f>
        <v>0</v>
      </c>
      <c r="Q243" s="311">
        <f>'Kaporit BENAR'!Q22</f>
        <v>0</v>
      </c>
    </row>
    <row r="244" spans="1:17" x14ac:dyDescent="0.25">
      <c r="A244" s="279"/>
      <c r="B244" s="311" t="e">
        <f>'Kaporit BENAR'!#REF!</f>
        <v>#REF!</v>
      </c>
      <c r="C244" s="311" t="e">
        <f>'Kaporit BENAR'!#REF!</f>
        <v>#REF!</v>
      </c>
      <c r="D244" s="311" t="e">
        <f>'Kaporit BENAR'!#REF!</f>
        <v>#REF!</v>
      </c>
      <c r="E244" s="311" t="e">
        <f>'Kaporit BENAR'!#REF!</f>
        <v>#REF!</v>
      </c>
      <c r="F244" s="311" t="e">
        <f>'Kaporit BENAR'!#REF!</f>
        <v>#REF!</v>
      </c>
      <c r="G244" s="311" t="e">
        <f>'Kaporit BENAR'!#REF!</f>
        <v>#REF!</v>
      </c>
      <c r="H244" s="311" t="e">
        <f>'Kaporit BENAR'!#REF!</f>
        <v>#REF!</v>
      </c>
      <c r="I244" s="311" t="e">
        <f>'Kaporit BENAR'!#REF!</f>
        <v>#REF!</v>
      </c>
      <c r="J244" s="311" t="e">
        <f>'Kaporit BENAR'!#REF!</f>
        <v>#REF!</v>
      </c>
      <c r="K244" s="311" t="e">
        <f>'Kaporit BENAR'!#REF!</f>
        <v>#REF!</v>
      </c>
      <c r="L244" s="311" t="e">
        <f>'Kaporit BENAR'!#REF!</f>
        <v>#REF!</v>
      </c>
      <c r="M244" s="311" t="e">
        <f>'Kaporit BENAR'!#REF!</f>
        <v>#REF!</v>
      </c>
      <c r="N244" s="311" t="e">
        <f>'Kaporit BENAR'!#REF!</f>
        <v>#REF!</v>
      </c>
      <c r="O244" s="311" t="e">
        <f>'Kaporit BENAR'!#REF!</f>
        <v>#REF!</v>
      </c>
      <c r="P244" s="311" t="e">
        <f>'Kaporit BENAR'!#REF!</f>
        <v>#REF!</v>
      </c>
      <c r="Q244" s="311" t="e">
        <f>'Kaporit BENAR'!#REF!</f>
        <v>#REF!</v>
      </c>
    </row>
    <row r="245" spans="1:17" x14ac:dyDescent="0.25">
      <c r="A245" s="239"/>
      <c r="B245" s="389" t="e">
        <f>'Kaporit BENAR'!#REF!</f>
        <v>#REF!</v>
      </c>
      <c r="C245" s="389" t="e">
        <f>'Kaporit BENAR'!#REF!</f>
        <v>#REF!</v>
      </c>
      <c r="D245" s="389" t="e">
        <f>'Kaporit BENAR'!#REF!</f>
        <v>#REF!</v>
      </c>
      <c r="E245" s="388" t="e">
        <f>'Kaporit BENAR'!#REF!</f>
        <v>#REF!</v>
      </c>
      <c r="F245" s="388" t="e">
        <f>'Kaporit BENAR'!#REF!</f>
        <v>#REF!</v>
      </c>
      <c r="G245" s="388" t="e">
        <f>'Kaporit BENAR'!#REF!</f>
        <v>#REF!</v>
      </c>
      <c r="H245" s="388" t="e">
        <f>'Kaporit BENAR'!#REF!</f>
        <v>#REF!</v>
      </c>
      <c r="I245" s="388" t="e">
        <f>'Kaporit BENAR'!#REF!</f>
        <v>#REF!</v>
      </c>
      <c r="J245" s="388" t="e">
        <f>'Kaporit BENAR'!#REF!</f>
        <v>#REF!</v>
      </c>
      <c r="K245" s="388" t="e">
        <f>'Kaporit BENAR'!#REF!</f>
        <v>#REF!</v>
      </c>
      <c r="L245" s="388" t="e">
        <f>'Kaporit BENAR'!#REF!</f>
        <v>#REF!</v>
      </c>
      <c r="M245" s="388" t="e">
        <f>'Kaporit BENAR'!#REF!</f>
        <v>#REF!</v>
      </c>
      <c r="N245" s="389" t="e">
        <f>'Kaporit BENAR'!#REF!</f>
        <v>#REF!</v>
      </c>
      <c r="O245" s="389" t="e">
        <f>'Kaporit BENAR'!#REF!</f>
        <v>#REF!</v>
      </c>
      <c r="P245" s="389" t="e">
        <f>'Kaporit BENAR'!#REF!</f>
        <v>#REF!</v>
      </c>
      <c r="Q245" s="389" t="e">
        <f>'Kaporit BENAR'!#REF!</f>
        <v>#REF!</v>
      </c>
    </row>
    <row r="246" spans="1:17" x14ac:dyDescent="0.25">
      <c r="A246" s="242"/>
      <c r="B246" s="242"/>
      <c r="C246" s="242"/>
      <c r="D246" s="242"/>
      <c r="E246" s="242"/>
      <c r="F246" s="242"/>
      <c r="G246" s="242"/>
      <c r="H246" s="242"/>
      <c r="I246" s="242"/>
      <c r="J246" s="242"/>
      <c r="K246" s="242"/>
      <c r="L246" s="242"/>
      <c r="M246" s="242"/>
      <c r="N246" s="242"/>
      <c r="O246" s="242"/>
      <c r="P246" s="242"/>
      <c r="Q246" s="242"/>
    </row>
    <row r="247" spans="1:17" x14ac:dyDescent="0.25">
      <c r="A247" s="537" t="s">
        <v>44</v>
      </c>
      <c r="B247" s="537"/>
      <c r="C247" s="537"/>
      <c r="D247" s="537"/>
      <c r="E247" s="537"/>
      <c r="F247" s="537"/>
      <c r="G247" s="537"/>
      <c r="H247" s="537"/>
      <c r="I247" s="537"/>
      <c r="J247" s="537"/>
      <c r="K247" s="537"/>
      <c r="L247" s="242"/>
      <c r="M247" s="242"/>
      <c r="N247" s="242"/>
      <c r="O247" s="242"/>
      <c r="P247" s="242"/>
      <c r="Q247" s="242"/>
    </row>
    <row r="248" spans="1:17" x14ac:dyDescent="0.25">
      <c r="A248" s="536" t="s">
        <v>0</v>
      </c>
      <c r="B248" s="536" t="s">
        <v>7</v>
      </c>
      <c r="C248" s="536"/>
      <c r="D248" s="536"/>
      <c r="E248" s="536" t="s">
        <v>5</v>
      </c>
      <c r="F248" s="536"/>
      <c r="G248" s="536"/>
      <c r="H248" s="536" t="s">
        <v>4</v>
      </c>
      <c r="I248" s="536"/>
      <c r="J248" s="536" t="s">
        <v>6</v>
      </c>
      <c r="K248" s="536"/>
      <c r="L248" s="242"/>
      <c r="M248" s="242"/>
      <c r="N248" s="242"/>
      <c r="O248" s="242"/>
      <c r="P248" s="242"/>
      <c r="Q248" s="242"/>
    </row>
    <row r="249" spans="1:17" x14ac:dyDescent="0.25">
      <c r="A249" s="536"/>
      <c r="B249" s="231" t="s">
        <v>8</v>
      </c>
      <c r="C249" s="231" t="s">
        <v>14</v>
      </c>
      <c r="D249" s="231" t="s">
        <v>13</v>
      </c>
      <c r="E249" s="231" t="s">
        <v>8</v>
      </c>
      <c r="F249" s="231" t="s">
        <v>14</v>
      </c>
      <c r="G249" s="231" t="s">
        <v>10</v>
      </c>
      <c r="H249" s="231" t="s">
        <v>8</v>
      </c>
      <c r="I249" s="231" t="s">
        <v>13</v>
      </c>
      <c r="J249" s="231" t="s">
        <v>8</v>
      </c>
      <c r="K249" s="231" t="s">
        <v>13</v>
      </c>
      <c r="L249" s="242"/>
      <c r="M249" s="242"/>
      <c r="N249" s="242"/>
      <c r="O249" s="242"/>
      <c r="P249" s="242"/>
      <c r="Q249" s="242"/>
    </row>
    <row r="250" spans="1:17" x14ac:dyDescent="0.25">
      <c r="A250" s="232"/>
      <c r="B250" s="233"/>
      <c r="C250" s="233"/>
      <c r="D250" s="233"/>
      <c r="E250" s="233"/>
      <c r="F250" s="233"/>
      <c r="G250" s="233"/>
      <c r="H250" s="233"/>
      <c r="I250" s="233"/>
      <c r="J250" s="233"/>
      <c r="K250" s="233"/>
      <c r="L250" s="242"/>
      <c r="M250" s="242"/>
      <c r="N250" s="242"/>
      <c r="O250" s="242"/>
      <c r="P250" s="242"/>
      <c r="Q250" s="242"/>
    </row>
    <row r="251" spans="1:17" x14ac:dyDescent="0.25">
      <c r="A251" s="243" t="s">
        <v>53</v>
      </c>
      <c r="B251" s="244">
        <f>'Kaporit K. B'!B26</f>
        <v>0</v>
      </c>
      <c r="C251" s="244">
        <f>'Kaporit K. B'!C26</f>
        <v>0</v>
      </c>
      <c r="D251" s="244">
        <f>'Kaporit K. B'!D26</f>
        <v>0</v>
      </c>
      <c r="E251" s="244">
        <f>'Kaporit K. B'!E26</f>
        <v>0</v>
      </c>
      <c r="F251" s="244">
        <f>'Kaporit K. B'!F26</f>
        <v>0</v>
      </c>
      <c r="G251" s="244">
        <f>'Kaporit K. B'!G26</f>
        <v>0</v>
      </c>
      <c r="H251" s="244">
        <f>'Kaporit K. B'!H26</f>
        <v>0</v>
      </c>
      <c r="I251" s="244">
        <f>'Kaporit K. B'!I26</f>
        <v>0</v>
      </c>
      <c r="J251" s="244">
        <f>'Kaporit K. B'!J26</f>
        <v>0</v>
      </c>
      <c r="K251" s="244">
        <f>'Kaporit K. B'!K26</f>
        <v>0</v>
      </c>
      <c r="L251" s="242"/>
      <c r="M251" s="242"/>
      <c r="N251" s="242"/>
      <c r="O251" s="242"/>
      <c r="P251" s="242"/>
      <c r="Q251" s="242"/>
    </row>
    <row r="252" spans="1:17" x14ac:dyDescent="0.25">
      <c r="A252" s="243"/>
      <c r="B252" s="244" t="e">
        <f>'Kaporit K. B'!#REF!</f>
        <v>#REF!</v>
      </c>
      <c r="C252" s="244" t="e">
        <f>'Kaporit K. B'!#REF!</f>
        <v>#REF!</v>
      </c>
      <c r="D252" s="244" t="e">
        <f>'Kaporit K. B'!#REF!</f>
        <v>#REF!</v>
      </c>
      <c r="E252" s="244" t="e">
        <f>'Kaporit K. B'!#REF!</f>
        <v>#REF!</v>
      </c>
      <c r="F252" s="244" t="e">
        <f>'Kaporit K. B'!#REF!</f>
        <v>#REF!</v>
      </c>
      <c r="G252" s="244" t="e">
        <f>'Kaporit K. B'!#REF!</f>
        <v>#REF!</v>
      </c>
      <c r="H252" s="244" t="e">
        <f>'Kaporit K. B'!#REF!</f>
        <v>#REF!</v>
      </c>
      <c r="I252" s="244" t="e">
        <f>'Kaporit K. B'!#REF!</f>
        <v>#REF!</v>
      </c>
      <c r="J252" s="244" t="e">
        <f>'Kaporit K. B'!#REF!</f>
        <v>#REF!</v>
      </c>
      <c r="K252" s="244" t="e">
        <f>'Kaporit K. B'!#REF!</f>
        <v>#REF!</v>
      </c>
      <c r="L252" s="242"/>
      <c r="M252" s="242"/>
      <c r="N252" s="242"/>
      <c r="O252" s="242"/>
      <c r="P252" s="242"/>
      <c r="Q252" s="242"/>
    </row>
    <row r="253" spans="1:17" x14ac:dyDescent="0.25">
      <c r="A253" s="247"/>
      <c r="B253" s="375" t="e">
        <f>'Kaporit K. B'!#REF!</f>
        <v>#REF!</v>
      </c>
      <c r="C253" s="375" t="e">
        <f>'Kaporit K. B'!#REF!</f>
        <v>#REF!</v>
      </c>
      <c r="D253" s="375" t="e">
        <f>'Kaporit K. B'!#REF!</f>
        <v>#REF!</v>
      </c>
      <c r="E253" s="346" t="e">
        <f>'Kaporit K. B'!#REF!</f>
        <v>#REF!</v>
      </c>
      <c r="F253" s="346" t="e">
        <f>'Kaporit K. B'!#REF!</f>
        <v>#REF!</v>
      </c>
      <c r="G253" s="346" t="e">
        <f>'Kaporit K. B'!#REF!</f>
        <v>#REF!</v>
      </c>
      <c r="H253" s="346" t="e">
        <f>'Kaporit K. B'!#REF!</f>
        <v>#REF!</v>
      </c>
      <c r="I253" s="346" t="e">
        <f>'Kaporit K. B'!#REF!</f>
        <v>#REF!</v>
      </c>
      <c r="J253" s="375" t="e">
        <f>'Kaporit K. B'!#REF!</f>
        <v>#REF!</v>
      </c>
      <c r="K253" s="375" t="e">
        <f>'Kaporit K. B'!#REF!</f>
        <v>#REF!</v>
      </c>
      <c r="L253" s="242"/>
      <c r="M253" s="242"/>
      <c r="N253" s="521"/>
      <c r="O253" s="521"/>
      <c r="P253" s="523"/>
      <c r="Q253" s="522"/>
    </row>
    <row r="254" spans="1:17" x14ac:dyDescent="0.25">
      <c r="A254" s="242"/>
      <c r="B254" s="242"/>
      <c r="C254" s="242"/>
      <c r="D254" s="428"/>
      <c r="E254" s="242"/>
      <c r="F254" s="242"/>
      <c r="G254" s="242"/>
      <c r="H254" s="242"/>
      <c r="I254" s="242"/>
      <c r="J254" s="242"/>
      <c r="K254" s="242"/>
      <c r="L254" s="242"/>
      <c r="M254" s="242"/>
      <c r="N254" s="521"/>
      <c r="O254" s="521"/>
      <c r="P254" s="523"/>
      <c r="Q254" s="522"/>
    </row>
    <row r="255" spans="1:17" x14ac:dyDescent="0.25">
      <c r="A255" s="537" t="s">
        <v>49</v>
      </c>
      <c r="B255" s="537"/>
      <c r="C255" s="537"/>
      <c r="D255" s="537"/>
      <c r="E255" s="537"/>
      <c r="F255" s="537"/>
      <c r="G255" s="537"/>
      <c r="H255" s="537"/>
      <c r="I255" s="537"/>
      <c r="J255" s="537"/>
      <c r="K255" s="537"/>
      <c r="L255" s="242"/>
      <c r="M255" s="242"/>
      <c r="N255" s="242"/>
      <c r="O255" s="242"/>
      <c r="P255" s="242"/>
      <c r="Q255" s="242"/>
    </row>
    <row r="256" spans="1:17" x14ac:dyDescent="0.25">
      <c r="A256" s="536" t="s">
        <v>0</v>
      </c>
      <c r="B256" s="536" t="s">
        <v>7</v>
      </c>
      <c r="C256" s="536"/>
      <c r="D256" s="536"/>
      <c r="E256" s="536" t="s">
        <v>5</v>
      </c>
      <c r="F256" s="536"/>
      <c r="G256" s="536"/>
      <c r="H256" s="536" t="s">
        <v>4</v>
      </c>
      <c r="I256" s="536"/>
      <c r="J256" s="536" t="s">
        <v>6</v>
      </c>
      <c r="K256" s="536"/>
      <c r="L256" s="242"/>
      <c r="M256" s="242"/>
      <c r="N256" s="242"/>
      <c r="O256" s="242"/>
      <c r="P256" s="242"/>
      <c r="Q256" s="242"/>
    </row>
    <row r="257" spans="1:17" x14ac:dyDescent="0.25">
      <c r="A257" s="536"/>
      <c r="B257" s="231" t="s">
        <v>8</v>
      </c>
      <c r="C257" s="231" t="s">
        <v>14</v>
      </c>
      <c r="D257" s="231" t="s">
        <v>13</v>
      </c>
      <c r="E257" s="231" t="s">
        <v>8</v>
      </c>
      <c r="F257" s="231" t="s">
        <v>14</v>
      </c>
      <c r="G257" s="231" t="s">
        <v>10</v>
      </c>
      <c r="H257" s="231" t="s">
        <v>8</v>
      </c>
      <c r="I257" s="231" t="s">
        <v>13</v>
      </c>
      <c r="J257" s="231" t="s">
        <v>8</v>
      </c>
      <c r="K257" s="231" t="s">
        <v>13</v>
      </c>
      <c r="L257" s="242"/>
      <c r="M257" s="242"/>
      <c r="N257" s="242"/>
      <c r="O257" s="242"/>
      <c r="P257" s="242"/>
      <c r="Q257" s="242"/>
    </row>
    <row r="258" spans="1:17" x14ac:dyDescent="0.25">
      <c r="A258" s="232"/>
      <c r="B258" s="233"/>
      <c r="C258" s="233"/>
      <c r="D258" s="233"/>
      <c r="E258" s="233"/>
      <c r="F258" s="233"/>
      <c r="G258" s="233"/>
      <c r="H258" s="233"/>
      <c r="I258" s="233"/>
      <c r="J258" s="233"/>
      <c r="K258" s="233"/>
      <c r="L258" s="242"/>
      <c r="M258" s="242"/>
      <c r="N258" s="242"/>
      <c r="O258" s="242"/>
      <c r="P258" s="242"/>
      <c r="Q258" s="242"/>
    </row>
    <row r="259" spans="1:17" x14ac:dyDescent="0.25">
      <c r="A259" s="243" t="s">
        <v>53</v>
      </c>
      <c r="B259" s="244">
        <f>'Kaporit Hanau'!B21</f>
        <v>0</v>
      </c>
      <c r="C259" s="244">
        <f>'Kaporit Hanau'!C21</f>
        <v>0</v>
      </c>
      <c r="D259" s="244">
        <f>'Kaporit Hanau'!D21</f>
        <v>0</v>
      </c>
      <c r="E259" s="244">
        <f>'Kaporit Hanau'!E21</f>
        <v>0</v>
      </c>
      <c r="F259" s="244">
        <f>'Kaporit Hanau'!F21</f>
        <v>0</v>
      </c>
      <c r="G259" s="244">
        <f>'Kaporit Hanau'!G21</f>
        <v>0</v>
      </c>
      <c r="H259" s="244">
        <f>'Kaporit Hanau'!H21</f>
        <v>0</v>
      </c>
      <c r="I259" s="244">
        <f>'Kaporit Hanau'!I21</f>
        <v>0</v>
      </c>
      <c r="J259" s="244">
        <f>'Kaporit Hanau'!J21</f>
        <v>0</v>
      </c>
      <c r="K259" s="244">
        <f>'Kaporit Hanau'!K21</f>
        <v>0</v>
      </c>
      <c r="L259" s="242"/>
      <c r="M259" s="242"/>
      <c r="N259" s="242"/>
      <c r="O259" s="242"/>
      <c r="P259" s="242"/>
      <c r="Q259" s="242"/>
    </row>
    <row r="260" spans="1:17" x14ac:dyDescent="0.25">
      <c r="A260" s="243"/>
      <c r="B260" s="244" t="e">
        <f>'Kaporit Hanau'!#REF!</f>
        <v>#REF!</v>
      </c>
      <c r="C260" s="244" t="e">
        <f>'Kaporit Hanau'!#REF!</f>
        <v>#REF!</v>
      </c>
      <c r="D260" s="244" t="e">
        <f>'Kaporit Hanau'!#REF!</f>
        <v>#REF!</v>
      </c>
      <c r="E260" s="244" t="e">
        <f>'Kaporit Hanau'!#REF!</f>
        <v>#REF!</v>
      </c>
      <c r="F260" s="244" t="e">
        <f>'Kaporit Hanau'!#REF!</f>
        <v>#REF!</v>
      </c>
      <c r="G260" s="244" t="e">
        <f>'Kaporit Hanau'!#REF!</f>
        <v>#REF!</v>
      </c>
      <c r="H260" s="244" t="e">
        <f>'Kaporit Hanau'!#REF!</f>
        <v>#REF!</v>
      </c>
      <c r="I260" s="244" t="e">
        <f>'Kaporit Hanau'!#REF!</f>
        <v>#REF!</v>
      </c>
      <c r="J260" s="244" t="e">
        <f>'Kaporit Hanau'!#REF!</f>
        <v>#REF!</v>
      </c>
      <c r="K260" s="244" t="e">
        <f>'Kaporit Hanau'!#REF!</f>
        <v>#REF!</v>
      </c>
      <c r="L260" s="242"/>
      <c r="M260" s="242"/>
      <c r="N260" s="242"/>
      <c r="O260" s="242"/>
      <c r="P260" s="242"/>
      <c r="Q260" s="242"/>
    </row>
    <row r="261" spans="1:17" x14ac:dyDescent="0.25">
      <c r="A261" s="247"/>
      <c r="B261" s="375" t="e">
        <f>'Kaporit Hanau'!#REF!</f>
        <v>#REF!</v>
      </c>
      <c r="C261" s="375" t="e">
        <f>'Kaporit Hanau'!#REF!</f>
        <v>#REF!</v>
      </c>
      <c r="D261" s="375" t="e">
        <f>'Kaporit Hanau'!#REF!</f>
        <v>#REF!</v>
      </c>
      <c r="E261" s="346" t="e">
        <f>'Kaporit Hanau'!#REF!</f>
        <v>#REF!</v>
      </c>
      <c r="F261" s="346" t="e">
        <f>'Kaporit Hanau'!#REF!</f>
        <v>#REF!</v>
      </c>
      <c r="G261" s="346" t="e">
        <f>'Kaporit Hanau'!#REF!</f>
        <v>#REF!</v>
      </c>
      <c r="H261" s="375" t="e">
        <f>'Kaporit Hanau'!#REF!</f>
        <v>#REF!</v>
      </c>
      <c r="I261" s="375" t="e">
        <f>'Kaporit Hanau'!#REF!</f>
        <v>#REF!</v>
      </c>
      <c r="J261" s="375" t="e">
        <f>'Kaporit Hanau'!#REF!</f>
        <v>#REF!</v>
      </c>
      <c r="K261" s="375" t="e">
        <f>'Kaporit Hanau'!#REF!</f>
        <v>#REF!</v>
      </c>
      <c r="L261" s="242"/>
      <c r="M261" s="242"/>
      <c r="N261" s="242"/>
      <c r="O261" s="242"/>
      <c r="P261" s="242"/>
      <c r="Q261" s="242"/>
    </row>
    <row r="264" spans="1:17" ht="21" x14ac:dyDescent="0.35">
      <c r="A264" s="520">
        <v>45901</v>
      </c>
      <c r="B264" s="520"/>
      <c r="C264" s="520"/>
      <c r="D264" s="297"/>
      <c r="E264" s="297"/>
      <c r="F264" s="297"/>
      <c r="G264" s="297"/>
      <c r="H264" s="297"/>
      <c r="I264" s="297"/>
      <c r="J264" s="297"/>
      <c r="K264" s="297"/>
      <c r="L264" s="297"/>
      <c r="M264" s="297"/>
      <c r="N264" s="297"/>
      <c r="O264" s="297"/>
      <c r="P264" s="297"/>
      <c r="Q264" s="297"/>
    </row>
    <row r="265" spans="1:17" x14ac:dyDescent="0.25">
      <c r="A265" s="529" t="s">
        <v>43</v>
      </c>
      <c r="B265" s="529"/>
      <c r="C265" s="529"/>
      <c r="D265" s="529"/>
      <c r="E265" s="529"/>
      <c r="F265" s="529"/>
      <c r="G265" s="529"/>
      <c r="H265" s="529"/>
      <c r="I265" s="529"/>
      <c r="J265" s="529"/>
      <c r="K265" s="529"/>
      <c r="L265" s="529"/>
      <c r="M265" s="529"/>
      <c r="N265" s="529"/>
      <c r="O265" s="529"/>
      <c r="P265" s="529"/>
      <c r="Q265" s="529"/>
    </row>
    <row r="266" spans="1:17" x14ac:dyDescent="0.25">
      <c r="A266" s="303"/>
      <c r="B266" s="303"/>
      <c r="C266" s="303"/>
      <c r="D266" s="303"/>
      <c r="E266" s="303"/>
      <c r="F266" s="304"/>
      <c r="G266" s="303"/>
      <c r="H266" s="303"/>
      <c r="I266" s="303"/>
      <c r="J266" s="303"/>
      <c r="K266" s="303"/>
      <c r="L266" s="303"/>
      <c r="M266" s="303"/>
      <c r="N266" s="303"/>
      <c r="O266" s="303"/>
      <c r="P266" s="303"/>
      <c r="Q266" s="303"/>
    </row>
    <row r="267" spans="1:17" x14ac:dyDescent="0.25">
      <c r="A267" s="530" t="s">
        <v>0</v>
      </c>
      <c r="B267" s="532" t="s">
        <v>7</v>
      </c>
      <c r="C267" s="532"/>
      <c r="D267" s="532"/>
      <c r="E267" s="532" t="s">
        <v>5</v>
      </c>
      <c r="F267" s="532"/>
      <c r="G267" s="532"/>
      <c r="H267" s="533" t="s">
        <v>25</v>
      </c>
      <c r="I267" s="534"/>
      <c r="J267" s="535"/>
      <c r="K267" s="533" t="s">
        <v>26</v>
      </c>
      <c r="L267" s="534"/>
      <c r="M267" s="535"/>
      <c r="N267" s="532" t="s">
        <v>4</v>
      </c>
      <c r="O267" s="532"/>
      <c r="P267" s="532" t="s">
        <v>6</v>
      </c>
      <c r="Q267" s="532"/>
    </row>
    <row r="268" spans="1:17" x14ac:dyDescent="0.25">
      <c r="A268" s="531"/>
      <c r="B268" s="305" t="s">
        <v>8</v>
      </c>
      <c r="C268" s="305" t="s">
        <v>9</v>
      </c>
      <c r="D268" s="305" t="s">
        <v>13</v>
      </c>
      <c r="E268" s="305" t="s">
        <v>8</v>
      </c>
      <c r="F268" s="306" t="s">
        <v>9</v>
      </c>
      <c r="G268" s="305" t="s">
        <v>10</v>
      </c>
      <c r="H268" s="307" t="s">
        <v>8</v>
      </c>
      <c r="I268" s="307" t="s">
        <v>9</v>
      </c>
      <c r="J268" s="307" t="s">
        <v>13</v>
      </c>
      <c r="K268" s="307" t="s">
        <v>8</v>
      </c>
      <c r="L268" s="307" t="s">
        <v>9</v>
      </c>
      <c r="M268" s="307" t="s">
        <v>13</v>
      </c>
      <c r="N268" s="305" t="s">
        <v>8</v>
      </c>
      <c r="O268" s="305" t="s">
        <v>13</v>
      </c>
      <c r="P268" s="305" t="s">
        <v>8</v>
      </c>
      <c r="Q268" s="305" t="s">
        <v>13</v>
      </c>
    </row>
    <row r="269" spans="1:17" x14ac:dyDescent="0.25">
      <c r="A269" s="308"/>
      <c r="B269" s="309"/>
      <c r="C269" s="309"/>
      <c r="D269" s="309"/>
      <c r="E269" s="309"/>
      <c r="F269" s="310"/>
      <c r="G269" s="309"/>
      <c r="H269" s="309"/>
      <c r="I269" s="309"/>
      <c r="J269" s="309"/>
      <c r="K269" s="309"/>
      <c r="L269" s="309"/>
      <c r="M269" s="309"/>
      <c r="N269" s="309"/>
      <c r="O269" s="309"/>
      <c r="P269" s="309"/>
      <c r="Q269" s="309"/>
    </row>
    <row r="270" spans="1:17" x14ac:dyDescent="0.25">
      <c r="A270" s="286" t="s">
        <v>94</v>
      </c>
      <c r="B270" s="311">
        <f>'Kaporit BENAR'!B24</f>
        <v>0</v>
      </c>
      <c r="C270" s="311">
        <f>'Kaporit BENAR'!C24</f>
        <v>0</v>
      </c>
      <c r="D270" s="311">
        <f>'Kaporit BENAR'!D24</f>
        <v>0</v>
      </c>
      <c r="E270" s="311">
        <f>'Kaporit BENAR'!E24</f>
        <v>0</v>
      </c>
      <c r="F270" s="311">
        <f>'Kaporit BENAR'!F24</f>
        <v>0</v>
      </c>
      <c r="G270" s="311">
        <f>'Kaporit BENAR'!G24</f>
        <v>0</v>
      </c>
      <c r="H270" s="311">
        <f>'Kaporit BENAR'!H24</f>
        <v>0</v>
      </c>
      <c r="I270" s="311">
        <f>'Kaporit BENAR'!I24</f>
        <v>0</v>
      </c>
      <c r="J270" s="311">
        <f>'Kaporit BENAR'!J24</f>
        <v>0</v>
      </c>
      <c r="K270" s="311">
        <f>'Kaporit BENAR'!K24</f>
        <v>0</v>
      </c>
      <c r="L270" s="311">
        <f>'Kaporit BENAR'!L24</f>
        <v>0</v>
      </c>
      <c r="M270" s="311">
        <f>'Kaporit BENAR'!M24</f>
        <v>0</v>
      </c>
      <c r="N270" s="311">
        <f>'Kaporit BENAR'!N24</f>
        <v>0</v>
      </c>
      <c r="O270" s="311">
        <f>'Kaporit BENAR'!O24</f>
        <v>0</v>
      </c>
      <c r="P270" s="311">
        <f>'Kaporit BENAR'!P24</f>
        <v>0</v>
      </c>
      <c r="Q270" s="311">
        <f>'Kaporit BENAR'!Q24</f>
        <v>0</v>
      </c>
    </row>
    <row r="271" spans="1:17" x14ac:dyDescent="0.25">
      <c r="A271" s="279"/>
      <c r="B271" s="236"/>
      <c r="C271" s="281"/>
      <c r="D271" s="237"/>
      <c r="E271" s="280"/>
      <c r="F271" s="237"/>
      <c r="G271" s="238">
        <f>E271*F271</f>
        <v>0</v>
      </c>
      <c r="H271" s="238"/>
      <c r="I271" s="238"/>
      <c r="J271" s="238"/>
      <c r="K271" s="238"/>
      <c r="L271" s="238"/>
      <c r="M271" s="238"/>
      <c r="N271" s="237"/>
      <c r="O271" s="282">
        <f>N271*F271</f>
        <v>0</v>
      </c>
      <c r="P271" s="237"/>
      <c r="Q271" s="237">
        <f>D271+G271-O271-J271-M271</f>
        <v>0</v>
      </c>
    </row>
    <row r="272" spans="1:17" x14ac:dyDescent="0.25">
      <c r="A272" s="239"/>
      <c r="B272" s="240"/>
      <c r="C272" s="241"/>
      <c r="D272" s="241"/>
      <c r="E272" s="241"/>
      <c r="F272" s="241"/>
      <c r="G272" s="241"/>
      <c r="H272" s="241"/>
      <c r="I272" s="241"/>
      <c r="J272" s="241"/>
      <c r="K272" s="241"/>
      <c r="L272" s="241"/>
      <c r="M272" s="241"/>
      <c r="N272" s="241"/>
      <c r="O272" s="271"/>
      <c r="P272" s="273"/>
      <c r="Q272" s="273"/>
    </row>
    <row r="273" spans="1:17" x14ac:dyDescent="0.25">
      <c r="A273" s="242"/>
      <c r="B273" s="242"/>
      <c r="C273" s="242"/>
      <c r="D273" s="242"/>
      <c r="E273" s="242"/>
      <c r="F273" s="242"/>
      <c r="G273" s="242"/>
      <c r="H273" s="242"/>
      <c r="I273" s="242"/>
      <c r="J273" s="242"/>
      <c r="K273" s="242"/>
      <c r="L273" s="242"/>
      <c r="M273" s="242"/>
      <c r="N273" s="242"/>
      <c r="O273" s="242"/>
      <c r="P273" s="242"/>
      <c r="Q273" s="242"/>
    </row>
    <row r="274" spans="1:17" x14ac:dyDescent="0.25">
      <c r="A274" s="242"/>
      <c r="B274" s="242"/>
      <c r="C274" s="242"/>
      <c r="D274" s="242"/>
      <c r="E274" s="242"/>
      <c r="F274" s="242"/>
      <c r="G274" s="242"/>
      <c r="H274" s="242"/>
      <c r="I274" s="242"/>
      <c r="J274" s="242"/>
      <c r="K274" s="242"/>
      <c r="L274" s="242"/>
      <c r="M274" s="242"/>
      <c r="N274" s="242"/>
      <c r="O274" s="242"/>
      <c r="P274" s="242"/>
      <c r="Q274" s="242"/>
    </row>
    <row r="275" spans="1:17" x14ac:dyDescent="0.25">
      <c r="A275" s="242"/>
      <c r="B275" s="242"/>
      <c r="C275" s="242"/>
      <c r="D275" s="242"/>
      <c r="E275" s="242"/>
      <c r="F275" s="242"/>
      <c r="G275" s="242"/>
      <c r="H275" s="242"/>
      <c r="I275" s="242"/>
      <c r="J275" s="242"/>
      <c r="K275" s="242"/>
      <c r="L275" s="242"/>
      <c r="M275" s="242"/>
      <c r="N275" s="242"/>
      <c r="O275" s="242"/>
      <c r="P275" s="242"/>
      <c r="Q275" s="242"/>
    </row>
    <row r="276" spans="1:17" x14ac:dyDescent="0.25">
      <c r="A276" s="537" t="s">
        <v>44</v>
      </c>
      <c r="B276" s="537"/>
      <c r="C276" s="537"/>
      <c r="D276" s="537"/>
      <c r="E276" s="537"/>
      <c r="F276" s="537"/>
      <c r="G276" s="537"/>
      <c r="H276" s="537"/>
      <c r="I276" s="537"/>
      <c r="J276" s="537"/>
      <c r="K276" s="537"/>
      <c r="L276" s="242"/>
      <c r="M276" s="242"/>
      <c r="N276" s="242"/>
      <c r="O276" s="242"/>
      <c r="P276" s="242"/>
      <c r="Q276" s="242"/>
    </row>
    <row r="277" spans="1:17" x14ac:dyDescent="0.25">
      <c r="A277" s="536" t="s">
        <v>0</v>
      </c>
      <c r="B277" s="536" t="s">
        <v>7</v>
      </c>
      <c r="C277" s="536"/>
      <c r="D277" s="536"/>
      <c r="E277" s="536" t="s">
        <v>5</v>
      </c>
      <c r="F277" s="536"/>
      <c r="G277" s="536"/>
      <c r="H277" s="536" t="s">
        <v>4</v>
      </c>
      <c r="I277" s="536"/>
      <c r="J277" s="536" t="s">
        <v>6</v>
      </c>
      <c r="K277" s="536"/>
      <c r="L277" s="242"/>
      <c r="M277" s="402"/>
      <c r="N277" s="242"/>
      <c r="O277" s="242"/>
      <c r="P277" s="242"/>
      <c r="Q277" s="242"/>
    </row>
    <row r="278" spans="1:17" x14ac:dyDescent="0.25">
      <c r="A278" s="536"/>
      <c r="B278" s="231" t="s">
        <v>8</v>
      </c>
      <c r="C278" s="231" t="s">
        <v>14</v>
      </c>
      <c r="D278" s="231" t="s">
        <v>13</v>
      </c>
      <c r="E278" s="231" t="s">
        <v>8</v>
      </c>
      <c r="F278" s="231" t="s">
        <v>14</v>
      </c>
      <c r="G278" s="231" t="s">
        <v>10</v>
      </c>
      <c r="H278" s="231" t="s">
        <v>8</v>
      </c>
      <c r="I278" s="231" t="s">
        <v>13</v>
      </c>
      <c r="J278" s="231" t="s">
        <v>8</v>
      </c>
      <c r="K278" s="231" t="s">
        <v>13</v>
      </c>
      <c r="L278" s="242"/>
      <c r="M278" s="402"/>
      <c r="N278" s="242"/>
      <c r="O278" s="402"/>
      <c r="P278" s="242"/>
      <c r="Q278" s="242"/>
    </row>
    <row r="279" spans="1:17" x14ac:dyDescent="0.25">
      <c r="A279" s="232"/>
      <c r="B279" s="233"/>
      <c r="C279" s="233"/>
      <c r="D279" s="233"/>
      <c r="E279" s="233"/>
      <c r="F279" s="233"/>
      <c r="G279" s="233"/>
      <c r="H279" s="233"/>
      <c r="I279" s="233"/>
      <c r="J279" s="233"/>
      <c r="K279" s="233"/>
      <c r="L279" s="242"/>
      <c r="M279" s="242"/>
      <c r="N279" s="242"/>
      <c r="O279" s="242"/>
      <c r="P279" s="242"/>
      <c r="Q279" s="242"/>
    </row>
    <row r="280" spans="1:17" x14ac:dyDescent="0.25">
      <c r="A280" s="243" t="s">
        <v>94</v>
      </c>
      <c r="B280" s="244">
        <f>'Kaporit K. B'!B28</f>
        <v>0</v>
      </c>
      <c r="C280" s="244">
        <f>'Kaporit K. B'!C28</f>
        <v>0</v>
      </c>
      <c r="D280" s="244">
        <f>'Kaporit K. B'!D28</f>
        <v>0</v>
      </c>
      <c r="E280" s="244">
        <f>'Kaporit K. B'!E28</f>
        <v>0</v>
      </c>
      <c r="F280" s="244">
        <f>'Kaporit K. B'!F28</f>
        <v>0</v>
      </c>
      <c r="G280" s="244">
        <f>'Kaporit K. B'!G28</f>
        <v>0</v>
      </c>
      <c r="H280" s="244">
        <f>'Kaporit K. B'!H28</f>
        <v>0</v>
      </c>
      <c r="I280" s="244">
        <f>'Kaporit K. B'!I28</f>
        <v>0</v>
      </c>
      <c r="J280" s="244">
        <f>'Kaporit K. B'!J28</f>
        <v>0</v>
      </c>
      <c r="K280" s="244">
        <f>'Kaporit K. B'!K28</f>
        <v>0</v>
      </c>
      <c r="L280" s="242"/>
      <c r="M280" s="242"/>
      <c r="N280" s="242"/>
      <c r="O280" s="242"/>
      <c r="P280" s="242"/>
      <c r="Q280" s="242"/>
    </row>
    <row r="281" spans="1:17" x14ac:dyDescent="0.25">
      <c r="A281" s="243"/>
      <c r="B281" s="244" t="e">
        <f>'Kaporit K. B'!#REF!</f>
        <v>#REF!</v>
      </c>
      <c r="C281" s="244" t="e">
        <f>'Kaporit K. B'!#REF!</f>
        <v>#REF!</v>
      </c>
      <c r="D281" s="244" t="e">
        <f>'Kaporit K. B'!#REF!</f>
        <v>#REF!</v>
      </c>
      <c r="E281" s="244" t="e">
        <f>'Kaporit K. B'!#REF!</f>
        <v>#REF!</v>
      </c>
      <c r="F281" s="244" t="e">
        <f>'Kaporit K. B'!#REF!</f>
        <v>#REF!</v>
      </c>
      <c r="G281" s="244" t="e">
        <f>'Kaporit K. B'!#REF!</f>
        <v>#REF!</v>
      </c>
      <c r="H281" s="244" t="e">
        <f>'Kaporit K. B'!#REF!</f>
        <v>#REF!</v>
      </c>
      <c r="I281" s="244" t="e">
        <f>'Kaporit K. B'!#REF!</f>
        <v>#REF!</v>
      </c>
      <c r="J281" s="244" t="e">
        <f>'Kaporit K. B'!#REF!</f>
        <v>#REF!</v>
      </c>
      <c r="K281" s="244" t="e">
        <f>'Kaporit K. B'!#REF!</f>
        <v>#REF!</v>
      </c>
      <c r="L281" s="242"/>
      <c r="M281" s="242"/>
      <c r="N281" s="242"/>
      <c r="O281" s="242"/>
      <c r="P281" s="242"/>
      <c r="Q281" s="242"/>
    </row>
    <row r="282" spans="1:17" x14ac:dyDescent="0.25">
      <c r="A282" s="330"/>
      <c r="B282" s="296" t="e">
        <f>'Kaporit K. B'!#REF!</f>
        <v>#REF!</v>
      </c>
      <c r="C282" s="296" t="e">
        <f>'Kaporit K. B'!#REF!</f>
        <v>#REF!</v>
      </c>
      <c r="D282" s="296" t="e">
        <f>'Kaporit K. B'!#REF!</f>
        <v>#REF!</v>
      </c>
      <c r="E282" s="244" t="e">
        <f>'Kaporit K. B'!#REF!</f>
        <v>#REF!</v>
      </c>
      <c r="F282" s="244" t="e">
        <f>'Kaporit K. B'!#REF!</f>
        <v>#REF!</v>
      </c>
      <c r="G282" s="244" t="e">
        <f>'Kaporit K. B'!#REF!</f>
        <v>#REF!</v>
      </c>
      <c r="H282" s="244" t="e">
        <f>'Kaporit K. B'!#REF!</f>
        <v>#REF!</v>
      </c>
      <c r="I282" s="244" t="e">
        <f>'Kaporit K. B'!#REF!</f>
        <v>#REF!</v>
      </c>
      <c r="J282" s="296" t="e">
        <f>'Kaporit K. B'!#REF!</f>
        <v>#REF!</v>
      </c>
      <c r="K282" s="296" t="e">
        <f>'Kaporit K. B'!#REF!</f>
        <v>#REF!</v>
      </c>
      <c r="L282" s="242"/>
      <c r="M282" s="242"/>
      <c r="N282" s="242"/>
      <c r="O282" s="242"/>
      <c r="P282" s="242"/>
      <c r="Q282" s="242"/>
    </row>
    <row r="283" spans="1:17" x14ac:dyDescent="0.25">
      <c r="A283" s="247"/>
      <c r="B283" s="248"/>
      <c r="C283" s="248"/>
      <c r="D283" s="249"/>
      <c r="E283" s="250"/>
      <c r="F283" s="249"/>
      <c r="G283" s="249"/>
      <c r="H283" s="248"/>
      <c r="I283" s="251"/>
      <c r="J283" s="241"/>
      <c r="K283" s="251"/>
      <c r="L283" s="242"/>
      <c r="M283" s="242"/>
      <c r="N283" s="242"/>
      <c r="O283" s="242"/>
      <c r="P283" s="242"/>
      <c r="Q283" s="242"/>
    </row>
    <row r="284" spans="1:17" x14ac:dyDescent="0.25">
      <c r="A284" s="242"/>
      <c r="B284" s="242"/>
      <c r="C284" s="242"/>
      <c r="D284" s="242"/>
      <c r="E284" s="242"/>
      <c r="F284" s="242"/>
      <c r="G284" s="242"/>
      <c r="H284" s="242"/>
      <c r="I284" s="242"/>
      <c r="J284" s="242"/>
      <c r="K284" s="242"/>
      <c r="L284" s="242"/>
      <c r="M284" s="242"/>
      <c r="N284" s="242"/>
      <c r="O284" s="242"/>
      <c r="P284" s="242"/>
      <c r="Q284" s="242"/>
    </row>
    <row r="285" spans="1:17" x14ac:dyDescent="0.25">
      <c r="A285" s="242"/>
      <c r="B285" s="242"/>
      <c r="C285" s="242"/>
      <c r="D285" s="242"/>
      <c r="E285" s="242"/>
      <c r="F285" s="242"/>
      <c r="G285" s="242"/>
      <c r="H285" s="242"/>
      <c r="I285" s="242"/>
      <c r="J285" s="242"/>
      <c r="K285" s="242"/>
      <c r="L285" s="242"/>
      <c r="M285" s="242"/>
      <c r="N285" s="242"/>
      <c r="O285" s="242"/>
      <c r="P285" s="242"/>
      <c r="Q285" s="242"/>
    </row>
    <row r="286" spans="1:17" x14ac:dyDescent="0.25">
      <c r="A286" s="242"/>
      <c r="B286" s="242"/>
      <c r="C286" s="242"/>
      <c r="D286" s="242"/>
      <c r="E286" s="242"/>
      <c r="F286" s="242"/>
      <c r="G286" s="242"/>
      <c r="H286" s="242"/>
      <c r="I286" s="242"/>
      <c r="J286" s="242"/>
      <c r="K286" s="242"/>
      <c r="L286" s="242"/>
      <c r="M286" s="242"/>
      <c r="N286" s="242"/>
      <c r="O286" s="242"/>
      <c r="P286" s="242"/>
      <c r="Q286" s="242"/>
    </row>
    <row r="287" spans="1:17" x14ac:dyDescent="0.25">
      <c r="A287" s="537" t="s">
        <v>49</v>
      </c>
      <c r="B287" s="537"/>
      <c r="C287" s="537"/>
      <c r="D287" s="537"/>
      <c r="E287" s="537"/>
      <c r="F287" s="537"/>
      <c r="G287" s="537"/>
      <c r="H287" s="537"/>
      <c r="I287" s="537"/>
      <c r="J287" s="537"/>
      <c r="K287" s="537"/>
      <c r="L287" s="242"/>
      <c r="M287" s="242"/>
      <c r="N287" s="242"/>
      <c r="O287" s="242"/>
      <c r="P287" s="242"/>
      <c r="Q287" s="242"/>
    </row>
    <row r="288" spans="1:17" x14ac:dyDescent="0.25">
      <c r="A288" s="536" t="s">
        <v>0</v>
      </c>
      <c r="B288" s="536" t="s">
        <v>7</v>
      </c>
      <c r="C288" s="536"/>
      <c r="D288" s="536"/>
      <c r="E288" s="536" t="s">
        <v>5</v>
      </c>
      <c r="F288" s="536"/>
      <c r="G288" s="536"/>
      <c r="H288" s="536" t="s">
        <v>4</v>
      </c>
      <c r="I288" s="536"/>
      <c r="J288" s="536" t="s">
        <v>6</v>
      </c>
      <c r="K288" s="536"/>
      <c r="L288" s="242"/>
      <c r="M288" s="242"/>
      <c r="N288" s="242"/>
      <c r="O288" s="242"/>
      <c r="P288" s="242"/>
      <c r="Q288" s="242"/>
    </row>
    <row r="289" spans="1:17" x14ac:dyDescent="0.25">
      <c r="A289" s="536"/>
      <c r="B289" s="231" t="s">
        <v>8</v>
      </c>
      <c r="C289" s="231" t="s">
        <v>14</v>
      </c>
      <c r="D289" s="231" t="s">
        <v>13</v>
      </c>
      <c r="E289" s="231" t="s">
        <v>8</v>
      </c>
      <c r="F289" s="231" t="s">
        <v>14</v>
      </c>
      <c r="G289" s="231" t="s">
        <v>10</v>
      </c>
      <c r="H289" s="231" t="s">
        <v>8</v>
      </c>
      <c r="I289" s="231" t="s">
        <v>13</v>
      </c>
      <c r="J289" s="231" t="s">
        <v>8</v>
      </c>
      <c r="K289" s="231" t="s">
        <v>13</v>
      </c>
      <c r="L289" s="242"/>
      <c r="M289" s="242"/>
      <c r="N289" s="242"/>
      <c r="O289" s="242"/>
      <c r="P289" s="242"/>
      <c r="Q289" s="242"/>
    </row>
    <row r="290" spans="1:17" x14ac:dyDescent="0.25">
      <c r="A290" s="232"/>
      <c r="B290" s="233"/>
      <c r="C290" s="233"/>
      <c r="D290" s="233"/>
      <c r="E290" s="233"/>
      <c r="F290" s="233"/>
      <c r="G290" s="233"/>
      <c r="H290" s="233"/>
      <c r="I290" s="233"/>
      <c r="J290" s="233"/>
      <c r="K290" s="233"/>
      <c r="L290" s="242"/>
      <c r="M290" s="242"/>
      <c r="N290" s="242"/>
      <c r="O290" s="242"/>
      <c r="P290" s="242"/>
      <c r="Q290" s="242"/>
    </row>
    <row r="291" spans="1:17" x14ac:dyDescent="0.25">
      <c r="A291" s="243" t="s">
        <v>94</v>
      </c>
      <c r="B291" s="244">
        <f>'Kaporit Hanau'!B23</f>
        <v>0</v>
      </c>
      <c r="C291" s="244">
        <f>'Kaporit Hanau'!C23</f>
        <v>0</v>
      </c>
      <c r="D291" s="244">
        <f>'Kaporit Hanau'!D23</f>
        <v>0</v>
      </c>
      <c r="E291" s="244">
        <f>'Kaporit Hanau'!E23</f>
        <v>0</v>
      </c>
      <c r="F291" s="244">
        <f>'Kaporit Hanau'!F23</f>
        <v>0</v>
      </c>
      <c r="G291" s="244">
        <f>'Kaporit Hanau'!G23</f>
        <v>0</v>
      </c>
      <c r="H291" s="244">
        <f>'Kaporit Hanau'!H23</f>
        <v>0</v>
      </c>
      <c r="I291" s="244">
        <f>'Kaporit Hanau'!I23</f>
        <v>0</v>
      </c>
      <c r="J291" s="244">
        <f>'Kaporit Hanau'!J23</f>
        <v>0</v>
      </c>
      <c r="K291" s="244">
        <f>'Kaporit Hanau'!K23</f>
        <v>0</v>
      </c>
      <c r="L291" s="242"/>
      <c r="M291" s="242"/>
      <c r="N291" s="242"/>
      <c r="O291" s="242"/>
      <c r="P291" s="242"/>
      <c r="Q291" s="242"/>
    </row>
    <row r="292" spans="1:17" x14ac:dyDescent="0.25">
      <c r="A292" s="247"/>
      <c r="B292" s="248"/>
      <c r="C292" s="248"/>
      <c r="D292" s="249"/>
      <c r="E292" s="250"/>
      <c r="F292" s="249"/>
      <c r="G292" s="249"/>
      <c r="H292" s="248"/>
      <c r="I292" s="251"/>
      <c r="J292" s="241"/>
      <c r="K292" s="251"/>
      <c r="L292" s="242"/>
      <c r="M292" s="242"/>
      <c r="N292" s="242"/>
      <c r="O292" s="242"/>
      <c r="P292" s="242"/>
      <c r="Q292" s="242"/>
    </row>
    <row r="296" spans="1:17" ht="21" x14ac:dyDescent="0.35">
      <c r="A296" s="278" t="s">
        <v>106</v>
      </c>
      <c r="B296" s="297"/>
      <c r="C296" s="297"/>
      <c r="D296" s="297"/>
      <c r="E296" s="297"/>
      <c r="F296" s="297"/>
      <c r="G296" s="297"/>
      <c r="H296" s="297"/>
      <c r="I296" s="297"/>
      <c r="J296" s="297"/>
      <c r="K296" s="297"/>
      <c r="L296" s="297"/>
      <c r="M296" s="297"/>
      <c r="N296" s="297"/>
      <c r="O296" s="297"/>
      <c r="P296" s="297"/>
      <c r="Q296" s="297"/>
    </row>
    <row r="297" spans="1:17" x14ac:dyDescent="0.25">
      <c r="A297" s="529" t="s">
        <v>43</v>
      </c>
      <c r="B297" s="529"/>
      <c r="C297" s="529"/>
      <c r="D297" s="529"/>
      <c r="E297" s="529"/>
      <c r="F297" s="529"/>
      <c r="G297" s="529"/>
      <c r="H297" s="529"/>
      <c r="I297" s="529"/>
      <c r="J297" s="529"/>
      <c r="K297" s="529"/>
      <c r="L297" s="529"/>
      <c r="M297" s="529"/>
      <c r="N297" s="529"/>
      <c r="O297" s="529"/>
      <c r="P297" s="529"/>
      <c r="Q297" s="529"/>
    </row>
    <row r="298" spans="1:17" x14ac:dyDescent="0.25">
      <c r="A298" s="303"/>
      <c r="B298" s="303"/>
      <c r="C298" s="303"/>
      <c r="D298" s="303"/>
      <c r="E298" s="303"/>
      <c r="F298" s="304"/>
      <c r="G298" s="303"/>
      <c r="H298" s="303"/>
      <c r="I298" s="303"/>
      <c r="J298" s="303"/>
      <c r="K298" s="303"/>
      <c r="L298" s="303"/>
      <c r="M298" s="303"/>
      <c r="N298" s="303"/>
      <c r="O298" s="303"/>
      <c r="P298" s="303"/>
      <c r="Q298" s="303"/>
    </row>
    <row r="299" spans="1:17" x14ac:dyDescent="0.25">
      <c r="A299" s="530" t="s">
        <v>0</v>
      </c>
      <c r="B299" s="532" t="s">
        <v>7</v>
      </c>
      <c r="C299" s="532"/>
      <c r="D299" s="532"/>
      <c r="E299" s="532" t="s">
        <v>5</v>
      </c>
      <c r="F299" s="532"/>
      <c r="G299" s="532"/>
      <c r="H299" s="533" t="s">
        <v>25</v>
      </c>
      <c r="I299" s="534"/>
      <c r="J299" s="535"/>
      <c r="K299" s="533" t="s">
        <v>26</v>
      </c>
      <c r="L299" s="534"/>
      <c r="M299" s="535"/>
      <c r="N299" s="532" t="s">
        <v>4</v>
      </c>
      <c r="O299" s="532"/>
      <c r="P299" s="532" t="s">
        <v>6</v>
      </c>
      <c r="Q299" s="532"/>
    </row>
    <row r="300" spans="1:17" x14ac:dyDescent="0.25">
      <c r="A300" s="531"/>
      <c r="B300" s="305" t="s">
        <v>8</v>
      </c>
      <c r="C300" s="305" t="s">
        <v>9</v>
      </c>
      <c r="D300" s="305" t="s">
        <v>13</v>
      </c>
      <c r="E300" s="305" t="s">
        <v>8</v>
      </c>
      <c r="F300" s="306" t="s">
        <v>9</v>
      </c>
      <c r="G300" s="305" t="s">
        <v>10</v>
      </c>
      <c r="H300" s="307" t="s">
        <v>8</v>
      </c>
      <c r="I300" s="307" t="s">
        <v>9</v>
      </c>
      <c r="J300" s="307" t="s">
        <v>13</v>
      </c>
      <c r="K300" s="307" t="s">
        <v>8</v>
      </c>
      <c r="L300" s="307" t="s">
        <v>9</v>
      </c>
      <c r="M300" s="307" t="s">
        <v>13</v>
      </c>
      <c r="N300" s="305" t="s">
        <v>8</v>
      </c>
      <c r="O300" s="305" t="s">
        <v>13</v>
      </c>
      <c r="P300" s="305" t="s">
        <v>8</v>
      </c>
      <c r="Q300" s="305" t="s">
        <v>13</v>
      </c>
    </row>
    <row r="301" spans="1:17" x14ac:dyDescent="0.25">
      <c r="A301" s="308"/>
      <c r="B301" s="309"/>
      <c r="C301" s="309"/>
      <c r="D301" s="309"/>
      <c r="E301" s="309"/>
      <c r="F301" s="310"/>
      <c r="G301" s="309"/>
      <c r="H301" s="309"/>
      <c r="I301" s="309"/>
      <c r="J301" s="309"/>
      <c r="K301" s="309"/>
      <c r="L301" s="309"/>
      <c r="M301" s="309"/>
      <c r="N301" s="309"/>
      <c r="O301" s="309"/>
      <c r="P301" s="309"/>
      <c r="Q301" s="309"/>
    </row>
    <row r="302" spans="1:17" x14ac:dyDescent="0.25">
      <c r="A302" s="286" t="s">
        <v>55</v>
      </c>
      <c r="B302" s="311">
        <f>'Kaporit BENAR'!B26</f>
        <v>0</v>
      </c>
      <c r="C302" s="311">
        <f>'Kaporit BENAR'!C26</f>
        <v>0</v>
      </c>
      <c r="D302" s="311">
        <f>'Kaporit BENAR'!D26</f>
        <v>0</v>
      </c>
      <c r="E302" s="311">
        <f>'Kaporit BENAR'!E26</f>
        <v>0</v>
      </c>
      <c r="F302" s="311">
        <f>'Kaporit BENAR'!F26</f>
        <v>0</v>
      </c>
      <c r="G302" s="311">
        <f>'Kaporit BENAR'!G26</f>
        <v>0</v>
      </c>
      <c r="H302" s="311">
        <f>'Kaporit BENAR'!H26</f>
        <v>0</v>
      </c>
      <c r="I302" s="311">
        <f>'Kaporit BENAR'!I26</f>
        <v>0</v>
      </c>
      <c r="J302" s="311">
        <f>'Kaporit BENAR'!J26</f>
        <v>0</v>
      </c>
      <c r="K302" s="311">
        <f>'Kaporit BENAR'!K26</f>
        <v>0</v>
      </c>
      <c r="L302" s="311">
        <f>'Kaporit BENAR'!L26</f>
        <v>0</v>
      </c>
      <c r="M302" s="311">
        <f>'Kaporit BENAR'!M26</f>
        <v>0</v>
      </c>
      <c r="N302" s="311">
        <f>'Kaporit BENAR'!N26</f>
        <v>0</v>
      </c>
      <c r="O302" s="311">
        <f>'Kaporit BENAR'!O26</f>
        <v>0</v>
      </c>
      <c r="P302" s="311">
        <f>'Kaporit BENAR'!P26</f>
        <v>0</v>
      </c>
      <c r="Q302" s="311">
        <f>'Kaporit BENAR'!Q26</f>
        <v>0</v>
      </c>
    </row>
    <row r="303" spans="1:17" x14ac:dyDescent="0.25">
      <c r="A303" s="279"/>
      <c r="B303" s="311"/>
      <c r="C303" s="311"/>
      <c r="D303" s="311"/>
      <c r="E303" s="311"/>
      <c r="F303" s="311"/>
      <c r="G303" s="311"/>
      <c r="H303" s="311"/>
      <c r="I303" s="311"/>
      <c r="J303" s="311"/>
      <c r="K303" s="311"/>
      <c r="L303" s="311"/>
      <c r="M303" s="311"/>
      <c r="N303" s="311"/>
      <c r="O303" s="311"/>
      <c r="P303" s="311"/>
      <c r="Q303" s="311"/>
    </row>
    <row r="304" spans="1:17" x14ac:dyDescent="0.25">
      <c r="A304" s="239"/>
      <c r="B304" s="388"/>
      <c r="C304" s="388"/>
      <c r="D304" s="388"/>
      <c r="E304" s="388"/>
      <c r="F304" s="388"/>
      <c r="G304" s="388"/>
      <c r="H304" s="388"/>
      <c r="I304" s="388"/>
      <c r="J304" s="388"/>
      <c r="K304" s="388"/>
      <c r="L304" s="388"/>
      <c r="M304" s="388"/>
      <c r="N304" s="388"/>
      <c r="O304" s="388"/>
      <c r="P304" s="388"/>
      <c r="Q304" s="388"/>
    </row>
    <row r="305" spans="1:17" x14ac:dyDescent="0.25">
      <c r="A305" s="242"/>
      <c r="B305" s="242"/>
      <c r="C305" s="242"/>
      <c r="D305" s="242"/>
      <c r="E305" s="242"/>
      <c r="F305" s="242"/>
      <c r="G305" s="242"/>
      <c r="H305" s="242"/>
      <c r="I305" s="242"/>
      <c r="J305" s="242"/>
      <c r="K305" s="242"/>
      <c r="L305" s="242"/>
      <c r="M305" s="242"/>
      <c r="N305" s="242"/>
      <c r="O305" s="242"/>
      <c r="P305" s="242"/>
      <c r="Q305" s="242"/>
    </row>
    <row r="306" spans="1:17" x14ac:dyDescent="0.25">
      <c r="A306" s="242"/>
      <c r="B306" s="242"/>
      <c r="C306" s="242"/>
      <c r="D306" s="242"/>
      <c r="E306" s="242"/>
      <c r="F306" s="242"/>
      <c r="G306" s="242"/>
      <c r="H306" s="242"/>
      <c r="I306" s="242"/>
      <c r="J306" s="242"/>
      <c r="K306" s="242"/>
      <c r="L306" s="242"/>
      <c r="M306" s="242"/>
      <c r="N306" s="242"/>
      <c r="O306" s="242"/>
      <c r="P306" s="242"/>
      <c r="Q306" s="242"/>
    </row>
    <row r="307" spans="1:17" x14ac:dyDescent="0.25">
      <c r="A307" s="242"/>
      <c r="B307" s="242"/>
      <c r="C307" s="242"/>
      <c r="D307" s="242"/>
      <c r="E307" s="242"/>
      <c r="F307" s="242"/>
      <c r="G307" s="242"/>
      <c r="H307" s="242"/>
      <c r="I307" s="242"/>
      <c r="J307" s="242"/>
      <c r="K307" s="242"/>
      <c r="L307" s="242"/>
      <c r="M307" s="242"/>
      <c r="N307" s="242"/>
      <c r="O307" s="242"/>
      <c r="P307" s="242"/>
      <c r="Q307" s="242"/>
    </row>
    <row r="308" spans="1:17" x14ac:dyDescent="0.25">
      <c r="A308" s="537" t="s">
        <v>44</v>
      </c>
      <c r="B308" s="537"/>
      <c r="C308" s="537"/>
      <c r="D308" s="537"/>
      <c r="E308" s="537"/>
      <c r="F308" s="537"/>
      <c r="G308" s="537"/>
      <c r="H308" s="537"/>
      <c r="I308" s="537"/>
      <c r="J308" s="537"/>
      <c r="K308" s="537"/>
      <c r="L308" s="242"/>
      <c r="M308" s="242"/>
      <c r="N308" s="242"/>
      <c r="O308" s="242"/>
      <c r="P308" s="242"/>
      <c r="Q308" s="242"/>
    </row>
    <row r="309" spans="1:17" x14ac:dyDescent="0.25">
      <c r="A309" s="536" t="s">
        <v>0</v>
      </c>
      <c r="B309" s="536" t="s">
        <v>7</v>
      </c>
      <c r="C309" s="536"/>
      <c r="D309" s="536"/>
      <c r="E309" s="536" t="s">
        <v>5</v>
      </c>
      <c r="F309" s="536"/>
      <c r="G309" s="536"/>
      <c r="H309" s="536" t="s">
        <v>4</v>
      </c>
      <c r="I309" s="536"/>
      <c r="J309" s="536" t="s">
        <v>6</v>
      </c>
      <c r="K309" s="536"/>
      <c r="L309" s="242"/>
      <c r="M309" s="242"/>
      <c r="N309" s="242"/>
      <c r="O309" s="242"/>
      <c r="P309" s="242"/>
      <c r="Q309" s="242"/>
    </row>
    <row r="310" spans="1:17" x14ac:dyDescent="0.25">
      <c r="A310" s="536"/>
      <c r="B310" s="231" t="s">
        <v>8</v>
      </c>
      <c r="C310" s="231" t="s">
        <v>14</v>
      </c>
      <c r="D310" s="231" t="s">
        <v>13</v>
      </c>
      <c r="E310" s="231" t="s">
        <v>8</v>
      </c>
      <c r="F310" s="231" t="s">
        <v>14</v>
      </c>
      <c r="G310" s="231" t="s">
        <v>10</v>
      </c>
      <c r="H310" s="231" t="s">
        <v>8</v>
      </c>
      <c r="I310" s="231" t="s">
        <v>13</v>
      </c>
      <c r="J310" s="231" t="s">
        <v>8</v>
      </c>
      <c r="K310" s="231" t="s">
        <v>13</v>
      </c>
      <c r="L310" s="242"/>
      <c r="M310" s="242"/>
      <c r="N310" s="242"/>
      <c r="O310" s="242"/>
      <c r="P310" s="242"/>
      <c r="Q310" s="242"/>
    </row>
    <row r="311" spans="1:17" x14ac:dyDescent="0.25">
      <c r="A311" s="232"/>
      <c r="B311" s="233"/>
      <c r="C311" s="233"/>
      <c r="D311" s="233"/>
      <c r="E311" s="233"/>
      <c r="F311" s="233"/>
      <c r="G311" s="233"/>
      <c r="H311" s="233"/>
      <c r="I311" s="233"/>
      <c r="J311" s="233"/>
      <c r="K311" s="233"/>
      <c r="L311" s="242"/>
      <c r="M311" s="242"/>
      <c r="N311" s="242"/>
      <c r="O311" s="242"/>
      <c r="P311" s="242"/>
      <c r="Q311" s="242"/>
    </row>
    <row r="312" spans="1:17" x14ac:dyDescent="0.25">
      <c r="A312" s="243" t="s">
        <v>55</v>
      </c>
      <c r="B312" s="244">
        <f>'Kaporit K. B'!B30</f>
        <v>0</v>
      </c>
      <c r="C312" s="244">
        <f>'Kaporit K. B'!C30</f>
        <v>0</v>
      </c>
      <c r="D312" s="244">
        <f>'Kaporit K. B'!D30</f>
        <v>0</v>
      </c>
      <c r="E312" s="244">
        <f>'Kaporit K. B'!E30</f>
        <v>0</v>
      </c>
      <c r="F312" s="244">
        <f>'Kaporit K. B'!F30</f>
        <v>0</v>
      </c>
      <c r="G312" s="244">
        <f>'Kaporit K. B'!G30</f>
        <v>0</v>
      </c>
      <c r="H312" s="244">
        <f>'Kaporit K. B'!H30</f>
        <v>0</v>
      </c>
      <c r="I312" s="244">
        <f>'Kaporit K. B'!I30</f>
        <v>0</v>
      </c>
      <c r="J312" s="244">
        <f>'Kaporit K. B'!J30</f>
        <v>0</v>
      </c>
      <c r="K312" s="244">
        <f>'Kaporit K. B'!K30</f>
        <v>0</v>
      </c>
      <c r="L312" s="242"/>
      <c r="M312" s="242"/>
      <c r="N312" s="242"/>
      <c r="O312" s="242"/>
      <c r="P312" s="242"/>
      <c r="Q312" s="242"/>
    </row>
    <row r="313" spans="1:17" x14ac:dyDescent="0.25">
      <c r="A313" s="243"/>
      <c r="B313" s="244" t="e">
        <f>'Kaporit K. B'!#REF!</f>
        <v>#REF!</v>
      </c>
      <c r="C313" s="244" t="e">
        <f>'Kaporit K. B'!#REF!</f>
        <v>#REF!</v>
      </c>
      <c r="D313" s="244" t="e">
        <f>'Kaporit K. B'!#REF!</f>
        <v>#REF!</v>
      </c>
      <c r="E313" s="244" t="e">
        <f>'Kaporit K. B'!#REF!</f>
        <v>#REF!</v>
      </c>
      <c r="F313" s="244" t="e">
        <f>'Kaporit K. B'!#REF!</f>
        <v>#REF!</v>
      </c>
      <c r="G313" s="244" t="e">
        <f>'Kaporit K. B'!#REF!</f>
        <v>#REF!</v>
      </c>
      <c r="H313" s="244" t="e">
        <f>'Kaporit K. B'!#REF!</f>
        <v>#REF!</v>
      </c>
      <c r="I313" s="244" t="e">
        <f>'Kaporit K. B'!#REF!</f>
        <v>#REF!</v>
      </c>
      <c r="J313" s="244" t="e">
        <f>'Kaporit K. B'!#REF!</f>
        <v>#REF!</v>
      </c>
      <c r="K313" s="244" t="e">
        <f>'Kaporit K. B'!#REF!</f>
        <v>#REF!</v>
      </c>
      <c r="L313" s="242"/>
      <c r="M313" s="242"/>
      <c r="N313" s="242"/>
      <c r="O313" s="242"/>
      <c r="P313" s="242"/>
      <c r="Q313" s="242"/>
    </row>
    <row r="314" spans="1:17" x14ac:dyDescent="0.25">
      <c r="A314" s="247"/>
      <c r="B314" s="375" t="e">
        <f>'Kaporit K. B'!#REF!</f>
        <v>#REF!</v>
      </c>
      <c r="C314" s="375" t="e">
        <f>'Kaporit K. B'!#REF!</f>
        <v>#REF!</v>
      </c>
      <c r="D314" s="375" t="e">
        <f>'Kaporit K. B'!#REF!</f>
        <v>#REF!</v>
      </c>
      <c r="E314" s="346" t="e">
        <f>'Kaporit K. B'!#REF!</f>
        <v>#REF!</v>
      </c>
      <c r="F314" s="346" t="e">
        <f>'Kaporit K. B'!#REF!</f>
        <v>#REF!</v>
      </c>
      <c r="G314" s="346" t="e">
        <f>'Kaporit K. B'!#REF!</f>
        <v>#REF!</v>
      </c>
      <c r="H314" s="346" t="e">
        <f>'Kaporit K. B'!#REF!</f>
        <v>#REF!</v>
      </c>
      <c r="I314" s="346" t="e">
        <f>'Kaporit K. B'!#REF!</f>
        <v>#REF!</v>
      </c>
      <c r="J314" s="375" t="e">
        <f>'Kaporit K. B'!#REF!</f>
        <v>#REF!</v>
      </c>
      <c r="K314" s="375" t="e">
        <f>'Kaporit K. B'!#REF!</f>
        <v>#REF!</v>
      </c>
      <c r="L314" s="242"/>
      <c r="M314" s="242"/>
      <c r="N314" s="242"/>
      <c r="O314" s="242"/>
      <c r="P314" s="242"/>
      <c r="Q314" s="242"/>
    </row>
    <row r="315" spans="1:17" x14ac:dyDescent="0.25">
      <c r="A315" s="242"/>
      <c r="B315" s="242"/>
      <c r="C315" s="242"/>
      <c r="D315" s="242"/>
      <c r="E315" s="242"/>
      <c r="F315" s="242"/>
      <c r="G315" s="242"/>
      <c r="H315" s="242"/>
      <c r="I315" s="242"/>
      <c r="J315" s="242"/>
      <c r="K315" s="242"/>
      <c r="L315" s="242"/>
      <c r="M315" s="242"/>
      <c r="N315" s="242"/>
      <c r="O315" s="242"/>
      <c r="P315" s="242"/>
      <c r="Q315" s="242"/>
    </row>
    <row r="316" spans="1:17" x14ac:dyDescent="0.25">
      <c r="A316" s="242"/>
      <c r="B316" s="242"/>
      <c r="C316" s="242"/>
      <c r="D316" s="242"/>
      <c r="E316" s="242"/>
      <c r="F316" s="242"/>
      <c r="G316" s="242"/>
      <c r="H316" s="242"/>
      <c r="I316" s="242"/>
      <c r="J316" s="242"/>
      <c r="K316" s="242"/>
      <c r="L316" s="242"/>
      <c r="M316" s="242"/>
      <c r="N316" s="242"/>
      <c r="O316" s="242"/>
      <c r="P316" s="242"/>
      <c r="Q316" s="242"/>
    </row>
    <row r="317" spans="1:17" x14ac:dyDescent="0.25">
      <c r="A317" s="242"/>
      <c r="B317" s="242"/>
      <c r="C317" s="242"/>
      <c r="D317" s="242"/>
      <c r="E317" s="242"/>
      <c r="F317" s="242"/>
      <c r="G317" s="242"/>
      <c r="H317" s="242"/>
      <c r="I317" s="242"/>
      <c r="J317" s="242"/>
      <c r="K317" s="242"/>
      <c r="L317" s="242"/>
      <c r="M317" s="242"/>
      <c r="N317" s="242"/>
      <c r="O317" s="242"/>
      <c r="P317" s="242"/>
      <c r="Q317" s="242"/>
    </row>
    <row r="318" spans="1:17" x14ac:dyDescent="0.25">
      <c r="A318" s="537" t="s">
        <v>49</v>
      </c>
      <c r="B318" s="537"/>
      <c r="C318" s="537"/>
      <c r="D318" s="537"/>
      <c r="E318" s="537"/>
      <c r="F318" s="537"/>
      <c r="G318" s="537"/>
      <c r="H318" s="537"/>
      <c r="I318" s="537"/>
      <c r="J318" s="537"/>
      <c r="K318" s="537"/>
      <c r="L318" s="242"/>
      <c r="M318" s="242"/>
      <c r="N318" s="242"/>
      <c r="O318" s="242"/>
      <c r="P318" s="242"/>
      <c r="Q318" s="242"/>
    </row>
    <row r="319" spans="1:17" x14ac:dyDescent="0.25">
      <c r="A319" s="536" t="s">
        <v>0</v>
      </c>
      <c r="B319" s="536" t="s">
        <v>7</v>
      </c>
      <c r="C319" s="536"/>
      <c r="D319" s="536"/>
      <c r="E319" s="536" t="s">
        <v>5</v>
      </c>
      <c r="F319" s="536"/>
      <c r="G319" s="536"/>
      <c r="H319" s="536" t="s">
        <v>4</v>
      </c>
      <c r="I319" s="536"/>
      <c r="J319" s="536" t="s">
        <v>6</v>
      </c>
      <c r="K319" s="536"/>
      <c r="L319" s="242"/>
      <c r="M319" s="242"/>
      <c r="N319" s="242"/>
      <c r="O319" s="242"/>
      <c r="P319" s="242"/>
      <c r="Q319" s="242"/>
    </row>
    <row r="320" spans="1:17" x14ac:dyDescent="0.25">
      <c r="A320" s="536"/>
      <c r="B320" s="231" t="s">
        <v>8</v>
      </c>
      <c r="C320" s="231" t="s">
        <v>14</v>
      </c>
      <c r="D320" s="231" t="s">
        <v>13</v>
      </c>
      <c r="E320" s="231" t="s">
        <v>8</v>
      </c>
      <c r="F320" s="231" t="s">
        <v>14</v>
      </c>
      <c r="G320" s="231" t="s">
        <v>10</v>
      </c>
      <c r="H320" s="231" t="s">
        <v>8</v>
      </c>
      <c r="I320" s="231" t="s">
        <v>13</v>
      </c>
      <c r="J320" s="231" t="s">
        <v>8</v>
      </c>
      <c r="K320" s="231" t="s">
        <v>13</v>
      </c>
      <c r="L320" s="242"/>
      <c r="M320" s="242"/>
      <c r="N320" s="242"/>
      <c r="O320" s="242"/>
      <c r="P320" s="242"/>
      <c r="Q320" s="242"/>
    </row>
    <row r="321" spans="1:17" x14ac:dyDescent="0.25">
      <c r="A321" s="232"/>
      <c r="B321" s="233"/>
      <c r="C321" s="233"/>
      <c r="D321" s="233"/>
      <c r="E321" s="233"/>
      <c r="F321" s="233"/>
      <c r="G321" s="233"/>
      <c r="H321" s="233"/>
      <c r="I321" s="233"/>
      <c r="J321" s="233"/>
      <c r="K321" s="233"/>
      <c r="L321" s="242"/>
      <c r="M321" s="242"/>
      <c r="N321" s="242"/>
      <c r="O321" s="242"/>
      <c r="P321" s="242"/>
      <c r="Q321" s="242"/>
    </row>
    <row r="322" spans="1:17" x14ac:dyDescent="0.25">
      <c r="A322" s="243" t="s">
        <v>55</v>
      </c>
      <c r="B322" s="244">
        <f>'Kaporit Hanau'!B25</f>
        <v>0</v>
      </c>
      <c r="C322" s="244">
        <f>'Kaporit Hanau'!C25</f>
        <v>0</v>
      </c>
      <c r="D322" s="244">
        <f>'Kaporit Hanau'!D25</f>
        <v>0</v>
      </c>
      <c r="E322" s="244">
        <f>'Kaporit Hanau'!E25</f>
        <v>0</v>
      </c>
      <c r="F322" s="244">
        <f>'Kaporit Hanau'!F25</f>
        <v>0</v>
      </c>
      <c r="G322" s="244">
        <f>'Kaporit Hanau'!G25</f>
        <v>0</v>
      </c>
      <c r="H322" s="244">
        <f>'Kaporit Hanau'!H25</f>
        <v>0</v>
      </c>
      <c r="I322" s="244">
        <f>'Kaporit Hanau'!I25</f>
        <v>0</v>
      </c>
      <c r="J322" s="244">
        <f>'Kaporit Hanau'!J25</f>
        <v>0</v>
      </c>
      <c r="K322" s="244">
        <f>'Kaporit Hanau'!K25</f>
        <v>0</v>
      </c>
      <c r="L322" s="242"/>
      <c r="M322" s="242"/>
      <c r="N322" s="242"/>
      <c r="O322" s="242"/>
      <c r="P322" s="242"/>
      <c r="Q322" s="242"/>
    </row>
    <row r="323" spans="1:17" x14ac:dyDescent="0.25">
      <c r="A323" s="247"/>
      <c r="B323" s="248"/>
      <c r="C323" s="248"/>
      <c r="D323" s="249"/>
      <c r="E323" s="250"/>
      <c r="F323" s="249"/>
      <c r="G323" s="249"/>
      <c r="H323" s="248"/>
      <c r="I323" s="251"/>
      <c r="J323" s="241"/>
      <c r="K323" s="251"/>
      <c r="L323" s="242"/>
      <c r="M323" s="242"/>
      <c r="N323" s="242"/>
      <c r="O323" s="242"/>
      <c r="P323" s="242"/>
      <c r="Q323" s="242"/>
    </row>
    <row r="327" spans="1:17" ht="21" x14ac:dyDescent="0.35">
      <c r="A327" s="520">
        <v>45962</v>
      </c>
      <c r="B327" s="520"/>
      <c r="C327" s="297"/>
      <c r="D327" s="297"/>
      <c r="E327" s="297"/>
      <c r="F327" s="297"/>
      <c r="G327" s="297"/>
      <c r="H327" s="297"/>
      <c r="I327" s="297"/>
      <c r="J327" s="297"/>
      <c r="K327" s="297"/>
      <c r="L327" s="297"/>
      <c r="M327" s="297"/>
      <c r="N327" s="297"/>
      <c r="O327" s="297"/>
      <c r="P327" s="297"/>
      <c r="Q327" s="297"/>
    </row>
    <row r="328" spans="1:17" x14ac:dyDescent="0.25">
      <c r="A328" s="529" t="s">
        <v>43</v>
      </c>
      <c r="B328" s="529"/>
      <c r="C328" s="529"/>
      <c r="D328" s="529"/>
      <c r="E328" s="529"/>
      <c r="F328" s="529"/>
      <c r="G328" s="529"/>
      <c r="H328" s="529"/>
      <c r="I328" s="529"/>
      <c r="J328" s="529"/>
      <c r="K328" s="529"/>
      <c r="L328" s="529"/>
      <c r="M328" s="529"/>
      <c r="N328" s="529"/>
      <c r="O328" s="529"/>
      <c r="P328" s="529"/>
      <c r="Q328" s="529"/>
    </row>
    <row r="329" spans="1:17" x14ac:dyDescent="0.25">
      <c r="A329" s="303"/>
      <c r="B329" s="303"/>
      <c r="C329" s="303"/>
      <c r="D329" s="303"/>
      <c r="E329" s="303"/>
      <c r="F329" s="304"/>
      <c r="G329" s="303"/>
      <c r="H329" s="303"/>
      <c r="I329" s="303"/>
      <c r="J329" s="303"/>
      <c r="K329" s="303"/>
      <c r="L329" s="303"/>
      <c r="M329" s="303"/>
      <c r="N329" s="303"/>
      <c r="O329" s="303"/>
      <c r="P329" s="303"/>
      <c r="Q329" s="303"/>
    </row>
    <row r="330" spans="1:17" x14ac:dyDescent="0.25">
      <c r="A330" s="530" t="s">
        <v>0</v>
      </c>
      <c r="B330" s="532" t="s">
        <v>7</v>
      </c>
      <c r="C330" s="532"/>
      <c r="D330" s="532"/>
      <c r="E330" s="532" t="s">
        <v>5</v>
      </c>
      <c r="F330" s="532"/>
      <c r="G330" s="532"/>
      <c r="H330" s="533" t="s">
        <v>25</v>
      </c>
      <c r="I330" s="534"/>
      <c r="J330" s="535"/>
      <c r="K330" s="533" t="s">
        <v>26</v>
      </c>
      <c r="L330" s="534"/>
      <c r="M330" s="535"/>
      <c r="N330" s="532" t="s">
        <v>4</v>
      </c>
      <c r="O330" s="532"/>
      <c r="P330" s="532" t="s">
        <v>6</v>
      </c>
      <c r="Q330" s="532"/>
    </row>
    <row r="331" spans="1:17" x14ac:dyDescent="0.25">
      <c r="A331" s="531"/>
      <c r="B331" s="305" t="s">
        <v>8</v>
      </c>
      <c r="C331" s="305" t="s">
        <v>9</v>
      </c>
      <c r="D331" s="305" t="s">
        <v>13</v>
      </c>
      <c r="E331" s="305" t="s">
        <v>8</v>
      </c>
      <c r="F331" s="306" t="s">
        <v>9</v>
      </c>
      <c r="G331" s="305" t="s">
        <v>10</v>
      </c>
      <c r="H331" s="307" t="s">
        <v>8</v>
      </c>
      <c r="I331" s="307" t="s">
        <v>9</v>
      </c>
      <c r="J331" s="307" t="s">
        <v>13</v>
      </c>
      <c r="K331" s="307" t="s">
        <v>8</v>
      </c>
      <c r="L331" s="307" t="s">
        <v>9</v>
      </c>
      <c r="M331" s="307" t="s">
        <v>13</v>
      </c>
      <c r="N331" s="305" t="s">
        <v>8</v>
      </c>
      <c r="O331" s="305" t="s">
        <v>13</v>
      </c>
      <c r="P331" s="305" t="s">
        <v>8</v>
      </c>
      <c r="Q331" s="305" t="s">
        <v>13</v>
      </c>
    </row>
    <row r="332" spans="1:17" x14ac:dyDescent="0.25">
      <c r="A332" s="308"/>
      <c r="B332" s="309"/>
      <c r="C332" s="309"/>
      <c r="D332" s="309"/>
      <c r="E332" s="309"/>
      <c r="F332" s="310"/>
      <c r="G332" s="309"/>
      <c r="H332" s="309"/>
      <c r="I332" s="309"/>
      <c r="J332" s="309"/>
      <c r="K332" s="309"/>
      <c r="L332" s="309"/>
      <c r="M332" s="309"/>
      <c r="N332" s="309"/>
      <c r="O332" s="309"/>
      <c r="P332" s="309"/>
      <c r="Q332" s="309"/>
    </row>
    <row r="333" spans="1:17" x14ac:dyDescent="0.25">
      <c r="A333" s="286" t="s">
        <v>56</v>
      </c>
      <c r="B333" s="311">
        <f>'Kaporit BENAR'!B28</f>
        <v>0</v>
      </c>
      <c r="C333" s="311">
        <f>'Kaporit BENAR'!C28</f>
        <v>0</v>
      </c>
      <c r="D333" s="311">
        <f>'Kaporit BENAR'!D28</f>
        <v>0</v>
      </c>
      <c r="E333" s="311">
        <f>'Kaporit BENAR'!E28</f>
        <v>0</v>
      </c>
      <c r="F333" s="311">
        <f>'Kaporit BENAR'!F28</f>
        <v>0</v>
      </c>
      <c r="G333" s="311">
        <f>'Kaporit BENAR'!G28</f>
        <v>0</v>
      </c>
      <c r="H333" s="311">
        <f>'Kaporit BENAR'!H28</f>
        <v>0</v>
      </c>
      <c r="I333" s="311">
        <f>'Kaporit BENAR'!I28</f>
        <v>0</v>
      </c>
      <c r="J333" s="311">
        <f>'Kaporit BENAR'!J28</f>
        <v>0</v>
      </c>
      <c r="K333" s="311">
        <f>'Kaporit BENAR'!K28</f>
        <v>0</v>
      </c>
      <c r="L333" s="311">
        <f>'Kaporit BENAR'!L28</f>
        <v>0</v>
      </c>
      <c r="M333" s="311">
        <f>'Kaporit BENAR'!M28</f>
        <v>0</v>
      </c>
      <c r="N333" s="311">
        <f>'Kaporit BENAR'!N28</f>
        <v>0</v>
      </c>
      <c r="O333" s="311">
        <f>'Kaporit BENAR'!O28</f>
        <v>0</v>
      </c>
      <c r="P333" s="311">
        <f>'Kaporit BENAR'!P28</f>
        <v>0</v>
      </c>
      <c r="Q333" s="311">
        <f>'Kaporit BENAR'!Q28</f>
        <v>0</v>
      </c>
    </row>
    <row r="334" spans="1:17" x14ac:dyDescent="0.25">
      <c r="A334" s="279"/>
      <c r="B334" s="311">
        <f>'Kaporit BENAR'!B29</f>
        <v>0</v>
      </c>
      <c r="C334" s="311">
        <f>'Kaporit BENAR'!C29</f>
        <v>0</v>
      </c>
      <c r="D334" s="311">
        <f>'Kaporit BENAR'!D29</f>
        <v>0</v>
      </c>
      <c r="E334" s="311">
        <f>'Kaporit BENAR'!E29</f>
        <v>0</v>
      </c>
      <c r="F334" s="311">
        <f>'Kaporit BENAR'!F29</f>
        <v>0</v>
      </c>
      <c r="G334" s="311">
        <f>'Kaporit BENAR'!G29</f>
        <v>0</v>
      </c>
      <c r="H334" s="311">
        <f>'Kaporit BENAR'!H29</f>
        <v>0</v>
      </c>
      <c r="I334" s="311">
        <f>'Kaporit BENAR'!I29</f>
        <v>0</v>
      </c>
      <c r="J334" s="311">
        <f>'Kaporit BENAR'!J29</f>
        <v>0</v>
      </c>
      <c r="K334" s="311">
        <f>'Kaporit BENAR'!K29</f>
        <v>0</v>
      </c>
      <c r="L334" s="311">
        <f>'Kaporit BENAR'!L29</f>
        <v>0</v>
      </c>
      <c r="M334" s="311">
        <f>'Kaporit BENAR'!M29</f>
        <v>0</v>
      </c>
      <c r="N334" s="311">
        <f>'Kaporit BENAR'!N29</f>
        <v>0</v>
      </c>
      <c r="O334" s="311">
        <f>'Kaporit BENAR'!O29</f>
        <v>0</v>
      </c>
      <c r="P334" s="311">
        <f>'Kaporit BENAR'!P29</f>
        <v>0</v>
      </c>
      <c r="Q334" s="311">
        <f>'Kaporit BENAR'!Q29</f>
        <v>0</v>
      </c>
    </row>
    <row r="335" spans="1:17" x14ac:dyDescent="0.25">
      <c r="A335" s="239"/>
      <c r="B335" s="240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71"/>
      <c r="P335" s="273"/>
      <c r="Q335" s="273"/>
    </row>
    <row r="336" spans="1:17" x14ac:dyDescent="0.25">
      <c r="A336" s="242"/>
      <c r="B336" s="242"/>
      <c r="C336" s="242"/>
      <c r="D336" s="242"/>
      <c r="E336" s="242"/>
      <c r="F336" s="242"/>
      <c r="G336" s="242"/>
      <c r="H336" s="242"/>
      <c r="I336" s="242"/>
      <c r="J336" s="242"/>
      <c r="K336" s="242"/>
      <c r="L336" s="242"/>
      <c r="M336" s="242"/>
      <c r="N336" s="242"/>
      <c r="O336" s="242"/>
      <c r="P336" s="242"/>
      <c r="Q336" s="242"/>
    </row>
    <row r="337" spans="1:17" x14ac:dyDescent="0.25">
      <c r="A337" s="242"/>
      <c r="B337" s="242"/>
      <c r="C337" s="242"/>
      <c r="D337" s="242"/>
      <c r="E337" s="242"/>
      <c r="F337" s="242"/>
      <c r="G337" s="242"/>
      <c r="H337" s="242"/>
      <c r="I337" s="242"/>
      <c r="J337" s="242"/>
      <c r="K337" s="242"/>
      <c r="L337" s="242"/>
      <c r="M337" s="242"/>
      <c r="N337" s="242"/>
      <c r="O337" s="242"/>
      <c r="P337" s="242"/>
      <c r="Q337" s="242"/>
    </row>
    <row r="338" spans="1:17" x14ac:dyDescent="0.25">
      <c r="A338" s="242"/>
      <c r="B338" s="242"/>
      <c r="C338" s="242"/>
      <c r="D338" s="242"/>
      <c r="E338" s="242"/>
      <c r="F338" s="242"/>
      <c r="G338" s="242"/>
      <c r="H338" s="242"/>
      <c r="I338" s="242"/>
      <c r="J338" s="242"/>
      <c r="K338" s="242"/>
      <c r="L338" s="242"/>
      <c r="M338" s="242"/>
      <c r="N338" s="242"/>
      <c r="O338" s="242"/>
      <c r="P338" s="242"/>
      <c r="Q338" s="242"/>
    </row>
    <row r="339" spans="1:17" x14ac:dyDescent="0.25">
      <c r="A339" s="537" t="s">
        <v>44</v>
      </c>
      <c r="B339" s="537"/>
      <c r="C339" s="537"/>
      <c r="D339" s="537"/>
      <c r="E339" s="537"/>
      <c r="F339" s="537"/>
      <c r="G339" s="537"/>
      <c r="H339" s="537"/>
      <c r="I339" s="537"/>
      <c r="J339" s="537"/>
      <c r="K339" s="537"/>
      <c r="L339" s="242"/>
      <c r="M339" s="242"/>
      <c r="N339" s="242"/>
      <c r="O339" s="242"/>
      <c r="P339" s="242"/>
      <c r="Q339" s="242"/>
    </row>
    <row r="340" spans="1:17" x14ac:dyDescent="0.25">
      <c r="A340" s="536" t="s">
        <v>0</v>
      </c>
      <c r="B340" s="536" t="s">
        <v>7</v>
      </c>
      <c r="C340" s="536"/>
      <c r="D340" s="536"/>
      <c r="E340" s="536" t="s">
        <v>5</v>
      </c>
      <c r="F340" s="536"/>
      <c r="G340" s="536"/>
      <c r="H340" s="536" t="s">
        <v>4</v>
      </c>
      <c r="I340" s="536"/>
      <c r="J340" s="536" t="s">
        <v>6</v>
      </c>
      <c r="K340" s="536"/>
      <c r="L340" s="242"/>
      <c r="M340" s="242"/>
      <c r="N340" s="242"/>
      <c r="O340" s="242"/>
      <c r="P340" s="242"/>
      <c r="Q340" s="242"/>
    </row>
    <row r="341" spans="1:17" x14ac:dyDescent="0.25">
      <c r="A341" s="536"/>
      <c r="B341" s="231" t="s">
        <v>8</v>
      </c>
      <c r="C341" s="231" t="s">
        <v>14</v>
      </c>
      <c r="D341" s="231" t="s">
        <v>13</v>
      </c>
      <c r="E341" s="231" t="s">
        <v>8</v>
      </c>
      <c r="F341" s="231" t="s">
        <v>14</v>
      </c>
      <c r="G341" s="231" t="s">
        <v>10</v>
      </c>
      <c r="H341" s="231" t="s">
        <v>8</v>
      </c>
      <c r="I341" s="231" t="s">
        <v>13</v>
      </c>
      <c r="J341" s="231" t="s">
        <v>8</v>
      </c>
      <c r="K341" s="231" t="s">
        <v>13</v>
      </c>
      <c r="L341" s="242"/>
      <c r="M341" s="242"/>
      <c r="N341" s="242"/>
      <c r="O341" s="242"/>
      <c r="P341" s="242"/>
      <c r="Q341" s="242"/>
    </row>
    <row r="342" spans="1:17" x14ac:dyDescent="0.25">
      <c r="A342" s="232"/>
      <c r="B342" s="233"/>
      <c r="C342" s="233"/>
      <c r="D342" s="233"/>
      <c r="E342" s="233"/>
      <c r="F342" s="233"/>
      <c r="G342" s="233"/>
      <c r="H342" s="233"/>
      <c r="I342" s="233"/>
      <c r="J342" s="233"/>
      <c r="K342" s="233"/>
      <c r="L342" s="242"/>
      <c r="M342" s="242"/>
      <c r="N342" s="242"/>
      <c r="O342" s="242"/>
      <c r="P342" s="242"/>
      <c r="Q342" s="242"/>
    </row>
    <row r="343" spans="1:17" x14ac:dyDescent="0.25">
      <c r="A343" s="243" t="s">
        <v>56</v>
      </c>
      <c r="B343" s="244">
        <f>'Kaporit K. B'!B32</f>
        <v>0</v>
      </c>
      <c r="C343" s="244">
        <f>'Kaporit K. B'!C32</f>
        <v>0</v>
      </c>
      <c r="D343" s="244">
        <f>'Kaporit K. B'!D32</f>
        <v>0</v>
      </c>
      <c r="E343" s="244">
        <f>'Kaporit K. B'!E32</f>
        <v>0</v>
      </c>
      <c r="F343" s="244">
        <f>'Kaporit K. B'!F32</f>
        <v>0</v>
      </c>
      <c r="G343" s="244">
        <f>'Kaporit K. B'!G32</f>
        <v>0</v>
      </c>
      <c r="H343" s="244">
        <f>'Kaporit K. B'!H32</f>
        <v>0</v>
      </c>
      <c r="I343" s="244">
        <f>'Kaporit K. B'!I32</f>
        <v>0</v>
      </c>
      <c r="J343" s="244">
        <f>'Kaporit K. B'!J32</f>
        <v>0</v>
      </c>
      <c r="K343" s="244">
        <f>'Kaporit K. B'!K32</f>
        <v>0</v>
      </c>
      <c r="L343" s="242"/>
      <c r="M343" s="242"/>
      <c r="N343" s="242"/>
      <c r="O343" s="242"/>
      <c r="P343" s="242"/>
      <c r="Q343" s="242"/>
    </row>
    <row r="344" spans="1:17" x14ac:dyDescent="0.25">
      <c r="A344" s="243"/>
      <c r="B344" s="244" t="e">
        <f>'Kaporit K. B'!#REF!</f>
        <v>#REF!</v>
      </c>
      <c r="C344" s="244" t="e">
        <f>'Kaporit K. B'!#REF!</f>
        <v>#REF!</v>
      </c>
      <c r="D344" s="244" t="e">
        <f>'Kaporit K. B'!#REF!</f>
        <v>#REF!</v>
      </c>
      <c r="E344" s="244" t="e">
        <f>'Kaporit K. B'!#REF!</f>
        <v>#REF!</v>
      </c>
      <c r="F344" s="244" t="e">
        <f>'Kaporit K. B'!#REF!</f>
        <v>#REF!</v>
      </c>
      <c r="G344" s="244" t="e">
        <f>'Kaporit K. B'!#REF!</f>
        <v>#REF!</v>
      </c>
      <c r="H344" s="244" t="e">
        <f>'Kaporit K. B'!#REF!</f>
        <v>#REF!</v>
      </c>
      <c r="I344" s="244" t="e">
        <f>'Kaporit K. B'!#REF!</f>
        <v>#REF!</v>
      </c>
      <c r="J344" s="244" t="e">
        <f>'Kaporit K. B'!#REF!</f>
        <v>#REF!</v>
      </c>
      <c r="K344" s="244" t="e">
        <f>'Kaporit K. B'!#REF!</f>
        <v>#REF!</v>
      </c>
      <c r="L344" s="242"/>
      <c r="M344" s="242"/>
      <c r="N344" s="242"/>
      <c r="O344" s="242"/>
      <c r="P344" s="242"/>
      <c r="Q344" s="242"/>
    </row>
    <row r="345" spans="1:17" x14ac:dyDescent="0.25">
      <c r="A345" s="243"/>
      <c r="B345" s="296" t="e">
        <f>'Kaporit K. B'!#REF!</f>
        <v>#REF!</v>
      </c>
      <c r="C345" s="296" t="e">
        <f>'Kaporit K. B'!#REF!</f>
        <v>#REF!</v>
      </c>
      <c r="D345" s="296" t="e">
        <f>'Kaporit K. B'!#REF!</f>
        <v>#REF!</v>
      </c>
      <c r="E345" s="244" t="e">
        <f>'Kaporit K. B'!#REF!</f>
        <v>#REF!</v>
      </c>
      <c r="F345" s="244" t="e">
        <f>'Kaporit K. B'!#REF!</f>
        <v>#REF!</v>
      </c>
      <c r="G345" s="244" t="e">
        <f>'Kaporit K. B'!#REF!</f>
        <v>#REF!</v>
      </c>
      <c r="H345" s="244" t="e">
        <f>'Kaporit K. B'!#REF!</f>
        <v>#REF!</v>
      </c>
      <c r="I345" s="244" t="e">
        <f>'Kaporit K. B'!#REF!</f>
        <v>#REF!</v>
      </c>
      <c r="J345" s="296" t="e">
        <f>'Kaporit K. B'!#REF!</f>
        <v>#REF!</v>
      </c>
      <c r="K345" s="296" t="e">
        <f>'Kaporit K. B'!#REF!</f>
        <v>#REF!</v>
      </c>
      <c r="L345" s="242"/>
      <c r="M345" s="242"/>
      <c r="N345" s="242"/>
      <c r="O345" s="242"/>
      <c r="P345" s="242"/>
      <c r="Q345" s="242"/>
    </row>
    <row r="346" spans="1:17" x14ac:dyDescent="0.25">
      <c r="A346" s="247"/>
      <c r="B346" s="248"/>
      <c r="C346" s="248"/>
      <c r="D346" s="249"/>
      <c r="E346" s="250"/>
      <c r="F346" s="249"/>
      <c r="G346" s="249"/>
      <c r="H346" s="248"/>
      <c r="I346" s="251"/>
      <c r="J346" s="241"/>
      <c r="K346" s="251"/>
      <c r="L346" s="242"/>
      <c r="M346" s="242"/>
      <c r="N346" s="242"/>
      <c r="O346" s="242"/>
      <c r="P346" s="242"/>
      <c r="Q346" s="242"/>
    </row>
    <row r="347" spans="1:17" x14ac:dyDescent="0.25">
      <c r="A347" s="242"/>
      <c r="B347" s="242"/>
      <c r="C347" s="242"/>
      <c r="D347" s="242"/>
      <c r="E347" s="242"/>
      <c r="F347" s="242"/>
      <c r="G347" s="242"/>
      <c r="H347" s="242"/>
      <c r="I347" s="242"/>
      <c r="J347" s="242"/>
      <c r="K347" s="242"/>
      <c r="L347" s="242"/>
      <c r="M347" s="242"/>
      <c r="N347" s="242"/>
      <c r="O347" s="242"/>
      <c r="P347" s="242"/>
      <c r="Q347" s="242"/>
    </row>
    <row r="348" spans="1:17" x14ac:dyDescent="0.25">
      <c r="A348" s="242"/>
      <c r="B348" s="242"/>
      <c r="C348" s="242"/>
      <c r="D348" s="242"/>
      <c r="E348" s="242"/>
      <c r="F348" s="242"/>
      <c r="G348" s="242"/>
      <c r="H348" s="242"/>
      <c r="I348" s="242"/>
      <c r="J348" s="242"/>
      <c r="K348" s="242"/>
      <c r="L348" s="242"/>
      <c r="M348" s="242"/>
      <c r="N348" s="242"/>
      <c r="O348" s="242"/>
      <c r="P348" s="242"/>
      <c r="Q348" s="242"/>
    </row>
    <row r="349" spans="1:17" x14ac:dyDescent="0.25">
      <c r="A349" s="242"/>
      <c r="B349" s="242"/>
      <c r="C349" s="242"/>
      <c r="D349" s="242"/>
      <c r="E349" s="242"/>
      <c r="F349" s="242"/>
      <c r="G349" s="242"/>
      <c r="H349" s="242"/>
      <c r="I349" s="242"/>
      <c r="J349" s="242"/>
      <c r="K349" s="242"/>
      <c r="L349" s="242"/>
      <c r="M349" s="242"/>
      <c r="N349" s="242"/>
      <c r="O349" s="242"/>
      <c r="P349" s="242"/>
      <c r="Q349" s="242"/>
    </row>
    <row r="350" spans="1:17" x14ac:dyDescent="0.25">
      <c r="A350" s="537" t="s">
        <v>49</v>
      </c>
      <c r="B350" s="537"/>
      <c r="C350" s="537"/>
      <c r="D350" s="537"/>
      <c r="E350" s="537"/>
      <c r="F350" s="537"/>
      <c r="G350" s="537"/>
      <c r="H350" s="537"/>
      <c r="I350" s="537"/>
      <c r="J350" s="537"/>
      <c r="K350" s="537"/>
      <c r="L350" s="242"/>
      <c r="M350" s="242"/>
      <c r="N350" s="242"/>
      <c r="O350" s="242"/>
      <c r="P350" s="242"/>
      <c r="Q350" s="242"/>
    </row>
    <row r="351" spans="1:17" x14ac:dyDescent="0.25">
      <c r="A351" s="536" t="s">
        <v>0</v>
      </c>
      <c r="B351" s="536" t="s">
        <v>7</v>
      </c>
      <c r="C351" s="536"/>
      <c r="D351" s="536"/>
      <c r="E351" s="536" t="s">
        <v>5</v>
      </c>
      <c r="F351" s="536"/>
      <c r="G351" s="536"/>
      <c r="H351" s="536" t="s">
        <v>4</v>
      </c>
      <c r="I351" s="536"/>
      <c r="J351" s="536" t="s">
        <v>6</v>
      </c>
      <c r="K351" s="536"/>
      <c r="L351" s="242"/>
      <c r="M351" s="242"/>
      <c r="N351" s="242"/>
      <c r="O351" s="242"/>
      <c r="P351" s="242"/>
      <c r="Q351" s="242"/>
    </row>
    <row r="352" spans="1:17" x14ac:dyDescent="0.25">
      <c r="A352" s="536"/>
      <c r="B352" s="231" t="s">
        <v>8</v>
      </c>
      <c r="C352" s="231" t="s">
        <v>14</v>
      </c>
      <c r="D352" s="231" t="s">
        <v>13</v>
      </c>
      <c r="E352" s="231" t="s">
        <v>8</v>
      </c>
      <c r="F352" s="231" t="s">
        <v>14</v>
      </c>
      <c r="G352" s="231" t="s">
        <v>10</v>
      </c>
      <c r="H352" s="231" t="s">
        <v>8</v>
      </c>
      <c r="I352" s="231" t="s">
        <v>13</v>
      </c>
      <c r="J352" s="231" t="s">
        <v>8</v>
      </c>
      <c r="K352" s="231" t="s">
        <v>13</v>
      </c>
      <c r="L352" s="242"/>
      <c r="M352" s="242"/>
      <c r="N352" s="242"/>
      <c r="O352" s="242"/>
      <c r="P352" s="242"/>
      <c r="Q352" s="242"/>
    </row>
    <row r="353" spans="1:17" x14ac:dyDescent="0.25">
      <c r="A353" s="232"/>
      <c r="B353" s="233"/>
      <c r="C353" s="233"/>
      <c r="D353" s="233"/>
      <c r="E353" s="233"/>
      <c r="F353" s="233"/>
      <c r="G353" s="233"/>
      <c r="H353" s="233"/>
      <c r="I353" s="233"/>
      <c r="J353" s="233"/>
      <c r="K353" s="233"/>
      <c r="L353" s="242"/>
      <c r="M353" s="242"/>
      <c r="N353" s="242"/>
      <c r="O353" s="242"/>
      <c r="P353" s="242"/>
      <c r="Q353" s="242"/>
    </row>
    <row r="354" spans="1:17" x14ac:dyDescent="0.25">
      <c r="A354" s="243" t="s">
        <v>56</v>
      </c>
      <c r="B354" s="244">
        <f>'Kaporit Hanau'!B27</f>
        <v>0</v>
      </c>
      <c r="C354" s="244">
        <f>'Kaporit Hanau'!C27</f>
        <v>0</v>
      </c>
      <c r="D354" s="244">
        <f>'Kaporit Hanau'!D27</f>
        <v>0</v>
      </c>
      <c r="E354" s="244">
        <f>'Kaporit Hanau'!E27</f>
        <v>0</v>
      </c>
      <c r="F354" s="244">
        <f>'Kaporit Hanau'!F27</f>
        <v>0</v>
      </c>
      <c r="G354" s="244">
        <f>'Kaporit Hanau'!G27</f>
        <v>0</v>
      </c>
      <c r="H354" s="244">
        <f>'Kaporit Hanau'!H27</f>
        <v>0</v>
      </c>
      <c r="I354" s="244">
        <f>'Kaporit Hanau'!I27</f>
        <v>0</v>
      </c>
      <c r="J354" s="244">
        <f>'Kaporit Hanau'!J27</f>
        <v>0</v>
      </c>
      <c r="K354" s="244">
        <f>'Kaporit Hanau'!K27</f>
        <v>0</v>
      </c>
      <c r="L354" s="242"/>
      <c r="M354" s="242"/>
      <c r="N354" s="242"/>
      <c r="O354" s="242"/>
      <c r="P354" s="242"/>
      <c r="Q354" s="242"/>
    </row>
    <row r="355" spans="1:17" x14ac:dyDescent="0.25">
      <c r="A355" s="247"/>
      <c r="B355" s="248"/>
      <c r="C355" s="248"/>
      <c r="D355" s="249"/>
      <c r="E355" s="250"/>
      <c r="F355" s="249"/>
      <c r="G355" s="249"/>
      <c r="H355" s="248"/>
      <c r="I355" s="251"/>
      <c r="J355" s="241"/>
      <c r="K355" s="251"/>
      <c r="L355" s="242"/>
      <c r="M355" s="242"/>
      <c r="N355" s="242"/>
      <c r="O355" s="242"/>
      <c r="P355" s="242"/>
      <c r="Q355" s="242"/>
    </row>
    <row r="359" spans="1:17" ht="21" x14ac:dyDescent="0.35">
      <c r="A359" s="278" t="s">
        <v>107</v>
      </c>
      <c r="B359" s="297"/>
      <c r="C359" s="297"/>
      <c r="D359" s="297"/>
      <c r="E359" s="297"/>
      <c r="F359" s="297"/>
      <c r="G359" s="297"/>
      <c r="H359" s="297"/>
      <c r="I359" s="297"/>
      <c r="J359" s="297"/>
      <c r="K359" s="297"/>
      <c r="L359" s="297"/>
      <c r="M359" s="297"/>
      <c r="N359" s="297"/>
      <c r="O359" s="297"/>
      <c r="P359" s="297"/>
      <c r="Q359" s="297"/>
    </row>
    <row r="360" spans="1:17" x14ac:dyDescent="0.25">
      <c r="A360" s="529" t="s">
        <v>43</v>
      </c>
      <c r="B360" s="529"/>
      <c r="C360" s="529"/>
      <c r="D360" s="529"/>
      <c r="E360" s="529"/>
      <c r="F360" s="529"/>
      <c r="G360" s="529"/>
      <c r="H360" s="529"/>
      <c r="I360" s="529"/>
      <c r="J360" s="529"/>
      <c r="K360" s="529"/>
      <c r="L360" s="529"/>
      <c r="M360" s="529"/>
      <c r="N360" s="529"/>
      <c r="O360" s="529"/>
      <c r="P360" s="529"/>
      <c r="Q360" s="529"/>
    </row>
    <row r="361" spans="1:17" x14ac:dyDescent="0.25">
      <c r="A361" s="303"/>
      <c r="B361" s="303"/>
      <c r="C361" s="303"/>
      <c r="D361" s="303"/>
      <c r="E361" s="303"/>
      <c r="F361" s="304"/>
      <c r="G361" s="303"/>
      <c r="H361" s="303"/>
      <c r="I361" s="303"/>
      <c r="J361" s="303"/>
      <c r="K361" s="303"/>
      <c r="L361" s="303"/>
      <c r="M361" s="303"/>
      <c r="N361" s="303"/>
      <c r="O361" s="303"/>
      <c r="P361" s="303"/>
      <c r="Q361" s="303"/>
    </row>
    <row r="362" spans="1:17" x14ac:dyDescent="0.25">
      <c r="A362" s="530" t="s">
        <v>0</v>
      </c>
      <c r="B362" s="532" t="s">
        <v>7</v>
      </c>
      <c r="C362" s="532"/>
      <c r="D362" s="532"/>
      <c r="E362" s="532" t="s">
        <v>5</v>
      </c>
      <c r="F362" s="532"/>
      <c r="G362" s="532"/>
      <c r="H362" s="533" t="s">
        <v>25</v>
      </c>
      <c r="I362" s="534"/>
      <c r="J362" s="535"/>
      <c r="K362" s="533" t="s">
        <v>26</v>
      </c>
      <c r="L362" s="534"/>
      <c r="M362" s="535"/>
      <c r="N362" s="532" t="s">
        <v>4</v>
      </c>
      <c r="O362" s="532"/>
      <c r="P362" s="532" t="s">
        <v>6</v>
      </c>
      <c r="Q362" s="532"/>
    </row>
    <row r="363" spans="1:17" x14ac:dyDescent="0.25">
      <c r="A363" s="531"/>
      <c r="B363" s="305" t="s">
        <v>8</v>
      </c>
      <c r="C363" s="305" t="s">
        <v>9</v>
      </c>
      <c r="D363" s="305" t="s">
        <v>13</v>
      </c>
      <c r="E363" s="305" t="s">
        <v>8</v>
      </c>
      <c r="F363" s="306" t="s">
        <v>9</v>
      </c>
      <c r="G363" s="305" t="s">
        <v>10</v>
      </c>
      <c r="H363" s="307" t="s">
        <v>8</v>
      </c>
      <c r="I363" s="307" t="s">
        <v>9</v>
      </c>
      <c r="J363" s="307" t="s">
        <v>13</v>
      </c>
      <c r="K363" s="307" t="s">
        <v>8</v>
      </c>
      <c r="L363" s="307" t="s">
        <v>9</v>
      </c>
      <c r="M363" s="307" t="s">
        <v>13</v>
      </c>
      <c r="N363" s="305" t="s">
        <v>8</v>
      </c>
      <c r="O363" s="305" t="s">
        <v>13</v>
      </c>
      <c r="P363" s="305" t="s">
        <v>8</v>
      </c>
      <c r="Q363" s="305" t="s">
        <v>13</v>
      </c>
    </row>
    <row r="364" spans="1:17" x14ac:dyDescent="0.25">
      <c r="A364" s="308"/>
      <c r="B364" s="309"/>
      <c r="C364" s="309"/>
      <c r="D364" s="309"/>
      <c r="E364" s="309"/>
      <c r="F364" s="310"/>
      <c r="G364" s="309"/>
      <c r="H364" s="309"/>
      <c r="I364" s="309"/>
      <c r="J364" s="309"/>
      <c r="K364" s="309"/>
      <c r="L364" s="309"/>
      <c r="M364" s="309"/>
      <c r="N364" s="309"/>
      <c r="O364" s="309"/>
      <c r="P364" s="309"/>
      <c r="Q364" s="309"/>
    </row>
    <row r="365" spans="1:17" x14ac:dyDescent="0.25">
      <c r="A365" s="286" t="s">
        <v>57</v>
      </c>
      <c r="B365" s="311">
        <f>'Kaporit BENAR'!B30</f>
        <v>0</v>
      </c>
      <c r="C365" s="311">
        <f>'Kaporit BENAR'!C30</f>
        <v>0</v>
      </c>
      <c r="D365" s="311">
        <f>'Kaporit BENAR'!D30</f>
        <v>0</v>
      </c>
      <c r="E365" s="311">
        <f>'Kaporit BENAR'!E30</f>
        <v>0</v>
      </c>
      <c r="F365" s="311">
        <f>'Kaporit BENAR'!F30</f>
        <v>0</v>
      </c>
      <c r="G365" s="311">
        <f>'Kaporit BENAR'!G30</f>
        <v>0</v>
      </c>
      <c r="H365" s="311">
        <f>'Kaporit BENAR'!H30</f>
        <v>0</v>
      </c>
      <c r="I365" s="311">
        <f>'Kaporit BENAR'!I30</f>
        <v>0</v>
      </c>
      <c r="J365" s="311">
        <f>'Kaporit BENAR'!J30</f>
        <v>0</v>
      </c>
      <c r="K365" s="311">
        <f>'Kaporit BENAR'!K30</f>
        <v>0</v>
      </c>
      <c r="L365" s="311">
        <f>'Kaporit BENAR'!L30</f>
        <v>0</v>
      </c>
      <c r="M365" s="311">
        <f>'Kaporit BENAR'!M30</f>
        <v>0</v>
      </c>
      <c r="N365" s="311">
        <f>'Kaporit BENAR'!N30</f>
        <v>0</v>
      </c>
      <c r="O365" s="311">
        <f>'Kaporit BENAR'!O30</f>
        <v>0</v>
      </c>
      <c r="P365" s="311">
        <f>'Kaporit BENAR'!P30</f>
        <v>0</v>
      </c>
      <c r="Q365" s="311">
        <f>'Kaporit BENAR'!Q30</f>
        <v>0</v>
      </c>
    </row>
    <row r="366" spans="1:17" x14ac:dyDescent="0.25">
      <c r="A366" s="279"/>
      <c r="B366" s="311" t="e">
        <f>'Kaporit BENAR'!#REF!</f>
        <v>#REF!</v>
      </c>
      <c r="C366" s="311" t="e">
        <f>'Kaporit BENAR'!#REF!</f>
        <v>#REF!</v>
      </c>
      <c r="D366" s="311" t="e">
        <f>'Kaporit BENAR'!#REF!</f>
        <v>#REF!</v>
      </c>
      <c r="E366" s="311" t="e">
        <f>'Kaporit BENAR'!#REF!</f>
        <v>#REF!</v>
      </c>
      <c r="F366" s="311" t="e">
        <f>'Kaporit BENAR'!#REF!</f>
        <v>#REF!</v>
      </c>
      <c r="G366" s="311" t="e">
        <f>'Kaporit BENAR'!#REF!</f>
        <v>#REF!</v>
      </c>
      <c r="H366" s="311" t="e">
        <f>'Kaporit BENAR'!#REF!</f>
        <v>#REF!</v>
      </c>
      <c r="I366" s="311" t="e">
        <f>'Kaporit BENAR'!#REF!</f>
        <v>#REF!</v>
      </c>
      <c r="J366" s="311" t="e">
        <f>'Kaporit BENAR'!#REF!</f>
        <v>#REF!</v>
      </c>
      <c r="K366" s="311" t="e">
        <f>'Kaporit BENAR'!#REF!</f>
        <v>#REF!</v>
      </c>
      <c r="L366" s="311" t="e">
        <f>'Kaporit BENAR'!#REF!</f>
        <v>#REF!</v>
      </c>
      <c r="M366" s="311" t="e">
        <f>'Kaporit BENAR'!#REF!</f>
        <v>#REF!</v>
      </c>
      <c r="N366" s="311" t="e">
        <f>'Kaporit BENAR'!#REF!</f>
        <v>#REF!</v>
      </c>
      <c r="O366" s="311" t="e">
        <f>'Kaporit BENAR'!#REF!</f>
        <v>#REF!</v>
      </c>
      <c r="P366" s="311" t="e">
        <f>'Kaporit BENAR'!#REF!</f>
        <v>#REF!</v>
      </c>
      <c r="Q366" s="311" t="e">
        <f>'Kaporit BENAR'!#REF!</f>
        <v>#REF!</v>
      </c>
    </row>
    <row r="367" spans="1:17" x14ac:dyDescent="0.25">
      <c r="A367" s="239"/>
      <c r="B367" s="388" t="e">
        <f>'Kaporit BENAR'!#REF!</f>
        <v>#REF!</v>
      </c>
      <c r="C367" s="388" t="e">
        <f>'Kaporit BENAR'!#REF!</f>
        <v>#REF!</v>
      </c>
      <c r="D367" s="388" t="e">
        <f>'Kaporit BENAR'!#REF!</f>
        <v>#REF!</v>
      </c>
      <c r="E367" s="388" t="e">
        <f>'Kaporit BENAR'!#REF!</f>
        <v>#REF!</v>
      </c>
      <c r="F367" s="388" t="e">
        <f>'Kaporit BENAR'!#REF!</f>
        <v>#REF!</v>
      </c>
      <c r="G367" s="388" t="e">
        <f>'Kaporit BENAR'!#REF!</f>
        <v>#REF!</v>
      </c>
      <c r="H367" s="388" t="e">
        <f>'Kaporit BENAR'!#REF!</f>
        <v>#REF!</v>
      </c>
      <c r="I367" s="388" t="e">
        <f>'Kaporit BENAR'!#REF!</f>
        <v>#REF!</v>
      </c>
      <c r="J367" s="388" t="e">
        <f>'Kaporit BENAR'!#REF!</f>
        <v>#REF!</v>
      </c>
      <c r="K367" s="388" t="e">
        <f>'Kaporit BENAR'!#REF!</f>
        <v>#REF!</v>
      </c>
      <c r="L367" s="388" t="e">
        <f>'Kaporit BENAR'!#REF!</f>
        <v>#REF!</v>
      </c>
      <c r="M367" s="388" t="e">
        <f>'Kaporit BENAR'!#REF!</f>
        <v>#REF!</v>
      </c>
      <c r="N367" s="388" t="e">
        <f>'Kaporit BENAR'!#REF!</f>
        <v>#REF!</v>
      </c>
      <c r="O367" s="388" t="e">
        <f>'Kaporit BENAR'!#REF!</f>
        <v>#REF!</v>
      </c>
      <c r="P367" s="389" t="e">
        <f>'Kaporit BENAR'!#REF!</f>
        <v>#REF!</v>
      </c>
      <c r="Q367" s="389" t="e">
        <f>'Kaporit BENAR'!#REF!</f>
        <v>#REF!</v>
      </c>
    </row>
    <row r="368" spans="1:17" x14ac:dyDescent="0.25">
      <c r="A368" s="242"/>
      <c r="B368" s="242"/>
      <c r="C368" s="242"/>
      <c r="D368" s="242"/>
      <c r="E368" s="242"/>
      <c r="F368" s="242"/>
      <c r="G368" s="242"/>
      <c r="H368" s="242"/>
      <c r="I368" s="242"/>
      <c r="J368" s="242"/>
      <c r="K368" s="242"/>
      <c r="L368" s="242"/>
      <c r="M368" s="242"/>
      <c r="N368" s="242"/>
      <c r="O368" s="242"/>
      <c r="P368" s="242"/>
      <c r="Q368" s="242"/>
    </row>
    <row r="369" spans="1:17" x14ac:dyDescent="0.25">
      <c r="A369" s="242"/>
      <c r="B369" s="242"/>
      <c r="C369" s="242"/>
      <c r="D369" s="242"/>
      <c r="E369" s="242"/>
      <c r="F369" s="242"/>
      <c r="G369" s="242"/>
      <c r="H369" s="242"/>
      <c r="I369" s="242"/>
      <c r="J369" s="242"/>
      <c r="K369" s="242"/>
      <c r="L369" s="242"/>
      <c r="M369" s="242"/>
      <c r="N369" s="242"/>
      <c r="O369" s="242"/>
      <c r="P369" s="242"/>
      <c r="Q369" s="242"/>
    </row>
    <row r="370" spans="1:17" x14ac:dyDescent="0.25">
      <c r="A370" s="242"/>
      <c r="B370" s="242"/>
      <c r="C370" s="242"/>
      <c r="D370" s="242"/>
      <c r="E370" s="242"/>
      <c r="F370" s="242"/>
      <c r="G370" s="242"/>
      <c r="H370" s="242"/>
      <c r="I370" s="242"/>
      <c r="J370" s="242"/>
      <c r="K370" s="242"/>
      <c r="L370" s="242"/>
      <c r="M370" s="242"/>
      <c r="N370" s="242"/>
      <c r="O370" s="242"/>
      <c r="P370" s="242"/>
      <c r="Q370" s="242"/>
    </row>
    <row r="371" spans="1:17" x14ac:dyDescent="0.25">
      <c r="A371" s="537" t="s">
        <v>44</v>
      </c>
      <c r="B371" s="537"/>
      <c r="C371" s="537"/>
      <c r="D371" s="537"/>
      <c r="E371" s="537"/>
      <c r="F371" s="537"/>
      <c r="G371" s="537"/>
      <c r="H371" s="537"/>
      <c r="I371" s="537"/>
      <c r="J371" s="537"/>
      <c r="K371" s="537"/>
      <c r="L371" s="242"/>
      <c r="M371" s="242"/>
      <c r="N371" s="242"/>
      <c r="O371" s="242"/>
      <c r="P371" s="242"/>
      <c r="Q371" s="242"/>
    </row>
    <row r="372" spans="1:17" x14ac:dyDescent="0.25">
      <c r="A372" s="536" t="s">
        <v>0</v>
      </c>
      <c r="B372" s="536" t="s">
        <v>7</v>
      </c>
      <c r="C372" s="536"/>
      <c r="D372" s="536"/>
      <c r="E372" s="536" t="s">
        <v>5</v>
      </c>
      <c r="F372" s="536"/>
      <c r="G372" s="536"/>
      <c r="H372" s="536" t="s">
        <v>4</v>
      </c>
      <c r="I372" s="536"/>
      <c r="J372" s="536" t="s">
        <v>6</v>
      </c>
      <c r="K372" s="536"/>
      <c r="L372" s="242"/>
      <c r="M372" s="242"/>
      <c r="N372" s="242"/>
      <c r="O372" s="242"/>
      <c r="P372" s="242"/>
      <c r="Q372" s="242"/>
    </row>
    <row r="373" spans="1:17" x14ac:dyDescent="0.25">
      <c r="A373" s="536"/>
      <c r="B373" s="231" t="s">
        <v>8</v>
      </c>
      <c r="C373" s="231" t="s">
        <v>14</v>
      </c>
      <c r="D373" s="231" t="s">
        <v>13</v>
      </c>
      <c r="E373" s="231" t="s">
        <v>8</v>
      </c>
      <c r="F373" s="231" t="s">
        <v>14</v>
      </c>
      <c r="G373" s="231" t="s">
        <v>10</v>
      </c>
      <c r="H373" s="231" t="s">
        <v>8</v>
      </c>
      <c r="I373" s="231" t="s">
        <v>13</v>
      </c>
      <c r="J373" s="231" t="s">
        <v>8</v>
      </c>
      <c r="K373" s="231" t="s">
        <v>13</v>
      </c>
      <c r="L373" s="242"/>
      <c r="M373" s="242"/>
      <c r="N373" s="242"/>
      <c r="O373" s="242"/>
      <c r="P373" s="242"/>
      <c r="Q373" s="242"/>
    </row>
    <row r="374" spans="1:17" x14ac:dyDescent="0.25">
      <c r="A374" s="232"/>
      <c r="B374" s="233"/>
      <c r="C374" s="233"/>
      <c r="D374" s="233"/>
      <c r="E374" s="233"/>
      <c r="F374" s="233"/>
      <c r="G374" s="233"/>
      <c r="H374" s="233"/>
      <c r="I374" s="233"/>
      <c r="J374" s="233"/>
      <c r="K374" s="233"/>
      <c r="L374" s="242"/>
      <c r="M374" s="242"/>
      <c r="N374" s="242"/>
      <c r="O374" s="242"/>
      <c r="P374" s="242"/>
      <c r="Q374" s="242"/>
    </row>
    <row r="375" spans="1:17" x14ac:dyDescent="0.25">
      <c r="A375" s="243" t="s">
        <v>57</v>
      </c>
      <c r="B375" s="244">
        <f>'Kaporit K. B'!B34</f>
        <v>0</v>
      </c>
      <c r="C375" s="244">
        <f>'Kaporit K. B'!C34</f>
        <v>0</v>
      </c>
      <c r="D375" s="244">
        <f>'Kaporit K. B'!D34</f>
        <v>0</v>
      </c>
      <c r="E375" s="244">
        <f>'Kaporit K. B'!E34</f>
        <v>0</v>
      </c>
      <c r="F375" s="244">
        <f>'Kaporit K. B'!F34</f>
        <v>0</v>
      </c>
      <c r="G375" s="244">
        <f>'Kaporit K. B'!G34</f>
        <v>0</v>
      </c>
      <c r="H375" s="244">
        <f>'Kaporit K. B'!H34</f>
        <v>0</v>
      </c>
      <c r="I375" s="244">
        <f>'Kaporit K. B'!I34</f>
        <v>0</v>
      </c>
      <c r="J375" s="244">
        <f>'Kaporit K. B'!J34</f>
        <v>0</v>
      </c>
      <c r="K375" s="244">
        <f>'Kaporit K. B'!K34</f>
        <v>0</v>
      </c>
      <c r="L375" s="242"/>
      <c r="M375" s="242"/>
      <c r="N375" s="242"/>
      <c r="O375" s="242"/>
      <c r="P375" s="242"/>
      <c r="Q375" s="242"/>
    </row>
    <row r="376" spans="1:17" x14ac:dyDescent="0.25">
      <c r="A376" s="243"/>
      <c r="B376" s="244">
        <f>'Kaporit K. B'!B35</f>
        <v>0</v>
      </c>
      <c r="C376" s="244">
        <f>'Kaporit K. B'!C35</f>
        <v>0</v>
      </c>
      <c r="D376" s="244">
        <f>'Kaporit K. B'!D35</f>
        <v>0</v>
      </c>
      <c r="E376" s="244">
        <f>'Kaporit K. B'!E35</f>
        <v>0</v>
      </c>
      <c r="F376" s="244">
        <f>'Kaporit K. B'!F35</f>
        <v>0</v>
      </c>
      <c r="G376" s="244">
        <f>'Kaporit K. B'!G35</f>
        <v>0</v>
      </c>
      <c r="H376" s="244">
        <f>'Kaporit K. B'!H35</f>
        <v>0</v>
      </c>
      <c r="I376" s="244">
        <f>'Kaporit K. B'!I35</f>
        <v>0</v>
      </c>
      <c r="J376" s="244">
        <f>'Kaporit K. B'!J35</f>
        <v>0</v>
      </c>
      <c r="K376" s="244">
        <f>'Kaporit K. B'!K35</f>
        <v>0</v>
      </c>
      <c r="L376" s="242"/>
      <c r="M376" s="242"/>
      <c r="N376" s="242"/>
      <c r="O376" s="242"/>
      <c r="P376" s="242"/>
      <c r="Q376" s="242"/>
    </row>
    <row r="377" spans="1:17" x14ac:dyDescent="0.25">
      <c r="A377" s="247"/>
      <c r="B377" s="375" t="e">
        <f>'Kaporit K. B'!#REF!</f>
        <v>#REF!</v>
      </c>
      <c r="C377" s="375" t="e">
        <f>'Kaporit K. B'!#REF!</f>
        <v>#REF!</v>
      </c>
      <c r="D377" s="375" t="e">
        <f>'Kaporit K. B'!#REF!</f>
        <v>#REF!</v>
      </c>
      <c r="E377" s="346" t="e">
        <f>'Kaporit K. B'!#REF!</f>
        <v>#REF!</v>
      </c>
      <c r="F377" s="346" t="e">
        <f>'Kaporit K. B'!#REF!</f>
        <v>#REF!</v>
      </c>
      <c r="G377" s="346" t="e">
        <f>'Kaporit K. B'!#REF!</f>
        <v>#REF!</v>
      </c>
      <c r="H377" s="346" t="e">
        <f>'Kaporit K. B'!#REF!</f>
        <v>#REF!</v>
      </c>
      <c r="I377" s="346" t="e">
        <f>'Kaporit K. B'!#REF!</f>
        <v>#REF!</v>
      </c>
      <c r="J377" s="375" t="e">
        <f>'Kaporit K. B'!#REF!</f>
        <v>#REF!</v>
      </c>
      <c r="K377" s="375" t="e">
        <f>'Kaporit K. B'!#REF!</f>
        <v>#REF!</v>
      </c>
      <c r="L377" s="242"/>
      <c r="M377" s="242"/>
      <c r="N377" s="242"/>
      <c r="O377" s="242"/>
      <c r="P377" s="242"/>
      <c r="Q377" s="242"/>
    </row>
    <row r="378" spans="1:17" x14ac:dyDescent="0.25">
      <c r="A378" s="242"/>
      <c r="B378" s="242"/>
      <c r="C378" s="242"/>
      <c r="D378" s="242"/>
      <c r="E378" s="242"/>
      <c r="F378" s="242"/>
      <c r="G378" s="242"/>
      <c r="H378" s="242"/>
      <c r="I378" s="242"/>
      <c r="J378" s="242"/>
      <c r="K378" s="242"/>
      <c r="L378" s="242"/>
      <c r="M378" s="242"/>
      <c r="N378" s="242"/>
      <c r="O378" s="242"/>
      <c r="P378" s="242"/>
      <c r="Q378" s="242"/>
    </row>
    <row r="379" spans="1:17" x14ac:dyDescent="0.25">
      <c r="A379" s="242"/>
      <c r="B379" s="242"/>
      <c r="C379" s="242"/>
      <c r="D379" s="242"/>
      <c r="E379" s="242"/>
      <c r="F379" s="242"/>
      <c r="G379" s="242"/>
      <c r="H379" s="242"/>
      <c r="I379" s="242"/>
      <c r="J379" s="242"/>
      <c r="K379" s="242"/>
      <c r="L379" s="242"/>
      <c r="M379" s="242"/>
      <c r="N379" s="242"/>
      <c r="O379" s="242"/>
      <c r="P379" s="242"/>
      <c r="Q379" s="242"/>
    </row>
    <row r="380" spans="1:17" x14ac:dyDescent="0.25">
      <c r="A380" s="242"/>
      <c r="B380" s="242"/>
      <c r="C380" s="242"/>
      <c r="D380" s="242"/>
      <c r="E380" s="242"/>
      <c r="F380" s="242"/>
      <c r="G380" s="242"/>
      <c r="H380" s="242"/>
      <c r="I380" s="242"/>
      <c r="J380" s="242"/>
      <c r="K380" s="242"/>
      <c r="L380" s="242"/>
      <c r="M380" s="242"/>
      <c r="N380" s="242"/>
      <c r="O380" s="242"/>
      <c r="P380" s="242"/>
      <c r="Q380" s="242"/>
    </row>
    <row r="381" spans="1:17" x14ac:dyDescent="0.25">
      <c r="A381" s="537" t="s">
        <v>49</v>
      </c>
      <c r="B381" s="537"/>
      <c r="C381" s="537"/>
      <c r="D381" s="537"/>
      <c r="E381" s="537"/>
      <c r="F381" s="537"/>
      <c r="G381" s="537"/>
      <c r="H381" s="537"/>
      <c r="I381" s="537"/>
      <c r="J381" s="537"/>
      <c r="K381" s="537"/>
      <c r="L381" s="242"/>
      <c r="M381" s="242"/>
      <c r="N381" s="242"/>
      <c r="O381" s="242"/>
      <c r="P381" s="242"/>
      <c r="Q381" s="242"/>
    </row>
    <row r="382" spans="1:17" x14ac:dyDescent="0.25">
      <c r="A382" s="536" t="s">
        <v>0</v>
      </c>
      <c r="B382" s="536" t="s">
        <v>7</v>
      </c>
      <c r="C382" s="536"/>
      <c r="D382" s="536"/>
      <c r="E382" s="536" t="s">
        <v>5</v>
      </c>
      <c r="F382" s="536"/>
      <c r="G382" s="536"/>
      <c r="H382" s="536" t="s">
        <v>4</v>
      </c>
      <c r="I382" s="536"/>
      <c r="J382" s="536" t="s">
        <v>6</v>
      </c>
      <c r="K382" s="536"/>
      <c r="L382" s="242"/>
      <c r="M382" s="242"/>
      <c r="N382" s="242"/>
      <c r="O382" s="242"/>
      <c r="P382" s="242"/>
      <c r="Q382" s="242"/>
    </row>
    <row r="383" spans="1:17" x14ac:dyDescent="0.25">
      <c r="A383" s="536"/>
      <c r="B383" s="231" t="s">
        <v>8</v>
      </c>
      <c r="C383" s="231" t="s">
        <v>14</v>
      </c>
      <c r="D383" s="231" t="s">
        <v>13</v>
      </c>
      <c r="E383" s="231" t="s">
        <v>8</v>
      </c>
      <c r="F383" s="231" t="s">
        <v>14</v>
      </c>
      <c r="G383" s="231" t="s">
        <v>10</v>
      </c>
      <c r="H383" s="231" t="s">
        <v>8</v>
      </c>
      <c r="I383" s="231" t="s">
        <v>13</v>
      </c>
      <c r="J383" s="231" t="s">
        <v>8</v>
      </c>
      <c r="K383" s="231" t="s">
        <v>13</v>
      </c>
      <c r="L383" s="242"/>
      <c r="M383" s="242"/>
      <c r="N383" s="242"/>
      <c r="O383" s="242"/>
      <c r="P383" s="242"/>
      <c r="Q383" s="242"/>
    </row>
    <row r="384" spans="1:17" x14ac:dyDescent="0.25">
      <c r="A384" s="232"/>
      <c r="B384" s="233"/>
      <c r="C384" s="233"/>
      <c r="D384" s="233"/>
      <c r="E384" s="233"/>
      <c r="F384" s="233"/>
      <c r="G384" s="233"/>
      <c r="H384" s="233"/>
      <c r="I384" s="233"/>
      <c r="J384" s="233"/>
      <c r="K384" s="233"/>
      <c r="L384" s="242"/>
      <c r="M384" s="242"/>
      <c r="N384" s="242"/>
      <c r="O384" s="242"/>
      <c r="P384" s="242"/>
      <c r="Q384" s="242"/>
    </row>
    <row r="385" spans="1:17" x14ac:dyDescent="0.25">
      <c r="A385" s="243" t="s">
        <v>57</v>
      </c>
      <c r="B385" s="244">
        <f>'Kaporit Hanau'!B29</f>
        <v>0</v>
      </c>
      <c r="C385" s="244">
        <f>'Kaporit Hanau'!C29</f>
        <v>0</v>
      </c>
      <c r="D385" s="244">
        <f>'Kaporit Hanau'!D29</f>
        <v>0</v>
      </c>
      <c r="E385" s="244">
        <f>'Kaporit Hanau'!E29</f>
        <v>0</v>
      </c>
      <c r="F385" s="244">
        <f>'Kaporit Hanau'!F29</f>
        <v>0</v>
      </c>
      <c r="G385" s="244">
        <f>'Kaporit Hanau'!G29</f>
        <v>0</v>
      </c>
      <c r="H385" s="244">
        <f>'Kaporit Hanau'!H29</f>
        <v>0</v>
      </c>
      <c r="I385" s="244">
        <f>'Kaporit Hanau'!I29</f>
        <v>0</v>
      </c>
      <c r="J385" s="244">
        <f>'Kaporit Hanau'!J29</f>
        <v>0</v>
      </c>
      <c r="K385" s="244">
        <f>'Kaporit Hanau'!K29</f>
        <v>0</v>
      </c>
      <c r="L385" s="242"/>
      <c r="M385" s="242"/>
      <c r="N385" s="242"/>
      <c r="O385" s="242"/>
      <c r="P385" s="242"/>
      <c r="Q385" s="242"/>
    </row>
    <row r="386" spans="1:17" x14ac:dyDescent="0.25">
      <c r="A386" s="247"/>
      <c r="B386" s="248"/>
      <c r="C386" s="248"/>
      <c r="D386" s="249"/>
      <c r="E386" s="250"/>
      <c r="F386" s="249"/>
      <c r="G386" s="249"/>
      <c r="H386" s="248"/>
      <c r="I386" s="251"/>
      <c r="J386" s="241"/>
      <c r="K386" s="251"/>
      <c r="L386" s="242"/>
      <c r="M386" s="242"/>
      <c r="N386" s="242"/>
      <c r="O386" s="242"/>
      <c r="P386" s="242"/>
      <c r="Q386" s="242"/>
    </row>
  </sheetData>
  <mergeCells count="246">
    <mergeCell ref="A101:B101"/>
    <mergeCell ref="A340:A341"/>
    <mergeCell ref="B340:D340"/>
    <mergeCell ref="E340:G340"/>
    <mergeCell ref="H340:I340"/>
    <mergeCell ref="J340:K340"/>
    <mergeCell ref="A350:K350"/>
    <mergeCell ref="A351:A352"/>
    <mergeCell ref="B351:D351"/>
    <mergeCell ref="E351:G351"/>
    <mergeCell ref="H351:I351"/>
    <mergeCell ref="J351:K351"/>
    <mergeCell ref="A328:Q328"/>
    <mergeCell ref="A330:A331"/>
    <mergeCell ref="B330:D330"/>
    <mergeCell ref="E330:G330"/>
    <mergeCell ref="H330:J330"/>
    <mergeCell ref="K330:M330"/>
    <mergeCell ref="N330:O330"/>
    <mergeCell ref="P330:Q330"/>
    <mergeCell ref="A339:K339"/>
    <mergeCell ref="A309:A310"/>
    <mergeCell ref="B309:D309"/>
    <mergeCell ref="E309:G309"/>
    <mergeCell ref="A248:A249"/>
    <mergeCell ref="B248:D248"/>
    <mergeCell ref="E248:G248"/>
    <mergeCell ref="H248:I248"/>
    <mergeCell ref="J248:K248"/>
    <mergeCell ref="A255:K255"/>
    <mergeCell ref="A256:A257"/>
    <mergeCell ref="B256:D256"/>
    <mergeCell ref="E256:G256"/>
    <mergeCell ref="H256:I256"/>
    <mergeCell ref="J256:K256"/>
    <mergeCell ref="A238:Q238"/>
    <mergeCell ref="A240:A241"/>
    <mergeCell ref="B240:D240"/>
    <mergeCell ref="E240:G240"/>
    <mergeCell ref="H240:J240"/>
    <mergeCell ref="K240:M240"/>
    <mergeCell ref="N240:O240"/>
    <mergeCell ref="P240:Q240"/>
    <mergeCell ref="A247:K247"/>
    <mergeCell ref="A115:A116"/>
    <mergeCell ref="B115:D115"/>
    <mergeCell ref="E115:G115"/>
    <mergeCell ref="H115:I115"/>
    <mergeCell ref="J115:K115"/>
    <mergeCell ref="A125:K125"/>
    <mergeCell ref="A126:A127"/>
    <mergeCell ref="B126:D126"/>
    <mergeCell ref="E126:G126"/>
    <mergeCell ref="H126:I126"/>
    <mergeCell ref="J126:K126"/>
    <mergeCell ref="A102:Q102"/>
    <mergeCell ref="A104:A105"/>
    <mergeCell ref="B104:D104"/>
    <mergeCell ref="E104:G104"/>
    <mergeCell ref="H104:J104"/>
    <mergeCell ref="K104:M104"/>
    <mergeCell ref="N104:O104"/>
    <mergeCell ref="P104:Q104"/>
    <mergeCell ref="A114:K114"/>
    <mergeCell ref="A80:A81"/>
    <mergeCell ref="B80:D80"/>
    <mergeCell ref="E80:G80"/>
    <mergeCell ref="H80:I80"/>
    <mergeCell ref="J80:K80"/>
    <mergeCell ref="A91:K91"/>
    <mergeCell ref="A92:A93"/>
    <mergeCell ref="B92:D92"/>
    <mergeCell ref="E92:G92"/>
    <mergeCell ref="H92:I92"/>
    <mergeCell ref="J92:K92"/>
    <mergeCell ref="A68:Q68"/>
    <mergeCell ref="A70:A71"/>
    <mergeCell ref="B70:D70"/>
    <mergeCell ref="E70:G70"/>
    <mergeCell ref="H70:J70"/>
    <mergeCell ref="K70:M70"/>
    <mergeCell ref="N70:O70"/>
    <mergeCell ref="P70:Q70"/>
    <mergeCell ref="A79:K79"/>
    <mergeCell ref="A46:A47"/>
    <mergeCell ref="B46:D46"/>
    <mergeCell ref="E46:G46"/>
    <mergeCell ref="H46:I46"/>
    <mergeCell ref="J46:K46"/>
    <mergeCell ref="A57:K57"/>
    <mergeCell ref="A58:A59"/>
    <mergeCell ref="B58:D58"/>
    <mergeCell ref="E58:G58"/>
    <mergeCell ref="H58:I58"/>
    <mergeCell ref="J58:K58"/>
    <mergeCell ref="A34:Q34"/>
    <mergeCell ref="A36:A37"/>
    <mergeCell ref="B36:D36"/>
    <mergeCell ref="E36:G36"/>
    <mergeCell ref="H36:J36"/>
    <mergeCell ref="K36:M36"/>
    <mergeCell ref="N36:O36"/>
    <mergeCell ref="P36:Q36"/>
    <mergeCell ref="A45:K45"/>
    <mergeCell ref="A15:A16"/>
    <mergeCell ref="B15:D15"/>
    <mergeCell ref="E15:G15"/>
    <mergeCell ref="H15:I15"/>
    <mergeCell ref="J15:K15"/>
    <mergeCell ref="A24:K24"/>
    <mergeCell ref="A25:A26"/>
    <mergeCell ref="B25:D25"/>
    <mergeCell ref="E25:G25"/>
    <mergeCell ref="H25:I25"/>
    <mergeCell ref="J25:K25"/>
    <mergeCell ref="A3:Q3"/>
    <mergeCell ref="A5:A6"/>
    <mergeCell ref="B5:D5"/>
    <mergeCell ref="E5:G5"/>
    <mergeCell ref="H5:J5"/>
    <mergeCell ref="K5:M5"/>
    <mergeCell ref="N5:O5"/>
    <mergeCell ref="P5:Q5"/>
    <mergeCell ref="A14:K14"/>
    <mergeCell ref="A149:K149"/>
    <mergeCell ref="A150:A151"/>
    <mergeCell ref="B150:D150"/>
    <mergeCell ref="E150:G150"/>
    <mergeCell ref="H150:I150"/>
    <mergeCell ref="J150:K150"/>
    <mergeCell ref="A137:Q137"/>
    <mergeCell ref="A139:A140"/>
    <mergeCell ref="B139:D139"/>
    <mergeCell ref="E139:G139"/>
    <mergeCell ref="H139:J139"/>
    <mergeCell ref="K139:M139"/>
    <mergeCell ref="N139:O139"/>
    <mergeCell ref="P139:Q139"/>
    <mergeCell ref="A206:Q206"/>
    <mergeCell ref="A208:A209"/>
    <mergeCell ref="B208:D208"/>
    <mergeCell ref="E208:G208"/>
    <mergeCell ref="H208:J208"/>
    <mergeCell ref="K208:M208"/>
    <mergeCell ref="N208:O208"/>
    <mergeCell ref="P208:Q208"/>
    <mergeCell ref="A160:K160"/>
    <mergeCell ref="A161:A162"/>
    <mergeCell ref="B161:D161"/>
    <mergeCell ref="E161:G161"/>
    <mergeCell ref="H161:I161"/>
    <mergeCell ref="J161:K161"/>
    <mergeCell ref="A172:Q172"/>
    <mergeCell ref="A174:A175"/>
    <mergeCell ref="B174:D174"/>
    <mergeCell ref="E174:G174"/>
    <mergeCell ref="H174:J174"/>
    <mergeCell ref="K174:M174"/>
    <mergeCell ref="N174:O174"/>
    <mergeCell ref="P174:Q174"/>
    <mergeCell ref="A183:K183"/>
    <mergeCell ref="A184:A185"/>
    <mergeCell ref="A227:K227"/>
    <mergeCell ref="A228:A229"/>
    <mergeCell ref="B228:D228"/>
    <mergeCell ref="E228:G228"/>
    <mergeCell ref="H228:I228"/>
    <mergeCell ref="J228:K228"/>
    <mergeCell ref="A217:K217"/>
    <mergeCell ref="A218:A219"/>
    <mergeCell ref="B218:D218"/>
    <mergeCell ref="E218:G218"/>
    <mergeCell ref="H218:I218"/>
    <mergeCell ref="J218:K218"/>
    <mergeCell ref="B184:D184"/>
    <mergeCell ref="E184:G184"/>
    <mergeCell ref="H184:I184"/>
    <mergeCell ref="J184:K184"/>
    <mergeCell ref="A194:K194"/>
    <mergeCell ref="A195:A196"/>
    <mergeCell ref="B195:D195"/>
    <mergeCell ref="E195:G195"/>
    <mergeCell ref="H195:I195"/>
    <mergeCell ref="J195:K195"/>
    <mergeCell ref="A382:A383"/>
    <mergeCell ref="B382:D382"/>
    <mergeCell ref="E382:G382"/>
    <mergeCell ref="H382:I382"/>
    <mergeCell ref="J382:K382"/>
    <mergeCell ref="A360:Q360"/>
    <mergeCell ref="A362:A363"/>
    <mergeCell ref="B362:D362"/>
    <mergeCell ref="E362:G362"/>
    <mergeCell ref="H362:J362"/>
    <mergeCell ref="K362:M362"/>
    <mergeCell ref="N362:O362"/>
    <mergeCell ref="P362:Q362"/>
    <mergeCell ref="A371:K371"/>
    <mergeCell ref="A381:K381"/>
    <mergeCell ref="A372:A373"/>
    <mergeCell ref="B372:D372"/>
    <mergeCell ref="E372:G372"/>
    <mergeCell ref="H372:I372"/>
    <mergeCell ref="J372:K372"/>
    <mergeCell ref="A265:Q265"/>
    <mergeCell ref="A267:A268"/>
    <mergeCell ref="B267:D267"/>
    <mergeCell ref="E267:G267"/>
    <mergeCell ref="H267:J267"/>
    <mergeCell ref="K267:M267"/>
    <mergeCell ref="N267:O267"/>
    <mergeCell ref="P267:Q267"/>
    <mergeCell ref="A276:K276"/>
    <mergeCell ref="J319:K319"/>
    <mergeCell ref="P299:Q299"/>
    <mergeCell ref="A308:K308"/>
    <mergeCell ref="H309:I309"/>
    <mergeCell ref="J309:K309"/>
    <mergeCell ref="A318:K318"/>
    <mergeCell ref="E288:G288"/>
    <mergeCell ref="H288:I288"/>
    <mergeCell ref="J288:K288"/>
    <mergeCell ref="A264:C264"/>
    <mergeCell ref="A327:B327"/>
    <mergeCell ref="N253:O254"/>
    <mergeCell ref="P253:P254"/>
    <mergeCell ref="Q253:Q254"/>
    <mergeCell ref="A297:Q297"/>
    <mergeCell ref="A299:A300"/>
    <mergeCell ref="B299:D299"/>
    <mergeCell ref="E299:G299"/>
    <mergeCell ref="H299:J299"/>
    <mergeCell ref="K299:M299"/>
    <mergeCell ref="N299:O299"/>
    <mergeCell ref="A277:A278"/>
    <mergeCell ref="B277:D277"/>
    <mergeCell ref="E277:G277"/>
    <mergeCell ref="H277:I277"/>
    <mergeCell ref="J277:K277"/>
    <mergeCell ref="A287:K287"/>
    <mergeCell ref="A288:A289"/>
    <mergeCell ref="B288:D288"/>
    <mergeCell ref="A319:A320"/>
    <mergeCell ref="B319:D319"/>
    <mergeCell ref="E319:G319"/>
    <mergeCell ref="H319:I319"/>
  </mergeCells>
  <pageMargins left="0.7" right="0.7" top="0.75" bottom="0.75" header="0.3" footer="0.3"/>
  <pageSetup paperSize="9" scale="80" orientation="landscape" horizontalDpi="360" verticalDpi="360" r:id="rId1"/>
  <rowBreaks count="11" manualBreakCount="11">
    <brk id="31" max="16383" man="1"/>
    <brk id="65" max="16383" man="1"/>
    <brk id="100" max="16383" man="1"/>
    <brk id="134" max="16383" man="1"/>
    <brk id="169" max="16383" man="1"/>
    <brk id="203" max="16383" man="1"/>
    <brk id="235" max="16383" man="1"/>
    <brk id="262" max="16383" man="1"/>
    <brk id="294" max="16383" man="1"/>
    <brk id="325" max="16383" man="1"/>
    <brk id="357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FD413"/>
  <sheetViews>
    <sheetView topLeftCell="A268" zoomScale="145" zoomScaleNormal="145" zoomScaleSheetLayoutView="91" zoomScalePageLayoutView="89" workbookViewId="0">
      <selection activeCell="F37" sqref="F37"/>
    </sheetView>
  </sheetViews>
  <sheetFormatPr defaultRowHeight="15" x14ac:dyDescent="0.25"/>
  <cols>
    <col min="1" max="1" width="8.42578125" customWidth="1"/>
    <col min="2" max="2" width="6.5703125" customWidth="1"/>
    <col min="3" max="4" width="11.28515625" customWidth="1"/>
    <col min="5" max="5" width="7.140625" customWidth="1"/>
    <col min="6" max="6" width="10.42578125" customWidth="1"/>
    <col min="7" max="7" width="12.85546875" customWidth="1"/>
    <col min="8" max="8" width="7.5703125" customWidth="1"/>
    <col min="9" max="10" width="11.42578125" customWidth="1"/>
    <col min="11" max="11" width="13.85546875" customWidth="1"/>
    <col min="12" max="12" width="8" customWidth="1"/>
    <col min="13" max="13" width="8.85546875" customWidth="1"/>
    <col min="14" max="14" width="7.28515625" customWidth="1"/>
    <col min="15" max="15" width="12.7109375" customWidth="1"/>
    <col min="17" max="17" width="14.7109375" customWidth="1"/>
  </cols>
  <sheetData>
    <row r="1" spans="1:18" ht="21" x14ac:dyDescent="0.35">
      <c r="A1" s="54" t="s">
        <v>114</v>
      </c>
    </row>
    <row r="3" spans="1:18" x14ac:dyDescent="0.25">
      <c r="A3" s="546" t="s">
        <v>45</v>
      </c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</row>
    <row r="4" spans="1:18" x14ac:dyDescent="0.25">
      <c r="A4" s="255"/>
      <c r="B4" s="256"/>
      <c r="C4" s="256"/>
      <c r="D4" s="256"/>
      <c r="E4" s="257"/>
      <c r="F4" s="257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</row>
    <row r="5" spans="1:18" x14ac:dyDescent="0.25">
      <c r="A5" s="539" t="s">
        <v>0</v>
      </c>
      <c r="B5" s="550" t="s">
        <v>7</v>
      </c>
      <c r="C5" s="550"/>
      <c r="D5" s="550"/>
      <c r="E5" s="550" t="s">
        <v>5</v>
      </c>
      <c r="F5" s="550"/>
      <c r="G5" s="550"/>
      <c r="H5" s="541" t="s">
        <v>25</v>
      </c>
      <c r="I5" s="542"/>
      <c r="J5" s="543"/>
      <c r="K5" s="541" t="s">
        <v>26</v>
      </c>
      <c r="L5" s="542"/>
      <c r="M5" s="543"/>
      <c r="N5" s="550" t="s">
        <v>4</v>
      </c>
      <c r="O5" s="550"/>
      <c r="P5" s="550" t="s">
        <v>6</v>
      </c>
      <c r="Q5" s="550"/>
    </row>
    <row r="6" spans="1:18" x14ac:dyDescent="0.25">
      <c r="A6" s="540"/>
      <c r="B6" s="247" t="s">
        <v>8</v>
      </c>
      <c r="C6" s="247" t="s">
        <v>9</v>
      </c>
      <c r="D6" s="247" t="s">
        <v>13</v>
      </c>
      <c r="E6" s="258" t="s">
        <v>8</v>
      </c>
      <c r="F6" s="258" t="s">
        <v>9</v>
      </c>
      <c r="G6" s="247" t="s">
        <v>13</v>
      </c>
      <c r="H6" s="231" t="s">
        <v>8</v>
      </c>
      <c r="I6" s="231" t="s">
        <v>9</v>
      </c>
      <c r="J6" s="231" t="s">
        <v>13</v>
      </c>
      <c r="K6" s="231" t="s">
        <v>8</v>
      </c>
      <c r="L6" s="231" t="s">
        <v>9</v>
      </c>
      <c r="M6" s="231" t="s">
        <v>13</v>
      </c>
      <c r="N6" s="247" t="s">
        <v>8</v>
      </c>
      <c r="O6" s="247" t="s">
        <v>13</v>
      </c>
      <c r="P6" s="247" t="s">
        <v>8</v>
      </c>
      <c r="Q6" s="247" t="s">
        <v>13</v>
      </c>
    </row>
    <row r="7" spans="1:18" x14ac:dyDescent="0.25">
      <c r="A7" s="232"/>
      <c r="B7" s="259"/>
      <c r="C7" s="259"/>
      <c r="D7" s="259"/>
      <c r="E7" s="260"/>
      <c r="F7" s="260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</row>
    <row r="8" spans="1:18" x14ac:dyDescent="0.25">
      <c r="A8" s="243" t="s">
        <v>1</v>
      </c>
      <c r="B8" s="236">
        <f>'SODA ASH BENAR'!B9</f>
        <v>0</v>
      </c>
      <c r="C8" s="236">
        <f>'SODA ASH BENAR'!C9</f>
        <v>0</v>
      </c>
      <c r="D8" s="236">
        <f>'SODA ASH BENAR'!D9</f>
        <v>0</v>
      </c>
      <c r="E8" s="236">
        <f>'SODA ASH BENAR'!E9</f>
        <v>0</v>
      </c>
      <c r="F8" s="236">
        <f>'SODA ASH BENAR'!F9</f>
        <v>0</v>
      </c>
      <c r="G8" s="236">
        <f>'SODA ASH BENAR'!G9</f>
        <v>0</v>
      </c>
      <c r="H8" s="236">
        <f>'SODA ASH BENAR'!H9</f>
        <v>0</v>
      </c>
      <c r="I8" s="236">
        <f>'SODA ASH BENAR'!I9</f>
        <v>0</v>
      </c>
      <c r="J8" s="236">
        <f>'SODA ASH BENAR'!J9</f>
        <v>0</v>
      </c>
      <c r="K8" s="236">
        <f>'SODA ASH BENAR'!K9</f>
        <v>0</v>
      </c>
      <c r="L8" s="236">
        <f>'SODA ASH BENAR'!L9</f>
        <v>0</v>
      </c>
      <c r="M8" s="236">
        <f>'SODA ASH BENAR'!M9</f>
        <v>0</v>
      </c>
      <c r="N8" s="236">
        <f>'SODA ASH BENAR'!N9</f>
        <v>0</v>
      </c>
      <c r="O8" s="236">
        <f>'SODA ASH BENAR'!O9</f>
        <v>0</v>
      </c>
      <c r="P8" s="236">
        <f>'SODA ASH BENAR'!P9</f>
        <v>0</v>
      </c>
      <c r="Q8" s="236">
        <f>'SODA ASH BENAR'!Q9</f>
        <v>0</v>
      </c>
      <c r="R8" s="236">
        <f>'SODA ASH BENAR'!R9</f>
        <v>0</v>
      </c>
    </row>
    <row r="9" spans="1:18" x14ac:dyDescent="0.25">
      <c r="A9" s="243"/>
      <c r="B9" s="236">
        <f>'SODA ASH BENAR'!B10</f>
        <v>0</v>
      </c>
      <c r="C9" s="236">
        <f>'SODA ASH BENAR'!C10</f>
        <v>0</v>
      </c>
      <c r="D9" s="236">
        <f>'SODA ASH BENAR'!D10</f>
        <v>0</v>
      </c>
      <c r="E9" s="246"/>
      <c r="F9" s="246"/>
      <c r="G9" s="245"/>
      <c r="H9" s="245"/>
      <c r="I9" s="245"/>
      <c r="J9" s="245"/>
      <c r="K9" s="245"/>
      <c r="L9" s="245"/>
      <c r="M9" s="245"/>
      <c r="N9" s="236">
        <f>'SODA ASH BENAR'!N10</f>
        <v>0</v>
      </c>
      <c r="O9" s="236">
        <f>'SODA ASH BENAR'!O10</f>
        <v>0</v>
      </c>
      <c r="P9" s="236">
        <f>'SODA ASH BENAR'!P10</f>
        <v>0</v>
      </c>
      <c r="Q9" s="236">
        <f>'SODA ASH BENAR'!Q10</f>
        <v>0</v>
      </c>
    </row>
    <row r="10" spans="1:18" x14ac:dyDescent="0.25">
      <c r="A10" s="243"/>
      <c r="B10" s="262">
        <f>'SODA ASH BENAR'!B11</f>
        <v>0</v>
      </c>
      <c r="C10" s="262">
        <f>'SODA ASH BENAR'!C11</f>
        <v>0</v>
      </c>
      <c r="D10" s="262">
        <f>'SODA ASH BENAR'!D11</f>
        <v>0</v>
      </c>
      <c r="E10" s="246"/>
      <c r="F10" s="246"/>
      <c r="G10" s="245"/>
      <c r="H10" s="245"/>
      <c r="I10" s="245"/>
      <c r="J10" s="245"/>
      <c r="K10" s="245"/>
      <c r="L10" s="245"/>
      <c r="M10" s="245"/>
      <c r="N10" s="236">
        <f>'SODA ASH BENAR'!N11</f>
        <v>0</v>
      </c>
      <c r="O10" s="236">
        <f>'SODA ASH BENAR'!O11</f>
        <v>0</v>
      </c>
      <c r="P10" s="262">
        <f>'SODA ASH BENAR'!P11</f>
        <v>0</v>
      </c>
      <c r="Q10" s="262">
        <f>'SODA ASH BENAR'!Q11</f>
        <v>0</v>
      </c>
    </row>
    <row r="11" spans="1:18" x14ac:dyDescent="0.25">
      <c r="A11" s="243"/>
      <c r="B11" s="236"/>
      <c r="C11" s="261"/>
      <c r="D11" s="245"/>
      <c r="E11" s="246"/>
      <c r="F11" s="246"/>
      <c r="G11" s="245"/>
      <c r="H11" s="245"/>
      <c r="I11" s="245"/>
      <c r="J11" s="245"/>
      <c r="K11" s="245"/>
      <c r="L11" s="245"/>
      <c r="M11" s="245"/>
      <c r="N11" s="246"/>
      <c r="O11" s="245"/>
      <c r="P11" s="237"/>
      <c r="Q11" s="245"/>
    </row>
    <row r="12" spans="1:18" x14ac:dyDescent="0.25">
      <c r="A12" s="247"/>
      <c r="B12" s="240"/>
      <c r="C12" s="265"/>
      <c r="D12" s="251"/>
      <c r="E12" s="266"/>
      <c r="F12" s="266"/>
      <c r="G12" s="251"/>
      <c r="H12" s="251"/>
      <c r="I12" s="251"/>
      <c r="J12" s="251"/>
      <c r="K12" s="251"/>
      <c r="L12" s="251"/>
      <c r="M12" s="251"/>
      <c r="N12" s="266"/>
      <c r="O12" s="251"/>
      <c r="P12" s="241"/>
      <c r="Q12" s="251"/>
    </row>
    <row r="13" spans="1:18" x14ac:dyDescent="0.25">
      <c r="A13" s="242"/>
      <c r="B13" s="242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</row>
    <row r="14" spans="1:18" x14ac:dyDescent="0.25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2"/>
      <c r="Q14" s="242"/>
    </row>
    <row r="15" spans="1:18" x14ac:dyDescent="0.25">
      <c r="A15" s="242"/>
      <c r="B15" s="242"/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2"/>
      <c r="P15" s="242"/>
      <c r="Q15" s="242"/>
    </row>
    <row r="16" spans="1:18" x14ac:dyDescent="0.25">
      <c r="A16" s="537" t="s">
        <v>46</v>
      </c>
      <c r="B16" s="537"/>
      <c r="C16" s="537"/>
      <c r="D16" s="537"/>
      <c r="E16" s="537"/>
      <c r="F16" s="537"/>
      <c r="G16" s="537"/>
      <c r="H16" s="537"/>
      <c r="I16" s="537"/>
      <c r="J16" s="537"/>
      <c r="K16" s="537"/>
      <c r="L16" s="242"/>
      <c r="M16" s="242"/>
      <c r="N16" s="242"/>
      <c r="O16" s="242"/>
      <c r="P16" s="242"/>
      <c r="Q16" s="242"/>
    </row>
    <row r="17" spans="1:17" x14ac:dyDescent="0.25">
      <c r="A17" s="536" t="s">
        <v>0</v>
      </c>
      <c r="B17" s="536" t="s">
        <v>7</v>
      </c>
      <c r="C17" s="536"/>
      <c r="D17" s="536"/>
      <c r="E17" s="536" t="s">
        <v>5</v>
      </c>
      <c r="F17" s="536"/>
      <c r="G17" s="536"/>
      <c r="H17" s="536" t="s">
        <v>4</v>
      </c>
      <c r="I17" s="536"/>
      <c r="J17" s="536" t="s">
        <v>6</v>
      </c>
      <c r="K17" s="536"/>
      <c r="L17" s="242"/>
      <c r="M17" s="242"/>
      <c r="N17" s="242"/>
      <c r="O17" s="242"/>
      <c r="P17" s="242"/>
      <c r="Q17" s="242"/>
    </row>
    <row r="18" spans="1:17" x14ac:dyDescent="0.25">
      <c r="A18" s="536"/>
      <c r="B18" s="231" t="s">
        <v>8</v>
      </c>
      <c r="C18" s="231" t="s">
        <v>14</v>
      </c>
      <c r="D18" s="231" t="s">
        <v>13</v>
      </c>
      <c r="E18" s="231" t="s">
        <v>8</v>
      </c>
      <c r="F18" s="231" t="s">
        <v>14</v>
      </c>
      <c r="G18" s="231" t="s">
        <v>10</v>
      </c>
      <c r="H18" s="231" t="s">
        <v>8</v>
      </c>
      <c r="I18" s="231" t="s">
        <v>13</v>
      </c>
      <c r="J18" s="231" t="s">
        <v>8</v>
      </c>
      <c r="K18" s="231" t="s">
        <v>13</v>
      </c>
      <c r="L18" s="242"/>
      <c r="M18" s="242"/>
      <c r="N18" s="242"/>
      <c r="O18" s="242"/>
      <c r="P18" s="242"/>
      <c r="Q18" s="242"/>
    </row>
    <row r="19" spans="1:17" x14ac:dyDescent="0.25">
      <c r="A19" s="232"/>
      <c r="B19" s="233"/>
      <c r="C19" s="233"/>
      <c r="D19" s="233"/>
      <c r="E19" s="233"/>
      <c r="F19" s="233"/>
      <c r="G19" s="233"/>
      <c r="H19" s="233"/>
      <c r="I19" s="233"/>
      <c r="J19" s="233"/>
      <c r="K19" s="233"/>
      <c r="L19" s="242"/>
      <c r="M19" s="242"/>
      <c r="N19" s="242"/>
      <c r="O19" s="242"/>
      <c r="P19" s="242"/>
      <c r="Q19" s="242"/>
    </row>
    <row r="20" spans="1:17" x14ac:dyDescent="0.25">
      <c r="A20" s="243" t="s">
        <v>1</v>
      </c>
      <c r="B20" s="244">
        <f>'Soda Ash K. B'!B7</f>
        <v>0</v>
      </c>
      <c r="C20" s="244">
        <f>'Soda Ash K. B'!C7</f>
        <v>0</v>
      </c>
      <c r="D20" s="244">
        <f>'Soda Ash K. B'!D7</f>
        <v>0</v>
      </c>
      <c r="E20" s="244">
        <f>'Soda Ash K. B'!E7</f>
        <v>0</v>
      </c>
      <c r="F20" s="244">
        <f>'Soda Ash K. B'!F7</f>
        <v>0</v>
      </c>
      <c r="G20" s="244">
        <f>'Soda Ash K. B'!G7</f>
        <v>0</v>
      </c>
      <c r="H20" s="244">
        <f>'Soda Ash K. B'!H7</f>
        <v>0</v>
      </c>
      <c r="I20" s="244">
        <f>'Soda Ash K. B'!I7</f>
        <v>0</v>
      </c>
      <c r="J20" s="244">
        <f>'Soda Ash K. B'!J7</f>
        <v>0</v>
      </c>
      <c r="K20" s="244">
        <f>'Soda Ash K. B'!K7</f>
        <v>0</v>
      </c>
      <c r="L20" s="242"/>
      <c r="M20" s="242"/>
      <c r="N20" s="242"/>
      <c r="O20" s="242"/>
      <c r="P20" s="242"/>
      <c r="Q20" s="242"/>
    </row>
    <row r="21" spans="1:17" x14ac:dyDescent="0.25">
      <c r="A21" s="243"/>
      <c r="B21" s="244"/>
      <c r="C21" s="244"/>
      <c r="D21" s="244"/>
      <c r="E21" s="244"/>
      <c r="F21" s="244"/>
      <c r="G21" s="244"/>
      <c r="H21" s="244"/>
      <c r="I21" s="244"/>
      <c r="J21" s="244"/>
      <c r="K21" s="244"/>
      <c r="L21" s="242"/>
      <c r="M21" s="242"/>
      <c r="N21" s="242"/>
      <c r="O21" s="242"/>
      <c r="P21" s="242"/>
      <c r="Q21" s="242"/>
    </row>
    <row r="22" spans="1:17" x14ac:dyDescent="0.25">
      <c r="A22" s="243"/>
      <c r="B22" s="244"/>
      <c r="C22" s="244"/>
      <c r="D22" s="244"/>
      <c r="E22" s="244"/>
      <c r="F22" s="244"/>
      <c r="G22" s="244"/>
      <c r="H22" s="244"/>
      <c r="I22" s="244"/>
      <c r="J22" s="244"/>
      <c r="K22" s="244"/>
      <c r="L22" s="242"/>
      <c r="M22" s="242"/>
      <c r="N22" s="242"/>
      <c r="O22" s="242"/>
      <c r="P22" s="242"/>
      <c r="Q22" s="242"/>
    </row>
    <row r="23" spans="1:17" x14ac:dyDescent="0.25">
      <c r="A23" s="247"/>
      <c r="B23" s="248"/>
      <c r="C23" s="248"/>
      <c r="D23" s="249"/>
      <c r="E23" s="250"/>
      <c r="F23" s="249"/>
      <c r="G23" s="249"/>
      <c r="H23" s="248"/>
      <c r="I23" s="251"/>
      <c r="J23" s="241"/>
      <c r="K23" s="251"/>
      <c r="L23" s="242"/>
      <c r="M23" s="242"/>
      <c r="N23" s="242"/>
      <c r="O23" s="242"/>
      <c r="P23" s="242"/>
      <c r="Q23" s="242"/>
    </row>
    <row r="24" spans="1:17" x14ac:dyDescent="0.25">
      <c r="A24" s="242"/>
      <c r="B24" s="242"/>
      <c r="C24" s="242"/>
      <c r="D24" s="242"/>
      <c r="E24" s="242"/>
      <c r="F24" s="242"/>
      <c r="G24" s="242"/>
      <c r="H24" s="242"/>
      <c r="I24" s="242"/>
      <c r="J24" s="242"/>
      <c r="K24" s="242"/>
      <c r="L24" s="242"/>
      <c r="M24" s="242"/>
      <c r="N24" s="242"/>
      <c r="O24" s="242"/>
      <c r="P24" s="242"/>
      <c r="Q24" s="242"/>
    </row>
    <row r="25" spans="1:17" x14ac:dyDescent="0.25">
      <c r="A25" s="242"/>
      <c r="B25" s="242"/>
      <c r="C25" s="242"/>
      <c r="D25" s="242"/>
      <c r="E25" s="242"/>
      <c r="F25" s="242"/>
      <c r="G25" s="242"/>
      <c r="H25" s="242"/>
      <c r="I25" s="242"/>
      <c r="J25" s="242"/>
      <c r="K25" s="242"/>
      <c r="L25" s="242"/>
      <c r="M25" s="242"/>
      <c r="N25" s="242"/>
      <c r="O25" s="242"/>
      <c r="P25" s="242"/>
      <c r="Q25" s="242"/>
    </row>
    <row r="26" spans="1:17" x14ac:dyDescent="0.25">
      <c r="A26" s="242"/>
      <c r="B26" s="242"/>
      <c r="C26" s="242"/>
      <c r="D26" s="242"/>
      <c r="E26" s="242"/>
      <c r="F26" s="242"/>
      <c r="G26" s="242"/>
      <c r="H26" s="242"/>
      <c r="I26" s="242"/>
      <c r="J26" s="242"/>
      <c r="K26" s="242"/>
      <c r="L26" s="242"/>
      <c r="M26" s="242"/>
      <c r="N26" s="242"/>
      <c r="O26" s="242"/>
      <c r="P26" s="242"/>
      <c r="Q26" s="242"/>
    </row>
    <row r="27" spans="1:17" x14ac:dyDescent="0.25">
      <c r="A27" s="537" t="s">
        <v>47</v>
      </c>
      <c r="B27" s="537"/>
      <c r="C27" s="537"/>
      <c r="D27" s="537"/>
      <c r="E27" s="537"/>
      <c r="F27" s="537"/>
      <c r="G27" s="537"/>
      <c r="H27" s="537"/>
      <c r="I27" s="537"/>
      <c r="J27" s="537"/>
      <c r="K27" s="537"/>
      <c r="L27" s="242"/>
      <c r="M27" s="242"/>
      <c r="N27" s="242"/>
      <c r="O27" s="242"/>
      <c r="P27" s="242"/>
      <c r="Q27" s="242"/>
    </row>
    <row r="28" spans="1:17" x14ac:dyDescent="0.25">
      <c r="A28" s="536" t="s">
        <v>0</v>
      </c>
      <c r="B28" s="536" t="s">
        <v>7</v>
      </c>
      <c r="C28" s="536"/>
      <c r="D28" s="536"/>
      <c r="E28" s="536" t="s">
        <v>5</v>
      </c>
      <c r="F28" s="536"/>
      <c r="G28" s="536"/>
      <c r="H28" s="536" t="s">
        <v>4</v>
      </c>
      <c r="I28" s="536"/>
      <c r="J28" s="536" t="s">
        <v>6</v>
      </c>
      <c r="K28" s="536"/>
      <c r="L28" s="242"/>
      <c r="M28" s="242"/>
      <c r="N28" s="242"/>
      <c r="O28" s="242"/>
      <c r="P28" s="242"/>
      <c r="Q28" s="242"/>
    </row>
    <row r="29" spans="1:17" x14ac:dyDescent="0.25">
      <c r="A29" s="536"/>
      <c r="B29" s="231" t="s">
        <v>8</v>
      </c>
      <c r="C29" s="231" t="s">
        <v>14</v>
      </c>
      <c r="D29" s="231" t="s">
        <v>13</v>
      </c>
      <c r="E29" s="231" t="s">
        <v>8</v>
      </c>
      <c r="F29" s="231" t="s">
        <v>14</v>
      </c>
      <c r="G29" s="231" t="s">
        <v>10</v>
      </c>
      <c r="H29" s="231" t="s">
        <v>8</v>
      </c>
      <c r="I29" s="231" t="s">
        <v>13</v>
      </c>
      <c r="J29" s="231" t="s">
        <v>8</v>
      </c>
      <c r="K29" s="231" t="s">
        <v>13</v>
      </c>
      <c r="L29" s="242"/>
      <c r="M29" s="242"/>
      <c r="N29" s="242"/>
      <c r="O29" s="242"/>
      <c r="P29" s="242"/>
      <c r="Q29" s="242"/>
    </row>
    <row r="30" spans="1:17" x14ac:dyDescent="0.25">
      <c r="A30" s="232"/>
      <c r="B30" s="233"/>
      <c r="C30" s="267"/>
      <c r="D30" s="233"/>
      <c r="E30" s="233"/>
      <c r="F30" s="233"/>
      <c r="G30" s="233"/>
      <c r="H30" s="233"/>
      <c r="I30" s="233"/>
      <c r="J30" s="233"/>
      <c r="K30" s="233"/>
      <c r="L30" s="242"/>
      <c r="M30" s="242"/>
      <c r="N30" s="242"/>
      <c r="O30" s="242"/>
      <c r="P30" s="242"/>
      <c r="Q30" s="242"/>
    </row>
    <row r="31" spans="1:17" x14ac:dyDescent="0.25">
      <c r="A31" s="243" t="s">
        <v>1</v>
      </c>
      <c r="B31" s="244">
        <f>'Soda Ash Hanau'!B7</f>
        <v>0</v>
      </c>
      <c r="C31" s="244">
        <f>'Soda Ash Hanau'!C7</f>
        <v>0</v>
      </c>
      <c r="D31" s="244">
        <f>'Soda Ash Hanau'!D7</f>
        <v>0</v>
      </c>
      <c r="E31" s="244">
        <f>'Soda Ash Hanau'!E7</f>
        <v>0</v>
      </c>
      <c r="F31" s="244">
        <f>'Soda Ash Hanau'!F7</f>
        <v>0</v>
      </c>
      <c r="G31" s="244">
        <f>'Soda Ash Hanau'!G7</f>
        <v>0</v>
      </c>
      <c r="H31" s="244">
        <f>'Soda Ash Hanau'!H7</f>
        <v>0</v>
      </c>
      <c r="I31" s="244">
        <f>'Soda Ash Hanau'!I7</f>
        <v>0</v>
      </c>
      <c r="J31" s="244">
        <f>'Soda Ash Hanau'!J7</f>
        <v>0</v>
      </c>
      <c r="K31" s="244">
        <f>'Soda Ash Hanau'!K7</f>
        <v>0</v>
      </c>
      <c r="L31" s="242"/>
      <c r="M31" s="242"/>
      <c r="N31" s="242"/>
      <c r="O31" s="242"/>
      <c r="P31" s="242"/>
      <c r="Q31" s="242"/>
    </row>
    <row r="32" spans="1:17" x14ac:dyDescent="0.25">
      <c r="A32" s="243"/>
      <c r="B32" s="268"/>
      <c r="C32" s="269"/>
      <c r="D32" s="245"/>
      <c r="E32" s="244">
        <f>'Soda Ash Hanau'!E8</f>
        <v>0</v>
      </c>
      <c r="F32" s="244">
        <f>'Soda Ash Hanau'!F8</f>
        <v>0</v>
      </c>
      <c r="G32" s="244">
        <f>'Soda Ash Hanau'!G8</f>
        <v>0</v>
      </c>
      <c r="H32" s="244">
        <f>'Soda Ash Hanau'!H8</f>
        <v>0</v>
      </c>
      <c r="I32" s="244">
        <f>'Soda Ash Hanau'!I8</f>
        <v>0</v>
      </c>
      <c r="J32" s="244">
        <f>'Soda Ash Hanau'!J8</f>
        <v>0</v>
      </c>
      <c r="K32" s="244">
        <f>'Soda Ash Hanau'!K8</f>
        <v>0</v>
      </c>
      <c r="L32" s="242"/>
      <c r="M32" s="242"/>
      <c r="N32" s="242"/>
      <c r="O32" s="242"/>
      <c r="P32" s="242"/>
      <c r="Q32" s="242"/>
    </row>
    <row r="33" spans="1:17" x14ac:dyDescent="0.25">
      <c r="A33" s="243"/>
      <c r="B33" s="268"/>
      <c r="C33" s="269"/>
      <c r="D33" s="245"/>
      <c r="E33" s="296"/>
      <c r="F33" s="296"/>
      <c r="G33" s="296"/>
      <c r="H33" s="244"/>
      <c r="I33" s="244"/>
      <c r="J33" s="296"/>
      <c r="K33" s="296"/>
      <c r="L33" s="242"/>
      <c r="M33" s="242"/>
      <c r="N33" s="242"/>
      <c r="O33" s="242"/>
      <c r="P33" s="242"/>
      <c r="Q33" s="242"/>
    </row>
    <row r="34" spans="1:17" x14ac:dyDescent="0.25">
      <c r="A34" s="247"/>
      <c r="B34" s="248"/>
      <c r="C34" s="249"/>
      <c r="D34" s="249"/>
      <c r="E34" s="250"/>
      <c r="F34" s="249"/>
      <c r="G34" s="249"/>
      <c r="H34" s="248"/>
      <c r="I34" s="251"/>
      <c r="J34" s="241"/>
      <c r="K34" s="251">
        <f>D34+G34-I34</f>
        <v>0</v>
      </c>
      <c r="L34" s="242"/>
      <c r="M34" s="242"/>
      <c r="N34" s="242"/>
      <c r="O34" s="242"/>
      <c r="P34" s="242"/>
      <c r="Q34" s="242"/>
    </row>
    <row r="38" spans="1:17" ht="21" x14ac:dyDescent="0.35">
      <c r="A38" s="54" t="s">
        <v>115</v>
      </c>
    </row>
    <row r="41" spans="1:17" x14ac:dyDescent="0.25">
      <c r="A41" s="546" t="s">
        <v>45</v>
      </c>
      <c r="B41" s="546"/>
      <c r="C41" s="546"/>
      <c r="D41" s="546"/>
      <c r="E41" s="546"/>
      <c r="F41" s="546"/>
      <c r="G41" s="546"/>
      <c r="H41" s="546"/>
      <c r="I41" s="546"/>
      <c r="J41" s="546"/>
      <c r="K41" s="546"/>
      <c r="L41" s="546"/>
      <c r="M41" s="546"/>
      <c r="N41" s="546"/>
      <c r="O41" s="546"/>
      <c r="P41" s="546"/>
      <c r="Q41" s="546"/>
    </row>
    <row r="42" spans="1:17" x14ac:dyDescent="0.25">
      <c r="A42" s="255"/>
      <c r="B42" s="256"/>
      <c r="C42" s="256"/>
      <c r="D42" s="256"/>
      <c r="E42" s="257"/>
      <c r="F42" s="257"/>
      <c r="G42" s="256"/>
      <c r="H42" s="256"/>
      <c r="I42" s="256"/>
      <c r="J42" s="256"/>
      <c r="K42" s="256"/>
      <c r="L42" s="256"/>
      <c r="M42" s="256"/>
      <c r="N42" s="256"/>
      <c r="O42" s="256"/>
      <c r="P42" s="256"/>
      <c r="Q42" s="256"/>
    </row>
    <row r="43" spans="1:17" x14ac:dyDescent="0.25">
      <c r="A43" s="539" t="s">
        <v>0</v>
      </c>
      <c r="B43" s="550" t="s">
        <v>7</v>
      </c>
      <c r="C43" s="550"/>
      <c r="D43" s="550"/>
      <c r="E43" s="550" t="s">
        <v>5</v>
      </c>
      <c r="F43" s="550"/>
      <c r="G43" s="550"/>
      <c r="H43" s="541" t="s">
        <v>25</v>
      </c>
      <c r="I43" s="542"/>
      <c r="J43" s="543"/>
      <c r="K43" s="541" t="s">
        <v>26</v>
      </c>
      <c r="L43" s="542"/>
      <c r="M43" s="543"/>
      <c r="N43" s="550" t="s">
        <v>4</v>
      </c>
      <c r="O43" s="550"/>
      <c r="P43" s="550" t="s">
        <v>6</v>
      </c>
      <c r="Q43" s="550"/>
    </row>
    <row r="44" spans="1:17" x14ac:dyDescent="0.25">
      <c r="A44" s="540"/>
      <c r="B44" s="247" t="s">
        <v>8</v>
      </c>
      <c r="C44" s="247" t="s">
        <v>9</v>
      </c>
      <c r="D44" s="247" t="s">
        <v>13</v>
      </c>
      <c r="E44" s="258" t="s">
        <v>8</v>
      </c>
      <c r="F44" s="258" t="s">
        <v>9</v>
      </c>
      <c r="G44" s="247" t="s">
        <v>13</v>
      </c>
      <c r="H44" s="231" t="s">
        <v>8</v>
      </c>
      <c r="I44" s="231" t="s">
        <v>9</v>
      </c>
      <c r="J44" s="231" t="s">
        <v>13</v>
      </c>
      <c r="K44" s="231" t="s">
        <v>8</v>
      </c>
      <c r="L44" s="231" t="s">
        <v>9</v>
      </c>
      <c r="M44" s="231" t="s">
        <v>13</v>
      </c>
      <c r="N44" s="247" t="s">
        <v>8</v>
      </c>
      <c r="O44" s="247" t="s">
        <v>13</v>
      </c>
      <c r="P44" s="247" t="s">
        <v>8</v>
      </c>
      <c r="Q44" s="247" t="s">
        <v>13</v>
      </c>
    </row>
    <row r="45" spans="1:17" x14ac:dyDescent="0.25">
      <c r="A45" s="232"/>
      <c r="B45" s="259"/>
      <c r="C45" s="259"/>
      <c r="D45" s="259"/>
      <c r="E45" s="260"/>
      <c r="F45" s="260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</row>
    <row r="46" spans="1:17" x14ac:dyDescent="0.25">
      <c r="A46" s="243" t="s">
        <v>21</v>
      </c>
      <c r="B46" s="236">
        <f>'SODA ASH BENAR'!B14</f>
        <v>0</v>
      </c>
      <c r="C46" s="236">
        <f>'SODA ASH BENAR'!C14</f>
        <v>0</v>
      </c>
      <c r="D46" s="236">
        <f>'SODA ASH BENAR'!D14</f>
        <v>0</v>
      </c>
      <c r="E46" s="236">
        <f>'SODA ASH BENAR'!E14</f>
        <v>0</v>
      </c>
      <c r="F46" s="236">
        <f>'SODA ASH BENAR'!F14</f>
        <v>0</v>
      </c>
      <c r="G46" s="236">
        <f>'SODA ASH BENAR'!G14</f>
        <v>0</v>
      </c>
      <c r="H46" s="236">
        <f>'SODA ASH BENAR'!H14</f>
        <v>0</v>
      </c>
      <c r="I46" s="236">
        <f>'SODA ASH BENAR'!I14</f>
        <v>0</v>
      </c>
      <c r="J46" s="236">
        <f>'SODA ASH BENAR'!J14</f>
        <v>0</v>
      </c>
      <c r="K46" s="236">
        <f>'SODA ASH BENAR'!K14</f>
        <v>0</v>
      </c>
      <c r="L46" s="236">
        <f>'SODA ASH BENAR'!L14</f>
        <v>0</v>
      </c>
      <c r="M46" s="236">
        <f>'SODA ASH BENAR'!M14</f>
        <v>0</v>
      </c>
      <c r="N46" s="236">
        <f>'SODA ASH BENAR'!N14</f>
        <v>0</v>
      </c>
      <c r="O46" s="236">
        <f>'SODA ASH BENAR'!O14</f>
        <v>0</v>
      </c>
      <c r="P46" s="236">
        <f>'SODA ASH BENAR'!P14</f>
        <v>0</v>
      </c>
      <c r="Q46" s="236">
        <f>'SODA ASH BENAR'!Q14</f>
        <v>0</v>
      </c>
    </row>
    <row r="47" spans="1:17" x14ac:dyDescent="0.25">
      <c r="A47" s="243"/>
      <c r="B47" s="236">
        <f>'SODA ASH BENAR'!B15</f>
        <v>0</v>
      </c>
      <c r="C47" s="236">
        <f>'SODA ASH BENAR'!C15</f>
        <v>0</v>
      </c>
      <c r="D47" s="236">
        <f>'SODA ASH BENAR'!D15</f>
        <v>0</v>
      </c>
      <c r="E47" s="236">
        <f>'SODA ASH BENAR'!E15</f>
        <v>0</v>
      </c>
      <c r="F47" s="236">
        <f>'SODA ASH BENAR'!F15</f>
        <v>0</v>
      </c>
      <c r="G47" s="236">
        <f>'SODA ASH BENAR'!G15</f>
        <v>0</v>
      </c>
      <c r="H47" s="236">
        <f>'SODA ASH BENAR'!H15</f>
        <v>0</v>
      </c>
      <c r="I47" s="236">
        <f>'SODA ASH BENAR'!I15</f>
        <v>0</v>
      </c>
      <c r="J47" s="236">
        <f>'SODA ASH BENAR'!J15</f>
        <v>0</v>
      </c>
      <c r="K47" s="236">
        <f>'SODA ASH BENAR'!K15</f>
        <v>0</v>
      </c>
      <c r="L47" s="236">
        <f>'SODA ASH BENAR'!L15</f>
        <v>0</v>
      </c>
      <c r="M47" s="236">
        <f>'SODA ASH BENAR'!M15</f>
        <v>0</v>
      </c>
      <c r="N47" s="236">
        <f>'SODA ASH BENAR'!N15</f>
        <v>0</v>
      </c>
      <c r="O47" s="236">
        <f>'SODA ASH BENAR'!O15</f>
        <v>0</v>
      </c>
      <c r="P47" s="236">
        <f>'SODA ASH BENAR'!P15</f>
        <v>0</v>
      </c>
      <c r="Q47" s="236">
        <f>'SODA ASH BENAR'!Q15</f>
        <v>0</v>
      </c>
    </row>
    <row r="48" spans="1:17" x14ac:dyDescent="0.25">
      <c r="A48" s="243"/>
      <c r="B48" s="236">
        <f>'SODA ASH BENAR'!B16</f>
        <v>0</v>
      </c>
      <c r="C48" s="236">
        <f>'SODA ASH BENAR'!C16</f>
        <v>0</v>
      </c>
      <c r="D48" s="236">
        <f>'SODA ASH BENAR'!D16</f>
        <v>0</v>
      </c>
      <c r="E48" s="236">
        <f>'SODA ASH BENAR'!E16</f>
        <v>0</v>
      </c>
      <c r="F48" s="236">
        <f>'SODA ASH BENAR'!F16</f>
        <v>0</v>
      </c>
      <c r="G48" s="236">
        <f>'SODA ASH BENAR'!G16</f>
        <v>0</v>
      </c>
      <c r="H48" s="236">
        <f>'SODA ASH BENAR'!H16</f>
        <v>0</v>
      </c>
      <c r="I48" s="236">
        <f>'SODA ASH BENAR'!I16</f>
        <v>0</v>
      </c>
      <c r="J48" s="236">
        <f>'SODA ASH BENAR'!J16</f>
        <v>0</v>
      </c>
      <c r="K48" s="236">
        <f>'SODA ASH BENAR'!K16</f>
        <v>0</v>
      </c>
      <c r="L48" s="236">
        <f>'SODA ASH BENAR'!L16</f>
        <v>0</v>
      </c>
      <c r="M48" s="236">
        <f>'SODA ASH BENAR'!M16</f>
        <v>0</v>
      </c>
      <c r="N48" s="262">
        <f>'SODA ASH BENAR'!N16</f>
        <v>0</v>
      </c>
      <c r="O48" s="262">
        <f>'SODA ASH BENAR'!O16</f>
        <v>0</v>
      </c>
      <c r="P48" s="262">
        <f>'SODA ASH BENAR'!P16</f>
        <v>0</v>
      </c>
      <c r="Q48" s="262">
        <f>'SODA ASH BENAR'!Q16</f>
        <v>0</v>
      </c>
    </row>
    <row r="49" spans="1:17" x14ac:dyDescent="0.25">
      <c r="A49" s="243"/>
      <c r="B49" s="236"/>
      <c r="C49" s="261"/>
      <c r="D49" s="245"/>
      <c r="E49" s="246"/>
      <c r="F49" s="246"/>
      <c r="G49" s="245">
        <f>E49*F49</f>
        <v>0</v>
      </c>
      <c r="H49" s="245"/>
      <c r="I49" s="245"/>
      <c r="J49" s="245"/>
      <c r="K49" s="245"/>
      <c r="L49" s="245"/>
      <c r="M49" s="245"/>
      <c r="N49" s="246"/>
      <c r="O49" s="245"/>
      <c r="P49" s="237">
        <f>B49+E49-N49-H49-K49</f>
        <v>0</v>
      </c>
      <c r="Q49" s="245">
        <f>D49+G49-O49-J49-M49</f>
        <v>0</v>
      </c>
    </row>
    <row r="50" spans="1:17" x14ac:dyDescent="0.25">
      <c r="A50" s="247"/>
      <c r="B50" s="240"/>
      <c r="C50" s="265"/>
      <c r="D50" s="251"/>
      <c r="E50" s="266"/>
      <c r="F50" s="266"/>
      <c r="G50" s="251"/>
      <c r="H50" s="251"/>
      <c r="I50" s="251"/>
      <c r="J50" s="251"/>
      <c r="K50" s="251"/>
      <c r="L50" s="251"/>
      <c r="M50" s="251"/>
      <c r="N50" s="266"/>
      <c r="O50" s="274"/>
      <c r="P50" s="241"/>
      <c r="Q50" s="275"/>
    </row>
    <row r="51" spans="1:17" x14ac:dyDescent="0.25">
      <c r="A51" s="242"/>
      <c r="B51" s="242"/>
      <c r="C51" s="242"/>
      <c r="D51" s="242"/>
      <c r="E51" s="242"/>
      <c r="F51" s="242"/>
      <c r="G51" s="242"/>
      <c r="H51" s="242"/>
      <c r="I51" s="242"/>
      <c r="J51" s="242"/>
      <c r="K51" s="242"/>
      <c r="L51" s="242"/>
      <c r="M51" s="242"/>
      <c r="N51" s="242"/>
      <c r="O51" s="242"/>
      <c r="P51" s="242"/>
      <c r="Q51" s="242"/>
    </row>
    <row r="52" spans="1:17" x14ac:dyDescent="0.25">
      <c r="A52" s="242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2"/>
      <c r="N52" s="242"/>
      <c r="O52" s="242"/>
      <c r="P52" s="242"/>
      <c r="Q52" s="242"/>
    </row>
    <row r="53" spans="1:17" x14ac:dyDescent="0.25">
      <c r="A53" s="242"/>
      <c r="B53" s="242"/>
      <c r="C53" s="242"/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</row>
    <row r="54" spans="1:17" x14ac:dyDescent="0.25">
      <c r="A54" s="537" t="s">
        <v>46</v>
      </c>
      <c r="B54" s="537"/>
      <c r="C54" s="537"/>
      <c r="D54" s="537"/>
      <c r="E54" s="537"/>
      <c r="F54" s="537"/>
      <c r="G54" s="537"/>
      <c r="H54" s="537"/>
      <c r="I54" s="537"/>
      <c r="J54" s="537"/>
      <c r="K54" s="537"/>
      <c r="L54" s="242"/>
      <c r="M54" s="242"/>
      <c r="N54" s="242"/>
      <c r="O54" s="242"/>
      <c r="P54" s="242"/>
      <c r="Q54" s="242"/>
    </row>
    <row r="55" spans="1:17" x14ac:dyDescent="0.25">
      <c r="A55" s="536" t="s">
        <v>0</v>
      </c>
      <c r="B55" s="536" t="s">
        <v>7</v>
      </c>
      <c r="C55" s="536"/>
      <c r="D55" s="536"/>
      <c r="E55" s="536" t="s">
        <v>5</v>
      </c>
      <c r="F55" s="536"/>
      <c r="G55" s="536"/>
      <c r="H55" s="536" t="s">
        <v>4</v>
      </c>
      <c r="I55" s="536"/>
      <c r="J55" s="536" t="s">
        <v>6</v>
      </c>
      <c r="K55" s="536"/>
      <c r="L55" s="242"/>
      <c r="M55" s="242"/>
      <c r="N55" s="242"/>
      <c r="O55" s="242"/>
      <c r="P55" s="242"/>
      <c r="Q55" s="242"/>
    </row>
    <row r="56" spans="1:17" x14ac:dyDescent="0.25">
      <c r="A56" s="536"/>
      <c r="B56" s="231" t="s">
        <v>8</v>
      </c>
      <c r="C56" s="231" t="s">
        <v>14</v>
      </c>
      <c r="D56" s="231" t="s">
        <v>13</v>
      </c>
      <c r="E56" s="231" t="s">
        <v>8</v>
      </c>
      <c r="F56" s="231" t="s">
        <v>14</v>
      </c>
      <c r="G56" s="231" t="s">
        <v>10</v>
      </c>
      <c r="H56" s="231" t="s">
        <v>8</v>
      </c>
      <c r="I56" s="231" t="s">
        <v>13</v>
      </c>
      <c r="J56" s="231" t="s">
        <v>8</v>
      </c>
      <c r="K56" s="231" t="s">
        <v>13</v>
      </c>
      <c r="L56" s="242"/>
      <c r="M56" s="242"/>
      <c r="N56" s="242"/>
      <c r="O56" s="242"/>
      <c r="P56" s="242"/>
      <c r="Q56" s="242"/>
    </row>
    <row r="57" spans="1:17" x14ac:dyDescent="0.25">
      <c r="A57" s="232"/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42"/>
      <c r="M57" s="242"/>
      <c r="N57" s="242"/>
      <c r="O57" s="242"/>
      <c r="P57" s="242"/>
      <c r="Q57" s="242"/>
    </row>
    <row r="58" spans="1:17" x14ac:dyDescent="0.25">
      <c r="A58" s="243" t="s">
        <v>21</v>
      </c>
      <c r="B58" s="244">
        <f>'Soda Ash K. B'!B9</f>
        <v>0</v>
      </c>
      <c r="C58" s="244">
        <f>'Soda Ash K. B'!C9</f>
        <v>0</v>
      </c>
      <c r="D58" s="244">
        <f>'Soda Ash K. B'!D9</f>
        <v>0</v>
      </c>
      <c r="E58" s="244">
        <f>'Soda Ash K. B'!E9</f>
        <v>0</v>
      </c>
      <c r="F58" s="244">
        <f>'Soda Ash K. B'!F9</f>
        <v>0</v>
      </c>
      <c r="G58" s="244">
        <f>'Soda Ash K. B'!G9</f>
        <v>0</v>
      </c>
      <c r="H58" s="244">
        <f>'Soda Ash K. B'!H9</f>
        <v>0</v>
      </c>
      <c r="I58" s="244">
        <f>'Soda Ash K. B'!I9</f>
        <v>0</v>
      </c>
      <c r="J58" s="244">
        <f>'Soda Ash K. B'!J9</f>
        <v>0</v>
      </c>
      <c r="K58" s="244">
        <f>'Soda Ash K. B'!K9</f>
        <v>0</v>
      </c>
      <c r="L58" s="242"/>
      <c r="M58" s="242"/>
      <c r="N58" s="242"/>
      <c r="O58" s="242"/>
      <c r="P58" s="242"/>
      <c r="Q58" s="242"/>
    </row>
    <row r="59" spans="1:17" x14ac:dyDescent="0.25">
      <c r="A59" s="243"/>
      <c r="B59" s="244"/>
      <c r="C59" s="244"/>
      <c r="D59" s="244"/>
      <c r="E59" s="244"/>
      <c r="F59" s="244"/>
      <c r="G59" s="244"/>
      <c r="H59" s="244"/>
      <c r="I59" s="244"/>
      <c r="J59" s="244"/>
      <c r="K59" s="244"/>
      <c r="L59" s="242"/>
      <c r="M59" s="242"/>
      <c r="N59" s="242"/>
      <c r="O59" s="242"/>
      <c r="P59" s="242"/>
      <c r="Q59" s="242"/>
    </row>
    <row r="60" spans="1:17" x14ac:dyDescent="0.25">
      <c r="A60" s="243"/>
      <c r="B60" s="244"/>
      <c r="C60" s="244"/>
      <c r="D60" s="244"/>
      <c r="E60" s="244"/>
      <c r="F60" s="244"/>
      <c r="G60" s="244"/>
      <c r="H60" s="244"/>
      <c r="I60" s="244"/>
      <c r="J60" s="244"/>
      <c r="K60" s="244"/>
      <c r="L60" s="242"/>
      <c r="M60" s="242"/>
      <c r="N60" s="242"/>
      <c r="O60" s="242"/>
      <c r="P60" s="242"/>
      <c r="Q60" s="242"/>
    </row>
    <row r="61" spans="1:17" x14ac:dyDescent="0.25">
      <c r="A61" s="247"/>
      <c r="B61" s="248"/>
      <c r="C61" s="248"/>
      <c r="D61" s="249"/>
      <c r="E61" s="250"/>
      <c r="F61" s="249"/>
      <c r="G61" s="249"/>
      <c r="H61" s="248"/>
      <c r="I61" s="251"/>
      <c r="J61" s="241"/>
      <c r="K61" s="251"/>
      <c r="L61" s="242"/>
      <c r="M61" s="242"/>
      <c r="N61" s="242"/>
      <c r="O61" s="242"/>
      <c r="P61" s="242"/>
      <c r="Q61" s="242"/>
    </row>
    <row r="62" spans="1:17" x14ac:dyDescent="0.25">
      <c r="A62" s="242"/>
      <c r="B62" s="242"/>
      <c r="C62" s="242"/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</row>
    <row r="63" spans="1:17" x14ac:dyDescent="0.25">
      <c r="A63" s="242"/>
      <c r="B63" s="242"/>
      <c r="C63" s="242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</row>
    <row r="64" spans="1:17" x14ac:dyDescent="0.25">
      <c r="A64" s="242"/>
      <c r="B64" s="242"/>
      <c r="C64" s="242"/>
      <c r="D64" s="242"/>
      <c r="E64" s="242"/>
      <c r="F64" s="242"/>
      <c r="G64" s="242"/>
      <c r="H64" s="242"/>
      <c r="I64" s="242"/>
      <c r="J64" s="242"/>
      <c r="K64" s="242"/>
      <c r="L64" s="242"/>
      <c r="M64" s="242"/>
      <c r="N64" s="242"/>
      <c r="O64" s="242"/>
      <c r="P64" s="242"/>
      <c r="Q64" s="242"/>
    </row>
    <row r="65" spans="1:17" x14ac:dyDescent="0.25">
      <c r="A65" s="537" t="s">
        <v>47</v>
      </c>
      <c r="B65" s="537"/>
      <c r="C65" s="537"/>
      <c r="D65" s="537"/>
      <c r="E65" s="537"/>
      <c r="F65" s="537"/>
      <c r="G65" s="537"/>
      <c r="H65" s="537"/>
      <c r="I65" s="537"/>
      <c r="J65" s="537"/>
      <c r="K65" s="537"/>
      <c r="L65" s="242"/>
      <c r="M65" s="242"/>
      <c r="N65" s="242"/>
      <c r="O65" s="242"/>
      <c r="P65" s="242"/>
      <c r="Q65" s="242"/>
    </row>
    <row r="66" spans="1:17" x14ac:dyDescent="0.25">
      <c r="A66" s="536" t="s">
        <v>0</v>
      </c>
      <c r="B66" s="536" t="s">
        <v>7</v>
      </c>
      <c r="C66" s="536"/>
      <c r="D66" s="536"/>
      <c r="E66" s="536" t="s">
        <v>5</v>
      </c>
      <c r="F66" s="536"/>
      <c r="G66" s="536"/>
      <c r="H66" s="536" t="s">
        <v>4</v>
      </c>
      <c r="I66" s="536"/>
      <c r="J66" s="536" t="s">
        <v>6</v>
      </c>
      <c r="K66" s="536"/>
      <c r="L66" s="242"/>
      <c r="M66" s="242"/>
      <c r="N66" s="242"/>
      <c r="O66" s="242"/>
      <c r="P66" s="242"/>
      <c r="Q66" s="242"/>
    </row>
    <row r="67" spans="1:17" x14ac:dyDescent="0.25">
      <c r="A67" s="536"/>
      <c r="B67" s="231" t="s">
        <v>8</v>
      </c>
      <c r="C67" s="231" t="s">
        <v>14</v>
      </c>
      <c r="D67" s="231" t="s">
        <v>13</v>
      </c>
      <c r="E67" s="231" t="s">
        <v>8</v>
      </c>
      <c r="F67" s="231" t="s">
        <v>14</v>
      </c>
      <c r="G67" s="231" t="s">
        <v>10</v>
      </c>
      <c r="H67" s="231" t="s">
        <v>8</v>
      </c>
      <c r="I67" s="231" t="s">
        <v>13</v>
      </c>
      <c r="J67" s="231" t="s">
        <v>8</v>
      </c>
      <c r="K67" s="231" t="s">
        <v>13</v>
      </c>
      <c r="L67" s="242"/>
      <c r="M67" s="242"/>
      <c r="N67" s="242"/>
      <c r="O67" s="242"/>
      <c r="P67" s="242"/>
      <c r="Q67" s="242"/>
    </row>
    <row r="68" spans="1:17" x14ac:dyDescent="0.25">
      <c r="A68" s="232"/>
      <c r="B68" s="233"/>
      <c r="C68" s="267"/>
      <c r="D68" s="233"/>
      <c r="E68" s="233"/>
      <c r="F68" s="233"/>
      <c r="G68" s="233"/>
      <c r="H68" s="233"/>
      <c r="I68" s="233"/>
      <c r="J68" s="233"/>
      <c r="K68" s="233"/>
      <c r="L68" s="242"/>
      <c r="M68" s="242"/>
      <c r="N68" s="242"/>
      <c r="O68" s="242"/>
      <c r="P68" s="242"/>
      <c r="Q68" s="242"/>
    </row>
    <row r="69" spans="1:17" x14ac:dyDescent="0.25">
      <c r="A69" s="243" t="s">
        <v>21</v>
      </c>
      <c r="B69" s="244">
        <f>'Soda Ash Hanau'!B9</f>
        <v>0</v>
      </c>
      <c r="C69" s="244">
        <f>'Soda Ash Hanau'!C9</f>
        <v>0</v>
      </c>
      <c r="D69" s="244">
        <f>'Soda Ash Hanau'!D9</f>
        <v>0</v>
      </c>
      <c r="E69" s="244">
        <f>'Soda Ash Hanau'!E9</f>
        <v>0</v>
      </c>
      <c r="F69" s="244">
        <f>'Soda Ash Hanau'!F9</f>
        <v>0</v>
      </c>
      <c r="G69" s="244">
        <f>'Soda Ash Hanau'!G9</f>
        <v>0</v>
      </c>
      <c r="H69" s="244">
        <f>'Soda Ash Hanau'!H9</f>
        <v>0</v>
      </c>
      <c r="I69" s="244">
        <f>'Soda Ash Hanau'!I9</f>
        <v>0</v>
      </c>
      <c r="J69" s="244">
        <f>'Soda Ash Hanau'!J9</f>
        <v>0</v>
      </c>
      <c r="K69" s="244">
        <f>'Soda Ash Hanau'!K9</f>
        <v>0</v>
      </c>
      <c r="L69" s="242"/>
      <c r="M69" s="242"/>
      <c r="N69" s="242"/>
      <c r="O69" s="242"/>
      <c r="P69" s="242"/>
      <c r="Q69" s="242"/>
    </row>
    <row r="70" spans="1:17" x14ac:dyDescent="0.25">
      <c r="A70" s="243"/>
      <c r="B70" s="244"/>
      <c r="C70" s="245"/>
      <c r="D70" s="245"/>
      <c r="E70" s="246"/>
      <c r="F70" s="245"/>
      <c r="G70" s="245"/>
      <c r="H70" s="246"/>
      <c r="I70" s="245"/>
      <c r="J70" s="237"/>
      <c r="K70" s="245"/>
      <c r="L70" s="242"/>
      <c r="M70" s="242"/>
      <c r="N70" s="242"/>
      <c r="O70" s="242"/>
      <c r="P70" s="242"/>
      <c r="Q70" s="242"/>
    </row>
    <row r="71" spans="1:17" x14ac:dyDescent="0.25">
      <c r="A71" s="247"/>
      <c r="B71" s="248"/>
      <c r="C71" s="249"/>
      <c r="D71" s="251"/>
      <c r="E71" s="250"/>
      <c r="F71" s="249"/>
      <c r="G71" s="249"/>
      <c r="H71" s="248"/>
      <c r="I71" s="251"/>
      <c r="J71" s="241"/>
      <c r="K71" s="251"/>
      <c r="L71" s="242"/>
      <c r="M71" s="242"/>
      <c r="N71" s="242"/>
      <c r="O71" s="242"/>
      <c r="P71" s="242"/>
      <c r="Q71" s="242"/>
    </row>
    <row r="74" spans="1:17" ht="21" x14ac:dyDescent="0.35">
      <c r="A74" s="278" t="s">
        <v>116</v>
      </c>
      <c r="B74" s="297"/>
    </row>
    <row r="75" spans="1:17" x14ac:dyDescent="0.25">
      <c r="A75" t="s">
        <v>39</v>
      </c>
    </row>
    <row r="77" spans="1:17" x14ac:dyDescent="0.25">
      <c r="A77" s="546" t="s">
        <v>45</v>
      </c>
      <c r="B77" s="546"/>
      <c r="C77" s="546"/>
      <c r="D77" s="546"/>
      <c r="E77" s="546"/>
      <c r="F77" s="546"/>
      <c r="G77" s="546"/>
      <c r="H77" s="546"/>
      <c r="I77" s="546"/>
      <c r="J77" s="546"/>
      <c r="K77" s="546"/>
      <c r="L77" s="546"/>
      <c r="M77" s="546"/>
      <c r="N77" s="546"/>
      <c r="O77" s="546"/>
      <c r="P77" s="546"/>
      <c r="Q77" s="546"/>
    </row>
    <row r="78" spans="1:17" x14ac:dyDescent="0.25">
      <c r="A78" s="255"/>
      <c r="B78" s="256"/>
      <c r="C78" s="256"/>
      <c r="D78" s="256"/>
      <c r="E78" s="257"/>
      <c r="F78" s="257"/>
      <c r="G78" s="256"/>
      <c r="H78" s="256"/>
      <c r="I78" s="256"/>
      <c r="J78" s="256"/>
      <c r="K78" s="256"/>
      <c r="L78" s="256"/>
      <c r="M78" s="256"/>
      <c r="N78" s="256"/>
      <c r="O78" s="256"/>
      <c r="P78" s="256"/>
      <c r="Q78" s="256"/>
    </row>
    <row r="79" spans="1:17" x14ac:dyDescent="0.25">
      <c r="A79" s="539" t="s">
        <v>0</v>
      </c>
      <c r="B79" s="550" t="s">
        <v>7</v>
      </c>
      <c r="C79" s="550"/>
      <c r="D79" s="550"/>
      <c r="E79" s="550" t="s">
        <v>5</v>
      </c>
      <c r="F79" s="550"/>
      <c r="G79" s="550"/>
      <c r="H79" s="541" t="s">
        <v>25</v>
      </c>
      <c r="I79" s="542"/>
      <c r="J79" s="543"/>
      <c r="K79" s="541" t="s">
        <v>26</v>
      </c>
      <c r="L79" s="542"/>
      <c r="M79" s="543"/>
      <c r="N79" s="550" t="s">
        <v>4</v>
      </c>
      <c r="O79" s="550"/>
      <c r="P79" s="550" t="s">
        <v>6</v>
      </c>
      <c r="Q79" s="550"/>
    </row>
    <row r="80" spans="1:17" x14ac:dyDescent="0.25">
      <c r="A80" s="540"/>
      <c r="B80" s="247" t="s">
        <v>8</v>
      </c>
      <c r="C80" s="247" t="s">
        <v>9</v>
      </c>
      <c r="D80" s="247" t="s">
        <v>13</v>
      </c>
      <c r="E80" s="258" t="s">
        <v>8</v>
      </c>
      <c r="F80" s="258" t="s">
        <v>9</v>
      </c>
      <c r="G80" s="247" t="s">
        <v>13</v>
      </c>
      <c r="H80" s="231" t="s">
        <v>8</v>
      </c>
      <c r="I80" s="231" t="s">
        <v>9</v>
      </c>
      <c r="J80" s="231" t="s">
        <v>13</v>
      </c>
      <c r="K80" s="231" t="s">
        <v>8</v>
      </c>
      <c r="L80" s="231" t="s">
        <v>9</v>
      </c>
      <c r="M80" s="231" t="s">
        <v>13</v>
      </c>
      <c r="N80" s="247" t="s">
        <v>8</v>
      </c>
      <c r="O80" s="247" t="s">
        <v>13</v>
      </c>
      <c r="P80" s="247" t="s">
        <v>8</v>
      </c>
      <c r="Q80" s="247" t="s">
        <v>13</v>
      </c>
    </row>
    <row r="81" spans="1:17" x14ac:dyDescent="0.25">
      <c r="A81" s="232"/>
      <c r="B81" s="259"/>
      <c r="C81" s="259"/>
      <c r="D81" s="259"/>
      <c r="E81" s="260"/>
      <c r="F81" s="260"/>
      <c r="G81" s="259"/>
      <c r="H81" s="259"/>
      <c r="I81" s="259"/>
      <c r="J81" s="259"/>
      <c r="K81" s="259"/>
      <c r="L81" s="259"/>
      <c r="M81" s="259"/>
      <c r="N81" s="259"/>
      <c r="O81" s="259"/>
      <c r="P81" s="259"/>
      <c r="Q81" s="259"/>
    </row>
    <row r="82" spans="1:17" x14ac:dyDescent="0.25">
      <c r="A82" s="243" t="s">
        <v>22</v>
      </c>
      <c r="B82" s="236">
        <f>'SODA ASH BENAR'!B19</f>
        <v>0</v>
      </c>
      <c r="C82" s="236">
        <f>'SODA ASH BENAR'!C19</f>
        <v>0</v>
      </c>
      <c r="D82" s="236">
        <f>'SODA ASH BENAR'!D19</f>
        <v>0</v>
      </c>
      <c r="E82" s="236">
        <f>'SODA ASH BENAR'!E19</f>
        <v>0</v>
      </c>
      <c r="F82" s="236">
        <f>'SODA ASH BENAR'!F19</f>
        <v>0</v>
      </c>
      <c r="G82" s="236">
        <f>'SODA ASH BENAR'!G19</f>
        <v>0</v>
      </c>
      <c r="H82" s="236">
        <f>'SODA ASH BENAR'!H19</f>
        <v>0</v>
      </c>
      <c r="I82" s="236">
        <f>'SODA ASH BENAR'!I19</f>
        <v>0</v>
      </c>
      <c r="J82" s="236">
        <f>'SODA ASH BENAR'!J19</f>
        <v>0</v>
      </c>
      <c r="K82" s="236">
        <f>'SODA ASH BENAR'!K19</f>
        <v>0</v>
      </c>
      <c r="L82" s="236">
        <f>'SODA ASH BENAR'!L19</f>
        <v>0</v>
      </c>
      <c r="M82" s="236">
        <f>'SODA ASH BENAR'!M19</f>
        <v>0</v>
      </c>
      <c r="N82" s="236">
        <f>'SODA ASH BENAR'!N19</f>
        <v>0</v>
      </c>
      <c r="O82" s="236">
        <f>'SODA ASH BENAR'!O19</f>
        <v>0</v>
      </c>
      <c r="P82" s="236">
        <f>'SODA ASH BENAR'!P19</f>
        <v>0</v>
      </c>
      <c r="Q82" s="236">
        <f>'SODA ASH BENAR'!Q19</f>
        <v>0</v>
      </c>
    </row>
    <row r="83" spans="1:17" x14ac:dyDescent="0.25">
      <c r="A83" s="243"/>
      <c r="B83" s="236">
        <f>'SODA ASH BENAR'!B20</f>
        <v>0</v>
      </c>
      <c r="C83" s="236">
        <f>'SODA ASH BENAR'!C20</f>
        <v>0</v>
      </c>
      <c r="D83" s="236">
        <f>'SODA ASH BENAR'!D20</f>
        <v>0</v>
      </c>
      <c r="E83" s="236">
        <f>'SODA ASH BENAR'!E20</f>
        <v>0</v>
      </c>
      <c r="F83" s="236">
        <f>'SODA ASH BENAR'!F20</f>
        <v>0</v>
      </c>
      <c r="G83" s="236">
        <f>'SODA ASH BENAR'!G20</f>
        <v>0</v>
      </c>
      <c r="H83" s="236">
        <f>'SODA ASH BENAR'!H20</f>
        <v>0</v>
      </c>
      <c r="I83" s="236">
        <f>'SODA ASH BENAR'!I20</f>
        <v>0</v>
      </c>
      <c r="J83" s="236">
        <f>'SODA ASH BENAR'!J20</f>
        <v>0</v>
      </c>
      <c r="K83" s="236">
        <f>'SODA ASH BENAR'!K20</f>
        <v>0</v>
      </c>
      <c r="L83" s="236">
        <f>'SODA ASH BENAR'!L20</f>
        <v>0</v>
      </c>
      <c r="M83" s="236">
        <f>'SODA ASH BENAR'!M20</f>
        <v>0</v>
      </c>
      <c r="N83" s="236">
        <f>'SODA ASH BENAR'!N20</f>
        <v>0</v>
      </c>
      <c r="O83" s="236">
        <f>'SODA ASH BENAR'!O20</f>
        <v>0</v>
      </c>
      <c r="P83" s="236">
        <f>'SODA ASH BENAR'!P20</f>
        <v>0</v>
      </c>
      <c r="Q83" s="236">
        <f>'SODA ASH BENAR'!Q20</f>
        <v>0</v>
      </c>
    </row>
    <row r="84" spans="1:17" x14ac:dyDescent="0.25">
      <c r="A84" s="247"/>
      <c r="B84" s="240">
        <f>'SODA ASH BENAR'!B21</f>
        <v>0</v>
      </c>
      <c r="C84" s="240">
        <f>'SODA ASH BENAR'!C21</f>
        <v>0</v>
      </c>
      <c r="D84" s="240">
        <f>'SODA ASH BENAR'!D21</f>
        <v>0</v>
      </c>
      <c r="E84" s="240">
        <f>'SODA ASH BENAR'!E21</f>
        <v>0</v>
      </c>
      <c r="F84" s="240">
        <f>'SODA ASH BENAR'!F21</f>
        <v>0</v>
      </c>
      <c r="G84" s="240">
        <f>'SODA ASH BENAR'!G21</f>
        <v>0</v>
      </c>
      <c r="H84" s="240">
        <f>'SODA ASH BENAR'!H21</f>
        <v>0</v>
      </c>
      <c r="I84" s="240">
        <f>'SODA ASH BENAR'!I21</f>
        <v>0</v>
      </c>
      <c r="J84" s="240">
        <f>'SODA ASH BENAR'!J21</f>
        <v>0</v>
      </c>
      <c r="K84" s="240">
        <f>'SODA ASH BENAR'!K21</f>
        <v>0</v>
      </c>
      <c r="L84" s="240">
        <f>'SODA ASH BENAR'!L21</f>
        <v>0</v>
      </c>
      <c r="M84" s="240">
        <f>'SODA ASH BENAR'!M21</f>
        <v>0</v>
      </c>
      <c r="N84" s="395">
        <f>'SODA ASH BENAR'!N21</f>
        <v>0</v>
      </c>
      <c r="O84" s="395">
        <f>'SODA ASH BENAR'!O21</f>
        <v>0</v>
      </c>
      <c r="P84" s="395">
        <f>'SODA ASH BENAR'!P21</f>
        <v>0</v>
      </c>
      <c r="Q84" s="395">
        <f>'SODA ASH BENAR'!Q21</f>
        <v>0</v>
      </c>
    </row>
    <row r="85" spans="1:17" x14ac:dyDescent="0.25">
      <c r="A85" s="242"/>
      <c r="B85" s="242"/>
      <c r="C85" s="242"/>
      <c r="D85" s="242"/>
      <c r="E85" s="242"/>
      <c r="F85" s="242"/>
      <c r="G85" s="242"/>
      <c r="H85" s="242"/>
      <c r="I85" s="242"/>
      <c r="J85" s="242"/>
      <c r="K85" s="242"/>
      <c r="L85" s="242"/>
      <c r="M85" s="242"/>
      <c r="N85" s="242"/>
      <c r="O85" s="242"/>
      <c r="P85" s="242"/>
      <c r="Q85" s="242"/>
    </row>
    <row r="86" spans="1:17" x14ac:dyDescent="0.25">
      <c r="A86" s="242"/>
      <c r="B86" s="242"/>
      <c r="C86" s="242"/>
      <c r="D86" s="242"/>
      <c r="E86" s="242"/>
      <c r="F86" s="242"/>
      <c r="G86" s="242"/>
      <c r="H86" s="242"/>
      <c r="I86" s="242"/>
      <c r="J86" s="242"/>
      <c r="K86" s="242"/>
      <c r="L86" s="242"/>
      <c r="M86" s="242"/>
      <c r="N86" s="242"/>
      <c r="O86" s="242"/>
      <c r="P86" s="242"/>
      <c r="Q86" s="242"/>
    </row>
    <row r="87" spans="1:17" x14ac:dyDescent="0.25">
      <c r="A87" s="242"/>
      <c r="B87" s="242"/>
      <c r="C87" s="242"/>
      <c r="D87" s="242"/>
      <c r="E87" s="242"/>
      <c r="F87" s="242"/>
      <c r="G87" s="242"/>
      <c r="H87" s="242"/>
      <c r="I87" s="242"/>
      <c r="J87" s="242"/>
      <c r="K87" s="242"/>
      <c r="L87" s="242"/>
      <c r="M87" s="242"/>
      <c r="N87" s="242"/>
      <c r="O87" s="242"/>
      <c r="P87" s="242"/>
      <c r="Q87" s="242"/>
    </row>
    <row r="88" spans="1:17" x14ac:dyDescent="0.25">
      <c r="A88" s="537" t="s">
        <v>46</v>
      </c>
      <c r="B88" s="537"/>
      <c r="C88" s="537"/>
      <c r="D88" s="537"/>
      <c r="E88" s="537"/>
      <c r="F88" s="537"/>
      <c r="G88" s="537"/>
      <c r="H88" s="537"/>
      <c r="I88" s="537"/>
      <c r="J88" s="537"/>
      <c r="K88" s="537"/>
      <c r="L88" s="242"/>
      <c r="M88" s="242"/>
      <c r="N88" s="242"/>
      <c r="O88" s="242"/>
      <c r="P88" s="242"/>
      <c r="Q88" s="242"/>
    </row>
    <row r="89" spans="1:17" x14ac:dyDescent="0.25">
      <c r="A89" s="536" t="s">
        <v>0</v>
      </c>
      <c r="B89" s="536" t="s">
        <v>7</v>
      </c>
      <c r="C89" s="536"/>
      <c r="D89" s="536"/>
      <c r="E89" s="536" t="s">
        <v>5</v>
      </c>
      <c r="F89" s="536"/>
      <c r="G89" s="536"/>
      <c r="H89" s="536" t="s">
        <v>4</v>
      </c>
      <c r="I89" s="536"/>
      <c r="J89" s="536" t="s">
        <v>6</v>
      </c>
      <c r="K89" s="536"/>
      <c r="L89" s="242"/>
      <c r="M89" s="242"/>
      <c r="N89" s="242"/>
      <c r="O89" s="242"/>
      <c r="P89" s="242"/>
      <c r="Q89" s="242"/>
    </row>
    <row r="90" spans="1:17" x14ac:dyDescent="0.25">
      <c r="A90" s="536"/>
      <c r="B90" s="231" t="s">
        <v>8</v>
      </c>
      <c r="C90" s="231" t="s">
        <v>14</v>
      </c>
      <c r="D90" s="231" t="s">
        <v>13</v>
      </c>
      <c r="E90" s="231" t="s">
        <v>8</v>
      </c>
      <c r="F90" s="231" t="s">
        <v>14</v>
      </c>
      <c r="G90" s="231" t="s">
        <v>10</v>
      </c>
      <c r="H90" s="231" t="s">
        <v>8</v>
      </c>
      <c r="I90" s="231" t="s">
        <v>13</v>
      </c>
      <c r="J90" s="231" t="s">
        <v>8</v>
      </c>
      <c r="K90" s="231" t="s">
        <v>13</v>
      </c>
      <c r="L90" s="242"/>
      <c r="M90" s="242"/>
      <c r="N90" s="242"/>
      <c r="O90" s="242"/>
      <c r="P90" s="242"/>
      <c r="Q90" s="242"/>
    </row>
    <row r="91" spans="1:17" x14ac:dyDescent="0.25">
      <c r="A91" s="232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42"/>
      <c r="M91" s="242"/>
      <c r="N91" s="242"/>
      <c r="O91" s="242"/>
      <c r="P91" s="242"/>
      <c r="Q91" s="242"/>
    </row>
    <row r="92" spans="1:17" x14ac:dyDescent="0.25">
      <c r="A92" s="243" t="s">
        <v>22</v>
      </c>
      <c r="B92" s="244">
        <f>'Soda Ash K. B'!B11</f>
        <v>0</v>
      </c>
      <c r="C92" s="244">
        <f>'Soda Ash K. B'!C11</f>
        <v>0</v>
      </c>
      <c r="D92" s="244">
        <f>'Soda Ash K. B'!D11</f>
        <v>0</v>
      </c>
      <c r="E92" s="244">
        <f>'Soda Ash K. B'!E11</f>
        <v>0</v>
      </c>
      <c r="F92" s="244">
        <f>'Soda Ash K. B'!F11</f>
        <v>0</v>
      </c>
      <c r="G92" s="244">
        <f>'Soda Ash K. B'!G11</f>
        <v>0</v>
      </c>
      <c r="H92" s="244">
        <f>'Soda Ash K. B'!H11</f>
        <v>0</v>
      </c>
      <c r="I92" s="244">
        <f>'Soda Ash K. B'!I11</f>
        <v>0</v>
      </c>
      <c r="J92" s="244">
        <f>'Soda Ash K. B'!J11</f>
        <v>0</v>
      </c>
      <c r="K92" s="244">
        <f>'Soda Ash K. B'!K11</f>
        <v>0</v>
      </c>
      <c r="L92" s="242"/>
      <c r="M92" s="242"/>
      <c r="N92" s="242"/>
      <c r="O92" s="242"/>
      <c r="P92" s="242"/>
      <c r="Q92" s="242"/>
    </row>
    <row r="93" spans="1:17" x14ac:dyDescent="0.25">
      <c r="A93" s="243"/>
      <c r="B93" s="244">
        <f>'Soda Ash K. B'!B12</f>
        <v>0</v>
      </c>
      <c r="C93" s="244">
        <f>'Soda Ash K. B'!C12</f>
        <v>0</v>
      </c>
      <c r="D93" s="244">
        <f>'Soda Ash K. B'!D12</f>
        <v>0</v>
      </c>
      <c r="E93" s="244">
        <f>'Soda Ash K. B'!E12</f>
        <v>0</v>
      </c>
      <c r="F93" s="244">
        <f>'Soda Ash K. B'!F12</f>
        <v>0</v>
      </c>
      <c r="G93" s="244">
        <f>'Soda Ash K. B'!G12</f>
        <v>0</v>
      </c>
      <c r="H93" s="244">
        <f>'Soda Ash K. B'!H12</f>
        <v>0</v>
      </c>
      <c r="I93" s="244">
        <f>'Soda Ash K. B'!I12</f>
        <v>0</v>
      </c>
      <c r="J93" s="244">
        <f>'Soda Ash K. B'!J12</f>
        <v>0</v>
      </c>
      <c r="K93" s="244">
        <f>'Soda Ash K. B'!K12</f>
        <v>0</v>
      </c>
      <c r="L93" s="242"/>
      <c r="M93" s="242"/>
      <c r="N93" s="242"/>
      <c r="O93" s="242"/>
      <c r="P93" s="242"/>
      <c r="Q93" s="242"/>
    </row>
    <row r="94" spans="1:17" x14ac:dyDescent="0.25">
      <c r="A94" s="243"/>
      <c r="B94" s="244">
        <f>'Soda Ash K. B'!B13</f>
        <v>0</v>
      </c>
      <c r="C94" s="244">
        <f>'Soda Ash K. B'!C13</f>
        <v>0</v>
      </c>
      <c r="D94" s="244">
        <f>'Soda Ash K. B'!D13</f>
        <v>0</v>
      </c>
      <c r="E94" s="244">
        <f>'Soda Ash K. B'!E13</f>
        <v>0</v>
      </c>
      <c r="F94" s="244">
        <f>'Soda Ash K. B'!F13</f>
        <v>0</v>
      </c>
      <c r="G94" s="244">
        <f>'Soda Ash K. B'!G13</f>
        <v>0</v>
      </c>
      <c r="H94" s="244">
        <f>'Soda Ash K. B'!H13</f>
        <v>0</v>
      </c>
      <c r="I94" s="244">
        <f>'Soda Ash K. B'!I13</f>
        <v>0</v>
      </c>
      <c r="J94" s="296">
        <f>'Soda Ash K. B'!J13</f>
        <v>0</v>
      </c>
      <c r="K94" s="296">
        <f>'Soda Ash K. B'!K13</f>
        <v>0</v>
      </c>
      <c r="L94" s="242"/>
      <c r="M94" s="242"/>
      <c r="N94" s="242"/>
      <c r="O94" s="242"/>
      <c r="P94" s="242"/>
      <c r="Q94" s="242"/>
    </row>
    <row r="95" spans="1:17" x14ac:dyDescent="0.25">
      <c r="A95" s="243"/>
      <c r="B95" s="244"/>
      <c r="C95" s="245"/>
      <c r="D95" s="245"/>
      <c r="E95" s="246"/>
      <c r="F95" s="245"/>
      <c r="G95" s="245"/>
      <c r="H95" s="246"/>
      <c r="I95" s="245"/>
      <c r="J95" s="237"/>
      <c r="K95" s="245"/>
      <c r="L95" s="242"/>
      <c r="M95" s="242"/>
      <c r="N95" s="242"/>
      <c r="O95" s="242"/>
      <c r="P95" s="242"/>
      <c r="Q95" s="242"/>
    </row>
    <row r="96" spans="1:17" x14ac:dyDescent="0.25">
      <c r="A96" s="247"/>
      <c r="B96" s="248"/>
      <c r="C96" s="248"/>
      <c r="D96" s="249"/>
      <c r="E96" s="250"/>
      <c r="F96" s="249"/>
      <c r="G96" s="249"/>
      <c r="H96" s="248"/>
      <c r="I96" s="251"/>
      <c r="J96" s="241"/>
      <c r="K96" s="251"/>
      <c r="L96" s="242"/>
      <c r="M96" s="242"/>
      <c r="N96" s="242"/>
      <c r="O96" s="242"/>
      <c r="P96" s="242"/>
      <c r="Q96" s="242"/>
    </row>
    <row r="97" spans="1:17" x14ac:dyDescent="0.25">
      <c r="A97" s="242"/>
      <c r="B97" s="242"/>
      <c r="C97" s="242"/>
      <c r="D97" s="242"/>
      <c r="E97" s="242"/>
      <c r="F97" s="242"/>
      <c r="G97" s="242"/>
      <c r="H97" s="242"/>
      <c r="I97" s="242"/>
      <c r="J97" s="242"/>
      <c r="K97" s="242"/>
      <c r="L97" s="242"/>
      <c r="M97" s="242"/>
      <c r="N97" s="242"/>
      <c r="O97" s="242"/>
      <c r="P97" s="242"/>
      <c r="Q97" s="242"/>
    </row>
    <row r="98" spans="1:17" x14ac:dyDescent="0.25">
      <c r="A98" s="242"/>
      <c r="B98" s="242"/>
      <c r="C98" s="242"/>
      <c r="D98" s="242"/>
      <c r="E98" s="242"/>
      <c r="F98" s="242"/>
      <c r="G98" s="242"/>
      <c r="H98" s="242"/>
      <c r="I98" s="242"/>
      <c r="J98" s="242"/>
      <c r="K98" s="242"/>
      <c r="L98" s="242"/>
      <c r="M98" s="242"/>
      <c r="N98" s="242"/>
      <c r="O98" s="242"/>
      <c r="P98" s="242"/>
      <c r="Q98" s="242"/>
    </row>
    <row r="99" spans="1:17" x14ac:dyDescent="0.25">
      <c r="A99" s="242"/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242"/>
      <c r="M99" s="242"/>
      <c r="N99" s="242"/>
      <c r="O99" s="242"/>
      <c r="P99" s="242"/>
      <c r="Q99" s="242"/>
    </row>
    <row r="100" spans="1:17" x14ac:dyDescent="0.25">
      <c r="A100" s="537" t="s">
        <v>47</v>
      </c>
      <c r="B100" s="537"/>
      <c r="C100" s="537"/>
      <c r="D100" s="537"/>
      <c r="E100" s="537"/>
      <c r="F100" s="537"/>
      <c r="G100" s="537"/>
      <c r="H100" s="537"/>
      <c r="I100" s="537"/>
      <c r="J100" s="537"/>
      <c r="K100" s="537"/>
      <c r="L100" s="242"/>
      <c r="M100" s="242"/>
      <c r="N100" s="242"/>
      <c r="O100" s="242"/>
      <c r="P100" s="242"/>
      <c r="Q100" s="242"/>
    </row>
    <row r="101" spans="1:17" x14ac:dyDescent="0.25">
      <c r="A101" s="536" t="s">
        <v>0</v>
      </c>
      <c r="B101" s="536" t="s">
        <v>7</v>
      </c>
      <c r="C101" s="536"/>
      <c r="D101" s="536"/>
      <c r="E101" s="536" t="s">
        <v>5</v>
      </c>
      <c r="F101" s="536"/>
      <c r="G101" s="536"/>
      <c r="H101" s="536" t="s">
        <v>4</v>
      </c>
      <c r="I101" s="536"/>
      <c r="J101" s="536" t="s">
        <v>6</v>
      </c>
      <c r="K101" s="536"/>
      <c r="L101" s="242"/>
      <c r="M101" s="242"/>
      <c r="N101" s="242"/>
      <c r="O101" s="242"/>
      <c r="P101" s="242"/>
      <c r="Q101" s="242"/>
    </row>
    <row r="102" spans="1:17" x14ac:dyDescent="0.25">
      <c r="A102" s="536"/>
      <c r="B102" s="231" t="s">
        <v>8</v>
      </c>
      <c r="C102" s="231" t="s">
        <v>14</v>
      </c>
      <c r="D102" s="231" t="s">
        <v>13</v>
      </c>
      <c r="E102" s="231" t="s">
        <v>8</v>
      </c>
      <c r="F102" s="231" t="s">
        <v>14</v>
      </c>
      <c r="G102" s="231" t="s">
        <v>10</v>
      </c>
      <c r="H102" s="231" t="s">
        <v>8</v>
      </c>
      <c r="I102" s="231" t="s">
        <v>13</v>
      </c>
      <c r="J102" s="231" t="s">
        <v>8</v>
      </c>
      <c r="K102" s="231" t="s">
        <v>13</v>
      </c>
      <c r="L102" s="242"/>
      <c r="M102" s="242"/>
      <c r="N102" s="242"/>
      <c r="O102" s="242"/>
      <c r="P102" s="242"/>
      <c r="Q102" s="242"/>
    </row>
    <row r="103" spans="1:17" x14ac:dyDescent="0.25">
      <c r="A103" s="232"/>
      <c r="B103" s="233"/>
      <c r="C103" s="267"/>
      <c r="D103" s="233"/>
      <c r="E103" s="233"/>
      <c r="F103" s="233"/>
      <c r="G103" s="233"/>
      <c r="H103" s="233"/>
      <c r="I103" s="233"/>
      <c r="J103" s="233"/>
      <c r="K103" s="233"/>
      <c r="L103" s="242"/>
      <c r="M103" s="242"/>
      <c r="N103" s="242"/>
      <c r="O103" s="242"/>
      <c r="P103" s="242"/>
      <c r="Q103" s="242"/>
    </row>
    <row r="104" spans="1:17" x14ac:dyDescent="0.25">
      <c r="A104" s="243" t="s">
        <v>22</v>
      </c>
      <c r="B104" s="244">
        <f>'Soda Ash Hanau'!B11</f>
        <v>0</v>
      </c>
      <c r="C104" s="244">
        <f>'Soda Ash Hanau'!C11</f>
        <v>0</v>
      </c>
      <c r="D104" s="244">
        <f>'Soda Ash Hanau'!D11</f>
        <v>0</v>
      </c>
      <c r="E104" s="244">
        <f>'Soda Ash Hanau'!E11</f>
        <v>0</v>
      </c>
      <c r="F104" s="244">
        <f>'Soda Ash Hanau'!F11</f>
        <v>0</v>
      </c>
      <c r="G104" s="244">
        <f>'Soda Ash Hanau'!G11</f>
        <v>0</v>
      </c>
      <c r="H104" s="244">
        <f>'Soda Ash Hanau'!H11</f>
        <v>0</v>
      </c>
      <c r="I104" s="244">
        <f>'Soda Ash Hanau'!I11</f>
        <v>0</v>
      </c>
      <c r="J104" s="244">
        <f>'Soda Ash Hanau'!J11</f>
        <v>0</v>
      </c>
      <c r="K104" s="244">
        <f>'Soda Ash Hanau'!K11</f>
        <v>0</v>
      </c>
      <c r="L104" s="242"/>
      <c r="M104" s="242"/>
      <c r="N104" s="242"/>
      <c r="O104" s="242"/>
      <c r="P104" s="242"/>
      <c r="Q104" s="242"/>
    </row>
    <row r="105" spans="1:17" x14ac:dyDescent="0.25">
      <c r="A105" s="243"/>
      <c r="B105" s="244">
        <f>'Soda Ash Hanau'!B12</f>
        <v>0</v>
      </c>
      <c r="C105" s="244">
        <f>'Soda Ash Hanau'!C12</f>
        <v>0</v>
      </c>
      <c r="D105" s="244">
        <f>'Soda Ash Hanau'!D12</f>
        <v>0</v>
      </c>
      <c r="E105" s="244">
        <f>'Soda Ash Hanau'!E12</f>
        <v>0</v>
      </c>
      <c r="F105" s="244">
        <f>'Soda Ash Hanau'!F12</f>
        <v>0</v>
      </c>
      <c r="G105" s="244">
        <f>'Soda Ash Hanau'!G12</f>
        <v>0</v>
      </c>
      <c r="H105" s="244">
        <f>'Soda Ash Hanau'!H12</f>
        <v>0</v>
      </c>
      <c r="I105" s="244">
        <f>'Soda Ash Hanau'!I12</f>
        <v>0</v>
      </c>
      <c r="J105" s="244">
        <f>'Soda Ash Hanau'!J12</f>
        <v>0</v>
      </c>
      <c r="K105" s="244">
        <f>'Soda Ash Hanau'!K12</f>
        <v>0</v>
      </c>
      <c r="L105" s="242"/>
      <c r="M105" s="242"/>
      <c r="N105" s="242"/>
      <c r="O105" s="242"/>
      <c r="P105" s="242"/>
      <c r="Q105" s="242"/>
    </row>
    <row r="106" spans="1:17" x14ac:dyDescent="0.25">
      <c r="A106" s="243"/>
      <c r="B106" s="244">
        <f>'Soda Ash Hanau'!B13</f>
        <v>0</v>
      </c>
      <c r="C106" s="244">
        <f>'Soda Ash Hanau'!C13</f>
        <v>0</v>
      </c>
      <c r="D106" s="244">
        <f>'Soda Ash Hanau'!D13</f>
        <v>0</v>
      </c>
      <c r="E106" s="244">
        <f>'Soda Ash Hanau'!E13</f>
        <v>0</v>
      </c>
      <c r="F106" s="244">
        <f>'Soda Ash Hanau'!F13</f>
        <v>0</v>
      </c>
      <c r="G106" s="244">
        <f>'Soda Ash Hanau'!G13</f>
        <v>0</v>
      </c>
      <c r="H106" s="296">
        <f>'Soda Ash Hanau'!H13</f>
        <v>0</v>
      </c>
      <c r="I106" s="296">
        <f>'Soda Ash Hanau'!I13</f>
        <v>0</v>
      </c>
      <c r="J106" s="296">
        <f>'Soda Ash Hanau'!J13</f>
        <v>0</v>
      </c>
      <c r="K106" s="296">
        <f>'Soda Ash Hanau'!K13</f>
        <v>0</v>
      </c>
      <c r="L106" s="242"/>
      <c r="M106" s="242"/>
      <c r="N106" s="242"/>
      <c r="O106" s="242"/>
      <c r="P106" s="242"/>
      <c r="Q106" s="242"/>
    </row>
    <row r="107" spans="1:17" x14ac:dyDescent="0.25">
      <c r="A107" s="247"/>
      <c r="B107" s="248"/>
      <c r="C107" s="249"/>
      <c r="D107" s="251"/>
      <c r="E107" s="250"/>
      <c r="F107" s="249"/>
      <c r="G107" s="249"/>
      <c r="H107" s="248"/>
      <c r="I107" s="251"/>
      <c r="J107" s="241"/>
      <c r="K107" s="251"/>
      <c r="L107" s="242"/>
      <c r="M107" s="242"/>
      <c r="N107" s="242"/>
      <c r="O107" s="242"/>
      <c r="P107" s="242"/>
      <c r="Q107" s="242"/>
    </row>
    <row r="111" spans="1:17" ht="21" x14ac:dyDescent="0.35">
      <c r="A111" s="520">
        <v>45748</v>
      </c>
      <c r="B111" s="520"/>
    </row>
    <row r="114" spans="1:17" x14ac:dyDescent="0.25">
      <c r="A114" s="546" t="s">
        <v>45</v>
      </c>
      <c r="B114" s="546"/>
      <c r="C114" s="546"/>
      <c r="D114" s="546"/>
      <c r="E114" s="546"/>
      <c r="F114" s="546"/>
      <c r="G114" s="546"/>
      <c r="H114" s="546"/>
      <c r="I114" s="546"/>
      <c r="J114" s="546"/>
      <c r="K114" s="546"/>
      <c r="L114" s="546"/>
      <c r="M114" s="546"/>
      <c r="N114" s="546"/>
      <c r="O114" s="546"/>
      <c r="P114" s="546"/>
      <c r="Q114" s="546"/>
    </row>
    <row r="115" spans="1:17" x14ac:dyDescent="0.25">
      <c r="A115" s="255"/>
      <c r="B115" s="256"/>
      <c r="C115" s="256"/>
      <c r="D115" s="256"/>
      <c r="E115" s="257"/>
      <c r="F115" s="257"/>
      <c r="G115" s="256"/>
      <c r="H115" s="256"/>
      <c r="I115" s="256"/>
      <c r="J115" s="256"/>
      <c r="K115" s="256"/>
      <c r="L115" s="256"/>
      <c r="M115" s="256"/>
      <c r="N115" s="256"/>
      <c r="O115" s="256"/>
      <c r="P115" s="256"/>
      <c r="Q115" s="256"/>
    </row>
    <row r="116" spans="1:17" x14ac:dyDescent="0.25">
      <c r="A116" s="539" t="s">
        <v>0</v>
      </c>
      <c r="B116" s="550" t="s">
        <v>7</v>
      </c>
      <c r="C116" s="550"/>
      <c r="D116" s="550"/>
      <c r="E116" s="550" t="s">
        <v>5</v>
      </c>
      <c r="F116" s="550"/>
      <c r="G116" s="550"/>
      <c r="H116" s="541" t="s">
        <v>25</v>
      </c>
      <c r="I116" s="542"/>
      <c r="J116" s="543"/>
      <c r="K116" s="541" t="s">
        <v>26</v>
      </c>
      <c r="L116" s="542"/>
      <c r="M116" s="543"/>
      <c r="N116" s="550" t="s">
        <v>4</v>
      </c>
      <c r="O116" s="550"/>
      <c r="P116" s="550" t="s">
        <v>6</v>
      </c>
      <c r="Q116" s="550"/>
    </row>
    <row r="117" spans="1:17" x14ac:dyDescent="0.25">
      <c r="A117" s="540"/>
      <c r="B117" s="247" t="s">
        <v>8</v>
      </c>
      <c r="C117" s="247" t="s">
        <v>9</v>
      </c>
      <c r="D117" s="247" t="s">
        <v>13</v>
      </c>
      <c r="E117" s="258" t="s">
        <v>8</v>
      </c>
      <c r="F117" s="258" t="s">
        <v>9</v>
      </c>
      <c r="G117" s="247" t="s">
        <v>13</v>
      </c>
      <c r="H117" s="231" t="s">
        <v>8</v>
      </c>
      <c r="I117" s="231" t="s">
        <v>9</v>
      </c>
      <c r="K117" s="231" t="s">
        <v>8</v>
      </c>
      <c r="L117" s="231" t="s">
        <v>9</v>
      </c>
      <c r="M117" s="231" t="s">
        <v>13</v>
      </c>
      <c r="N117" s="247" t="s">
        <v>8</v>
      </c>
      <c r="O117" s="247" t="s">
        <v>13</v>
      </c>
      <c r="P117" s="247" t="s">
        <v>8</v>
      </c>
      <c r="Q117" s="247" t="s">
        <v>13</v>
      </c>
    </row>
    <row r="118" spans="1:17" x14ac:dyDescent="0.25">
      <c r="A118" s="232"/>
      <c r="B118" s="259"/>
      <c r="C118" s="259"/>
      <c r="D118" s="259"/>
      <c r="E118" s="260"/>
      <c r="F118" s="260"/>
      <c r="G118" s="259"/>
      <c r="H118" s="259"/>
      <c r="I118" s="287"/>
      <c r="J118" s="232"/>
      <c r="K118" s="288"/>
      <c r="L118" s="259"/>
      <c r="M118" s="259"/>
      <c r="N118" s="259"/>
      <c r="O118" s="259"/>
      <c r="P118" s="259"/>
      <c r="Q118" s="259"/>
    </row>
    <row r="119" spans="1:17" x14ac:dyDescent="0.25">
      <c r="A119" s="285" t="s">
        <v>24</v>
      </c>
      <c r="B119" s="236">
        <f>'SODA ASH BENAR'!B23</f>
        <v>0</v>
      </c>
      <c r="C119" s="236">
        <f>'SODA ASH BENAR'!C23</f>
        <v>0</v>
      </c>
      <c r="D119" s="236">
        <f>'SODA ASH BENAR'!D23</f>
        <v>0</v>
      </c>
      <c r="E119" s="236">
        <f>'SODA ASH BENAR'!E23</f>
        <v>0</v>
      </c>
      <c r="F119" s="236">
        <f>'SODA ASH BENAR'!F23</f>
        <v>0</v>
      </c>
      <c r="G119" s="236">
        <f>'SODA ASH BENAR'!G23</f>
        <v>0</v>
      </c>
      <c r="H119" s="236">
        <f>'SODA ASH BENAR'!H23</f>
        <v>0</v>
      </c>
      <c r="I119" s="236">
        <f>'SODA ASH BENAR'!I23</f>
        <v>0</v>
      </c>
      <c r="J119" s="236">
        <f>'SODA ASH BENAR'!J23</f>
        <v>0</v>
      </c>
      <c r="K119" s="236">
        <f>'SODA ASH BENAR'!K23</f>
        <v>0</v>
      </c>
      <c r="L119" s="236">
        <f>'SODA ASH BENAR'!L23</f>
        <v>0</v>
      </c>
      <c r="M119" s="236">
        <f>'SODA ASH BENAR'!M23</f>
        <v>0</v>
      </c>
      <c r="N119" s="236">
        <f>'SODA ASH BENAR'!N23</f>
        <v>0</v>
      </c>
      <c r="O119" s="236">
        <f>'SODA ASH BENAR'!O23</f>
        <v>0</v>
      </c>
      <c r="P119" s="236">
        <f>'SODA ASH BENAR'!P23</f>
        <v>0</v>
      </c>
      <c r="Q119" s="236">
        <f>'SODA ASH BENAR'!Q23</f>
        <v>0</v>
      </c>
    </row>
    <row r="120" spans="1:17" x14ac:dyDescent="0.25">
      <c r="A120" s="285"/>
      <c r="B120" s="236">
        <f>'SODA ASH BENAR'!B24</f>
        <v>0</v>
      </c>
      <c r="C120" s="236">
        <f>'SODA ASH BENAR'!C24</f>
        <v>0</v>
      </c>
      <c r="D120" s="236">
        <f>'SODA ASH BENAR'!D24</f>
        <v>0</v>
      </c>
      <c r="E120" s="236">
        <f>'SODA ASH BENAR'!E24</f>
        <v>0</v>
      </c>
      <c r="F120" s="236">
        <f>'SODA ASH BENAR'!F24</f>
        <v>0</v>
      </c>
      <c r="G120" s="236">
        <f>'SODA ASH BENAR'!G24</f>
        <v>0</v>
      </c>
      <c r="H120" s="236">
        <f>'SODA ASH BENAR'!H24</f>
        <v>0</v>
      </c>
      <c r="I120" s="236">
        <f>'SODA ASH BENAR'!I24</f>
        <v>0</v>
      </c>
      <c r="J120" s="236">
        <f>'SODA ASH BENAR'!J24</f>
        <v>0</v>
      </c>
      <c r="K120" s="236">
        <f>'SODA ASH BENAR'!K24</f>
        <v>0</v>
      </c>
      <c r="L120" s="236">
        <f>'SODA ASH BENAR'!L24</f>
        <v>0</v>
      </c>
      <c r="M120" s="236">
        <f>'SODA ASH BENAR'!M24</f>
        <v>0</v>
      </c>
      <c r="N120" s="236">
        <f>'SODA ASH BENAR'!N24</f>
        <v>0</v>
      </c>
      <c r="O120" s="236">
        <f>'SODA ASH BENAR'!O24</f>
        <v>0</v>
      </c>
      <c r="P120" s="236">
        <f>'SODA ASH BENAR'!P24</f>
        <v>0</v>
      </c>
      <c r="Q120" s="236">
        <f>'SODA ASH BENAR'!Q24</f>
        <v>0</v>
      </c>
    </row>
    <row r="121" spans="1:17" x14ac:dyDescent="0.25">
      <c r="A121" s="285"/>
      <c r="B121" s="236">
        <f>'SODA ASH BENAR'!B25</f>
        <v>0</v>
      </c>
      <c r="C121" s="236">
        <f>'SODA ASH BENAR'!C25</f>
        <v>0</v>
      </c>
      <c r="D121" s="236">
        <f>'SODA ASH BENAR'!D25</f>
        <v>0</v>
      </c>
      <c r="E121" s="236">
        <f>'SODA ASH BENAR'!E25</f>
        <v>0</v>
      </c>
      <c r="F121" s="236">
        <f>'SODA ASH BENAR'!F25</f>
        <v>0</v>
      </c>
      <c r="G121" s="236">
        <f>'SODA ASH BENAR'!G25</f>
        <v>0</v>
      </c>
      <c r="H121" s="262">
        <f>'SODA ASH BENAR'!H25</f>
        <v>0</v>
      </c>
      <c r="I121" s="262">
        <f>'SODA ASH BENAR'!I25</f>
        <v>0</v>
      </c>
      <c r="J121" s="262">
        <f>'SODA ASH BENAR'!J25</f>
        <v>0</v>
      </c>
      <c r="K121" s="236">
        <f>'SODA ASH BENAR'!K25</f>
        <v>0</v>
      </c>
      <c r="L121" s="236">
        <f>'SODA ASH BENAR'!L25</f>
        <v>0</v>
      </c>
      <c r="M121" s="236">
        <f>'SODA ASH BENAR'!M25</f>
        <v>0</v>
      </c>
      <c r="N121" s="236">
        <f>'SODA ASH BENAR'!N25</f>
        <v>0</v>
      </c>
      <c r="O121" s="236">
        <f>'SODA ASH BENAR'!O25</f>
        <v>0</v>
      </c>
      <c r="P121" s="262">
        <f>'SODA ASH BENAR'!P25</f>
        <v>0</v>
      </c>
      <c r="Q121" s="262">
        <f>'SODA ASH BENAR'!Q25</f>
        <v>0</v>
      </c>
    </row>
    <row r="122" spans="1:17" x14ac:dyDescent="0.25">
      <c r="A122" s="247"/>
      <c r="B122" s="240"/>
      <c r="C122" s="265"/>
      <c r="D122" s="251">
        <f>B122*C122</f>
        <v>0</v>
      </c>
      <c r="E122" s="266"/>
      <c r="F122" s="266"/>
      <c r="G122" s="251">
        <f>E122*F122</f>
        <v>0</v>
      </c>
      <c r="H122" s="251"/>
      <c r="I122" s="251"/>
      <c r="J122" s="251"/>
      <c r="K122" s="251"/>
      <c r="L122" s="251"/>
      <c r="M122" s="251"/>
      <c r="N122" s="266"/>
      <c r="O122" s="251">
        <f>N122*C122</f>
        <v>0</v>
      </c>
      <c r="P122" s="241">
        <f>B122+E122-N122-H122-K122</f>
        <v>0</v>
      </c>
      <c r="Q122" s="251">
        <f>D122+G122-O122-J122-M122</f>
        <v>0</v>
      </c>
    </row>
    <row r="123" spans="1:17" x14ac:dyDescent="0.25">
      <c r="A123" s="242"/>
      <c r="B123" s="242"/>
      <c r="C123" s="242"/>
      <c r="D123" s="242"/>
      <c r="E123" s="242"/>
      <c r="F123" s="242"/>
      <c r="G123" s="242"/>
      <c r="H123" s="242"/>
      <c r="I123" s="242"/>
      <c r="J123" s="242"/>
      <c r="K123" s="242"/>
      <c r="L123" s="242"/>
      <c r="M123" s="242"/>
      <c r="N123" s="242"/>
      <c r="O123" s="242"/>
      <c r="P123" s="242"/>
      <c r="Q123" s="242"/>
    </row>
    <row r="124" spans="1:17" x14ac:dyDescent="0.25">
      <c r="A124" s="242"/>
      <c r="B124" s="242"/>
      <c r="C124" s="242"/>
      <c r="D124" s="242"/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2"/>
      <c r="Q124" s="242"/>
    </row>
    <row r="125" spans="1:17" x14ac:dyDescent="0.25">
      <c r="A125" s="242"/>
      <c r="B125" s="242"/>
      <c r="C125" s="242"/>
      <c r="D125" s="242"/>
      <c r="E125" s="242"/>
      <c r="F125" s="242"/>
      <c r="G125" s="242"/>
      <c r="H125" s="242"/>
      <c r="I125" s="242"/>
      <c r="J125" s="242"/>
      <c r="K125" s="242"/>
      <c r="L125" s="242"/>
      <c r="M125" s="242"/>
      <c r="N125" s="242"/>
      <c r="O125" s="242"/>
      <c r="P125" s="242"/>
      <c r="Q125" s="242"/>
    </row>
    <row r="126" spans="1:17" x14ac:dyDescent="0.25">
      <c r="A126" s="537" t="s">
        <v>46</v>
      </c>
      <c r="B126" s="537"/>
      <c r="C126" s="537"/>
      <c r="D126" s="537"/>
      <c r="E126" s="537"/>
      <c r="F126" s="537"/>
      <c r="G126" s="537"/>
      <c r="H126" s="537"/>
      <c r="I126" s="537"/>
      <c r="J126" s="537"/>
      <c r="K126" s="537"/>
      <c r="L126" s="242"/>
      <c r="M126" s="242"/>
      <c r="N126" s="242"/>
      <c r="O126" s="242"/>
      <c r="P126" s="242"/>
      <c r="Q126" s="242"/>
    </row>
    <row r="127" spans="1:17" x14ac:dyDescent="0.25">
      <c r="A127" s="536" t="s">
        <v>0</v>
      </c>
      <c r="B127" s="536" t="s">
        <v>7</v>
      </c>
      <c r="C127" s="536"/>
      <c r="D127" s="536"/>
      <c r="E127" s="536" t="s">
        <v>5</v>
      </c>
      <c r="F127" s="536"/>
      <c r="G127" s="536"/>
      <c r="H127" s="536" t="s">
        <v>4</v>
      </c>
      <c r="I127" s="536"/>
      <c r="J127" s="536" t="s">
        <v>6</v>
      </c>
      <c r="K127" s="536"/>
      <c r="L127" s="242"/>
      <c r="M127" s="242"/>
      <c r="N127" s="242"/>
      <c r="O127" s="242"/>
      <c r="P127" s="242"/>
      <c r="Q127" s="242"/>
    </row>
    <row r="128" spans="1:17" x14ac:dyDescent="0.25">
      <c r="A128" s="536"/>
      <c r="B128" s="231" t="s">
        <v>8</v>
      </c>
      <c r="C128" s="231" t="s">
        <v>14</v>
      </c>
      <c r="D128" s="231" t="s">
        <v>13</v>
      </c>
      <c r="E128" s="231" t="s">
        <v>8</v>
      </c>
      <c r="F128" s="231" t="s">
        <v>14</v>
      </c>
      <c r="G128" s="231" t="s">
        <v>10</v>
      </c>
      <c r="H128" s="231" t="s">
        <v>8</v>
      </c>
      <c r="I128" s="231" t="s">
        <v>13</v>
      </c>
      <c r="J128" s="231" t="s">
        <v>8</v>
      </c>
      <c r="K128" s="231" t="s">
        <v>13</v>
      </c>
      <c r="L128" s="242"/>
      <c r="M128" s="242"/>
      <c r="N128" s="242"/>
      <c r="O128" s="242"/>
      <c r="P128" s="242"/>
      <c r="Q128" s="242"/>
    </row>
    <row r="129" spans="1:17" x14ac:dyDescent="0.25">
      <c r="A129" s="232"/>
      <c r="B129" s="233"/>
      <c r="C129" s="233"/>
      <c r="D129" s="233"/>
      <c r="E129" s="233"/>
      <c r="F129" s="233"/>
      <c r="G129" s="233"/>
      <c r="H129" s="233"/>
      <c r="I129" s="233"/>
      <c r="J129" s="233"/>
      <c r="K129" s="233"/>
      <c r="L129" s="242"/>
      <c r="M129" s="242"/>
      <c r="N129" s="242"/>
      <c r="O129" s="242"/>
      <c r="P129" s="242"/>
      <c r="Q129" s="242"/>
    </row>
    <row r="130" spans="1:17" x14ac:dyDescent="0.25">
      <c r="A130" s="243" t="s">
        <v>24</v>
      </c>
      <c r="B130" s="244">
        <f>'Soda Ash K. B'!B18</f>
        <v>0</v>
      </c>
      <c r="C130" s="244">
        <f>'Soda Ash K. B'!C18</f>
        <v>0</v>
      </c>
      <c r="D130" s="244">
        <f>'Soda Ash K. B'!D18</f>
        <v>0</v>
      </c>
      <c r="E130" s="244">
        <f>'Soda Ash K. B'!E18</f>
        <v>0</v>
      </c>
      <c r="F130" s="244">
        <f>'Soda Ash K. B'!F18</f>
        <v>0</v>
      </c>
      <c r="G130" s="244">
        <f>'Soda Ash K. B'!G18</f>
        <v>0</v>
      </c>
      <c r="H130" s="244">
        <f>'Soda Ash K. B'!H18</f>
        <v>0</v>
      </c>
      <c r="I130" s="244">
        <f>'Soda Ash K. B'!I18</f>
        <v>0</v>
      </c>
      <c r="J130" s="244">
        <f>'Soda Ash K. B'!J18</f>
        <v>0</v>
      </c>
      <c r="K130" s="244">
        <f>'Soda Ash K. B'!K18</f>
        <v>0</v>
      </c>
      <c r="L130" s="242"/>
      <c r="M130" s="242"/>
      <c r="N130" s="242"/>
      <c r="O130" s="242"/>
      <c r="P130" s="242"/>
      <c r="Q130" s="242"/>
    </row>
    <row r="131" spans="1:17" x14ac:dyDescent="0.25">
      <c r="A131" s="243"/>
      <c r="B131" s="244" t="e">
        <f>'Soda Ash K. B'!#REF!</f>
        <v>#REF!</v>
      </c>
      <c r="C131" s="244" t="e">
        <f>'Soda Ash K. B'!#REF!</f>
        <v>#REF!</v>
      </c>
      <c r="D131" s="244" t="e">
        <f>'Soda Ash K. B'!#REF!</f>
        <v>#REF!</v>
      </c>
      <c r="E131" s="244" t="e">
        <f>'Soda Ash K. B'!#REF!</f>
        <v>#REF!</v>
      </c>
      <c r="F131" s="244" t="e">
        <f>'Soda Ash K. B'!#REF!</f>
        <v>#REF!</v>
      </c>
      <c r="G131" s="244" t="e">
        <f>'Soda Ash K. B'!#REF!</f>
        <v>#REF!</v>
      </c>
      <c r="H131" s="244" t="e">
        <f>'Soda Ash K. B'!#REF!</f>
        <v>#REF!</v>
      </c>
      <c r="I131" s="244" t="e">
        <f>'Soda Ash K. B'!#REF!</f>
        <v>#REF!</v>
      </c>
      <c r="J131" s="244" t="e">
        <f>'Soda Ash K. B'!#REF!</f>
        <v>#REF!</v>
      </c>
      <c r="K131" s="244" t="e">
        <f>'Soda Ash K. B'!#REF!</f>
        <v>#REF!</v>
      </c>
      <c r="L131" s="242"/>
      <c r="M131" s="242"/>
      <c r="N131" s="242"/>
      <c r="O131" s="242"/>
      <c r="P131" s="242"/>
      <c r="Q131" s="242"/>
    </row>
    <row r="132" spans="1:17" x14ac:dyDescent="0.25">
      <c r="A132" s="243"/>
      <c r="B132" s="244" t="e">
        <f>'Soda Ash K. B'!#REF!</f>
        <v>#REF!</v>
      </c>
      <c r="C132" s="244" t="e">
        <f>'Soda Ash K. B'!#REF!</f>
        <v>#REF!</v>
      </c>
      <c r="D132" s="244" t="e">
        <f>'Soda Ash K. B'!#REF!</f>
        <v>#REF!</v>
      </c>
      <c r="E132" s="296" t="e">
        <f>'Soda Ash K. B'!#REF!</f>
        <v>#REF!</v>
      </c>
      <c r="F132" s="296" t="e">
        <f>'Soda Ash K. B'!#REF!</f>
        <v>#REF!</v>
      </c>
      <c r="G132" s="296" t="e">
        <f>'Soda Ash K. B'!#REF!</f>
        <v>#REF!</v>
      </c>
      <c r="H132" s="244" t="e">
        <f>'Soda Ash K. B'!#REF!</f>
        <v>#REF!</v>
      </c>
      <c r="I132" s="244" t="e">
        <f>'Soda Ash K. B'!#REF!</f>
        <v>#REF!</v>
      </c>
      <c r="J132" s="296" t="e">
        <f>'Soda Ash K. B'!#REF!</f>
        <v>#REF!</v>
      </c>
      <c r="K132" s="296" t="e">
        <f>'Soda Ash K. B'!#REF!</f>
        <v>#REF!</v>
      </c>
      <c r="L132" s="242"/>
      <c r="M132" s="242"/>
      <c r="N132" s="242"/>
      <c r="O132" s="242"/>
      <c r="P132" s="242"/>
      <c r="Q132" s="242"/>
    </row>
    <row r="133" spans="1:17" x14ac:dyDescent="0.25">
      <c r="A133" s="247"/>
      <c r="B133" s="248"/>
      <c r="C133" s="248"/>
      <c r="D133" s="249"/>
      <c r="E133" s="250"/>
      <c r="F133" s="249"/>
      <c r="G133" s="249"/>
      <c r="H133" s="248"/>
      <c r="I133" s="251"/>
      <c r="J133" s="241"/>
      <c r="K133" s="251"/>
      <c r="L133" s="242"/>
      <c r="M133" s="242"/>
      <c r="N133" s="242"/>
      <c r="O133" s="242"/>
      <c r="P133" s="242"/>
      <c r="Q133" s="242"/>
    </row>
    <row r="134" spans="1:17" x14ac:dyDescent="0.25">
      <c r="A134" s="242"/>
      <c r="B134" s="242"/>
      <c r="C134" s="242"/>
      <c r="D134" s="242"/>
      <c r="E134" s="242"/>
      <c r="F134" s="242"/>
      <c r="G134" s="242"/>
      <c r="H134" s="242"/>
      <c r="I134" s="242"/>
      <c r="J134" s="242"/>
      <c r="K134" s="242"/>
      <c r="L134" s="242"/>
      <c r="M134" s="242"/>
      <c r="N134" s="242"/>
      <c r="O134" s="242"/>
      <c r="P134" s="242"/>
      <c r="Q134" s="242"/>
    </row>
    <row r="135" spans="1:17" x14ac:dyDescent="0.25">
      <c r="A135" s="242"/>
      <c r="B135" s="242"/>
      <c r="C135" s="242"/>
      <c r="D135" s="242"/>
      <c r="E135" s="242"/>
      <c r="F135" s="242"/>
      <c r="G135" s="242"/>
      <c r="H135" s="242"/>
      <c r="I135" s="242"/>
      <c r="J135" s="242"/>
      <c r="K135" s="242"/>
      <c r="L135" s="242"/>
      <c r="M135" s="242"/>
      <c r="N135" s="242"/>
      <c r="O135" s="242"/>
      <c r="P135" s="242"/>
      <c r="Q135" s="242"/>
    </row>
    <row r="136" spans="1:17" x14ac:dyDescent="0.25">
      <c r="A136" s="242"/>
      <c r="B136" s="242"/>
      <c r="C136" s="242"/>
      <c r="D136" s="242"/>
      <c r="E136" s="242"/>
      <c r="F136" s="242"/>
      <c r="G136" s="242"/>
      <c r="H136" s="242"/>
      <c r="I136" s="242"/>
      <c r="J136" s="242"/>
      <c r="K136" s="242"/>
      <c r="L136" s="242"/>
      <c r="M136" s="242"/>
      <c r="N136" s="242"/>
      <c r="O136" s="242"/>
      <c r="P136" s="242"/>
      <c r="Q136" s="242"/>
    </row>
    <row r="137" spans="1:17" x14ac:dyDescent="0.25">
      <c r="A137" s="537" t="s">
        <v>47</v>
      </c>
      <c r="B137" s="537"/>
      <c r="C137" s="537"/>
      <c r="D137" s="537"/>
      <c r="E137" s="537"/>
      <c r="F137" s="537"/>
      <c r="G137" s="537"/>
      <c r="H137" s="537"/>
      <c r="I137" s="537"/>
      <c r="J137" s="537"/>
      <c r="K137" s="537"/>
      <c r="L137" s="242"/>
      <c r="M137" s="242"/>
      <c r="N137" s="242"/>
      <c r="O137" s="242"/>
      <c r="P137" s="242"/>
      <c r="Q137" s="242"/>
    </row>
    <row r="138" spans="1:17" x14ac:dyDescent="0.25">
      <c r="A138" s="536" t="s">
        <v>0</v>
      </c>
      <c r="B138" s="536" t="s">
        <v>7</v>
      </c>
      <c r="C138" s="536"/>
      <c r="D138" s="536"/>
      <c r="E138" s="536" t="s">
        <v>5</v>
      </c>
      <c r="F138" s="536"/>
      <c r="G138" s="536"/>
      <c r="H138" s="536" t="s">
        <v>4</v>
      </c>
      <c r="I138" s="536"/>
      <c r="J138" s="536" t="s">
        <v>6</v>
      </c>
      <c r="K138" s="536"/>
      <c r="L138" s="242"/>
      <c r="M138" s="242"/>
      <c r="N138" s="242"/>
      <c r="O138" s="242"/>
      <c r="P138" s="242"/>
      <c r="Q138" s="242"/>
    </row>
    <row r="139" spans="1:17" x14ac:dyDescent="0.25">
      <c r="A139" s="536"/>
      <c r="B139" s="231" t="s">
        <v>8</v>
      </c>
      <c r="C139" s="231" t="s">
        <v>14</v>
      </c>
      <c r="D139" s="231" t="s">
        <v>13</v>
      </c>
      <c r="E139" s="231" t="s">
        <v>8</v>
      </c>
      <c r="F139" s="231" t="s">
        <v>14</v>
      </c>
      <c r="G139" s="231" t="s">
        <v>10</v>
      </c>
      <c r="H139" s="231" t="s">
        <v>8</v>
      </c>
      <c r="I139" s="231" t="s">
        <v>13</v>
      </c>
      <c r="J139" s="231" t="s">
        <v>8</v>
      </c>
      <c r="K139" s="231" t="s">
        <v>13</v>
      </c>
      <c r="L139" s="242"/>
      <c r="M139" s="242"/>
      <c r="N139" s="242"/>
      <c r="O139" s="242"/>
      <c r="P139" s="242"/>
      <c r="Q139" s="242"/>
    </row>
    <row r="140" spans="1:17" x14ac:dyDescent="0.25">
      <c r="A140" s="232"/>
      <c r="B140" s="233"/>
      <c r="C140" s="267"/>
      <c r="D140" s="233"/>
      <c r="E140" s="233"/>
      <c r="F140" s="233"/>
      <c r="G140" s="233"/>
      <c r="H140" s="233"/>
      <c r="I140" s="233"/>
      <c r="J140" s="233"/>
      <c r="K140" s="233"/>
      <c r="L140" s="242"/>
      <c r="M140" s="242"/>
      <c r="N140" s="242"/>
      <c r="O140" s="242"/>
      <c r="P140" s="242"/>
      <c r="Q140" s="242"/>
    </row>
    <row r="141" spans="1:17" x14ac:dyDescent="0.25">
      <c r="A141" s="243" t="s">
        <v>48</v>
      </c>
      <c r="B141" s="244">
        <f>'Soda Ash Hanau'!B13</f>
        <v>0</v>
      </c>
      <c r="C141" s="244">
        <f>'Soda Ash Hanau'!C13</f>
        <v>0</v>
      </c>
      <c r="D141" s="244">
        <f>'Soda Ash Hanau'!D13</f>
        <v>0</v>
      </c>
      <c r="E141" s="244">
        <f>'Soda Ash Hanau'!E13</f>
        <v>0</v>
      </c>
      <c r="F141" s="244">
        <f>'Soda Ash Hanau'!F13</f>
        <v>0</v>
      </c>
      <c r="G141" s="244">
        <f>'Soda Ash Hanau'!G13</f>
        <v>0</v>
      </c>
      <c r="H141" s="244">
        <f>'Soda Ash Hanau'!H13</f>
        <v>0</v>
      </c>
      <c r="I141" s="244">
        <f>'Soda Ash Hanau'!I13</f>
        <v>0</v>
      </c>
      <c r="J141" s="244">
        <f>'Soda Ash Hanau'!J13</f>
        <v>0</v>
      </c>
      <c r="K141" s="244">
        <f>'Soda Ash Hanau'!K13</f>
        <v>0</v>
      </c>
      <c r="L141" s="244" t="e">
        <f>'Soda Ash Hanau'!#REF!</f>
        <v>#REF!</v>
      </c>
      <c r="M141" s="242"/>
      <c r="N141" s="242"/>
      <c r="O141" s="242"/>
      <c r="P141" s="242"/>
      <c r="Q141" s="242"/>
    </row>
    <row r="142" spans="1:17" x14ac:dyDescent="0.25">
      <c r="A142" s="243"/>
      <c r="B142" s="244" t="e">
        <f>'Soda Ash Hanau'!#REF!</f>
        <v>#REF!</v>
      </c>
      <c r="C142" s="244" t="e">
        <f>'Soda Ash Hanau'!#REF!</f>
        <v>#REF!</v>
      </c>
      <c r="D142" s="244" t="e">
        <f>'Soda Ash Hanau'!#REF!</f>
        <v>#REF!</v>
      </c>
      <c r="E142" s="244" t="e">
        <f>'Soda Ash Hanau'!#REF!</f>
        <v>#REF!</v>
      </c>
      <c r="F142" s="244" t="e">
        <f>'Soda Ash Hanau'!#REF!</f>
        <v>#REF!</v>
      </c>
      <c r="G142" s="244" t="e">
        <f>'Soda Ash Hanau'!#REF!</f>
        <v>#REF!</v>
      </c>
      <c r="H142" s="244" t="e">
        <f>'Soda Ash Hanau'!#REF!</f>
        <v>#REF!</v>
      </c>
      <c r="I142" s="244" t="e">
        <f>'Soda Ash Hanau'!#REF!</f>
        <v>#REF!</v>
      </c>
      <c r="J142" s="244" t="e">
        <f>'Soda Ash Hanau'!#REF!</f>
        <v>#REF!</v>
      </c>
      <c r="K142" s="244" t="e">
        <f>'Soda Ash Hanau'!#REF!</f>
        <v>#REF!</v>
      </c>
      <c r="L142" s="420"/>
      <c r="M142" s="242"/>
      <c r="N142" s="242"/>
      <c r="O142" s="242"/>
      <c r="P142" s="242"/>
      <c r="Q142" s="242"/>
    </row>
    <row r="143" spans="1:17" x14ac:dyDescent="0.25">
      <c r="A143" s="243"/>
      <c r="B143" s="296" t="e">
        <f>'Soda Ash Hanau'!#REF!</f>
        <v>#REF!</v>
      </c>
      <c r="C143" s="296" t="e">
        <f>'Soda Ash Hanau'!#REF!</f>
        <v>#REF!</v>
      </c>
      <c r="D143" s="296" t="e">
        <f>'Soda Ash Hanau'!#REF!</f>
        <v>#REF!</v>
      </c>
      <c r="E143" s="244" t="e">
        <f>'Soda Ash Hanau'!#REF!</f>
        <v>#REF!</v>
      </c>
      <c r="F143" s="244" t="e">
        <f>'Soda Ash Hanau'!#REF!</f>
        <v>#REF!</v>
      </c>
      <c r="G143" s="244" t="e">
        <f>'Soda Ash Hanau'!#REF!</f>
        <v>#REF!</v>
      </c>
      <c r="H143" s="244" t="e">
        <f>'Soda Ash Hanau'!#REF!</f>
        <v>#REF!</v>
      </c>
      <c r="I143" s="244" t="e">
        <f>'Soda Ash Hanau'!#REF!</f>
        <v>#REF!</v>
      </c>
      <c r="J143" s="296" t="e">
        <f>'Soda Ash Hanau'!#REF!</f>
        <v>#REF!</v>
      </c>
      <c r="K143" s="296" t="e">
        <f>'Soda Ash Hanau'!#REF!</f>
        <v>#REF!</v>
      </c>
      <c r="L143" s="420"/>
      <c r="M143" s="242"/>
      <c r="N143" s="242"/>
      <c r="O143" s="242"/>
      <c r="P143" s="242"/>
      <c r="Q143" s="242"/>
    </row>
    <row r="144" spans="1:17" x14ac:dyDescent="0.25">
      <c r="A144" s="247"/>
      <c r="B144" s="248"/>
      <c r="C144" s="249"/>
      <c r="D144" s="251"/>
      <c r="E144" s="250"/>
      <c r="F144" s="249"/>
      <c r="G144" s="249"/>
      <c r="H144" s="248"/>
      <c r="I144" s="251"/>
      <c r="J144" s="241"/>
      <c r="K144" s="251"/>
      <c r="L144" s="242"/>
      <c r="M144" s="242"/>
      <c r="N144" s="242"/>
      <c r="O144" s="242"/>
      <c r="P144" s="242"/>
      <c r="Q144" s="242"/>
    </row>
    <row r="148" spans="1:17" ht="21" x14ac:dyDescent="0.35">
      <c r="A148" s="278" t="s">
        <v>98</v>
      </c>
    </row>
    <row r="151" spans="1:17" x14ac:dyDescent="0.25">
      <c r="A151" s="546" t="s">
        <v>45</v>
      </c>
      <c r="B151" s="546"/>
      <c r="C151" s="546"/>
      <c r="D151" s="546"/>
      <c r="E151" s="546"/>
      <c r="F151" s="546"/>
      <c r="G151" s="546"/>
      <c r="H151" s="546"/>
      <c r="I151" s="546"/>
      <c r="J151" s="546"/>
      <c r="K151" s="546"/>
      <c r="L151" s="546"/>
      <c r="M151" s="546"/>
      <c r="N151" s="546"/>
      <c r="O151" s="546"/>
      <c r="P151" s="546"/>
      <c r="Q151" s="546"/>
    </row>
    <row r="152" spans="1:17" x14ac:dyDescent="0.25">
      <c r="A152" s="255"/>
      <c r="B152" s="256"/>
      <c r="C152" s="256"/>
      <c r="D152" s="256"/>
      <c r="E152" s="257"/>
      <c r="F152" s="257"/>
      <c r="G152" s="256"/>
      <c r="H152" s="256"/>
      <c r="I152" s="256"/>
      <c r="J152" s="256"/>
      <c r="K152" s="256"/>
      <c r="L152" s="256"/>
      <c r="M152" s="256"/>
      <c r="N152" s="256"/>
      <c r="O152" s="256"/>
      <c r="P152" s="256"/>
      <c r="Q152" s="256"/>
    </row>
    <row r="153" spans="1:17" x14ac:dyDescent="0.25">
      <c r="A153" s="539" t="s">
        <v>0</v>
      </c>
      <c r="B153" s="550" t="s">
        <v>7</v>
      </c>
      <c r="C153" s="550"/>
      <c r="D153" s="550"/>
      <c r="E153" s="550" t="s">
        <v>5</v>
      </c>
      <c r="F153" s="550"/>
      <c r="G153" s="550"/>
      <c r="H153" s="541" t="s">
        <v>25</v>
      </c>
      <c r="I153" s="542"/>
      <c r="J153" s="543"/>
      <c r="K153" s="541" t="s">
        <v>26</v>
      </c>
      <c r="L153" s="542"/>
      <c r="M153" s="543"/>
      <c r="N153" s="550" t="s">
        <v>4</v>
      </c>
      <c r="O153" s="550"/>
      <c r="P153" s="550" t="s">
        <v>6</v>
      </c>
      <c r="Q153" s="550"/>
    </row>
    <row r="154" spans="1:17" x14ac:dyDescent="0.25">
      <c r="A154" s="540"/>
      <c r="B154" s="247" t="s">
        <v>8</v>
      </c>
      <c r="C154" s="247" t="s">
        <v>9</v>
      </c>
      <c r="D154" s="247" t="s">
        <v>13</v>
      </c>
      <c r="E154" s="258" t="s">
        <v>8</v>
      </c>
      <c r="F154" s="258" t="s">
        <v>9</v>
      </c>
      <c r="G154" s="247" t="s">
        <v>13</v>
      </c>
      <c r="H154" s="231" t="s">
        <v>8</v>
      </c>
      <c r="I154" s="231" t="s">
        <v>9</v>
      </c>
      <c r="K154" s="231" t="s">
        <v>8</v>
      </c>
      <c r="L154" s="231" t="s">
        <v>9</v>
      </c>
      <c r="M154" s="231" t="s">
        <v>13</v>
      </c>
      <c r="N154" s="247" t="s">
        <v>8</v>
      </c>
      <c r="O154" s="247" t="s">
        <v>13</v>
      </c>
      <c r="P154" s="247" t="s">
        <v>8</v>
      </c>
      <c r="Q154" s="247" t="s">
        <v>13</v>
      </c>
    </row>
    <row r="155" spans="1:17" x14ac:dyDescent="0.25">
      <c r="A155" s="232"/>
      <c r="B155" s="259"/>
      <c r="C155" s="259"/>
      <c r="D155" s="259"/>
      <c r="E155" s="260"/>
      <c r="F155" s="260"/>
      <c r="G155" s="259"/>
      <c r="H155" s="259"/>
      <c r="I155" s="287"/>
      <c r="J155" s="232"/>
      <c r="K155" s="288"/>
      <c r="L155" s="259"/>
      <c r="M155" s="259"/>
      <c r="N155" s="259"/>
      <c r="O155" s="259"/>
      <c r="P155" s="259"/>
      <c r="Q155" s="259"/>
    </row>
    <row r="156" spans="1:17" x14ac:dyDescent="0.25">
      <c r="A156" s="285" t="s">
        <v>27</v>
      </c>
      <c r="B156" s="236">
        <f>'SODA ASH BENAR'!B27</f>
        <v>0</v>
      </c>
      <c r="C156" s="236">
        <f>'SODA ASH BENAR'!C27</f>
        <v>0</v>
      </c>
      <c r="D156" s="236">
        <f>'SODA ASH BENAR'!D27</f>
        <v>0</v>
      </c>
      <c r="E156" s="236">
        <f>'SODA ASH BENAR'!E27</f>
        <v>0</v>
      </c>
      <c r="F156" s="236">
        <f>'SODA ASH BENAR'!F27</f>
        <v>0</v>
      </c>
      <c r="G156" s="236">
        <f>'SODA ASH BENAR'!G27</f>
        <v>0</v>
      </c>
      <c r="H156" s="236">
        <f>'SODA ASH BENAR'!H27</f>
        <v>0</v>
      </c>
      <c r="I156" s="236">
        <f>'SODA ASH BENAR'!I27</f>
        <v>0</v>
      </c>
      <c r="J156" s="236">
        <f>'SODA ASH BENAR'!J27</f>
        <v>0</v>
      </c>
      <c r="K156" s="236">
        <f>'SODA ASH BENAR'!K27</f>
        <v>0</v>
      </c>
      <c r="L156" s="236">
        <f>'SODA ASH BENAR'!L27</f>
        <v>0</v>
      </c>
      <c r="M156" s="236">
        <f>'SODA ASH BENAR'!M27</f>
        <v>0</v>
      </c>
      <c r="N156" s="236">
        <f>'SODA ASH BENAR'!N27</f>
        <v>0</v>
      </c>
      <c r="O156" s="236">
        <f>'SODA ASH BENAR'!O27</f>
        <v>0</v>
      </c>
      <c r="P156" s="236">
        <f>'SODA ASH BENAR'!P27</f>
        <v>0</v>
      </c>
      <c r="Q156" s="236">
        <f>'SODA ASH BENAR'!Q27</f>
        <v>0</v>
      </c>
    </row>
    <row r="157" spans="1:17" x14ac:dyDescent="0.25">
      <c r="A157" s="247"/>
      <c r="B157" s="240"/>
      <c r="C157" s="265"/>
      <c r="D157" s="251"/>
      <c r="E157" s="266"/>
      <c r="F157" s="266"/>
      <c r="G157" s="251"/>
      <c r="H157" s="251"/>
      <c r="I157" s="251"/>
      <c r="J157" s="251"/>
      <c r="K157" s="251"/>
      <c r="L157" s="251"/>
      <c r="M157" s="251"/>
      <c r="N157" s="266"/>
      <c r="O157" s="251"/>
      <c r="P157" s="241"/>
      <c r="Q157" s="251"/>
    </row>
    <row r="158" spans="1:17" x14ac:dyDescent="0.25">
      <c r="A158" s="242"/>
      <c r="B158" s="242"/>
      <c r="C158" s="242"/>
      <c r="D158" s="242"/>
      <c r="E158" s="242"/>
      <c r="F158" s="242"/>
      <c r="G158" s="242"/>
      <c r="H158" s="242"/>
      <c r="I158" s="242"/>
      <c r="J158" s="242"/>
      <c r="K158" s="242"/>
      <c r="L158" s="242"/>
      <c r="M158" s="242"/>
      <c r="N158" s="242"/>
      <c r="O158" s="242"/>
      <c r="P158" s="242"/>
      <c r="Q158" s="242"/>
    </row>
    <row r="159" spans="1:17" x14ac:dyDescent="0.25">
      <c r="A159" s="242"/>
      <c r="B159" s="242"/>
      <c r="C159" s="242"/>
      <c r="D159" s="242"/>
      <c r="E159" s="242"/>
      <c r="F159" s="242"/>
      <c r="G159" s="242"/>
      <c r="H159" s="242"/>
      <c r="I159" s="242"/>
      <c r="J159" s="242"/>
      <c r="K159" s="242"/>
      <c r="L159" s="242"/>
      <c r="M159" s="242"/>
      <c r="N159" s="242"/>
      <c r="O159" s="242"/>
      <c r="P159" s="242"/>
      <c r="Q159" s="242"/>
    </row>
    <row r="160" spans="1:17" x14ac:dyDescent="0.25">
      <c r="A160" s="242"/>
      <c r="B160" s="242"/>
      <c r="C160" s="242"/>
      <c r="D160" s="242"/>
      <c r="E160" s="242"/>
      <c r="F160" s="242"/>
      <c r="G160" s="242"/>
      <c r="H160" s="242"/>
      <c r="I160" s="242"/>
      <c r="J160" s="242"/>
      <c r="K160" s="242"/>
      <c r="L160" s="242"/>
      <c r="M160" s="242"/>
      <c r="N160" s="242"/>
      <c r="O160" s="242"/>
      <c r="P160" s="242"/>
      <c r="Q160" s="242"/>
    </row>
    <row r="161" spans="1:17" x14ac:dyDescent="0.25">
      <c r="A161" s="537" t="s">
        <v>46</v>
      </c>
      <c r="B161" s="537"/>
      <c r="C161" s="537"/>
      <c r="D161" s="537"/>
      <c r="E161" s="537"/>
      <c r="F161" s="537"/>
      <c r="G161" s="537"/>
      <c r="H161" s="537"/>
      <c r="I161" s="537"/>
      <c r="J161" s="537"/>
      <c r="K161" s="537"/>
      <c r="L161" s="242"/>
      <c r="M161" s="242"/>
      <c r="N161" s="242"/>
      <c r="O161" s="242"/>
      <c r="P161" s="242"/>
      <c r="Q161" s="242"/>
    </row>
    <row r="162" spans="1:17" x14ac:dyDescent="0.25">
      <c r="A162" s="536" t="s">
        <v>0</v>
      </c>
      <c r="B162" s="536" t="s">
        <v>7</v>
      </c>
      <c r="C162" s="536"/>
      <c r="D162" s="536"/>
      <c r="E162" s="536" t="s">
        <v>5</v>
      </c>
      <c r="F162" s="536"/>
      <c r="G162" s="536"/>
      <c r="H162" s="536" t="s">
        <v>4</v>
      </c>
      <c r="I162" s="536"/>
      <c r="J162" s="536" t="s">
        <v>6</v>
      </c>
      <c r="K162" s="536"/>
      <c r="L162" s="242"/>
      <c r="M162" s="242"/>
      <c r="N162" s="242"/>
      <c r="O162" s="242"/>
      <c r="P162" s="242"/>
      <c r="Q162" s="242"/>
    </row>
    <row r="163" spans="1:17" x14ac:dyDescent="0.25">
      <c r="A163" s="536"/>
      <c r="B163" s="231" t="s">
        <v>8</v>
      </c>
      <c r="C163" s="231" t="s">
        <v>14</v>
      </c>
      <c r="D163" s="231" t="s">
        <v>13</v>
      </c>
      <c r="E163" s="231" t="s">
        <v>8</v>
      </c>
      <c r="F163" s="231" t="s">
        <v>14</v>
      </c>
      <c r="G163" s="231" t="s">
        <v>10</v>
      </c>
      <c r="H163" s="231" t="s">
        <v>8</v>
      </c>
      <c r="I163" s="231" t="s">
        <v>13</v>
      </c>
      <c r="J163" s="231" t="s">
        <v>8</v>
      </c>
      <c r="K163" s="231" t="s">
        <v>13</v>
      </c>
      <c r="L163" s="242"/>
      <c r="M163" s="242"/>
      <c r="N163" s="242"/>
      <c r="O163" s="242"/>
      <c r="P163" s="242"/>
      <c r="Q163" s="242"/>
    </row>
    <row r="164" spans="1:17" x14ac:dyDescent="0.25">
      <c r="A164" s="232"/>
      <c r="B164" s="233"/>
      <c r="C164" s="233"/>
      <c r="D164" s="233"/>
      <c r="E164" s="233"/>
      <c r="F164" s="233"/>
      <c r="G164" s="233"/>
      <c r="H164" s="233"/>
      <c r="I164" s="233"/>
      <c r="J164" s="233"/>
      <c r="K164" s="233"/>
      <c r="L164" s="242"/>
      <c r="M164" s="242"/>
      <c r="N164" s="242"/>
      <c r="O164" s="242"/>
      <c r="P164" s="242"/>
      <c r="Q164" s="242"/>
    </row>
    <row r="165" spans="1:17" x14ac:dyDescent="0.25">
      <c r="A165" s="243" t="s">
        <v>27</v>
      </c>
      <c r="B165" s="244">
        <f>'Soda Ash K. B'!B20</f>
        <v>0</v>
      </c>
      <c r="C165" s="244">
        <f>'Soda Ash K. B'!C20</f>
        <v>0</v>
      </c>
      <c r="D165" s="244">
        <f>'Soda Ash K. B'!D20</f>
        <v>0</v>
      </c>
      <c r="E165" s="244">
        <f>'Soda Ash K. B'!E20</f>
        <v>0</v>
      </c>
      <c r="F165" s="244">
        <f>'Soda Ash K. B'!F20</f>
        <v>0</v>
      </c>
      <c r="G165" s="244">
        <f>'Soda Ash K. B'!G20</f>
        <v>0</v>
      </c>
      <c r="H165" s="244">
        <f>'Soda Ash K. B'!H20</f>
        <v>0</v>
      </c>
      <c r="I165" s="244">
        <f>'Soda Ash K. B'!I20</f>
        <v>0</v>
      </c>
      <c r="J165" s="244">
        <f>'Soda Ash K. B'!J20</f>
        <v>0</v>
      </c>
      <c r="K165" s="244">
        <f>'Soda Ash K. B'!K20</f>
        <v>0</v>
      </c>
      <c r="L165" s="242"/>
      <c r="M165" s="242"/>
      <c r="N165" s="242"/>
      <c r="O165" s="242"/>
      <c r="P165" s="242"/>
      <c r="Q165" s="242"/>
    </row>
    <row r="166" spans="1:17" x14ac:dyDescent="0.25">
      <c r="A166" s="243"/>
      <c r="B166" s="244" t="e">
        <f>'Soda Ash K. B'!#REF!</f>
        <v>#REF!</v>
      </c>
      <c r="C166" s="244" t="e">
        <f>'Soda Ash K. B'!#REF!</f>
        <v>#REF!</v>
      </c>
      <c r="D166" s="244" t="e">
        <f>'Soda Ash K. B'!#REF!</f>
        <v>#REF!</v>
      </c>
      <c r="E166" s="244" t="e">
        <f>'Soda Ash K. B'!#REF!</f>
        <v>#REF!</v>
      </c>
      <c r="F166" s="244" t="e">
        <f>'Soda Ash K. B'!#REF!</f>
        <v>#REF!</v>
      </c>
      <c r="G166" s="244" t="e">
        <f>'Soda Ash K. B'!#REF!</f>
        <v>#REF!</v>
      </c>
      <c r="H166" s="244" t="e">
        <f>'Soda Ash K. B'!#REF!</f>
        <v>#REF!</v>
      </c>
      <c r="I166" s="244" t="e">
        <f>'Soda Ash K. B'!#REF!</f>
        <v>#REF!</v>
      </c>
      <c r="J166" s="244" t="e">
        <f>'Soda Ash K. B'!#REF!</f>
        <v>#REF!</v>
      </c>
      <c r="K166" s="244" t="e">
        <f>'Soda Ash K. B'!#REF!</f>
        <v>#REF!</v>
      </c>
      <c r="L166" s="242"/>
      <c r="M166" s="242"/>
      <c r="N166" s="242"/>
      <c r="O166" s="242"/>
      <c r="P166" s="242"/>
      <c r="Q166" s="242"/>
    </row>
    <row r="167" spans="1:17" x14ac:dyDescent="0.25">
      <c r="A167" s="243"/>
      <c r="B167" s="296" t="e">
        <f>'Soda Ash K. B'!#REF!</f>
        <v>#REF!</v>
      </c>
      <c r="C167" s="296" t="e">
        <f>'Soda Ash K. B'!#REF!</f>
        <v>#REF!</v>
      </c>
      <c r="D167" s="296" t="e">
        <f>'Soda Ash K. B'!#REF!</f>
        <v>#REF!</v>
      </c>
      <c r="E167" s="244" t="e">
        <f>'Soda Ash K. B'!#REF!</f>
        <v>#REF!</v>
      </c>
      <c r="F167" s="244" t="e">
        <f>'Soda Ash K. B'!#REF!</f>
        <v>#REF!</v>
      </c>
      <c r="G167" s="244" t="e">
        <f>'Soda Ash K. B'!#REF!</f>
        <v>#REF!</v>
      </c>
      <c r="H167" s="296" t="e">
        <f>'Soda Ash K. B'!#REF!</f>
        <v>#REF!</v>
      </c>
      <c r="I167" s="296" t="e">
        <f>'Soda Ash K. B'!#REF!</f>
        <v>#REF!</v>
      </c>
      <c r="J167" s="296" t="e">
        <f>'Soda Ash K. B'!#REF!</f>
        <v>#REF!</v>
      </c>
      <c r="K167" s="296" t="e">
        <f>'Soda Ash K. B'!#REF!</f>
        <v>#REF!</v>
      </c>
      <c r="L167" s="242"/>
      <c r="M167" s="242"/>
      <c r="N167" s="242"/>
      <c r="O167" s="242"/>
      <c r="P167" s="242"/>
      <c r="Q167" s="242"/>
    </row>
    <row r="168" spans="1:17" x14ac:dyDescent="0.25">
      <c r="A168" s="247"/>
      <c r="B168" s="248"/>
      <c r="C168" s="248"/>
      <c r="D168" s="249"/>
      <c r="E168" s="250"/>
      <c r="F168" s="249"/>
      <c r="G168" s="249"/>
      <c r="H168" s="248"/>
      <c r="I168" s="251"/>
      <c r="J168" s="241"/>
      <c r="K168" s="251"/>
      <c r="L168" s="242"/>
      <c r="M168" s="242"/>
      <c r="N168" s="242"/>
      <c r="O168" s="242"/>
      <c r="P168" s="242"/>
      <c r="Q168" s="242"/>
    </row>
    <row r="169" spans="1:17" x14ac:dyDescent="0.25">
      <c r="A169" s="242"/>
      <c r="B169" s="242"/>
      <c r="C169" s="242"/>
      <c r="D169" s="242"/>
      <c r="E169" s="242"/>
      <c r="F169" s="242"/>
      <c r="G169" s="242"/>
      <c r="H169" s="242"/>
      <c r="I169" s="242"/>
      <c r="J169" s="242"/>
      <c r="K169" s="242"/>
      <c r="L169" s="242"/>
      <c r="M169" s="242"/>
      <c r="N169" s="242"/>
      <c r="O169" s="242"/>
      <c r="P169" s="242"/>
      <c r="Q169" s="242"/>
    </row>
    <row r="170" spans="1:17" x14ac:dyDescent="0.25">
      <c r="A170" s="242"/>
      <c r="B170" s="242"/>
      <c r="C170" s="242"/>
      <c r="D170" s="242"/>
      <c r="E170" s="242"/>
      <c r="F170" s="242"/>
      <c r="G170" s="242"/>
      <c r="H170" s="242"/>
      <c r="I170" s="242"/>
      <c r="J170" s="242"/>
      <c r="K170" s="242"/>
      <c r="L170" s="242"/>
      <c r="M170" s="242"/>
      <c r="N170" s="242"/>
      <c r="O170" s="242"/>
      <c r="P170" s="242"/>
      <c r="Q170" s="242"/>
    </row>
    <row r="171" spans="1:17" x14ac:dyDescent="0.25">
      <c r="A171" s="242"/>
      <c r="B171" s="242"/>
      <c r="C171" s="242"/>
      <c r="D171" s="242"/>
      <c r="E171" s="242"/>
      <c r="F171" s="242"/>
      <c r="G171" s="242"/>
      <c r="H171" s="242"/>
      <c r="I171" s="242"/>
      <c r="J171" s="242"/>
      <c r="K171" s="242"/>
      <c r="L171" s="242"/>
      <c r="M171" s="242"/>
      <c r="N171" s="242"/>
      <c r="O171" s="242"/>
      <c r="P171" s="242"/>
      <c r="Q171" s="242"/>
    </row>
    <row r="172" spans="1:17" x14ac:dyDescent="0.25">
      <c r="A172" s="537" t="s">
        <v>47</v>
      </c>
      <c r="B172" s="537"/>
      <c r="C172" s="537"/>
      <c r="D172" s="537"/>
      <c r="E172" s="537"/>
      <c r="F172" s="537"/>
      <c r="G172" s="537"/>
      <c r="H172" s="537"/>
      <c r="I172" s="537"/>
      <c r="J172" s="537"/>
      <c r="K172" s="537"/>
      <c r="L172" s="242"/>
      <c r="M172" s="242"/>
      <c r="N172" s="242"/>
      <c r="O172" s="242"/>
      <c r="P172" s="242"/>
      <c r="Q172" s="242"/>
    </row>
    <row r="173" spans="1:17" x14ac:dyDescent="0.25">
      <c r="A173" s="536" t="s">
        <v>0</v>
      </c>
      <c r="B173" s="536" t="s">
        <v>7</v>
      </c>
      <c r="C173" s="536"/>
      <c r="D173" s="536"/>
      <c r="E173" s="536" t="s">
        <v>5</v>
      </c>
      <c r="F173" s="536"/>
      <c r="G173" s="536"/>
      <c r="H173" s="536" t="s">
        <v>4</v>
      </c>
      <c r="I173" s="536"/>
      <c r="J173" s="536" t="s">
        <v>6</v>
      </c>
      <c r="K173" s="536"/>
      <c r="L173" s="242"/>
      <c r="M173" s="242"/>
      <c r="N173" s="242"/>
      <c r="O173" s="242"/>
      <c r="P173" s="242"/>
      <c r="Q173" s="242"/>
    </row>
    <row r="174" spans="1:17" x14ac:dyDescent="0.25">
      <c r="A174" s="536"/>
      <c r="B174" s="231" t="s">
        <v>8</v>
      </c>
      <c r="C174" s="231" t="s">
        <v>14</v>
      </c>
      <c r="D174" s="231" t="s">
        <v>13</v>
      </c>
      <c r="E174" s="231" t="s">
        <v>8</v>
      </c>
      <c r="F174" s="231" t="s">
        <v>14</v>
      </c>
      <c r="G174" s="231" t="s">
        <v>10</v>
      </c>
      <c r="H174" s="231" t="s">
        <v>8</v>
      </c>
      <c r="I174" s="231" t="s">
        <v>13</v>
      </c>
      <c r="J174" s="231" t="s">
        <v>8</v>
      </c>
      <c r="K174" s="231" t="s">
        <v>13</v>
      </c>
      <c r="L174" s="242"/>
      <c r="M174" s="242"/>
      <c r="N174" s="242"/>
      <c r="O174" s="242"/>
      <c r="P174" s="242"/>
      <c r="Q174" s="242"/>
    </row>
    <row r="175" spans="1:17" x14ac:dyDescent="0.25">
      <c r="A175" s="232"/>
      <c r="B175" s="233"/>
      <c r="C175" s="267"/>
      <c r="D175" s="233"/>
      <c r="E175" s="233"/>
      <c r="F175" s="233"/>
      <c r="G175" s="233"/>
      <c r="H175" s="233"/>
      <c r="I175" s="233"/>
      <c r="J175" s="233"/>
      <c r="K175" s="233"/>
      <c r="L175" s="242"/>
      <c r="M175" s="242"/>
      <c r="N175" s="242"/>
      <c r="O175" s="242"/>
      <c r="P175" s="242"/>
      <c r="Q175" s="242"/>
    </row>
    <row r="176" spans="1:17" x14ac:dyDescent="0.25">
      <c r="A176" s="243" t="s">
        <v>27</v>
      </c>
      <c r="B176" s="244">
        <f>'Soda Ash Hanau'!B15</f>
        <v>0</v>
      </c>
      <c r="C176" s="244">
        <f>'Soda Ash Hanau'!C15</f>
        <v>0</v>
      </c>
      <c r="D176" s="244">
        <f>'Soda Ash Hanau'!D15</f>
        <v>0</v>
      </c>
      <c r="E176" s="244">
        <f>'Soda Ash Hanau'!E15</f>
        <v>0</v>
      </c>
      <c r="F176" s="244">
        <f>'Soda Ash Hanau'!F15</f>
        <v>0</v>
      </c>
      <c r="G176" s="244">
        <f>'Soda Ash Hanau'!G15</f>
        <v>0</v>
      </c>
      <c r="H176" s="244">
        <f>'Soda Ash Hanau'!H15</f>
        <v>0</v>
      </c>
      <c r="I176" s="244">
        <f>'Soda Ash Hanau'!I15</f>
        <v>0</v>
      </c>
      <c r="J176" s="244">
        <f>'Soda Ash Hanau'!J15</f>
        <v>0</v>
      </c>
      <c r="K176" s="244">
        <f>'Soda Ash Hanau'!K15</f>
        <v>0</v>
      </c>
      <c r="L176" s="242"/>
      <c r="M176" s="242"/>
      <c r="N176" s="242"/>
      <c r="O176" s="242"/>
      <c r="P176" s="242"/>
      <c r="Q176" s="242"/>
    </row>
    <row r="177" spans="1:85" x14ac:dyDescent="0.25">
      <c r="A177" s="243"/>
      <c r="B177" s="244" t="e">
        <f>'Soda Ash Hanau'!#REF!</f>
        <v>#REF!</v>
      </c>
      <c r="C177" s="244" t="e">
        <f>'Soda Ash Hanau'!#REF!</f>
        <v>#REF!</v>
      </c>
      <c r="D177" s="244" t="e">
        <f>'Soda Ash Hanau'!#REF!</f>
        <v>#REF!</v>
      </c>
      <c r="E177" s="244" t="e">
        <f>'Soda Ash Hanau'!#REF!</f>
        <v>#REF!</v>
      </c>
      <c r="F177" s="244" t="e">
        <f>'Soda Ash Hanau'!#REF!</f>
        <v>#REF!</v>
      </c>
      <c r="G177" s="244" t="e">
        <f>'Soda Ash Hanau'!#REF!</f>
        <v>#REF!</v>
      </c>
      <c r="H177" s="244" t="e">
        <f>'Soda Ash Hanau'!#REF!</f>
        <v>#REF!</v>
      </c>
      <c r="I177" s="244" t="e">
        <f>'Soda Ash Hanau'!#REF!</f>
        <v>#REF!</v>
      </c>
      <c r="J177" s="244" t="e">
        <f>'Soda Ash Hanau'!#REF!</f>
        <v>#REF!</v>
      </c>
      <c r="K177" s="244" t="e">
        <f>'Soda Ash Hanau'!#REF!</f>
        <v>#REF!</v>
      </c>
      <c r="L177" s="242"/>
      <c r="M177" s="242"/>
      <c r="N177" s="242"/>
      <c r="O177" s="242"/>
      <c r="P177" s="242"/>
      <c r="Q177" s="242"/>
    </row>
    <row r="178" spans="1:85" x14ac:dyDescent="0.25">
      <c r="A178" s="247"/>
      <c r="B178" s="248"/>
      <c r="C178" s="249"/>
      <c r="D178" s="251"/>
      <c r="E178" s="250"/>
      <c r="F178" s="249"/>
      <c r="G178" s="249"/>
      <c r="H178" s="248"/>
      <c r="I178" s="251"/>
      <c r="J178" s="425" t="e">
        <f>SUM(J176:J177)</f>
        <v>#REF!</v>
      </c>
      <c r="K178" s="426" t="e">
        <f>SUM(K176:K177)</f>
        <v>#REF!</v>
      </c>
      <c r="L178" s="242"/>
      <c r="M178" s="242"/>
      <c r="N178" s="242"/>
      <c r="O178" s="242"/>
      <c r="P178" s="242"/>
      <c r="Q178" s="242"/>
    </row>
    <row r="182" spans="1:85" ht="21" x14ac:dyDescent="0.35">
      <c r="A182" s="278" t="s">
        <v>101</v>
      </c>
    </row>
    <row r="184" spans="1:85" x14ac:dyDescent="0.25">
      <c r="BQ184" s="546" t="s">
        <v>45</v>
      </c>
      <c r="BR184" s="546"/>
      <c r="BS184" s="546"/>
      <c r="BT184" s="546"/>
      <c r="BU184" s="546"/>
      <c r="BV184" s="546"/>
      <c r="BW184" s="546"/>
      <c r="BX184" s="546"/>
      <c r="BY184" s="546"/>
      <c r="BZ184" s="546"/>
      <c r="CA184" s="546"/>
      <c r="CB184" s="546"/>
      <c r="CC184" s="546"/>
      <c r="CD184" s="546"/>
      <c r="CE184" s="546"/>
      <c r="CF184" s="546"/>
      <c r="CG184" s="546"/>
    </row>
    <row r="185" spans="1:85" x14ac:dyDescent="0.25">
      <c r="A185" s="546" t="s">
        <v>45</v>
      </c>
      <c r="B185" s="546"/>
      <c r="C185" s="546"/>
      <c r="D185" s="546"/>
      <c r="E185" s="546"/>
      <c r="F185" s="546"/>
      <c r="G185" s="546"/>
      <c r="H185" s="546"/>
      <c r="I185" s="546"/>
      <c r="J185" s="546"/>
      <c r="K185" s="546"/>
      <c r="L185" s="546"/>
      <c r="M185" s="546"/>
      <c r="N185" s="546"/>
      <c r="O185" s="546"/>
      <c r="P185" s="546"/>
      <c r="Q185" s="546"/>
      <c r="BQ185" s="255"/>
      <c r="BR185" s="256"/>
      <c r="BS185" s="256"/>
      <c r="BT185" s="256"/>
      <c r="BU185" s="257"/>
      <c r="BV185" s="257"/>
      <c r="BW185" s="256"/>
      <c r="BX185" s="256"/>
      <c r="BY185" s="256"/>
      <c r="BZ185" s="256"/>
      <c r="CA185" s="256"/>
      <c r="CB185" s="256"/>
      <c r="CC185" s="256"/>
      <c r="CD185" s="256"/>
      <c r="CE185" s="256"/>
      <c r="CF185" s="256"/>
      <c r="CG185" s="256"/>
    </row>
    <row r="186" spans="1:85" x14ac:dyDescent="0.25">
      <c r="A186" s="255"/>
      <c r="B186" s="256"/>
      <c r="C186" s="256"/>
      <c r="D186" s="256"/>
      <c r="E186" s="257"/>
      <c r="F186" s="257"/>
      <c r="G186" s="256"/>
      <c r="H186" s="256"/>
      <c r="I186" s="256"/>
      <c r="J186" s="256"/>
      <c r="K186" s="256"/>
      <c r="L186" s="256"/>
      <c r="M186" s="256"/>
      <c r="N186" s="256"/>
      <c r="O186" s="256"/>
      <c r="P186" s="256"/>
      <c r="Q186" s="256"/>
      <c r="BQ186" s="539" t="s">
        <v>0</v>
      </c>
      <c r="BR186" s="550" t="s">
        <v>7</v>
      </c>
      <c r="BS186" s="550"/>
      <c r="BT186" s="550"/>
      <c r="BU186" s="550" t="s">
        <v>5</v>
      </c>
      <c r="BV186" s="550"/>
      <c r="BW186" s="550"/>
      <c r="BX186" s="541" t="s">
        <v>25</v>
      </c>
      <c r="BY186" s="542"/>
      <c r="BZ186" s="543"/>
      <c r="CA186" s="541" t="s">
        <v>26</v>
      </c>
      <c r="CB186" s="542"/>
      <c r="CC186" s="543"/>
      <c r="CD186" s="550" t="s">
        <v>4</v>
      </c>
      <c r="CE186" s="550"/>
      <c r="CF186" s="550" t="s">
        <v>6</v>
      </c>
      <c r="CG186" s="550"/>
    </row>
    <row r="187" spans="1:85" x14ac:dyDescent="0.25">
      <c r="A187" s="539" t="s">
        <v>0</v>
      </c>
      <c r="B187" s="550" t="s">
        <v>7</v>
      </c>
      <c r="C187" s="550"/>
      <c r="D187" s="550"/>
      <c r="E187" s="550" t="s">
        <v>5</v>
      </c>
      <c r="F187" s="550"/>
      <c r="G187" s="550"/>
      <c r="H187" s="541" t="s">
        <v>25</v>
      </c>
      <c r="I187" s="542"/>
      <c r="J187" s="543"/>
      <c r="K187" s="541" t="s">
        <v>26</v>
      </c>
      <c r="L187" s="542"/>
      <c r="M187" s="543"/>
      <c r="N187" s="550" t="s">
        <v>4</v>
      </c>
      <c r="O187" s="550"/>
      <c r="P187" s="550" t="s">
        <v>6</v>
      </c>
      <c r="Q187" s="550"/>
      <c r="BQ187" s="540"/>
      <c r="BR187" s="247" t="s">
        <v>8</v>
      </c>
      <c r="BS187" s="247" t="s">
        <v>9</v>
      </c>
      <c r="BT187" s="247" t="s">
        <v>13</v>
      </c>
      <c r="BU187" s="258" t="s">
        <v>8</v>
      </c>
      <c r="BV187" s="258" t="s">
        <v>9</v>
      </c>
      <c r="BW187" s="247" t="s">
        <v>13</v>
      </c>
      <c r="BX187" s="231" t="s">
        <v>8</v>
      </c>
      <c r="BY187" s="231" t="s">
        <v>9</v>
      </c>
      <c r="CA187" s="231" t="s">
        <v>8</v>
      </c>
      <c r="CB187" s="231" t="s">
        <v>9</v>
      </c>
      <c r="CC187" s="231" t="s">
        <v>13</v>
      </c>
      <c r="CD187" s="247" t="s">
        <v>8</v>
      </c>
      <c r="CE187" s="247" t="s">
        <v>13</v>
      </c>
      <c r="CF187" s="247" t="s">
        <v>8</v>
      </c>
      <c r="CG187" s="247" t="s">
        <v>13</v>
      </c>
    </row>
    <row r="188" spans="1:85" x14ac:dyDescent="0.25">
      <c r="A188" s="540"/>
      <c r="B188" s="247" t="s">
        <v>8</v>
      </c>
      <c r="C188" s="247" t="s">
        <v>9</v>
      </c>
      <c r="D188" s="247" t="s">
        <v>13</v>
      </c>
      <c r="E188" s="258" t="s">
        <v>8</v>
      </c>
      <c r="F188" s="258" t="s">
        <v>9</v>
      </c>
      <c r="G188" s="247" t="s">
        <v>13</v>
      </c>
      <c r="H188" s="231" t="s">
        <v>8</v>
      </c>
      <c r="I188" s="231" t="s">
        <v>9</v>
      </c>
      <c r="J188" s="231" t="s">
        <v>13</v>
      </c>
      <c r="K188" s="231" t="s">
        <v>8</v>
      </c>
      <c r="L188" s="231" t="s">
        <v>9</v>
      </c>
      <c r="M188" s="231" t="s">
        <v>13</v>
      </c>
      <c r="N188" s="247" t="s">
        <v>8</v>
      </c>
      <c r="O188" s="247" t="s">
        <v>13</v>
      </c>
      <c r="P188" s="247" t="s">
        <v>8</v>
      </c>
      <c r="Q188" s="247" t="s">
        <v>13</v>
      </c>
      <c r="BQ188" s="232"/>
      <c r="BR188" s="259"/>
      <c r="BS188" s="259"/>
      <c r="BT188" s="259"/>
      <c r="BU188" s="260"/>
      <c r="BV188" s="260"/>
      <c r="BW188" s="259"/>
      <c r="BX188" s="259"/>
      <c r="BY188" s="287"/>
      <c r="BZ188" s="232"/>
      <c r="CA188" s="288"/>
      <c r="CB188" s="259"/>
      <c r="CC188" s="259"/>
      <c r="CD188" s="259"/>
      <c r="CE188" s="259"/>
      <c r="CF188" s="259"/>
      <c r="CG188" s="259"/>
    </row>
    <row r="189" spans="1:85" x14ac:dyDescent="0.25">
      <c r="A189" s="232"/>
      <c r="B189" s="259"/>
      <c r="C189" s="259"/>
      <c r="D189" s="259"/>
      <c r="E189" s="260"/>
      <c r="F189" s="260"/>
      <c r="G189" s="259"/>
      <c r="H189" s="259"/>
      <c r="I189" s="287"/>
      <c r="J189" s="232"/>
      <c r="K189" s="288"/>
      <c r="L189" s="259"/>
      <c r="M189" s="259"/>
      <c r="N189" s="259"/>
      <c r="O189" s="259"/>
      <c r="P189" s="259"/>
      <c r="Q189" s="259"/>
      <c r="BQ189" s="285" t="s">
        <v>27</v>
      </c>
      <c r="BR189" s="236">
        <v>1330</v>
      </c>
      <c r="BS189" s="261">
        <v>9850</v>
      </c>
      <c r="BT189" s="245">
        <f>BR189*BS189</f>
        <v>13100500</v>
      </c>
      <c r="BU189" s="246"/>
      <c r="BV189" s="246"/>
      <c r="BW189" s="245"/>
      <c r="BX189" s="245"/>
      <c r="BY189" s="245"/>
      <c r="BZ189" s="245"/>
      <c r="CA189" s="245">
        <v>1000</v>
      </c>
      <c r="CB189" s="245">
        <v>9850</v>
      </c>
      <c r="CC189" s="245">
        <f>CA189*CB189</f>
        <v>9850000</v>
      </c>
      <c r="CD189" s="246">
        <v>325</v>
      </c>
      <c r="CE189" s="245">
        <f>CD189*BS189</f>
        <v>3201250</v>
      </c>
      <c r="CF189" s="237">
        <f>BR189+BU189-CD189-BX189-CA189</f>
        <v>5</v>
      </c>
      <c r="CG189" s="245">
        <f>BT189+BW189-CE189-BZ189-CC189</f>
        <v>49250</v>
      </c>
    </row>
    <row r="190" spans="1:85" x14ac:dyDescent="0.25">
      <c r="A190" s="285" t="s">
        <v>51</v>
      </c>
      <c r="B190" s="236">
        <f>'SODA ASH BENAR'!B30</f>
        <v>0</v>
      </c>
      <c r="C190" s="236">
        <f>'SODA ASH BENAR'!C30</f>
        <v>0</v>
      </c>
      <c r="D190" s="236">
        <f>'SODA ASH BENAR'!D30</f>
        <v>0</v>
      </c>
      <c r="E190" s="236">
        <f>'SODA ASH BENAR'!E30</f>
        <v>0</v>
      </c>
      <c r="F190" s="236">
        <f>'SODA ASH BENAR'!F30</f>
        <v>0</v>
      </c>
      <c r="G190" s="236">
        <f>'SODA ASH BENAR'!G30</f>
        <v>0</v>
      </c>
      <c r="H190" s="236">
        <f>'SODA ASH BENAR'!H30</f>
        <v>0</v>
      </c>
      <c r="I190" s="236">
        <f>'SODA ASH BENAR'!I30</f>
        <v>0</v>
      </c>
      <c r="J190" s="236">
        <f>'SODA ASH BENAR'!J30</f>
        <v>0</v>
      </c>
      <c r="K190" s="236">
        <f>'SODA ASH BENAR'!K30</f>
        <v>0</v>
      </c>
      <c r="L190" s="236">
        <f>'SODA ASH BENAR'!L30</f>
        <v>0</v>
      </c>
      <c r="M190" s="236">
        <f>'SODA ASH BENAR'!M30</f>
        <v>0</v>
      </c>
      <c r="N190" s="236">
        <f>'SODA ASH BENAR'!N30</f>
        <v>0</v>
      </c>
      <c r="O190" s="236">
        <f>'SODA ASH BENAR'!O30</f>
        <v>0</v>
      </c>
      <c r="P190" s="236">
        <f>'SODA ASH BENAR'!P30</f>
        <v>0</v>
      </c>
      <c r="Q190" s="236">
        <f>'SODA ASH BENAR'!Q30</f>
        <v>0</v>
      </c>
      <c r="BQ190" s="243"/>
      <c r="BR190" s="236">
        <v>1000</v>
      </c>
      <c r="BS190" s="261">
        <v>13200</v>
      </c>
      <c r="BT190" s="245">
        <f>BR190*BS190</f>
        <v>13200000</v>
      </c>
      <c r="BU190" s="246"/>
      <c r="BV190" s="246"/>
      <c r="BW190" s="245">
        <f>BU190*BV190</f>
        <v>0</v>
      </c>
      <c r="BX190" s="245"/>
      <c r="BY190" s="245"/>
      <c r="BZ190" s="245"/>
      <c r="CA190" s="245"/>
      <c r="CB190" s="245"/>
      <c r="CC190" s="245"/>
      <c r="CD190" s="246"/>
      <c r="CE190" s="245">
        <f>CD190*BS190</f>
        <v>0</v>
      </c>
      <c r="CF190" s="237">
        <f>BR190+BU190-CD190-BX190-CA190</f>
        <v>1000</v>
      </c>
      <c r="CG190" s="245">
        <f>BT190+BW190-CE190-BZ190-CC190</f>
        <v>13200000</v>
      </c>
    </row>
    <row r="191" spans="1:85" x14ac:dyDescent="0.25">
      <c r="A191" s="247"/>
      <c r="B191" s="240">
        <f>'SODA ASH BENAR'!B31</f>
        <v>0</v>
      </c>
      <c r="C191" s="240">
        <f>'SODA ASH BENAR'!C31</f>
        <v>0</v>
      </c>
      <c r="D191" s="240">
        <f>'SODA ASH BENAR'!D31</f>
        <v>0</v>
      </c>
      <c r="E191" s="240">
        <f>'SODA ASH BENAR'!E31</f>
        <v>0</v>
      </c>
      <c r="F191" s="240">
        <f>'SODA ASH BENAR'!F31</f>
        <v>0</v>
      </c>
      <c r="G191" s="240">
        <f>'SODA ASH BENAR'!G31</f>
        <v>0</v>
      </c>
      <c r="H191" s="240">
        <f>'SODA ASH BENAR'!H31</f>
        <v>0</v>
      </c>
      <c r="I191" s="240">
        <f>'SODA ASH BENAR'!I31</f>
        <v>0</v>
      </c>
      <c r="J191" s="240">
        <f>'SODA ASH BENAR'!J31</f>
        <v>0</v>
      </c>
      <c r="K191" s="240">
        <f>'SODA ASH BENAR'!K31</f>
        <v>0</v>
      </c>
      <c r="L191" s="240">
        <f>'SODA ASH BENAR'!L31</f>
        <v>0</v>
      </c>
      <c r="M191" s="240">
        <f>'SODA ASH BENAR'!M31</f>
        <v>0</v>
      </c>
      <c r="N191" s="240">
        <f>'SODA ASH BENAR'!N31</f>
        <v>0</v>
      </c>
      <c r="O191" s="240">
        <f>'SODA ASH BENAR'!O31</f>
        <v>0</v>
      </c>
      <c r="P191" s="240">
        <f>'SODA ASH BENAR'!P31</f>
        <v>0</v>
      </c>
      <c r="Q191" s="240">
        <f>'SODA ASH BENAR'!Q31</f>
        <v>0</v>
      </c>
      <c r="BQ191" s="243"/>
      <c r="BR191" s="262">
        <f>SUM(BR189:BR190)</f>
        <v>2330</v>
      </c>
      <c r="BS191" s="263"/>
      <c r="BT191" s="264">
        <f>SUM(BT189:BT190)</f>
        <v>26300500</v>
      </c>
      <c r="BU191" s="246"/>
      <c r="BV191" s="246"/>
      <c r="BW191" s="245"/>
      <c r="BX191" s="245"/>
      <c r="BY191" s="245"/>
      <c r="BZ191" s="245"/>
      <c r="CA191" s="245"/>
      <c r="CB191" s="245"/>
      <c r="CC191" s="283"/>
      <c r="CD191" s="246"/>
      <c r="CE191" s="245"/>
      <c r="CF191" s="284">
        <f>SUM(CF189:CF190)</f>
        <v>1005</v>
      </c>
      <c r="CG191" s="264">
        <f>SUM(CG189:CG190)</f>
        <v>13249250</v>
      </c>
    </row>
    <row r="192" spans="1:85" x14ac:dyDescent="0.25">
      <c r="A192" s="242"/>
      <c r="B192" s="242"/>
      <c r="C192" s="242"/>
      <c r="D192" s="242"/>
      <c r="E192" s="242"/>
      <c r="F192" s="242"/>
      <c r="G192" s="242"/>
      <c r="H192" s="242"/>
      <c r="I192" s="242"/>
      <c r="J192" s="242"/>
      <c r="K192" s="242"/>
      <c r="L192" s="242"/>
      <c r="M192" s="242"/>
      <c r="N192" s="242"/>
      <c r="O192" s="242"/>
      <c r="P192" s="242"/>
      <c r="Q192" s="242"/>
      <c r="BQ192" s="242"/>
      <c r="BR192" s="242"/>
      <c r="BS192" s="242"/>
      <c r="BT192" s="242"/>
      <c r="BU192" s="242"/>
      <c r="BV192" s="242"/>
      <c r="BW192" s="242"/>
      <c r="BX192" s="242"/>
      <c r="BY192" s="242"/>
      <c r="BZ192" s="242"/>
      <c r="CA192" s="242"/>
      <c r="CB192" s="242"/>
      <c r="CC192" s="242"/>
      <c r="CD192" s="242"/>
      <c r="CE192" s="242"/>
      <c r="CF192" s="242"/>
      <c r="CG192" s="242"/>
    </row>
    <row r="193" spans="1:85" x14ac:dyDescent="0.25">
      <c r="A193" s="242"/>
      <c r="B193" s="242"/>
      <c r="C193" s="242"/>
      <c r="D193" s="242"/>
      <c r="E193" s="242"/>
      <c r="F193" s="242"/>
      <c r="G193" s="242"/>
      <c r="H193" s="242"/>
      <c r="I193" s="242"/>
      <c r="J193" s="242"/>
      <c r="K193" s="242"/>
      <c r="L193" s="242"/>
      <c r="M193" s="242"/>
      <c r="N193" s="242"/>
      <c r="O193" s="242"/>
      <c r="P193" s="242"/>
      <c r="Q193" s="242"/>
      <c r="BQ193" s="242"/>
      <c r="BR193" s="242"/>
      <c r="BS193" s="242"/>
      <c r="BT193" s="242"/>
      <c r="BU193" s="242"/>
      <c r="BV193" s="242"/>
      <c r="BW193" s="242"/>
      <c r="BX193" s="242"/>
      <c r="BY193" s="242"/>
      <c r="BZ193" s="242"/>
      <c r="CA193" s="242"/>
      <c r="CB193" s="242"/>
      <c r="CC193" s="242"/>
      <c r="CD193" s="242"/>
      <c r="CE193" s="242"/>
      <c r="CF193" s="242"/>
      <c r="CG193" s="242"/>
    </row>
    <row r="194" spans="1:85" x14ac:dyDescent="0.25">
      <c r="A194" s="242"/>
      <c r="B194" s="242"/>
      <c r="C194" s="242"/>
      <c r="D194" s="242"/>
      <c r="E194" s="242"/>
      <c r="F194" s="242"/>
      <c r="G194" s="242"/>
      <c r="H194" s="242"/>
      <c r="I194" s="242"/>
      <c r="J194" s="242"/>
      <c r="K194" s="242"/>
      <c r="L194" s="242"/>
      <c r="M194" s="242"/>
      <c r="N194" s="242"/>
      <c r="O194" s="242"/>
      <c r="P194" s="242"/>
      <c r="Q194" s="242"/>
      <c r="BQ194" s="537" t="s">
        <v>46</v>
      </c>
      <c r="BR194" s="537"/>
      <c r="BS194" s="537"/>
      <c r="BT194" s="537"/>
      <c r="BU194" s="537"/>
      <c r="BV194" s="537"/>
      <c r="BW194" s="537"/>
      <c r="BX194" s="537"/>
      <c r="BY194" s="537"/>
      <c r="BZ194" s="537"/>
      <c r="CA194" s="537"/>
      <c r="CB194" s="242"/>
      <c r="CC194" s="242"/>
      <c r="CD194" s="242"/>
      <c r="CE194" s="242"/>
      <c r="CF194" s="242"/>
      <c r="CG194" s="242"/>
    </row>
    <row r="195" spans="1:85" x14ac:dyDescent="0.25">
      <c r="A195" s="537" t="s">
        <v>46</v>
      </c>
      <c r="B195" s="537"/>
      <c r="C195" s="537"/>
      <c r="D195" s="537"/>
      <c r="E195" s="537"/>
      <c r="F195" s="537"/>
      <c r="G195" s="537"/>
      <c r="H195" s="537"/>
      <c r="I195" s="537"/>
      <c r="J195" s="537"/>
      <c r="K195" s="537"/>
      <c r="L195" s="242"/>
      <c r="M195" s="242"/>
      <c r="N195" s="242"/>
      <c r="O195" s="242"/>
      <c r="P195" s="242"/>
      <c r="Q195" s="242"/>
      <c r="BQ195" s="536" t="s">
        <v>0</v>
      </c>
      <c r="BR195" s="536" t="s">
        <v>7</v>
      </c>
      <c r="BS195" s="536"/>
      <c r="BT195" s="536"/>
      <c r="BU195" s="536" t="s">
        <v>5</v>
      </c>
      <c r="BV195" s="536"/>
      <c r="BW195" s="536"/>
      <c r="BX195" s="536" t="s">
        <v>4</v>
      </c>
      <c r="BY195" s="536"/>
      <c r="BZ195" s="536" t="s">
        <v>6</v>
      </c>
      <c r="CA195" s="536"/>
      <c r="CB195" s="242"/>
      <c r="CC195" s="242"/>
      <c r="CD195" s="242"/>
      <c r="CE195" s="242"/>
      <c r="CF195" s="242"/>
      <c r="CG195" s="242"/>
    </row>
    <row r="196" spans="1:85" x14ac:dyDescent="0.25">
      <c r="A196" s="536" t="s">
        <v>0</v>
      </c>
      <c r="B196" s="536" t="s">
        <v>7</v>
      </c>
      <c r="C196" s="536"/>
      <c r="D196" s="536"/>
      <c r="E196" s="536" t="s">
        <v>5</v>
      </c>
      <c r="F196" s="536"/>
      <c r="G196" s="536"/>
      <c r="H196" s="536" t="s">
        <v>4</v>
      </c>
      <c r="I196" s="536"/>
      <c r="J196" s="536" t="s">
        <v>6</v>
      </c>
      <c r="K196" s="536"/>
      <c r="L196" s="242"/>
      <c r="M196" s="242"/>
      <c r="N196" s="242"/>
      <c r="O196" s="242"/>
      <c r="P196" s="242"/>
      <c r="Q196" s="242"/>
      <c r="BQ196" s="536"/>
      <c r="BR196" s="231" t="s">
        <v>8</v>
      </c>
      <c r="BS196" s="231" t="s">
        <v>14</v>
      </c>
      <c r="BT196" s="231" t="s">
        <v>13</v>
      </c>
      <c r="BU196" s="231" t="s">
        <v>8</v>
      </c>
      <c r="BV196" s="231" t="s">
        <v>14</v>
      </c>
      <c r="BW196" s="231" t="s">
        <v>10</v>
      </c>
      <c r="BX196" s="231" t="s">
        <v>8</v>
      </c>
      <c r="BY196" s="231" t="s">
        <v>13</v>
      </c>
      <c r="BZ196" s="231" t="s">
        <v>8</v>
      </c>
      <c r="CA196" s="231" t="s">
        <v>13</v>
      </c>
      <c r="CB196" s="242"/>
      <c r="CC196" s="242"/>
      <c r="CD196" s="242"/>
      <c r="CE196" s="242"/>
      <c r="CF196" s="242"/>
      <c r="CG196" s="242"/>
    </row>
    <row r="197" spans="1:85" x14ac:dyDescent="0.25">
      <c r="A197" s="536"/>
      <c r="B197" s="231" t="s">
        <v>8</v>
      </c>
      <c r="C197" s="231" t="s">
        <v>14</v>
      </c>
      <c r="D197" s="231" t="s">
        <v>13</v>
      </c>
      <c r="E197" s="231" t="s">
        <v>8</v>
      </c>
      <c r="F197" s="231" t="s">
        <v>14</v>
      </c>
      <c r="G197" s="231" t="s">
        <v>10</v>
      </c>
      <c r="H197" s="231" t="s">
        <v>8</v>
      </c>
      <c r="I197" s="231" t="s">
        <v>13</v>
      </c>
      <c r="J197" s="231" t="s">
        <v>8</v>
      </c>
      <c r="K197" s="231" t="s">
        <v>13</v>
      </c>
      <c r="L197" s="242"/>
      <c r="M197" s="242"/>
      <c r="N197" s="242"/>
      <c r="O197" s="242"/>
      <c r="P197" s="242"/>
      <c r="Q197" s="242"/>
      <c r="BQ197" s="232"/>
      <c r="BR197" s="233"/>
      <c r="BS197" s="233"/>
      <c r="BT197" s="233"/>
      <c r="BU197" s="233"/>
      <c r="BV197" s="233"/>
      <c r="BW197" s="233"/>
      <c r="BX197" s="233"/>
      <c r="BY197" s="233"/>
      <c r="BZ197" s="233"/>
      <c r="CA197" s="233"/>
      <c r="CB197" s="242"/>
      <c r="CC197" s="242"/>
      <c r="CD197" s="242"/>
      <c r="CE197" s="242"/>
      <c r="CF197" s="242"/>
      <c r="CG197" s="242"/>
    </row>
    <row r="198" spans="1:85" x14ac:dyDescent="0.25">
      <c r="A198" s="232"/>
      <c r="B198" s="233"/>
      <c r="C198" s="233"/>
      <c r="D198" s="233"/>
      <c r="E198" s="233"/>
      <c r="F198" s="233"/>
      <c r="G198" s="233"/>
      <c r="H198" s="233"/>
      <c r="I198" s="233"/>
      <c r="J198" s="233"/>
      <c r="K198" s="233"/>
      <c r="L198" s="242"/>
      <c r="M198" s="242"/>
      <c r="N198" s="242"/>
      <c r="O198" s="242"/>
      <c r="P198" s="242"/>
      <c r="Q198" s="242"/>
      <c r="BQ198" s="243" t="s">
        <v>27</v>
      </c>
      <c r="BR198" s="244">
        <v>150</v>
      </c>
      <c r="BS198" s="245">
        <v>9850</v>
      </c>
      <c r="BT198" s="245">
        <f>BR198*BS198</f>
        <v>1477500</v>
      </c>
      <c r="BU198" s="246"/>
      <c r="BV198" s="245"/>
      <c r="BW198" s="245"/>
      <c r="BX198" s="246"/>
      <c r="BY198" s="245">
        <f>BX198*BS198</f>
        <v>0</v>
      </c>
      <c r="BZ198" s="237">
        <f>BR198+BU198-BX198</f>
        <v>150</v>
      </c>
      <c r="CA198" s="245">
        <f>BT198+BW198-BY198</f>
        <v>1477500</v>
      </c>
      <c r="CB198" s="242"/>
      <c r="CC198" s="242"/>
      <c r="CD198" s="242"/>
      <c r="CE198" s="242"/>
      <c r="CF198" s="242"/>
      <c r="CG198" s="242"/>
    </row>
    <row r="199" spans="1:85" x14ac:dyDescent="0.25">
      <c r="A199" s="243" t="s">
        <v>51</v>
      </c>
      <c r="B199" s="244">
        <f>'Soda Ash K. B'!B22</f>
        <v>0</v>
      </c>
      <c r="C199" s="244">
        <f>'Soda Ash K. B'!C22</f>
        <v>0</v>
      </c>
      <c r="D199" s="244">
        <f>'Soda Ash K. B'!D22</f>
        <v>0</v>
      </c>
      <c r="E199" s="244">
        <f>'Soda Ash K. B'!E22</f>
        <v>0</v>
      </c>
      <c r="F199" s="244">
        <f>'Soda Ash K. B'!F22</f>
        <v>0</v>
      </c>
      <c r="G199" s="244">
        <f>'Soda Ash K. B'!G22</f>
        <v>0</v>
      </c>
      <c r="H199" s="244">
        <f>'Soda Ash K. B'!H22</f>
        <v>0</v>
      </c>
      <c r="I199" s="244">
        <f>'Soda Ash K. B'!I22</f>
        <v>0</v>
      </c>
      <c r="J199" s="244">
        <f>'Soda Ash K. B'!J22</f>
        <v>0</v>
      </c>
      <c r="K199" s="244">
        <f>'Soda Ash K. B'!K22</f>
        <v>0</v>
      </c>
      <c r="L199" s="242"/>
      <c r="M199" s="242"/>
      <c r="N199" s="242"/>
      <c r="O199" s="242"/>
      <c r="P199" s="242"/>
      <c r="Q199" s="242"/>
      <c r="BQ199" s="247"/>
      <c r="BR199" s="248"/>
      <c r="BS199" s="248"/>
      <c r="BT199" s="249"/>
      <c r="BU199" s="250"/>
      <c r="BV199" s="249"/>
      <c r="BW199" s="249"/>
      <c r="BX199" s="248"/>
      <c r="BY199" s="251"/>
      <c r="BZ199" s="241"/>
      <c r="CA199" s="251"/>
      <c r="CB199" s="242"/>
      <c r="CC199" s="242"/>
      <c r="CD199" s="242"/>
      <c r="CE199" s="242"/>
      <c r="CF199" s="242"/>
      <c r="CG199" s="242"/>
    </row>
    <row r="200" spans="1:85" x14ac:dyDescent="0.25">
      <c r="A200" s="247"/>
      <c r="B200" s="248"/>
      <c r="C200" s="248"/>
      <c r="D200" s="249"/>
      <c r="E200" s="250"/>
      <c r="F200" s="249"/>
      <c r="G200" s="249"/>
      <c r="H200" s="248"/>
      <c r="I200" s="251"/>
      <c r="J200" s="241"/>
      <c r="K200" s="251"/>
      <c r="L200" s="242"/>
      <c r="M200" s="242"/>
      <c r="N200" s="242"/>
      <c r="O200" s="242"/>
      <c r="P200" s="242"/>
      <c r="Q200" s="242"/>
      <c r="BQ200" s="242"/>
      <c r="BR200" s="242"/>
      <c r="BS200" s="242"/>
      <c r="BT200" s="242"/>
      <c r="BU200" s="242"/>
      <c r="BV200" s="242"/>
      <c r="BW200" s="242"/>
      <c r="BX200" s="242"/>
      <c r="BY200" s="242"/>
      <c r="BZ200" s="242"/>
      <c r="CA200" s="242"/>
      <c r="CB200" s="242"/>
      <c r="CC200" s="242"/>
      <c r="CD200" s="242"/>
      <c r="CE200" s="242"/>
      <c r="CF200" s="242"/>
      <c r="CG200" s="242"/>
    </row>
    <row r="201" spans="1:85" x14ac:dyDescent="0.25">
      <c r="A201" s="242"/>
      <c r="B201" s="242"/>
      <c r="C201" s="242"/>
      <c r="D201" s="242"/>
      <c r="E201" s="242"/>
      <c r="F201" s="242"/>
      <c r="G201" s="242"/>
      <c r="H201" s="242" t="s">
        <v>39</v>
      </c>
      <c r="I201" s="242"/>
      <c r="J201" s="242"/>
      <c r="K201" s="242"/>
      <c r="L201" s="242"/>
      <c r="M201" s="242"/>
      <c r="N201" s="242"/>
      <c r="O201" s="242"/>
      <c r="P201" s="242"/>
      <c r="Q201" s="242"/>
      <c r="BQ201" s="242"/>
      <c r="BR201" s="242"/>
      <c r="BS201" s="242"/>
      <c r="BT201" s="242"/>
      <c r="BU201" s="242"/>
      <c r="BV201" s="242"/>
      <c r="BW201" s="242"/>
      <c r="BX201" s="242"/>
      <c r="BY201" s="242"/>
      <c r="BZ201" s="242"/>
      <c r="CA201" s="242"/>
      <c r="CB201" s="242"/>
      <c r="CC201" s="242"/>
      <c r="CD201" s="242"/>
      <c r="CE201" s="242"/>
      <c r="CF201" s="242"/>
      <c r="CG201" s="242"/>
    </row>
    <row r="202" spans="1:85" x14ac:dyDescent="0.25">
      <c r="A202" s="242"/>
      <c r="B202" s="242"/>
      <c r="C202" s="242"/>
      <c r="D202" s="242"/>
      <c r="E202" s="242"/>
      <c r="F202" s="242"/>
      <c r="G202" s="242"/>
      <c r="H202" s="242"/>
      <c r="I202" s="242"/>
      <c r="J202" s="242"/>
      <c r="K202" s="242"/>
      <c r="L202" s="242"/>
      <c r="M202" s="242"/>
      <c r="N202" s="242"/>
      <c r="O202" s="242"/>
      <c r="P202" s="242"/>
      <c r="Q202" s="242"/>
      <c r="BQ202" s="242"/>
      <c r="BR202" s="242"/>
      <c r="BS202" s="242"/>
      <c r="BT202" s="242"/>
      <c r="BU202" s="242"/>
      <c r="BV202" s="242"/>
      <c r="BW202" s="242"/>
      <c r="BX202" s="242"/>
      <c r="BY202" s="242"/>
      <c r="BZ202" s="242"/>
      <c r="CA202" s="242"/>
      <c r="CB202" s="242"/>
      <c r="CC202" s="242"/>
      <c r="CD202" s="242"/>
      <c r="CE202" s="242"/>
      <c r="CF202" s="242"/>
      <c r="CG202" s="242"/>
    </row>
    <row r="203" spans="1:85" x14ac:dyDescent="0.25">
      <c r="A203" s="242"/>
      <c r="B203" s="242"/>
      <c r="C203" s="242"/>
      <c r="D203" s="242"/>
      <c r="E203" s="242"/>
      <c r="F203" s="242"/>
      <c r="G203" s="242"/>
      <c r="H203" s="242"/>
      <c r="I203" s="242"/>
      <c r="J203" s="242"/>
      <c r="K203" s="242"/>
      <c r="L203" s="242"/>
      <c r="M203" s="242"/>
      <c r="N203" s="242"/>
      <c r="O203" s="242"/>
      <c r="P203" s="242"/>
      <c r="Q203" s="242"/>
      <c r="BQ203" s="537" t="s">
        <v>47</v>
      </c>
      <c r="BR203" s="537"/>
      <c r="BS203" s="537"/>
      <c r="BT203" s="537"/>
      <c r="BU203" s="537"/>
      <c r="BV203" s="537"/>
      <c r="BW203" s="537"/>
      <c r="BX203" s="537"/>
      <c r="BY203" s="537"/>
      <c r="BZ203" s="537"/>
      <c r="CA203" s="537"/>
      <c r="CB203" s="242"/>
      <c r="CC203" s="242"/>
      <c r="CD203" s="242"/>
      <c r="CE203" s="242"/>
      <c r="CF203" s="242"/>
      <c r="CG203" s="242"/>
    </row>
    <row r="204" spans="1:85" x14ac:dyDescent="0.25">
      <c r="A204" s="537" t="s">
        <v>47</v>
      </c>
      <c r="B204" s="537"/>
      <c r="C204" s="537"/>
      <c r="D204" s="537"/>
      <c r="E204" s="537"/>
      <c r="F204" s="537"/>
      <c r="G204" s="537"/>
      <c r="H204" s="537"/>
      <c r="I204" s="537"/>
      <c r="J204" s="537"/>
      <c r="K204" s="537"/>
      <c r="L204" s="242"/>
      <c r="M204" s="242"/>
      <c r="N204" s="242"/>
      <c r="O204" s="242"/>
      <c r="P204" s="242"/>
      <c r="Q204" s="242"/>
      <c r="BQ204" s="536" t="s">
        <v>0</v>
      </c>
      <c r="BR204" s="536" t="s">
        <v>7</v>
      </c>
      <c r="BS204" s="536"/>
      <c r="BT204" s="536"/>
      <c r="BU204" s="536" t="s">
        <v>5</v>
      </c>
      <c r="BV204" s="536"/>
      <c r="BW204" s="536"/>
      <c r="BX204" s="536" t="s">
        <v>4</v>
      </c>
      <c r="BY204" s="536"/>
      <c r="BZ204" s="536" t="s">
        <v>6</v>
      </c>
      <c r="CA204" s="536"/>
      <c r="CB204" s="242"/>
      <c r="CC204" s="242"/>
      <c r="CD204" s="242"/>
      <c r="CE204" s="242"/>
      <c r="CF204" s="242"/>
      <c r="CG204" s="242"/>
    </row>
    <row r="205" spans="1:85" x14ac:dyDescent="0.25">
      <c r="A205" s="536" t="s">
        <v>0</v>
      </c>
      <c r="B205" s="536" t="s">
        <v>7</v>
      </c>
      <c r="C205" s="536"/>
      <c r="D205" s="536"/>
      <c r="E205" s="536" t="s">
        <v>5</v>
      </c>
      <c r="F205" s="536"/>
      <c r="G205" s="536"/>
      <c r="H205" s="536" t="s">
        <v>4</v>
      </c>
      <c r="I205" s="536"/>
      <c r="J205" s="536" t="s">
        <v>6</v>
      </c>
      <c r="K205" s="536"/>
      <c r="L205" s="242"/>
      <c r="M205" s="242"/>
      <c r="N205" s="242"/>
      <c r="O205" s="242"/>
      <c r="P205" s="242"/>
      <c r="Q205" s="242"/>
      <c r="BQ205" s="536"/>
      <c r="BR205" s="231" t="s">
        <v>8</v>
      </c>
      <c r="BS205" s="231" t="s">
        <v>14</v>
      </c>
      <c r="BT205" s="231" t="s">
        <v>13</v>
      </c>
      <c r="BU205" s="231" t="s">
        <v>8</v>
      </c>
      <c r="BV205" s="231" t="s">
        <v>14</v>
      </c>
      <c r="BW205" s="231" t="s">
        <v>10</v>
      </c>
      <c r="BX205" s="231" t="s">
        <v>8</v>
      </c>
      <c r="BY205" s="231" t="s">
        <v>13</v>
      </c>
      <c r="BZ205" s="231" t="s">
        <v>8</v>
      </c>
      <c r="CA205" s="231" t="s">
        <v>13</v>
      </c>
      <c r="CB205" s="242"/>
      <c r="CC205" s="242"/>
      <c r="CD205" s="242"/>
      <c r="CE205" s="242"/>
      <c r="CF205" s="242"/>
      <c r="CG205" s="242"/>
    </row>
    <row r="206" spans="1:85" x14ac:dyDescent="0.25">
      <c r="A206" s="536"/>
      <c r="B206" s="231" t="s">
        <v>8</v>
      </c>
      <c r="C206" s="231" t="s">
        <v>14</v>
      </c>
      <c r="D206" s="231" t="s">
        <v>13</v>
      </c>
      <c r="E206" s="231" t="s">
        <v>8</v>
      </c>
      <c r="F206" s="231" t="s">
        <v>14</v>
      </c>
      <c r="G206" s="231" t="s">
        <v>10</v>
      </c>
      <c r="H206" s="231" t="s">
        <v>8</v>
      </c>
      <c r="I206" s="231" t="s">
        <v>13</v>
      </c>
      <c r="J206" s="231" t="s">
        <v>8</v>
      </c>
      <c r="K206" s="231" t="s">
        <v>13</v>
      </c>
      <c r="L206" s="242"/>
      <c r="M206" s="242"/>
      <c r="N206" s="242"/>
      <c r="O206" s="242"/>
      <c r="P206" s="242"/>
      <c r="Q206" s="242"/>
      <c r="BQ206" s="232"/>
      <c r="BR206" s="233"/>
      <c r="BS206" s="267"/>
      <c r="BT206" s="233"/>
      <c r="BU206" s="233"/>
      <c r="BV206" s="233"/>
      <c r="BW206" s="233"/>
      <c r="BX206" s="233"/>
      <c r="BY206" s="233"/>
      <c r="BZ206" s="233"/>
      <c r="CA206" s="233"/>
      <c r="CB206" s="242"/>
      <c r="CC206" s="242"/>
      <c r="CD206" s="242"/>
      <c r="CE206" s="242"/>
      <c r="CF206" s="242"/>
      <c r="CG206" s="242"/>
    </row>
    <row r="207" spans="1:85" x14ac:dyDescent="0.25">
      <c r="A207" s="232"/>
      <c r="B207" s="233"/>
      <c r="C207" s="267"/>
      <c r="D207" s="233"/>
      <c r="E207" s="233"/>
      <c r="F207" s="233"/>
      <c r="G207" s="233"/>
      <c r="H207" s="233"/>
      <c r="I207" s="233"/>
      <c r="J207" s="233"/>
      <c r="K207" s="233"/>
      <c r="L207" s="242"/>
      <c r="M207" s="242"/>
      <c r="N207" s="242"/>
      <c r="O207" s="242"/>
      <c r="P207" s="242"/>
      <c r="Q207" s="242"/>
      <c r="BQ207" s="243" t="s">
        <v>27</v>
      </c>
      <c r="BR207" s="244">
        <v>300</v>
      </c>
      <c r="BS207" s="245">
        <v>9850</v>
      </c>
      <c r="BT207" s="245">
        <f>BR207*BS207</f>
        <v>2955000</v>
      </c>
      <c r="BU207" s="246">
        <v>1000</v>
      </c>
      <c r="BV207" s="245">
        <v>9850</v>
      </c>
      <c r="BW207" s="245">
        <f>BU207*BV207</f>
        <v>9850000</v>
      </c>
      <c r="BX207" s="246">
        <v>200</v>
      </c>
      <c r="BY207" s="245">
        <f>BX207*BS207</f>
        <v>1970000</v>
      </c>
      <c r="BZ207" s="237">
        <f>BR207+BU207-BX207</f>
        <v>1100</v>
      </c>
      <c r="CA207" s="245">
        <f>BT207+BW207-BY207</f>
        <v>10835000</v>
      </c>
      <c r="CB207" s="242"/>
      <c r="CC207" s="242"/>
      <c r="CD207" s="242"/>
      <c r="CE207" s="242"/>
      <c r="CF207" s="242"/>
      <c r="CG207" s="242"/>
    </row>
    <row r="208" spans="1:85" x14ac:dyDescent="0.25">
      <c r="A208" s="243" t="s">
        <v>51</v>
      </c>
      <c r="B208" s="244">
        <f>'Soda Ash Hanau'!B17</f>
        <v>0</v>
      </c>
      <c r="C208" s="244">
        <f>'Soda Ash Hanau'!C17</f>
        <v>0</v>
      </c>
      <c r="D208" s="244">
        <f>'Soda Ash Hanau'!D17</f>
        <v>0</v>
      </c>
      <c r="E208" s="244">
        <f>'Soda Ash Hanau'!E17</f>
        <v>0</v>
      </c>
      <c r="F208" s="244">
        <f>'Soda Ash Hanau'!F17</f>
        <v>0</v>
      </c>
      <c r="G208" s="244">
        <f>'Soda Ash Hanau'!G17</f>
        <v>0</v>
      </c>
      <c r="H208" s="244">
        <f>'Soda Ash Hanau'!H17</f>
        <v>0</v>
      </c>
      <c r="I208" s="244">
        <f>'Soda Ash Hanau'!I17</f>
        <v>0</v>
      </c>
      <c r="J208" s="244">
        <f>'Soda Ash Hanau'!J17</f>
        <v>0</v>
      </c>
      <c r="K208" s="244">
        <f>'Soda Ash Hanau'!K17</f>
        <v>0</v>
      </c>
      <c r="L208" s="242"/>
      <c r="M208" s="242"/>
      <c r="N208" s="242"/>
      <c r="O208" s="242"/>
      <c r="P208" s="242"/>
      <c r="Q208" s="242"/>
      <c r="BQ208" s="247"/>
      <c r="BR208" s="248"/>
      <c r="BS208" s="249"/>
      <c r="BT208" s="251"/>
      <c r="BU208" s="250"/>
      <c r="BV208" s="249"/>
      <c r="BW208" s="249"/>
      <c r="BX208" s="248"/>
      <c r="BY208" s="251"/>
      <c r="BZ208" s="241"/>
      <c r="CA208" s="251"/>
      <c r="CB208" s="242"/>
      <c r="CC208" s="242"/>
      <c r="CD208" s="242"/>
      <c r="CE208" s="242"/>
      <c r="CF208" s="242"/>
      <c r="CG208" s="242"/>
    </row>
    <row r="209" spans="1:85" x14ac:dyDescent="0.25">
      <c r="A209" s="243"/>
      <c r="B209" s="244" t="e">
        <f>'Soda Ash Hanau'!#REF!</f>
        <v>#REF!</v>
      </c>
      <c r="C209" s="244" t="e">
        <f>'Soda Ash Hanau'!#REF!</f>
        <v>#REF!</v>
      </c>
      <c r="D209" s="244" t="e">
        <f>'Soda Ash Hanau'!#REF!</f>
        <v>#REF!</v>
      </c>
      <c r="E209" s="244" t="e">
        <f>'Soda Ash Hanau'!#REF!</f>
        <v>#REF!</v>
      </c>
      <c r="F209" s="244" t="e">
        <f>'Soda Ash Hanau'!#REF!</f>
        <v>#REF!</v>
      </c>
      <c r="G209" s="244" t="e">
        <f>'Soda Ash Hanau'!#REF!</f>
        <v>#REF!</v>
      </c>
      <c r="H209" s="244" t="e">
        <f>'Soda Ash Hanau'!#REF!</f>
        <v>#REF!</v>
      </c>
      <c r="I209" s="244" t="e">
        <f>'Soda Ash Hanau'!#REF!</f>
        <v>#REF!</v>
      </c>
      <c r="J209" s="244" t="e">
        <f>'Soda Ash Hanau'!#REF!</f>
        <v>#REF!</v>
      </c>
      <c r="K209" s="244" t="e">
        <f>'Soda Ash Hanau'!#REF!</f>
        <v>#REF!</v>
      </c>
      <c r="L209" s="242"/>
      <c r="M209" s="242"/>
      <c r="N209" s="242"/>
      <c r="O209" s="242"/>
      <c r="P209" s="242"/>
      <c r="Q209" s="242"/>
      <c r="BQ209" s="256"/>
      <c r="BR209" s="331"/>
      <c r="BS209" s="332"/>
      <c r="BT209" s="329"/>
      <c r="BU209" s="333"/>
      <c r="BV209" s="332"/>
      <c r="BW209" s="332"/>
      <c r="BX209" s="331"/>
      <c r="BY209" s="329"/>
      <c r="BZ209" s="281"/>
      <c r="CA209" s="329"/>
      <c r="CB209" s="242"/>
      <c r="CC209" s="242"/>
      <c r="CD209" s="242"/>
      <c r="CE209" s="242"/>
      <c r="CF209" s="242"/>
      <c r="CG209" s="242"/>
    </row>
    <row r="210" spans="1:85" x14ac:dyDescent="0.25">
      <c r="A210" s="243"/>
      <c r="B210" s="296" t="e">
        <f>'Soda Ash Hanau'!#REF!</f>
        <v>#REF!</v>
      </c>
      <c r="C210" s="296" t="e">
        <f>'Soda Ash Hanau'!#REF!</f>
        <v>#REF!</v>
      </c>
      <c r="D210" s="296" t="e">
        <f>'Soda Ash Hanau'!#REF!</f>
        <v>#REF!</v>
      </c>
      <c r="E210" s="244" t="e">
        <f>'Soda Ash Hanau'!#REF!</f>
        <v>#REF!</v>
      </c>
      <c r="F210" s="244" t="e">
        <f>'Soda Ash Hanau'!#REF!</f>
        <v>#REF!</v>
      </c>
      <c r="G210" s="244" t="e">
        <f>'Soda Ash Hanau'!#REF!</f>
        <v>#REF!</v>
      </c>
      <c r="H210" s="296" t="e">
        <f>'Soda Ash Hanau'!#REF!</f>
        <v>#REF!</v>
      </c>
      <c r="I210" s="296" t="e">
        <f>'Soda Ash Hanau'!#REF!</f>
        <v>#REF!</v>
      </c>
      <c r="J210" s="296" t="e">
        <f>'Soda Ash Hanau'!#REF!</f>
        <v>#REF!</v>
      </c>
      <c r="K210" s="296" t="e">
        <f>'Soda Ash Hanau'!#REF!</f>
        <v>#REF!</v>
      </c>
      <c r="L210" s="242"/>
      <c r="M210" s="242"/>
      <c r="N210" s="242"/>
      <c r="O210" s="242"/>
      <c r="P210" s="242"/>
      <c r="Q210" s="242"/>
      <c r="BQ210" s="256"/>
      <c r="BR210" s="331"/>
      <c r="BS210" s="332"/>
      <c r="BT210" s="329"/>
      <c r="BU210" s="333"/>
      <c r="BV210" s="332"/>
      <c r="BW210" s="332"/>
      <c r="BX210" s="331"/>
      <c r="BY210" s="329"/>
      <c r="BZ210" s="281"/>
      <c r="CA210" s="329"/>
      <c r="CB210" s="242"/>
      <c r="CC210" s="242"/>
      <c r="CD210" s="242"/>
      <c r="CE210" s="242"/>
      <c r="CF210" s="242"/>
      <c r="CG210" s="242"/>
    </row>
    <row r="211" spans="1:85" x14ac:dyDescent="0.25">
      <c r="A211" s="247"/>
      <c r="B211" s="248"/>
      <c r="C211" s="249"/>
      <c r="D211" s="251"/>
      <c r="E211" s="250"/>
      <c r="F211" s="249"/>
      <c r="G211" s="249"/>
      <c r="H211" s="248"/>
      <c r="I211" s="251"/>
      <c r="J211" s="241"/>
      <c r="K211" s="251"/>
      <c r="L211" s="242"/>
      <c r="M211" s="242"/>
      <c r="N211" s="242"/>
      <c r="O211" s="242"/>
      <c r="P211" s="242"/>
      <c r="Q211" s="242"/>
      <c r="BQ211" s="256"/>
      <c r="BR211" s="331"/>
      <c r="BS211" s="332"/>
      <c r="BT211" s="329"/>
      <c r="BU211" s="333"/>
      <c r="BV211" s="332"/>
      <c r="BW211" s="332"/>
      <c r="BX211" s="331"/>
      <c r="BY211" s="329"/>
      <c r="BZ211" s="281"/>
      <c r="CA211" s="329"/>
      <c r="CB211" s="242"/>
      <c r="CC211" s="242"/>
      <c r="CD211" s="242"/>
      <c r="CE211" s="242"/>
      <c r="CF211" s="242"/>
      <c r="CG211" s="242"/>
    </row>
    <row r="212" spans="1:85" x14ac:dyDescent="0.25">
      <c r="BQ212" s="256"/>
      <c r="BR212" s="331"/>
      <c r="BS212" s="332"/>
      <c r="BT212" s="329"/>
      <c r="BU212" s="333"/>
      <c r="BV212" s="332"/>
      <c r="BW212" s="332"/>
      <c r="BX212" s="331"/>
      <c r="BY212" s="329"/>
      <c r="BZ212" s="281"/>
      <c r="CA212" s="329"/>
      <c r="CB212" s="242"/>
      <c r="CC212" s="242"/>
      <c r="CD212" s="242"/>
      <c r="CE212" s="242"/>
      <c r="CF212" s="242"/>
      <c r="CG212" s="242"/>
    </row>
    <row r="213" spans="1:85" x14ac:dyDescent="0.25">
      <c r="BQ213" s="256"/>
      <c r="BR213" s="331"/>
      <c r="BS213" s="332"/>
      <c r="BT213" s="329"/>
      <c r="BU213" s="333"/>
      <c r="BV213" s="332"/>
      <c r="BW213" s="332"/>
      <c r="BX213" s="331"/>
      <c r="BY213" s="329"/>
      <c r="BZ213" s="281"/>
      <c r="CA213" s="329"/>
      <c r="CB213" s="242"/>
      <c r="CC213" s="242"/>
      <c r="CD213" s="242"/>
      <c r="CE213" s="242"/>
      <c r="CF213" s="242"/>
      <c r="CG213" s="242"/>
    </row>
    <row r="214" spans="1:85" x14ac:dyDescent="0.25">
      <c r="BQ214" s="256"/>
      <c r="BR214" s="331"/>
      <c r="BS214" s="332"/>
      <c r="BT214" s="329"/>
      <c r="BU214" s="333"/>
      <c r="BV214" s="332"/>
      <c r="BW214" s="332"/>
      <c r="BX214" s="331"/>
      <c r="BY214" s="329"/>
      <c r="BZ214" s="281"/>
      <c r="CA214" s="329"/>
      <c r="CB214" s="242"/>
      <c r="CC214" s="242"/>
      <c r="CD214" s="242"/>
      <c r="CE214" s="242"/>
      <c r="CF214" s="242"/>
      <c r="CG214" s="242"/>
    </row>
    <row r="215" spans="1:85" ht="21" x14ac:dyDescent="0.35">
      <c r="A215" s="54" t="s">
        <v>102</v>
      </c>
    </row>
    <row r="216" spans="1:85" x14ac:dyDescent="0.25">
      <c r="F216" t="s">
        <v>60</v>
      </c>
    </row>
    <row r="217" spans="1:85" x14ac:dyDescent="0.25">
      <c r="A217" s="546" t="s">
        <v>45</v>
      </c>
      <c r="B217" s="546"/>
      <c r="C217" s="546"/>
      <c r="D217" s="546"/>
      <c r="E217" s="546"/>
      <c r="F217" s="546"/>
      <c r="G217" s="546"/>
      <c r="H217" s="546"/>
      <c r="I217" s="546"/>
      <c r="J217" s="546"/>
      <c r="K217" s="546"/>
      <c r="L217" s="546"/>
      <c r="M217" s="546"/>
      <c r="N217" s="546"/>
      <c r="O217" s="546"/>
      <c r="P217" s="546"/>
      <c r="Q217" s="546"/>
    </row>
    <row r="218" spans="1:85" x14ac:dyDescent="0.25">
      <c r="A218" s="255"/>
      <c r="B218" s="256"/>
      <c r="C218" s="256"/>
      <c r="D218" s="256"/>
      <c r="E218" s="257"/>
      <c r="F218" s="257"/>
      <c r="G218" s="256"/>
      <c r="H218" s="256"/>
      <c r="I218" s="256"/>
      <c r="J218" s="256"/>
      <c r="K218" s="256"/>
      <c r="L218" s="256"/>
      <c r="M218" s="256"/>
      <c r="N218" s="256"/>
      <c r="O218" s="256"/>
      <c r="P218" s="256"/>
      <c r="Q218" s="256"/>
    </row>
    <row r="219" spans="1:85" x14ac:dyDescent="0.25">
      <c r="A219" s="539" t="s">
        <v>0</v>
      </c>
      <c r="B219" s="547" t="s">
        <v>7</v>
      </c>
      <c r="C219" s="548"/>
      <c r="D219" s="549"/>
      <c r="E219" s="547" t="s">
        <v>5</v>
      </c>
      <c r="F219" s="548"/>
      <c r="G219" s="549"/>
      <c r="H219" s="541" t="s">
        <v>25</v>
      </c>
      <c r="I219" s="542"/>
      <c r="J219" s="543"/>
      <c r="K219" s="541" t="s">
        <v>26</v>
      </c>
      <c r="L219" s="542"/>
      <c r="M219" s="543"/>
      <c r="N219" s="547" t="s">
        <v>4</v>
      </c>
      <c r="O219" s="549"/>
      <c r="P219" s="547" t="s">
        <v>6</v>
      </c>
      <c r="Q219" s="549"/>
    </row>
    <row r="220" spans="1:85" x14ac:dyDescent="0.25">
      <c r="A220" s="540"/>
      <c r="B220" s="247" t="s">
        <v>8</v>
      </c>
      <c r="C220" s="247" t="s">
        <v>9</v>
      </c>
      <c r="D220" s="247" t="s">
        <v>13</v>
      </c>
      <c r="E220" s="258" t="s">
        <v>8</v>
      </c>
      <c r="F220" s="258" t="s">
        <v>9</v>
      </c>
      <c r="G220" s="247" t="s">
        <v>13</v>
      </c>
      <c r="H220" s="231" t="s">
        <v>8</v>
      </c>
      <c r="I220" s="231" t="s">
        <v>9</v>
      </c>
      <c r="K220" s="231" t="s">
        <v>8</v>
      </c>
      <c r="L220" s="231" t="s">
        <v>9</v>
      </c>
      <c r="M220" s="231" t="s">
        <v>13</v>
      </c>
      <c r="N220" s="247" t="s">
        <v>8</v>
      </c>
      <c r="O220" s="247" t="s">
        <v>13</v>
      </c>
      <c r="P220" s="247" t="s">
        <v>8</v>
      </c>
      <c r="Q220" s="247" t="s">
        <v>13</v>
      </c>
    </row>
    <row r="221" spans="1:85" x14ac:dyDescent="0.25">
      <c r="A221" s="232"/>
      <c r="B221" s="259"/>
      <c r="C221" s="259"/>
      <c r="D221" s="259"/>
      <c r="E221" s="260"/>
      <c r="F221" s="260"/>
      <c r="G221" s="259"/>
      <c r="H221" s="259"/>
      <c r="I221" s="287"/>
      <c r="J221" s="232"/>
      <c r="K221" s="288"/>
      <c r="L221" s="259"/>
      <c r="M221" s="259"/>
      <c r="N221" s="259"/>
      <c r="O221" s="259"/>
      <c r="P221" s="259"/>
      <c r="Q221" s="259"/>
    </row>
    <row r="222" spans="1:85" x14ac:dyDescent="0.25">
      <c r="A222" s="285" t="s">
        <v>52</v>
      </c>
      <c r="B222" s="236">
        <f>'SODA ASH BENAR'!B32</f>
        <v>0</v>
      </c>
      <c r="C222" s="236">
        <f>'SODA ASH BENAR'!C32</f>
        <v>0</v>
      </c>
      <c r="D222" s="236">
        <f>'SODA ASH BENAR'!D32</f>
        <v>0</v>
      </c>
      <c r="E222" s="236">
        <f>'SODA ASH BENAR'!E32</f>
        <v>0</v>
      </c>
      <c r="F222" s="236">
        <f>'SODA ASH BENAR'!F32</f>
        <v>0</v>
      </c>
      <c r="G222" s="236">
        <f>'SODA ASH BENAR'!G32</f>
        <v>0</v>
      </c>
      <c r="H222" s="236">
        <f>'SODA ASH BENAR'!H32</f>
        <v>0</v>
      </c>
      <c r="I222" s="236">
        <f>'SODA ASH BENAR'!I32</f>
        <v>0</v>
      </c>
      <c r="J222" s="236">
        <f>'SODA ASH BENAR'!J32</f>
        <v>0</v>
      </c>
      <c r="K222" s="236">
        <f>'SODA ASH BENAR'!K32</f>
        <v>0</v>
      </c>
      <c r="L222" s="236">
        <f>'SODA ASH BENAR'!L32</f>
        <v>0</v>
      </c>
      <c r="M222" s="236">
        <f>'SODA ASH BENAR'!M32</f>
        <v>0</v>
      </c>
      <c r="N222" s="236">
        <f>'SODA ASH BENAR'!N32</f>
        <v>0</v>
      </c>
      <c r="O222" s="236">
        <f>'SODA ASH BENAR'!O32</f>
        <v>0</v>
      </c>
      <c r="P222" s="236">
        <f>'SODA ASH BENAR'!P32</f>
        <v>0</v>
      </c>
      <c r="Q222" s="236">
        <f>'SODA ASH BENAR'!Q32</f>
        <v>0</v>
      </c>
    </row>
    <row r="223" spans="1:85" x14ac:dyDescent="0.25">
      <c r="A223" s="243"/>
      <c r="B223" s="236">
        <f>'SODA ASH BENAR'!B33</f>
        <v>0</v>
      </c>
      <c r="C223" s="236">
        <f>'SODA ASH BENAR'!C33</f>
        <v>0</v>
      </c>
      <c r="D223" s="236">
        <f>'SODA ASH BENAR'!D33</f>
        <v>0</v>
      </c>
      <c r="E223" s="236">
        <f>'SODA ASH BENAR'!E33</f>
        <v>0</v>
      </c>
      <c r="F223" s="236">
        <f>'SODA ASH BENAR'!F33</f>
        <v>0</v>
      </c>
      <c r="G223" s="236">
        <f>'SODA ASH BENAR'!G33</f>
        <v>0</v>
      </c>
      <c r="H223" s="236">
        <f>'SODA ASH BENAR'!H33</f>
        <v>0</v>
      </c>
      <c r="I223" s="236">
        <f>'SODA ASH BENAR'!I33</f>
        <v>0</v>
      </c>
      <c r="J223" s="236">
        <f>'SODA ASH BENAR'!J33</f>
        <v>0</v>
      </c>
      <c r="K223" s="236">
        <f>'SODA ASH BENAR'!K33</f>
        <v>0</v>
      </c>
      <c r="L223" s="236">
        <f>'SODA ASH BENAR'!L33</f>
        <v>0</v>
      </c>
      <c r="M223" s="236">
        <f>'SODA ASH BENAR'!M33</f>
        <v>0</v>
      </c>
      <c r="N223" s="236">
        <f>'SODA ASH BENAR'!N33</f>
        <v>0</v>
      </c>
      <c r="O223" s="236">
        <f>'SODA ASH BENAR'!O33</f>
        <v>0</v>
      </c>
      <c r="P223" s="236">
        <f>'SODA ASH BENAR'!P33</f>
        <v>0</v>
      </c>
      <c r="Q223" s="236">
        <f>'SODA ASH BENAR'!Q33</f>
        <v>0</v>
      </c>
    </row>
    <row r="224" spans="1:85" x14ac:dyDescent="0.25">
      <c r="A224" s="243"/>
      <c r="B224" s="236">
        <f>'SODA ASH BENAR'!B34</f>
        <v>0</v>
      </c>
      <c r="C224" s="236">
        <f>'SODA ASH BENAR'!C34</f>
        <v>0</v>
      </c>
      <c r="D224" s="236">
        <f>'SODA ASH BENAR'!D34</f>
        <v>0</v>
      </c>
      <c r="E224" s="236">
        <f>'SODA ASH BENAR'!E34</f>
        <v>0</v>
      </c>
      <c r="F224" s="236">
        <f>'SODA ASH BENAR'!F34</f>
        <v>0</v>
      </c>
      <c r="G224" s="236">
        <f>'SODA ASH BENAR'!G34</f>
        <v>0</v>
      </c>
      <c r="H224" s="236">
        <f>'SODA ASH BENAR'!H34</f>
        <v>0</v>
      </c>
      <c r="I224" s="236">
        <f>'SODA ASH BENAR'!I34</f>
        <v>0</v>
      </c>
      <c r="J224" s="236">
        <f>'SODA ASH BENAR'!J34</f>
        <v>0</v>
      </c>
      <c r="K224" s="236">
        <f>'SODA ASH BENAR'!K34</f>
        <v>0</v>
      </c>
      <c r="L224" s="236">
        <f>'SODA ASH BENAR'!L34</f>
        <v>0</v>
      </c>
      <c r="M224" s="236">
        <f>'SODA ASH BENAR'!M34</f>
        <v>0</v>
      </c>
      <c r="N224" s="236">
        <f>'SODA ASH BENAR'!N34</f>
        <v>0</v>
      </c>
      <c r="O224" s="236">
        <f>'SODA ASH BENAR'!O34</f>
        <v>0</v>
      </c>
      <c r="P224" s="395">
        <f>'SODA ASH BENAR'!P34</f>
        <v>0</v>
      </c>
      <c r="Q224" s="395">
        <f>'SODA ASH BENAR'!Q34</f>
        <v>0</v>
      </c>
    </row>
    <row r="225" spans="1:17" x14ac:dyDescent="0.25">
      <c r="A225" s="295"/>
      <c r="B225" s="295"/>
      <c r="C225" s="295"/>
      <c r="D225" s="295"/>
      <c r="E225" s="295"/>
      <c r="F225" s="295"/>
      <c r="G225" s="295"/>
      <c r="H225" s="295"/>
      <c r="I225" s="295"/>
      <c r="J225" s="295"/>
      <c r="K225" s="295"/>
      <c r="L225" s="295"/>
      <c r="M225" s="295"/>
      <c r="N225" s="295"/>
      <c r="O225" s="295"/>
      <c r="P225" s="295"/>
      <c r="Q225" s="295"/>
    </row>
    <row r="226" spans="1:17" x14ac:dyDescent="0.25">
      <c r="A226" s="242"/>
      <c r="B226" s="242"/>
      <c r="C226" s="242"/>
      <c r="D226" s="242"/>
      <c r="E226" s="242"/>
      <c r="F226" s="242"/>
      <c r="G226" s="242"/>
      <c r="H226" s="242"/>
      <c r="I226" s="242"/>
      <c r="J226" s="242"/>
      <c r="K226" s="242"/>
      <c r="L226" s="242"/>
      <c r="M226" s="242"/>
      <c r="N226" s="242"/>
      <c r="O226" s="242"/>
      <c r="P226" s="242"/>
      <c r="Q226" s="242"/>
    </row>
    <row r="227" spans="1:17" x14ac:dyDescent="0.25">
      <c r="A227" s="242"/>
      <c r="B227" s="242"/>
      <c r="C227" s="242"/>
      <c r="D227" s="242"/>
      <c r="E227" s="242"/>
      <c r="F227" s="242"/>
      <c r="G227" s="242"/>
      <c r="H227" s="242"/>
      <c r="I227" s="242"/>
      <c r="J227" s="242"/>
      <c r="K227" s="242"/>
      <c r="L227" s="242"/>
      <c r="M227" s="242"/>
      <c r="N227" s="242"/>
      <c r="O227" s="242"/>
      <c r="P227" s="242"/>
      <c r="Q227" s="242"/>
    </row>
    <row r="228" spans="1:17" x14ac:dyDescent="0.25">
      <c r="A228" s="537" t="s">
        <v>46</v>
      </c>
      <c r="B228" s="537"/>
      <c r="C228" s="537"/>
      <c r="D228" s="537"/>
      <c r="E228" s="537"/>
      <c r="F228" s="537"/>
      <c r="G228" s="537"/>
      <c r="H228" s="537"/>
      <c r="I228" s="537"/>
      <c r="J228" s="537"/>
      <c r="K228" s="537"/>
      <c r="L228" s="242"/>
      <c r="M228" s="242"/>
      <c r="N228" s="242"/>
      <c r="O228" s="242"/>
      <c r="P228" s="242"/>
      <c r="Q228" s="242"/>
    </row>
    <row r="229" spans="1:17" x14ac:dyDescent="0.25">
      <c r="A229" s="539" t="s">
        <v>0</v>
      </c>
      <c r="B229" s="541" t="s">
        <v>7</v>
      </c>
      <c r="C229" s="542"/>
      <c r="D229" s="543"/>
      <c r="E229" s="541" t="s">
        <v>5</v>
      </c>
      <c r="F229" s="542"/>
      <c r="G229" s="543"/>
      <c r="H229" s="541" t="s">
        <v>4</v>
      </c>
      <c r="I229" s="543"/>
      <c r="J229" s="541" t="s">
        <v>6</v>
      </c>
      <c r="K229" s="543"/>
      <c r="L229" s="242"/>
      <c r="M229" s="242"/>
      <c r="N229" s="242"/>
      <c r="O229" s="242"/>
      <c r="P229" s="242"/>
      <c r="Q229" s="242"/>
    </row>
    <row r="230" spans="1:17" x14ac:dyDescent="0.25">
      <c r="A230" s="540"/>
      <c r="B230" s="231" t="s">
        <v>8</v>
      </c>
      <c r="C230" s="231" t="s">
        <v>14</v>
      </c>
      <c r="D230" s="231" t="s">
        <v>13</v>
      </c>
      <c r="E230" s="231" t="s">
        <v>8</v>
      </c>
      <c r="F230" s="231" t="s">
        <v>14</v>
      </c>
      <c r="G230" s="231" t="s">
        <v>10</v>
      </c>
      <c r="H230" s="231" t="s">
        <v>8</v>
      </c>
      <c r="I230" s="231" t="s">
        <v>13</v>
      </c>
      <c r="J230" s="231" t="s">
        <v>8</v>
      </c>
      <c r="K230" s="231" t="s">
        <v>13</v>
      </c>
      <c r="L230" s="242"/>
      <c r="M230" s="242"/>
      <c r="N230" s="242"/>
      <c r="O230" s="242"/>
      <c r="P230" s="242"/>
      <c r="Q230" s="242"/>
    </row>
    <row r="231" spans="1:17" x14ac:dyDescent="0.25">
      <c r="A231" s="232"/>
      <c r="B231" s="233"/>
      <c r="C231" s="233"/>
      <c r="D231" s="233"/>
      <c r="E231" s="233"/>
      <c r="F231" s="233"/>
      <c r="G231" s="233"/>
      <c r="H231" s="233"/>
      <c r="I231" s="233"/>
      <c r="J231" s="233"/>
      <c r="K231" s="233"/>
      <c r="L231" s="242"/>
      <c r="M231" s="242"/>
      <c r="N231" s="242"/>
      <c r="O231" s="242"/>
      <c r="P231" s="242"/>
      <c r="Q231" s="242"/>
    </row>
    <row r="232" spans="1:17" x14ac:dyDescent="0.25">
      <c r="A232" s="243" t="s">
        <v>52</v>
      </c>
      <c r="B232" s="244">
        <f>'Soda Ash K. B'!B24</f>
        <v>0</v>
      </c>
      <c r="C232" s="244">
        <f>'Soda Ash K. B'!C24</f>
        <v>0</v>
      </c>
      <c r="D232" s="244">
        <f>'Soda Ash K. B'!D24</f>
        <v>0</v>
      </c>
      <c r="E232" s="244">
        <f>'Soda Ash K. B'!E24</f>
        <v>0</v>
      </c>
      <c r="F232" s="244">
        <f>'Soda Ash K. B'!F24</f>
        <v>0</v>
      </c>
      <c r="G232" s="244">
        <f>'Soda Ash K. B'!G24</f>
        <v>0</v>
      </c>
      <c r="H232" s="244">
        <f>'Soda Ash K. B'!H24</f>
        <v>0</v>
      </c>
      <c r="I232" s="244">
        <f>'Soda Ash K. B'!I24</f>
        <v>0</v>
      </c>
      <c r="J232" s="244">
        <f>'Soda Ash K. B'!J24</f>
        <v>0</v>
      </c>
      <c r="K232" s="244">
        <f>'Soda Ash K. B'!K24</f>
        <v>0</v>
      </c>
      <c r="L232" s="242"/>
      <c r="M232" s="242"/>
      <c r="N232" s="242"/>
      <c r="O232" s="242"/>
      <c r="P232" s="242"/>
      <c r="Q232" s="242"/>
    </row>
    <row r="233" spans="1:17" x14ac:dyDescent="0.25">
      <c r="A233" s="247"/>
      <c r="B233" s="346">
        <f>'Soda Ash K. B'!B23</f>
        <v>0</v>
      </c>
      <c r="C233" s="346">
        <f>'Soda Ash K. B'!C23</f>
        <v>0</v>
      </c>
      <c r="D233" s="346">
        <f>'Soda Ash K. B'!D23</f>
        <v>0</v>
      </c>
      <c r="E233" s="346">
        <f>'Soda Ash K. B'!E23</f>
        <v>0</v>
      </c>
      <c r="F233" s="346">
        <f>'Soda Ash K. B'!F23</f>
        <v>0</v>
      </c>
      <c r="G233" s="346">
        <f>'Soda Ash K. B'!G23</f>
        <v>0</v>
      </c>
      <c r="H233" s="346">
        <f>'Soda Ash K. B'!H23</f>
        <v>0</v>
      </c>
      <c r="I233" s="346">
        <f>'Soda Ash K. B'!I23</f>
        <v>0</v>
      </c>
      <c r="J233" s="346">
        <f>'Soda Ash K. B'!J23</f>
        <v>0</v>
      </c>
      <c r="K233" s="346">
        <f>'Soda Ash K. B'!K23</f>
        <v>0</v>
      </c>
      <c r="L233" s="242"/>
      <c r="M233" s="242"/>
      <c r="N233" s="242"/>
      <c r="O233" s="242"/>
      <c r="P233" s="242"/>
      <c r="Q233" s="242"/>
    </row>
    <row r="234" spans="1:17" x14ac:dyDescent="0.25">
      <c r="A234" s="242"/>
      <c r="B234" s="242"/>
      <c r="C234" s="242"/>
      <c r="D234" s="242"/>
      <c r="E234" s="242"/>
      <c r="F234" s="242"/>
      <c r="G234" s="242"/>
      <c r="H234" s="242"/>
      <c r="I234" s="242"/>
      <c r="J234" s="242"/>
      <c r="K234" s="242"/>
      <c r="L234" s="242"/>
      <c r="M234" s="242"/>
      <c r="N234" s="242"/>
      <c r="O234" s="242"/>
      <c r="P234" s="242"/>
      <c r="Q234" s="242"/>
    </row>
    <row r="235" spans="1:17" x14ac:dyDescent="0.25">
      <c r="A235" s="242"/>
      <c r="B235" s="242"/>
      <c r="C235" s="242"/>
      <c r="D235" s="242"/>
      <c r="E235" s="242"/>
      <c r="F235" s="242"/>
      <c r="G235" s="242"/>
      <c r="H235" s="242"/>
      <c r="I235" s="242"/>
      <c r="J235" s="242"/>
      <c r="K235" s="242"/>
      <c r="L235" s="242"/>
      <c r="M235" s="242"/>
      <c r="N235" s="242"/>
      <c r="O235" s="242"/>
      <c r="P235" s="242"/>
      <c r="Q235" s="242"/>
    </row>
    <row r="236" spans="1:17" x14ac:dyDescent="0.25">
      <c r="A236" s="537" t="s">
        <v>47</v>
      </c>
      <c r="B236" s="537"/>
      <c r="C236" s="537"/>
      <c r="D236" s="537"/>
      <c r="E236" s="537"/>
      <c r="F236" s="537"/>
      <c r="G236" s="537"/>
      <c r="H236" s="537"/>
      <c r="I236" s="537"/>
      <c r="J236" s="537"/>
      <c r="K236" s="537"/>
      <c r="L236" s="242"/>
      <c r="M236" s="242"/>
      <c r="N236" s="242"/>
      <c r="O236" s="242"/>
      <c r="P236" s="242"/>
      <c r="Q236" s="242"/>
    </row>
    <row r="237" spans="1:17" x14ac:dyDescent="0.25">
      <c r="A237" s="539" t="s">
        <v>0</v>
      </c>
      <c r="B237" s="541" t="s">
        <v>7</v>
      </c>
      <c r="C237" s="542"/>
      <c r="D237" s="543"/>
      <c r="E237" s="541" t="s">
        <v>5</v>
      </c>
      <c r="F237" s="542"/>
      <c r="G237" s="543"/>
      <c r="H237" s="541" t="s">
        <v>4</v>
      </c>
      <c r="I237" s="543"/>
      <c r="J237" s="541" t="s">
        <v>6</v>
      </c>
      <c r="K237" s="543"/>
      <c r="L237" s="242"/>
      <c r="M237" s="242"/>
      <c r="N237" s="242"/>
      <c r="O237" s="242"/>
      <c r="P237" s="242"/>
      <c r="Q237" s="242"/>
    </row>
    <row r="238" spans="1:17" x14ac:dyDescent="0.25">
      <c r="A238" s="540"/>
      <c r="B238" s="231" t="s">
        <v>8</v>
      </c>
      <c r="C238" s="231" t="s">
        <v>14</v>
      </c>
      <c r="D238" s="231" t="s">
        <v>13</v>
      </c>
      <c r="E238" s="231" t="s">
        <v>8</v>
      </c>
      <c r="F238" s="231" t="s">
        <v>14</v>
      </c>
      <c r="G238" s="231" t="s">
        <v>10</v>
      </c>
      <c r="H238" s="231" t="s">
        <v>8</v>
      </c>
      <c r="I238" s="231" t="s">
        <v>13</v>
      </c>
      <c r="J238" s="231" t="s">
        <v>8</v>
      </c>
      <c r="K238" s="231" t="s">
        <v>13</v>
      </c>
      <c r="L238" s="242"/>
      <c r="M238" s="242"/>
      <c r="N238" s="242"/>
      <c r="O238" s="242"/>
      <c r="P238" s="242"/>
      <c r="Q238" s="242"/>
    </row>
    <row r="239" spans="1:17" x14ac:dyDescent="0.25">
      <c r="A239" s="232"/>
      <c r="B239" s="233"/>
      <c r="C239" s="267"/>
      <c r="D239" s="233"/>
      <c r="E239" s="233"/>
      <c r="F239" s="233"/>
      <c r="G239" s="233"/>
      <c r="H239" s="233"/>
      <c r="I239" s="233"/>
      <c r="J239" s="233"/>
      <c r="K239" s="233"/>
      <c r="L239" s="242"/>
      <c r="M239" s="242"/>
      <c r="N239" s="242"/>
      <c r="O239" s="242"/>
      <c r="P239" s="242"/>
      <c r="Q239" s="242"/>
    </row>
    <row r="240" spans="1:17" x14ac:dyDescent="0.25">
      <c r="A240" s="243" t="s">
        <v>52</v>
      </c>
      <c r="B240" s="244">
        <f>'Soda Ash Hanau'!B19</f>
        <v>0</v>
      </c>
      <c r="C240" s="244">
        <f>'Soda Ash Hanau'!C19</f>
        <v>0</v>
      </c>
      <c r="D240" s="244">
        <f>'Soda Ash Hanau'!D19</f>
        <v>0</v>
      </c>
      <c r="E240" s="244">
        <f>'Soda Ash Hanau'!E19</f>
        <v>0</v>
      </c>
      <c r="F240" s="244">
        <f>'Soda Ash Hanau'!F19</f>
        <v>0</v>
      </c>
      <c r="G240" s="244">
        <f>'Soda Ash Hanau'!G19</f>
        <v>0</v>
      </c>
      <c r="H240" s="244">
        <f>'Soda Ash Hanau'!H19</f>
        <v>0</v>
      </c>
      <c r="I240" s="244">
        <f>'Soda Ash Hanau'!I19</f>
        <v>0</v>
      </c>
      <c r="J240" s="244">
        <f>'Soda Ash Hanau'!J19</f>
        <v>0</v>
      </c>
      <c r="K240" s="244">
        <f>'Soda Ash Hanau'!K19</f>
        <v>0</v>
      </c>
      <c r="L240" s="242"/>
      <c r="M240" s="242"/>
      <c r="N240" s="242"/>
      <c r="O240" s="242"/>
      <c r="P240" s="242"/>
      <c r="Q240" s="242"/>
    </row>
    <row r="241" spans="1:16384" x14ac:dyDescent="0.25">
      <c r="A241" s="243"/>
      <c r="B241" s="244"/>
      <c r="C241" s="244"/>
      <c r="D241" s="244"/>
      <c r="E241" s="244"/>
      <c r="F241" s="244"/>
      <c r="G241" s="244"/>
      <c r="H241" s="244"/>
      <c r="I241" s="244"/>
      <c r="J241" s="244"/>
      <c r="K241" s="244"/>
      <c r="L241" s="242"/>
      <c r="M241" s="242"/>
      <c r="N241" s="242"/>
      <c r="O241" s="242"/>
      <c r="P241" s="242"/>
      <c r="Q241" s="242"/>
    </row>
    <row r="242" spans="1:16384" ht="15.75" customHeight="1" x14ac:dyDescent="0.25">
      <c r="A242" s="247"/>
      <c r="B242" s="346"/>
      <c r="C242" s="346"/>
      <c r="D242" s="346"/>
      <c r="E242" s="346"/>
      <c r="F242" s="346"/>
      <c r="G242" s="346"/>
      <c r="H242" s="346"/>
      <c r="I242" s="346"/>
      <c r="J242" s="346"/>
      <c r="K242" s="346"/>
      <c r="L242" s="242"/>
      <c r="M242" s="242"/>
      <c r="N242" s="242"/>
      <c r="O242" s="242"/>
      <c r="P242" s="242"/>
      <c r="Q242" s="242"/>
    </row>
    <row r="246" spans="1:16384" ht="21" x14ac:dyDescent="0.35">
      <c r="A246" s="278" t="s">
        <v>103</v>
      </c>
      <c r="B246" s="297"/>
      <c r="C246" s="297"/>
      <c r="D246" s="297"/>
      <c r="E246" s="297"/>
      <c r="F246" s="297"/>
      <c r="G246" s="297"/>
      <c r="H246" s="297"/>
      <c r="I246" s="297"/>
      <c r="J246" s="297"/>
      <c r="K246" s="297"/>
      <c r="L246" s="297"/>
      <c r="M246" s="297"/>
      <c r="N246" s="297"/>
      <c r="O246" s="297"/>
      <c r="P246" s="297"/>
      <c r="Q246" s="297"/>
    </row>
    <row r="247" spans="1:16384" x14ac:dyDescent="0.25">
      <c r="A247" s="297"/>
      <c r="B247" s="297"/>
      <c r="C247" s="297"/>
      <c r="D247" s="297"/>
      <c r="E247" s="297"/>
      <c r="F247" s="297"/>
      <c r="G247" s="297"/>
      <c r="H247" s="297"/>
      <c r="I247" s="297"/>
      <c r="J247" s="297"/>
      <c r="K247" s="297"/>
      <c r="L247" s="297"/>
      <c r="M247" s="297"/>
      <c r="N247" s="297"/>
      <c r="O247" s="297"/>
      <c r="P247" s="297"/>
      <c r="Q247" s="297"/>
    </row>
    <row r="248" spans="1:16384" x14ac:dyDescent="0.25">
      <c r="A248" s="297"/>
      <c r="B248" s="297"/>
      <c r="C248" s="297"/>
      <c r="D248" s="297"/>
      <c r="E248" s="297"/>
      <c r="F248" s="297"/>
      <c r="G248" s="297"/>
      <c r="H248" s="297"/>
      <c r="I248" s="297"/>
      <c r="J248" s="297"/>
      <c r="K248" s="297"/>
      <c r="L248" s="297"/>
      <c r="M248" s="297"/>
      <c r="N248" s="297"/>
      <c r="O248" s="297"/>
      <c r="P248" s="297"/>
      <c r="Q248" s="297"/>
    </row>
    <row r="249" spans="1:16384" x14ac:dyDescent="0.25">
      <c r="A249" s="544" t="s">
        <v>45</v>
      </c>
      <c r="B249" s="544"/>
      <c r="C249" s="544"/>
      <c r="D249" s="544"/>
      <c r="E249" s="544"/>
      <c r="F249" s="544"/>
      <c r="G249" s="544"/>
      <c r="H249" s="544"/>
      <c r="I249" s="544"/>
      <c r="J249" s="544"/>
      <c r="K249" s="544"/>
      <c r="L249" s="544"/>
      <c r="M249" s="544"/>
      <c r="N249" s="544"/>
      <c r="O249" s="544"/>
      <c r="P249" s="544"/>
      <c r="Q249" s="544"/>
      <c r="R249" s="5">
        <f t="shared" ref="R249:CC249" si="0">SUM(R246:R246)</f>
        <v>0</v>
      </c>
      <c r="S249" s="5">
        <f t="shared" si="0"/>
        <v>0</v>
      </c>
      <c r="T249" s="5">
        <f t="shared" si="0"/>
        <v>0</v>
      </c>
      <c r="U249" s="5">
        <f t="shared" si="0"/>
        <v>0</v>
      </c>
      <c r="V249" s="5">
        <f t="shared" si="0"/>
        <v>0</v>
      </c>
      <c r="W249" s="5">
        <f t="shared" si="0"/>
        <v>0</v>
      </c>
      <c r="X249" s="5">
        <f t="shared" si="0"/>
        <v>0</v>
      </c>
      <c r="Y249" s="5">
        <f t="shared" si="0"/>
        <v>0</v>
      </c>
      <c r="Z249" s="5">
        <f t="shared" si="0"/>
        <v>0</v>
      </c>
      <c r="AA249" s="5">
        <f t="shared" si="0"/>
        <v>0</v>
      </c>
      <c r="AB249" s="5">
        <f t="shared" si="0"/>
        <v>0</v>
      </c>
      <c r="AC249" s="5">
        <f t="shared" si="0"/>
        <v>0</v>
      </c>
      <c r="AD249" s="5">
        <f t="shared" si="0"/>
        <v>0</v>
      </c>
      <c r="AE249" s="5">
        <f t="shared" si="0"/>
        <v>0</v>
      </c>
      <c r="AF249" s="5">
        <f t="shared" si="0"/>
        <v>0</v>
      </c>
      <c r="AG249" s="5">
        <f t="shared" si="0"/>
        <v>0</v>
      </c>
      <c r="AH249" s="5">
        <f t="shared" si="0"/>
        <v>0</v>
      </c>
      <c r="AI249" s="5">
        <f t="shared" si="0"/>
        <v>0</v>
      </c>
      <c r="AJ249" s="5">
        <f t="shared" si="0"/>
        <v>0</v>
      </c>
      <c r="AK249" s="5">
        <f t="shared" si="0"/>
        <v>0</v>
      </c>
      <c r="AL249" s="5">
        <f t="shared" si="0"/>
        <v>0</v>
      </c>
      <c r="AM249" s="5">
        <f t="shared" si="0"/>
        <v>0</v>
      </c>
      <c r="AN249" s="5">
        <f t="shared" si="0"/>
        <v>0</v>
      </c>
      <c r="AO249" s="5">
        <f t="shared" si="0"/>
        <v>0</v>
      </c>
      <c r="AP249" s="5">
        <f t="shared" si="0"/>
        <v>0</v>
      </c>
      <c r="AQ249" s="5">
        <f t="shared" si="0"/>
        <v>0</v>
      </c>
      <c r="AR249" s="5">
        <f t="shared" si="0"/>
        <v>0</v>
      </c>
      <c r="AS249" s="5">
        <f t="shared" si="0"/>
        <v>0</v>
      </c>
      <c r="AT249" s="5">
        <f t="shared" si="0"/>
        <v>0</v>
      </c>
      <c r="AU249" s="5">
        <f t="shared" si="0"/>
        <v>0</v>
      </c>
      <c r="AV249" s="5">
        <f t="shared" si="0"/>
        <v>0</v>
      </c>
      <c r="AW249" s="5">
        <f t="shared" si="0"/>
        <v>0</v>
      </c>
      <c r="AX249" s="5">
        <f t="shared" si="0"/>
        <v>0</v>
      </c>
      <c r="AY249" s="5">
        <f t="shared" si="0"/>
        <v>0</v>
      </c>
      <c r="AZ249" s="5">
        <f t="shared" si="0"/>
        <v>0</v>
      </c>
      <c r="BA249" s="5">
        <f t="shared" si="0"/>
        <v>0</v>
      </c>
      <c r="BB249" s="5">
        <f t="shared" si="0"/>
        <v>0</v>
      </c>
      <c r="BC249" s="5">
        <f t="shared" si="0"/>
        <v>0</v>
      </c>
      <c r="BD249" s="5">
        <f t="shared" si="0"/>
        <v>0</v>
      </c>
      <c r="BE249" s="5">
        <f t="shared" si="0"/>
        <v>0</v>
      </c>
      <c r="BF249" s="5">
        <f t="shared" si="0"/>
        <v>0</v>
      </c>
      <c r="BG249" s="5">
        <f t="shared" si="0"/>
        <v>0</v>
      </c>
      <c r="BH249" s="5">
        <f t="shared" si="0"/>
        <v>0</v>
      </c>
      <c r="BI249" s="5">
        <f t="shared" si="0"/>
        <v>0</v>
      </c>
      <c r="BJ249" s="5">
        <f t="shared" si="0"/>
        <v>0</v>
      </c>
      <c r="BK249" s="5">
        <f t="shared" si="0"/>
        <v>0</v>
      </c>
      <c r="BL249" s="5">
        <f t="shared" si="0"/>
        <v>0</v>
      </c>
      <c r="BM249" s="5">
        <f t="shared" si="0"/>
        <v>0</v>
      </c>
      <c r="BN249" s="5">
        <f t="shared" si="0"/>
        <v>0</v>
      </c>
      <c r="BO249" s="5">
        <f t="shared" si="0"/>
        <v>0</v>
      </c>
      <c r="BP249" s="5">
        <f t="shared" si="0"/>
        <v>0</v>
      </c>
      <c r="BQ249" s="5">
        <f t="shared" si="0"/>
        <v>0</v>
      </c>
      <c r="BR249" s="5">
        <f t="shared" si="0"/>
        <v>0</v>
      </c>
      <c r="BS249" s="5">
        <f t="shared" si="0"/>
        <v>0</v>
      </c>
      <c r="BT249" s="5">
        <f t="shared" si="0"/>
        <v>0</v>
      </c>
      <c r="BU249" s="5">
        <f t="shared" si="0"/>
        <v>0</v>
      </c>
      <c r="BV249" s="5">
        <f t="shared" si="0"/>
        <v>0</v>
      </c>
      <c r="BW249" s="5">
        <f t="shared" si="0"/>
        <v>0</v>
      </c>
      <c r="BX249" s="5">
        <f t="shared" si="0"/>
        <v>0</v>
      </c>
      <c r="BY249" s="5">
        <f t="shared" si="0"/>
        <v>0</v>
      </c>
      <c r="BZ249" s="5">
        <f t="shared" si="0"/>
        <v>0</v>
      </c>
      <c r="CA249" s="5">
        <f t="shared" si="0"/>
        <v>0</v>
      </c>
      <c r="CB249" s="5">
        <f t="shared" si="0"/>
        <v>0</v>
      </c>
      <c r="CC249" s="5">
        <f t="shared" si="0"/>
        <v>0</v>
      </c>
      <c r="CD249" s="5">
        <f t="shared" ref="CD249:EO249" si="1">SUM(CD246:CD246)</f>
        <v>0</v>
      </c>
      <c r="CE249" s="5">
        <f t="shared" si="1"/>
        <v>0</v>
      </c>
      <c r="CF249" s="5">
        <f t="shared" si="1"/>
        <v>0</v>
      </c>
      <c r="CG249" s="5">
        <f t="shared" si="1"/>
        <v>0</v>
      </c>
      <c r="CH249" s="5">
        <f t="shared" si="1"/>
        <v>0</v>
      </c>
      <c r="CI249" s="5">
        <f t="shared" si="1"/>
        <v>0</v>
      </c>
      <c r="CJ249" s="5">
        <f t="shared" si="1"/>
        <v>0</v>
      </c>
      <c r="CK249" s="5">
        <f t="shared" si="1"/>
        <v>0</v>
      </c>
      <c r="CL249" s="5">
        <f t="shared" si="1"/>
        <v>0</v>
      </c>
      <c r="CM249" s="5">
        <f t="shared" si="1"/>
        <v>0</v>
      </c>
      <c r="CN249" s="5">
        <f t="shared" si="1"/>
        <v>0</v>
      </c>
      <c r="CO249" s="5">
        <f t="shared" si="1"/>
        <v>0</v>
      </c>
      <c r="CP249" s="5">
        <f t="shared" si="1"/>
        <v>0</v>
      </c>
      <c r="CQ249" s="5">
        <f t="shared" si="1"/>
        <v>0</v>
      </c>
      <c r="CR249" s="5">
        <f t="shared" si="1"/>
        <v>0</v>
      </c>
      <c r="CS249" s="5">
        <f t="shared" si="1"/>
        <v>0</v>
      </c>
      <c r="CT249" s="5">
        <f t="shared" si="1"/>
        <v>0</v>
      </c>
      <c r="CU249" s="5">
        <f t="shared" si="1"/>
        <v>0</v>
      </c>
      <c r="CV249" s="5">
        <f t="shared" si="1"/>
        <v>0</v>
      </c>
      <c r="CW249" s="5">
        <f t="shared" si="1"/>
        <v>0</v>
      </c>
      <c r="CX249" s="5">
        <f t="shared" si="1"/>
        <v>0</v>
      </c>
      <c r="CY249" s="5">
        <f t="shared" si="1"/>
        <v>0</v>
      </c>
      <c r="CZ249" s="5">
        <f t="shared" si="1"/>
        <v>0</v>
      </c>
      <c r="DA249" s="5">
        <f t="shared" si="1"/>
        <v>0</v>
      </c>
      <c r="DB249" s="5">
        <f t="shared" si="1"/>
        <v>0</v>
      </c>
      <c r="DC249" s="5">
        <f t="shared" si="1"/>
        <v>0</v>
      </c>
      <c r="DD249" s="5">
        <f t="shared" si="1"/>
        <v>0</v>
      </c>
      <c r="DE249" s="5">
        <f t="shared" si="1"/>
        <v>0</v>
      </c>
      <c r="DF249" s="5">
        <f t="shared" si="1"/>
        <v>0</v>
      </c>
      <c r="DG249" s="5">
        <f t="shared" si="1"/>
        <v>0</v>
      </c>
      <c r="DH249" s="5">
        <f t="shared" si="1"/>
        <v>0</v>
      </c>
      <c r="DI249" s="5">
        <f t="shared" si="1"/>
        <v>0</v>
      </c>
      <c r="DJ249" s="5">
        <f t="shared" si="1"/>
        <v>0</v>
      </c>
      <c r="DK249" s="5">
        <f t="shared" si="1"/>
        <v>0</v>
      </c>
      <c r="DL249" s="5">
        <f t="shared" si="1"/>
        <v>0</v>
      </c>
      <c r="DM249" s="5">
        <f t="shared" si="1"/>
        <v>0</v>
      </c>
      <c r="DN249" s="5">
        <f t="shared" si="1"/>
        <v>0</v>
      </c>
      <c r="DO249" s="5">
        <f t="shared" si="1"/>
        <v>0</v>
      </c>
      <c r="DP249" s="5">
        <f t="shared" si="1"/>
        <v>0</v>
      </c>
      <c r="DQ249" s="5">
        <f t="shared" si="1"/>
        <v>0</v>
      </c>
      <c r="DR249" s="5">
        <f t="shared" si="1"/>
        <v>0</v>
      </c>
      <c r="DS249" s="5">
        <f t="shared" si="1"/>
        <v>0</v>
      </c>
      <c r="DT249" s="5">
        <f t="shared" si="1"/>
        <v>0</v>
      </c>
      <c r="DU249" s="5">
        <f t="shared" si="1"/>
        <v>0</v>
      </c>
      <c r="DV249" s="5">
        <f t="shared" si="1"/>
        <v>0</v>
      </c>
      <c r="DW249" s="5">
        <f t="shared" si="1"/>
        <v>0</v>
      </c>
      <c r="DX249" s="5">
        <f t="shared" si="1"/>
        <v>0</v>
      </c>
      <c r="DY249" s="5">
        <f t="shared" si="1"/>
        <v>0</v>
      </c>
      <c r="DZ249" s="5">
        <f t="shared" si="1"/>
        <v>0</v>
      </c>
      <c r="EA249" s="5">
        <f t="shared" si="1"/>
        <v>0</v>
      </c>
      <c r="EB249" s="5">
        <f t="shared" si="1"/>
        <v>0</v>
      </c>
      <c r="EC249" s="5">
        <f t="shared" si="1"/>
        <v>0</v>
      </c>
      <c r="ED249" s="5">
        <f t="shared" si="1"/>
        <v>0</v>
      </c>
      <c r="EE249" s="5">
        <f t="shared" si="1"/>
        <v>0</v>
      </c>
      <c r="EF249" s="5">
        <f t="shared" si="1"/>
        <v>0</v>
      </c>
      <c r="EG249" s="5">
        <f t="shared" si="1"/>
        <v>0</v>
      </c>
      <c r="EH249" s="5">
        <f t="shared" si="1"/>
        <v>0</v>
      </c>
      <c r="EI249" s="5">
        <f t="shared" si="1"/>
        <v>0</v>
      </c>
      <c r="EJ249" s="5">
        <f t="shared" si="1"/>
        <v>0</v>
      </c>
      <c r="EK249" s="5">
        <f t="shared" si="1"/>
        <v>0</v>
      </c>
      <c r="EL249" s="5">
        <f t="shared" si="1"/>
        <v>0</v>
      </c>
      <c r="EM249" s="5">
        <f t="shared" si="1"/>
        <v>0</v>
      </c>
      <c r="EN249" s="5">
        <f t="shared" si="1"/>
        <v>0</v>
      </c>
      <c r="EO249" s="5">
        <f t="shared" si="1"/>
        <v>0</v>
      </c>
      <c r="EP249" s="5">
        <f t="shared" ref="EP249:HA249" si="2">SUM(EP246:EP246)</f>
        <v>0</v>
      </c>
      <c r="EQ249" s="5">
        <f t="shared" si="2"/>
        <v>0</v>
      </c>
      <c r="ER249" s="5">
        <f t="shared" si="2"/>
        <v>0</v>
      </c>
      <c r="ES249" s="5">
        <f t="shared" si="2"/>
        <v>0</v>
      </c>
      <c r="ET249" s="5">
        <f t="shared" si="2"/>
        <v>0</v>
      </c>
      <c r="EU249" s="5">
        <f t="shared" si="2"/>
        <v>0</v>
      </c>
      <c r="EV249" s="5">
        <f t="shared" si="2"/>
        <v>0</v>
      </c>
      <c r="EW249" s="5">
        <f t="shared" si="2"/>
        <v>0</v>
      </c>
      <c r="EX249" s="5">
        <f t="shared" si="2"/>
        <v>0</v>
      </c>
      <c r="EY249" s="5">
        <f t="shared" si="2"/>
        <v>0</v>
      </c>
      <c r="EZ249" s="5">
        <f t="shared" si="2"/>
        <v>0</v>
      </c>
      <c r="FA249" s="5">
        <f t="shared" si="2"/>
        <v>0</v>
      </c>
      <c r="FB249" s="5">
        <f t="shared" si="2"/>
        <v>0</v>
      </c>
      <c r="FC249" s="5">
        <f t="shared" si="2"/>
        <v>0</v>
      </c>
      <c r="FD249" s="5">
        <f t="shared" si="2"/>
        <v>0</v>
      </c>
      <c r="FE249" s="5">
        <f t="shared" si="2"/>
        <v>0</v>
      </c>
      <c r="FF249" s="5">
        <f t="shared" si="2"/>
        <v>0</v>
      </c>
      <c r="FG249" s="5">
        <f t="shared" si="2"/>
        <v>0</v>
      </c>
      <c r="FH249" s="5">
        <f t="shared" si="2"/>
        <v>0</v>
      </c>
      <c r="FI249" s="5">
        <f t="shared" si="2"/>
        <v>0</v>
      </c>
      <c r="FJ249" s="5">
        <f t="shared" si="2"/>
        <v>0</v>
      </c>
      <c r="FK249" s="5">
        <f t="shared" si="2"/>
        <v>0</v>
      </c>
      <c r="FL249" s="5">
        <f t="shared" si="2"/>
        <v>0</v>
      </c>
      <c r="FM249" s="5">
        <f t="shared" si="2"/>
        <v>0</v>
      </c>
      <c r="FN249" s="5">
        <f t="shared" si="2"/>
        <v>0</v>
      </c>
      <c r="FO249" s="5">
        <f t="shared" si="2"/>
        <v>0</v>
      </c>
      <c r="FP249" s="5">
        <f t="shared" si="2"/>
        <v>0</v>
      </c>
      <c r="FQ249" s="5">
        <f t="shared" si="2"/>
        <v>0</v>
      </c>
      <c r="FR249" s="5">
        <f t="shared" si="2"/>
        <v>0</v>
      </c>
      <c r="FS249" s="5">
        <f t="shared" si="2"/>
        <v>0</v>
      </c>
      <c r="FT249" s="5">
        <f t="shared" si="2"/>
        <v>0</v>
      </c>
      <c r="FU249" s="5">
        <f t="shared" si="2"/>
        <v>0</v>
      </c>
      <c r="FV249" s="5">
        <f t="shared" si="2"/>
        <v>0</v>
      </c>
      <c r="FW249" s="5">
        <f t="shared" si="2"/>
        <v>0</v>
      </c>
      <c r="FX249" s="5">
        <f t="shared" si="2"/>
        <v>0</v>
      </c>
      <c r="FY249" s="5">
        <f t="shared" si="2"/>
        <v>0</v>
      </c>
      <c r="FZ249" s="5">
        <f t="shared" si="2"/>
        <v>0</v>
      </c>
      <c r="GA249" s="5">
        <f t="shared" si="2"/>
        <v>0</v>
      </c>
      <c r="GB249" s="5">
        <f t="shared" si="2"/>
        <v>0</v>
      </c>
      <c r="GC249" s="5">
        <f t="shared" si="2"/>
        <v>0</v>
      </c>
      <c r="GD249" s="5">
        <f t="shared" si="2"/>
        <v>0</v>
      </c>
      <c r="GE249" s="5">
        <f t="shared" si="2"/>
        <v>0</v>
      </c>
      <c r="GF249" s="5">
        <f t="shared" si="2"/>
        <v>0</v>
      </c>
      <c r="GG249" s="5">
        <f t="shared" si="2"/>
        <v>0</v>
      </c>
      <c r="GH249" s="5">
        <f t="shared" si="2"/>
        <v>0</v>
      </c>
      <c r="GI249" s="5">
        <f t="shared" si="2"/>
        <v>0</v>
      </c>
      <c r="GJ249" s="5">
        <f t="shared" si="2"/>
        <v>0</v>
      </c>
      <c r="GK249" s="5">
        <f t="shared" si="2"/>
        <v>0</v>
      </c>
      <c r="GL249" s="5">
        <f t="shared" si="2"/>
        <v>0</v>
      </c>
      <c r="GM249" s="5">
        <f t="shared" si="2"/>
        <v>0</v>
      </c>
      <c r="GN249" s="5">
        <f t="shared" si="2"/>
        <v>0</v>
      </c>
      <c r="GO249" s="5">
        <f t="shared" si="2"/>
        <v>0</v>
      </c>
      <c r="GP249" s="5">
        <f t="shared" si="2"/>
        <v>0</v>
      </c>
      <c r="GQ249" s="5">
        <f t="shared" si="2"/>
        <v>0</v>
      </c>
      <c r="GR249" s="5">
        <f t="shared" si="2"/>
        <v>0</v>
      </c>
      <c r="GS249" s="5">
        <f t="shared" si="2"/>
        <v>0</v>
      </c>
      <c r="GT249" s="5">
        <f t="shared" si="2"/>
        <v>0</v>
      </c>
      <c r="GU249" s="5">
        <f t="shared" si="2"/>
        <v>0</v>
      </c>
      <c r="GV249" s="5">
        <f t="shared" si="2"/>
        <v>0</v>
      </c>
      <c r="GW249" s="5">
        <f t="shared" si="2"/>
        <v>0</v>
      </c>
      <c r="GX249" s="5">
        <f t="shared" si="2"/>
        <v>0</v>
      </c>
      <c r="GY249" s="5">
        <f t="shared" si="2"/>
        <v>0</v>
      </c>
      <c r="GZ249" s="5">
        <f t="shared" si="2"/>
        <v>0</v>
      </c>
      <c r="HA249" s="5">
        <f t="shared" si="2"/>
        <v>0</v>
      </c>
      <c r="HB249" s="5">
        <f t="shared" ref="HB249:JM249" si="3">SUM(HB246:HB246)</f>
        <v>0</v>
      </c>
      <c r="HC249" s="5">
        <f t="shared" si="3"/>
        <v>0</v>
      </c>
      <c r="HD249" s="5">
        <f t="shared" si="3"/>
        <v>0</v>
      </c>
      <c r="HE249" s="5">
        <f t="shared" si="3"/>
        <v>0</v>
      </c>
      <c r="HF249" s="5">
        <f t="shared" si="3"/>
        <v>0</v>
      </c>
      <c r="HG249" s="5">
        <f t="shared" si="3"/>
        <v>0</v>
      </c>
      <c r="HH249" s="5">
        <f t="shared" si="3"/>
        <v>0</v>
      </c>
      <c r="HI249" s="5">
        <f t="shared" si="3"/>
        <v>0</v>
      </c>
      <c r="HJ249" s="5">
        <f t="shared" si="3"/>
        <v>0</v>
      </c>
      <c r="HK249" s="5">
        <f t="shared" si="3"/>
        <v>0</v>
      </c>
      <c r="HL249" s="5">
        <f t="shared" si="3"/>
        <v>0</v>
      </c>
      <c r="HM249" s="5">
        <f t="shared" si="3"/>
        <v>0</v>
      </c>
      <c r="HN249" s="5">
        <f t="shared" si="3"/>
        <v>0</v>
      </c>
      <c r="HO249" s="5">
        <f t="shared" si="3"/>
        <v>0</v>
      </c>
      <c r="HP249" s="5">
        <f t="shared" si="3"/>
        <v>0</v>
      </c>
      <c r="HQ249" s="5">
        <f t="shared" si="3"/>
        <v>0</v>
      </c>
      <c r="HR249" s="5">
        <f t="shared" si="3"/>
        <v>0</v>
      </c>
      <c r="HS249" s="5">
        <f t="shared" si="3"/>
        <v>0</v>
      </c>
      <c r="HT249" s="5">
        <f t="shared" si="3"/>
        <v>0</v>
      </c>
      <c r="HU249" s="5">
        <f t="shared" si="3"/>
        <v>0</v>
      </c>
      <c r="HV249" s="5">
        <f t="shared" si="3"/>
        <v>0</v>
      </c>
      <c r="HW249" s="5">
        <f t="shared" si="3"/>
        <v>0</v>
      </c>
      <c r="HX249" s="5">
        <f t="shared" si="3"/>
        <v>0</v>
      </c>
      <c r="HY249" s="5">
        <f t="shared" si="3"/>
        <v>0</v>
      </c>
      <c r="HZ249" s="5">
        <f t="shared" si="3"/>
        <v>0</v>
      </c>
      <c r="IA249" s="5">
        <f t="shared" si="3"/>
        <v>0</v>
      </c>
      <c r="IB249" s="5">
        <f t="shared" si="3"/>
        <v>0</v>
      </c>
      <c r="IC249" s="5">
        <f t="shared" si="3"/>
        <v>0</v>
      </c>
      <c r="ID249" s="5">
        <f t="shared" si="3"/>
        <v>0</v>
      </c>
      <c r="IE249" s="5">
        <f t="shared" si="3"/>
        <v>0</v>
      </c>
      <c r="IF249" s="5">
        <f t="shared" si="3"/>
        <v>0</v>
      </c>
      <c r="IG249" s="5">
        <f t="shared" si="3"/>
        <v>0</v>
      </c>
      <c r="IH249" s="5">
        <f t="shared" si="3"/>
        <v>0</v>
      </c>
      <c r="II249" s="5">
        <f t="shared" si="3"/>
        <v>0</v>
      </c>
      <c r="IJ249" s="5">
        <f t="shared" si="3"/>
        <v>0</v>
      </c>
      <c r="IK249" s="5">
        <f t="shared" si="3"/>
        <v>0</v>
      </c>
      <c r="IL249" s="5">
        <f t="shared" si="3"/>
        <v>0</v>
      </c>
      <c r="IM249" s="5">
        <f t="shared" si="3"/>
        <v>0</v>
      </c>
      <c r="IN249" s="5">
        <f t="shared" si="3"/>
        <v>0</v>
      </c>
      <c r="IO249" s="5">
        <f t="shared" si="3"/>
        <v>0</v>
      </c>
      <c r="IP249" s="5">
        <f t="shared" si="3"/>
        <v>0</v>
      </c>
      <c r="IQ249" s="5">
        <f t="shared" si="3"/>
        <v>0</v>
      </c>
      <c r="IR249" s="5">
        <f t="shared" si="3"/>
        <v>0</v>
      </c>
      <c r="IS249" s="5">
        <f t="shared" si="3"/>
        <v>0</v>
      </c>
      <c r="IT249" s="5">
        <f t="shared" si="3"/>
        <v>0</v>
      </c>
      <c r="IU249" s="5">
        <f t="shared" si="3"/>
        <v>0</v>
      </c>
      <c r="IV249" s="5">
        <f t="shared" si="3"/>
        <v>0</v>
      </c>
      <c r="IW249" s="5">
        <f t="shared" si="3"/>
        <v>0</v>
      </c>
      <c r="IX249" s="5">
        <f t="shared" si="3"/>
        <v>0</v>
      </c>
      <c r="IY249" s="5">
        <f t="shared" si="3"/>
        <v>0</v>
      </c>
      <c r="IZ249" s="5">
        <f t="shared" si="3"/>
        <v>0</v>
      </c>
      <c r="JA249" s="5">
        <f t="shared" si="3"/>
        <v>0</v>
      </c>
      <c r="JB249" s="5">
        <f t="shared" si="3"/>
        <v>0</v>
      </c>
      <c r="JC249" s="5">
        <f t="shared" si="3"/>
        <v>0</v>
      </c>
      <c r="JD249" s="5">
        <f t="shared" si="3"/>
        <v>0</v>
      </c>
      <c r="JE249" s="5">
        <f t="shared" si="3"/>
        <v>0</v>
      </c>
      <c r="JF249" s="5">
        <f t="shared" si="3"/>
        <v>0</v>
      </c>
      <c r="JG249" s="5">
        <f t="shared" si="3"/>
        <v>0</v>
      </c>
      <c r="JH249" s="5">
        <f t="shared" si="3"/>
        <v>0</v>
      </c>
      <c r="JI249" s="5">
        <f t="shared" si="3"/>
        <v>0</v>
      </c>
      <c r="JJ249" s="5">
        <f t="shared" si="3"/>
        <v>0</v>
      </c>
      <c r="JK249" s="5">
        <f t="shared" si="3"/>
        <v>0</v>
      </c>
      <c r="JL249" s="5">
        <f t="shared" si="3"/>
        <v>0</v>
      </c>
      <c r="JM249" s="5">
        <f t="shared" si="3"/>
        <v>0</v>
      </c>
      <c r="JN249" s="5">
        <f t="shared" ref="JN249:LY249" si="4">SUM(JN246:JN246)</f>
        <v>0</v>
      </c>
      <c r="JO249" s="5">
        <f t="shared" si="4"/>
        <v>0</v>
      </c>
      <c r="JP249" s="5">
        <f t="shared" si="4"/>
        <v>0</v>
      </c>
      <c r="JQ249" s="5">
        <f t="shared" si="4"/>
        <v>0</v>
      </c>
      <c r="JR249" s="5">
        <f t="shared" si="4"/>
        <v>0</v>
      </c>
      <c r="JS249" s="5">
        <f t="shared" si="4"/>
        <v>0</v>
      </c>
      <c r="JT249" s="5">
        <f t="shared" si="4"/>
        <v>0</v>
      </c>
      <c r="JU249" s="5">
        <f t="shared" si="4"/>
        <v>0</v>
      </c>
      <c r="JV249" s="5">
        <f t="shared" si="4"/>
        <v>0</v>
      </c>
      <c r="JW249" s="5">
        <f t="shared" si="4"/>
        <v>0</v>
      </c>
      <c r="JX249" s="5">
        <f t="shared" si="4"/>
        <v>0</v>
      </c>
      <c r="JY249" s="5">
        <f t="shared" si="4"/>
        <v>0</v>
      </c>
      <c r="JZ249" s="5">
        <f t="shared" si="4"/>
        <v>0</v>
      </c>
      <c r="KA249" s="5">
        <f t="shared" si="4"/>
        <v>0</v>
      </c>
      <c r="KB249" s="5">
        <f t="shared" si="4"/>
        <v>0</v>
      </c>
      <c r="KC249" s="5">
        <f t="shared" si="4"/>
        <v>0</v>
      </c>
      <c r="KD249" s="5">
        <f t="shared" si="4"/>
        <v>0</v>
      </c>
      <c r="KE249" s="5">
        <f t="shared" si="4"/>
        <v>0</v>
      </c>
      <c r="KF249" s="5">
        <f t="shared" si="4"/>
        <v>0</v>
      </c>
      <c r="KG249" s="5">
        <f t="shared" si="4"/>
        <v>0</v>
      </c>
      <c r="KH249" s="5">
        <f t="shared" si="4"/>
        <v>0</v>
      </c>
      <c r="KI249" s="5">
        <f t="shared" si="4"/>
        <v>0</v>
      </c>
      <c r="KJ249" s="5">
        <f t="shared" si="4"/>
        <v>0</v>
      </c>
      <c r="KK249" s="5">
        <f t="shared" si="4"/>
        <v>0</v>
      </c>
      <c r="KL249" s="5">
        <f t="shared" si="4"/>
        <v>0</v>
      </c>
      <c r="KM249" s="5">
        <f t="shared" si="4"/>
        <v>0</v>
      </c>
      <c r="KN249" s="5">
        <f t="shared" si="4"/>
        <v>0</v>
      </c>
      <c r="KO249" s="5">
        <f t="shared" si="4"/>
        <v>0</v>
      </c>
      <c r="KP249" s="5">
        <f t="shared" si="4"/>
        <v>0</v>
      </c>
      <c r="KQ249" s="5">
        <f t="shared" si="4"/>
        <v>0</v>
      </c>
      <c r="KR249" s="5">
        <f t="shared" si="4"/>
        <v>0</v>
      </c>
      <c r="KS249" s="5">
        <f t="shared" si="4"/>
        <v>0</v>
      </c>
      <c r="KT249" s="5">
        <f t="shared" si="4"/>
        <v>0</v>
      </c>
      <c r="KU249" s="5">
        <f t="shared" si="4"/>
        <v>0</v>
      </c>
      <c r="KV249" s="5">
        <f t="shared" si="4"/>
        <v>0</v>
      </c>
      <c r="KW249" s="5">
        <f t="shared" si="4"/>
        <v>0</v>
      </c>
      <c r="KX249" s="5">
        <f t="shared" si="4"/>
        <v>0</v>
      </c>
      <c r="KY249" s="5">
        <f t="shared" si="4"/>
        <v>0</v>
      </c>
      <c r="KZ249" s="5">
        <f t="shared" si="4"/>
        <v>0</v>
      </c>
      <c r="LA249" s="5">
        <f t="shared" si="4"/>
        <v>0</v>
      </c>
      <c r="LB249" s="5">
        <f t="shared" si="4"/>
        <v>0</v>
      </c>
      <c r="LC249" s="5">
        <f t="shared" si="4"/>
        <v>0</v>
      </c>
      <c r="LD249" s="5">
        <f t="shared" si="4"/>
        <v>0</v>
      </c>
      <c r="LE249" s="5">
        <f t="shared" si="4"/>
        <v>0</v>
      </c>
      <c r="LF249" s="5">
        <f t="shared" si="4"/>
        <v>0</v>
      </c>
      <c r="LG249" s="5">
        <f t="shared" si="4"/>
        <v>0</v>
      </c>
      <c r="LH249" s="5">
        <f t="shared" si="4"/>
        <v>0</v>
      </c>
      <c r="LI249" s="5">
        <f t="shared" si="4"/>
        <v>0</v>
      </c>
      <c r="LJ249" s="5">
        <f t="shared" si="4"/>
        <v>0</v>
      </c>
      <c r="LK249" s="5">
        <f t="shared" si="4"/>
        <v>0</v>
      </c>
      <c r="LL249" s="5">
        <f t="shared" si="4"/>
        <v>0</v>
      </c>
      <c r="LM249" s="5">
        <f t="shared" si="4"/>
        <v>0</v>
      </c>
      <c r="LN249" s="5">
        <f t="shared" si="4"/>
        <v>0</v>
      </c>
      <c r="LO249" s="5">
        <f t="shared" si="4"/>
        <v>0</v>
      </c>
      <c r="LP249" s="5">
        <f t="shared" si="4"/>
        <v>0</v>
      </c>
      <c r="LQ249" s="5">
        <f t="shared" si="4"/>
        <v>0</v>
      </c>
      <c r="LR249" s="5">
        <f t="shared" si="4"/>
        <v>0</v>
      </c>
      <c r="LS249" s="5">
        <f t="shared" si="4"/>
        <v>0</v>
      </c>
      <c r="LT249" s="5">
        <f t="shared" si="4"/>
        <v>0</v>
      </c>
      <c r="LU249" s="5">
        <f t="shared" si="4"/>
        <v>0</v>
      </c>
      <c r="LV249" s="5">
        <f t="shared" si="4"/>
        <v>0</v>
      </c>
      <c r="LW249" s="5">
        <f t="shared" si="4"/>
        <v>0</v>
      </c>
      <c r="LX249" s="5">
        <f t="shared" si="4"/>
        <v>0</v>
      </c>
      <c r="LY249" s="5">
        <f t="shared" si="4"/>
        <v>0</v>
      </c>
      <c r="LZ249" s="5">
        <f t="shared" ref="LZ249:OK249" si="5">SUM(LZ246:LZ246)</f>
        <v>0</v>
      </c>
      <c r="MA249" s="5">
        <f t="shared" si="5"/>
        <v>0</v>
      </c>
      <c r="MB249" s="5">
        <f t="shared" si="5"/>
        <v>0</v>
      </c>
      <c r="MC249" s="5">
        <f t="shared" si="5"/>
        <v>0</v>
      </c>
      <c r="MD249" s="5">
        <f t="shared" si="5"/>
        <v>0</v>
      </c>
      <c r="ME249" s="5">
        <f t="shared" si="5"/>
        <v>0</v>
      </c>
      <c r="MF249" s="5">
        <f t="shared" si="5"/>
        <v>0</v>
      </c>
      <c r="MG249" s="5">
        <f t="shared" si="5"/>
        <v>0</v>
      </c>
      <c r="MH249" s="5">
        <f t="shared" si="5"/>
        <v>0</v>
      </c>
      <c r="MI249" s="5">
        <f t="shared" si="5"/>
        <v>0</v>
      </c>
      <c r="MJ249" s="5">
        <f t="shared" si="5"/>
        <v>0</v>
      </c>
      <c r="MK249" s="5">
        <f t="shared" si="5"/>
        <v>0</v>
      </c>
      <c r="ML249" s="5">
        <f t="shared" si="5"/>
        <v>0</v>
      </c>
      <c r="MM249" s="5">
        <f t="shared" si="5"/>
        <v>0</v>
      </c>
      <c r="MN249" s="5">
        <f t="shared" si="5"/>
        <v>0</v>
      </c>
      <c r="MO249" s="5">
        <f t="shared" si="5"/>
        <v>0</v>
      </c>
      <c r="MP249" s="5">
        <f t="shared" si="5"/>
        <v>0</v>
      </c>
      <c r="MQ249" s="5">
        <f t="shared" si="5"/>
        <v>0</v>
      </c>
      <c r="MR249" s="5">
        <f t="shared" si="5"/>
        <v>0</v>
      </c>
      <c r="MS249" s="5">
        <f t="shared" si="5"/>
        <v>0</v>
      </c>
      <c r="MT249" s="5">
        <f t="shared" si="5"/>
        <v>0</v>
      </c>
      <c r="MU249" s="5">
        <f t="shared" si="5"/>
        <v>0</v>
      </c>
      <c r="MV249" s="5">
        <f t="shared" si="5"/>
        <v>0</v>
      </c>
      <c r="MW249" s="5">
        <f t="shared" si="5"/>
        <v>0</v>
      </c>
      <c r="MX249" s="5">
        <f t="shared" si="5"/>
        <v>0</v>
      </c>
      <c r="MY249" s="5">
        <f t="shared" si="5"/>
        <v>0</v>
      </c>
      <c r="MZ249" s="5">
        <f t="shared" si="5"/>
        <v>0</v>
      </c>
      <c r="NA249" s="5">
        <f t="shared" si="5"/>
        <v>0</v>
      </c>
      <c r="NB249" s="5">
        <f t="shared" si="5"/>
        <v>0</v>
      </c>
      <c r="NC249" s="5">
        <f t="shared" si="5"/>
        <v>0</v>
      </c>
      <c r="ND249" s="5">
        <f t="shared" si="5"/>
        <v>0</v>
      </c>
      <c r="NE249" s="5">
        <f t="shared" si="5"/>
        <v>0</v>
      </c>
      <c r="NF249" s="5">
        <f t="shared" si="5"/>
        <v>0</v>
      </c>
      <c r="NG249" s="5">
        <f t="shared" si="5"/>
        <v>0</v>
      </c>
      <c r="NH249" s="5">
        <f t="shared" si="5"/>
        <v>0</v>
      </c>
      <c r="NI249" s="5">
        <f t="shared" si="5"/>
        <v>0</v>
      </c>
      <c r="NJ249" s="5">
        <f t="shared" si="5"/>
        <v>0</v>
      </c>
      <c r="NK249" s="5">
        <f t="shared" si="5"/>
        <v>0</v>
      </c>
      <c r="NL249" s="5">
        <f t="shared" si="5"/>
        <v>0</v>
      </c>
      <c r="NM249" s="5">
        <f t="shared" si="5"/>
        <v>0</v>
      </c>
      <c r="NN249" s="5">
        <f t="shared" si="5"/>
        <v>0</v>
      </c>
      <c r="NO249" s="5">
        <f t="shared" si="5"/>
        <v>0</v>
      </c>
      <c r="NP249" s="5">
        <f t="shared" si="5"/>
        <v>0</v>
      </c>
      <c r="NQ249" s="5">
        <f t="shared" si="5"/>
        <v>0</v>
      </c>
      <c r="NR249" s="5">
        <f t="shared" si="5"/>
        <v>0</v>
      </c>
      <c r="NS249" s="5">
        <f t="shared" si="5"/>
        <v>0</v>
      </c>
      <c r="NT249" s="5">
        <f t="shared" si="5"/>
        <v>0</v>
      </c>
      <c r="NU249" s="5">
        <f t="shared" si="5"/>
        <v>0</v>
      </c>
      <c r="NV249" s="5">
        <f t="shared" si="5"/>
        <v>0</v>
      </c>
      <c r="NW249" s="5">
        <f t="shared" si="5"/>
        <v>0</v>
      </c>
      <c r="NX249" s="5">
        <f t="shared" si="5"/>
        <v>0</v>
      </c>
      <c r="NY249" s="5">
        <f t="shared" si="5"/>
        <v>0</v>
      </c>
      <c r="NZ249" s="5">
        <f t="shared" si="5"/>
        <v>0</v>
      </c>
      <c r="OA249" s="5">
        <f t="shared" si="5"/>
        <v>0</v>
      </c>
      <c r="OB249" s="5">
        <f t="shared" si="5"/>
        <v>0</v>
      </c>
      <c r="OC249" s="5">
        <f t="shared" si="5"/>
        <v>0</v>
      </c>
      <c r="OD249" s="5">
        <f t="shared" si="5"/>
        <v>0</v>
      </c>
      <c r="OE249" s="5">
        <f t="shared" si="5"/>
        <v>0</v>
      </c>
      <c r="OF249" s="5">
        <f t="shared" si="5"/>
        <v>0</v>
      </c>
      <c r="OG249" s="5">
        <f t="shared" si="5"/>
        <v>0</v>
      </c>
      <c r="OH249" s="5">
        <f t="shared" si="5"/>
        <v>0</v>
      </c>
      <c r="OI249" s="5">
        <f t="shared" si="5"/>
        <v>0</v>
      </c>
      <c r="OJ249" s="5">
        <f t="shared" si="5"/>
        <v>0</v>
      </c>
      <c r="OK249" s="5">
        <f t="shared" si="5"/>
        <v>0</v>
      </c>
      <c r="OL249" s="5">
        <f t="shared" ref="OL249:QW249" si="6">SUM(OL246:OL246)</f>
        <v>0</v>
      </c>
      <c r="OM249" s="5">
        <f t="shared" si="6"/>
        <v>0</v>
      </c>
      <c r="ON249" s="5">
        <f t="shared" si="6"/>
        <v>0</v>
      </c>
      <c r="OO249" s="5">
        <f t="shared" si="6"/>
        <v>0</v>
      </c>
      <c r="OP249" s="5">
        <f t="shared" si="6"/>
        <v>0</v>
      </c>
      <c r="OQ249" s="5">
        <f t="shared" si="6"/>
        <v>0</v>
      </c>
      <c r="OR249" s="5">
        <f t="shared" si="6"/>
        <v>0</v>
      </c>
      <c r="OS249" s="5">
        <f t="shared" si="6"/>
        <v>0</v>
      </c>
      <c r="OT249" s="5">
        <f t="shared" si="6"/>
        <v>0</v>
      </c>
      <c r="OU249" s="5">
        <f t="shared" si="6"/>
        <v>0</v>
      </c>
      <c r="OV249" s="5">
        <f t="shared" si="6"/>
        <v>0</v>
      </c>
      <c r="OW249" s="5">
        <f t="shared" si="6"/>
        <v>0</v>
      </c>
      <c r="OX249" s="5">
        <f t="shared" si="6"/>
        <v>0</v>
      </c>
      <c r="OY249" s="5">
        <f t="shared" si="6"/>
        <v>0</v>
      </c>
      <c r="OZ249" s="5">
        <f t="shared" si="6"/>
        <v>0</v>
      </c>
      <c r="PA249" s="5">
        <f t="shared" si="6"/>
        <v>0</v>
      </c>
      <c r="PB249" s="5">
        <f t="shared" si="6"/>
        <v>0</v>
      </c>
      <c r="PC249" s="5">
        <f t="shared" si="6"/>
        <v>0</v>
      </c>
      <c r="PD249" s="5">
        <f t="shared" si="6"/>
        <v>0</v>
      </c>
      <c r="PE249" s="5">
        <f t="shared" si="6"/>
        <v>0</v>
      </c>
      <c r="PF249" s="5">
        <f t="shared" si="6"/>
        <v>0</v>
      </c>
      <c r="PG249" s="5">
        <f t="shared" si="6"/>
        <v>0</v>
      </c>
      <c r="PH249" s="5">
        <f t="shared" si="6"/>
        <v>0</v>
      </c>
      <c r="PI249" s="5">
        <f t="shared" si="6"/>
        <v>0</v>
      </c>
      <c r="PJ249" s="5">
        <f t="shared" si="6"/>
        <v>0</v>
      </c>
      <c r="PK249" s="5">
        <f t="shared" si="6"/>
        <v>0</v>
      </c>
      <c r="PL249" s="5">
        <f t="shared" si="6"/>
        <v>0</v>
      </c>
      <c r="PM249" s="5">
        <f t="shared" si="6"/>
        <v>0</v>
      </c>
      <c r="PN249" s="5">
        <f t="shared" si="6"/>
        <v>0</v>
      </c>
      <c r="PO249" s="5">
        <f t="shared" si="6"/>
        <v>0</v>
      </c>
      <c r="PP249" s="5">
        <f t="shared" si="6"/>
        <v>0</v>
      </c>
      <c r="PQ249" s="5">
        <f t="shared" si="6"/>
        <v>0</v>
      </c>
      <c r="PR249" s="5">
        <f t="shared" si="6"/>
        <v>0</v>
      </c>
      <c r="PS249" s="5">
        <f t="shared" si="6"/>
        <v>0</v>
      </c>
      <c r="PT249" s="5">
        <f t="shared" si="6"/>
        <v>0</v>
      </c>
      <c r="PU249" s="5">
        <f t="shared" si="6"/>
        <v>0</v>
      </c>
      <c r="PV249" s="5">
        <f t="shared" si="6"/>
        <v>0</v>
      </c>
      <c r="PW249" s="5">
        <f t="shared" si="6"/>
        <v>0</v>
      </c>
      <c r="PX249" s="5">
        <f t="shared" si="6"/>
        <v>0</v>
      </c>
      <c r="PY249" s="5">
        <f t="shared" si="6"/>
        <v>0</v>
      </c>
      <c r="PZ249" s="5">
        <f t="shared" si="6"/>
        <v>0</v>
      </c>
      <c r="QA249" s="5">
        <f t="shared" si="6"/>
        <v>0</v>
      </c>
      <c r="QB249" s="5">
        <f t="shared" si="6"/>
        <v>0</v>
      </c>
      <c r="QC249" s="5">
        <f t="shared" si="6"/>
        <v>0</v>
      </c>
      <c r="QD249" s="5">
        <f t="shared" si="6"/>
        <v>0</v>
      </c>
      <c r="QE249" s="5">
        <f t="shared" si="6"/>
        <v>0</v>
      </c>
      <c r="QF249" s="5">
        <f t="shared" si="6"/>
        <v>0</v>
      </c>
      <c r="QG249" s="5">
        <f t="shared" si="6"/>
        <v>0</v>
      </c>
      <c r="QH249" s="5">
        <f t="shared" si="6"/>
        <v>0</v>
      </c>
      <c r="QI249" s="5">
        <f t="shared" si="6"/>
        <v>0</v>
      </c>
      <c r="QJ249" s="5">
        <f t="shared" si="6"/>
        <v>0</v>
      </c>
      <c r="QK249" s="5">
        <f t="shared" si="6"/>
        <v>0</v>
      </c>
      <c r="QL249" s="5">
        <f t="shared" si="6"/>
        <v>0</v>
      </c>
      <c r="QM249" s="5">
        <f t="shared" si="6"/>
        <v>0</v>
      </c>
      <c r="QN249" s="5">
        <f t="shared" si="6"/>
        <v>0</v>
      </c>
      <c r="QO249" s="5">
        <f t="shared" si="6"/>
        <v>0</v>
      </c>
      <c r="QP249" s="5">
        <f t="shared" si="6"/>
        <v>0</v>
      </c>
      <c r="QQ249" s="5">
        <f t="shared" si="6"/>
        <v>0</v>
      </c>
      <c r="QR249" s="5">
        <f t="shared" si="6"/>
        <v>0</v>
      </c>
      <c r="QS249" s="5">
        <f t="shared" si="6"/>
        <v>0</v>
      </c>
      <c r="QT249" s="5">
        <f t="shared" si="6"/>
        <v>0</v>
      </c>
      <c r="QU249" s="5">
        <f t="shared" si="6"/>
        <v>0</v>
      </c>
      <c r="QV249" s="5">
        <f t="shared" si="6"/>
        <v>0</v>
      </c>
      <c r="QW249" s="5">
        <f t="shared" si="6"/>
        <v>0</v>
      </c>
      <c r="QX249" s="5">
        <f t="shared" ref="QX249:TI249" si="7">SUM(QX246:QX246)</f>
        <v>0</v>
      </c>
      <c r="QY249" s="5">
        <f t="shared" si="7"/>
        <v>0</v>
      </c>
      <c r="QZ249" s="5">
        <f t="shared" si="7"/>
        <v>0</v>
      </c>
      <c r="RA249" s="5">
        <f t="shared" si="7"/>
        <v>0</v>
      </c>
      <c r="RB249" s="5">
        <f t="shared" si="7"/>
        <v>0</v>
      </c>
      <c r="RC249" s="5">
        <f t="shared" si="7"/>
        <v>0</v>
      </c>
      <c r="RD249" s="5">
        <f t="shared" si="7"/>
        <v>0</v>
      </c>
      <c r="RE249" s="5">
        <f t="shared" si="7"/>
        <v>0</v>
      </c>
      <c r="RF249" s="5">
        <f t="shared" si="7"/>
        <v>0</v>
      </c>
      <c r="RG249" s="5">
        <f t="shared" si="7"/>
        <v>0</v>
      </c>
      <c r="RH249" s="5">
        <f t="shared" si="7"/>
        <v>0</v>
      </c>
      <c r="RI249" s="5">
        <f t="shared" si="7"/>
        <v>0</v>
      </c>
      <c r="RJ249" s="5">
        <f t="shared" si="7"/>
        <v>0</v>
      </c>
      <c r="RK249" s="5">
        <f t="shared" si="7"/>
        <v>0</v>
      </c>
      <c r="RL249" s="5">
        <f t="shared" si="7"/>
        <v>0</v>
      </c>
      <c r="RM249" s="5">
        <f t="shared" si="7"/>
        <v>0</v>
      </c>
      <c r="RN249" s="5">
        <f t="shared" si="7"/>
        <v>0</v>
      </c>
      <c r="RO249" s="5">
        <f t="shared" si="7"/>
        <v>0</v>
      </c>
      <c r="RP249" s="5">
        <f t="shared" si="7"/>
        <v>0</v>
      </c>
      <c r="RQ249" s="5">
        <f t="shared" si="7"/>
        <v>0</v>
      </c>
      <c r="RR249" s="5">
        <f t="shared" si="7"/>
        <v>0</v>
      </c>
      <c r="RS249" s="5">
        <f t="shared" si="7"/>
        <v>0</v>
      </c>
      <c r="RT249" s="5">
        <f t="shared" si="7"/>
        <v>0</v>
      </c>
      <c r="RU249" s="5">
        <f t="shared" si="7"/>
        <v>0</v>
      </c>
      <c r="RV249" s="5">
        <f t="shared" si="7"/>
        <v>0</v>
      </c>
      <c r="RW249" s="5">
        <f t="shared" si="7"/>
        <v>0</v>
      </c>
      <c r="RX249" s="5">
        <f t="shared" si="7"/>
        <v>0</v>
      </c>
      <c r="RY249" s="5">
        <f t="shared" si="7"/>
        <v>0</v>
      </c>
      <c r="RZ249" s="5">
        <f t="shared" si="7"/>
        <v>0</v>
      </c>
      <c r="SA249" s="5">
        <f t="shared" si="7"/>
        <v>0</v>
      </c>
      <c r="SB249" s="5">
        <f t="shared" si="7"/>
        <v>0</v>
      </c>
      <c r="SC249" s="5">
        <f t="shared" si="7"/>
        <v>0</v>
      </c>
      <c r="SD249" s="5">
        <f t="shared" si="7"/>
        <v>0</v>
      </c>
      <c r="SE249" s="5">
        <f t="shared" si="7"/>
        <v>0</v>
      </c>
      <c r="SF249" s="5">
        <f t="shared" si="7"/>
        <v>0</v>
      </c>
      <c r="SG249" s="5">
        <f t="shared" si="7"/>
        <v>0</v>
      </c>
      <c r="SH249" s="5">
        <f t="shared" si="7"/>
        <v>0</v>
      </c>
      <c r="SI249" s="5">
        <f t="shared" si="7"/>
        <v>0</v>
      </c>
      <c r="SJ249" s="5">
        <f t="shared" si="7"/>
        <v>0</v>
      </c>
      <c r="SK249" s="5">
        <f t="shared" si="7"/>
        <v>0</v>
      </c>
      <c r="SL249" s="5">
        <f t="shared" si="7"/>
        <v>0</v>
      </c>
      <c r="SM249" s="5">
        <f t="shared" si="7"/>
        <v>0</v>
      </c>
      <c r="SN249" s="5">
        <f t="shared" si="7"/>
        <v>0</v>
      </c>
      <c r="SO249" s="5">
        <f t="shared" si="7"/>
        <v>0</v>
      </c>
      <c r="SP249" s="5">
        <f t="shared" si="7"/>
        <v>0</v>
      </c>
      <c r="SQ249" s="5">
        <f t="shared" si="7"/>
        <v>0</v>
      </c>
      <c r="SR249" s="5">
        <f t="shared" si="7"/>
        <v>0</v>
      </c>
      <c r="SS249" s="5">
        <f t="shared" si="7"/>
        <v>0</v>
      </c>
      <c r="ST249" s="5">
        <f t="shared" si="7"/>
        <v>0</v>
      </c>
      <c r="SU249" s="5">
        <f t="shared" si="7"/>
        <v>0</v>
      </c>
      <c r="SV249" s="5">
        <f t="shared" si="7"/>
        <v>0</v>
      </c>
      <c r="SW249" s="5">
        <f t="shared" si="7"/>
        <v>0</v>
      </c>
      <c r="SX249" s="5">
        <f t="shared" si="7"/>
        <v>0</v>
      </c>
      <c r="SY249" s="5">
        <f t="shared" si="7"/>
        <v>0</v>
      </c>
      <c r="SZ249" s="5">
        <f t="shared" si="7"/>
        <v>0</v>
      </c>
      <c r="TA249" s="5">
        <f t="shared" si="7"/>
        <v>0</v>
      </c>
      <c r="TB249" s="5">
        <f t="shared" si="7"/>
        <v>0</v>
      </c>
      <c r="TC249" s="5">
        <f t="shared" si="7"/>
        <v>0</v>
      </c>
      <c r="TD249" s="5">
        <f t="shared" si="7"/>
        <v>0</v>
      </c>
      <c r="TE249" s="5">
        <f t="shared" si="7"/>
        <v>0</v>
      </c>
      <c r="TF249" s="5">
        <f t="shared" si="7"/>
        <v>0</v>
      </c>
      <c r="TG249" s="5">
        <f t="shared" si="7"/>
        <v>0</v>
      </c>
      <c r="TH249" s="5">
        <f t="shared" si="7"/>
        <v>0</v>
      </c>
      <c r="TI249" s="5">
        <f t="shared" si="7"/>
        <v>0</v>
      </c>
      <c r="TJ249" s="5">
        <f t="shared" ref="TJ249:VU249" si="8">SUM(TJ246:TJ246)</f>
        <v>0</v>
      </c>
      <c r="TK249" s="5">
        <f t="shared" si="8"/>
        <v>0</v>
      </c>
      <c r="TL249" s="5">
        <f t="shared" si="8"/>
        <v>0</v>
      </c>
      <c r="TM249" s="5">
        <f t="shared" si="8"/>
        <v>0</v>
      </c>
      <c r="TN249" s="5">
        <f t="shared" si="8"/>
        <v>0</v>
      </c>
      <c r="TO249" s="5">
        <f t="shared" si="8"/>
        <v>0</v>
      </c>
      <c r="TP249" s="5">
        <f t="shared" si="8"/>
        <v>0</v>
      </c>
      <c r="TQ249" s="5">
        <f t="shared" si="8"/>
        <v>0</v>
      </c>
      <c r="TR249" s="5">
        <f t="shared" si="8"/>
        <v>0</v>
      </c>
      <c r="TS249" s="5">
        <f t="shared" si="8"/>
        <v>0</v>
      </c>
      <c r="TT249" s="5">
        <f t="shared" si="8"/>
        <v>0</v>
      </c>
      <c r="TU249" s="5">
        <f t="shared" si="8"/>
        <v>0</v>
      </c>
      <c r="TV249" s="5">
        <f t="shared" si="8"/>
        <v>0</v>
      </c>
      <c r="TW249" s="5">
        <f t="shared" si="8"/>
        <v>0</v>
      </c>
      <c r="TX249" s="5">
        <f t="shared" si="8"/>
        <v>0</v>
      </c>
      <c r="TY249" s="5">
        <f t="shared" si="8"/>
        <v>0</v>
      </c>
      <c r="TZ249" s="5">
        <f t="shared" si="8"/>
        <v>0</v>
      </c>
      <c r="UA249" s="5">
        <f t="shared" si="8"/>
        <v>0</v>
      </c>
      <c r="UB249" s="5">
        <f t="shared" si="8"/>
        <v>0</v>
      </c>
      <c r="UC249" s="5">
        <f t="shared" si="8"/>
        <v>0</v>
      </c>
      <c r="UD249" s="5">
        <f t="shared" si="8"/>
        <v>0</v>
      </c>
      <c r="UE249" s="5">
        <f t="shared" si="8"/>
        <v>0</v>
      </c>
      <c r="UF249" s="5">
        <f t="shared" si="8"/>
        <v>0</v>
      </c>
      <c r="UG249" s="5">
        <f t="shared" si="8"/>
        <v>0</v>
      </c>
      <c r="UH249" s="5">
        <f t="shared" si="8"/>
        <v>0</v>
      </c>
      <c r="UI249" s="5">
        <f t="shared" si="8"/>
        <v>0</v>
      </c>
      <c r="UJ249" s="5">
        <f t="shared" si="8"/>
        <v>0</v>
      </c>
      <c r="UK249" s="5">
        <f t="shared" si="8"/>
        <v>0</v>
      </c>
      <c r="UL249" s="5">
        <f t="shared" si="8"/>
        <v>0</v>
      </c>
      <c r="UM249" s="5">
        <f t="shared" si="8"/>
        <v>0</v>
      </c>
      <c r="UN249" s="5">
        <f t="shared" si="8"/>
        <v>0</v>
      </c>
      <c r="UO249" s="5">
        <f t="shared" si="8"/>
        <v>0</v>
      </c>
      <c r="UP249" s="5">
        <f t="shared" si="8"/>
        <v>0</v>
      </c>
      <c r="UQ249" s="5">
        <f t="shared" si="8"/>
        <v>0</v>
      </c>
      <c r="UR249" s="5">
        <f t="shared" si="8"/>
        <v>0</v>
      </c>
      <c r="US249" s="5">
        <f t="shared" si="8"/>
        <v>0</v>
      </c>
      <c r="UT249" s="5">
        <f t="shared" si="8"/>
        <v>0</v>
      </c>
      <c r="UU249" s="5">
        <f t="shared" si="8"/>
        <v>0</v>
      </c>
      <c r="UV249" s="5">
        <f t="shared" si="8"/>
        <v>0</v>
      </c>
      <c r="UW249" s="5">
        <f t="shared" si="8"/>
        <v>0</v>
      </c>
      <c r="UX249" s="5">
        <f t="shared" si="8"/>
        <v>0</v>
      </c>
      <c r="UY249" s="5">
        <f t="shared" si="8"/>
        <v>0</v>
      </c>
      <c r="UZ249" s="5">
        <f t="shared" si="8"/>
        <v>0</v>
      </c>
      <c r="VA249" s="5">
        <f t="shared" si="8"/>
        <v>0</v>
      </c>
      <c r="VB249" s="5">
        <f t="shared" si="8"/>
        <v>0</v>
      </c>
      <c r="VC249" s="5">
        <f t="shared" si="8"/>
        <v>0</v>
      </c>
      <c r="VD249" s="5">
        <f t="shared" si="8"/>
        <v>0</v>
      </c>
      <c r="VE249" s="5">
        <f t="shared" si="8"/>
        <v>0</v>
      </c>
      <c r="VF249" s="5">
        <f t="shared" si="8"/>
        <v>0</v>
      </c>
      <c r="VG249" s="5">
        <f t="shared" si="8"/>
        <v>0</v>
      </c>
      <c r="VH249" s="5">
        <f t="shared" si="8"/>
        <v>0</v>
      </c>
      <c r="VI249" s="5">
        <f t="shared" si="8"/>
        <v>0</v>
      </c>
      <c r="VJ249" s="5">
        <f t="shared" si="8"/>
        <v>0</v>
      </c>
      <c r="VK249" s="5">
        <f t="shared" si="8"/>
        <v>0</v>
      </c>
      <c r="VL249" s="5">
        <f t="shared" si="8"/>
        <v>0</v>
      </c>
      <c r="VM249" s="5">
        <f t="shared" si="8"/>
        <v>0</v>
      </c>
      <c r="VN249" s="5">
        <f t="shared" si="8"/>
        <v>0</v>
      </c>
      <c r="VO249" s="5">
        <f t="shared" si="8"/>
        <v>0</v>
      </c>
      <c r="VP249" s="5">
        <f t="shared" si="8"/>
        <v>0</v>
      </c>
      <c r="VQ249" s="5">
        <f t="shared" si="8"/>
        <v>0</v>
      </c>
      <c r="VR249" s="5">
        <f t="shared" si="8"/>
        <v>0</v>
      </c>
      <c r="VS249" s="5">
        <f t="shared" si="8"/>
        <v>0</v>
      </c>
      <c r="VT249" s="5">
        <f t="shared" si="8"/>
        <v>0</v>
      </c>
      <c r="VU249" s="5">
        <f t="shared" si="8"/>
        <v>0</v>
      </c>
      <c r="VV249" s="5">
        <f t="shared" ref="VV249:YG249" si="9">SUM(VV246:VV246)</f>
        <v>0</v>
      </c>
      <c r="VW249" s="5">
        <f t="shared" si="9"/>
        <v>0</v>
      </c>
      <c r="VX249" s="5">
        <f t="shared" si="9"/>
        <v>0</v>
      </c>
      <c r="VY249" s="5">
        <f t="shared" si="9"/>
        <v>0</v>
      </c>
      <c r="VZ249" s="5">
        <f t="shared" si="9"/>
        <v>0</v>
      </c>
      <c r="WA249" s="5">
        <f t="shared" si="9"/>
        <v>0</v>
      </c>
      <c r="WB249" s="5">
        <f t="shared" si="9"/>
        <v>0</v>
      </c>
      <c r="WC249" s="5">
        <f t="shared" si="9"/>
        <v>0</v>
      </c>
      <c r="WD249" s="5">
        <f t="shared" si="9"/>
        <v>0</v>
      </c>
      <c r="WE249" s="5">
        <f t="shared" si="9"/>
        <v>0</v>
      </c>
      <c r="WF249" s="5">
        <f t="shared" si="9"/>
        <v>0</v>
      </c>
      <c r="WG249" s="5">
        <f t="shared" si="9"/>
        <v>0</v>
      </c>
      <c r="WH249" s="5">
        <f t="shared" si="9"/>
        <v>0</v>
      </c>
      <c r="WI249" s="5">
        <f t="shared" si="9"/>
        <v>0</v>
      </c>
      <c r="WJ249" s="5">
        <f t="shared" si="9"/>
        <v>0</v>
      </c>
      <c r="WK249" s="5">
        <f t="shared" si="9"/>
        <v>0</v>
      </c>
      <c r="WL249" s="5">
        <f t="shared" si="9"/>
        <v>0</v>
      </c>
      <c r="WM249" s="5">
        <f t="shared" si="9"/>
        <v>0</v>
      </c>
      <c r="WN249" s="5">
        <f t="shared" si="9"/>
        <v>0</v>
      </c>
      <c r="WO249" s="5">
        <f t="shared" si="9"/>
        <v>0</v>
      </c>
      <c r="WP249" s="5">
        <f t="shared" si="9"/>
        <v>0</v>
      </c>
      <c r="WQ249" s="5">
        <f t="shared" si="9"/>
        <v>0</v>
      </c>
      <c r="WR249" s="5">
        <f t="shared" si="9"/>
        <v>0</v>
      </c>
      <c r="WS249" s="5">
        <f t="shared" si="9"/>
        <v>0</v>
      </c>
      <c r="WT249" s="5">
        <f t="shared" si="9"/>
        <v>0</v>
      </c>
      <c r="WU249" s="5">
        <f t="shared" si="9"/>
        <v>0</v>
      </c>
      <c r="WV249" s="5">
        <f t="shared" si="9"/>
        <v>0</v>
      </c>
      <c r="WW249" s="5">
        <f t="shared" si="9"/>
        <v>0</v>
      </c>
      <c r="WX249" s="5">
        <f t="shared" si="9"/>
        <v>0</v>
      </c>
      <c r="WY249" s="5">
        <f t="shared" si="9"/>
        <v>0</v>
      </c>
      <c r="WZ249" s="5">
        <f t="shared" si="9"/>
        <v>0</v>
      </c>
      <c r="XA249" s="5">
        <f t="shared" si="9"/>
        <v>0</v>
      </c>
      <c r="XB249" s="5">
        <f t="shared" si="9"/>
        <v>0</v>
      </c>
      <c r="XC249" s="5">
        <f t="shared" si="9"/>
        <v>0</v>
      </c>
      <c r="XD249" s="5">
        <f t="shared" si="9"/>
        <v>0</v>
      </c>
      <c r="XE249" s="5">
        <f t="shared" si="9"/>
        <v>0</v>
      </c>
      <c r="XF249" s="5">
        <f t="shared" si="9"/>
        <v>0</v>
      </c>
      <c r="XG249" s="5">
        <f t="shared" si="9"/>
        <v>0</v>
      </c>
      <c r="XH249" s="5">
        <f t="shared" si="9"/>
        <v>0</v>
      </c>
      <c r="XI249" s="5">
        <f t="shared" si="9"/>
        <v>0</v>
      </c>
      <c r="XJ249" s="5">
        <f t="shared" si="9"/>
        <v>0</v>
      </c>
      <c r="XK249" s="5">
        <f t="shared" si="9"/>
        <v>0</v>
      </c>
      <c r="XL249" s="5">
        <f t="shared" si="9"/>
        <v>0</v>
      </c>
      <c r="XM249" s="5">
        <f t="shared" si="9"/>
        <v>0</v>
      </c>
      <c r="XN249" s="5">
        <f t="shared" si="9"/>
        <v>0</v>
      </c>
      <c r="XO249" s="5">
        <f t="shared" si="9"/>
        <v>0</v>
      </c>
      <c r="XP249" s="5">
        <f t="shared" si="9"/>
        <v>0</v>
      </c>
      <c r="XQ249" s="5">
        <f t="shared" si="9"/>
        <v>0</v>
      </c>
      <c r="XR249" s="5">
        <f t="shared" si="9"/>
        <v>0</v>
      </c>
      <c r="XS249" s="5">
        <f t="shared" si="9"/>
        <v>0</v>
      </c>
      <c r="XT249" s="5">
        <f t="shared" si="9"/>
        <v>0</v>
      </c>
      <c r="XU249" s="5">
        <f t="shared" si="9"/>
        <v>0</v>
      </c>
      <c r="XV249" s="5">
        <f t="shared" si="9"/>
        <v>0</v>
      </c>
      <c r="XW249" s="5">
        <f t="shared" si="9"/>
        <v>0</v>
      </c>
      <c r="XX249" s="5">
        <f t="shared" si="9"/>
        <v>0</v>
      </c>
      <c r="XY249" s="5">
        <f t="shared" si="9"/>
        <v>0</v>
      </c>
      <c r="XZ249" s="5">
        <f t="shared" si="9"/>
        <v>0</v>
      </c>
      <c r="YA249" s="5">
        <f t="shared" si="9"/>
        <v>0</v>
      </c>
      <c r="YB249" s="5">
        <f t="shared" si="9"/>
        <v>0</v>
      </c>
      <c r="YC249" s="5">
        <f t="shared" si="9"/>
        <v>0</v>
      </c>
      <c r="YD249" s="5">
        <f t="shared" si="9"/>
        <v>0</v>
      </c>
      <c r="YE249" s="5">
        <f t="shared" si="9"/>
        <v>0</v>
      </c>
      <c r="YF249" s="5">
        <f t="shared" si="9"/>
        <v>0</v>
      </c>
      <c r="YG249" s="5">
        <f t="shared" si="9"/>
        <v>0</v>
      </c>
      <c r="YH249" s="5">
        <f t="shared" ref="YH249:AAS249" si="10">SUM(YH246:YH246)</f>
        <v>0</v>
      </c>
      <c r="YI249" s="5">
        <f t="shared" si="10"/>
        <v>0</v>
      </c>
      <c r="YJ249" s="5">
        <f t="shared" si="10"/>
        <v>0</v>
      </c>
      <c r="YK249" s="5">
        <f t="shared" si="10"/>
        <v>0</v>
      </c>
      <c r="YL249" s="5">
        <f t="shared" si="10"/>
        <v>0</v>
      </c>
      <c r="YM249" s="5">
        <f t="shared" si="10"/>
        <v>0</v>
      </c>
      <c r="YN249" s="5">
        <f t="shared" si="10"/>
        <v>0</v>
      </c>
      <c r="YO249" s="5">
        <f t="shared" si="10"/>
        <v>0</v>
      </c>
      <c r="YP249" s="5">
        <f t="shared" si="10"/>
        <v>0</v>
      </c>
      <c r="YQ249" s="5">
        <f t="shared" si="10"/>
        <v>0</v>
      </c>
      <c r="YR249" s="5">
        <f t="shared" si="10"/>
        <v>0</v>
      </c>
      <c r="YS249" s="5">
        <f t="shared" si="10"/>
        <v>0</v>
      </c>
      <c r="YT249" s="5">
        <f t="shared" si="10"/>
        <v>0</v>
      </c>
      <c r="YU249" s="5">
        <f t="shared" si="10"/>
        <v>0</v>
      </c>
      <c r="YV249" s="5">
        <f t="shared" si="10"/>
        <v>0</v>
      </c>
      <c r="YW249" s="5">
        <f t="shared" si="10"/>
        <v>0</v>
      </c>
      <c r="YX249" s="5">
        <f t="shared" si="10"/>
        <v>0</v>
      </c>
      <c r="YY249" s="5">
        <f t="shared" si="10"/>
        <v>0</v>
      </c>
      <c r="YZ249" s="5">
        <f t="shared" si="10"/>
        <v>0</v>
      </c>
      <c r="ZA249" s="5">
        <f t="shared" si="10"/>
        <v>0</v>
      </c>
      <c r="ZB249" s="5">
        <f t="shared" si="10"/>
        <v>0</v>
      </c>
      <c r="ZC249" s="5">
        <f t="shared" si="10"/>
        <v>0</v>
      </c>
      <c r="ZD249" s="5">
        <f t="shared" si="10"/>
        <v>0</v>
      </c>
      <c r="ZE249" s="5">
        <f t="shared" si="10"/>
        <v>0</v>
      </c>
      <c r="ZF249" s="5">
        <f t="shared" si="10"/>
        <v>0</v>
      </c>
      <c r="ZG249" s="5">
        <f t="shared" si="10"/>
        <v>0</v>
      </c>
      <c r="ZH249" s="5">
        <f t="shared" si="10"/>
        <v>0</v>
      </c>
      <c r="ZI249" s="5">
        <f t="shared" si="10"/>
        <v>0</v>
      </c>
      <c r="ZJ249" s="5">
        <f t="shared" si="10"/>
        <v>0</v>
      </c>
      <c r="ZK249" s="5">
        <f t="shared" si="10"/>
        <v>0</v>
      </c>
      <c r="ZL249" s="5">
        <f t="shared" si="10"/>
        <v>0</v>
      </c>
      <c r="ZM249" s="5">
        <f t="shared" si="10"/>
        <v>0</v>
      </c>
      <c r="ZN249" s="5">
        <f t="shared" si="10"/>
        <v>0</v>
      </c>
      <c r="ZO249" s="5">
        <f t="shared" si="10"/>
        <v>0</v>
      </c>
      <c r="ZP249" s="5">
        <f t="shared" si="10"/>
        <v>0</v>
      </c>
      <c r="ZQ249" s="5">
        <f t="shared" si="10"/>
        <v>0</v>
      </c>
      <c r="ZR249" s="5">
        <f t="shared" si="10"/>
        <v>0</v>
      </c>
      <c r="ZS249" s="5">
        <f t="shared" si="10"/>
        <v>0</v>
      </c>
      <c r="ZT249" s="5">
        <f t="shared" si="10"/>
        <v>0</v>
      </c>
      <c r="ZU249" s="5">
        <f t="shared" si="10"/>
        <v>0</v>
      </c>
      <c r="ZV249" s="5">
        <f t="shared" si="10"/>
        <v>0</v>
      </c>
      <c r="ZW249" s="5">
        <f t="shared" si="10"/>
        <v>0</v>
      </c>
      <c r="ZX249" s="5">
        <f t="shared" si="10"/>
        <v>0</v>
      </c>
      <c r="ZY249" s="5">
        <f t="shared" si="10"/>
        <v>0</v>
      </c>
      <c r="ZZ249" s="5">
        <f t="shared" si="10"/>
        <v>0</v>
      </c>
      <c r="AAA249" s="5">
        <f t="shared" si="10"/>
        <v>0</v>
      </c>
      <c r="AAB249" s="5">
        <f t="shared" si="10"/>
        <v>0</v>
      </c>
      <c r="AAC249" s="5">
        <f t="shared" si="10"/>
        <v>0</v>
      </c>
      <c r="AAD249" s="5">
        <f t="shared" si="10"/>
        <v>0</v>
      </c>
      <c r="AAE249" s="5">
        <f t="shared" si="10"/>
        <v>0</v>
      </c>
      <c r="AAF249" s="5">
        <f t="shared" si="10"/>
        <v>0</v>
      </c>
      <c r="AAG249" s="5">
        <f t="shared" si="10"/>
        <v>0</v>
      </c>
      <c r="AAH249" s="5">
        <f t="shared" si="10"/>
        <v>0</v>
      </c>
      <c r="AAI249" s="5">
        <f t="shared" si="10"/>
        <v>0</v>
      </c>
      <c r="AAJ249" s="5">
        <f t="shared" si="10"/>
        <v>0</v>
      </c>
      <c r="AAK249" s="5">
        <f t="shared" si="10"/>
        <v>0</v>
      </c>
      <c r="AAL249" s="5">
        <f t="shared" si="10"/>
        <v>0</v>
      </c>
      <c r="AAM249" s="5">
        <f t="shared" si="10"/>
        <v>0</v>
      </c>
      <c r="AAN249" s="5">
        <f t="shared" si="10"/>
        <v>0</v>
      </c>
      <c r="AAO249" s="5">
        <f t="shared" si="10"/>
        <v>0</v>
      </c>
      <c r="AAP249" s="5">
        <f t="shared" si="10"/>
        <v>0</v>
      </c>
      <c r="AAQ249" s="5">
        <f t="shared" si="10"/>
        <v>0</v>
      </c>
      <c r="AAR249" s="5">
        <f t="shared" si="10"/>
        <v>0</v>
      </c>
      <c r="AAS249" s="5">
        <f t="shared" si="10"/>
        <v>0</v>
      </c>
      <c r="AAT249" s="5">
        <f t="shared" ref="AAT249:ADE249" si="11">SUM(AAT246:AAT246)</f>
        <v>0</v>
      </c>
      <c r="AAU249" s="5">
        <f t="shared" si="11"/>
        <v>0</v>
      </c>
      <c r="AAV249" s="5">
        <f t="shared" si="11"/>
        <v>0</v>
      </c>
      <c r="AAW249" s="5">
        <f t="shared" si="11"/>
        <v>0</v>
      </c>
      <c r="AAX249" s="5">
        <f t="shared" si="11"/>
        <v>0</v>
      </c>
      <c r="AAY249" s="5">
        <f t="shared" si="11"/>
        <v>0</v>
      </c>
      <c r="AAZ249" s="5">
        <f t="shared" si="11"/>
        <v>0</v>
      </c>
      <c r="ABA249" s="5">
        <f t="shared" si="11"/>
        <v>0</v>
      </c>
      <c r="ABB249" s="5">
        <f t="shared" si="11"/>
        <v>0</v>
      </c>
      <c r="ABC249" s="5">
        <f t="shared" si="11"/>
        <v>0</v>
      </c>
      <c r="ABD249" s="5">
        <f t="shared" si="11"/>
        <v>0</v>
      </c>
      <c r="ABE249" s="5">
        <f t="shared" si="11"/>
        <v>0</v>
      </c>
      <c r="ABF249" s="5">
        <f t="shared" si="11"/>
        <v>0</v>
      </c>
      <c r="ABG249" s="5">
        <f t="shared" si="11"/>
        <v>0</v>
      </c>
      <c r="ABH249" s="5">
        <f t="shared" si="11"/>
        <v>0</v>
      </c>
      <c r="ABI249" s="5">
        <f t="shared" si="11"/>
        <v>0</v>
      </c>
      <c r="ABJ249" s="5">
        <f t="shared" si="11"/>
        <v>0</v>
      </c>
      <c r="ABK249" s="5">
        <f t="shared" si="11"/>
        <v>0</v>
      </c>
      <c r="ABL249" s="5">
        <f t="shared" si="11"/>
        <v>0</v>
      </c>
      <c r="ABM249" s="5">
        <f t="shared" si="11"/>
        <v>0</v>
      </c>
      <c r="ABN249" s="5">
        <f t="shared" si="11"/>
        <v>0</v>
      </c>
      <c r="ABO249" s="5">
        <f t="shared" si="11"/>
        <v>0</v>
      </c>
      <c r="ABP249" s="5">
        <f t="shared" si="11"/>
        <v>0</v>
      </c>
      <c r="ABQ249" s="5">
        <f t="shared" si="11"/>
        <v>0</v>
      </c>
      <c r="ABR249" s="5">
        <f t="shared" si="11"/>
        <v>0</v>
      </c>
      <c r="ABS249" s="5">
        <f t="shared" si="11"/>
        <v>0</v>
      </c>
      <c r="ABT249" s="5">
        <f t="shared" si="11"/>
        <v>0</v>
      </c>
      <c r="ABU249" s="5">
        <f t="shared" si="11"/>
        <v>0</v>
      </c>
      <c r="ABV249" s="5">
        <f t="shared" si="11"/>
        <v>0</v>
      </c>
      <c r="ABW249" s="5">
        <f t="shared" si="11"/>
        <v>0</v>
      </c>
      <c r="ABX249" s="5">
        <f t="shared" si="11"/>
        <v>0</v>
      </c>
      <c r="ABY249" s="5">
        <f t="shared" si="11"/>
        <v>0</v>
      </c>
      <c r="ABZ249" s="5">
        <f t="shared" si="11"/>
        <v>0</v>
      </c>
      <c r="ACA249" s="5">
        <f t="shared" si="11"/>
        <v>0</v>
      </c>
      <c r="ACB249" s="5">
        <f t="shared" si="11"/>
        <v>0</v>
      </c>
      <c r="ACC249" s="5">
        <f t="shared" si="11"/>
        <v>0</v>
      </c>
      <c r="ACD249" s="5">
        <f t="shared" si="11"/>
        <v>0</v>
      </c>
      <c r="ACE249" s="5">
        <f t="shared" si="11"/>
        <v>0</v>
      </c>
      <c r="ACF249" s="5">
        <f t="shared" si="11"/>
        <v>0</v>
      </c>
      <c r="ACG249" s="5">
        <f t="shared" si="11"/>
        <v>0</v>
      </c>
      <c r="ACH249" s="5">
        <f t="shared" si="11"/>
        <v>0</v>
      </c>
      <c r="ACI249" s="5">
        <f t="shared" si="11"/>
        <v>0</v>
      </c>
      <c r="ACJ249" s="5">
        <f t="shared" si="11"/>
        <v>0</v>
      </c>
      <c r="ACK249" s="5">
        <f t="shared" si="11"/>
        <v>0</v>
      </c>
      <c r="ACL249" s="5">
        <f t="shared" si="11"/>
        <v>0</v>
      </c>
      <c r="ACM249" s="5">
        <f t="shared" si="11"/>
        <v>0</v>
      </c>
      <c r="ACN249" s="5">
        <f t="shared" si="11"/>
        <v>0</v>
      </c>
      <c r="ACO249" s="5">
        <f t="shared" si="11"/>
        <v>0</v>
      </c>
      <c r="ACP249" s="5">
        <f t="shared" si="11"/>
        <v>0</v>
      </c>
      <c r="ACQ249" s="5">
        <f t="shared" si="11"/>
        <v>0</v>
      </c>
      <c r="ACR249" s="5">
        <f t="shared" si="11"/>
        <v>0</v>
      </c>
      <c r="ACS249" s="5">
        <f t="shared" si="11"/>
        <v>0</v>
      </c>
      <c r="ACT249" s="5">
        <f t="shared" si="11"/>
        <v>0</v>
      </c>
      <c r="ACU249" s="5">
        <f t="shared" si="11"/>
        <v>0</v>
      </c>
      <c r="ACV249" s="5">
        <f t="shared" si="11"/>
        <v>0</v>
      </c>
      <c r="ACW249" s="5">
        <f t="shared" si="11"/>
        <v>0</v>
      </c>
      <c r="ACX249" s="5">
        <f t="shared" si="11"/>
        <v>0</v>
      </c>
      <c r="ACY249" s="5">
        <f t="shared" si="11"/>
        <v>0</v>
      </c>
      <c r="ACZ249" s="5">
        <f t="shared" si="11"/>
        <v>0</v>
      </c>
      <c r="ADA249" s="5">
        <f t="shared" si="11"/>
        <v>0</v>
      </c>
      <c r="ADB249" s="5">
        <f t="shared" si="11"/>
        <v>0</v>
      </c>
      <c r="ADC249" s="5">
        <f t="shared" si="11"/>
        <v>0</v>
      </c>
      <c r="ADD249" s="5">
        <f t="shared" si="11"/>
        <v>0</v>
      </c>
      <c r="ADE249" s="5">
        <f t="shared" si="11"/>
        <v>0</v>
      </c>
      <c r="ADF249" s="5">
        <f t="shared" ref="ADF249:AFQ249" si="12">SUM(ADF246:ADF246)</f>
        <v>0</v>
      </c>
      <c r="ADG249" s="5">
        <f t="shared" si="12"/>
        <v>0</v>
      </c>
      <c r="ADH249" s="5">
        <f t="shared" si="12"/>
        <v>0</v>
      </c>
      <c r="ADI249" s="5">
        <f t="shared" si="12"/>
        <v>0</v>
      </c>
      <c r="ADJ249" s="5">
        <f t="shared" si="12"/>
        <v>0</v>
      </c>
      <c r="ADK249" s="5">
        <f t="shared" si="12"/>
        <v>0</v>
      </c>
      <c r="ADL249" s="5">
        <f t="shared" si="12"/>
        <v>0</v>
      </c>
      <c r="ADM249" s="5">
        <f t="shared" si="12"/>
        <v>0</v>
      </c>
      <c r="ADN249" s="5">
        <f t="shared" si="12"/>
        <v>0</v>
      </c>
      <c r="ADO249" s="5">
        <f t="shared" si="12"/>
        <v>0</v>
      </c>
      <c r="ADP249" s="5">
        <f t="shared" si="12"/>
        <v>0</v>
      </c>
      <c r="ADQ249" s="5">
        <f t="shared" si="12"/>
        <v>0</v>
      </c>
      <c r="ADR249" s="5">
        <f t="shared" si="12"/>
        <v>0</v>
      </c>
      <c r="ADS249" s="5">
        <f t="shared" si="12"/>
        <v>0</v>
      </c>
      <c r="ADT249" s="5">
        <f t="shared" si="12"/>
        <v>0</v>
      </c>
      <c r="ADU249" s="5">
        <f t="shared" si="12"/>
        <v>0</v>
      </c>
      <c r="ADV249" s="5">
        <f t="shared" si="12"/>
        <v>0</v>
      </c>
      <c r="ADW249" s="5">
        <f t="shared" si="12"/>
        <v>0</v>
      </c>
      <c r="ADX249" s="5">
        <f t="shared" si="12"/>
        <v>0</v>
      </c>
      <c r="ADY249" s="5">
        <f t="shared" si="12"/>
        <v>0</v>
      </c>
      <c r="ADZ249" s="5">
        <f t="shared" si="12"/>
        <v>0</v>
      </c>
      <c r="AEA249" s="5">
        <f t="shared" si="12"/>
        <v>0</v>
      </c>
      <c r="AEB249" s="5">
        <f t="shared" si="12"/>
        <v>0</v>
      </c>
      <c r="AEC249" s="5">
        <f t="shared" si="12"/>
        <v>0</v>
      </c>
      <c r="AED249" s="5">
        <f t="shared" si="12"/>
        <v>0</v>
      </c>
      <c r="AEE249" s="5">
        <f t="shared" si="12"/>
        <v>0</v>
      </c>
      <c r="AEF249" s="5">
        <f t="shared" si="12"/>
        <v>0</v>
      </c>
      <c r="AEG249" s="5">
        <f t="shared" si="12"/>
        <v>0</v>
      </c>
      <c r="AEH249" s="5">
        <f t="shared" si="12"/>
        <v>0</v>
      </c>
      <c r="AEI249" s="5">
        <f t="shared" si="12"/>
        <v>0</v>
      </c>
      <c r="AEJ249" s="5">
        <f t="shared" si="12"/>
        <v>0</v>
      </c>
      <c r="AEK249" s="5">
        <f t="shared" si="12"/>
        <v>0</v>
      </c>
      <c r="AEL249" s="5">
        <f t="shared" si="12"/>
        <v>0</v>
      </c>
      <c r="AEM249" s="5">
        <f t="shared" si="12"/>
        <v>0</v>
      </c>
      <c r="AEN249" s="5">
        <f t="shared" si="12"/>
        <v>0</v>
      </c>
      <c r="AEO249" s="5">
        <f t="shared" si="12"/>
        <v>0</v>
      </c>
      <c r="AEP249" s="5">
        <f t="shared" si="12"/>
        <v>0</v>
      </c>
      <c r="AEQ249" s="5">
        <f t="shared" si="12"/>
        <v>0</v>
      </c>
      <c r="AER249" s="5">
        <f t="shared" si="12"/>
        <v>0</v>
      </c>
      <c r="AES249" s="5">
        <f t="shared" si="12"/>
        <v>0</v>
      </c>
      <c r="AET249" s="5">
        <f t="shared" si="12"/>
        <v>0</v>
      </c>
      <c r="AEU249" s="5">
        <f t="shared" si="12"/>
        <v>0</v>
      </c>
      <c r="AEV249" s="5">
        <f t="shared" si="12"/>
        <v>0</v>
      </c>
      <c r="AEW249" s="5">
        <f t="shared" si="12"/>
        <v>0</v>
      </c>
      <c r="AEX249" s="5">
        <f t="shared" si="12"/>
        <v>0</v>
      </c>
      <c r="AEY249" s="5">
        <f t="shared" si="12"/>
        <v>0</v>
      </c>
      <c r="AEZ249" s="5">
        <f t="shared" si="12"/>
        <v>0</v>
      </c>
      <c r="AFA249" s="5">
        <f t="shared" si="12"/>
        <v>0</v>
      </c>
      <c r="AFB249" s="5">
        <f t="shared" si="12"/>
        <v>0</v>
      </c>
      <c r="AFC249" s="5">
        <f t="shared" si="12"/>
        <v>0</v>
      </c>
      <c r="AFD249" s="5">
        <f t="shared" si="12"/>
        <v>0</v>
      </c>
      <c r="AFE249" s="5">
        <f t="shared" si="12"/>
        <v>0</v>
      </c>
      <c r="AFF249" s="5">
        <f t="shared" si="12"/>
        <v>0</v>
      </c>
      <c r="AFG249" s="5">
        <f t="shared" si="12"/>
        <v>0</v>
      </c>
      <c r="AFH249" s="5">
        <f t="shared" si="12"/>
        <v>0</v>
      </c>
      <c r="AFI249" s="5">
        <f t="shared" si="12"/>
        <v>0</v>
      </c>
      <c r="AFJ249" s="5">
        <f t="shared" si="12"/>
        <v>0</v>
      </c>
      <c r="AFK249" s="5">
        <f t="shared" si="12"/>
        <v>0</v>
      </c>
      <c r="AFL249" s="5">
        <f t="shared" si="12"/>
        <v>0</v>
      </c>
      <c r="AFM249" s="5">
        <f t="shared" si="12"/>
        <v>0</v>
      </c>
      <c r="AFN249" s="5">
        <f t="shared" si="12"/>
        <v>0</v>
      </c>
      <c r="AFO249" s="5">
        <f t="shared" si="12"/>
        <v>0</v>
      </c>
      <c r="AFP249" s="5">
        <f t="shared" si="12"/>
        <v>0</v>
      </c>
      <c r="AFQ249" s="5">
        <f t="shared" si="12"/>
        <v>0</v>
      </c>
      <c r="AFR249" s="5">
        <f t="shared" ref="AFR249:AIC249" si="13">SUM(AFR246:AFR246)</f>
        <v>0</v>
      </c>
      <c r="AFS249" s="5">
        <f t="shared" si="13"/>
        <v>0</v>
      </c>
      <c r="AFT249" s="5">
        <f t="shared" si="13"/>
        <v>0</v>
      </c>
      <c r="AFU249" s="5">
        <f t="shared" si="13"/>
        <v>0</v>
      </c>
      <c r="AFV249" s="5">
        <f t="shared" si="13"/>
        <v>0</v>
      </c>
      <c r="AFW249" s="5">
        <f t="shared" si="13"/>
        <v>0</v>
      </c>
      <c r="AFX249" s="5">
        <f t="shared" si="13"/>
        <v>0</v>
      </c>
      <c r="AFY249" s="5">
        <f t="shared" si="13"/>
        <v>0</v>
      </c>
      <c r="AFZ249" s="5">
        <f t="shared" si="13"/>
        <v>0</v>
      </c>
      <c r="AGA249" s="5">
        <f t="shared" si="13"/>
        <v>0</v>
      </c>
      <c r="AGB249" s="5">
        <f t="shared" si="13"/>
        <v>0</v>
      </c>
      <c r="AGC249" s="5">
        <f t="shared" si="13"/>
        <v>0</v>
      </c>
      <c r="AGD249" s="5">
        <f t="shared" si="13"/>
        <v>0</v>
      </c>
      <c r="AGE249" s="5">
        <f t="shared" si="13"/>
        <v>0</v>
      </c>
      <c r="AGF249" s="5">
        <f t="shared" si="13"/>
        <v>0</v>
      </c>
      <c r="AGG249" s="5">
        <f t="shared" si="13"/>
        <v>0</v>
      </c>
      <c r="AGH249" s="5">
        <f t="shared" si="13"/>
        <v>0</v>
      </c>
      <c r="AGI249" s="5">
        <f t="shared" si="13"/>
        <v>0</v>
      </c>
      <c r="AGJ249" s="5">
        <f t="shared" si="13"/>
        <v>0</v>
      </c>
      <c r="AGK249" s="5">
        <f t="shared" si="13"/>
        <v>0</v>
      </c>
      <c r="AGL249" s="5">
        <f t="shared" si="13"/>
        <v>0</v>
      </c>
      <c r="AGM249" s="5">
        <f t="shared" si="13"/>
        <v>0</v>
      </c>
      <c r="AGN249" s="5">
        <f t="shared" si="13"/>
        <v>0</v>
      </c>
      <c r="AGO249" s="5">
        <f t="shared" si="13"/>
        <v>0</v>
      </c>
      <c r="AGP249" s="5">
        <f t="shared" si="13"/>
        <v>0</v>
      </c>
      <c r="AGQ249" s="5">
        <f t="shared" si="13"/>
        <v>0</v>
      </c>
      <c r="AGR249" s="5">
        <f t="shared" si="13"/>
        <v>0</v>
      </c>
      <c r="AGS249" s="5">
        <f t="shared" si="13"/>
        <v>0</v>
      </c>
      <c r="AGT249" s="5">
        <f t="shared" si="13"/>
        <v>0</v>
      </c>
      <c r="AGU249" s="5">
        <f t="shared" si="13"/>
        <v>0</v>
      </c>
      <c r="AGV249" s="5">
        <f t="shared" si="13"/>
        <v>0</v>
      </c>
      <c r="AGW249" s="5">
        <f t="shared" si="13"/>
        <v>0</v>
      </c>
      <c r="AGX249" s="5">
        <f t="shared" si="13"/>
        <v>0</v>
      </c>
      <c r="AGY249" s="5">
        <f t="shared" si="13"/>
        <v>0</v>
      </c>
      <c r="AGZ249" s="5">
        <f t="shared" si="13"/>
        <v>0</v>
      </c>
      <c r="AHA249" s="5">
        <f t="shared" si="13"/>
        <v>0</v>
      </c>
      <c r="AHB249" s="5">
        <f t="shared" si="13"/>
        <v>0</v>
      </c>
      <c r="AHC249" s="5">
        <f t="shared" si="13"/>
        <v>0</v>
      </c>
      <c r="AHD249" s="5">
        <f t="shared" si="13"/>
        <v>0</v>
      </c>
      <c r="AHE249" s="5">
        <f t="shared" si="13"/>
        <v>0</v>
      </c>
      <c r="AHF249" s="5">
        <f t="shared" si="13"/>
        <v>0</v>
      </c>
      <c r="AHG249" s="5">
        <f t="shared" si="13"/>
        <v>0</v>
      </c>
      <c r="AHH249" s="5">
        <f t="shared" si="13"/>
        <v>0</v>
      </c>
      <c r="AHI249" s="5">
        <f t="shared" si="13"/>
        <v>0</v>
      </c>
      <c r="AHJ249" s="5">
        <f t="shared" si="13"/>
        <v>0</v>
      </c>
      <c r="AHK249" s="5">
        <f t="shared" si="13"/>
        <v>0</v>
      </c>
      <c r="AHL249" s="5">
        <f t="shared" si="13"/>
        <v>0</v>
      </c>
      <c r="AHM249" s="5">
        <f t="shared" si="13"/>
        <v>0</v>
      </c>
      <c r="AHN249" s="5">
        <f t="shared" si="13"/>
        <v>0</v>
      </c>
      <c r="AHO249" s="5">
        <f t="shared" si="13"/>
        <v>0</v>
      </c>
      <c r="AHP249" s="5">
        <f t="shared" si="13"/>
        <v>0</v>
      </c>
      <c r="AHQ249" s="5">
        <f t="shared" si="13"/>
        <v>0</v>
      </c>
      <c r="AHR249" s="5">
        <f t="shared" si="13"/>
        <v>0</v>
      </c>
      <c r="AHS249" s="5">
        <f t="shared" si="13"/>
        <v>0</v>
      </c>
      <c r="AHT249" s="5">
        <f t="shared" si="13"/>
        <v>0</v>
      </c>
      <c r="AHU249" s="5">
        <f t="shared" si="13"/>
        <v>0</v>
      </c>
      <c r="AHV249" s="5">
        <f t="shared" si="13"/>
        <v>0</v>
      </c>
      <c r="AHW249" s="5">
        <f t="shared" si="13"/>
        <v>0</v>
      </c>
      <c r="AHX249" s="5">
        <f t="shared" si="13"/>
        <v>0</v>
      </c>
      <c r="AHY249" s="5">
        <f t="shared" si="13"/>
        <v>0</v>
      </c>
      <c r="AHZ249" s="5">
        <f t="shared" si="13"/>
        <v>0</v>
      </c>
      <c r="AIA249" s="5">
        <f t="shared" si="13"/>
        <v>0</v>
      </c>
      <c r="AIB249" s="5">
        <f t="shared" si="13"/>
        <v>0</v>
      </c>
      <c r="AIC249" s="5">
        <f t="shared" si="13"/>
        <v>0</v>
      </c>
      <c r="AID249" s="5">
        <f t="shared" ref="AID249:AKO249" si="14">SUM(AID246:AID246)</f>
        <v>0</v>
      </c>
      <c r="AIE249" s="5">
        <f t="shared" si="14"/>
        <v>0</v>
      </c>
      <c r="AIF249" s="5">
        <f t="shared" si="14"/>
        <v>0</v>
      </c>
      <c r="AIG249" s="5">
        <f t="shared" si="14"/>
        <v>0</v>
      </c>
      <c r="AIH249" s="5">
        <f t="shared" si="14"/>
        <v>0</v>
      </c>
      <c r="AII249" s="5">
        <f t="shared" si="14"/>
        <v>0</v>
      </c>
      <c r="AIJ249" s="5">
        <f t="shared" si="14"/>
        <v>0</v>
      </c>
      <c r="AIK249" s="5">
        <f t="shared" si="14"/>
        <v>0</v>
      </c>
      <c r="AIL249" s="5">
        <f t="shared" si="14"/>
        <v>0</v>
      </c>
      <c r="AIM249" s="5">
        <f t="shared" si="14"/>
        <v>0</v>
      </c>
      <c r="AIN249" s="5">
        <f t="shared" si="14"/>
        <v>0</v>
      </c>
      <c r="AIO249" s="5">
        <f t="shared" si="14"/>
        <v>0</v>
      </c>
      <c r="AIP249" s="5">
        <f t="shared" si="14"/>
        <v>0</v>
      </c>
      <c r="AIQ249" s="5">
        <f t="shared" si="14"/>
        <v>0</v>
      </c>
      <c r="AIR249" s="5">
        <f t="shared" si="14"/>
        <v>0</v>
      </c>
      <c r="AIS249" s="5">
        <f t="shared" si="14"/>
        <v>0</v>
      </c>
      <c r="AIT249" s="5">
        <f t="shared" si="14"/>
        <v>0</v>
      </c>
      <c r="AIU249" s="5">
        <f t="shared" si="14"/>
        <v>0</v>
      </c>
      <c r="AIV249" s="5">
        <f t="shared" si="14"/>
        <v>0</v>
      </c>
      <c r="AIW249" s="5">
        <f t="shared" si="14"/>
        <v>0</v>
      </c>
      <c r="AIX249" s="5">
        <f t="shared" si="14"/>
        <v>0</v>
      </c>
      <c r="AIY249" s="5">
        <f t="shared" si="14"/>
        <v>0</v>
      </c>
      <c r="AIZ249" s="5">
        <f t="shared" si="14"/>
        <v>0</v>
      </c>
      <c r="AJA249" s="5">
        <f t="shared" si="14"/>
        <v>0</v>
      </c>
      <c r="AJB249" s="5">
        <f t="shared" si="14"/>
        <v>0</v>
      </c>
      <c r="AJC249" s="5">
        <f t="shared" si="14"/>
        <v>0</v>
      </c>
      <c r="AJD249" s="5">
        <f t="shared" si="14"/>
        <v>0</v>
      </c>
      <c r="AJE249" s="5">
        <f t="shared" si="14"/>
        <v>0</v>
      </c>
      <c r="AJF249" s="5">
        <f t="shared" si="14"/>
        <v>0</v>
      </c>
      <c r="AJG249" s="5">
        <f t="shared" si="14"/>
        <v>0</v>
      </c>
      <c r="AJH249" s="5">
        <f t="shared" si="14"/>
        <v>0</v>
      </c>
      <c r="AJI249" s="5">
        <f t="shared" si="14"/>
        <v>0</v>
      </c>
      <c r="AJJ249" s="5">
        <f t="shared" si="14"/>
        <v>0</v>
      </c>
      <c r="AJK249" s="5">
        <f t="shared" si="14"/>
        <v>0</v>
      </c>
      <c r="AJL249" s="5">
        <f t="shared" si="14"/>
        <v>0</v>
      </c>
      <c r="AJM249" s="5">
        <f t="shared" si="14"/>
        <v>0</v>
      </c>
      <c r="AJN249" s="5">
        <f t="shared" si="14"/>
        <v>0</v>
      </c>
      <c r="AJO249" s="5">
        <f t="shared" si="14"/>
        <v>0</v>
      </c>
      <c r="AJP249" s="5">
        <f t="shared" si="14"/>
        <v>0</v>
      </c>
      <c r="AJQ249" s="5">
        <f t="shared" si="14"/>
        <v>0</v>
      </c>
      <c r="AJR249" s="5">
        <f t="shared" si="14"/>
        <v>0</v>
      </c>
      <c r="AJS249" s="5">
        <f t="shared" si="14"/>
        <v>0</v>
      </c>
      <c r="AJT249" s="5">
        <f t="shared" si="14"/>
        <v>0</v>
      </c>
      <c r="AJU249" s="5">
        <f t="shared" si="14"/>
        <v>0</v>
      </c>
      <c r="AJV249" s="5">
        <f t="shared" si="14"/>
        <v>0</v>
      </c>
      <c r="AJW249" s="5">
        <f t="shared" si="14"/>
        <v>0</v>
      </c>
      <c r="AJX249" s="5">
        <f t="shared" si="14"/>
        <v>0</v>
      </c>
      <c r="AJY249" s="5">
        <f t="shared" si="14"/>
        <v>0</v>
      </c>
      <c r="AJZ249" s="5">
        <f t="shared" si="14"/>
        <v>0</v>
      </c>
      <c r="AKA249" s="5">
        <f t="shared" si="14"/>
        <v>0</v>
      </c>
      <c r="AKB249" s="5">
        <f t="shared" si="14"/>
        <v>0</v>
      </c>
      <c r="AKC249" s="5">
        <f t="shared" si="14"/>
        <v>0</v>
      </c>
      <c r="AKD249" s="5">
        <f t="shared" si="14"/>
        <v>0</v>
      </c>
      <c r="AKE249" s="5">
        <f t="shared" si="14"/>
        <v>0</v>
      </c>
      <c r="AKF249" s="5">
        <f t="shared" si="14"/>
        <v>0</v>
      </c>
      <c r="AKG249" s="5">
        <f t="shared" si="14"/>
        <v>0</v>
      </c>
      <c r="AKH249" s="5">
        <f t="shared" si="14"/>
        <v>0</v>
      </c>
      <c r="AKI249" s="5">
        <f t="shared" si="14"/>
        <v>0</v>
      </c>
      <c r="AKJ249" s="5">
        <f t="shared" si="14"/>
        <v>0</v>
      </c>
      <c r="AKK249" s="5">
        <f t="shared" si="14"/>
        <v>0</v>
      </c>
      <c r="AKL249" s="5">
        <f t="shared" si="14"/>
        <v>0</v>
      </c>
      <c r="AKM249" s="5">
        <f t="shared" si="14"/>
        <v>0</v>
      </c>
      <c r="AKN249" s="5">
        <f t="shared" si="14"/>
        <v>0</v>
      </c>
      <c r="AKO249" s="5">
        <f t="shared" si="14"/>
        <v>0</v>
      </c>
      <c r="AKP249" s="5">
        <f t="shared" ref="AKP249:ANA249" si="15">SUM(AKP246:AKP246)</f>
        <v>0</v>
      </c>
      <c r="AKQ249" s="5">
        <f t="shared" si="15"/>
        <v>0</v>
      </c>
      <c r="AKR249" s="5">
        <f t="shared" si="15"/>
        <v>0</v>
      </c>
      <c r="AKS249" s="5">
        <f t="shared" si="15"/>
        <v>0</v>
      </c>
      <c r="AKT249" s="5">
        <f t="shared" si="15"/>
        <v>0</v>
      </c>
      <c r="AKU249" s="5">
        <f t="shared" si="15"/>
        <v>0</v>
      </c>
      <c r="AKV249" s="5">
        <f t="shared" si="15"/>
        <v>0</v>
      </c>
      <c r="AKW249" s="5">
        <f t="shared" si="15"/>
        <v>0</v>
      </c>
      <c r="AKX249" s="5">
        <f t="shared" si="15"/>
        <v>0</v>
      </c>
      <c r="AKY249" s="5">
        <f t="shared" si="15"/>
        <v>0</v>
      </c>
      <c r="AKZ249" s="5">
        <f t="shared" si="15"/>
        <v>0</v>
      </c>
      <c r="ALA249" s="5">
        <f t="shared" si="15"/>
        <v>0</v>
      </c>
      <c r="ALB249" s="5">
        <f t="shared" si="15"/>
        <v>0</v>
      </c>
      <c r="ALC249" s="5">
        <f t="shared" si="15"/>
        <v>0</v>
      </c>
      <c r="ALD249" s="5">
        <f t="shared" si="15"/>
        <v>0</v>
      </c>
      <c r="ALE249" s="5">
        <f t="shared" si="15"/>
        <v>0</v>
      </c>
      <c r="ALF249" s="5">
        <f t="shared" si="15"/>
        <v>0</v>
      </c>
      <c r="ALG249" s="5">
        <f t="shared" si="15"/>
        <v>0</v>
      </c>
      <c r="ALH249" s="5">
        <f t="shared" si="15"/>
        <v>0</v>
      </c>
      <c r="ALI249" s="5">
        <f t="shared" si="15"/>
        <v>0</v>
      </c>
      <c r="ALJ249" s="5">
        <f t="shared" si="15"/>
        <v>0</v>
      </c>
      <c r="ALK249" s="5">
        <f t="shared" si="15"/>
        <v>0</v>
      </c>
      <c r="ALL249" s="5">
        <f t="shared" si="15"/>
        <v>0</v>
      </c>
      <c r="ALM249" s="5">
        <f t="shared" si="15"/>
        <v>0</v>
      </c>
      <c r="ALN249" s="5">
        <f t="shared" si="15"/>
        <v>0</v>
      </c>
      <c r="ALO249" s="5">
        <f t="shared" si="15"/>
        <v>0</v>
      </c>
      <c r="ALP249" s="5">
        <f t="shared" si="15"/>
        <v>0</v>
      </c>
      <c r="ALQ249" s="5">
        <f t="shared" si="15"/>
        <v>0</v>
      </c>
      <c r="ALR249" s="5">
        <f t="shared" si="15"/>
        <v>0</v>
      </c>
      <c r="ALS249" s="5">
        <f t="shared" si="15"/>
        <v>0</v>
      </c>
      <c r="ALT249" s="5">
        <f t="shared" si="15"/>
        <v>0</v>
      </c>
      <c r="ALU249" s="5">
        <f t="shared" si="15"/>
        <v>0</v>
      </c>
      <c r="ALV249" s="5">
        <f t="shared" si="15"/>
        <v>0</v>
      </c>
      <c r="ALW249" s="5">
        <f t="shared" si="15"/>
        <v>0</v>
      </c>
      <c r="ALX249" s="5">
        <f t="shared" si="15"/>
        <v>0</v>
      </c>
      <c r="ALY249" s="5">
        <f t="shared" si="15"/>
        <v>0</v>
      </c>
      <c r="ALZ249" s="5">
        <f t="shared" si="15"/>
        <v>0</v>
      </c>
      <c r="AMA249" s="5">
        <f t="shared" si="15"/>
        <v>0</v>
      </c>
      <c r="AMB249" s="5">
        <f t="shared" si="15"/>
        <v>0</v>
      </c>
      <c r="AMC249" s="5">
        <f t="shared" si="15"/>
        <v>0</v>
      </c>
      <c r="AMD249" s="5">
        <f t="shared" si="15"/>
        <v>0</v>
      </c>
      <c r="AME249" s="5">
        <f t="shared" si="15"/>
        <v>0</v>
      </c>
      <c r="AMF249" s="5">
        <f t="shared" si="15"/>
        <v>0</v>
      </c>
      <c r="AMG249" s="5">
        <f t="shared" si="15"/>
        <v>0</v>
      </c>
      <c r="AMH249" s="5">
        <f t="shared" si="15"/>
        <v>0</v>
      </c>
      <c r="AMI249" s="5">
        <f t="shared" si="15"/>
        <v>0</v>
      </c>
      <c r="AMJ249" s="5">
        <f t="shared" si="15"/>
        <v>0</v>
      </c>
      <c r="AMK249" s="5">
        <f t="shared" si="15"/>
        <v>0</v>
      </c>
      <c r="AML249" s="5">
        <f t="shared" si="15"/>
        <v>0</v>
      </c>
      <c r="AMM249" s="5">
        <f t="shared" si="15"/>
        <v>0</v>
      </c>
      <c r="AMN249" s="5">
        <f t="shared" si="15"/>
        <v>0</v>
      </c>
      <c r="AMO249" s="5">
        <f t="shared" si="15"/>
        <v>0</v>
      </c>
      <c r="AMP249" s="5">
        <f t="shared" si="15"/>
        <v>0</v>
      </c>
      <c r="AMQ249" s="5">
        <f t="shared" si="15"/>
        <v>0</v>
      </c>
      <c r="AMR249" s="5">
        <f t="shared" si="15"/>
        <v>0</v>
      </c>
      <c r="AMS249" s="5">
        <f t="shared" si="15"/>
        <v>0</v>
      </c>
      <c r="AMT249" s="5">
        <f t="shared" si="15"/>
        <v>0</v>
      </c>
      <c r="AMU249" s="5">
        <f t="shared" si="15"/>
        <v>0</v>
      </c>
      <c r="AMV249" s="5">
        <f t="shared" si="15"/>
        <v>0</v>
      </c>
      <c r="AMW249" s="5">
        <f t="shared" si="15"/>
        <v>0</v>
      </c>
      <c r="AMX249" s="5">
        <f t="shared" si="15"/>
        <v>0</v>
      </c>
      <c r="AMY249" s="5">
        <f t="shared" si="15"/>
        <v>0</v>
      </c>
      <c r="AMZ249" s="5">
        <f t="shared" si="15"/>
        <v>0</v>
      </c>
      <c r="ANA249" s="5">
        <f t="shared" si="15"/>
        <v>0</v>
      </c>
      <c r="ANB249" s="5">
        <f t="shared" ref="ANB249:APM249" si="16">SUM(ANB246:ANB246)</f>
        <v>0</v>
      </c>
      <c r="ANC249" s="5">
        <f t="shared" si="16"/>
        <v>0</v>
      </c>
      <c r="AND249" s="5">
        <f t="shared" si="16"/>
        <v>0</v>
      </c>
      <c r="ANE249" s="5">
        <f t="shared" si="16"/>
        <v>0</v>
      </c>
      <c r="ANF249" s="5">
        <f t="shared" si="16"/>
        <v>0</v>
      </c>
      <c r="ANG249" s="5">
        <f t="shared" si="16"/>
        <v>0</v>
      </c>
      <c r="ANH249" s="5">
        <f t="shared" si="16"/>
        <v>0</v>
      </c>
      <c r="ANI249" s="5">
        <f t="shared" si="16"/>
        <v>0</v>
      </c>
      <c r="ANJ249" s="5">
        <f t="shared" si="16"/>
        <v>0</v>
      </c>
      <c r="ANK249" s="5">
        <f t="shared" si="16"/>
        <v>0</v>
      </c>
      <c r="ANL249" s="5">
        <f t="shared" si="16"/>
        <v>0</v>
      </c>
      <c r="ANM249" s="5">
        <f t="shared" si="16"/>
        <v>0</v>
      </c>
      <c r="ANN249" s="5">
        <f t="shared" si="16"/>
        <v>0</v>
      </c>
      <c r="ANO249" s="5">
        <f t="shared" si="16"/>
        <v>0</v>
      </c>
      <c r="ANP249" s="5">
        <f t="shared" si="16"/>
        <v>0</v>
      </c>
      <c r="ANQ249" s="5">
        <f t="shared" si="16"/>
        <v>0</v>
      </c>
      <c r="ANR249" s="5">
        <f t="shared" si="16"/>
        <v>0</v>
      </c>
      <c r="ANS249" s="5">
        <f t="shared" si="16"/>
        <v>0</v>
      </c>
      <c r="ANT249" s="5">
        <f t="shared" si="16"/>
        <v>0</v>
      </c>
      <c r="ANU249" s="5">
        <f t="shared" si="16"/>
        <v>0</v>
      </c>
      <c r="ANV249" s="5">
        <f t="shared" si="16"/>
        <v>0</v>
      </c>
      <c r="ANW249" s="5">
        <f t="shared" si="16"/>
        <v>0</v>
      </c>
      <c r="ANX249" s="5">
        <f t="shared" si="16"/>
        <v>0</v>
      </c>
      <c r="ANY249" s="5">
        <f t="shared" si="16"/>
        <v>0</v>
      </c>
      <c r="ANZ249" s="5">
        <f t="shared" si="16"/>
        <v>0</v>
      </c>
      <c r="AOA249" s="5">
        <f t="shared" si="16"/>
        <v>0</v>
      </c>
      <c r="AOB249" s="5">
        <f t="shared" si="16"/>
        <v>0</v>
      </c>
      <c r="AOC249" s="5">
        <f t="shared" si="16"/>
        <v>0</v>
      </c>
      <c r="AOD249" s="5">
        <f t="shared" si="16"/>
        <v>0</v>
      </c>
      <c r="AOE249" s="5">
        <f t="shared" si="16"/>
        <v>0</v>
      </c>
      <c r="AOF249" s="5">
        <f t="shared" si="16"/>
        <v>0</v>
      </c>
      <c r="AOG249" s="5">
        <f t="shared" si="16"/>
        <v>0</v>
      </c>
      <c r="AOH249" s="5">
        <f t="shared" si="16"/>
        <v>0</v>
      </c>
      <c r="AOI249" s="5">
        <f t="shared" si="16"/>
        <v>0</v>
      </c>
      <c r="AOJ249" s="5">
        <f t="shared" si="16"/>
        <v>0</v>
      </c>
      <c r="AOK249" s="5">
        <f t="shared" si="16"/>
        <v>0</v>
      </c>
      <c r="AOL249" s="5">
        <f t="shared" si="16"/>
        <v>0</v>
      </c>
      <c r="AOM249" s="5">
        <f t="shared" si="16"/>
        <v>0</v>
      </c>
      <c r="AON249" s="5">
        <f t="shared" si="16"/>
        <v>0</v>
      </c>
      <c r="AOO249" s="5">
        <f t="shared" si="16"/>
        <v>0</v>
      </c>
      <c r="AOP249" s="5">
        <f t="shared" si="16"/>
        <v>0</v>
      </c>
      <c r="AOQ249" s="5">
        <f t="shared" si="16"/>
        <v>0</v>
      </c>
      <c r="AOR249" s="5">
        <f t="shared" si="16"/>
        <v>0</v>
      </c>
      <c r="AOS249" s="5">
        <f t="shared" si="16"/>
        <v>0</v>
      </c>
      <c r="AOT249" s="5">
        <f t="shared" si="16"/>
        <v>0</v>
      </c>
      <c r="AOU249" s="5">
        <f t="shared" si="16"/>
        <v>0</v>
      </c>
      <c r="AOV249" s="5">
        <f t="shared" si="16"/>
        <v>0</v>
      </c>
      <c r="AOW249" s="5">
        <f t="shared" si="16"/>
        <v>0</v>
      </c>
      <c r="AOX249" s="5">
        <f t="shared" si="16"/>
        <v>0</v>
      </c>
      <c r="AOY249" s="5">
        <f t="shared" si="16"/>
        <v>0</v>
      </c>
      <c r="AOZ249" s="5">
        <f t="shared" si="16"/>
        <v>0</v>
      </c>
      <c r="APA249" s="5">
        <f t="shared" si="16"/>
        <v>0</v>
      </c>
      <c r="APB249" s="5">
        <f t="shared" si="16"/>
        <v>0</v>
      </c>
      <c r="APC249" s="5">
        <f t="shared" si="16"/>
        <v>0</v>
      </c>
      <c r="APD249" s="5">
        <f t="shared" si="16"/>
        <v>0</v>
      </c>
      <c r="APE249" s="5">
        <f t="shared" si="16"/>
        <v>0</v>
      </c>
      <c r="APF249" s="5">
        <f t="shared" si="16"/>
        <v>0</v>
      </c>
      <c r="APG249" s="5">
        <f t="shared" si="16"/>
        <v>0</v>
      </c>
      <c r="APH249" s="5">
        <f t="shared" si="16"/>
        <v>0</v>
      </c>
      <c r="API249" s="5">
        <f t="shared" si="16"/>
        <v>0</v>
      </c>
      <c r="APJ249" s="5">
        <f t="shared" si="16"/>
        <v>0</v>
      </c>
      <c r="APK249" s="5">
        <f t="shared" si="16"/>
        <v>0</v>
      </c>
      <c r="APL249" s="5">
        <f t="shared" si="16"/>
        <v>0</v>
      </c>
      <c r="APM249" s="5">
        <f t="shared" si="16"/>
        <v>0</v>
      </c>
      <c r="APN249" s="5">
        <f t="shared" ref="APN249:ARY249" si="17">SUM(APN246:APN246)</f>
        <v>0</v>
      </c>
      <c r="APO249" s="5">
        <f t="shared" si="17"/>
        <v>0</v>
      </c>
      <c r="APP249" s="5">
        <f t="shared" si="17"/>
        <v>0</v>
      </c>
      <c r="APQ249" s="5">
        <f t="shared" si="17"/>
        <v>0</v>
      </c>
      <c r="APR249" s="5">
        <f t="shared" si="17"/>
        <v>0</v>
      </c>
      <c r="APS249" s="5">
        <f t="shared" si="17"/>
        <v>0</v>
      </c>
      <c r="APT249" s="5">
        <f t="shared" si="17"/>
        <v>0</v>
      </c>
      <c r="APU249" s="5">
        <f t="shared" si="17"/>
        <v>0</v>
      </c>
      <c r="APV249" s="5">
        <f t="shared" si="17"/>
        <v>0</v>
      </c>
      <c r="APW249" s="5">
        <f t="shared" si="17"/>
        <v>0</v>
      </c>
      <c r="APX249" s="5">
        <f t="shared" si="17"/>
        <v>0</v>
      </c>
      <c r="APY249" s="5">
        <f t="shared" si="17"/>
        <v>0</v>
      </c>
      <c r="APZ249" s="5">
        <f t="shared" si="17"/>
        <v>0</v>
      </c>
      <c r="AQA249" s="5">
        <f t="shared" si="17"/>
        <v>0</v>
      </c>
      <c r="AQB249" s="5">
        <f t="shared" si="17"/>
        <v>0</v>
      </c>
      <c r="AQC249" s="5">
        <f t="shared" si="17"/>
        <v>0</v>
      </c>
      <c r="AQD249" s="5">
        <f t="shared" si="17"/>
        <v>0</v>
      </c>
      <c r="AQE249" s="5">
        <f t="shared" si="17"/>
        <v>0</v>
      </c>
      <c r="AQF249" s="5">
        <f t="shared" si="17"/>
        <v>0</v>
      </c>
      <c r="AQG249" s="5">
        <f t="shared" si="17"/>
        <v>0</v>
      </c>
      <c r="AQH249" s="5">
        <f t="shared" si="17"/>
        <v>0</v>
      </c>
      <c r="AQI249" s="5">
        <f t="shared" si="17"/>
        <v>0</v>
      </c>
      <c r="AQJ249" s="5">
        <f t="shared" si="17"/>
        <v>0</v>
      </c>
      <c r="AQK249" s="5">
        <f t="shared" si="17"/>
        <v>0</v>
      </c>
      <c r="AQL249" s="5">
        <f t="shared" si="17"/>
        <v>0</v>
      </c>
      <c r="AQM249" s="5">
        <f t="shared" si="17"/>
        <v>0</v>
      </c>
      <c r="AQN249" s="5">
        <f t="shared" si="17"/>
        <v>0</v>
      </c>
      <c r="AQO249" s="5">
        <f t="shared" si="17"/>
        <v>0</v>
      </c>
      <c r="AQP249" s="5">
        <f t="shared" si="17"/>
        <v>0</v>
      </c>
      <c r="AQQ249" s="5">
        <f t="shared" si="17"/>
        <v>0</v>
      </c>
      <c r="AQR249" s="5">
        <f t="shared" si="17"/>
        <v>0</v>
      </c>
      <c r="AQS249" s="5">
        <f t="shared" si="17"/>
        <v>0</v>
      </c>
      <c r="AQT249" s="5">
        <f t="shared" si="17"/>
        <v>0</v>
      </c>
      <c r="AQU249" s="5">
        <f t="shared" si="17"/>
        <v>0</v>
      </c>
      <c r="AQV249" s="5">
        <f t="shared" si="17"/>
        <v>0</v>
      </c>
      <c r="AQW249" s="5">
        <f t="shared" si="17"/>
        <v>0</v>
      </c>
      <c r="AQX249" s="5">
        <f t="shared" si="17"/>
        <v>0</v>
      </c>
      <c r="AQY249" s="5">
        <f t="shared" si="17"/>
        <v>0</v>
      </c>
      <c r="AQZ249" s="5">
        <f t="shared" si="17"/>
        <v>0</v>
      </c>
      <c r="ARA249" s="5">
        <f t="shared" si="17"/>
        <v>0</v>
      </c>
      <c r="ARB249" s="5">
        <f t="shared" si="17"/>
        <v>0</v>
      </c>
      <c r="ARC249" s="5">
        <f t="shared" si="17"/>
        <v>0</v>
      </c>
      <c r="ARD249" s="5">
        <f t="shared" si="17"/>
        <v>0</v>
      </c>
      <c r="ARE249" s="5">
        <f t="shared" si="17"/>
        <v>0</v>
      </c>
      <c r="ARF249" s="5">
        <f t="shared" si="17"/>
        <v>0</v>
      </c>
      <c r="ARG249" s="5">
        <f t="shared" si="17"/>
        <v>0</v>
      </c>
      <c r="ARH249" s="5">
        <f t="shared" si="17"/>
        <v>0</v>
      </c>
      <c r="ARI249" s="5">
        <f t="shared" si="17"/>
        <v>0</v>
      </c>
      <c r="ARJ249" s="5">
        <f t="shared" si="17"/>
        <v>0</v>
      </c>
      <c r="ARK249" s="5">
        <f t="shared" si="17"/>
        <v>0</v>
      </c>
      <c r="ARL249" s="5">
        <f t="shared" si="17"/>
        <v>0</v>
      </c>
      <c r="ARM249" s="5">
        <f t="shared" si="17"/>
        <v>0</v>
      </c>
      <c r="ARN249" s="5">
        <f t="shared" si="17"/>
        <v>0</v>
      </c>
      <c r="ARO249" s="5">
        <f t="shared" si="17"/>
        <v>0</v>
      </c>
      <c r="ARP249" s="5">
        <f t="shared" si="17"/>
        <v>0</v>
      </c>
      <c r="ARQ249" s="5">
        <f t="shared" si="17"/>
        <v>0</v>
      </c>
      <c r="ARR249" s="5">
        <f t="shared" si="17"/>
        <v>0</v>
      </c>
      <c r="ARS249" s="5">
        <f t="shared" si="17"/>
        <v>0</v>
      </c>
      <c r="ART249" s="5">
        <f t="shared" si="17"/>
        <v>0</v>
      </c>
      <c r="ARU249" s="5">
        <f t="shared" si="17"/>
        <v>0</v>
      </c>
      <c r="ARV249" s="5">
        <f t="shared" si="17"/>
        <v>0</v>
      </c>
      <c r="ARW249" s="5">
        <f t="shared" si="17"/>
        <v>0</v>
      </c>
      <c r="ARX249" s="5">
        <f t="shared" si="17"/>
        <v>0</v>
      </c>
      <c r="ARY249" s="5">
        <f t="shared" si="17"/>
        <v>0</v>
      </c>
      <c r="ARZ249" s="5">
        <f t="shared" ref="ARZ249:AUK249" si="18">SUM(ARZ246:ARZ246)</f>
        <v>0</v>
      </c>
      <c r="ASA249" s="5">
        <f t="shared" si="18"/>
        <v>0</v>
      </c>
      <c r="ASB249" s="5">
        <f t="shared" si="18"/>
        <v>0</v>
      </c>
      <c r="ASC249" s="5">
        <f t="shared" si="18"/>
        <v>0</v>
      </c>
      <c r="ASD249" s="5">
        <f t="shared" si="18"/>
        <v>0</v>
      </c>
      <c r="ASE249" s="5">
        <f t="shared" si="18"/>
        <v>0</v>
      </c>
      <c r="ASF249" s="5">
        <f t="shared" si="18"/>
        <v>0</v>
      </c>
      <c r="ASG249" s="5">
        <f t="shared" si="18"/>
        <v>0</v>
      </c>
      <c r="ASH249" s="5">
        <f t="shared" si="18"/>
        <v>0</v>
      </c>
      <c r="ASI249" s="5">
        <f t="shared" si="18"/>
        <v>0</v>
      </c>
      <c r="ASJ249" s="5">
        <f t="shared" si="18"/>
        <v>0</v>
      </c>
      <c r="ASK249" s="5">
        <f t="shared" si="18"/>
        <v>0</v>
      </c>
      <c r="ASL249" s="5">
        <f t="shared" si="18"/>
        <v>0</v>
      </c>
      <c r="ASM249" s="5">
        <f t="shared" si="18"/>
        <v>0</v>
      </c>
      <c r="ASN249" s="5">
        <f t="shared" si="18"/>
        <v>0</v>
      </c>
      <c r="ASO249" s="5">
        <f t="shared" si="18"/>
        <v>0</v>
      </c>
      <c r="ASP249" s="5">
        <f t="shared" si="18"/>
        <v>0</v>
      </c>
      <c r="ASQ249" s="5">
        <f t="shared" si="18"/>
        <v>0</v>
      </c>
      <c r="ASR249" s="5">
        <f t="shared" si="18"/>
        <v>0</v>
      </c>
      <c r="ASS249" s="5">
        <f t="shared" si="18"/>
        <v>0</v>
      </c>
      <c r="AST249" s="5">
        <f t="shared" si="18"/>
        <v>0</v>
      </c>
      <c r="ASU249" s="5">
        <f t="shared" si="18"/>
        <v>0</v>
      </c>
      <c r="ASV249" s="5">
        <f t="shared" si="18"/>
        <v>0</v>
      </c>
      <c r="ASW249" s="5">
        <f t="shared" si="18"/>
        <v>0</v>
      </c>
      <c r="ASX249" s="5">
        <f t="shared" si="18"/>
        <v>0</v>
      </c>
      <c r="ASY249" s="5">
        <f t="shared" si="18"/>
        <v>0</v>
      </c>
      <c r="ASZ249" s="5">
        <f t="shared" si="18"/>
        <v>0</v>
      </c>
      <c r="ATA249" s="5">
        <f t="shared" si="18"/>
        <v>0</v>
      </c>
      <c r="ATB249" s="5">
        <f t="shared" si="18"/>
        <v>0</v>
      </c>
      <c r="ATC249" s="5">
        <f t="shared" si="18"/>
        <v>0</v>
      </c>
      <c r="ATD249" s="5">
        <f t="shared" si="18"/>
        <v>0</v>
      </c>
      <c r="ATE249" s="5">
        <f t="shared" si="18"/>
        <v>0</v>
      </c>
      <c r="ATF249" s="5">
        <f t="shared" si="18"/>
        <v>0</v>
      </c>
      <c r="ATG249" s="5">
        <f t="shared" si="18"/>
        <v>0</v>
      </c>
      <c r="ATH249" s="5">
        <f t="shared" si="18"/>
        <v>0</v>
      </c>
      <c r="ATI249" s="5">
        <f t="shared" si="18"/>
        <v>0</v>
      </c>
      <c r="ATJ249" s="5">
        <f t="shared" si="18"/>
        <v>0</v>
      </c>
      <c r="ATK249" s="5">
        <f t="shared" si="18"/>
        <v>0</v>
      </c>
      <c r="ATL249" s="5">
        <f t="shared" si="18"/>
        <v>0</v>
      </c>
      <c r="ATM249" s="5">
        <f t="shared" si="18"/>
        <v>0</v>
      </c>
      <c r="ATN249" s="5">
        <f t="shared" si="18"/>
        <v>0</v>
      </c>
      <c r="ATO249" s="5">
        <f t="shared" si="18"/>
        <v>0</v>
      </c>
      <c r="ATP249" s="5">
        <f t="shared" si="18"/>
        <v>0</v>
      </c>
      <c r="ATQ249" s="5">
        <f t="shared" si="18"/>
        <v>0</v>
      </c>
      <c r="ATR249" s="5">
        <f t="shared" si="18"/>
        <v>0</v>
      </c>
      <c r="ATS249" s="5">
        <f t="shared" si="18"/>
        <v>0</v>
      </c>
      <c r="ATT249" s="5">
        <f t="shared" si="18"/>
        <v>0</v>
      </c>
      <c r="ATU249" s="5">
        <f t="shared" si="18"/>
        <v>0</v>
      </c>
      <c r="ATV249" s="5">
        <f t="shared" si="18"/>
        <v>0</v>
      </c>
      <c r="ATW249" s="5">
        <f t="shared" si="18"/>
        <v>0</v>
      </c>
      <c r="ATX249" s="5">
        <f t="shared" si="18"/>
        <v>0</v>
      </c>
      <c r="ATY249" s="5">
        <f t="shared" si="18"/>
        <v>0</v>
      </c>
      <c r="ATZ249" s="5">
        <f t="shared" si="18"/>
        <v>0</v>
      </c>
      <c r="AUA249" s="5">
        <f t="shared" si="18"/>
        <v>0</v>
      </c>
      <c r="AUB249" s="5">
        <f t="shared" si="18"/>
        <v>0</v>
      </c>
      <c r="AUC249" s="5">
        <f t="shared" si="18"/>
        <v>0</v>
      </c>
      <c r="AUD249" s="5">
        <f t="shared" si="18"/>
        <v>0</v>
      </c>
      <c r="AUE249" s="5">
        <f t="shared" si="18"/>
        <v>0</v>
      </c>
      <c r="AUF249" s="5">
        <f t="shared" si="18"/>
        <v>0</v>
      </c>
      <c r="AUG249" s="5">
        <f t="shared" si="18"/>
        <v>0</v>
      </c>
      <c r="AUH249" s="5">
        <f t="shared" si="18"/>
        <v>0</v>
      </c>
      <c r="AUI249" s="5">
        <f t="shared" si="18"/>
        <v>0</v>
      </c>
      <c r="AUJ249" s="5">
        <f t="shared" si="18"/>
        <v>0</v>
      </c>
      <c r="AUK249" s="5">
        <f t="shared" si="18"/>
        <v>0</v>
      </c>
      <c r="AUL249" s="5">
        <f t="shared" ref="AUL249:AWW249" si="19">SUM(AUL246:AUL246)</f>
        <v>0</v>
      </c>
      <c r="AUM249" s="5">
        <f t="shared" si="19"/>
        <v>0</v>
      </c>
      <c r="AUN249" s="5">
        <f t="shared" si="19"/>
        <v>0</v>
      </c>
      <c r="AUO249" s="5">
        <f t="shared" si="19"/>
        <v>0</v>
      </c>
      <c r="AUP249" s="5">
        <f t="shared" si="19"/>
        <v>0</v>
      </c>
      <c r="AUQ249" s="5">
        <f t="shared" si="19"/>
        <v>0</v>
      </c>
      <c r="AUR249" s="5">
        <f t="shared" si="19"/>
        <v>0</v>
      </c>
      <c r="AUS249" s="5">
        <f t="shared" si="19"/>
        <v>0</v>
      </c>
      <c r="AUT249" s="5">
        <f t="shared" si="19"/>
        <v>0</v>
      </c>
      <c r="AUU249" s="5">
        <f t="shared" si="19"/>
        <v>0</v>
      </c>
      <c r="AUV249" s="5">
        <f t="shared" si="19"/>
        <v>0</v>
      </c>
      <c r="AUW249" s="5">
        <f t="shared" si="19"/>
        <v>0</v>
      </c>
      <c r="AUX249" s="5">
        <f t="shared" si="19"/>
        <v>0</v>
      </c>
      <c r="AUY249" s="5">
        <f t="shared" si="19"/>
        <v>0</v>
      </c>
      <c r="AUZ249" s="5">
        <f t="shared" si="19"/>
        <v>0</v>
      </c>
      <c r="AVA249" s="5">
        <f t="shared" si="19"/>
        <v>0</v>
      </c>
      <c r="AVB249" s="5">
        <f t="shared" si="19"/>
        <v>0</v>
      </c>
      <c r="AVC249" s="5">
        <f t="shared" si="19"/>
        <v>0</v>
      </c>
      <c r="AVD249" s="5">
        <f t="shared" si="19"/>
        <v>0</v>
      </c>
      <c r="AVE249" s="5">
        <f t="shared" si="19"/>
        <v>0</v>
      </c>
      <c r="AVF249" s="5">
        <f t="shared" si="19"/>
        <v>0</v>
      </c>
      <c r="AVG249" s="5">
        <f t="shared" si="19"/>
        <v>0</v>
      </c>
      <c r="AVH249" s="5">
        <f t="shared" si="19"/>
        <v>0</v>
      </c>
      <c r="AVI249" s="5">
        <f t="shared" si="19"/>
        <v>0</v>
      </c>
      <c r="AVJ249" s="5">
        <f t="shared" si="19"/>
        <v>0</v>
      </c>
      <c r="AVK249" s="5">
        <f t="shared" si="19"/>
        <v>0</v>
      </c>
      <c r="AVL249" s="5">
        <f t="shared" si="19"/>
        <v>0</v>
      </c>
      <c r="AVM249" s="5">
        <f t="shared" si="19"/>
        <v>0</v>
      </c>
      <c r="AVN249" s="5">
        <f t="shared" si="19"/>
        <v>0</v>
      </c>
      <c r="AVO249" s="5">
        <f t="shared" si="19"/>
        <v>0</v>
      </c>
      <c r="AVP249" s="5">
        <f t="shared" si="19"/>
        <v>0</v>
      </c>
      <c r="AVQ249" s="5">
        <f t="shared" si="19"/>
        <v>0</v>
      </c>
      <c r="AVR249" s="5">
        <f t="shared" si="19"/>
        <v>0</v>
      </c>
      <c r="AVS249" s="5">
        <f t="shared" si="19"/>
        <v>0</v>
      </c>
      <c r="AVT249" s="5">
        <f t="shared" si="19"/>
        <v>0</v>
      </c>
      <c r="AVU249" s="5">
        <f t="shared" si="19"/>
        <v>0</v>
      </c>
      <c r="AVV249" s="5">
        <f t="shared" si="19"/>
        <v>0</v>
      </c>
      <c r="AVW249" s="5">
        <f t="shared" si="19"/>
        <v>0</v>
      </c>
      <c r="AVX249" s="5">
        <f t="shared" si="19"/>
        <v>0</v>
      </c>
      <c r="AVY249" s="5">
        <f t="shared" si="19"/>
        <v>0</v>
      </c>
      <c r="AVZ249" s="5">
        <f t="shared" si="19"/>
        <v>0</v>
      </c>
      <c r="AWA249" s="5">
        <f t="shared" si="19"/>
        <v>0</v>
      </c>
      <c r="AWB249" s="5">
        <f t="shared" si="19"/>
        <v>0</v>
      </c>
      <c r="AWC249" s="5">
        <f t="shared" si="19"/>
        <v>0</v>
      </c>
      <c r="AWD249" s="5">
        <f t="shared" si="19"/>
        <v>0</v>
      </c>
      <c r="AWE249" s="5">
        <f t="shared" si="19"/>
        <v>0</v>
      </c>
      <c r="AWF249" s="5">
        <f t="shared" si="19"/>
        <v>0</v>
      </c>
      <c r="AWG249" s="5">
        <f t="shared" si="19"/>
        <v>0</v>
      </c>
      <c r="AWH249" s="5">
        <f t="shared" si="19"/>
        <v>0</v>
      </c>
      <c r="AWI249" s="5">
        <f t="shared" si="19"/>
        <v>0</v>
      </c>
      <c r="AWJ249" s="5">
        <f t="shared" si="19"/>
        <v>0</v>
      </c>
      <c r="AWK249" s="5">
        <f t="shared" si="19"/>
        <v>0</v>
      </c>
      <c r="AWL249" s="5">
        <f t="shared" si="19"/>
        <v>0</v>
      </c>
      <c r="AWM249" s="5">
        <f t="shared" si="19"/>
        <v>0</v>
      </c>
      <c r="AWN249" s="5">
        <f t="shared" si="19"/>
        <v>0</v>
      </c>
      <c r="AWO249" s="5">
        <f t="shared" si="19"/>
        <v>0</v>
      </c>
      <c r="AWP249" s="5">
        <f t="shared" si="19"/>
        <v>0</v>
      </c>
      <c r="AWQ249" s="5">
        <f t="shared" si="19"/>
        <v>0</v>
      </c>
      <c r="AWR249" s="5">
        <f t="shared" si="19"/>
        <v>0</v>
      </c>
      <c r="AWS249" s="5">
        <f t="shared" si="19"/>
        <v>0</v>
      </c>
      <c r="AWT249" s="5">
        <f t="shared" si="19"/>
        <v>0</v>
      </c>
      <c r="AWU249" s="5">
        <f t="shared" si="19"/>
        <v>0</v>
      </c>
      <c r="AWV249" s="5">
        <f t="shared" si="19"/>
        <v>0</v>
      </c>
      <c r="AWW249" s="5">
        <f t="shared" si="19"/>
        <v>0</v>
      </c>
      <c r="AWX249" s="5">
        <f t="shared" ref="AWX249:AZI249" si="20">SUM(AWX246:AWX246)</f>
        <v>0</v>
      </c>
      <c r="AWY249" s="5">
        <f t="shared" si="20"/>
        <v>0</v>
      </c>
      <c r="AWZ249" s="5">
        <f t="shared" si="20"/>
        <v>0</v>
      </c>
      <c r="AXA249" s="5">
        <f t="shared" si="20"/>
        <v>0</v>
      </c>
      <c r="AXB249" s="5">
        <f t="shared" si="20"/>
        <v>0</v>
      </c>
      <c r="AXC249" s="5">
        <f t="shared" si="20"/>
        <v>0</v>
      </c>
      <c r="AXD249" s="5">
        <f t="shared" si="20"/>
        <v>0</v>
      </c>
      <c r="AXE249" s="5">
        <f t="shared" si="20"/>
        <v>0</v>
      </c>
      <c r="AXF249" s="5">
        <f t="shared" si="20"/>
        <v>0</v>
      </c>
      <c r="AXG249" s="5">
        <f t="shared" si="20"/>
        <v>0</v>
      </c>
      <c r="AXH249" s="5">
        <f t="shared" si="20"/>
        <v>0</v>
      </c>
      <c r="AXI249" s="5">
        <f t="shared" si="20"/>
        <v>0</v>
      </c>
      <c r="AXJ249" s="5">
        <f t="shared" si="20"/>
        <v>0</v>
      </c>
      <c r="AXK249" s="5">
        <f t="shared" si="20"/>
        <v>0</v>
      </c>
      <c r="AXL249" s="5">
        <f t="shared" si="20"/>
        <v>0</v>
      </c>
      <c r="AXM249" s="5">
        <f t="shared" si="20"/>
        <v>0</v>
      </c>
      <c r="AXN249" s="5">
        <f t="shared" si="20"/>
        <v>0</v>
      </c>
      <c r="AXO249" s="5">
        <f t="shared" si="20"/>
        <v>0</v>
      </c>
      <c r="AXP249" s="5">
        <f t="shared" si="20"/>
        <v>0</v>
      </c>
      <c r="AXQ249" s="5">
        <f t="shared" si="20"/>
        <v>0</v>
      </c>
      <c r="AXR249" s="5">
        <f t="shared" si="20"/>
        <v>0</v>
      </c>
      <c r="AXS249" s="5">
        <f t="shared" si="20"/>
        <v>0</v>
      </c>
      <c r="AXT249" s="5">
        <f t="shared" si="20"/>
        <v>0</v>
      </c>
      <c r="AXU249" s="5">
        <f t="shared" si="20"/>
        <v>0</v>
      </c>
      <c r="AXV249" s="5">
        <f t="shared" si="20"/>
        <v>0</v>
      </c>
      <c r="AXW249" s="5">
        <f t="shared" si="20"/>
        <v>0</v>
      </c>
      <c r="AXX249" s="5">
        <f t="shared" si="20"/>
        <v>0</v>
      </c>
      <c r="AXY249" s="5">
        <f t="shared" si="20"/>
        <v>0</v>
      </c>
      <c r="AXZ249" s="5">
        <f t="shared" si="20"/>
        <v>0</v>
      </c>
      <c r="AYA249" s="5">
        <f t="shared" si="20"/>
        <v>0</v>
      </c>
      <c r="AYB249" s="5">
        <f t="shared" si="20"/>
        <v>0</v>
      </c>
      <c r="AYC249" s="5">
        <f t="shared" si="20"/>
        <v>0</v>
      </c>
      <c r="AYD249" s="5">
        <f t="shared" si="20"/>
        <v>0</v>
      </c>
      <c r="AYE249" s="5">
        <f t="shared" si="20"/>
        <v>0</v>
      </c>
      <c r="AYF249" s="5">
        <f t="shared" si="20"/>
        <v>0</v>
      </c>
      <c r="AYG249" s="5">
        <f t="shared" si="20"/>
        <v>0</v>
      </c>
      <c r="AYH249" s="5">
        <f t="shared" si="20"/>
        <v>0</v>
      </c>
      <c r="AYI249" s="5">
        <f t="shared" si="20"/>
        <v>0</v>
      </c>
      <c r="AYJ249" s="5">
        <f t="shared" si="20"/>
        <v>0</v>
      </c>
      <c r="AYK249" s="5">
        <f t="shared" si="20"/>
        <v>0</v>
      </c>
      <c r="AYL249" s="5">
        <f t="shared" si="20"/>
        <v>0</v>
      </c>
      <c r="AYM249" s="5">
        <f t="shared" si="20"/>
        <v>0</v>
      </c>
      <c r="AYN249" s="5">
        <f t="shared" si="20"/>
        <v>0</v>
      </c>
      <c r="AYO249" s="5">
        <f t="shared" si="20"/>
        <v>0</v>
      </c>
      <c r="AYP249" s="5">
        <f t="shared" si="20"/>
        <v>0</v>
      </c>
      <c r="AYQ249" s="5">
        <f t="shared" si="20"/>
        <v>0</v>
      </c>
      <c r="AYR249" s="5">
        <f t="shared" si="20"/>
        <v>0</v>
      </c>
      <c r="AYS249" s="5">
        <f t="shared" si="20"/>
        <v>0</v>
      </c>
      <c r="AYT249" s="5">
        <f t="shared" si="20"/>
        <v>0</v>
      </c>
      <c r="AYU249" s="5">
        <f t="shared" si="20"/>
        <v>0</v>
      </c>
      <c r="AYV249" s="5">
        <f t="shared" si="20"/>
        <v>0</v>
      </c>
      <c r="AYW249" s="5">
        <f t="shared" si="20"/>
        <v>0</v>
      </c>
      <c r="AYX249" s="5">
        <f t="shared" si="20"/>
        <v>0</v>
      </c>
      <c r="AYY249" s="5">
        <f t="shared" si="20"/>
        <v>0</v>
      </c>
      <c r="AYZ249" s="5">
        <f t="shared" si="20"/>
        <v>0</v>
      </c>
      <c r="AZA249" s="5">
        <f t="shared" si="20"/>
        <v>0</v>
      </c>
      <c r="AZB249" s="5">
        <f t="shared" si="20"/>
        <v>0</v>
      </c>
      <c r="AZC249" s="5">
        <f t="shared" si="20"/>
        <v>0</v>
      </c>
      <c r="AZD249" s="5">
        <f t="shared" si="20"/>
        <v>0</v>
      </c>
      <c r="AZE249" s="5">
        <f t="shared" si="20"/>
        <v>0</v>
      </c>
      <c r="AZF249" s="5">
        <f t="shared" si="20"/>
        <v>0</v>
      </c>
      <c r="AZG249" s="5">
        <f t="shared" si="20"/>
        <v>0</v>
      </c>
      <c r="AZH249" s="5">
        <f t="shared" si="20"/>
        <v>0</v>
      </c>
      <c r="AZI249" s="5">
        <f t="shared" si="20"/>
        <v>0</v>
      </c>
      <c r="AZJ249" s="5">
        <f t="shared" ref="AZJ249:BBU249" si="21">SUM(AZJ246:AZJ246)</f>
        <v>0</v>
      </c>
      <c r="AZK249" s="5">
        <f t="shared" si="21"/>
        <v>0</v>
      </c>
      <c r="AZL249" s="5">
        <f t="shared" si="21"/>
        <v>0</v>
      </c>
      <c r="AZM249" s="5">
        <f t="shared" si="21"/>
        <v>0</v>
      </c>
      <c r="AZN249" s="5">
        <f t="shared" si="21"/>
        <v>0</v>
      </c>
      <c r="AZO249" s="5">
        <f t="shared" si="21"/>
        <v>0</v>
      </c>
      <c r="AZP249" s="5">
        <f t="shared" si="21"/>
        <v>0</v>
      </c>
      <c r="AZQ249" s="5">
        <f t="shared" si="21"/>
        <v>0</v>
      </c>
      <c r="AZR249" s="5">
        <f t="shared" si="21"/>
        <v>0</v>
      </c>
      <c r="AZS249" s="5">
        <f t="shared" si="21"/>
        <v>0</v>
      </c>
      <c r="AZT249" s="5">
        <f t="shared" si="21"/>
        <v>0</v>
      </c>
      <c r="AZU249" s="5">
        <f t="shared" si="21"/>
        <v>0</v>
      </c>
      <c r="AZV249" s="5">
        <f t="shared" si="21"/>
        <v>0</v>
      </c>
      <c r="AZW249" s="5">
        <f t="shared" si="21"/>
        <v>0</v>
      </c>
      <c r="AZX249" s="5">
        <f t="shared" si="21"/>
        <v>0</v>
      </c>
      <c r="AZY249" s="5">
        <f t="shared" si="21"/>
        <v>0</v>
      </c>
      <c r="AZZ249" s="5">
        <f t="shared" si="21"/>
        <v>0</v>
      </c>
      <c r="BAA249" s="5">
        <f t="shared" si="21"/>
        <v>0</v>
      </c>
      <c r="BAB249" s="5">
        <f t="shared" si="21"/>
        <v>0</v>
      </c>
      <c r="BAC249" s="5">
        <f t="shared" si="21"/>
        <v>0</v>
      </c>
      <c r="BAD249" s="5">
        <f t="shared" si="21"/>
        <v>0</v>
      </c>
      <c r="BAE249" s="5">
        <f t="shared" si="21"/>
        <v>0</v>
      </c>
      <c r="BAF249" s="5">
        <f t="shared" si="21"/>
        <v>0</v>
      </c>
      <c r="BAG249" s="5">
        <f t="shared" si="21"/>
        <v>0</v>
      </c>
      <c r="BAH249" s="5">
        <f t="shared" si="21"/>
        <v>0</v>
      </c>
      <c r="BAI249" s="5">
        <f t="shared" si="21"/>
        <v>0</v>
      </c>
      <c r="BAJ249" s="5">
        <f t="shared" si="21"/>
        <v>0</v>
      </c>
      <c r="BAK249" s="5">
        <f t="shared" si="21"/>
        <v>0</v>
      </c>
      <c r="BAL249" s="5">
        <f t="shared" si="21"/>
        <v>0</v>
      </c>
      <c r="BAM249" s="5">
        <f t="shared" si="21"/>
        <v>0</v>
      </c>
      <c r="BAN249" s="5">
        <f t="shared" si="21"/>
        <v>0</v>
      </c>
      <c r="BAO249" s="5">
        <f t="shared" si="21"/>
        <v>0</v>
      </c>
      <c r="BAP249" s="5">
        <f t="shared" si="21"/>
        <v>0</v>
      </c>
      <c r="BAQ249" s="5">
        <f t="shared" si="21"/>
        <v>0</v>
      </c>
      <c r="BAR249" s="5">
        <f t="shared" si="21"/>
        <v>0</v>
      </c>
      <c r="BAS249" s="5">
        <f t="shared" si="21"/>
        <v>0</v>
      </c>
      <c r="BAT249" s="5">
        <f t="shared" si="21"/>
        <v>0</v>
      </c>
      <c r="BAU249" s="5">
        <f t="shared" si="21"/>
        <v>0</v>
      </c>
      <c r="BAV249" s="5">
        <f t="shared" si="21"/>
        <v>0</v>
      </c>
      <c r="BAW249" s="5">
        <f t="shared" si="21"/>
        <v>0</v>
      </c>
      <c r="BAX249" s="5">
        <f t="shared" si="21"/>
        <v>0</v>
      </c>
      <c r="BAY249" s="5">
        <f t="shared" si="21"/>
        <v>0</v>
      </c>
      <c r="BAZ249" s="5">
        <f t="shared" si="21"/>
        <v>0</v>
      </c>
      <c r="BBA249" s="5">
        <f t="shared" si="21"/>
        <v>0</v>
      </c>
      <c r="BBB249" s="5">
        <f t="shared" si="21"/>
        <v>0</v>
      </c>
      <c r="BBC249" s="5">
        <f t="shared" si="21"/>
        <v>0</v>
      </c>
      <c r="BBD249" s="5">
        <f t="shared" si="21"/>
        <v>0</v>
      </c>
      <c r="BBE249" s="5">
        <f t="shared" si="21"/>
        <v>0</v>
      </c>
      <c r="BBF249" s="5">
        <f t="shared" si="21"/>
        <v>0</v>
      </c>
      <c r="BBG249" s="5">
        <f t="shared" si="21"/>
        <v>0</v>
      </c>
      <c r="BBH249" s="5">
        <f t="shared" si="21"/>
        <v>0</v>
      </c>
      <c r="BBI249" s="5">
        <f t="shared" si="21"/>
        <v>0</v>
      </c>
      <c r="BBJ249" s="5">
        <f t="shared" si="21"/>
        <v>0</v>
      </c>
      <c r="BBK249" s="5">
        <f t="shared" si="21"/>
        <v>0</v>
      </c>
      <c r="BBL249" s="5">
        <f t="shared" si="21"/>
        <v>0</v>
      </c>
      <c r="BBM249" s="5">
        <f t="shared" si="21"/>
        <v>0</v>
      </c>
      <c r="BBN249" s="5">
        <f t="shared" si="21"/>
        <v>0</v>
      </c>
      <c r="BBO249" s="5">
        <f t="shared" si="21"/>
        <v>0</v>
      </c>
      <c r="BBP249" s="5">
        <f t="shared" si="21"/>
        <v>0</v>
      </c>
      <c r="BBQ249" s="5">
        <f t="shared" si="21"/>
        <v>0</v>
      </c>
      <c r="BBR249" s="5">
        <f t="shared" si="21"/>
        <v>0</v>
      </c>
      <c r="BBS249" s="5">
        <f t="shared" si="21"/>
        <v>0</v>
      </c>
      <c r="BBT249" s="5">
        <f t="shared" si="21"/>
        <v>0</v>
      </c>
      <c r="BBU249" s="5">
        <f t="shared" si="21"/>
        <v>0</v>
      </c>
      <c r="BBV249" s="5">
        <f t="shared" ref="BBV249:BEG249" si="22">SUM(BBV246:BBV246)</f>
        <v>0</v>
      </c>
      <c r="BBW249" s="5">
        <f t="shared" si="22"/>
        <v>0</v>
      </c>
      <c r="BBX249" s="5">
        <f t="shared" si="22"/>
        <v>0</v>
      </c>
      <c r="BBY249" s="5">
        <f t="shared" si="22"/>
        <v>0</v>
      </c>
      <c r="BBZ249" s="5">
        <f t="shared" si="22"/>
        <v>0</v>
      </c>
      <c r="BCA249" s="5">
        <f t="shared" si="22"/>
        <v>0</v>
      </c>
      <c r="BCB249" s="5">
        <f t="shared" si="22"/>
        <v>0</v>
      </c>
      <c r="BCC249" s="5">
        <f t="shared" si="22"/>
        <v>0</v>
      </c>
      <c r="BCD249" s="5">
        <f t="shared" si="22"/>
        <v>0</v>
      </c>
      <c r="BCE249" s="5">
        <f t="shared" si="22"/>
        <v>0</v>
      </c>
      <c r="BCF249" s="5">
        <f t="shared" si="22"/>
        <v>0</v>
      </c>
      <c r="BCG249" s="5">
        <f t="shared" si="22"/>
        <v>0</v>
      </c>
      <c r="BCH249" s="5">
        <f t="shared" si="22"/>
        <v>0</v>
      </c>
      <c r="BCI249" s="5">
        <f t="shared" si="22"/>
        <v>0</v>
      </c>
      <c r="BCJ249" s="5">
        <f t="shared" si="22"/>
        <v>0</v>
      </c>
      <c r="BCK249" s="5">
        <f t="shared" si="22"/>
        <v>0</v>
      </c>
      <c r="BCL249" s="5">
        <f t="shared" si="22"/>
        <v>0</v>
      </c>
      <c r="BCM249" s="5">
        <f t="shared" si="22"/>
        <v>0</v>
      </c>
      <c r="BCN249" s="5">
        <f t="shared" si="22"/>
        <v>0</v>
      </c>
      <c r="BCO249" s="5">
        <f t="shared" si="22"/>
        <v>0</v>
      </c>
      <c r="BCP249" s="5">
        <f t="shared" si="22"/>
        <v>0</v>
      </c>
      <c r="BCQ249" s="5">
        <f t="shared" si="22"/>
        <v>0</v>
      </c>
      <c r="BCR249" s="5">
        <f t="shared" si="22"/>
        <v>0</v>
      </c>
      <c r="BCS249" s="5">
        <f t="shared" si="22"/>
        <v>0</v>
      </c>
      <c r="BCT249" s="5">
        <f t="shared" si="22"/>
        <v>0</v>
      </c>
      <c r="BCU249" s="5">
        <f t="shared" si="22"/>
        <v>0</v>
      </c>
      <c r="BCV249" s="5">
        <f t="shared" si="22"/>
        <v>0</v>
      </c>
      <c r="BCW249" s="5">
        <f t="shared" si="22"/>
        <v>0</v>
      </c>
      <c r="BCX249" s="5">
        <f t="shared" si="22"/>
        <v>0</v>
      </c>
      <c r="BCY249" s="5">
        <f t="shared" si="22"/>
        <v>0</v>
      </c>
      <c r="BCZ249" s="5">
        <f t="shared" si="22"/>
        <v>0</v>
      </c>
      <c r="BDA249" s="5">
        <f t="shared" si="22"/>
        <v>0</v>
      </c>
      <c r="BDB249" s="5">
        <f t="shared" si="22"/>
        <v>0</v>
      </c>
      <c r="BDC249" s="5">
        <f t="shared" si="22"/>
        <v>0</v>
      </c>
      <c r="BDD249" s="5">
        <f t="shared" si="22"/>
        <v>0</v>
      </c>
      <c r="BDE249" s="5">
        <f t="shared" si="22"/>
        <v>0</v>
      </c>
      <c r="BDF249" s="5">
        <f t="shared" si="22"/>
        <v>0</v>
      </c>
      <c r="BDG249" s="5">
        <f t="shared" si="22"/>
        <v>0</v>
      </c>
      <c r="BDH249" s="5">
        <f t="shared" si="22"/>
        <v>0</v>
      </c>
      <c r="BDI249" s="5">
        <f t="shared" si="22"/>
        <v>0</v>
      </c>
      <c r="BDJ249" s="5">
        <f t="shared" si="22"/>
        <v>0</v>
      </c>
      <c r="BDK249" s="5">
        <f t="shared" si="22"/>
        <v>0</v>
      </c>
      <c r="BDL249" s="5">
        <f t="shared" si="22"/>
        <v>0</v>
      </c>
      <c r="BDM249" s="5">
        <f t="shared" si="22"/>
        <v>0</v>
      </c>
      <c r="BDN249" s="5">
        <f t="shared" si="22"/>
        <v>0</v>
      </c>
      <c r="BDO249" s="5">
        <f t="shared" si="22"/>
        <v>0</v>
      </c>
      <c r="BDP249" s="5">
        <f t="shared" si="22"/>
        <v>0</v>
      </c>
      <c r="BDQ249" s="5">
        <f t="shared" si="22"/>
        <v>0</v>
      </c>
      <c r="BDR249" s="5">
        <f t="shared" si="22"/>
        <v>0</v>
      </c>
      <c r="BDS249" s="5">
        <f t="shared" si="22"/>
        <v>0</v>
      </c>
      <c r="BDT249" s="5">
        <f t="shared" si="22"/>
        <v>0</v>
      </c>
      <c r="BDU249" s="5">
        <f t="shared" si="22"/>
        <v>0</v>
      </c>
      <c r="BDV249" s="5">
        <f t="shared" si="22"/>
        <v>0</v>
      </c>
      <c r="BDW249" s="5">
        <f t="shared" si="22"/>
        <v>0</v>
      </c>
      <c r="BDX249" s="5">
        <f t="shared" si="22"/>
        <v>0</v>
      </c>
      <c r="BDY249" s="5">
        <f t="shared" si="22"/>
        <v>0</v>
      </c>
      <c r="BDZ249" s="5">
        <f t="shared" si="22"/>
        <v>0</v>
      </c>
      <c r="BEA249" s="5">
        <f t="shared" si="22"/>
        <v>0</v>
      </c>
      <c r="BEB249" s="5">
        <f t="shared" si="22"/>
        <v>0</v>
      </c>
      <c r="BEC249" s="5">
        <f t="shared" si="22"/>
        <v>0</v>
      </c>
      <c r="BED249" s="5">
        <f t="shared" si="22"/>
        <v>0</v>
      </c>
      <c r="BEE249" s="5">
        <f t="shared" si="22"/>
        <v>0</v>
      </c>
      <c r="BEF249" s="5">
        <f t="shared" si="22"/>
        <v>0</v>
      </c>
      <c r="BEG249" s="5">
        <f t="shared" si="22"/>
        <v>0</v>
      </c>
      <c r="BEH249" s="5">
        <f t="shared" ref="BEH249:BGS249" si="23">SUM(BEH246:BEH246)</f>
        <v>0</v>
      </c>
      <c r="BEI249" s="5">
        <f t="shared" si="23"/>
        <v>0</v>
      </c>
      <c r="BEJ249" s="5">
        <f t="shared" si="23"/>
        <v>0</v>
      </c>
      <c r="BEK249" s="5">
        <f t="shared" si="23"/>
        <v>0</v>
      </c>
      <c r="BEL249" s="5">
        <f t="shared" si="23"/>
        <v>0</v>
      </c>
      <c r="BEM249" s="5">
        <f t="shared" si="23"/>
        <v>0</v>
      </c>
      <c r="BEN249" s="5">
        <f t="shared" si="23"/>
        <v>0</v>
      </c>
      <c r="BEO249" s="5">
        <f t="shared" si="23"/>
        <v>0</v>
      </c>
      <c r="BEP249" s="5">
        <f t="shared" si="23"/>
        <v>0</v>
      </c>
      <c r="BEQ249" s="5">
        <f t="shared" si="23"/>
        <v>0</v>
      </c>
      <c r="BER249" s="5">
        <f t="shared" si="23"/>
        <v>0</v>
      </c>
      <c r="BES249" s="5">
        <f t="shared" si="23"/>
        <v>0</v>
      </c>
      <c r="BET249" s="5">
        <f t="shared" si="23"/>
        <v>0</v>
      </c>
      <c r="BEU249" s="5">
        <f t="shared" si="23"/>
        <v>0</v>
      </c>
      <c r="BEV249" s="5">
        <f t="shared" si="23"/>
        <v>0</v>
      </c>
      <c r="BEW249" s="5">
        <f t="shared" si="23"/>
        <v>0</v>
      </c>
      <c r="BEX249" s="5">
        <f t="shared" si="23"/>
        <v>0</v>
      </c>
      <c r="BEY249" s="5">
        <f t="shared" si="23"/>
        <v>0</v>
      </c>
      <c r="BEZ249" s="5">
        <f t="shared" si="23"/>
        <v>0</v>
      </c>
      <c r="BFA249" s="5">
        <f t="shared" si="23"/>
        <v>0</v>
      </c>
      <c r="BFB249" s="5">
        <f t="shared" si="23"/>
        <v>0</v>
      </c>
      <c r="BFC249" s="5">
        <f t="shared" si="23"/>
        <v>0</v>
      </c>
      <c r="BFD249" s="5">
        <f t="shared" si="23"/>
        <v>0</v>
      </c>
      <c r="BFE249" s="5">
        <f t="shared" si="23"/>
        <v>0</v>
      </c>
      <c r="BFF249" s="5">
        <f t="shared" si="23"/>
        <v>0</v>
      </c>
      <c r="BFG249" s="5">
        <f t="shared" si="23"/>
        <v>0</v>
      </c>
      <c r="BFH249" s="5">
        <f t="shared" si="23"/>
        <v>0</v>
      </c>
      <c r="BFI249" s="5">
        <f t="shared" si="23"/>
        <v>0</v>
      </c>
      <c r="BFJ249" s="5">
        <f t="shared" si="23"/>
        <v>0</v>
      </c>
      <c r="BFK249" s="5">
        <f t="shared" si="23"/>
        <v>0</v>
      </c>
      <c r="BFL249" s="5">
        <f t="shared" si="23"/>
        <v>0</v>
      </c>
      <c r="BFM249" s="5">
        <f t="shared" si="23"/>
        <v>0</v>
      </c>
      <c r="BFN249" s="5">
        <f t="shared" si="23"/>
        <v>0</v>
      </c>
      <c r="BFO249" s="5">
        <f t="shared" si="23"/>
        <v>0</v>
      </c>
      <c r="BFP249" s="5">
        <f t="shared" si="23"/>
        <v>0</v>
      </c>
      <c r="BFQ249" s="5">
        <f t="shared" si="23"/>
        <v>0</v>
      </c>
      <c r="BFR249" s="5">
        <f t="shared" si="23"/>
        <v>0</v>
      </c>
      <c r="BFS249" s="5">
        <f t="shared" si="23"/>
        <v>0</v>
      </c>
      <c r="BFT249" s="5">
        <f t="shared" si="23"/>
        <v>0</v>
      </c>
      <c r="BFU249" s="5">
        <f t="shared" si="23"/>
        <v>0</v>
      </c>
      <c r="BFV249" s="5">
        <f t="shared" si="23"/>
        <v>0</v>
      </c>
      <c r="BFW249" s="5">
        <f t="shared" si="23"/>
        <v>0</v>
      </c>
      <c r="BFX249" s="5">
        <f t="shared" si="23"/>
        <v>0</v>
      </c>
      <c r="BFY249" s="5">
        <f t="shared" si="23"/>
        <v>0</v>
      </c>
      <c r="BFZ249" s="5">
        <f t="shared" si="23"/>
        <v>0</v>
      </c>
      <c r="BGA249" s="5">
        <f t="shared" si="23"/>
        <v>0</v>
      </c>
      <c r="BGB249" s="5">
        <f t="shared" si="23"/>
        <v>0</v>
      </c>
      <c r="BGC249" s="5">
        <f t="shared" si="23"/>
        <v>0</v>
      </c>
      <c r="BGD249" s="5">
        <f t="shared" si="23"/>
        <v>0</v>
      </c>
      <c r="BGE249" s="5">
        <f t="shared" si="23"/>
        <v>0</v>
      </c>
      <c r="BGF249" s="5">
        <f t="shared" si="23"/>
        <v>0</v>
      </c>
      <c r="BGG249" s="5">
        <f t="shared" si="23"/>
        <v>0</v>
      </c>
      <c r="BGH249" s="5">
        <f t="shared" si="23"/>
        <v>0</v>
      </c>
      <c r="BGI249" s="5">
        <f t="shared" si="23"/>
        <v>0</v>
      </c>
      <c r="BGJ249" s="5">
        <f t="shared" si="23"/>
        <v>0</v>
      </c>
      <c r="BGK249" s="5">
        <f t="shared" si="23"/>
        <v>0</v>
      </c>
      <c r="BGL249" s="5">
        <f t="shared" si="23"/>
        <v>0</v>
      </c>
      <c r="BGM249" s="5">
        <f t="shared" si="23"/>
        <v>0</v>
      </c>
      <c r="BGN249" s="5">
        <f t="shared" si="23"/>
        <v>0</v>
      </c>
      <c r="BGO249" s="5">
        <f t="shared" si="23"/>
        <v>0</v>
      </c>
      <c r="BGP249" s="5">
        <f t="shared" si="23"/>
        <v>0</v>
      </c>
      <c r="BGQ249" s="5">
        <f t="shared" si="23"/>
        <v>0</v>
      </c>
      <c r="BGR249" s="5">
        <f t="shared" si="23"/>
        <v>0</v>
      </c>
      <c r="BGS249" s="5">
        <f t="shared" si="23"/>
        <v>0</v>
      </c>
      <c r="BGT249" s="5">
        <f t="shared" ref="BGT249:BJE249" si="24">SUM(BGT246:BGT246)</f>
        <v>0</v>
      </c>
      <c r="BGU249" s="5">
        <f t="shared" si="24"/>
        <v>0</v>
      </c>
      <c r="BGV249" s="5">
        <f t="shared" si="24"/>
        <v>0</v>
      </c>
      <c r="BGW249" s="5">
        <f t="shared" si="24"/>
        <v>0</v>
      </c>
      <c r="BGX249" s="5">
        <f t="shared" si="24"/>
        <v>0</v>
      </c>
      <c r="BGY249" s="5">
        <f t="shared" si="24"/>
        <v>0</v>
      </c>
      <c r="BGZ249" s="5">
        <f t="shared" si="24"/>
        <v>0</v>
      </c>
      <c r="BHA249" s="5">
        <f t="shared" si="24"/>
        <v>0</v>
      </c>
      <c r="BHB249" s="5">
        <f t="shared" si="24"/>
        <v>0</v>
      </c>
      <c r="BHC249" s="5">
        <f t="shared" si="24"/>
        <v>0</v>
      </c>
      <c r="BHD249" s="5">
        <f t="shared" si="24"/>
        <v>0</v>
      </c>
      <c r="BHE249" s="5">
        <f t="shared" si="24"/>
        <v>0</v>
      </c>
      <c r="BHF249" s="5">
        <f t="shared" si="24"/>
        <v>0</v>
      </c>
      <c r="BHG249" s="5">
        <f t="shared" si="24"/>
        <v>0</v>
      </c>
      <c r="BHH249" s="5">
        <f t="shared" si="24"/>
        <v>0</v>
      </c>
      <c r="BHI249" s="5">
        <f t="shared" si="24"/>
        <v>0</v>
      </c>
      <c r="BHJ249" s="5">
        <f t="shared" si="24"/>
        <v>0</v>
      </c>
      <c r="BHK249" s="5">
        <f t="shared" si="24"/>
        <v>0</v>
      </c>
      <c r="BHL249" s="5">
        <f t="shared" si="24"/>
        <v>0</v>
      </c>
      <c r="BHM249" s="5">
        <f t="shared" si="24"/>
        <v>0</v>
      </c>
      <c r="BHN249" s="5">
        <f t="shared" si="24"/>
        <v>0</v>
      </c>
      <c r="BHO249" s="5">
        <f t="shared" si="24"/>
        <v>0</v>
      </c>
      <c r="BHP249" s="5">
        <f t="shared" si="24"/>
        <v>0</v>
      </c>
      <c r="BHQ249" s="5">
        <f t="shared" si="24"/>
        <v>0</v>
      </c>
      <c r="BHR249" s="5">
        <f t="shared" si="24"/>
        <v>0</v>
      </c>
      <c r="BHS249" s="5">
        <f t="shared" si="24"/>
        <v>0</v>
      </c>
      <c r="BHT249" s="5">
        <f t="shared" si="24"/>
        <v>0</v>
      </c>
      <c r="BHU249" s="5">
        <f t="shared" si="24"/>
        <v>0</v>
      </c>
      <c r="BHV249" s="5">
        <f t="shared" si="24"/>
        <v>0</v>
      </c>
      <c r="BHW249" s="5">
        <f t="shared" si="24"/>
        <v>0</v>
      </c>
      <c r="BHX249" s="5">
        <f t="shared" si="24"/>
        <v>0</v>
      </c>
      <c r="BHY249" s="5">
        <f t="shared" si="24"/>
        <v>0</v>
      </c>
      <c r="BHZ249" s="5">
        <f t="shared" si="24"/>
        <v>0</v>
      </c>
      <c r="BIA249" s="5">
        <f t="shared" si="24"/>
        <v>0</v>
      </c>
      <c r="BIB249" s="5">
        <f t="shared" si="24"/>
        <v>0</v>
      </c>
      <c r="BIC249" s="5">
        <f t="shared" si="24"/>
        <v>0</v>
      </c>
      <c r="BID249" s="5">
        <f t="shared" si="24"/>
        <v>0</v>
      </c>
      <c r="BIE249" s="5">
        <f t="shared" si="24"/>
        <v>0</v>
      </c>
      <c r="BIF249" s="5">
        <f t="shared" si="24"/>
        <v>0</v>
      </c>
      <c r="BIG249" s="5">
        <f t="shared" si="24"/>
        <v>0</v>
      </c>
      <c r="BIH249" s="5">
        <f t="shared" si="24"/>
        <v>0</v>
      </c>
      <c r="BII249" s="5">
        <f t="shared" si="24"/>
        <v>0</v>
      </c>
      <c r="BIJ249" s="5">
        <f t="shared" si="24"/>
        <v>0</v>
      </c>
      <c r="BIK249" s="5">
        <f t="shared" si="24"/>
        <v>0</v>
      </c>
      <c r="BIL249" s="5">
        <f t="shared" si="24"/>
        <v>0</v>
      </c>
      <c r="BIM249" s="5">
        <f t="shared" si="24"/>
        <v>0</v>
      </c>
      <c r="BIN249" s="5">
        <f t="shared" si="24"/>
        <v>0</v>
      </c>
      <c r="BIO249" s="5">
        <f t="shared" si="24"/>
        <v>0</v>
      </c>
      <c r="BIP249" s="5">
        <f t="shared" si="24"/>
        <v>0</v>
      </c>
      <c r="BIQ249" s="5">
        <f t="shared" si="24"/>
        <v>0</v>
      </c>
      <c r="BIR249" s="5">
        <f t="shared" si="24"/>
        <v>0</v>
      </c>
      <c r="BIS249" s="5">
        <f t="shared" si="24"/>
        <v>0</v>
      </c>
      <c r="BIT249" s="5">
        <f t="shared" si="24"/>
        <v>0</v>
      </c>
      <c r="BIU249" s="5">
        <f t="shared" si="24"/>
        <v>0</v>
      </c>
      <c r="BIV249" s="5">
        <f t="shared" si="24"/>
        <v>0</v>
      </c>
      <c r="BIW249" s="5">
        <f t="shared" si="24"/>
        <v>0</v>
      </c>
      <c r="BIX249" s="5">
        <f t="shared" si="24"/>
        <v>0</v>
      </c>
      <c r="BIY249" s="5">
        <f t="shared" si="24"/>
        <v>0</v>
      </c>
      <c r="BIZ249" s="5">
        <f t="shared" si="24"/>
        <v>0</v>
      </c>
      <c r="BJA249" s="5">
        <f t="shared" si="24"/>
        <v>0</v>
      </c>
      <c r="BJB249" s="5">
        <f t="shared" si="24"/>
        <v>0</v>
      </c>
      <c r="BJC249" s="5">
        <f t="shared" si="24"/>
        <v>0</v>
      </c>
      <c r="BJD249" s="5">
        <f t="shared" si="24"/>
        <v>0</v>
      </c>
      <c r="BJE249" s="5">
        <f t="shared" si="24"/>
        <v>0</v>
      </c>
      <c r="BJF249" s="5">
        <f t="shared" ref="BJF249:BLQ249" si="25">SUM(BJF246:BJF246)</f>
        <v>0</v>
      </c>
      <c r="BJG249" s="5">
        <f t="shared" si="25"/>
        <v>0</v>
      </c>
      <c r="BJH249" s="5">
        <f t="shared" si="25"/>
        <v>0</v>
      </c>
      <c r="BJI249" s="5">
        <f t="shared" si="25"/>
        <v>0</v>
      </c>
      <c r="BJJ249" s="5">
        <f t="shared" si="25"/>
        <v>0</v>
      </c>
      <c r="BJK249" s="5">
        <f t="shared" si="25"/>
        <v>0</v>
      </c>
      <c r="BJL249" s="5">
        <f t="shared" si="25"/>
        <v>0</v>
      </c>
      <c r="BJM249" s="5">
        <f t="shared" si="25"/>
        <v>0</v>
      </c>
      <c r="BJN249" s="5">
        <f t="shared" si="25"/>
        <v>0</v>
      </c>
      <c r="BJO249" s="5">
        <f t="shared" si="25"/>
        <v>0</v>
      </c>
      <c r="BJP249" s="5">
        <f t="shared" si="25"/>
        <v>0</v>
      </c>
      <c r="BJQ249" s="5">
        <f t="shared" si="25"/>
        <v>0</v>
      </c>
      <c r="BJR249" s="5">
        <f t="shared" si="25"/>
        <v>0</v>
      </c>
      <c r="BJS249" s="5">
        <f t="shared" si="25"/>
        <v>0</v>
      </c>
      <c r="BJT249" s="5">
        <f t="shared" si="25"/>
        <v>0</v>
      </c>
      <c r="BJU249" s="5">
        <f t="shared" si="25"/>
        <v>0</v>
      </c>
      <c r="BJV249" s="5">
        <f t="shared" si="25"/>
        <v>0</v>
      </c>
      <c r="BJW249" s="5">
        <f t="shared" si="25"/>
        <v>0</v>
      </c>
      <c r="BJX249" s="5">
        <f t="shared" si="25"/>
        <v>0</v>
      </c>
      <c r="BJY249" s="5">
        <f t="shared" si="25"/>
        <v>0</v>
      </c>
      <c r="BJZ249" s="5">
        <f t="shared" si="25"/>
        <v>0</v>
      </c>
      <c r="BKA249" s="5">
        <f t="shared" si="25"/>
        <v>0</v>
      </c>
      <c r="BKB249" s="5">
        <f t="shared" si="25"/>
        <v>0</v>
      </c>
      <c r="BKC249" s="5">
        <f t="shared" si="25"/>
        <v>0</v>
      </c>
      <c r="BKD249" s="5">
        <f t="shared" si="25"/>
        <v>0</v>
      </c>
      <c r="BKE249" s="5">
        <f t="shared" si="25"/>
        <v>0</v>
      </c>
      <c r="BKF249" s="5">
        <f t="shared" si="25"/>
        <v>0</v>
      </c>
      <c r="BKG249" s="5">
        <f t="shared" si="25"/>
        <v>0</v>
      </c>
      <c r="BKH249" s="5">
        <f t="shared" si="25"/>
        <v>0</v>
      </c>
      <c r="BKI249" s="5">
        <f t="shared" si="25"/>
        <v>0</v>
      </c>
      <c r="BKJ249" s="5">
        <f t="shared" si="25"/>
        <v>0</v>
      </c>
      <c r="BKK249" s="5">
        <f t="shared" si="25"/>
        <v>0</v>
      </c>
      <c r="BKL249" s="5">
        <f t="shared" si="25"/>
        <v>0</v>
      </c>
      <c r="BKM249" s="5">
        <f t="shared" si="25"/>
        <v>0</v>
      </c>
      <c r="BKN249" s="5">
        <f t="shared" si="25"/>
        <v>0</v>
      </c>
      <c r="BKO249" s="5">
        <f t="shared" si="25"/>
        <v>0</v>
      </c>
      <c r="BKP249" s="5">
        <f t="shared" si="25"/>
        <v>0</v>
      </c>
      <c r="BKQ249" s="5">
        <f t="shared" si="25"/>
        <v>0</v>
      </c>
      <c r="BKR249" s="5">
        <f t="shared" si="25"/>
        <v>0</v>
      </c>
      <c r="BKS249" s="5">
        <f t="shared" si="25"/>
        <v>0</v>
      </c>
      <c r="BKT249" s="5">
        <f t="shared" si="25"/>
        <v>0</v>
      </c>
      <c r="BKU249" s="5">
        <f t="shared" si="25"/>
        <v>0</v>
      </c>
      <c r="BKV249" s="5">
        <f t="shared" si="25"/>
        <v>0</v>
      </c>
      <c r="BKW249" s="5">
        <f t="shared" si="25"/>
        <v>0</v>
      </c>
      <c r="BKX249" s="5">
        <f t="shared" si="25"/>
        <v>0</v>
      </c>
      <c r="BKY249" s="5">
        <f t="shared" si="25"/>
        <v>0</v>
      </c>
      <c r="BKZ249" s="5">
        <f t="shared" si="25"/>
        <v>0</v>
      </c>
      <c r="BLA249" s="5">
        <f t="shared" si="25"/>
        <v>0</v>
      </c>
      <c r="BLB249" s="5">
        <f t="shared" si="25"/>
        <v>0</v>
      </c>
      <c r="BLC249" s="5">
        <f t="shared" si="25"/>
        <v>0</v>
      </c>
      <c r="BLD249" s="5">
        <f t="shared" si="25"/>
        <v>0</v>
      </c>
      <c r="BLE249" s="5">
        <f t="shared" si="25"/>
        <v>0</v>
      </c>
      <c r="BLF249" s="5">
        <f t="shared" si="25"/>
        <v>0</v>
      </c>
      <c r="BLG249" s="5">
        <f t="shared" si="25"/>
        <v>0</v>
      </c>
      <c r="BLH249" s="5">
        <f t="shared" si="25"/>
        <v>0</v>
      </c>
      <c r="BLI249" s="5">
        <f t="shared" si="25"/>
        <v>0</v>
      </c>
      <c r="BLJ249" s="5">
        <f t="shared" si="25"/>
        <v>0</v>
      </c>
      <c r="BLK249" s="5">
        <f t="shared" si="25"/>
        <v>0</v>
      </c>
      <c r="BLL249" s="5">
        <f t="shared" si="25"/>
        <v>0</v>
      </c>
      <c r="BLM249" s="5">
        <f t="shared" si="25"/>
        <v>0</v>
      </c>
      <c r="BLN249" s="5">
        <f t="shared" si="25"/>
        <v>0</v>
      </c>
      <c r="BLO249" s="5">
        <f t="shared" si="25"/>
        <v>0</v>
      </c>
      <c r="BLP249" s="5">
        <f t="shared" si="25"/>
        <v>0</v>
      </c>
      <c r="BLQ249" s="5">
        <f t="shared" si="25"/>
        <v>0</v>
      </c>
      <c r="BLR249" s="5">
        <f t="shared" ref="BLR249:BOC249" si="26">SUM(BLR246:BLR246)</f>
        <v>0</v>
      </c>
      <c r="BLS249" s="5">
        <f t="shared" si="26"/>
        <v>0</v>
      </c>
      <c r="BLT249" s="5">
        <f t="shared" si="26"/>
        <v>0</v>
      </c>
      <c r="BLU249" s="5">
        <f t="shared" si="26"/>
        <v>0</v>
      </c>
      <c r="BLV249" s="5">
        <f t="shared" si="26"/>
        <v>0</v>
      </c>
      <c r="BLW249" s="5">
        <f t="shared" si="26"/>
        <v>0</v>
      </c>
      <c r="BLX249" s="5">
        <f t="shared" si="26"/>
        <v>0</v>
      </c>
      <c r="BLY249" s="5">
        <f t="shared" si="26"/>
        <v>0</v>
      </c>
      <c r="BLZ249" s="5">
        <f t="shared" si="26"/>
        <v>0</v>
      </c>
      <c r="BMA249" s="5">
        <f t="shared" si="26"/>
        <v>0</v>
      </c>
      <c r="BMB249" s="5">
        <f t="shared" si="26"/>
        <v>0</v>
      </c>
      <c r="BMC249" s="5">
        <f t="shared" si="26"/>
        <v>0</v>
      </c>
      <c r="BMD249" s="5">
        <f t="shared" si="26"/>
        <v>0</v>
      </c>
      <c r="BME249" s="5">
        <f t="shared" si="26"/>
        <v>0</v>
      </c>
      <c r="BMF249" s="5">
        <f t="shared" si="26"/>
        <v>0</v>
      </c>
      <c r="BMG249" s="5">
        <f t="shared" si="26"/>
        <v>0</v>
      </c>
      <c r="BMH249" s="5">
        <f t="shared" si="26"/>
        <v>0</v>
      </c>
      <c r="BMI249" s="5">
        <f t="shared" si="26"/>
        <v>0</v>
      </c>
      <c r="BMJ249" s="5">
        <f t="shared" si="26"/>
        <v>0</v>
      </c>
      <c r="BMK249" s="5">
        <f t="shared" si="26"/>
        <v>0</v>
      </c>
      <c r="BML249" s="5">
        <f t="shared" si="26"/>
        <v>0</v>
      </c>
      <c r="BMM249" s="5">
        <f t="shared" si="26"/>
        <v>0</v>
      </c>
      <c r="BMN249" s="5">
        <f t="shared" si="26"/>
        <v>0</v>
      </c>
      <c r="BMO249" s="5">
        <f t="shared" si="26"/>
        <v>0</v>
      </c>
      <c r="BMP249" s="5">
        <f t="shared" si="26"/>
        <v>0</v>
      </c>
      <c r="BMQ249" s="5">
        <f t="shared" si="26"/>
        <v>0</v>
      </c>
      <c r="BMR249" s="5">
        <f t="shared" si="26"/>
        <v>0</v>
      </c>
      <c r="BMS249" s="5">
        <f t="shared" si="26"/>
        <v>0</v>
      </c>
      <c r="BMT249" s="5">
        <f t="shared" si="26"/>
        <v>0</v>
      </c>
      <c r="BMU249" s="5">
        <f t="shared" si="26"/>
        <v>0</v>
      </c>
      <c r="BMV249" s="5">
        <f t="shared" si="26"/>
        <v>0</v>
      </c>
      <c r="BMW249" s="5">
        <f t="shared" si="26"/>
        <v>0</v>
      </c>
      <c r="BMX249" s="5">
        <f t="shared" si="26"/>
        <v>0</v>
      </c>
      <c r="BMY249" s="5">
        <f t="shared" si="26"/>
        <v>0</v>
      </c>
      <c r="BMZ249" s="5">
        <f t="shared" si="26"/>
        <v>0</v>
      </c>
      <c r="BNA249" s="5">
        <f t="shared" si="26"/>
        <v>0</v>
      </c>
      <c r="BNB249" s="5">
        <f t="shared" si="26"/>
        <v>0</v>
      </c>
      <c r="BNC249" s="5">
        <f t="shared" si="26"/>
        <v>0</v>
      </c>
      <c r="BND249" s="5">
        <f t="shared" si="26"/>
        <v>0</v>
      </c>
      <c r="BNE249" s="5">
        <f t="shared" si="26"/>
        <v>0</v>
      </c>
      <c r="BNF249" s="5">
        <f t="shared" si="26"/>
        <v>0</v>
      </c>
      <c r="BNG249" s="5">
        <f t="shared" si="26"/>
        <v>0</v>
      </c>
      <c r="BNH249" s="5">
        <f t="shared" si="26"/>
        <v>0</v>
      </c>
      <c r="BNI249" s="5">
        <f t="shared" si="26"/>
        <v>0</v>
      </c>
      <c r="BNJ249" s="5">
        <f t="shared" si="26"/>
        <v>0</v>
      </c>
      <c r="BNK249" s="5">
        <f t="shared" si="26"/>
        <v>0</v>
      </c>
      <c r="BNL249" s="5">
        <f t="shared" si="26"/>
        <v>0</v>
      </c>
      <c r="BNM249" s="5">
        <f t="shared" si="26"/>
        <v>0</v>
      </c>
      <c r="BNN249" s="5">
        <f t="shared" si="26"/>
        <v>0</v>
      </c>
      <c r="BNO249" s="5">
        <f t="shared" si="26"/>
        <v>0</v>
      </c>
      <c r="BNP249" s="5">
        <f t="shared" si="26"/>
        <v>0</v>
      </c>
      <c r="BNQ249" s="5">
        <f t="shared" si="26"/>
        <v>0</v>
      </c>
      <c r="BNR249" s="5">
        <f t="shared" si="26"/>
        <v>0</v>
      </c>
      <c r="BNS249" s="5">
        <f t="shared" si="26"/>
        <v>0</v>
      </c>
      <c r="BNT249" s="5">
        <f t="shared" si="26"/>
        <v>0</v>
      </c>
      <c r="BNU249" s="5">
        <f t="shared" si="26"/>
        <v>0</v>
      </c>
      <c r="BNV249" s="5">
        <f t="shared" si="26"/>
        <v>0</v>
      </c>
      <c r="BNW249" s="5">
        <f t="shared" si="26"/>
        <v>0</v>
      </c>
      <c r="BNX249" s="5">
        <f t="shared" si="26"/>
        <v>0</v>
      </c>
      <c r="BNY249" s="5">
        <f t="shared" si="26"/>
        <v>0</v>
      </c>
      <c r="BNZ249" s="5">
        <f t="shared" si="26"/>
        <v>0</v>
      </c>
      <c r="BOA249" s="5">
        <f t="shared" si="26"/>
        <v>0</v>
      </c>
      <c r="BOB249" s="5">
        <f t="shared" si="26"/>
        <v>0</v>
      </c>
      <c r="BOC249" s="5">
        <f t="shared" si="26"/>
        <v>0</v>
      </c>
      <c r="BOD249" s="5">
        <f t="shared" ref="BOD249:BQO249" si="27">SUM(BOD246:BOD246)</f>
        <v>0</v>
      </c>
      <c r="BOE249" s="5">
        <f t="shared" si="27"/>
        <v>0</v>
      </c>
      <c r="BOF249" s="5">
        <f t="shared" si="27"/>
        <v>0</v>
      </c>
      <c r="BOG249" s="5">
        <f t="shared" si="27"/>
        <v>0</v>
      </c>
      <c r="BOH249" s="5">
        <f t="shared" si="27"/>
        <v>0</v>
      </c>
      <c r="BOI249" s="5">
        <f t="shared" si="27"/>
        <v>0</v>
      </c>
      <c r="BOJ249" s="5">
        <f t="shared" si="27"/>
        <v>0</v>
      </c>
      <c r="BOK249" s="5">
        <f t="shared" si="27"/>
        <v>0</v>
      </c>
      <c r="BOL249" s="5">
        <f t="shared" si="27"/>
        <v>0</v>
      </c>
      <c r="BOM249" s="5">
        <f t="shared" si="27"/>
        <v>0</v>
      </c>
      <c r="BON249" s="5">
        <f t="shared" si="27"/>
        <v>0</v>
      </c>
      <c r="BOO249" s="5">
        <f t="shared" si="27"/>
        <v>0</v>
      </c>
      <c r="BOP249" s="5">
        <f t="shared" si="27"/>
        <v>0</v>
      </c>
      <c r="BOQ249" s="5">
        <f t="shared" si="27"/>
        <v>0</v>
      </c>
      <c r="BOR249" s="5">
        <f t="shared" si="27"/>
        <v>0</v>
      </c>
      <c r="BOS249" s="5">
        <f t="shared" si="27"/>
        <v>0</v>
      </c>
      <c r="BOT249" s="5">
        <f t="shared" si="27"/>
        <v>0</v>
      </c>
      <c r="BOU249" s="5">
        <f t="shared" si="27"/>
        <v>0</v>
      </c>
      <c r="BOV249" s="5">
        <f t="shared" si="27"/>
        <v>0</v>
      </c>
      <c r="BOW249" s="5">
        <f t="shared" si="27"/>
        <v>0</v>
      </c>
      <c r="BOX249" s="5">
        <f t="shared" si="27"/>
        <v>0</v>
      </c>
      <c r="BOY249" s="5">
        <f t="shared" si="27"/>
        <v>0</v>
      </c>
      <c r="BOZ249" s="5">
        <f t="shared" si="27"/>
        <v>0</v>
      </c>
      <c r="BPA249" s="5">
        <f t="shared" si="27"/>
        <v>0</v>
      </c>
      <c r="BPB249" s="5">
        <f t="shared" si="27"/>
        <v>0</v>
      </c>
      <c r="BPC249" s="5">
        <f t="shared" si="27"/>
        <v>0</v>
      </c>
      <c r="BPD249" s="5">
        <f t="shared" si="27"/>
        <v>0</v>
      </c>
      <c r="BPE249" s="5">
        <f t="shared" si="27"/>
        <v>0</v>
      </c>
      <c r="BPF249" s="5">
        <f t="shared" si="27"/>
        <v>0</v>
      </c>
      <c r="BPG249" s="5">
        <f t="shared" si="27"/>
        <v>0</v>
      </c>
      <c r="BPH249" s="5">
        <f t="shared" si="27"/>
        <v>0</v>
      </c>
      <c r="BPI249" s="5">
        <f t="shared" si="27"/>
        <v>0</v>
      </c>
      <c r="BPJ249" s="5">
        <f t="shared" si="27"/>
        <v>0</v>
      </c>
      <c r="BPK249" s="5">
        <f t="shared" si="27"/>
        <v>0</v>
      </c>
      <c r="BPL249" s="5">
        <f t="shared" si="27"/>
        <v>0</v>
      </c>
      <c r="BPM249" s="5">
        <f t="shared" si="27"/>
        <v>0</v>
      </c>
      <c r="BPN249" s="5">
        <f t="shared" si="27"/>
        <v>0</v>
      </c>
      <c r="BPO249" s="5">
        <f t="shared" si="27"/>
        <v>0</v>
      </c>
      <c r="BPP249" s="5">
        <f t="shared" si="27"/>
        <v>0</v>
      </c>
      <c r="BPQ249" s="5">
        <f t="shared" si="27"/>
        <v>0</v>
      </c>
      <c r="BPR249" s="5">
        <f t="shared" si="27"/>
        <v>0</v>
      </c>
      <c r="BPS249" s="5">
        <f t="shared" si="27"/>
        <v>0</v>
      </c>
      <c r="BPT249" s="5">
        <f t="shared" si="27"/>
        <v>0</v>
      </c>
      <c r="BPU249" s="5">
        <f t="shared" si="27"/>
        <v>0</v>
      </c>
      <c r="BPV249" s="5">
        <f t="shared" si="27"/>
        <v>0</v>
      </c>
      <c r="BPW249" s="5">
        <f t="shared" si="27"/>
        <v>0</v>
      </c>
      <c r="BPX249" s="5">
        <f t="shared" si="27"/>
        <v>0</v>
      </c>
      <c r="BPY249" s="5">
        <f t="shared" si="27"/>
        <v>0</v>
      </c>
      <c r="BPZ249" s="5">
        <f t="shared" si="27"/>
        <v>0</v>
      </c>
      <c r="BQA249" s="5">
        <f t="shared" si="27"/>
        <v>0</v>
      </c>
      <c r="BQB249" s="5">
        <f t="shared" si="27"/>
        <v>0</v>
      </c>
      <c r="BQC249" s="5">
        <f t="shared" si="27"/>
        <v>0</v>
      </c>
      <c r="BQD249" s="5">
        <f t="shared" si="27"/>
        <v>0</v>
      </c>
      <c r="BQE249" s="5">
        <f t="shared" si="27"/>
        <v>0</v>
      </c>
      <c r="BQF249" s="5">
        <f t="shared" si="27"/>
        <v>0</v>
      </c>
      <c r="BQG249" s="5">
        <f t="shared" si="27"/>
        <v>0</v>
      </c>
      <c r="BQH249" s="5">
        <f t="shared" si="27"/>
        <v>0</v>
      </c>
      <c r="BQI249" s="5">
        <f t="shared" si="27"/>
        <v>0</v>
      </c>
      <c r="BQJ249" s="5">
        <f t="shared" si="27"/>
        <v>0</v>
      </c>
      <c r="BQK249" s="5">
        <f t="shared" si="27"/>
        <v>0</v>
      </c>
      <c r="BQL249" s="5">
        <f t="shared" si="27"/>
        <v>0</v>
      </c>
      <c r="BQM249" s="5">
        <f t="shared" si="27"/>
        <v>0</v>
      </c>
      <c r="BQN249" s="5">
        <f t="shared" si="27"/>
        <v>0</v>
      </c>
      <c r="BQO249" s="5">
        <f t="shared" si="27"/>
        <v>0</v>
      </c>
      <c r="BQP249" s="5">
        <f t="shared" ref="BQP249:BTA249" si="28">SUM(BQP246:BQP246)</f>
        <v>0</v>
      </c>
      <c r="BQQ249" s="5">
        <f t="shared" si="28"/>
        <v>0</v>
      </c>
      <c r="BQR249" s="5">
        <f t="shared" si="28"/>
        <v>0</v>
      </c>
      <c r="BQS249" s="5">
        <f t="shared" si="28"/>
        <v>0</v>
      </c>
      <c r="BQT249" s="5">
        <f t="shared" si="28"/>
        <v>0</v>
      </c>
      <c r="BQU249" s="5">
        <f t="shared" si="28"/>
        <v>0</v>
      </c>
      <c r="BQV249" s="5">
        <f t="shared" si="28"/>
        <v>0</v>
      </c>
      <c r="BQW249" s="5">
        <f t="shared" si="28"/>
        <v>0</v>
      </c>
      <c r="BQX249" s="5">
        <f t="shared" si="28"/>
        <v>0</v>
      </c>
      <c r="BQY249" s="5">
        <f t="shared" si="28"/>
        <v>0</v>
      </c>
      <c r="BQZ249" s="5">
        <f t="shared" si="28"/>
        <v>0</v>
      </c>
      <c r="BRA249" s="5">
        <f t="shared" si="28"/>
        <v>0</v>
      </c>
      <c r="BRB249" s="5">
        <f t="shared" si="28"/>
        <v>0</v>
      </c>
      <c r="BRC249" s="5">
        <f t="shared" si="28"/>
        <v>0</v>
      </c>
      <c r="BRD249" s="5">
        <f t="shared" si="28"/>
        <v>0</v>
      </c>
      <c r="BRE249" s="5">
        <f t="shared" si="28"/>
        <v>0</v>
      </c>
      <c r="BRF249" s="5">
        <f t="shared" si="28"/>
        <v>0</v>
      </c>
      <c r="BRG249" s="5">
        <f t="shared" si="28"/>
        <v>0</v>
      </c>
      <c r="BRH249" s="5">
        <f t="shared" si="28"/>
        <v>0</v>
      </c>
      <c r="BRI249" s="5">
        <f t="shared" si="28"/>
        <v>0</v>
      </c>
      <c r="BRJ249" s="5">
        <f t="shared" si="28"/>
        <v>0</v>
      </c>
      <c r="BRK249" s="5">
        <f t="shared" si="28"/>
        <v>0</v>
      </c>
      <c r="BRL249" s="5">
        <f t="shared" si="28"/>
        <v>0</v>
      </c>
      <c r="BRM249" s="5">
        <f t="shared" si="28"/>
        <v>0</v>
      </c>
      <c r="BRN249" s="5">
        <f t="shared" si="28"/>
        <v>0</v>
      </c>
      <c r="BRO249" s="5">
        <f t="shared" si="28"/>
        <v>0</v>
      </c>
      <c r="BRP249" s="5">
        <f t="shared" si="28"/>
        <v>0</v>
      </c>
      <c r="BRQ249" s="5">
        <f t="shared" si="28"/>
        <v>0</v>
      </c>
      <c r="BRR249" s="5">
        <f t="shared" si="28"/>
        <v>0</v>
      </c>
      <c r="BRS249" s="5">
        <f t="shared" si="28"/>
        <v>0</v>
      </c>
      <c r="BRT249" s="5">
        <f t="shared" si="28"/>
        <v>0</v>
      </c>
      <c r="BRU249" s="5">
        <f t="shared" si="28"/>
        <v>0</v>
      </c>
      <c r="BRV249" s="5">
        <f t="shared" si="28"/>
        <v>0</v>
      </c>
      <c r="BRW249" s="5">
        <f t="shared" si="28"/>
        <v>0</v>
      </c>
      <c r="BRX249" s="5">
        <f t="shared" si="28"/>
        <v>0</v>
      </c>
      <c r="BRY249" s="5">
        <f t="shared" si="28"/>
        <v>0</v>
      </c>
      <c r="BRZ249" s="5">
        <f t="shared" si="28"/>
        <v>0</v>
      </c>
      <c r="BSA249" s="5">
        <f t="shared" si="28"/>
        <v>0</v>
      </c>
      <c r="BSB249" s="5">
        <f t="shared" si="28"/>
        <v>0</v>
      </c>
      <c r="BSC249" s="5">
        <f t="shared" si="28"/>
        <v>0</v>
      </c>
      <c r="BSD249" s="5">
        <f t="shared" si="28"/>
        <v>0</v>
      </c>
      <c r="BSE249" s="5">
        <f t="shared" si="28"/>
        <v>0</v>
      </c>
      <c r="BSF249" s="5">
        <f t="shared" si="28"/>
        <v>0</v>
      </c>
      <c r="BSG249" s="5">
        <f t="shared" si="28"/>
        <v>0</v>
      </c>
      <c r="BSH249" s="5">
        <f t="shared" si="28"/>
        <v>0</v>
      </c>
      <c r="BSI249" s="5">
        <f t="shared" si="28"/>
        <v>0</v>
      </c>
      <c r="BSJ249" s="5">
        <f t="shared" si="28"/>
        <v>0</v>
      </c>
      <c r="BSK249" s="5">
        <f t="shared" si="28"/>
        <v>0</v>
      </c>
      <c r="BSL249" s="5">
        <f t="shared" si="28"/>
        <v>0</v>
      </c>
      <c r="BSM249" s="5">
        <f t="shared" si="28"/>
        <v>0</v>
      </c>
      <c r="BSN249" s="5">
        <f t="shared" si="28"/>
        <v>0</v>
      </c>
      <c r="BSO249" s="5">
        <f t="shared" si="28"/>
        <v>0</v>
      </c>
      <c r="BSP249" s="5">
        <f t="shared" si="28"/>
        <v>0</v>
      </c>
      <c r="BSQ249" s="5">
        <f t="shared" si="28"/>
        <v>0</v>
      </c>
      <c r="BSR249" s="5">
        <f t="shared" si="28"/>
        <v>0</v>
      </c>
      <c r="BSS249" s="5">
        <f t="shared" si="28"/>
        <v>0</v>
      </c>
      <c r="BST249" s="5">
        <f t="shared" si="28"/>
        <v>0</v>
      </c>
      <c r="BSU249" s="5">
        <f t="shared" si="28"/>
        <v>0</v>
      </c>
      <c r="BSV249" s="5">
        <f t="shared" si="28"/>
        <v>0</v>
      </c>
      <c r="BSW249" s="5">
        <f t="shared" si="28"/>
        <v>0</v>
      </c>
      <c r="BSX249" s="5">
        <f t="shared" si="28"/>
        <v>0</v>
      </c>
      <c r="BSY249" s="5">
        <f t="shared" si="28"/>
        <v>0</v>
      </c>
      <c r="BSZ249" s="5">
        <f t="shared" si="28"/>
        <v>0</v>
      </c>
      <c r="BTA249" s="5">
        <f t="shared" si="28"/>
        <v>0</v>
      </c>
      <c r="BTB249" s="5">
        <f t="shared" ref="BTB249:BVM249" si="29">SUM(BTB246:BTB246)</f>
        <v>0</v>
      </c>
      <c r="BTC249" s="5">
        <f t="shared" si="29"/>
        <v>0</v>
      </c>
      <c r="BTD249" s="5">
        <f t="shared" si="29"/>
        <v>0</v>
      </c>
      <c r="BTE249" s="5">
        <f t="shared" si="29"/>
        <v>0</v>
      </c>
      <c r="BTF249" s="5">
        <f t="shared" si="29"/>
        <v>0</v>
      </c>
      <c r="BTG249" s="5">
        <f t="shared" si="29"/>
        <v>0</v>
      </c>
      <c r="BTH249" s="5">
        <f t="shared" si="29"/>
        <v>0</v>
      </c>
      <c r="BTI249" s="5">
        <f t="shared" si="29"/>
        <v>0</v>
      </c>
      <c r="BTJ249" s="5">
        <f t="shared" si="29"/>
        <v>0</v>
      </c>
      <c r="BTK249" s="5">
        <f t="shared" si="29"/>
        <v>0</v>
      </c>
      <c r="BTL249" s="5">
        <f t="shared" si="29"/>
        <v>0</v>
      </c>
      <c r="BTM249" s="5">
        <f t="shared" si="29"/>
        <v>0</v>
      </c>
      <c r="BTN249" s="5">
        <f t="shared" si="29"/>
        <v>0</v>
      </c>
      <c r="BTO249" s="5">
        <f t="shared" si="29"/>
        <v>0</v>
      </c>
      <c r="BTP249" s="5">
        <f t="shared" si="29"/>
        <v>0</v>
      </c>
      <c r="BTQ249" s="5">
        <f t="shared" si="29"/>
        <v>0</v>
      </c>
      <c r="BTR249" s="5">
        <f t="shared" si="29"/>
        <v>0</v>
      </c>
      <c r="BTS249" s="5">
        <f t="shared" si="29"/>
        <v>0</v>
      </c>
      <c r="BTT249" s="5">
        <f t="shared" si="29"/>
        <v>0</v>
      </c>
      <c r="BTU249" s="5">
        <f t="shared" si="29"/>
        <v>0</v>
      </c>
      <c r="BTV249" s="5">
        <f t="shared" si="29"/>
        <v>0</v>
      </c>
      <c r="BTW249" s="5">
        <f t="shared" si="29"/>
        <v>0</v>
      </c>
      <c r="BTX249" s="5">
        <f t="shared" si="29"/>
        <v>0</v>
      </c>
      <c r="BTY249" s="5">
        <f t="shared" si="29"/>
        <v>0</v>
      </c>
      <c r="BTZ249" s="5">
        <f t="shared" si="29"/>
        <v>0</v>
      </c>
      <c r="BUA249" s="5">
        <f t="shared" si="29"/>
        <v>0</v>
      </c>
      <c r="BUB249" s="5">
        <f t="shared" si="29"/>
        <v>0</v>
      </c>
      <c r="BUC249" s="5">
        <f t="shared" si="29"/>
        <v>0</v>
      </c>
      <c r="BUD249" s="5">
        <f t="shared" si="29"/>
        <v>0</v>
      </c>
      <c r="BUE249" s="5">
        <f t="shared" si="29"/>
        <v>0</v>
      </c>
      <c r="BUF249" s="5">
        <f t="shared" si="29"/>
        <v>0</v>
      </c>
      <c r="BUG249" s="5">
        <f t="shared" si="29"/>
        <v>0</v>
      </c>
      <c r="BUH249" s="5">
        <f t="shared" si="29"/>
        <v>0</v>
      </c>
      <c r="BUI249" s="5">
        <f t="shared" si="29"/>
        <v>0</v>
      </c>
      <c r="BUJ249" s="5">
        <f t="shared" si="29"/>
        <v>0</v>
      </c>
      <c r="BUK249" s="5">
        <f t="shared" si="29"/>
        <v>0</v>
      </c>
      <c r="BUL249" s="5">
        <f t="shared" si="29"/>
        <v>0</v>
      </c>
      <c r="BUM249" s="5">
        <f t="shared" si="29"/>
        <v>0</v>
      </c>
      <c r="BUN249" s="5">
        <f t="shared" si="29"/>
        <v>0</v>
      </c>
      <c r="BUO249" s="5">
        <f t="shared" si="29"/>
        <v>0</v>
      </c>
      <c r="BUP249" s="5">
        <f t="shared" si="29"/>
        <v>0</v>
      </c>
      <c r="BUQ249" s="5">
        <f t="shared" si="29"/>
        <v>0</v>
      </c>
      <c r="BUR249" s="5">
        <f t="shared" si="29"/>
        <v>0</v>
      </c>
      <c r="BUS249" s="5">
        <f t="shared" si="29"/>
        <v>0</v>
      </c>
      <c r="BUT249" s="5">
        <f t="shared" si="29"/>
        <v>0</v>
      </c>
      <c r="BUU249" s="5">
        <f t="shared" si="29"/>
        <v>0</v>
      </c>
      <c r="BUV249" s="5">
        <f t="shared" si="29"/>
        <v>0</v>
      </c>
      <c r="BUW249" s="5">
        <f t="shared" si="29"/>
        <v>0</v>
      </c>
      <c r="BUX249" s="5">
        <f t="shared" si="29"/>
        <v>0</v>
      </c>
      <c r="BUY249" s="5">
        <f t="shared" si="29"/>
        <v>0</v>
      </c>
      <c r="BUZ249" s="5">
        <f t="shared" si="29"/>
        <v>0</v>
      </c>
      <c r="BVA249" s="5">
        <f t="shared" si="29"/>
        <v>0</v>
      </c>
      <c r="BVB249" s="5">
        <f t="shared" si="29"/>
        <v>0</v>
      </c>
      <c r="BVC249" s="5">
        <f t="shared" si="29"/>
        <v>0</v>
      </c>
      <c r="BVD249" s="5">
        <f t="shared" si="29"/>
        <v>0</v>
      </c>
      <c r="BVE249" s="5">
        <f t="shared" si="29"/>
        <v>0</v>
      </c>
      <c r="BVF249" s="5">
        <f t="shared" si="29"/>
        <v>0</v>
      </c>
      <c r="BVG249" s="5">
        <f t="shared" si="29"/>
        <v>0</v>
      </c>
      <c r="BVH249" s="5">
        <f t="shared" si="29"/>
        <v>0</v>
      </c>
      <c r="BVI249" s="5">
        <f t="shared" si="29"/>
        <v>0</v>
      </c>
      <c r="BVJ249" s="5">
        <f t="shared" si="29"/>
        <v>0</v>
      </c>
      <c r="BVK249" s="5">
        <f t="shared" si="29"/>
        <v>0</v>
      </c>
      <c r="BVL249" s="5">
        <f t="shared" si="29"/>
        <v>0</v>
      </c>
      <c r="BVM249" s="5">
        <f t="shared" si="29"/>
        <v>0</v>
      </c>
      <c r="BVN249" s="5">
        <f t="shared" ref="BVN249:BXY249" si="30">SUM(BVN246:BVN246)</f>
        <v>0</v>
      </c>
      <c r="BVO249" s="5">
        <f t="shared" si="30"/>
        <v>0</v>
      </c>
      <c r="BVP249" s="5">
        <f t="shared" si="30"/>
        <v>0</v>
      </c>
      <c r="BVQ249" s="5">
        <f t="shared" si="30"/>
        <v>0</v>
      </c>
      <c r="BVR249" s="5">
        <f t="shared" si="30"/>
        <v>0</v>
      </c>
      <c r="BVS249" s="5">
        <f t="shared" si="30"/>
        <v>0</v>
      </c>
      <c r="BVT249" s="5">
        <f t="shared" si="30"/>
        <v>0</v>
      </c>
      <c r="BVU249" s="5">
        <f t="shared" si="30"/>
        <v>0</v>
      </c>
      <c r="BVV249" s="5">
        <f t="shared" si="30"/>
        <v>0</v>
      </c>
      <c r="BVW249" s="5">
        <f t="shared" si="30"/>
        <v>0</v>
      </c>
      <c r="BVX249" s="5">
        <f t="shared" si="30"/>
        <v>0</v>
      </c>
      <c r="BVY249" s="5">
        <f t="shared" si="30"/>
        <v>0</v>
      </c>
      <c r="BVZ249" s="5">
        <f t="shared" si="30"/>
        <v>0</v>
      </c>
      <c r="BWA249" s="5">
        <f t="shared" si="30"/>
        <v>0</v>
      </c>
      <c r="BWB249" s="5">
        <f t="shared" si="30"/>
        <v>0</v>
      </c>
      <c r="BWC249" s="5">
        <f t="shared" si="30"/>
        <v>0</v>
      </c>
      <c r="BWD249" s="5">
        <f t="shared" si="30"/>
        <v>0</v>
      </c>
      <c r="BWE249" s="5">
        <f t="shared" si="30"/>
        <v>0</v>
      </c>
      <c r="BWF249" s="5">
        <f t="shared" si="30"/>
        <v>0</v>
      </c>
      <c r="BWG249" s="5">
        <f t="shared" si="30"/>
        <v>0</v>
      </c>
      <c r="BWH249" s="5">
        <f t="shared" si="30"/>
        <v>0</v>
      </c>
      <c r="BWI249" s="5">
        <f t="shared" si="30"/>
        <v>0</v>
      </c>
      <c r="BWJ249" s="5">
        <f t="shared" si="30"/>
        <v>0</v>
      </c>
      <c r="BWK249" s="5">
        <f t="shared" si="30"/>
        <v>0</v>
      </c>
      <c r="BWL249" s="5">
        <f t="shared" si="30"/>
        <v>0</v>
      </c>
      <c r="BWM249" s="5">
        <f t="shared" si="30"/>
        <v>0</v>
      </c>
      <c r="BWN249" s="5">
        <f t="shared" si="30"/>
        <v>0</v>
      </c>
      <c r="BWO249" s="5">
        <f t="shared" si="30"/>
        <v>0</v>
      </c>
      <c r="BWP249" s="5">
        <f t="shared" si="30"/>
        <v>0</v>
      </c>
      <c r="BWQ249" s="5">
        <f t="shared" si="30"/>
        <v>0</v>
      </c>
      <c r="BWR249" s="5">
        <f t="shared" si="30"/>
        <v>0</v>
      </c>
      <c r="BWS249" s="5">
        <f t="shared" si="30"/>
        <v>0</v>
      </c>
      <c r="BWT249" s="5">
        <f t="shared" si="30"/>
        <v>0</v>
      </c>
      <c r="BWU249" s="5">
        <f t="shared" si="30"/>
        <v>0</v>
      </c>
      <c r="BWV249" s="5">
        <f t="shared" si="30"/>
        <v>0</v>
      </c>
      <c r="BWW249" s="5">
        <f t="shared" si="30"/>
        <v>0</v>
      </c>
      <c r="BWX249" s="5">
        <f t="shared" si="30"/>
        <v>0</v>
      </c>
      <c r="BWY249" s="5">
        <f t="shared" si="30"/>
        <v>0</v>
      </c>
      <c r="BWZ249" s="5">
        <f t="shared" si="30"/>
        <v>0</v>
      </c>
      <c r="BXA249" s="5">
        <f t="shared" si="30"/>
        <v>0</v>
      </c>
      <c r="BXB249" s="5">
        <f t="shared" si="30"/>
        <v>0</v>
      </c>
      <c r="BXC249" s="5">
        <f t="shared" si="30"/>
        <v>0</v>
      </c>
      <c r="BXD249" s="5">
        <f t="shared" si="30"/>
        <v>0</v>
      </c>
      <c r="BXE249" s="5">
        <f t="shared" si="30"/>
        <v>0</v>
      </c>
      <c r="BXF249" s="5">
        <f t="shared" si="30"/>
        <v>0</v>
      </c>
      <c r="BXG249" s="5">
        <f t="shared" si="30"/>
        <v>0</v>
      </c>
      <c r="BXH249" s="5">
        <f t="shared" si="30"/>
        <v>0</v>
      </c>
      <c r="BXI249" s="5">
        <f t="shared" si="30"/>
        <v>0</v>
      </c>
      <c r="BXJ249" s="5">
        <f t="shared" si="30"/>
        <v>0</v>
      </c>
      <c r="BXK249" s="5">
        <f t="shared" si="30"/>
        <v>0</v>
      </c>
      <c r="BXL249" s="5">
        <f t="shared" si="30"/>
        <v>0</v>
      </c>
      <c r="BXM249" s="5">
        <f t="shared" si="30"/>
        <v>0</v>
      </c>
      <c r="BXN249" s="5">
        <f t="shared" si="30"/>
        <v>0</v>
      </c>
      <c r="BXO249" s="5">
        <f t="shared" si="30"/>
        <v>0</v>
      </c>
      <c r="BXP249" s="5">
        <f t="shared" si="30"/>
        <v>0</v>
      </c>
      <c r="BXQ249" s="5">
        <f t="shared" si="30"/>
        <v>0</v>
      </c>
      <c r="BXR249" s="5">
        <f t="shared" si="30"/>
        <v>0</v>
      </c>
      <c r="BXS249" s="5">
        <f t="shared" si="30"/>
        <v>0</v>
      </c>
      <c r="BXT249" s="5">
        <f t="shared" si="30"/>
        <v>0</v>
      </c>
      <c r="BXU249" s="5">
        <f t="shared" si="30"/>
        <v>0</v>
      </c>
      <c r="BXV249" s="5">
        <f t="shared" si="30"/>
        <v>0</v>
      </c>
      <c r="BXW249" s="5">
        <f t="shared" si="30"/>
        <v>0</v>
      </c>
      <c r="BXX249" s="5">
        <f t="shared" si="30"/>
        <v>0</v>
      </c>
      <c r="BXY249" s="5">
        <f t="shared" si="30"/>
        <v>0</v>
      </c>
      <c r="BXZ249" s="5">
        <f t="shared" ref="BXZ249:CAK249" si="31">SUM(BXZ246:BXZ246)</f>
        <v>0</v>
      </c>
      <c r="BYA249" s="5">
        <f t="shared" si="31"/>
        <v>0</v>
      </c>
      <c r="BYB249" s="5">
        <f t="shared" si="31"/>
        <v>0</v>
      </c>
      <c r="BYC249" s="5">
        <f t="shared" si="31"/>
        <v>0</v>
      </c>
      <c r="BYD249" s="5">
        <f t="shared" si="31"/>
        <v>0</v>
      </c>
      <c r="BYE249" s="5">
        <f t="shared" si="31"/>
        <v>0</v>
      </c>
      <c r="BYF249" s="5">
        <f t="shared" si="31"/>
        <v>0</v>
      </c>
      <c r="BYG249" s="5">
        <f t="shared" si="31"/>
        <v>0</v>
      </c>
      <c r="BYH249" s="5">
        <f t="shared" si="31"/>
        <v>0</v>
      </c>
      <c r="BYI249" s="5">
        <f t="shared" si="31"/>
        <v>0</v>
      </c>
      <c r="BYJ249" s="5">
        <f t="shared" si="31"/>
        <v>0</v>
      </c>
      <c r="BYK249" s="5">
        <f t="shared" si="31"/>
        <v>0</v>
      </c>
      <c r="BYL249" s="5">
        <f t="shared" si="31"/>
        <v>0</v>
      </c>
      <c r="BYM249" s="5">
        <f t="shared" si="31"/>
        <v>0</v>
      </c>
      <c r="BYN249" s="5">
        <f t="shared" si="31"/>
        <v>0</v>
      </c>
      <c r="BYO249" s="5">
        <f t="shared" si="31"/>
        <v>0</v>
      </c>
      <c r="BYP249" s="5">
        <f t="shared" si="31"/>
        <v>0</v>
      </c>
      <c r="BYQ249" s="5">
        <f t="shared" si="31"/>
        <v>0</v>
      </c>
      <c r="BYR249" s="5">
        <f t="shared" si="31"/>
        <v>0</v>
      </c>
      <c r="BYS249" s="5">
        <f t="shared" si="31"/>
        <v>0</v>
      </c>
      <c r="BYT249" s="5">
        <f t="shared" si="31"/>
        <v>0</v>
      </c>
      <c r="BYU249" s="5">
        <f t="shared" si="31"/>
        <v>0</v>
      </c>
      <c r="BYV249" s="5">
        <f t="shared" si="31"/>
        <v>0</v>
      </c>
      <c r="BYW249" s="5">
        <f t="shared" si="31"/>
        <v>0</v>
      </c>
      <c r="BYX249" s="5">
        <f t="shared" si="31"/>
        <v>0</v>
      </c>
      <c r="BYY249" s="5">
        <f t="shared" si="31"/>
        <v>0</v>
      </c>
      <c r="BYZ249" s="5">
        <f t="shared" si="31"/>
        <v>0</v>
      </c>
      <c r="BZA249" s="5">
        <f t="shared" si="31"/>
        <v>0</v>
      </c>
      <c r="BZB249" s="5">
        <f t="shared" si="31"/>
        <v>0</v>
      </c>
      <c r="BZC249" s="5">
        <f t="shared" si="31"/>
        <v>0</v>
      </c>
      <c r="BZD249" s="5">
        <f t="shared" si="31"/>
        <v>0</v>
      </c>
      <c r="BZE249" s="5">
        <f t="shared" si="31"/>
        <v>0</v>
      </c>
      <c r="BZF249" s="5">
        <f t="shared" si="31"/>
        <v>0</v>
      </c>
      <c r="BZG249" s="5">
        <f t="shared" si="31"/>
        <v>0</v>
      </c>
      <c r="BZH249" s="5">
        <f t="shared" si="31"/>
        <v>0</v>
      </c>
      <c r="BZI249" s="5">
        <f t="shared" si="31"/>
        <v>0</v>
      </c>
      <c r="BZJ249" s="5">
        <f t="shared" si="31"/>
        <v>0</v>
      </c>
      <c r="BZK249" s="5">
        <f t="shared" si="31"/>
        <v>0</v>
      </c>
      <c r="BZL249" s="5">
        <f t="shared" si="31"/>
        <v>0</v>
      </c>
      <c r="BZM249" s="5">
        <f t="shared" si="31"/>
        <v>0</v>
      </c>
      <c r="BZN249" s="5">
        <f t="shared" si="31"/>
        <v>0</v>
      </c>
      <c r="BZO249" s="5">
        <f t="shared" si="31"/>
        <v>0</v>
      </c>
      <c r="BZP249" s="5">
        <f t="shared" si="31"/>
        <v>0</v>
      </c>
      <c r="BZQ249" s="5">
        <f t="shared" si="31"/>
        <v>0</v>
      </c>
      <c r="BZR249" s="5">
        <f t="shared" si="31"/>
        <v>0</v>
      </c>
      <c r="BZS249" s="5">
        <f t="shared" si="31"/>
        <v>0</v>
      </c>
      <c r="BZT249" s="5">
        <f t="shared" si="31"/>
        <v>0</v>
      </c>
      <c r="BZU249" s="5">
        <f t="shared" si="31"/>
        <v>0</v>
      </c>
      <c r="BZV249" s="5">
        <f t="shared" si="31"/>
        <v>0</v>
      </c>
      <c r="BZW249" s="5">
        <f t="shared" si="31"/>
        <v>0</v>
      </c>
      <c r="BZX249" s="5">
        <f t="shared" si="31"/>
        <v>0</v>
      </c>
      <c r="BZY249" s="5">
        <f t="shared" si="31"/>
        <v>0</v>
      </c>
      <c r="BZZ249" s="5">
        <f t="shared" si="31"/>
        <v>0</v>
      </c>
      <c r="CAA249" s="5">
        <f t="shared" si="31"/>
        <v>0</v>
      </c>
      <c r="CAB249" s="5">
        <f t="shared" si="31"/>
        <v>0</v>
      </c>
      <c r="CAC249" s="5">
        <f t="shared" si="31"/>
        <v>0</v>
      </c>
      <c r="CAD249" s="5">
        <f t="shared" si="31"/>
        <v>0</v>
      </c>
      <c r="CAE249" s="5">
        <f t="shared" si="31"/>
        <v>0</v>
      </c>
      <c r="CAF249" s="5">
        <f t="shared" si="31"/>
        <v>0</v>
      </c>
      <c r="CAG249" s="5">
        <f t="shared" si="31"/>
        <v>0</v>
      </c>
      <c r="CAH249" s="5">
        <f t="shared" si="31"/>
        <v>0</v>
      </c>
      <c r="CAI249" s="5">
        <f t="shared" si="31"/>
        <v>0</v>
      </c>
      <c r="CAJ249" s="5">
        <f t="shared" si="31"/>
        <v>0</v>
      </c>
      <c r="CAK249" s="5">
        <f t="shared" si="31"/>
        <v>0</v>
      </c>
      <c r="CAL249" s="5">
        <f t="shared" ref="CAL249:CCW249" si="32">SUM(CAL246:CAL246)</f>
        <v>0</v>
      </c>
      <c r="CAM249" s="5">
        <f t="shared" si="32"/>
        <v>0</v>
      </c>
      <c r="CAN249" s="5">
        <f t="shared" si="32"/>
        <v>0</v>
      </c>
      <c r="CAO249" s="5">
        <f t="shared" si="32"/>
        <v>0</v>
      </c>
      <c r="CAP249" s="5">
        <f t="shared" si="32"/>
        <v>0</v>
      </c>
      <c r="CAQ249" s="5">
        <f t="shared" si="32"/>
        <v>0</v>
      </c>
      <c r="CAR249" s="5">
        <f t="shared" si="32"/>
        <v>0</v>
      </c>
      <c r="CAS249" s="5">
        <f t="shared" si="32"/>
        <v>0</v>
      </c>
      <c r="CAT249" s="5">
        <f t="shared" si="32"/>
        <v>0</v>
      </c>
      <c r="CAU249" s="5">
        <f t="shared" si="32"/>
        <v>0</v>
      </c>
      <c r="CAV249" s="5">
        <f t="shared" si="32"/>
        <v>0</v>
      </c>
      <c r="CAW249" s="5">
        <f t="shared" si="32"/>
        <v>0</v>
      </c>
      <c r="CAX249" s="5">
        <f t="shared" si="32"/>
        <v>0</v>
      </c>
      <c r="CAY249" s="5">
        <f t="shared" si="32"/>
        <v>0</v>
      </c>
      <c r="CAZ249" s="5">
        <f t="shared" si="32"/>
        <v>0</v>
      </c>
      <c r="CBA249" s="5">
        <f t="shared" si="32"/>
        <v>0</v>
      </c>
      <c r="CBB249" s="5">
        <f t="shared" si="32"/>
        <v>0</v>
      </c>
      <c r="CBC249" s="5">
        <f t="shared" si="32"/>
        <v>0</v>
      </c>
      <c r="CBD249" s="5">
        <f t="shared" si="32"/>
        <v>0</v>
      </c>
      <c r="CBE249" s="5">
        <f t="shared" si="32"/>
        <v>0</v>
      </c>
      <c r="CBF249" s="5">
        <f t="shared" si="32"/>
        <v>0</v>
      </c>
      <c r="CBG249" s="5">
        <f t="shared" si="32"/>
        <v>0</v>
      </c>
      <c r="CBH249" s="5">
        <f t="shared" si="32"/>
        <v>0</v>
      </c>
      <c r="CBI249" s="5">
        <f t="shared" si="32"/>
        <v>0</v>
      </c>
      <c r="CBJ249" s="5">
        <f t="shared" si="32"/>
        <v>0</v>
      </c>
      <c r="CBK249" s="5">
        <f t="shared" si="32"/>
        <v>0</v>
      </c>
      <c r="CBL249" s="5">
        <f t="shared" si="32"/>
        <v>0</v>
      </c>
      <c r="CBM249" s="5">
        <f t="shared" si="32"/>
        <v>0</v>
      </c>
      <c r="CBN249" s="5">
        <f t="shared" si="32"/>
        <v>0</v>
      </c>
      <c r="CBO249" s="5">
        <f t="shared" si="32"/>
        <v>0</v>
      </c>
      <c r="CBP249" s="5">
        <f t="shared" si="32"/>
        <v>0</v>
      </c>
      <c r="CBQ249" s="5">
        <f t="shared" si="32"/>
        <v>0</v>
      </c>
      <c r="CBR249" s="5">
        <f t="shared" si="32"/>
        <v>0</v>
      </c>
      <c r="CBS249" s="5">
        <f t="shared" si="32"/>
        <v>0</v>
      </c>
      <c r="CBT249" s="5">
        <f t="shared" si="32"/>
        <v>0</v>
      </c>
      <c r="CBU249" s="5">
        <f t="shared" si="32"/>
        <v>0</v>
      </c>
      <c r="CBV249" s="5">
        <f t="shared" si="32"/>
        <v>0</v>
      </c>
      <c r="CBW249" s="5">
        <f t="shared" si="32"/>
        <v>0</v>
      </c>
      <c r="CBX249" s="5">
        <f t="shared" si="32"/>
        <v>0</v>
      </c>
      <c r="CBY249" s="5">
        <f t="shared" si="32"/>
        <v>0</v>
      </c>
      <c r="CBZ249" s="5">
        <f t="shared" si="32"/>
        <v>0</v>
      </c>
      <c r="CCA249" s="5">
        <f t="shared" si="32"/>
        <v>0</v>
      </c>
      <c r="CCB249" s="5">
        <f t="shared" si="32"/>
        <v>0</v>
      </c>
      <c r="CCC249" s="5">
        <f t="shared" si="32"/>
        <v>0</v>
      </c>
      <c r="CCD249" s="5">
        <f t="shared" si="32"/>
        <v>0</v>
      </c>
      <c r="CCE249" s="5">
        <f t="shared" si="32"/>
        <v>0</v>
      </c>
      <c r="CCF249" s="5">
        <f t="shared" si="32"/>
        <v>0</v>
      </c>
      <c r="CCG249" s="5">
        <f t="shared" si="32"/>
        <v>0</v>
      </c>
      <c r="CCH249" s="5">
        <f t="shared" si="32"/>
        <v>0</v>
      </c>
      <c r="CCI249" s="5">
        <f t="shared" si="32"/>
        <v>0</v>
      </c>
      <c r="CCJ249" s="5">
        <f t="shared" si="32"/>
        <v>0</v>
      </c>
      <c r="CCK249" s="5">
        <f t="shared" si="32"/>
        <v>0</v>
      </c>
      <c r="CCL249" s="5">
        <f t="shared" si="32"/>
        <v>0</v>
      </c>
      <c r="CCM249" s="5">
        <f t="shared" si="32"/>
        <v>0</v>
      </c>
      <c r="CCN249" s="5">
        <f t="shared" si="32"/>
        <v>0</v>
      </c>
      <c r="CCO249" s="5">
        <f t="shared" si="32"/>
        <v>0</v>
      </c>
      <c r="CCP249" s="5">
        <f t="shared" si="32"/>
        <v>0</v>
      </c>
      <c r="CCQ249" s="5">
        <f t="shared" si="32"/>
        <v>0</v>
      </c>
      <c r="CCR249" s="5">
        <f t="shared" si="32"/>
        <v>0</v>
      </c>
      <c r="CCS249" s="5">
        <f t="shared" si="32"/>
        <v>0</v>
      </c>
      <c r="CCT249" s="5">
        <f t="shared" si="32"/>
        <v>0</v>
      </c>
      <c r="CCU249" s="5">
        <f t="shared" si="32"/>
        <v>0</v>
      </c>
      <c r="CCV249" s="5">
        <f t="shared" si="32"/>
        <v>0</v>
      </c>
      <c r="CCW249" s="5">
        <f t="shared" si="32"/>
        <v>0</v>
      </c>
      <c r="CCX249" s="5">
        <f t="shared" ref="CCX249:CFI249" si="33">SUM(CCX246:CCX246)</f>
        <v>0</v>
      </c>
      <c r="CCY249" s="5">
        <f t="shared" si="33"/>
        <v>0</v>
      </c>
      <c r="CCZ249" s="5">
        <f t="shared" si="33"/>
        <v>0</v>
      </c>
      <c r="CDA249" s="5">
        <f t="shared" si="33"/>
        <v>0</v>
      </c>
      <c r="CDB249" s="5">
        <f t="shared" si="33"/>
        <v>0</v>
      </c>
      <c r="CDC249" s="5">
        <f t="shared" si="33"/>
        <v>0</v>
      </c>
      <c r="CDD249" s="5">
        <f t="shared" si="33"/>
        <v>0</v>
      </c>
      <c r="CDE249" s="5">
        <f t="shared" si="33"/>
        <v>0</v>
      </c>
      <c r="CDF249" s="5">
        <f t="shared" si="33"/>
        <v>0</v>
      </c>
      <c r="CDG249" s="5">
        <f t="shared" si="33"/>
        <v>0</v>
      </c>
      <c r="CDH249" s="5">
        <f t="shared" si="33"/>
        <v>0</v>
      </c>
      <c r="CDI249" s="5">
        <f t="shared" si="33"/>
        <v>0</v>
      </c>
      <c r="CDJ249" s="5">
        <f t="shared" si="33"/>
        <v>0</v>
      </c>
      <c r="CDK249" s="5">
        <f t="shared" si="33"/>
        <v>0</v>
      </c>
      <c r="CDL249" s="5">
        <f t="shared" si="33"/>
        <v>0</v>
      </c>
      <c r="CDM249" s="5">
        <f t="shared" si="33"/>
        <v>0</v>
      </c>
      <c r="CDN249" s="5">
        <f t="shared" si="33"/>
        <v>0</v>
      </c>
      <c r="CDO249" s="5">
        <f t="shared" si="33"/>
        <v>0</v>
      </c>
      <c r="CDP249" s="5">
        <f t="shared" si="33"/>
        <v>0</v>
      </c>
      <c r="CDQ249" s="5">
        <f t="shared" si="33"/>
        <v>0</v>
      </c>
      <c r="CDR249" s="5">
        <f t="shared" si="33"/>
        <v>0</v>
      </c>
      <c r="CDS249" s="5">
        <f t="shared" si="33"/>
        <v>0</v>
      </c>
      <c r="CDT249" s="5">
        <f t="shared" si="33"/>
        <v>0</v>
      </c>
      <c r="CDU249" s="5">
        <f t="shared" si="33"/>
        <v>0</v>
      </c>
      <c r="CDV249" s="5">
        <f t="shared" si="33"/>
        <v>0</v>
      </c>
      <c r="CDW249" s="5">
        <f t="shared" si="33"/>
        <v>0</v>
      </c>
      <c r="CDX249" s="5">
        <f t="shared" si="33"/>
        <v>0</v>
      </c>
      <c r="CDY249" s="5">
        <f t="shared" si="33"/>
        <v>0</v>
      </c>
      <c r="CDZ249" s="5">
        <f t="shared" si="33"/>
        <v>0</v>
      </c>
      <c r="CEA249" s="5">
        <f t="shared" si="33"/>
        <v>0</v>
      </c>
      <c r="CEB249" s="5">
        <f t="shared" si="33"/>
        <v>0</v>
      </c>
      <c r="CEC249" s="5">
        <f t="shared" si="33"/>
        <v>0</v>
      </c>
      <c r="CED249" s="5">
        <f t="shared" si="33"/>
        <v>0</v>
      </c>
      <c r="CEE249" s="5">
        <f t="shared" si="33"/>
        <v>0</v>
      </c>
      <c r="CEF249" s="5">
        <f t="shared" si="33"/>
        <v>0</v>
      </c>
      <c r="CEG249" s="5">
        <f t="shared" si="33"/>
        <v>0</v>
      </c>
      <c r="CEH249" s="5">
        <f t="shared" si="33"/>
        <v>0</v>
      </c>
      <c r="CEI249" s="5">
        <f t="shared" si="33"/>
        <v>0</v>
      </c>
      <c r="CEJ249" s="5">
        <f t="shared" si="33"/>
        <v>0</v>
      </c>
      <c r="CEK249" s="5">
        <f t="shared" si="33"/>
        <v>0</v>
      </c>
      <c r="CEL249" s="5">
        <f t="shared" si="33"/>
        <v>0</v>
      </c>
      <c r="CEM249" s="5">
        <f t="shared" si="33"/>
        <v>0</v>
      </c>
      <c r="CEN249" s="5">
        <f t="shared" si="33"/>
        <v>0</v>
      </c>
      <c r="CEO249" s="5">
        <f t="shared" si="33"/>
        <v>0</v>
      </c>
      <c r="CEP249" s="5">
        <f t="shared" si="33"/>
        <v>0</v>
      </c>
      <c r="CEQ249" s="5">
        <f t="shared" si="33"/>
        <v>0</v>
      </c>
      <c r="CER249" s="5">
        <f t="shared" si="33"/>
        <v>0</v>
      </c>
      <c r="CES249" s="5">
        <f t="shared" si="33"/>
        <v>0</v>
      </c>
      <c r="CET249" s="5">
        <f t="shared" si="33"/>
        <v>0</v>
      </c>
      <c r="CEU249" s="5">
        <f t="shared" si="33"/>
        <v>0</v>
      </c>
      <c r="CEV249" s="5">
        <f t="shared" si="33"/>
        <v>0</v>
      </c>
      <c r="CEW249" s="5">
        <f t="shared" si="33"/>
        <v>0</v>
      </c>
      <c r="CEX249" s="5">
        <f t="shared" si="33"/>
        <v>0</v>
      </c>
      <c r="CEY249" s="5">
        <f t="shared" si="33"/>
        <v>0</v>
      </c>
      <c r="CEZ249" s="5">
        <f t="shared" si="33"/>
        <v>0</v>
      </c>
      <c r="CFA249" s="5">
        <f t="shared" si="33"/>
        <v>0</v>
      </c>
      <c r="CFB249" s="5">
        <f t="shared" si="33"/>
        <v>0</v>
      </c>
      <c r="CFC249" s="5">
        <f t="shared" si="33"/>
        <v>0</v>
      </c>
      <c r="CFD249" s="5">
        <f t="shared" si="33"/>
        <v>0</v>
      </c>
      <c r="CFE249" s="5">
        <f t="shared" si="33"/>
        <v>0</v>
      </c>
      <c r="CFF249" s="5">
        <f t="shared" si="33"/>
        <v>0</v>
      </c>
      <c r="CFG249" s="5">
        <f t="shared" si="33"/>
        <v>0</v>
      </c>
      <c r="CFH249" s="5">
        <f t="shared" si="33"/>
        <v>0</v>
      </c>
      <c r="CFI249" s="5">
        <f t="shared" si="33"/>
        <v>0</v>
      </c>
      <c r="CFJ249" s="5">
        <f t="shared" ref="CFJ249:CHU249" si="34">SUM(CFJ246:CFJ246)</f>
        <v>0</v>
      </c>
      <c r="CFK249" s="5">
        <f t="shared" si="34"/>
        <v>0</v>
      </c>
      <c r="CFL249" s="5">
        <f t="shared" si="34"/>
        <v>0</v>
      </c>
      <c r="CFM249" s="5">
        <f t="shared" si="34"/>
        <v>0</v>
      </c>
      <c r="CFN249" s="5">
        <f t="shared" si="34"/>
        <v>0</v>
      </c>
      <c r="CFO249" s="5">
        <f t="shared" si="34"/>
        <v>0</v>
      </c>
      <c r="CFP249" s="5">
        <f t="shared" si="34"/>
        <v>0</v>
      </c>
      <c r="CFQ249" s="5">
        <f t="shared" si="34"/>
        <v>0</v>
      </c>
      <c r="CFR249" s="5">
        <f t="shared" si="34"/>
        <v>0</v>
      </c>
      <c r="CFS249" s="5">
        <f t="shared" si="34"/>
        <v>0</v>
      </c>
      <c r="CFT249" s="5">
        <f t="shared" si="34"/>
        <v>0</v>
      </c>
      <c r="CFU249" s="5">
        <f t="shared" si="34"/>
        <v>0</v>
      </c>
      <c r="CFV249" s="5">
        <f t="shared" si="34"/>
        <v>0</v>
      </c>
      <c r="CFW249" s="5">
        <f t="shared" si="34"/>
        <v>0</v>
      </c>
      <c r="CFX249" s="5">
        <f t="shared" si="34"/>
        <v>0</v>
      </c>
      <c r="CFY249" s="5">
        <f t="shared" si="34"/>
        <v>0</v>
      </c>
      <c r="CFZ249" s="5">
        <f t="shared" si="34"/>
        <v>0</v>
      </c>
      <c r="CGA249" s="5">
        <f t="shared" si="34"/>
        <v>0</v>
      </c>
      <c r="CGB249" s="5">
        <f t="shared" si="34"/>
        <v>0</v>
      </c>
      <c r="CGC249" s="5">
        <f t="shared" si="34"/>
        <v>0</v>
      </c>
      <c r="CGD249" s="5">
        <f t="shared" si="34"/>
        <v>0</v>
      </c>
      <c r="CGE249" s="5">
        <f t="shared" si="34"/>
        <v>0</v>
      </c>
      <c r="CGF249" s="5">
        <f t="shared" si="34"/>
        <v>0</v>
      </c>
      <c r="CGG249" s="5">
        <f t="shared" si="34"/>
        <v>0</v>
      </c>
      <c r="CGH249" s="5">
        <f t="shared" si="34"/>
        <v>0</v>
      </c>
      <c r="CGI249" s="5">
        <f t="shared" si="34"/>
        <v>0</v>
      </c>
      <c r="CGJ249" s="5">
        <f t="shared" si="34"/>
        <v>0</v>
      </c>
      <c r="CGK249" s="5">
        <f t="shared" si="34"/>
        <v>0</v>
      </c>
      <c r="CGL249" s="5">
        <f t="shared" si="34"/>
        <v>0</v>
      </c>
      <c r="CGM249" s="5">
        <f t="shared" si="34"/>
        <v>0</v>
      </c>
      <c r="CGN249" s="5">
        <f t="shared" si="34"/>
        <v>0</v>
      </c>
      <c r="CGO249" s="5">
        <f t="shared" si="34"/>
        <v>0</v>
      </c>
      <c r="CGP249" s="5">
        <f t="shared" si="34"/>
        <v>0</v>
      </c>
      <c r="CGQ249" s="5">
        <f t="shared" si="34"/>
        <v>0</v>
      </c>
      <c r="CGR249" s="5">
        <f t="shared" si="34"/>
        <v>0</v>
      </c>
      <c r="CGS249" s="5">
        <f t="shared" si="34"/>
        <v>0</v>
      </c>
      <c r="CGT249" s="5">
        <f t="shared" si="34"/>
        <v>0</v>
      </c>
      <c r="CGU249" s="5">
        <f t="shared" si="34"/>
        <v>0</v>
      </c>
      <c r="CGV249" s="5">
        <f t="shared" si="34"/>
        <v>0</v>
      </c>
      <c r="CGW249" s="5">
        <f t="shared" si="34"/>
        <v>0</v>
      </c>
      <c r="CGX249" s="5">
        <f t="shared" si="34"/>
        <v>0</v>
      </c>
      <c r="CGY249" s="5">
        <f t="shared" si="34"/>
        <v>0</v>
      </c>
      <c r="CGZ249" s="5">
        <f t="shared" si="34"/>
        <v>0</v>
      </c>
      <c r="CHA249" s="5">
        <f t="shared" si="34"/>
        <v>0</v>
      </c>
      <c r="CHB249" s="5">
        <f t="shared" si="34"/>
        <v>0</v>
      </c>
      <c r="CHC249" s="5">
        <f t="shared" si="34"/>
        <v>0</v>
      </c>
      <c r="CHD249" s="5">
        <f t="shared" si="34"/>
        <v>0</v>
      </c>
      <c r="CHE249" s="5">
        <f t="shared" si="34"/>
        <v>0</v>
      </c>
      <c r="CHF249" s="5">
        <f t="shared" si="34"/>
        <v>0</v>
      </c>
      <c r="CHG249" s="5">
        <f t="shared" si="34"/>
        <v>0</v>
      </c>
      <c r="CHH249" s="5">
        <f t="shared" si="34"/>
        <v>0</v>
      </c>
      <c r="CHI249" s="5">
        <f t="shared" si="34"/>
        <v>0</v>
      </c>
      <c r="CHJ249" s="5">
        <f t="shared" si="34"/>
        <v>0</v>
      </c>
      <c r="CHK249" s="5">
        <f t="shared" si="34"/>
        <v>0</v>
      </c>
      <c r="CHL249" s="5">
        <f t="shared" si="34"/>
        <v>0</v>
      </c>
      <c r="CHM249" s="5">
        <f t="shared" si="34"/>
        <v>0</v>
      </c>
      <c r="CHN249" s="5">
        <f t="shared" si="34"/>
        <v>0</v>
      </c>
      <c r="CHO249" s="5">
        <f t="shared" si="34"/>
        <v>0</v>
      </c>
      <c r="CHP249" s="5">
        <f t="shared" si="34"/>
        <v>0</v>
      </c>
      <c r="CHQ249" s="5">
        <f t="shared" si="34"/>
        <v>0</v>
      </c>
      <c r="CHR249" s="5">
        <f t="shared" si="34"/>
        <v>0</v>
      </c>
      <c r="CHS249" s="5">
        <f t="shared" si="34"/>
        <v>0</v>
      </c>
      <c r="CHT249" s="5">
        <f t="shared" si="34"/>
        <v>0</v>
      </c>
      <c r="CHU249" s="5">
        <f t="shared" si="34"/>
        <v>0</v>
      </c>
      <c r="CHV249" s="5">
        <f t="shared" ref="CHV249:CKG249" si="35">SUM(CHV246:CHV246)</f>
        <v>0</v>
      </c>
      <c r="CHW249" s="5">
        <f t="shared" si="35"/>
        <v>0</v>
      </c>
      <c r="CHX249" s="5">
        <f t="shared" si="35"/>
        <v>0</v>
      </c>
      <c r="CHY249" s="5">
        <f t="shared" si="35"/>
        <v>0</v>
      </c>
      <c r="CHZ249" s="5">
        <f t="shared" si="35"/>
        <v>0</v>
      </c>
      <c r="CIA249" s="5">
        <f t="shared" si="35"/>
        <v>0</v>
      </c>
      <c r="CIB249" s="5">
        <f t="shared" si="35"/>
        <v>0</v>
      </c>
      <c r="CIC249" s="5">
        <f t="shared" si="35"/>
        <v>0</v>
      </c>
      <c r="CID249" s="5">
        <f t="shared" si="35"/>
        <v>0</v>
      </c>
      <c r="CIE249" s="5">
        <f t="shared" si="35"/>
        <v>0</v>
      </c>
      <c r="CIF249" s="5">
        <f t="shared" si="35"/>
        <v>0</v>
      </c>
      <c r="CIG249" s="5">
        <f t="shared" si="35"/>
        <v>0</v>
      </c>
      <c r="CIH249" s="5">
        <f t="shared" si="35"/>
        <v>0</v>
      </c>
      <c r="CII249" s="5">
        <f t="shared" si="35"/>
        <v>0</v>
      </c>
      <c r="CIJ249" s="5">
        <f t="shared" si="35"/>
        <v>0</v>
      </c>
      <c r="CIK249" s="5">
        <f t="shared" si="35"/>
        <v>0</v>
      </c>
      <c r="CIL249" s="5">
        <f t="shared" si="35"/>
        <v>0</v>
      </c>
      <c r="CIM249" s="5">
        <f t="shared" si="35"/>
        <v>0</v>
      </c>
      <c r="CIN249" s="5">
        <f t="shared" si="35"/>
        <v>0</v>
      </c>
      <c r="CIO249" s="5">
        <f t="shared" si="35"/>
        <v>0</v>
      </c>
      <c r="CIP249" s="5">
        <f t="shared" si="35"/>
        <v>0</v>
      </c>
      <c r="CIQ249" s="5">
        <f t="shared" si="35"/>
        <v>0</v>
      </c>
      <c r="CIR249" s="5">
        <f t="shared" si="35"/>
        <v>0</v>
      </c>
      <c r="CIS249" s="5">
        <f t="shared" si="35"/>
        <v>0</v>
      </c>
      <c r="CIT249" s="5">
        <f t="shared" si="35"/>
        <v>0</v>
      </c>
      <c r="CIU249" s="5">
        <f t="shared" si="35"/>
        <v>0</v>
      </c>
      <c r="CIV249" s="5">
        <f t="shared" si="35"/>
        <v>0</v>
      </c>
      <c r="CIW249" s="5">
        <f t="shared" si="35"/>
        <v>0</v>
      </c>
      <c r="CIX249" s="5">
        <f t="shared" si="35"/>
        <v>0</v>
      </c>
      <c r="CIY249" s="5">
        <f t="shared" si="35"/>
        <v>0</v>
      </c>
      <c r="CIZ249" s="5">
        <f t="shared" si="35"/>
        <v>0</v>
      </c>
      <c r="CJA249" s="5">
        <f t="shared" si="35"/>
        <v>0</v>
      </c>
      <c r="CJB249" s="5">
        <f t="shared" si="35"/>
        <v>0</v>
      </c>
      <c r="CJC249" s="5">
        <f t="shared" si="35"/>
        <v>0</v>
      </c>
      <c r="CJD249" s="5">
        <f t="shared" si="35"/>
        <v>0</v>
      </c>
      <c r="CJE249" s="5">
        <f t="shared" si="35"/>
        <v>0</v>
      </c>
      <c r="CJF249" s="5">
        <f t="shared" si="35"/>
        <v>0</v>
      </c>
      <c r="CJG249" s="5">
        <f t="shared" si="35"/>
        <v>0</v>
      </c>
      <c r="CJH249" s="5">
        <f t="shared" si="35"/>
        <v>0</v>
      </c>
      <c r="CJI249" s="5">
        <f t="shared" si="35"/>
        <v>0</v>
      </c>
      <c r="CJJ249" s="5">
        <f t="shared" si="35"/>
        <v>0</v>
      </c>
      <c r="CJK249" s="5">
        <f t="shared" si="35"/>
        <v>0</v>
      </c>
      <c r="CJL249" s="5">
        <f t="shared" si="35"/>
        <v>0</v>
      </c>
      <c r="CJM249" s="5">
        <f t="shared" si="35"/>
        <v>0</v>
      </c>
      <c r="CJN249" s="5">
        <f t="shared" si="35"/>
        <v>0</v>
      </c>
      <c r="CJO249" s="5">
        <f t="shared" si="35"/>
        <v>0</v>
      </c>
      <c r="CJP249" s="5">
        <f t="shared" si="35"/>
        <v>0</v>
      </c>
      <c r="CJQ249" s="5">
        <f t="shared" si="35"/>
        <v>0</v>
      </c>
      <c r="CJR249" s="5">
        <f t="shared" si="35"/>
        <v>0</v>
      </c>
      <c r="CJS249" s="5">
        <f t="shared" si="35"/>
        <v>0</v>
      </c>
      <c r="CJT249" s="5">
        <f t="shared" si="35"/>
        <v>0</v>
      </c>
      <c r="CJU249" s="5">
        <f t="shared" si="35"/>
        <v>0</v>
      </c>
      <c r="CJV249" s="5">
        <f t="shared" si="35"/>
        <v>0</v>
      </c>
      <c r="CJW249" s="5">
        <f t="shared" si="35"/>
        <v>0</v>
      </c>
      <c r="CJX249" s="5">
        <f t="shared" si="35"/>
        <v>0</v>
      </c>
      <c r="CJY249" s="5">
        <f t="shared" si="35"/>
        <v>0</v>
      </c>
      <c r="CJZ249" s="5">
        <f t="shared" si="35"/>
        <v>0</v>
      </c>
      <c r="CKA249" s="5">
        <f t="shared" si="35"/>
        <v>0</v>
      </c>
      <c r="CKB249" s="5">
        <f t="shared" si="35"/>
        <v>0</v>
      </c>
      <c r="CKC249" s="5">
        <f t="shared" si="35"/>
        <v>0</v>
      </c>
      <c r="CKD249" s="5">
        <f t="shared" si="35"/>
        <v>0</v>
      </c>
      <c r="CKE249" s="5">
        <f t="shared" si="35"/>
        <v>0</v>
      </c>
      <c r="CKF249" s="5">
        <f t="shared" si="35"/>
        <v>0</v>
      </c>
      <c r="CKG249" s="5">
        <f t="shared" si="35"/>
        <v>0</v>
      </c>
      <c r="CKH249" s="5">
        <f t="shared" ref="CKH249:CMS249" si="36">SUM(CKH246:CKH246)</f>
        <v>0</v>
      </c>
      <c r="CKI249" s="5">
        <f t="shared" si="36"/>
        <v>0</v>
      </c>
      <c r="CKJ249" s="5">
        <f t="shared" si="36"/>
        <v>0</v>
      </c>
      <c r="CKK249" s="5">
        <f t="shared" si="36"/>
        <v>0</v>
      </c>
      <c r="CKL249" s="5">
        <f t="shared" si="36"/>
        <v>0</v>
      </c>
      <c r="CKM249" s="5">
        <f t="shared" si="36"/>
        <v>0</v>
      </c>
      <c r="CKN249" s="5">
        <f t="shared" si="36"/>
        <v>0</v>
      </c>
      <c r="CKO249" s="5">
        <f t="shared" si="36"/>
        <v>0</v>
      </c>
      <c r="CKP249" s="5">
        <f t="shared" si="36"/>
        <v>0</v>
      </c>
      <c r="CKQ249" s="5">
        <f t="shared" si="36"/>
        <v>0</v>
      </c>
      <c r="CKR249" s="5">
        <f t="shared" si="36"/>
        <v>0</v>
      </c>
      <c r="CKS249" s="5">
        <f t="shared" si="36"/>
        <v>0</v>
      </c>
      <c r="CKT249" s="5">
        <f t="shared" si="36"/>
        <v>0</v>
      </c>
      <c r="CKU249" s="5">
        <f t="shared" si="36"/>
        <v>0</v>
      </c>
      <c r="CKV249" s="5">
        <f t="shared" si="36"/>
        <v>0</v>
      </c>
      <c r="CKW249" s="5">
        <f t="shared" si="36"/>
        <v>0</v>
      </c>
      <c r="CKX249" s="5">
        <f t="shared" si="36"/>
        <v>0</v>
      </c>
      <c r="CKY249" s="5">
        <f t="shared" si="36"/>
        <v>0</v>
      </c>
      <c r="CKZ249" s="5">
        <f t="shared" si="36"/>
        <v>0</v>
      </c>
      <c r="CLA249" s="5">
        <f t="shared" si="36"/>
        <v>0</v>
      </c>
      <c r="CLB249" s="5">
        <f t="shared" si="36"/>
        <v>0</v>
      </c>
      <c r="CLC249" s="5">
        <f t="shared" si="36"/>
        <v>0</v>
      </c>
      <c r="CLD249" s="5">
        <f t="shared" si="36"/>
        <v>0</v>
      </c>
      <c r="CLE249" s="5">
        <f t="shared" si="36"/>
        <v>0</v>
      </c>
      <c r="CLF249" s="5">
        <f t="shared" si="36"/>
        <v>0</v>
      </c>
      <c r="CLG249" s="5">
        <f t="shared" si="36"/>
        <v>0</v>
      </c>
      <c r="CLH249" s="5">
        <f t="shared" si="36"/>
        <v>0</v>
      </c>
      <c r="CLI249" s="5">
        <f t="shared" si="36"/>
        <v>0</v>
      </c>
      <c r="CLJ249" s="5">
        <f t="shared" si="36"/>
        <v>0</v>
      </c>
      <c r="CLK249" s="5">
        <f t="shared" si="36"/>
        <v>0</v>
      </c>
      <c r="CLL249" s="5">
        <f t="shared" si="36"/>
        <v>0</v>
      </c>
      <c r="CLM249" s="5">
        <f t="shared" si="36"/>
        <v>0</v>
      </c>
      <c r="CLN249" s="5">
        <f t="shared" si="36"/>
        <v>0</v>
      </c>
      <c r="CLO249" s="5">
        <f t="shared" si="36"/>
        <v>0</v>
      </c>
      <c r="CLP249" s="5">
        <f t="shared" si="36"/>
        <v>0</v>
      </c>
      <c r="CLQ249" s="5">
        <f t="shared" si="36"/>
        <v>0</v>
      </c>
      <c r="CLR249" s="5">
        <f t="shared" si="36"/>
        <v>0</v>
      </c>
      <c r="CLS249" s="5">
        <f t="shared" si="36"/>
        <v>0</v>
      </c>
      <c r="CLT249" s="5">
        <f t="shared" si="36"/>
        <v>0</v>
      </c>
      <c r="CLU249" s="5">
        <f t="shared" si="36"/>
        <v>0</v>
      </c>
      <c r="CLV249" s="5">
        <f t="shared" si="36"/>
        <v>0</v>
      </c>
      <c r="CLW249" s="5">
        <f t="shared" si="36"/>
        <v>0</v>
      </c>
      <c r="CLX249" s="5">
        <f t="shared" si="36"/>
        <v>0</v>
      </c>
      <c r="CLY249" s="5">
        <f t="shared" si="36"/>
        <v>0</v>
      </c>
      <c r="CLZ249" s="5">
        <f t="shared" si="36"/>
        <v>0</v>
      </c>
      <c r="CMA249" s="5">
        <f t="shared" si="36"/>
        <v>0</v>
      </c>
      <c r="CMB249" s="5">
        <f t="shared" si="36"/>
        <v>0</v>
      </c>
      <c r="CMC249" s="5">
        <f t="shared" si="36"/>
        <v>0</v>
      </c>
      <c r="CMD249" s="5">
        <f t="shared" si="36"/>
        <v>0</v>
      </c>
      <c r="CME249" s="5">
        <f t="shared" si="36"/>
        <v>0</v>
      </c>
      <c r="CMF249" s="5">
        <f t="shared" si="36"/>
        <v>0</v>
      </c>
      <c r="CMG249" s="5">
        <f t="shared" si="36"/>
        <v>0</v>
      </c>
      <c r="CMH249" s="5">
        <f t="shared" si="36"/>
        <v>0</v>
      </c>
      <c r="CMI249" s="5">
        <f t="shared" si="36"/>
        <v>0</v>
      </c>
      <c r="CMJ249" s="5">
        <f t="shared" si="36"/>
        <v>0</v>
      </c>
      <c r="CMK249" s="5">
        <f t="shared" si="36"/>
        <v>0</v>
      </c>
      <c r="CML249" s="5">
        <f t="shared" si="36"/>
        <v>0</v>
      </c>
      <c r="CMM249" s="5">
        <f t="shared" si="36"/>
        <v>0</v>
      </c>
      <c r="CMN249" s="5">
        <f t="shared" si="36"/>
        <v>0</v>
      </c>
      <c r="CMO249" s="5">
        <f t="shared" si="36"/>
        <v>0</v>
      </c>
      <c r="CMP249" s="5">
        <f t="shared" si="36"/>
        <v>0</v>
      </c>
      <c r="CMQ249" s="5">
        <f t="shared" si="36"/>
        <v>0</v>
      </c>
      <c r="CMR249" s="5">
        <f t="shared" si="36"/>
        <v>0</v>
      </c>
      <c r="CMS249" s="5">
        <f t="shared" si="36"/>
        <v>0</v>
      </c>
      <c r="CMT249" s="5">
        <f t="shared" ref="CMT249:CPE249" si="37">SUM(CMT246:CMT246)</f>
        <v>0</v>
      </c>
      <c r="CMU249" s="5">
        <f t="shared" si="37"/>
        <v>0</v>
      </c>
      <c r="CMV249" s="5">
        <f t="shared" si="37"/>
        <v>0</v>
      </c>
      <c r="CMW249" s="5">
        <f t="shared" si="37"/>
        <v>0</v>
      </c>
      <c r="CMX249" s="5">
        <f t="shared" si="37"/>
        <v>0</v>
      </c>
      <c r="CMY249" s="5">
        <f t="shared" si="37"/>
        <v>0</v>
      </c>
      <c r="CMZ249" s="5">
        <f t="shared" si="37"/>
        <v>0</v>
      </c>
      <c r="CNA249" s="5">
        <f t="shared" si="37"/>
        <v>0</v>
      </c>
      <c r="CNB249" s="5">
        <f t="shared" si="37"/>
        <v>0</v>
      </c>
      <c r="CNC249" s="5">
        <f t="shared" si="37"/>
        <v>0</v>
      </c>
      <c r="CND249" s="5">
        <f t="shared" si="37"/>
        <v>0</v>
      </c>
      <c r="CNE249" s="5">
        <f t="shared" si="37"/>
        <v>0</v>
      </c>
      <c r="CNF249" s="5">
        <f t="shared" si="37"/>
        <v>0</v>
      </c>
      <c r="CNG249" s="5">
        <f t="shared" si="37"/>
        <v>0</v>
      </c>
      <c r="CNH249" s="5">
        <f t="shared" si="37"/>
        <v>0</v>
      </c>
      <c r="CNI249" s="5">
        <f t="shared" si="37"/>
        <v>0</v>
      </c>
      <c r="CNJ249" s="5">
        <f t="shared" si="37"/>
        <v>0</v>
      </c>
      <c r="CNK249" s="5">
        <f t="shared" si="37"/>
        <v>0</v>
      </c>
      <c r="CNL249" s="5">
        <f t="shared" si="37"/>
        <v>0</v>
      </c>
      <c r="CNM249" s="5">
        <f t="shared" si="37"/>
        <v>0</v>
      </c>
      <c r="CNN249" s="5">
        <f t="shared" si="37"/>
        <v>0</v>
      </c>
      <c r="CNO249" s="5">
        <f t="shared" si="37"/>
        <v>0</v>
      </c>
      <c r="CNP249" s="5">
        <f t="shared" si="37"/>
        <v>0</v>
      </c>
      <c r="CNQ249" s="5">
        <f t="shared" si="37"/>
        <v>0</v>
      </c>
      <c r="CNR249" s="5">
        <f t="shared" si="37"/>
        <v>0</v>
      </c>
      <c r="CNS249" s="5">
        <f t="shared" si="37"/>
        <v>0</v>
      </c>
      <c r="CNT249" s="5">
        <f t="shared" si="37"/>
        <v>0</v>
      </c>
      <c r="CNU249" s="5">
        <f t="shared" si="37"/>
        <v>0</v>
      </c>
      <c r="CNV249" s="5">
        <f t="shared" si="37"/>
        <v>0</v>
      </c>
      <c r="CNW249" s="5">
        <f t="shared" si="37"/>
        <v>0</v>
      </c>
      <c r="CNX249" s="5">
        <f t="shared" si="37"/>
        <v>0</v>
      </c>
      <c r="CNY249" s="5">
        <f t="shared" si="37"/>
        <v>0</v>
      </c>
      <c r="CNZ249" s="5">
        <f t="shared" si="37"/>
        <v>0</v>
      </c>
      <c r="COA249" s="5">
        <f t="shared" si="37"/>
        <v>0</v>
      </c>
      <c r="COB249" s="5">
        <f t="shared" si="37"/>
        <v>0</v>
      </c>
      <c r="COC249" s="5">
        <f t="shared" si="37"/>
        <v>0</v>
      </c>
      <c r="COD249" s="5">
        <f t="shared" si="37"/>
        <v>0</v>
      </c>
      <c r="COE249" s="5">
        <f t="shared" si="37"/>
        <v>0</v>
      </c>
      <c r="COF249" s="5">
        <f t="shared" si="37"/>
        <v>0</v>
      </c>
      <c r="COG249" s="5">
        <f t="shared" si="37"/>
        <v>0</v>
      </c>
      <c r="COH249" s="5">
        <f t="shared" si="37"/>
        <v>0</v>
      </c>
      <c r="COI249" s="5">
        <f t="shared" si="37"/>
        <v>0</v>
      </c>
      <c r="COJ249" s="5">
        <f t="shared" si="37"/>
        <v>0</v>
      </c>
      <c r="COK249" s="5">
        <f t="shared" si="37"/>
        <v>0</v>
      </c>
      <c r="COL249" s="5">
        <f t="shared" si="37"/>
        <v>0</v>
      </c>
      <c r="COM249" s="5">
        <f t="shared" si="37"/>
        <v>0</v>
      </c>
      <c r="CON249" s="5">
        <f t="shared" si="37"/>
        <v>0</v>
      </c>
      <c r="COO249" s="5">
        <f t="shared" si="37"/>
        <v>0</v>
      </c>
      <c r="COP249" s="5">
        <f t="shared" si="37"/>
        <v>0</v>
      </c>
      <c r="COQ249" s="5">
        <f t="shared" si="37"/>
        <v>0</v>
      </c>
      <c r="COR249" s="5">
        <f t="shared" si="37"/>
        <v>0</v>
      </c>
      <c r="COS249" s="5">
        <f t="shared" si="37"/>
        <v>0</v>
      </c>
      <c r="COT249" s="5">
        <f t="shared" si="37"/>
        <v>0</v>
      </c>
      <c r="COU249" s="5">
        <f t="shared" si="37"/>
        <v>0</v>
      </c>
      <c r="COV249" s="5">
        <f t="shared" si="37"/>
        <v>0</v>
      </c>
      <c r="COW249" s="5">
        <f t="shared" si="37"/>
        <v>0</v>
      </c>
      <c r="COX249" s="5">
        <f t="shared" si="37"/>
        <v>0</v>
      </c>
      <c r="COY249" s="5">
        <f t="shared" si="37"/>
        <v>0</v>
      </c>
      <c r="COZ249" s="5">
        <f t="shared" si="37"/>
        <v>0</v>
      </c>
      <c r="CPA249" s="5">
        <f t="shared" si="37"/>
        <v>0</v>
      </c>
      <c r="CPB249" s="5">
        <f t="shared" si="37"/>
        <v>0</v>
      </c>
      <c r="CPC249" s="5">
        <f t="shared" si="37"/>
        <v>0</v>
      </c>
      <c r="CPD249" s="5">
        <f t="shared" si="37"/>
        <v>0</v>
      </c>
      <c r="CPE249" s="5">
        <f t="shared" si="37"/>
        <v>0</v>
      </c>
      <c r="CPF249" s="5">
        <f t="shared" ref="CPF249:CRQ249" si="38">SUM(CPF246:CPF246)</f>
        <v>0</v>
      </c>
      <c r="CPG249" s="5">
        <f t="shared" si="38"/>
        <v>0</v>
      </c>
      <c r="CPH249" s="5">
        <f t="shared" si="38"/>
        <v>0</v>
      </c>
      <c r="CPI249" s="5">
        <f t="shared" si="38"/>
        <v>0</v>
      </c>
      <c r="CPJ249" s="5">
        <f t="shared" si="38"/>
        <v>0</v>
      </c>
      <c r="CPK249" s="5">
        <f t="shared" si="38"/>
        <v>0</v>
      </c>
      <c r="CPL249" s="5">
        <f t="shared" si="38"/>
        <v>0</v>
      </c>
      <c r="CPM249" s="5">
        <f t="shared" si="38"/>
        <v>0</v>
      </c>
      <c r="CPN249" s="5">
        <f t="shared" si="38"/>
        <v>0</v>
      </c>
      <c r="CPO249" s="5">
        <f t="shared" si="38"/>
        <v>0</v>
      </c>
      <c r="CPP249" s="5">
        <f t="shared" si="38"/>
        <v>0</v>
      </c>
      <c r="CPQ249" s="5">
        <f t="shared" si="38"/>
        <v>0</v>
      </c>
      <c r="CPR249" s="5">
        <f t="shared" si="38"/>
        <v>0</v>
      </c>
      <c r="CPS249" s="5">
        <f t="shared" si="38"/>
        <v>0</v>
      </c>
      <c r="CPT249" s="5">
        <f t="shared" si="38"/>
        <v>0</v>
      </c>
      <c r="CPU249" s="5">
        <f t="shared" si="38"/>
        <v>0</v>
      </c>
      <c r="CPV249" s="5">
        <f t="shared" si="38"/>
        <v>0</v>
      </c>
      <c r="CPW249" s="5">
        <f t="shared" si="38"/>
        <v>0</v>
      </c>
      <c r="CPX249" s="5">
        <f t="shared" si="38"/>
        <v>0</v>
      </c>
      <c r="CPY249" s="5">
        <f t="shared" si="38"/>
        <v>0</v>
      </c>
      <c r="CPZ249" s="5">
        <f t="shared" si="38"/>
        <v>0</v>
      </c>
      <c r="CQA249" s="5">
        <f t="shared" si="38"/>
        <v>0</v>
      </c>
      <c r="CQB249" s="5">
        <f t="shared" si="38"/>
        <v>0</v>
      </c>
      <c r="CQC249" s="5">
        <f t="shared" si="38"/>
        <v>0</v>
      </c>
      <c r="CQD249" s="5">
        <f t="shared" si="38"/>
        <v>0</v>
      </c>
      <c r="CQE249" s="5">
        <f t="shared" si="38"/>
        <v>0</v>
      </c>
      <c r="CQF249" s="5">
        <f t="shared" si="38"/>
        <v>0</v>
      </c>
      <c r="CQG249" s="5">
        <f t="shared" si="38"/>
        <v>0</v>
      </c>
      <c r="CQH249" s="5">
        <f t="shared" si="38"/>
        <v>0</v>
      </c>
      <c r="CQI249" s="5">
        <f t="shared" si="38"/>
        <v>0</v>
      </c>
      <c r="CQJ249" s="5">
        <f t="shared" si="38"/>
        <v>0</v>
      </c>
      <c r="CQK249" s="5">
        <f t="shared" si="38"/>
        <v>0</v>
      </c>
      <c r="CQL249" s="5">
        <f t="shared" si="38"/>
        <v>0</v>
      </c>
      <c r="CQM249" s="5">
        <f t="shared" si="38"/>
        <v>0</v>
      </c>
      <c r="CQN249" s="5">
        <f t="shared" si="38"/>
        <v>0</v>
      </c>
      <c r="CQO249" s="5">
        <f t="shared" si="38"/>
        <v>0</v>
      </c>
      <c r="CQP249" s="5">
        <f t="shared" si="38"/>
        <v>0</v>
      </c>
      <c r="CQQ249" s="5">
        <f t="shared" si="38"/>
        <v>0</v>
      </c>
      <c r="CQR249" s="5">
        <f t="shared" si="38"/>
        <v>0</v>
      </c>
      <c r="CQS249" s="5">
        <f t="shared" si="38"/>
        <v>0</v>
      </c>
      <c r="CQT249" s="5">
        <f t="shared" si="38"/>
        <v>0</v>
      </c>
      <c r="CQU249" s="5">
        <f t="shared" si="38"/>
        <v>0</v>
      </c>
      <c r="CQV249" s="5">
        <f t="shared" si="38"/>
        <v>0</v>
      </c>
      <c r="CQW249" s="5">
        <f t="shared" si="38"/>
        <v>0</v>
      </c>
      <c r="CQX249" s="5">
        <f t="shared" si="38"/>
        <v>0</v>
      </c>
      <c r="CQY249" s="5">
        <f t="shared" si="38"/>
        <v>0</v>
      </c>
      <c r="CQZ249" s="5">
        <f t="shared" si="38"/>
        <v>0</v>
      </c>
      <c r="CRA249" s="5">
        <f t="shared" si="38"/>
        <v>0</v>
      </c>
      <c r="CRB249" s="5">
        <f t="shared" si="38"/>
        <v>0</v>
      </c>
      <c r="CRC249" s="5">
        <f t="shared" si="38"/>
        <v>0</v>
      </c>
      <c r="CRD249" s="5">
        <f t="shared" si="38"/>
        <v>0</v>
      </c>
      <c r="CRE249" s="5">
        <f t="shared" si="38"/>
        <v>0</v>
      </c>
      <c r="CRF249" s="5">
        <f t="shared" si="38"/>
        <v>0</v>
      </c>
      <c r="CRG249" s="5">
        <f t="shared" si="38"/>
        <v>0</v>
      </c>
      <c r="CRH249" s="5">
        <f t="shared" si="38"/>
        <v>0</v>
      </c>
      <c r="CRI249" s="5">
        <f t="shared" si="38"/>
        <v>0</v>
      </c>
      <c r="CRJ249" s="5">
        <f t="shared" si="38"/>
        <v>0</v>
      </c>
      <c r="CRK249" s="5">
        <f t="shared" si="38"/>
        <v>0</v>
      </c>
      <c r="CRL249" s="5">
        <f t="shared" si="38"/>
        <v>0</v>
      </c>
      <c r="CRM249" s="5">
        <f t="shared" si="38"/>
        <v>0</v>
      </c>
      <c r="CRN249" s="5">
        <f t="shared" si="38"/>
        <v>0</v>
      </c>
      <c r="CRO249" s="5">
        <f t="shared" si="38"/>
        <v>0</v>
      </c>
      <c r="CRP249" s="5">
        <f t="shared" si="38"/>
        <v>0</v>
      </c>
      <c r="CRQ249" s="5">
        <f t="shared" si="38"/>
        <v>0</v>
      </c>
      <c r="CRR249" s="5">
        <f t="shared" ref="CRR249:CUC249" si="39">SUM(CRR246:CRR246)</f>
        <v>0</v>
      </c>
      <c r="CRS249" s="5">
        <f t="shared" si="39"/>
        <v>0</v>
      </c>
      <c r="CRT249" s="5">
        <f t="shared" si="39"/>
        <v>0</v>
      </c>
      <c r="CRU249" s="5">
        <f t="shared" si="39"/>
        <v>0</v>
      </c>
      <c r="CRV249" s="5">
        <f t="shared" si="39"/>
        <v>0</v>
      </c>
      <c r="CRW249" s="5">
        <f t="shared" si="39"/>
        <v>0</v>
      </c>
      <c r="CRX249" s="5">
        <f t="shared" si="39"/>
        <v>0</v>
      </c>
      <c r="CRY249" s="5">
        <f t="shared" si="39"/>
        <v>0</v>
      </c>
      <c r="CRZ249" s="5">
        <f t="shared" si="39"/>
        <v>0</v>
      </c>
      <c r="CSA249" s="5">
        <f t="shared" si="39"/>
        <v>0</v>
      </c>
      <c r="CSB249" s="5">
        <f t="shared" si="39"/>
        <v>0</v>
      </c>
      <c r="CSC249" s="5">
        <f t="shared" si="39"/>
        <v>0</v>
      </c>
      <c r="CSD249" s="5">
        <f t="shared" si="39"/>
        <v>0</v>
      </c>
      <c r="CSE249" s="5">
        <f t="shared" si="39"/>
        <v>0</v>
      </c>
      <c r="CSF249" s="5">
        <f t="shared" si="39"/>
        <v>0</v>
      </c>
      <c r="CSG249" s="5">
        <f t="shared" si="39"/>
        <v>0</v>
      </c>
      <c r="CSH249" s="5">
        <f t="shared" si="39"/>
        <v>0</v>
      </c>
      <c r="CSI249" s="5">
        <f t="shared" si="39"/>
        <v>0</v>
      </c>
      <c r="CSJ249" s="5">
        <f t="shared" si="39"/>
        <v>0</v>
      </c>
      <c r="CSK249" s="5">
        <f t="shared" si="39"/>
        <v>0</v>
      </c>
      <c r="CSL249" s="5">
        <f t="shared" si="39"/>
        <v>0</v>
      </c>
      <c r="CSM249" s="5">
        <f t="shared" si="39"/>
        <v>0</v>
      </c>
      <c r="CSN249" s="5">
        <f t="shared" si="39"/>
        <v>0</v>
      </c>
      <c r="CSO249" s="5">
        <f t="shared" si="39"/>
        <v>0</v>
      </c>
      <c r="CSP249" s="5">
        <f t="shared" si="39"/>
        <v>0</v>
      </c>
      <c r="CSQ249" s="5">
        <f t="shared" si="39"/>
        <v>0</v>
      </c>
      <c r="CSR249" s="5">
        <f t="shared" si="39"/>
        <v>0</v>
      </c>
      <c r="CSS249" s="5">
        <f t="shared" si="39"/>
        <v>0</v>
      </c>
      <c r="CST249" s="5">
        <f t="shared" si="39"/>
        <v>0</v>
      </c>
      <c r="CSU249" s="5">
        <f t="shared" si="39"/>
        <v>0</v>
      </c>
      <c r="CSV249" s="5">
        <f t="shared" si="39"/>
        <v>0</v>
      </c>
      <c r="CSW249" s="5">
        <f t="shared" si="39"/>
        <v>0</v>
      </c>
      <c r="CSX249" s="5">
        <f t="shared" si="39"/>
        <v>0</v>
      </c>
      <c r="CSY249" s="5">
        <f t="shared" si="39"/>
        <v>0</v>
      </c>
      <c r="CSZ249" s="5">
        <f t="shared" si="39"/>
        <v>0</v>
      </c>
      <c r="CTA249" s="5">
        <f t="shared" si="39"/>
        <v>0</v>
      </c>
      <c r="CTB249" s="5">
        <f t="shared" si="39"/>
        <v>0</v>
      </c>
      <c r="CTC249" s="5">
        <f t="shared" si="39"/>
        <v>0</v>
      </c>
      <c r="CTD249" s="5">
        <f t="shared" si="39"/>
        <v>0</v>
      </c>
      <c r="CTE249" s="5">
        <f t="shared" si="39"/>
        <v>0</v>
      </c>
      <c r="CTF249" s="5">
        <f t="shared" si="39"/>
        <v>0</v>
      </c>
      <c r="CTG249" s="5">
        <f t="shared" si="39"/>
        <v>0</v>
      </c>
      <c r="CTH249" s="5">
        <f t="shared" si="39"/>
        <v>0</v>
      </c>
      <c r="CTI249" s="5">
        <f t="shared" si="39"/>
        <v>0</v>
      </c>
      <c r="CTJ249" s="5">
        <f t="shared" si="39"/>
        <v>0</v>
      </c>
      <c r="CTK249" s="5">
        <f t="shared" si="39"/>
        <v>0</v>
      </c>
      <c r="CTL249" s="5">
        <f t="shared" si="39"/>
        <v>0</v>
      </c>
      <c r="CTM249" s="5">
        <f t="shared" si="39"/>
        <v>0</v>
      </c>
      <c r="CTN249" s="5">
        <f t="shared" si="39"/>
        <v>0</v>
      </c>
      <c r="CTO249" s="5">
        <f t="shared" si="39"/>
        <v>0</v>
      </c>
      <c r="CTP249" s="5">
        <f t="shared" si="39"/>
        <v>0</v>
      </c>
      <c r="CTQ249" s="5">
        <f t="shared" si="39"/>
        <v>0</v>
      </c>
      <c r="CTR249" s="5">
        <f t="shared" si="39"/>
        <v>0</v>
      </c>
      <c r="CTS249" s="5">
        <f t="shared" si="39"/>
        <v>0</v>
      </c>
      <c r="CTT249" s="5">
        <f t="shared" si="39"/>
        <v>0</v>
      </c>
      <c r="CTU249" s="5">
        <f t="shared" si="39"/>
        <v>0</v>
      </c>
      <c r="CTV249" s="5">
        <f t="shared" si="39"/>
        <v>0</v>
      </c>
      <c r="CTW249" s="5">
        <f t="shared" si="39"/>
        <v>0</v>
      </c>
      <c r="CTX249" s="5">
        <f t="shared" si="39"/>
        <v>0</v>
      </c>
      <c r="CTY249" s="5">
        <f t="shared" si="39"/>
        <v>0</v>
      </c>
      <c r="CTZ249" s="5">
        <f t="shared" si="39"/>
        <v>0</v>
      </c>
      <c r="CUA249" s="5">
        <f t="shared" si="39"/>
        <v>0</v>
      </c>
      <c r="CUB249" s="5">
        <f t="shared" si="39"/>
        <v>0</v>
      </c>
      <c r="CUC249" s="5">
        <f t="shared" si="39"/>
        <v>0</v>
      </c>
      <c r="CUD249" s="5">
        <f t="shared" ref="CUD249:CWO249" si="40">SUM(CUD246:CUD246)</f>
        <v>0</v>
      </c>
      <c r="CUE249" s="5">
        <f t="shared" si="40"/>
        <v>0</v>
      </c>
      <c r="CUF249" s="5">
        <f t="shared" si="40"/>
        <v>0</v>
      </c>
      <c r="CUG249" s="5">
        <f t="shared" si="40"/>
        <v>0</v>
      </c>
      <c r="CUH249" s="5">
        <f t="shared" si="40"/>
        <v>0</v>
      </c>
      <c r="CUI249" s="5">
        <f t="shared" si="40"/>
        <v>0</v>
      </c>
      <c r="CUJ249" s="5">
        <f t="shared" si="40"/>
        <v>0</v>
      </c>
      <c r="CUK249" s="5">
        <f t="shared" si="40"/>
        <v>0</v>
      </c>
      <c r="CUL249" s="5">
        <f t="shared" si="40"/>
        <v>0</v>
      </c>
      <c r="CUM249" s="5">
        <f t="shared" si="40"/>
        <v>0</v>
      </c>
      <c r="CUN249" s="5">
        <f t="shared" si="40"/>
        <v>0</v>
      </c>
      <c r="CUO249" s="5">
        <f t="shared" si="40"/>
        <v>0</v>
      </c>
      <c r="CUP249" s="5">
        <f t="shared" si="40"/>
        <v>0</v>
      </c>
      <c r="CUQ249" s="5">
        <f t="shared" si="40"/>
        <v>0</v>
      </c>
      <c r="CUR249" s="5">
        <f t="shared" si="40"/>
        <v>0</v>
      </c>
      <c r="CUS249" s="5">
        <f t="shared" si="40"/>
        <v>0</v>
      </c>
      <c r="CUT249" s="5">
        <f t="shared" si="40"/>
        <v>0</v>
      </c>
      <c r="CUU249" s="5">
        <f t="shared" si="40"/>
        <v>0</v>
      </c>
      <c r="CUV249" s="5">
        <f t="shared" si="40"/>
        <v>0</v>
      </c>
      <c r="CUW249" s="5">
        <f t="shared" si="40"/>
        <v>0</v>
      </c>
      <c r="CUX249" s="5">
        <f t="shared" si="40"/>
        <v>0</v>
      </c>
      <c r="CUY249" s="5">
        <f t="shared" si="40"/>
        <v>0</v>
      </c>
      <c r="CUZ249" s="5">
        <f t="shared" si="40"/>
        <v>0</v>
      </c>
      <c r="CVA249" s="5">
        <f t="shared" si="40"/>
        <v>0</v>
      </c>
      <c r="CVB249" s="5">
        <f t="shared" si="40"/>
        <v>0</v>
      </c>
      <c r="CVC249" s="5">
        <f t="shared" si="40"/>
        <v>0</v>
      </c>
      <c r="CVD249" s="5">
        <f t="shared" si="40"/>
        <v>0</v>
      </c>
      <c r="CVE249" s="5">
        <f t="shared" si="40"/>
        <v>0</v>
      </c>
      <c r="CVF249" s="5">
        <f t="shared" si="40"/>
        <v>0</v>
      </c>
      <c r="CVG249" s="5">
        <f t="shared" si="40"/>
        <v>0</v>
      </c>
      <c r="CVH249" s="5">
        <f t="shared" si="40"/>
        <v>0</v>
      </c>
      <c r="CVI249" s="5">
        <f t="shared" si="40"/>
        <v>0</v>
      </c>
      <c r="CVJ249" s="5">
        <f t="shared" si="40"/>
        <v>0</v>
      </c>
      <c r="CVK249" s="5">
        <f t="shared" si="40"/>
        <v>0</v>
      </c>
      <c r="CVL249" s="5">
        <f t="shared" si="40"/>
        <v>0</v>
      </c>
      <c r="CVM249" s="5">
        <f t="shared" si="40"/>
        <v>0</v>
      </c>
      <c r="CVN249" s="5">
        <f t="shared" si="40"/>
        <v>0</v>
      </c>
      <c r="CVO249" s="5">
        <f t="shared" si="40"/>
        <v>0</v>
      </c>
      <c r="CVP249" s="5">
        <f t="shared" si="40"/>
        <v>0</v>
      </c>
      <c r="CVQ249" s="5">
        <f t="shared" si="40"/>
        <v>0</v>
      </c>
      <c r="CVR249" s="5">
        <f t="shared" si="40"/>
        <v>0</v>
      </c>
      <c r="CVS249" s="5">
        <f t="shared" si="40"/>
        <v>0</v>
      </c>
      <c r="CVT249" s="5">
        <f t="shared" si="40"/>
        <v>0</v>
      </c>
      <c r="CVU249" s="5">
        <f t="shared" si="40"/>
        <v>0</v>
      </c>
      <c r="CVV249" s="5">
        <f t="shared" si="40"/>
        <v>0</v>
      </c>
      <c r="CVW249" s="5">
        <f t="shared" si="40"/>
        <v>0</v>
      </c>
      <c r="CVX249" s="5">
        <f t="shared" si="40"/>
        <v>0</v>
      </c>
      <c r="CVY249" s="5">
        <f t="shared" si="40"/>
        <v>0</v>
      </c>
      <c r="CVZ249" s="5">
        <f t="shared" si="40"/>
        <v>0</v>
      </c>
      <c r="CWA249" s="5">
        <f t="shared" si="40"/>
        <v>0</v>
      </c>
      <c r="CWB249" s="5">
        <f t="shared" si="40"/>
        <v>0</v>
      </c>
      <c r="CWC249" s="5">
        <f t="shared" si="40"/>
        <v>0</v>
      </c>
      <c r="CWD249" s="5">
        <f t="shared" si="40"/>
        <v>0</v>
      </c>
      <c r="CWE249" s="5">
        <f t="shared" si="40"/>
        <v>0</v>
      </c>
      <c r="CWF249" s="5">
        <f t="shared" si="40"/>
        <v>0</v>
      </c>
      <c r="CWG249" s="5">
        <f t="shared" si="40"/>
        <v>0</v>
      </c>
      <c r="CWH249" s="5">
        <f t="shared" si="40"/>
        <v>0</v>
      </c>
      <c r="CWI249" s="5">
        <f t="shared" si="40"/>
        <v>0</v>
      </c>
      <c r="CWJ249" s="5">
        <f t="shared" si="40"/>
        <v>0</v>
      </c>
      <c r="CWK249" s="5">
        <f t="shared" si="40"/>
        <v>0</v>
      </c>
      <c r="CWL249" s="5">
        <f t="shared" si="40"/>
        <v>0</v>
      </c>
      <c r="CWM249" s="5">
        <f t="shared" si="40"/>
        <v>0</v>
      </c>
      <c r="CWN249" s="5">
        <f t="shared" si="40"/>
        <v>0</v>
      </c>
      <c r="CWO249" s="5">
        <f t="shared" si="40"/>
        <v>0</v>
      </c>
      <c r="CWP249" s="5">
        <f t="shared" ref="CWP249:CZA249" si="41">SUM(CWP246:CWP246)</f>
        <v>0</v>
      </c>
      <c r="CWQ249" s="5">
        <f t="shared" si="41"/>
        <v>0</v>
      </c>
      <c r="CWR249" s="5">
        <f t="shared" si="41"/>
        <v>0</v>
      </c>
      <c r="CWS249" s="5">
        <f t="shared" si="41"/>
        <v>0</v>
      </c>
      <c r="CWT249" s="5">
        <f t="shared" si="41"/>
        <v>0</v>
      </c>
      <c r="CWU249" s="5">
        <f t="shared" si="41"/>
        <v>0</v>
      </c>
      <c r="CWV249" s="5">
        <f t="shared" si="41"/>
        <v>0</v>
      </c>
      <c r="CWW249" s="5">
        <f t="shared" si="41"/>
        <v>0</v>
      </c>
      <c r="CWX249" s="5">
        <f t="shared" si="41"/>
        <v>0</v>
      </c>
      <c r="CWY249" s="5">
        <f t="shared" si="41"/>
        <v>0</v>
      </c>
      <c r="CWZ249" s="5">
        <f t="shared" si="41"/>
        <v>0</v>
      </c>
      <c r="CXA249" s="5">
        <f t="shared" si="41"/>
        <v>0</v>
      </c>
      <c r="CXB249" s="5">
        <f t="shared" si="41"/>
        <v>0</v>
      </c>
      <c r="CXC249" s="5">
        <f t="shared" si="41"/>
        <v>0</v>
      </c>
      <c r="CXD249" s="5">
        <f t="shared" si="41"/>
        <v>0</v>
      </c>
      <c r="CXE249" s="5">
        <f t="shared" si="41"/>
        <v>0</v>
      </c>
      <c r="CXF249" s="5">
        <f t="shared" si="41"/>
        <v>0</v>
      </c>
      <c r="CXG249" s="5">
        <f t="shared" si="41"/>
        <v>0</v>
      </c>
      <c r="CXH249" s="5">
        <f t="shared" si="41"/>
        <v>0</v>
      </c>
      <c r="CXI249" s="5">
        <f t="shared" si="41"/>
        <v>0</v>
      </c>
      <c r="CXJ249" s="5">
        <f t="shared" si="41"/>
        <v>0</v>
      </c>
      <c r="CXK249" s="5">
        <f t="shared" si="41"/>
        <v>0</v>
      </c>
      <c r="CXL249" s="5">
        <f t="shared" si="41"/>
        <v>0</v>
      </c>
      <c r="CXM249" s="5">
        <f t="shared" si="41"/>
        <v>0</v>
      </c>
      <c r="CXN249" s="5">
        <f t="shared" si="41"/>
        <v>0</v>
      </c>
      <c r="CXO249" s="5">
        <f t="shared" si="41"/>
        <v>0</v>
      </c>
      <c r="CXP249" s="5">
        <f t="shared" si="41"/>
        <v>0</v>
      </c>
      <c r="CXQ249" s="5">
        <f t="shared" si="41"/>
        <v>0</v>
      </c>
      <c r="CXR249" s="5">
        <f t="shared" si="41"/>
        <v>0</v>
      </c>
      <c r="CXS249" s="5">
        <f t="shared" si="41"/>
        <v>0</v>
      </c>
      <c r="CXT249" s="5">
        <f t="shared" si="41"/>
        <v>0</v>
      </c>
      <c r="CXU249" s="5">
        <f t="shared" si="41"/>
        <v>0</v>
      </c>
      <c r="CXV249" s="5">
        <f t="shared" si="41"/>
        <v>0</v>
      </c>
      <c r="CXW249" s="5">
        <f t="shared" si="41"/>
        <v>0</v>
      </c>
      <c r="CXX249" s="5">
        <f t="shared" si="41"/>
        <v>0</v>
      </c>
      <c r="CXY249" s="5">
        <f t="shared" si="41"/>
        <v>0</v>
      </c>
      <c r="CXZ249" s="5">
        <f t="shared" si="41"/>
        <v>0</v>
      </c>
      <c r="CYA249" s="5">
        <f t="shared" si="41"/>
        <v>0</v>
      </c>
      <c r="CYB249" s="5">
        <f t="shared" si="41"/>
        <v>0</v>
      </c>
      <c r="CYC249" s="5">
        <f t="shared" si="41"/>
        <v>0</v>
      </c>
      <c r="CYD249" s="5">
        <f t="shared" si="41"/>
        <v>0</v>
      </c>
      <c r="CYE249" s="5">
        <f t="shared" si="41"/>
        <v>0</v>
      </c>
      <c r="CYF249" s="5">
        <f t="shared" si="41"/>
        <v>0</v>
      </c>
      <c r="CYG249" s="5">
        <f t="shared" si="41"/>
        <v>0</v>
      </c>
      <c r="CYH249" s="5">
        <f t="shared" si="41"/>
        <v>0</v>
      </c>
      <c r="CYI249" s="5">
        <f t="shared" si="41"/>
        <v>0</v>
      </c>
      <c r="CYJ249" s="5">
        <f t="shared" si="41"/>
        <v>0</v>
      </c>
      <c r="CYK249" s="5">
        <f t="shared" si="41"/>
        <v>0</v>
      </c>
      <c r="CYL249" s="5">
        <f t="shared" si="41"/>
        <v>0</v>
      </c>
      <c r="CYM249" s="5">
        <f t="shared" si="41"/>
        <v>0</v>
      </c>
      <c r="CYN249" s="5">
        <f t="shared" si="41"/>
        <v>0</v>
      </c>
      <c r="CYO249" s="5">
        <f t="shared" si="41"/>
        <v>0</v>
      </c>
      <c r="CYP249" s="5">
        <f t="shared" si="41"/>
        <v>0</v>
      </c>
      <c r="CYQ249" s="5">
        <f t="shared" si="41"/>
        <v>0</v>
      </c>
      <c r="CYR249" s="5">
        <f t="shared" si="41"/>
        <v>0</v>
      </c>
      <c r="CYS249" s="5">
        <f t="shared" si="41"/>
        <v>0</v>
      </c>
      <c r="CYT249" s="5">
        <f t="shared" si="41"/>
        <v>0</v>
      </c>
      <c r="CYU249" s="5">
        <f t="shared" si="41"/>
        <v>0</v>
      </c>
      <c r="CYV249" s="5">
        <f t="shared" si="41"/>
        <v>0</v>
      </c>
      <c r="CYW249" s="5">
        <f t="shared" si="41"/>
        <v>0</v>
      </c>
      <c r="CYX249" s="5">
        <f t="shared" si="41"/>
        <v>0</v>
      </c>
      <c r="CYY249" s="5">
        <f t="shared" si="41"/>
        <v>0</v>
      </c>
      <c r="CYZ249" s="5">
        <f t="shared" si="41"/>
        <v>0</v>
      </c>
      <c r="CZA249" s="5">
        <f t="shared" si="41"/>
        <v>0</v>
      </c>
      <c r="CZB249" s="5">
        <f t="shared" ref="CZB249:DBM249" si="42">SUM(CZB246:CZB246)</f>
        <v>0</v>
      </c>
      <c r="CZC249" s="5">
        <f t="shared" si="42"/>
        <v>0</v>
      </c>
      <c r="CZD249" s="5">
        <f t="shared" si="42"/>
        <v>0</v>
      </c>
      <c r="CZE249" s="5">
        <f t="shared" si="42"/>
        <v>0</v>
      </c>
      <c r="CZF249" s="5">
        <f t="shared" si="42"/>
        <v>0</v>
      </c>
      <c r="CZG249" s="5">
        <f t="shared" si="42"/>
        <v>0</v>
      </c>
      <c r="CZH249" s="5">
        <f t="shared" si="42"/>
        <v>0</v>
      </c>
      <c r="CZI249" s="5">
        <f t="shared" si="42"/>
        <v>0</v>
      </c>
      <c r="CZJ249" s="5">
        <f t="shared" si="42"/>
        <v>0</v>
      </c>
      <c r="CZK249" s="5">
        <f t="shared" si="42"/>
        <v>0</v>
      </c>
      <c r="CZL249" s="5">
        <f t="shared" si="42"/>
        <v>0</v>
      </c>
      <c r="CZM249" s="5">
        <f t="shared" si="42"/>
        <v>0</v>
      </c>
      <c r="CZN249" s="5">
        <f t="shared" si="42"/>
        <v>0</v>
      </c>
      <c r="CZO249" s="5">
        <f t="shared" si="42"/>
        <v>0</v>
      </c>
      <c r="CZP249" s="5">
        <f t="shared" si="42"/>
        <v>0</v>
      </c>
      <c r="CZQ249" s="5">
        <f t="shared" si="42"/>
        <v>0</v>
      </c>
      <c r="CZR249" s="5">
        <f t="shared" si="42"/>
        <v>0</v>
      </c>
      <c r="CZS249" s="5">
        <f t="shared" si="42"/>
        <v>0</v>
      </c>
      <c r="CZT249" s="5">
        <f t="shared" si="42"/>
        <v>0</v>
      </c>
      <c r="CZU249" s="5">
        <f t="shared" si="42"/>
        <v>0</v>
      </c>
      <c r="CZV249" s="5">
        <f t="shared" si="42"/>
        <v>0</v>
      </c>
      <c r="CZW249" s="5">
        <f t="shared" si="42"/>
        <v>0</v>
      </c>
      <c r="CZX249" s="5">
        <f t="shared" si="42"/>
        <v>0</v>
      </c>
      <c r="CZY249" s="5">
        <f t="shared" si="42"/>
        <v>0</v>
      </c>
      <c r="CZZ249" s="5">
        <f t="shared" si="42"/>
        <v>0</v>
      </c>
      <c r="DAA249" s="5">
        <f t="shared" si="42"/>
        <v>0</v>
      </c>
      <c r="DAB249" s="5">
        <f t="shared" si="42"/>
        <v>0</v>
      </c>
      <c r="DAC249" s="5">
        <f t="shared" si="42"/>
        <v>0</v>
      </c>
      <c r="DAD249" s="5">
        <f t="shared" si="42"/>
        <v>0</v>
      </c>
      <c r="DAE249" s="5">
        <f t="shared" si="42"/>
        <v>0</v>
      </c>
      <c r="DAF249" s="5">
        <f t="shared" si="42"/>
        <v>0</v>
      </c>
      <c r="DAG249" s="5">
        <f t="shared" si="42"/>
        <v>0</v>
      </c>
      <c r="DAH249" s="5">
        <f t="shared" si="42"/>
        <v>0</v>
      </c>
      <c r="DAI249" s="5">
        <f t="shared" si="42"/>
        <v>0</v>
      </c>
      <c r="DAJ249" s="5">
        <f t="shared" si="42"/>
        <v>0</v>
      </c>
      <c r="DAK249" s="5">
        <f t="shared" si="42"/>
        <v>0</v>
      </c>
      <c r="DAL249" s="5">
        <f t="shared" si="42"/>
        <v>0</v>
      </c>
      <c r="DAM249" s="5">
        <f t="shared" si="42"/>
        <v>0</v>
      </c>
      <c r="DAN249" s="5">
        <f t="shared" si="42"/>
        <v>0</v>
      </c>
      <c r="DAO249" s="5">
        <f t="shared" si="42"/>
        <v>0</v>
      </c>
      <c r="DAP249" s="5">
        <f t="shared" si="42"/>
        <v>0</v>
      </c>
      <c r="DAQ249" s="5">
        <f t="shared" si="42"/>
        <v>0</v>
      </c>
      <c r="DAR249" s="5">
        <f t="shared" si="42"/>
        <v>0</v>
      </c>
      <c r="DAS249" s="5">
        <f t="shared" si="42"/>
        <v>0</v>
      </c>
      <c r="DAT249" s="5">
        <f t="shared" si="42"/>
        <v>0</v>
      </c>
      <c r="DAU249" s="5">
        <f t="shared" si="42"/>
        <v>0</v>
      </c>
      <c r="DAV249" s="5">
        <f t="shared" si="42"/>
        <v>0</v>
      </c>
      <c r="DAW249" s="5">
        <f t="shared" si="42"/>
        <v>0</v>
      </c>
      <c r="DAX249" s="5">
        <f t="shared" si="42"/>
        <v>0</v>
      </c>
      <c r="DAY249" s="5">
        <f t="shared" si="42"/>
        <v>0</v>
      </c>
      <c r="DAZ249" s="5">
        <f t="shared" si="42"/>
        <v>0</v>
      </c>
      <c r="DBA249" s="5">
        <f t="shared" si="42"/>
        <v>0</v>
      </c>
      <c r="DBB249" s="5">
        <f t="shared" si="42"/>
        <v>0</v>
      </c>
      <c r="DBC249" s="5">
        <f t="shared" si="42"/>
        <v>0</v>
      </c>
      <c r="DBD249" s="5">
        <f t="shared" si="42"/>
        <v>0</v>
      </c>
      <c r="DBE249" s="5">
        <f t="shared" si="42"/>
        <v>0</v>
      </c>
      <c r="DBF249" s="5">
        <f t="shared" si="42"/>
        <v>0</v>
      </c>
      <c r="DBG249" s="5">
        <f t="shared" si="42"/>
        <v>0</v>
      </c>
      <c r="DBH249" s="5">
        <f t="shared" si="42"/>
        <v>0</v>
      </c>
      <c r="DBI249" s="5">
        <f t="shared" si="42"/>
        <v>0</v>
      </c>
      <c r="DBJ249" s="5">
        <f t="shared" si="42"/>
        <v>0</v>
      </c>
      <c r="DBK249" s="5">
        <f t="shared" si="42"/>
        <v>0</v>
      </c>
      <c r="DBL249" s="5">
        <f t="shared" si="42"/>
        <v>0</v>
      </c>
      <c r="DBM249" s="5">
        <f t="shared" si="42"/>
        <v>0</v>
      </c>
      <c r="DBN249" s="5">
        <f t="shared" ref="DBN249:DDY249" si="43">SUM(DBN246:DBN246)</f>
        <v>0</v>
      </c>
      <c r="DBO249" s="5">
        <f t="shared" si="43"/>
        <v>0</v>
      </c>
      <c r="DBP249" s="5">
        <f t="shared" si="43"/>
        <v>0</v>
      </c>
      <c r="DBQ249" s="5">
        <f t="shared" si="43"/>
        <v>0</v>
      </c>
      <c r="DBR249" s="5">
        <f t="shared" si="43"/>
        <v>0</v>
      </c>
      <c r="DBS249" s="5">
        <f t="shared" si="43"/>
        <v>0</v>
      </c>
      <c r="DBT249" s="5">
        <f t="shared" si="43"/>
        <v>0</v>
      </c>
      <c r="DBU249" s="5">
        <f t="shared" si="43"/>
        <v>0</v>
      </c>
      <c r="DBV249" s="5">
        <f t="shared" si="43"/>
        <v>0</v>
      </c>
      <c r="DBW249" s="5">
        <f t="shared" si="43"/>
        <v>0</v>
      </c>
      <c r="DBX249" s="5">
        <f t="shared" si="43"/>
        <v>0</v>
      </c>
      <c r="DBY249" s="5">
        <f t="shared" si="43"/>
        <v>0</v>
      </c>
      <c r="DBZ249" s="5">
        <f t="shared" si="43"/>
        <v>0</v>
      </c>
      <c r="DCA249" s="5">
        <f t="shared" si="43"/>
        <v>0</v>
      </c>
      <c r="DCB249" s="5">
        <f t="shared" si="43"/>
        <v>0</v>
      </c>
      <c r="DCC249" s="5">
        <f t="shared" si="43"/>
        <v>0</v>
      </c>
      <c r="DCD249" s="5">
        <f t="shared" si="43"/>
        <v>0</v>
      </c>
      <c r="DCE249" s="5">
        <f t="shared" si="43"/>
        <v>0</v>
      </c>
      <c r="DCF249" s="5">
        <f t="shared" si="43"/>
        <v>0</v>
      </c>
      <c r="DCG249" s="5">
        <f t="shared" si="43"/>
        <v>0</v>
      </c>
      <c r="DCH249" s="5">
        <f t="shared" si="43"/>
        <v>0</v>
      </c>
      <c r="DCI249" s="5">
        <f t="shared" si="43"/>
        <v>0</v>
      </c>
      <c r="DCJ249" s="5">
        <f t="shared" si="43"/>
        <v>0</v>
      </c>
      <c r="DCK249" s="5">
        <f t="shared" si="43"/>
        <v>0</v>
      </c>
      <c r="DCL249" s="5">
        <f t="shared" si="43"/>
        <v>0</v>
      </c>
      <c r="DCM249" s="5">
        <f t="shared" si="43"/>
        <v>0</v>
      </c>
      <c r="DCN249" s="5">
        <f t="shared" si="43"/>
        <v>0</v>
      </c>
      <c r="DCO249" s="5">
        <f t="shared" si="43"/>
        <v>0</v>
      </c>
      <c r="DCP249" s="5">
        <f t="shared" si="43"/>
        <v>0</v>
      </c>
      <c r="DCQ249" s="5">
        <f t="shared" si="43"/>
        <v>0</v>
      </c>
      <c r="DCR249" s="5">
        <f t="shared" si="43"/>
        <v>0</v>
      </c>
      <c r="DCS249" s="5">
        <f t="shared" si="43"/>
        <v>0</v>
      </c>
      <c r="DCT249" s="5">
        <f t="shared" si="43"/>
        <v>0</v>
      </c>
      <c r="DCU249" s="5">
        <f t="shared" si="43"/>
        <v>0</v>
      </c>
      <c r="DCV249" s="5">
        <f t="shared" si="43"/>
        <v>0</v>
      </c>
      <c r="DCW249" s="5">
        <f t="shared" si="43"/>
        <v>0</v>
      </c>
      <c r="DCX249" s="5">
        <f t="shared" si="43"/>
        <v>0</v>
      </c>
      <c r="DCY249" s="5">
        <f t="shared" si="43"/>
        <v>0</v>
      </c>
      <c r="DCZ249" s="5">
        <f t="shared" si="43"/>
        <v>0</v>
      </c>
      <c r="DDA249" s="5">
        <f t="shared" si="43"/>
        <v>0</v>
      </c>
      <c r="DDB249" s="5">
        <f t="shared" si="43"/>
        <v>0</v>
      </c>
      <c r="DDC249" s="5">
        <f t="shared" si="43"/>
        <v>0</v>
      </c>
      <c r="DDD249" s="5">
        <f t="shared" si="43"/>
        <v>0</v>
      </c>
      <c r="DDE249" s="5">
        <f t="shared" si="43"/>
        <v>0</v>
      </c>
      <c r="DDF249" s="5">
        <f t="shared" si="43"/>
        <v>0</v>
      </c>
      <c r="DDG249" s="5">
        <f t="shared" si="43"/>
        <v>0</v>
      </c>
      <c r="DDH249" s="5">
        <f t="shared" si="43"/>
        <v>0</v>
      </c>
      <c r="DDI249" s="5">
        <f t="shared" si="43"/>
        <v>0</v>
      </c>
      <c r="DDJ249" s="5">
        <f t="shared" si="43"/>
        <v>0</v>
      </c>
      <c r="DDK249" s="5">
        <f t="shared" si="43"/>
        <v>0</v>
      </c>
      <c r="DDL249" s="5">
        <f t="shared" si="43"/>
        <v>0</v>
      </c>
      <c r="DDM249" s="5">
        <f t="shared" si="43"/>
        <v>0</v>
      </c>
      <c r="DDN249" s="5">
        <f t="shared" si="43"/>
        <v>0</v>
      </c>
      <c r="DDO249" s="5">
        <f t="shared" si="43"/>
        <v>0</v>
      </c>
      <c r="DDP249" s="5">
        <f t="shared" si="43"/>
        <v>0</v>
      </c>
      <c r="DDQ249" s="5">
        <f t="shared" si="43"/>
        <v>0</v>
      </c>
      <c r="DDR249" s="5">
        <f t="shared" si="43"/>
        <v>0</v>
      </c>
      <c r="DDS249" s="5">
        <f t="shared" si="43"/>
        <v>0</v>
      </c>
      <c r="DDT249" s="5">
        <f t="shared" si="43"/>
        <v>0</v>
      </c>
      <c r="DDU249" s="5">
        <f t="shared" si="43"/>
        <v>0</v>
      </c>
      <c r="DDV249" s="5">
        <f t="shared" si="43"/>
        <v>0</v>
      </c>
      <c r="DDW249" s="5">
        <f t="shared" si="43"/>
        <v>0</v>
      </c>
      <c r="DDX249" s="5">
        <f t="shared" si="43"/>
        <v>0</v>
      </c>
      <c r="DDY249" s="5">
        <f t="shared" si="43"/>
        <v>0</v>
      </c>
      <c r="DDZ249" s="5">
        <f t="shared" ref="DDZ249:DGK249" si="44">SUM(DDZ246:DDZ246)</f>
        <v>0</v>
      </c>
      <c r="DEA249" s="5">
        <f t="shared" si="44"/>
        <v>0</v>
      </c>
      <c r="DEB249" s="5">
        <f t="shared" si="44"/>
        <v>0</v>
      </c>
      <c r="DEC249" s="5">
        <f t="shared" si="44"/>
        <v>0</v>
      </c>
      <c r="DED249" s="5">
        <f t="shared" si="44"/>
        <v>0</v>
      </c>
      <c r="DEE249" s="5">
        <f t="shared" si="44"/>
        <v>0</v>
      </c>
      <c r="DEF249" s="5">
        <f t="shared" si="44"/>
        <v>0</v>
      </c>
      <c r="DEG249" s="5">
        <f t="shared" si="44"/>
        <v>0</v>
      </c>
      <c r="DEH249" s="5">
        <f t="shared" si="44"/>
        <v>0</v>
      </c>
      <c r="DEI249" s="5">
        <f t="shared" si="44"/>
        <v>0</v>
      </c>
      <c r="DEJ249" s="5">
        <f t="shared" si="44"/>
        <v>0</v>
      </c>
      <c r="DEK249" s="5">
        <f t="shared" si="44"/>
        <v>0</v>
      </c>
      <c r="DEL249" s="5">
        <f t="shared" si="44"/>
        <v>0</v>
      </c>
      <c r="DEM249" s="5">
        <f t="shared" si="44"/>
        <v>0</v>
      </c>
      <c r="DEN249" s="5">
        <f t="shared" si="44"/>
        <v>0</v>
      </c>
      <c r="DEO249" s="5">
        <f t="shared" si="44"/>
        <v>0</v>
      </c>
      <c r="DEP249" s="5">
        <f t="shared" si="44"/>
        <v>0</v>
      </c>
      <c r="DEQ249" s="5">
        <f t="shared" si="44"/>
        <v>0</v>
      </c>
      <c r="DER249" s="5">
        <f t="shared" si="44"/>
        <v>0</v>
      </c>
      <c r="DES249" s="5">
        <f t="shared" si="44"/>
        <v>0</v>
      </c>
      <c r="DET249" s="5">
        <f t="shared" si="44"/>
        <v>0</v>
      </c>
      <c r="DEU249" s="5">
        <f t="shared" si="44"/>
        <v>0</v>
      </c>
      <c r="DEV249" s="5">
        <f t="shared" si="44"/>
        <v>0</v>
      </c>
      <c r="DEW249" s="5">
        <f t="shared" si="44"/>
        <v>0</v>
      </c>
      <c r="DEX249" s="5">
        <f t="shared" si="44"/>
        <v>0</v>
      </c>
      <c r="DEY249" s="5">
        <f t="shared" si="44"/>
        <v>0</v>
      </c>
      <c r="DEZ249" s="5">
        <f t="shared" si="44"/>
        <v>0</v>
      </c>
      <c r="DFA249" s="5">
        <f t="shared" si="44"/>
        <v>0</v>
      </c>
      <c r="DFB249" s="5">
        <f t="shared" si="44"/>
        <v>0</v>
      </c>
      <c r="DFC249" s="5">
        <f t="shared" si="44"/>
        <v>0</v>
      </c>
      <c r="DFD249" s="5">
        <f t="shared" si="44"/>
        <v>0</v>
      </c>
      <c r="DFE249" s="5">
        <f t="shared" si="44"/>
        <v>0</v>
      </c>
      <c r="DFF249" s="5">
        <f t="shared" si="44"/>
        <v>0</v>
      </c>
      <c r="DFG249" s="5">
        <f t="shared" si="44"/>
        <v>0</v>
      </c>
      <c r="DFH249" s="5">
        <f t="shared" si="44"/>
        <v>0</v>
      </c>
      <c r="DFI249" s="5">
        <f t="shared" si="44"/>
        <v>0</v>
      </c>
      <c r="DFJ249" s="5">
        <f t="shared" si="44"/>
        <v>0</v>
      </c>
      <c r="DFK249" s="5">
        <f t="shared" si="44"/>
        <v>0</v>
      </c>
      <c r="DFL249" s="5">
        <f t="shared" si="44"/>
        <v>0</v>
      </c>
      <c r="DFM249" s="5">
        <f t="shared" si="44"/>
        <v>0</v>
      </c>
      <c r="DFN249" s="5">
        <f t="shared" si="44"/>
        <v>0</v>
      </c>
      <c r="DFO249" s="5">
        <f t="shared" si="44"/>
        <v>0</v>
      </c>
      <c r="DFP249" s="5">
        <f t="shared" si="44"/>
        <v>0</v>
      </c>
      <c r="DFQ249" s="5">
        <f t="shared" si="44"/>
        <v>0</v>
      </c>
      <c r="DFR249" s="5">
        <f t="shared" si="44"/>
        <v>0</v>
      </c>
      <c r="DFS249" s="5">
        <f t="shared" si="44"/>
        <v>0</v>
      </c>
      <c r="DFT249" s="5">
        <f t="shared" si="44"/>
        <v>0</v>
      </c>
      <c r="DFU249" s="5">
        <f t="shared" si="44"/>
        <v>0</v>
      </c>
      <c r="DFV249" s="5">
        <f t="shared" si="44"/>
        <v>0</v>
      </c>
      <c r="DFW249" s="5">
        <f t="shared" si="44"/>
        <v>0</v>
      </c>
      <c r="DFX249" s="5">
        <f t="shared" si="44"/>
        <v>0</v>
      </c>
      <c r="DFY249" s="5">
        <f t="shared" si="44"/>
        <v>0</v>
      </c>
      <c r="DFZ249" s="5">
        <f t="shared" si="44"/>
        <v>0</v>
      </c>
      <c r="DGA249" s="5">
        <f t="shared" si="44"/>
        <v>0</v>
      </c>
      <c r="DGB249" s="5">
        <f t="shared" si="44"/>
        <v>0</v>
      </c>
      <c r="DGC249" s="5">
        <f t="shared" si="44"/>
        <v>0</v>
      </c>
      <c r="DGD249" s="5">
        <f t="shared" si="44"/>
        <v>0</v>
      </c>
      <c r="DGE249" s="5">
        <f t="shared" si="44"/>
        <v>0</v>
      </c>
      <c r="DGF249" s="5">
        <f t="shared" si="44"/>
        <v>0</v>
      </c>
      <c r="DGG249" s="5">
        <f t="shared" si="44"/>
        <v>0</v>
      </c>
      <c r="DGH249" s="5">
        <f t="shared" si="44"/>
        <v>0</v>
      </c>
      <c r="DGI249" s="5">
        <f t="shared" si="44"/>
        <v>0</v>
      </c>
      <c r="DGJ249" s="5">
        <f t="shared" si="44"/>
        <v>0</v>
      </c>
      <c r="DGK249" s="5">
        <f t="shared" si="44"/>
        <v>0</v>
      </c>
      <c r="DGL249" s="5">
        <f t="shared" ref="DGL249:DIW249" si="45">SUM(DGL246:DGL246)</f>
        <v>0</v>
      </c>
      <c r="DGM249" s="5">
        <f t="shared" si="45"/>
        <v>0</v>
      </c>
      <c r="DGN249" s="5">
        <f t="shared" si="45"/>
        <v>0</v>
      </c>
      <c r="DGO249" s="5">
        <f t="shared" si="45"/>
        <v>0</v>
      </c>
      <c r="DGP249" s="5">
        <f t="shared" si="45"/>
        <v>0</v>
      </c>
      <c r="DGQ249" s="5">
        <f t="shared" si="45"/>
        <v>0</v>
      </c>
      <c r="DGR249" s="5">
        <f t="shared" si="45"/>
        <v>0</v>
      </c>
      <c r="DGS249" s="5">
        <f t="shared" si="45"/>
        <v>0</v>
      </c>
      <c r="DGT249" s="5">
        <f t="shared" si="45"/>
        <v>0</v>
      </c>
      <c r="DGU249" s="5">
        <f t="shared" si="45"/>
        <v>0</v>
      </c>
      <c r="DGV249" s="5">
        <f t="shared" si="45"/>
        <v>0</v>
      </c>
      <c r="DGW249" s="5">
        <f t="shared" si="45"/>
        <v>0</v>
      </c>
      <c r="DGX249" s="5">
        <f t="shared" si="45"/>
        <v>0</v>
      </c>
      <c r="DGY249" s="5">
        <f t="shared" si="45"/>
        <v>0</v>
      </c>
      <c r="DGZ249" s="5">
        <f t="shared" si="45"/>
        <v>0</v>
      </c>
      <c r="DHA249" s="5">
        <f t="shared" si="45"/>
        <v>0</v>
      </c>
      <c r="DHB249" s="5">
        <f t="shared" si="45"/>
        <v>0</v>
      </c>
      <c r="DHC249" s="5">
        <f t="shared" si="45"/>
        <v>0</v>
      </c>
      <c r="DHD249" s="5">
        <f t="shared" si="45"/>
        <v>0</v>
      </c>
      <c r="DHE249" s="5">
        <f t="shared" si="45"/>
        <v>0</v>
      </c>
      <c r="DHF249" s="5">
        <f t="shared" si="45"/>
        <v>0</v>
      </c>
      <c r="DHG249" s="5">
        <f t="shared" si="45"/>
        <v>0</v>
      </c>
      <c r="DHH249" s="5">
        <f t="shared" si="45"/>
        <v>0</v>
      </c>
      <c r="DHI249" s="5">
        <f t="shared" si="45"/>
        <v>0</v>
      </c>
      <c r="DHJ249" s="5">
        <f t="shared" si="45"/>
        <v>0</v>
      </c>
      <c r="DHK249" s="5">
        <f t="shared" si="45"/>
        <v>0</v>
      </c>
      <c r="DHL249" s="5">
        <f t="shared" si="45"/>
        <v>0</v>
      </c>
      <c r="DHM249" s="5">
        <f t="shared" si="45"/>
        <v>0</v>
      </c>
      <c r="DHN249" s="5">
        <f t="shared" si="45"/>
        <v>0</v>
      </c>
      <c r="DHO249" s="5">
        <f t="shared" si="45"/>
        <v>0</v>
      </c>
      <c r="DHP249" s="5">
        <f t="shared" si="45"/>
        <v>0</v>
      </c>
      <c r="DHQ249" s="5">
        <f t="shared" si="45"/>
        <v>0</v>
      </c>
      <c r="DHR249" s="5">
        <f t="shared" si="45"/>
        <v>0</v>
      </c>
      <c r="DHS249" s="5">
        <f t="shared" si="45"/>
        <v>0</v>
      </c>
      <c r="DHT249" s="5">
        <f t="shared" si="45"/>
        <v>0</v>
      </c>
      <c r="DHU249" s="5">
        <f t="shared" si="45"/>
        <v>0</v>
      </c>
      <c r="DHV249" s="5">
        <f t="shared" si="45"/>
        <v>0</v>
      </c>
      <c r="DHW249" s="5">
        <f t="shared" si="45"/>
        <v>0</v>
      </c>
      <c r="DHX249" s="5">
        <f t="shared" si="45"/>
        <v>0</v>
      </c>
      <c r="DHY249" s="5">
        <f t="shared" si="45"/>
        <v>0</v>
      </c>
      <c r="DHZ249" s="5">
        <f t="shared" si="45"/>
        <v>0</v>
      </c>
      <c r="DIA249" s="5">
        <f t="shared" si="45"/>
        <v>0</v>
      </c>
      <c r="DIB249" s="5">
        <f t="shared" si="45"/>
        <v>0</v>
      </c>
      <c r="DIC249" s="5">
        <f t="shared" si="45"/>
        <v>0</v>
      </c>
      <c r="DID249" s="5">
        <f t="shared" si="45"/>
        <v>0</v>
      </c>
      <c r="DIE249" s="5">
        <f t="shared" si="45"/>
        <v>0</v>
      </c>
      <c r="DIF249" s="5">
        <f t="shared" si="45"/>
        <v>0</v>
      </c>
      <c r="DIG249" s="5">
        <f t="shared" si="45"/>
        <v>0</v>
      </c>
      <c r="DIH249" s="5">
        <f t="shared" si="45"/>
        <v>0</v>
      </c>
      <c r="DII249" s="5">
        <f t="shared" si="45"/>
        <v>0</v>
      </c>
      <c r="DIJ249" s="5">
        <f t="shared" si="45"/>
        <v>0</v>
      </c>
      <c r="DIK249" s="5">
        <f t="shared" si="45"/>
        <v>0</v>
      </c>
      <c r="DIL249" s="5">
        <f t="shared" si="45"/>
        <v>0</v>
      </c>
      <c r="DIM249" s="5">
        <f t="shared" si="45"/>
        <v>0</v>
      </c>
      <c r="DIN249" s="5">
        <f t="shared" si="45"/>
        <v>0</v>
      </c>
      <c r="DIO249" s="5">
        <f t="shared" si="45"/>
        <v>0</v>
      </c>
      <c r="DIP249" s="5">
        <f t="shared" si="45"/>
        <v>0</v>
      </c>
      <c r="DIQ249" s="5">
        <f t="shared" si="45"/>
        <v>0</v>
      </c>
      <c r="DIR249" s="5">
        <f t="shared" si="45"/>
        <v>0</v>
      </c>
      <c r="DIS249" s="5">
        <f t="shared" si="45"/>
        <v>0</v>
      </c>
      <c r="DIT249" s="5">
        <f t="shared" si="45"/>
        <v>0</v>
      </c>
      <c r="DIU249" s="5">
        <f t="shared" si="45"/>
        <v>0</v>
      </c>
      <c r="DIV249" s="5">
        <f t="shared" si="45"/>
        <v>0</v>
      </c>
      <c r="DIW249" s="5">
        <f t="shared" si="45"/>
        <v>0</v>
      </c>
      <c r="DIX249" s="5">
        <f t="shared" ref="DIX249:DLI249" si="46">SUM(DIX246:DIX246)</f>
        <v>0</v>
      </c>
      <c r="DIY249" s="5">
        <f t="shared" si="46"/>
        <v>0</v>
      </c>
      <c r="DIZ249" s="5">
        <f t="shared" si="46"/>
        <v>0</v>
      </c>
      <c r="DJA249" s="5">
        <f t="shared" si="46"/>
        <v>0</v>
      </c>
      <c r="DJB249" s="5">
        <f t="shared" si="46"/>
        <v>0</v>
      </c>
      <c r="DJC249" s="5">
        <f t="shared" si="46"/>
        <v>0</v>
      </c>
      <c r="DJD249" s="5">
        <f t="shared" si="46"/>
        <v>0</v>
      </c>
      <c r="DJE249" s="5">
        <f t="shared" si="46"/>
        <v>0</v>
      </c>
      <c r="DJF249" s="5">
        <f t="shared" si="46"/>
        <v>0</v>
      </c>
      <c r="DJG249" s="5">
        <f t="shared" si="46"/>
        <v>0</v>
      </c>
      <c r="DJH249" s="5">
        <f t="shared" si="46"/>
        <v>0</v>
      </c>
      <c r="DJI249" s="5">
        <f t="shared" si="46"/>
        <v>0</v>
      </c>
      <c r="DJJ249" s="5">
        <f t="shared" si="46"/>
        <v>0</v>
      </c>
      <c r="DJK249" s="5">
        <f t="shared" si="46"/>
        <v>0</v>
      </c>
      <c r="DJL249" s="5">
        <f t="shared" si="46"/>
        <v>0</v>
      </c>
      <c r="DJM249" s="5">
        <f t="shared" si="46"/>
        <v>0</v>
      </c>
      <c r="DJN249" s="5">
        <f t="shared" si="46"/>
        <v>0</v>
      </c>
      <c r="DJO249" s="5">
        <f t="shared" si="46"/>
        <v>0</v>
      </c>
      <c r="DJP249" s="5">
        <f t="shared" si="46"/>
        <v>0</v>
      </c>
      <c r="DJQ249" s="5">
        <f t="shared" si="46"/>
        <v>0</v>
      </c>
      <c r="DJR249" s="5">
        <f t="shared" si="46"/>
        <v>0</v>
      </c>
      <c r="DJS249" s="5">
        <f t="shared" si="46"/>
        <v>0</v>
      </c>
      <c r="DJT249" s="5">
        <f t="shared" si="46"/>
        <v>0</v>
      </c>
      <c r="DJU249" s="5">
        <f t="shared" si="46"/>
        <v>0</v>
      </c>
      <c r="DJV249" s="5">
        <f t="shared" si="46"/>
        <v>0</v>
      </c>
      <c r="DJW249" s="5">
        <f t="shared" si="46"/>
        <v>0</v>
      </c>
      <c r="DJX249" s="5">
        <f t="shared" si="46"/>
        <v>0</v>
      </c>
      <c r="DJY249" s="5">
        <f t="shared" si="46"/>
        <v>0</v>
      </c>
      <c r="DJZ249" s="5">
        <f t="shared" si="46"/>
        <v>0</v>
      </c>
      <c r="DKA249" s="5">
        <f t="shared" si="46"/>
        <v>0</v>
      </c>
      <c r="DKB249" s="5">
        <f t="shared" si="46"/>
        <v>0</v>
      </c>
      <c r="DKC249" s="5">
        <f t="shared" si="46"/>
        <v>0</v>
      </c>
      <c r="DKD249" s="5">
        <f t="shared" si="46"/>
        <v>0</v>
      </c>
      <c r="DKE249" s="5">
        <f t="shared" si="46"/>
        <v>0</v>
      </c>
      <c r="DKF249" s="5">
        <f t="shared" si="46"/>
        <v>0</v>
      </c>
      <c r="DKG249" s="5">
        <f t="shared" si="46"/>
        <v>0</v>
      </c>
      <c r="DKH249" s="5">
        <f t="shared" si="46"/>
        <v>0</v>
      </c>
      <c r="DKI249" s="5">
        <f t="shared" si="46"/>
        <v>0</v>
      </c>
      <c r="DKJ249" s="5">
        <f t="shared" si="46"/>
        <v>0</v>
      </c>
      <c r="DKK249" s="5">
        <f t="shared" si="46"/>
        <v>0</v>
      </c>
      <c r="DKL249" s="5">
        <f t="shared" si="46"/>
        <v>0</v>
      </c>
      <c r="DKM249" s="5">
        <f t="shared" si="46"/>
        <v>0</v>
      </c>
      <c r="DKN249" s="5">
        <f t="shared" si="46"/>
        <v>0</v>
      </c>
      <c r="DKO249" s="5">
        <f t="shared" si="46"/>
        <v>0</v>
      </c>
      <c r="DKP249" s="5">
        <f t="shared" si="46"/>
        <v>0</v>
      </c>
      <c r="DKQ249" s="5">
        <f t="shared" si="46"/>
        <v>0</v>
      </c>
      <c r="DKR249" s="5">
        <f t="shared" si="46"/>
        <v>0</v>
      </c>
      <c r="DKS249" s="5">
        <f t="shared" si="46"/>
        <v>0</v>
      </c>
      <c r="DKT249" s="5">
        <f t="shared" si="46"/>
        <v>0</v>
      </c>
      <c r="DKU249" s="5">
        <f t="shared" si="46"/>
        <v>0</v>
      </c>
      <c r="DKV249" s="5">
        <f t="shared" si="46"/>
        <v>0</v>
      </c>
      <c r="DKW249" s="5">
        <f t="shared" si="46"/>
        <v>0</v>
      </c>
      <c r="DKX249" s="5">
        <f t="shared" si="46"/>
        <v>0</v>
      </c>
      <c r="DKY249" s="5">
        <f t="shared" si="46"/>
        <v>0</v>
      </c>
      <c r="DKZ249" s="5">
        <f t="shared" si="46"/>
        <v>0</v>
      </c>
      <c r="DLA249" s="5">
        <f t="shared" si="46"/>
        <v>0</v>
      </c>
      <c r="DLB249" s="5">
        <f t="shared" si="46"/>
        <v>0</v>
      </c>
      <c r="DLC249" s="5">
        <f t="shared" si="46"/>
        <v>0</v>
      </c>
      <c r="DLD249" s="5">
        <f t="shared" si="46"/>
        <v>0</v>
      </c>
      <c r="DLE249" s="5">
        <f t="shared" si="46"/>
        <v>0</v>
      </c>
      <c r="DLF249" s="5">
        <f t="shared" si="46"/>
        <v>0</v>
      </c>
      <c r="DLG249" s="5">
        <f t="shared" si="46"/>
        <v>0</v>
      </c>
      <c r="DLH249" s="5">
        <f t="shared" si="46"/>
        <v>0</v>
      </c>
      <c r="DLI249" s="5">
        <f t="shared" si="46"/>
        <v>0</v>
      </c>
      <c r="DLJ249" s="5">
        <f t="shared" ref="DLJ249:DNU249" si="47">SUM(DLJ246:DLJ246)</f>
        <v>0</v>
      </c>
      <c r="DLK249" s="5">
        <f t="shared" si="47"/>
        <v>0</v>
      </c>
      <c r="DLL249" s="5">
        <f t="shared" si="47"/>
        <v>0</v>
      </c>
      <c r="DLM249" s="5">
        <f t="shared" si="47"/>
        <v>0</v>
      </c>
      <c r="DLN249" s="5">
        <f t="shared" si="47"/>
        <v>0</v>
      </c>
      <c r="DLO249" s="5">
        <f t="shared" si="47"/>
        <v>0</v>
      </c>
      <c r="DLP249" s="5">
        <f t="shared" si="47"/>
        <v>0</v>
      </c>
      <c r="DLQ249" s="5">
        <f t="shared" si="47"/>
        <v>0</v>
      </c>
      <c r="DLR249" s="5">
        <f t="shared" si="47"/>
        <v>0</v>
      </c>
      <c r="DLS249" s="5">
        <f t="shared" si="47"/>
        <v>0</v>
      </c>
      <c r="DLT249" s="5">
        <f t="shared" si="47"/>
        <v>0</v>
      </c>
      <c r="DLU249" s="5">
        <f t="shared" si="47"/>
        <v>0</v>
      </c>
      <c r="DLV249" s="5">
        <f t="shared" si="47"/>
        <v>0</v>
      </c>
      <c r="DLW249" s="5">
        <f t="shared" si="47"/>
        <v>0</v>
      </c>
      <c r="DLX249" s="5">
        <f t="shared" si="47"/>
        <v>0</v>
      </c>
      <c r="DLY249" s="5">
        <f t="shared" si="47"/>
        <v>0</v>
      </c>
      <c r="DLZ249" s="5">
        <f t="shared" si="47"/>
        <v>0</v>
      </c>
      <c r="DMA249" s="5">
        <f t="shared" si="47"/>
        <v>0</v>
      </c>
      <c r="DMB249" s="5">
        <f t="shared" si="47"/>
        <v>0</v>
      </c>
      <c r="DMC249" s="5">
        <f t="shared" si="47"/>
        <v>0</v>
      </c>
      <c r="DMD249" s="5">
        <f t="shared" si="47"/>
        <v>0</v>
      </c>
      <c r="DME249" s="5">
        <f t="shared" si="47"/>
        <v>0</v>
      </c>
      <c r="DMF249" s="5">
        <f t="shared" si="47"/>
        <v>0</v>
      </c>
      <c r="DMG249" s="5">
        <f t="shared" si="47"/>
        <v>0</v>
      </c>
      <c r="DMH249" s="5">
        <f t="shared" si="47"/>
        <v>0</v>
      </c>
      <c r="DMI249" s="5">
        <f t="shared" si="47"/>
        <v>0</v>
      </c>
      <c r="DMJ249" s="5">
        <f t="shared" si="47"/>
        <v>0</v>
      </c>
      <c r="DMK249" s="5">
        <f t="shared" si="47"/>
        <v>0</v>
      </c>
      <c r="DML249" s="5">
        <f t="shared" si="47"/>
        <v>0</v>
      </c>
      <c r="DMM249" s="5">
        <f t="shared" si="47"/>
        <v>0</v>
      </c>
      <c r="DMN249" s="5">
        <f t="shared" si="47"/>
        <v>0</v>
      </c>
      <c r="DMO249" s="5">
        <f t="shared" si="47"/>
        <v>0</v>
      </c>
      <c r="DMP249" s="5">
        <f t="shared" si="47"/>
        <v>0</v>
      </c>
      <c r="DMQ249" s="5">
        <f t="shared" si="47"/>
        <v>0</v>
      </c>
      <c r="DMR249" s="5">
        <f t="shared" si="47"/>
        <v>0</v>
      </c>
      <c r="DMS249" s="5">
        <f t="shared" si="47"/>
        <v>0</v>
      </c>
      <c r="DMT249" s="5">
        <f t="shared" si="47"/>
        <v>0</v>
      </c>
      <c r="DMU249" s="5">
        <f t="shared" si="47"/>
        <v>0</v>
      </c>
      <c r="DMV249" s="5">
        <f t="shared" si="47"/>
        <v>0</v>
      </c>
      <c r="DMW249" s="5">
        <f t="shared" si="47"/>
        <v>0</v>
      </c>
      <c r="DMX249" s="5">
        <f t="shared" si="47"/>
        <v>0</v>
      </c>
      <c r="DMY249" s="5">
        <f t="shared" si="47"/>
        <v>0</v>
      </c>
      <c r="DMZ249" s="5">
        <f t="shared" si="47"/>
        <v>0</v>
      </c>
      <c r="DNA249" s="5">
        <f t="shared" si="47"/>
        <v>0</v>
      </c>
      <c r="DNB249" s="5">
        <f t="shared" si="47"/>
        <v>0</v>
      </c>
      <c r="DNC249" s="5">
        <f t="shared" si="47"/>
        <v>0</v>
      </c>
      <c r="DND249" s="5">
        <f t="shared" si="47"/>
        <v>0</v>
      </c>
      <c r="DNE249" s="5">
        <f t="shared" si="47"/>
        <v>0</v>
      </c>
      <c r="DNF249" s="5">
        <f t="shared" si="47"/>
        <v>0</v>
      </c>
      <c r="DNG249" s="5">
        <f t="shared" si="47"/>
        <v>0</v>
      </c>
      <c r="DNH249" s="5">
        <f t="shared" si="47"/>
        <v>0</v>
      </c>
      <c r="DNI249" s="5">
        <f t="shared" si="47"/>
        <v>0</v>
      </c>
      <c r="DNJ249" s="5">
        <f t="shared" si="47"/>
        <v>0</v>
      </c>
      <c r="DNK249" s="5">
        <f t="shared" si="47"/>
        <v>0</v>
      </c>
      <c r="DNL249" s="5">
        <f t="shared" si="47"/>
        <v>0</v>
      </c>
      <c r="DNM249" s="5">
        <f t="shared" si="47"/>
        <v>0</v>
      </c>
      <c r="DNN249" s="5">
        <f t="shared" si="47"/>
        <v>0</v>
      </c>
      <c r="DNO249" s="5">
        <f t="shared" si="47"/>
        <v>0</v>
      </c>
      <c r="DNP249" s="5">
        <f t="shared" si="47"/>
        <v>0</v>
      </c>
      <c r="DNQ249" s="5">
        <f t="shared" si="47"/>
        <v>0</v>
      </c>
      <c r="DNR249" s="5">
        <f t="shared" si="47"/>
        <v>0</v>
      </c>
      <c r="DNS249" s="5">
        <f t="shared" si="47"/>
        <v>0</v>
      </c>
      <c r="DNT249" s="5">
        <f t="shared" si="47"/>
        <v>0</v>
      </c>
      <c r="DNU249" s="5">
        <f t="shared" si="47"/>
        <v>0</v>
      </c>
      <c r="DNV249" s="5">
        <f t="shared" ref="DNV249:DQG249" si="48">SUM(DNV246:DNV246)</f>
        <v>0</v>
      </c>
      <c r="DNW249" s="5">
        <f t="shared" si="48"/>
        <v>0</v>
      </c>
      <c r="DNX249" s="5">
        <f t="shared" si="48"/>
        <v>0</v>
      </c>
      <c r="DNY249" s="5">
        <f t="shared" si="48"/>
        <v>0</v>
      </c>
      <c r="DNZ249" s="5">
        <f t="shared" si="48"/>
        <v>0</v>
      </c>
      <c r="DOA249" s="5">
        <f t="shared" si="48"/>
        <v>0</v>
      </c>
      <c r="DOB249" s="5">
        <f t="shared" si="48"/>
        <v>0</v>
      </c>
      <c r="DOC249" s="5">
        <f t="shared" si="48"/>
        <v>0</v>
      </c>
      <c r="DOD249" s="5">
        <f t="shared" si="48"/>
        <v>0</v>
      </c>
      <c r="DOE249" s="5">
        <f t="shared" si="48"/>
        <v>0</v>
      </c>
      <c r="DOF249" s="5">
        <f t="shared" si="48"/>
        <v>0</v>
      </c>
      <c r="DOG249" s="5">
        <f t="shared" si="48"/>
        <v>0</v>
      </c>
      <c r="DOH249" s="5">
        <f t="shared" si="48"/>
        <v>0</v>
      </c>
      <c r="DOI249" s="5">
        <f t="shared" si="48"/>
        <v>0</v>
      </c>
      <c r="DOJ249" s="5">
        <f t="shared" si="48"/>
        <v>0</v>
      </c>
      <c r="DOK249" s="5">
        <f t="shared" si="48"/>
        <v>0</v>
      </c>
      <c r="DOL249" s="5">
        <f t="shared" si="48"/>
        <v>0</v>
      </c>
      <c r="DOM249" s="5">
        <f t="shared" si="48"/>
        <v>0</v>
      </c>
      <c r="DON249" s="5">
        <f t="shared" si="48"/>
        <v>0</v>
      </c>
      <c r="DOO249" s="5">
        <f t="shared" si="48"/>
        <v>0</v>
      </c>
      <c r="DOP249" s="5">
        <f t="shared" si="48"/>
        <v>0</v>
      </c>
      <c r="DOQ249" s="5">
        <f t="shared" si="48"/>
        <v>0</v>
      </c>
      <c r="DOR249" s="5">
        <f t="shared" si="48"/>
        <v>0</v>
      </c>
      <c r="DOS249" s="5">
        <f t="shared" si="48"/>
        <v>0</v>
      </c>
      <c r="DOT249" s="5">
        <f t="shared" si="48"/>
        <v>0</v>
      </c>
      <c r="DOU249" s="5">
        <f t="shared" si="48"/>
        <v>0</v>
      </c>
      <c r="DOV249" s="5">
        <f t="shared" si="48"/>
        <v>0</v>
      </c>
      <c r="DOW249" s="5">
        <f t="shared" si="48"/>
        <v>0</v>
      </c>
      <c r="DOX249" s="5">
        <f t="shared" si="48"/>
        <v>0</v>
      </c>
      <c r="DOY249" s="5">
        <f t="shared" si="48"/>
        <v>0</v>
      </c>
      <c r="DOZ249" s="5">
        <f t="shared" si="48"/>
        <v>0</v>
      </c>
      <c r="DPA249" s="5">
        <f t="shared" si="48"/>
        <v>0</v>
      </c>
      <c r="DPB249" s="5">
        <f t="shared" si="48"/>
        <v>0</v>
      </c>
      <c r="DPC249" s="5">
        <f t="shared" si="48"/>
        <v>0</v>
      </c>
      <c r="DPD249" s="5">
        <f t="shared" si="48"/>
        <v>0</v>
      </c>
      <c r="DPE249" s="5">
        <f t="shared" si="48"/>
        <v>0</v>
      </c>
      <c r="DPF249" s="5">
        <f t="shared" si="48"/>
        <v>0</v>
      </c>
      <c r="DPG249" s="5">
        <f t="shared" si="48"/>
        <v>0</v>
      </c>
      <c r="DPH249" s="5">
        <f t="shared" si="48"/>
        <v>0</v>
      </c>
      <c r="DPI249" s="5">
        <f t="shared" si="48"/>
        <v>0</v>
      </c>
      <c r="DPJ249" s="5">
        <f t="shared" si="48"/>
        <v>0</v>
      </c>
      <c r="DPK249" s="5">
        <f t="shared" si="48"/>
        <v>0</v>
      </c>
      <c r="DPL249" s="5">
        <f t="shared" si="48"/>
        <v>0</v>
      </c>
      <c r="DPM249" s="5">
        <f t="shared" si="48"/>
        <v>0</v>
      </c>
      <c r="DPN249" s="5">
        <f t="shared" si="48"/>
        <v>0</v>
      </c>
      <c r="DPO249" s="5">
        <f t="shared" si="48"/>
        <v>0</v>
      </c>
      <c r="DPP249" s="5">
        <f t="shared" si="48"/>
        <v>0</v>
      </c>
      <c r="DPQ249" s="5">
        <f t="shared" si="48"/>
        <v>0</v>
      </c>
      <c r="DPR249" s="5">
        <f t="shared" si="48"/>
        <v>0</v>
      </c>
      <c r="DPS249" s="5">
        <f t="shared" si="48"/>
        <v>0</v>
      </c>
      <c r="DPT249" s="5">
        <f t="shared" si="48"/>
        <v>0</v>
      </c>
      <c r="DPU249" s="5">
        <f t="shared" si="48"/>
        <v>0</v>
      </c>
      <c r="DPV249" s="5">
        <f t="shared" si="48"/>
        <v>0</v>
      </c>
      <c r="DPW249" s="5">
        <f t="shared" si="48"/>
        <v>0</v>
      </c>
      <c r="DPX249" s="5">
        <f t="shared" si="48"/>
        <v>0</v>
      </c>
      <c r="DPY249" s="5">
        <f t="shared" si="48"/>
        <v>0</v>
      </c>
      <c r="DPZ249" s="5">
        <f t="shared" si="48"/>
        <v>0</v>
      </c>
      <c r="DQA249" s="5">
        <f t="shared" si="48"/>
        <v>0</v>
      </c>
      <c r="DQB249" s="5">
        <f t="shared" si="48"/>
        <v>0</v>
      </c>
      <c r="DQC249" s="5">
        <f t="shared" si="48"/>
        <v>0</v>
      </c>
      <c r="DQD249" s="5">
        <f t="shared" si="48"/>
        <v>0</v>
      </c>
      <c r="DQE249" s="5">
        <f t="shared" si="48"/>
        <v>0</v>
      </c>
      <c r="DQF249" s="5">
        <f t="shared" si="48"/>
        <v>0</v>
      </c>
      <c r="DQG249" s="5">
        <f t="shared" si="48"/>
        <v>0</v>
      </c>
      <c r="DQH249" s="5">
        <f t="shared" ref="DQH249:DSS249" si="49">SUM(DQH246:DQH246)</f>
        <v>0</v>
      </c>
      <c r="DQI249" s="5">
        <f t="shared" si="49"/>
        <v>0</v>
      </c>
      <c r="DQJ249" s="5">
        <f t="shared" si="49"/>
        <v>0</v>
      </c>
      <c r="DQK249" s="5">
        <f t="shared" si="49"/>
        <v>0</v>
      </c>
      <c r="DQL249" s="5">
        <f t="shared" si="49"/>
        <v>0</v>
      </c>
      <c r="DQM249" s="5">
        <f t="shared" si="49"/>
        <v>0</v>
      </c>
      <c r="DQN249" s="5">
        <f t="shared" si="49"/>
        <v>0</v>
      </c>
      <c r="DQO249" s="5">
        <f t="shared" si="49"/>
        <v>0</v>
      </c>
      <c r="DQP249" s="5">
        <f t="shared" si="49"/>
        <v>0</v>
      </c>
      <c r="DQQ249" s="5">
        <f t="shared" si="49"/>
        <v>0</v>
      </c>
      <c r="DQR249" s="5">
        <f t="shared" si="49"/>
        <v>0</v>
      </c>
      <c r="DQS249" s="5">
        <f t="shared" si="49"/>
        <v>0</v>
      </c>
      <c r="DQT249" s="5">
        <f t="shared" si="49"/>
        <v>0</v>
      </c>
      <c r="DQU249" s="5">
        <f t="shared" si="49"/>
        <v>0</v>
      </c>
      <c r="DQV249" s="5">
        <f t="shared" si="49"/>
        <v>0</v>
      </c>
      <c r="DQW249" s="5">
        <f t="shared" si="49"/>
        <v>0</v>
      </c>
      <c r="DQX249" s="5">
        <f t="shared" si="49"/>
        <v>0</v>
      </c>
      <c r="DQY249" s="5">
        <f t="shared" si="49"/>
        <v>0</v>
      </c>
      <c r="DQZ249" s="5">
        <f t="shared" si="49"/>
        <v>0</v>
      </c>
      <c r="DRA249" s="5">
        <f t="shared" si="49"/>
        <v>0</v>
      </c>
      <c r="DRB249" s="5">
        <f t="shared" si="49"/>
        <v>0</v>
      </c>
      <c r="DRC249" s="5">
        <f t="shared" si="49"/>
        <v>0</v>
      </c>
      <c r="DRD249" s="5">
        <f t="shared" si="49"/>
        <v>0</v>
      </c>
      <c r="DRE249" s="5">
        <f t="shared" si="49"/>
        <v>0</v>
      </c>
      <c r="DRF249" s="5">
        <f t="shared" si="49"/>
        <v>0</v>
      </c>
      <c r="DRG249" s="5">
        <f t="shared" si="49"/>
        <v>0</v>
      </c>
      <c r="DRH249" s="5">
        <f t="shared" si="49"/>
        <v>0</v>
      </c>
      <c r="DRI249" s="5">
        <f t="shared" si="49"/>
        <v>0</v>
      </c>
      <c r="DRJ249" s="5">
        <f t="shared" si="49"/>
        <v>0</v>
      </c>
      <c r="DRK249" s="5">
        <f t="shared" si="49"/>
        <v>0</v>
      </c>
      <c r="DRL249" s="5">
        <f t="shared" si="49"/>
        <v>0</v>
      </c>
      <c r="DRM249" s="5">
        <f t="shared" si="49"/>
        <v>0</v>
      </c>
      <c r="DRN249" s="5">
        <f t="shared" si="49"/>
        <v>0</v>
      </c>
      <c r="DRO249" s="5">
        <f t="shared" si="49"/>
        <v>0</v>
      </c>
      <c r="DRP249" s="5">
        <f t="shared" si="49"/>
        <v>0</v>
      </c>
      <c r="DRQ249" s="5">
        <f t="shared" si="49"/>
        <v>0</v>
      </c>
      <c r="DRR249" s="5">
        <f t="shared" si="49"/>
        <v>0</v>
      </c>
      <c r="DRS249" s="5">
        <f t="shared" si="49"/>
        <v>0</v>
      </c>
      <c r="DRT249" s="5">
        <f t="shared" si="49"/>
        <v>0</v>
      </c>
      <c r="DRU249" s="5">
        <f t="shared" si="49"/>
        <v>0</v>
      </c>
      <c r="DRV249" s="5">
        <f t="shared" si="49"/>
        <v>0</v>
      </c>
      <c r="DRW249" s="5">
        <f t="shared" si="49"/>
        <v>0</v>
      </c>
      <c r="DRX249" s="5">
        <f t="shared" si="49"/>
        <v>0</v>
      </c>
      <c r="DRY249" s="5">
        <f t="shared" si="49"/>
        <v>0</v>
      </c>
      <c r="DRZ249" s="5">
        <f t="shared" si="49"/>
        <v>0</v>
      </c>
      <c r="DSA249" s="5">
        <f t="shared" si="49"/>
        <v>0</v>
      </c>
      <c r="DSB249" s="5">
        <f t="shared" si="49"/>
        <v>0</v>
      </c>
      <c r="DSC249" s="5">
        <f t="shared" si="49"/>
        <v>0</v>
      </c>
      <c r="DSD249" s="5">
        <f t="shared" si="49"/>
        <v>0</v>
      </c>
      <c r="DSE249" s="5">
        <f t="shared" si="49"/>
        <v>0</v>
      </c>
      <c r="DSF249" s="5">
        <f t="shared" si="49"/>
        <v>0</v>
      </c>
      <c r="DSG249" s="5">
        <f t="shared" si="49"/>
        <v>0</v>
      </c>
      <c r="DSH249" s="5">
        <f t="shared" si="49"/>
        <v>0</v>
      </c>
      <c r="DSI249" s="5">
        <f t="shared" si="49"/>
        <v>0</v>
      </c>
      <c r="DSJ249" s="5">
        <f t="shared" si="49"/>
        <v>0</v>
      </c>
      <c r="DSK249" s="5">
        <f t="shared" si="49"/>
        <v>0</v>
      </c>
      <c r="DSL249" s="5">
        <f t="shared" si="49"/>
        <v>0</v>
      </c>
      <c r="DSM249" s="5">
        <f t="shared" si="49"/>
        <v>0</v>
      </c>
      <c r="DSN249" s="5">
        <f t="shared" si="49"/>
        <v>0</v>
      </c>
      <c r="DSO249" s="5">
        <f t="shared" si="49"/>
        <v>0</v>
      </c>
      <c r="DSP249" s="5">
        <f t="shared" si="49"/>
        <v>0</v>
      </c>
      <c r="DSQ249" s="5">
        <f t="shared" si="49"/>
        <v>0</v>
      </c>
      <c r="DSR249" s="5">
        <f t="shared" si="49"/>
        <v>0</v>
      </c>
      <c r="DSS249" s="5">
        <f t="shared" si="49"/>
        <v>0</v>
      </c>
      <c r="DST249" s="5">
        <f t="shared" ref="DST249:DVE249" si="50">SUM(DST246:DST246)</f>
        <v>0</v>
      </c>
      <c r="DSU249" s="5">
        <f t="shared" si="50"/>
        <v>0</v>
      </c>
      <c r="DSV249" s="5">
        <f t="shared" si="50"/>
        <v>0</v>
      </c>
      <c r="DSW249" s="5">
        <f t="shared" si="50"/>
        <v>0</v>
      </c>
      <c r="DSX249" s="5">
        <f t="shared" si="50"/>
        <v>0</v>
      </c>
      <c r="DSY249" s="5">
        <f t="shared" si="50"/>
        <v>0</v>
      </c>
      <c r="DSZ249" s="5">
        <f t="shared" si="50"/>
        <v>0</v>
      </c>
      <c r="DTA249" s="5">
        <f t="shared" si="50"/>
        <v>0</v>
      </c>
      <c r="DTB249" s="5">
        <f t="shared" si="50"/>
        <v>0</v>
      </c>
      <c r="DTC249" s="5">
        <f t="shared" si="50"/>
        <v>0</v>
      </c>
      <c r="DTD249" s="5">
        <f t="shared" si="50"/>
        <v>0</v>
      </c>
      <c r="DTE249" s="5">
        <f t="shared" si="50"/>
        <v>0</v>
      </c>
      <c r="DTF249" s="5">
        <f t="shared" si="50"/>
        <v>0</v>
      </c>
      <c r="DTG249" s="5">
        <f t="shared" si="50"/>
        <v>0</v>
      </c>
      <c r="DTH249" s="5">
        <f t="shared" si="50"/>
        <v>0</v>
      </c>
      <c r="DTI249" s="5">
        <f t="shared" si="50"/>
        <v>0</v>
      </c>
      <c r="DTJ249" s="5">
        <f t="shared" si="50"/>
        <v>0</v>
      </c>
      <c r="DTK249" s="5">
        <f t="shared" si="50"/>
        <v>0</v>
      </c>
      <c r="DTL249" s="5">
        <f t="shared" si="50"/>
        <v>0</v>
      </c>
      <c r="DTM249" s="5">
        <f t="shared" si="50"/>
        <v>0</v>
      </c>
      <c r="DTN249" s="5">
        <f t="shared" si="50"/>
        <v>0</v>
      </c>
      <c r="DTO249" s="5">
        <f t="shared" si="50"/>
        <v>0</v>
      </c>
      <c r="DTP249" s="5">
        <f t="shared" si="50"/>
        <v>0</v>
      </c>
      <c r="DTQ249" s="5">
        <f t="shared" si="50"/>
        <v>0</v>
      </c>
      <c r="DTR249" s="5">
        <f t="shared" si="50"/>
        <v>0</v>
      </c>
      <c r="DTS249" s="5">
        <f t="shared" si="50"/>
        <v>0</v>
      </c>
      <c r="DTT249" s="5">
        <f t="shared" si="50"/>
        <v>0</v>
      </c>
      <c r="DTU249" s="5">
        <f t="shared" si="50"/>
        <v>0</v>
      </c>
      <c r="DTV249" s="5">
        <f t="shared" si="50"/>
        <v>0</v>
      </c>
      <c r="DTW249" s="5">
        <f t="shared" si="50"/>
        <v>0</v>
      </c>
      <c r="DTX249" s="5">
        <f t="shared" si="50"/>
        <v>0</v>
      </c>
      <c r="DTY249" s="5">
        <f t="shared" si="50"/>
        <v>0</v>
      </c>
      <c r="DTZ249" s="5">
        <f t="shared" si="50"/>
        <v>0</v>
      </c>
      <c r="DUA249" s="5">
        <f t="shared" si="50"/>
        <v>0</v>
      </c>
      <c r="DUB249" s="5">
        <f t="shared" si="50"/>
        <v>0</v>
      </c>
      <c r="DUC249" s="5">
        <f t="shared" si="50"/>
        <v>0</v>
      </c>
      <c r="DUD249" s="5">
        <f t="shared" si="50"/>
        <v>0</v>
      </c>
      <c r="DUE249" s="5">
        <f t="shared" si="50"/>
        <v>0</v>
      </c>
      <c r="DUF249" s="5">
        <f t="shared" si="50"/>
        <v>0</v>
      </c>
      <c r="DUG249" s="5">
        <f t="shared" si="50"/>
        <v>0</v>
      </c>
      <c r="DUH249" s="5">
        <f t="shared" si="50"/>
        <v>0</v>
      </c>
      <c r="DUI249" s="5">
        <f t="shared" si="50"/>
        <v>0</v>
      </c>
      <c r="DUJ249" s="5">
        <f t="shared" si="50"/>
        <v>0</v>
      </c>
      <c r="DUK249" s="5">
        <f t="shared" si="50"/>
        <v>0</v>
      </c>
      <c r="DUL249" s="5">
        <f t="shared" si="50"/>
        <v>0</v>
      </c>
      <c r="DUM249" s="5">
        <f t="shared" si="50"/>
        <v>0</v>
      </c>
      <c r="DUN249" s="5">
        <f t="shared" si="50"/>
        <v>0</v>
      </c>
      <c r="DUO249" s="5">
        <f t="shared" si="50"/>
        <v>0</v>
      </c>
      <c r="DUP249" s="5">
        <f t="shared" si="50"/>
        <v>0</v>
      </c>
      <c r="DUQ249" s="5">
        <f t="shared" si="50"/>
        <v>0</v>
      </c>
      <c r="DUR249" s="5">
        <f t="shared" si="50"/>
        <v>0</v>
      </c>
      <c r="DUS249" s="5">
        <f t="shared" si="50"/>
        <v>0</v>
      </c>
      <c r="DUT249" s="5">
        <f t="shared" si="50"/>
        <v>0</v>
      </c>
      <c r="DUU249" s="5">
        <f t="shared" si="50"/>
        <v>0</v>
      </c>
      <c r="DUV249" s="5">
        <f t="shared" si="50"/>
        <v>0</v>
      </c>
      <c r="DUW249" s="5">
        <f t="shared" si="50"/>
        <v>0</v>
      </c>
      <c r="DUX249" s="5">
        <f t="shared" si="50"/>
        <v>0</v>
      </c>
      <c r="DUY249" s="5">
        <f t="shared" si="50"/>
        <v>0</v>
      </c>
      <c r="DUZ249" s="5">
        <f t="shared" si="50"/>
        <v>0</v>
      </c>
      <c r="DVA249" s="5">
        <f t="shared" si="50"/>
        <v>0</v>
      </c>
      <c r="DVB249" s="5">
        <f t="shared" si="50"/>
        <v>0</v>
      </c>
      <c r="DVC249" s="5">
        <f t="shared" si="50"/>
        <v>0</v>
      </c>
      <c r="DVD249" s="5">
        <f t="shared" si="50"/>
        <v>0</v>
      </c>
      <c r="DVE249" s="5">
        <f t="shared" si="50"/>
        <v>0</v>
      </c>
      <c r="DVF249" s="5">
        <f t="shared" ref="DVF249:DXQ249" si="51">SUM(DVF246:DVF246)</f>
        <v>0</v>
      </c>
      <c r="DVG249" s="5">
        <f t="shared" si="51"/>
        <v>0</v>
      </c>
      <c r="DVH249" s="5">
        <f t="shared" si="51"/>
        <v>0</v>
      </c>
      <c r="DVI249" s="5">
        <f t="shared" si="51"/>
        <v>0</v>
      </c>
      <c r="DVJ249" s="5">
        <f t="shared" si="51"/>
        <v>0</v>
      </c>
      <c r="DVK249" s="5">
        <f t="shared" si="51"/>
        <v>0</v>
      </c>
      <c r="DVL249" s="5">
        <f t="shared" si="51"/>
        <v>0</v>
      </c>
      <c r="DVM249" s="5">
        <f t="shared" si="51"/>
        <v>0</v>
      </c>
      <c r="DVN249" s="5">
        <f t="shared" si="51"/>
        <v>0</v>
      </c>
      <c r="DVO249" s="5">
        <f t="shared" si="51"/>
        <v>0</v>
      </c>
      <c r="DVP249" s="5">
        <f t="shared" si="51"/>
        <v>0</v>
      </c>
      <c r="DVQ249" s="5">
        <f t="shared" si="51"/>
        <v>0</v>
      </c>
      <c r="DVR249" s="5">
        <f t="shared" si="51"/>
        <v>0</v>
      </c>
      <c r="DVS249" s="5">
        <f t="shared" si="51"/>
        <v>0</v>
      </c>
      <c r="DVT249" s="5">
        <f t="shared" si="51"/>
        <v>0</v>
      </c>
      <c r="DVU249" s="5">
        <f t="shared" si="51"/>
        <v>0</v>
      </c>
      <c r="DVV249" s="5">
        <f t="shared" si="51"/>
        <v>0</v>
      </c>
      <c r="DVW249" s="5">
        <f t="shared" si="51"/>
        <v>0</v>
      </c>
      <c r="DVX249" s="5">
        <f t="shared" si="51"/>
        <v>0</v>
      </c>
      <c r="DVY249" s="5">
        <f t="shared" si="51"/>
        <v>0</v>
      </c>
      <c r="DVZ249" s="5">
        <f t="shared" si="51"/>
        <v>0</v>
      </c>
      <c r="DWA249" s="5">
        <f t="shared" si="51"/>
        <v>0</v>
      </c>
      <c r="DWB249" s="5">
        <f t="shared" si="51"/>
        <v>0</v>
      </c>
      <c r="DWC249" s="5">
        <f t="shared" si="51"/>
        <v>0</v>
      </c>
      <c r="DWD249" s="5">
        <f t="shared" si="51"/>
        <v>0</v>
      </c>
      <c r="DWE249" s="5">
        <f t="shared" si="51"/>
        <v>0</v>
      </c>
      <c r="DWF249" s="5">
        <f t="shared" si="51"/>
        <v>0</v>
      </c>
      <c r="DWG249" s="5">
        <f t="shared" si="51"/>
        <v>0</v>
      </c>
      <c r="DWH249" s="5">
        <f t="shared" si="51"/>
        <v>0</v>
      </c>
      <c r="DWI249" s="5">
        <f t="shared" si="51"/>
        <v>0</v>
      </c>
      <c r="DWJ249" s="5">
        <f t="shared" si="51"/>
        <v>0</v>
      </c>
      <c r="DWK249" s="5">
        <f t="shared" si="51"/>
        <v>0</v>
      </c>
      <c r="DWL249" s="5">
        <f t="shared" si="51"/>
        <v>0</v>
      </c>
      <c r="DWM249" s="5">
        <f t="shared" si="51"/>
        <v>0</v>
      </c>
      <c r="DWN249" s="5">
        <f t="shared" si="51"/>
        <v>0</v>
      </c>
      <c r="DWO249" s="5">
        <f t="shared" si="51"/>
        <v>0</v>
      </c>
      <c r="DWP249" s="5">
        <f t="shared" si="51"/>
        <v>0</v>
      </c>
      <c r="DWQ249" s="5">
        <f t="shared" si="51"/>
        <v>0</v>
      </c>
      <c r="DWR249" s="5">
        <f t="shared" si="51"/>
        <v>0</v>
      </c>
      <c r="DWS249" s="5">
        <f t="shared" si="51"/>
        <v>0</v>
      </c>
      <c r="DWT249" s="5">
        <f t="shared" si="51"/>
        <v>0</v>
      </c>
      <c r="DWU249" s="5">
        <f t="shared" si="51"/>
        <v>0</v>
      </c>
      <c r="DWV249" s="5">
        <f t="shared" si="51"/>
        <v>0</v>
      </c>
      <c r="DWW249" s="5">
        <f t="shared" si="51"/>
        <v>0</v>
      </c>
      <c r="DWX249" s="5">
        <f t="shared" si="51"/>
        <v>0</v>
      </c>
      <c r="DWY249" s="5">
        <f t="shared" si="51"/>
        <v>0</v>
      </c>
      <c r="DWZ249" s="5">
        <f t="shared" si="51"/>
        <v>0</v>
      </c>
      <c r="DXA249" s="5">
        <f t="shared" si="51"/>
        <v>0</v>
      </c>
      <c r="DXB249" s="5">
        <f t="shared" si="51"/>
        <v>0</v>
      </c>
      <c r="DXC249" s="5">
        <f t="shared" si="51"/>
        <v>0</v>
      </c>
      <c r="DXD249" s="5">
        <f t="shared" si="51"/>
        <v>0</v>
      </c>
      <c r="DXE249" s="5">
        <f t="shared" si="51"/>
        <v>0</v>
      </c>
      <c r="DXF249" s="5">
        <f t="shared" si="51"/>
        <v>0</v>
      </c>
      <c r="DXG249" s="5">
        <f t="shared" si="51"/>
        <v>0</v>
      </c>
      <c r="DXH249" s="5">
        <f t="shared" si="51"/>
        <v>0</v>
      </c>
      <c r="DXI249" s="5">
        <f t="shared" si="51"/>
        <v>0</v>
      </c>
      <c r="DXJ249" s="5">
        <f t="shared" si="51"/>
        <v>0</v>
      </c>
      <c r="DXK249" s="5">
        <f t="shared" si="51"/>
        <v>0</v>
      </c>
      <c r="DXL249" s="5">
        <f t="shared" si="51"/>
        <v>0</v>
      </c>
      <c r="DXM249" s="5">
        <f t="shared" si="51"/>
        <v>0</v>
      </c>
      <c r="DXN249" s="5">
        <f t="shared" si="51"/>
        <v>0</v>
      </c>
      <c r="DXO249" s="5">
        <f t="shared" si="51"/>
        <v>0</v>
      </c>
      <c r="DXP249" s="5">
        <f t="shared" si="51"/>
        <v>0</v>
      </c>
      <c r="DXQ249" s="5">
        <f t="shared" si="51"/>
        <v>0</v>
      </c>
      <c r="DXR249" s="5">
        <f t="shared" ref="DXR249:EAC249" si="52">SUM(DXR246:DXR246)</f>
        <v>0</v>
      </c>
      <c r="DXS249" s="5">
        <f t="shared" si="52"/>
        <v>0</v>
      </c>
      <c r="DXT249" s="5">
        <f t="shared" si="52"/>
        <v>0</v>
      </c>
      <c r="DXU249" s="5">
        <f t="shared" si="52"/>
        <v>0</v>
      </c>
      <c r="DXV249" s="5">
        <f t="shared" si="52"/>
        <v>0</v>
      </c>
      <c r="DXW249" s="5">
        <f t="shared" si="52"/>
        <v>0</v>
      </c>
      <c r="DXX249" s="5">
        <f t="shared" si="52"/>
        <v>0</v>
      </c>
      <c r="DXY249" s="5">
        <f t="shared" si="52"/>
        <v>0</v>
      </c>
      <c r="DXZ249" s="5">
        <f t="shared" si="52"/>
        <v>0</v>
      </c>
      <c r="DYA249" s="5">
        <f t="shared" si="52"/>
        <v>0</v>
      </c>
      <c r="DYB249" s="5">
        <f t="shared" si="52"/>
        <v>0</v>
      </c>
      <c r="DYC249" s="5">
        <f t="shared" si="52"/>
        <v>0</v>
      </c>
      <c r="DYD249" s="5">
        <f t="shared" si="52"/>
        <v>0</v>
      </c>
      <c r="DYE249" s="5">
        <f t="shared" si="52"/>
        <v>0</v>
      </c>
      <c r="DYF249" s="5">
        <f t="shared" si="52"/>
        <v>0</v>
      </c>
      <c r="DYG249" s="5">
        <f t="shared" si="52"/>
        <v>0</v>
      </c>
      <c r="DYH249" s="5">
        <f t="shared" si="52"/>
        <v>0</v>
      </c>
      <c r="DYI249" s="5">
        <f t="shared" si="52"/>
        <v>0</v>
      </c>
      <c r="DYJ249" s="5">
        <f t="shared" si="52"/>
        <v>0</v>
      </c>
      <c r="DYK249" s="5">
        <f t="shared" si="52"/>
        <v>0</v>
      </c>
      <c r="DYL249" s="5">
        <f t="shared" si="52"/>
        <v>0</v>
      </c>
      <c r="DYM249" s="5">
        <f t="shared" si="52"/>
        <v>0</v>
      </c>
      <c r="DYN249" s="5">
        <f t="shared" si="52"/>
        <v>0</v>
      </c>
      <c r="DYO249" s="5">
        <f t="shared" si="52"/>
        <v>0</v>
      </c>
      <c r="DYP249" s="5">
        <f t="shared" si="52"/>
        <v>0</v>
      </c>
      <c r="DYQ249" s="5">
        <f t="shared" si="52"/>
        <v>0</v>
      </c>
      <c r="DYR249" s="5">
        <f t="shared" si="52"/>
        <v>0</v>
      </c>
      <c r="DYS249" s="5">
        <f t="shared" si="52"/>
        <v>0</v>
      </c>
      <c r="DYT249" s="5">
        <f t="shared" si="52"/>
        <v>0</v>
      </c>
      <c r="DYU249" s="5">
        <f t="shared" si="52"/>
        <v>0</v>
      </c>
      <c r="DYV249" s="5">
        <f t="shared" si="52"/>
        <v>0</v>
      </c>
      <c r="DYW249" s="5">
        <f t="shared" si="52"/>
        <v>0</v>
      </c>
      <c r="DYX249" s="5">
        <f t="shared" si="52"/>
        <v>0</v>
      </c>
      <c r="DYY249" s="5">
        <f t="shared" si="52"/>
        <v>0</v>
      </c>
      <c r="DYZ249" s="5">
        <f t="shared" si="52"/>
        <v>0</v>
      </c>
      <c r="DZA249" s="5">
        <f t="shared" si="52"/>
        <v>0</v>
      </c>
      <c r="DZB249" s="5">
        <f t="shared" si="52"/>
        <v>0</v>
      </c>
      <c r="DZC249" s="5">
        <f t="shared" si="52"/>
        <v>0</v>
      </c>
      <c r="DZD249" s="5">
        <f t="shared" si="52"/>
        <v>0</v>
      </c>
      <c r="DZE249" s="5">
        <f t="shared" si="52"/>
        <v>0</v>
      </c>
      <c r="DZF249" s="5">
        <f t="shared" si="52"/>
        <v>0</v>
      </c>
      <c r="DZG249" s="5">
        <f t="shared" si="52"/>
        <v>0</v>
      </c>
      <c r="DZH249" s="5">
        <f t="shared" si="52"/>
        <v>0</v>
      </c>
      <c r="DZI249" s="5">
        <f t="shared" si="52"/>
        <v>0</v>
      </c>
      <c r="DZJ249" s="5">
        <f t="shared" si="52"/>
        <v>0</v>
      </c>
      <c r="DZK249" s="5">
        <f t="shared" si="52"/>
        <v>0</v>
      </c>
      <c r="DZL249" s="5">
        <f t="shared" si="52"/>
        <v>0</v>
      </c>
      <c r="DZM249" s="5">
        <f t="shared" si="52"/>
        <v>0</v>
      </c>
      <c r="DZN249" s="5">
        <f t="shared" si="52"/>
        <v>0</v>
      </c>
      <c r="DZO249" s="5">
        <f t="shared" si="52"/>
        <v>0</v>
      </c>
      <c r="DZP249" s="5">
        <f t="shared" si="52"/>
        <v>0</v>
      </c>
      <c r="DZQ249" s="5">
        <f t="shared" si="52"/>
        <v>0</v>
      </c>
      <c r="DZR249" s="5">
        <f t="shared" si="52"/>
        <v>0</v>
      </c>
      <c r="DZS249" s="5">
        <f t="shared" si="52"/>
        <v>0</v>
      </c>
      <c r="DZT249" s="5">
        <f t="shared" si="52"/>
        <v>0</v>
      </c>
      <c r="DZU249" s="5">
        <f t="shared" si="52"/>
        <v>0</v>
      </c>
      <c r="DZV249" s="5">
        <f t="shared" si="52"/>
        <v>0</v>
      </c>
      <c r="DZW249" s="5">
        <f t="shared" si="52"/>
        <v>0</v>
      </c>
      <c r="DZX249" s="5">
        <f t="shared" si="52"/>
        <v>0</v>
      </c>
      <c r="DZY249" s="5">
        <f t="shared" si="52"/>
        <v>0</v>
      </c>
      <c r="DZZ249" s="5">
        <f t="shared" si="52"/>
        <v>0</v>
      </c>
      <c r="EAA249" s="5">
        <f t="shared" si="52"/>
        <v>0</v>
      </c>
      <c r="EAB249" s="5">
        <f t="shared" si="52"/>
        <v>0</v>
      </c>
      <c r="EAC249" s="5">
        <f t="shared" si="52"/>
        <v>0</v>
      </c>
      <c r="EAD249" s="5">
        <f t="shared" ref="EAD249:ECO249" si="53">SUM(EAD246:EAD246)</f>
        <v>0</v>
      </c>
      <c r="EAE249" s="5">
        <f t="shared" si="53"/>
        <v>0</v>
      </c>
      <c r="EAF249" s="5">
        <f t="shared" si="53"/>
        <v>0</v>
      </c>
      <c r="EAG249" s="5">
        <f t="shared" si="53"/>
        <v>0</v>
      </c>
      <c r="EAH249" s="5">
        <f t="shared" si="53"/>
        <v>0</v>
      </c>
      <c r="EAI249" s="5">
        <f t="shared" si="53"/>
        <v>0</v>
      </c>
      <c r="EAJ249" s="5">
        <f t="shared" si="53"/>
        <v>0</v>
      </c>
      <c r="EAK249" s="5">
        <f t="shared" si="53"/>
        <v>0</v>
      </c>
      <c r="EAL249" s="5">
        <f t="shared" si="53"/>
        <v>0</v>
      </c>
      <c r="EAM249" s="5">
        <f t="shared" si="53"/>
        <v>0</v>
      </c>
      <c r="EAN249" s="5">
        <f t="shared" si="53"/>
        <v>0</v>
      </c>
      <c r="EAO249" s="5">
        <f t="shared" si="53"/>
        <v>0</v>
      </c>
      <c r="EAP249" s="5">
        <f t="shared" si="53"/>
        <v>0</v>
      </c>
      <c r="EAQ249" s="5">
        <f t="shared" si="53"/>
        <v>0</v>
      </c>
      <c r="EAR249" s="5">
        <f t="shared" si="53"/>
        <v>0</v>
      </c>
      <c r="EAS249" s="5">
        <f t="shared" si="53"/>
        <v>0</v>
      </c>
      <c r="EAT249" s="5">
        <f t="shared" si="53"/>
        <v>0</v>
      </c>
      <c r="EAU249" s="5">
        <f t="shared" si="53"/>
        <v>0</v>
      </c>
      <c r="EAV249" s="5">
        <f t="shared" si="53"/>
        <v>0</v>
      </c>
      <c r="EAW249" s="5">
        <f t="shared" si="53"/>
        <v>0</v>
      </c>
      <c r="EAX249" s="5">
        <f t="shared" si="53"/>
        <v>0</v>
      </c>
      <c r="EAY249" s="5">
        <f t="shared" si="53"/>
        <v>0</v>
      </c>
      <c r="EAZ249" s="5">
        <f t="shared" si="53"/>
        <v>0</v>
      </c>
      <c r="EBA249" s="5">
        <f t="shared" si="53"/>
        <v>0</v>
      </c>
      <c r="EBB249" s="5">
        <f t="shared" si="53"/>
        <v>0</v>
      </c>
      <c r="EBC249" s="5">
        <f t="shared" si="53"/>
        <v>0</v>
      </c>
      <c r="EBD249" s="5">
        <f t="shared" si="53"/>
        <v>0</v>
      </c>
      <c r="EBE249" s="5">
        <f t="shared" si="53"/>
        <v>0</v>
      </c>
      <c r="EBF249" s="5">
        <f t="shared" si="53"/>
        <v>0</v>
      </c>
      <c r="EBG249" s="5">
        <f t="shared" si="53"/>
        <v>0</v>
      </c>
      <c r="EBH249" s="5">
        <f t="shared" si="53"/>
        <v>0</v>
      </c>
      <c r="EBI249" s="5">
        <f t="shared" si="53"/>
        <v>0</v>
      </c>
      <c r="EBJ249" s="5">
        <f t="shared" si="53"/>
        <v>0</v>
      </c>
      <c r="EBK249" s="5">
        <f t="shared" si="53"/>
        <v>0</v>
      </c>
      <c r="EBL249" s="5">
        <f t="shared" si="53"/>
        <v>0</v>
      </c>
      <c r="EBM249" s="5">
        <f t="shared" si="53"/>
        <v>0</v>
      </c>
      <c r="EBN249" s="5">
        <f t="shared" si="53"/>
        <v>0</v>
      </c>
      <c r="EBO249" s="5">
        <f t="shared" si="53"/>
        <v>0</v>
      </c>
      <c r="EBP249" s="5">
        <f t="shared" si="53"/>
        <v>0</v>
      </c>
      <c r="EBQ249" s="5">
        <f t="shared" si="53"/>
        <v>0</v>
      </c>
      <c r="EBR249" s="5">
        <f t="shared" si="53"/>
        <v>0</v>
      </c>
      <c r="EBS249" s="5">
        <f t="shared" si="53"/>
        <v>0</v>
      </c>
      <c r="EBT249" s="5">
        <f t="shared" si="53"/>
        <v>0</v>
      </c>
      <c r="EBU249" s="5">
        <f t="shared" si="53"/>
        <v>0</v>
      </c>
      <c r="EBV249" s="5">
        <f t="shared" si="53"/>
        <v>0</v>
      </c>
      <c r="EBW249" s="5">
        <f t="shared" si="53"/>
        <v>0</v>
      </c>
      <c r="EBX249" s="5">
        <f t="shared" si="53"/>
        <v>0</v>
      </c>
      <c r="EBY249" s="5">
        <f t="shared" si="53"/>
        <v>0</v>
      </c>
      <c r="EBZ249" s="5">
        <f t="shared" si="53"/>
        <v>0</v>
      </c>
      <c r="ECA249" s="5">
        <f t="shared" si="53"/>
        <v>0</v>
      </c>
      <c r="ECB249" s="5">
        <f t="shared" si="53"/>
        <v>0</v>
      </c>
      <c r="ECC249" s="5">
        <f t="shared" si="53"/>
        <v>0</v>
      </c>
      <c r="ECD249" s="5">
        <f t="shared" si="53"/>
        <v>0</v>
      </c>
      <c r="ECE249" s="5">
        <f t="shared" si="53"/>
        <v>0</v>
      </c>
      <c r="ECF249" s="5">
        <f t="shared" si="53"/>
        <v>0</v>
      </c>
      <c r="ECG249" s="5">
        <f t="shared" si="53"/>
        <v>0</v>
      </c>
      <c r="ECH249" s="5">
        <f t="shared" si="53"/>
        <v>0</v>
      </c>
      <c r="ECI249" s="5">
        <f t="shared" si="53"/>
        <v>0</v>
      </c>
      <c r="ECJ249" s="5">
        <f t="shared" si="53"/>
        <v>0</v>
      </c>
      <c r="ECK249" s="5">
        <f t="shared" si="53"/>
        <v>0</v>
      </c>
      <c r="ECL249" s="5">
        <f t="shared" si="53"/>
        <v>0</v>
      </c>
      <c r="ECM249" s="5">
        <f t="shared" si="53"/>
        <v>0</v>
      </c>
      <c r="ECN249" s="5">
        <f t="shared" si="53"/>
        <v>0</v>
      </c>
      <c r="ECO249" s="5">
        <f t="shared" si="53"/>
        <v>0</v>
      </c>
      <c r="ECP249" s="5">
        <f t="shared" ref="ECP249:EFA249" si="54">SUM(ECP246:ECP246)</f>
        <v>0</v>
      </c>
      <c r="ECQ249" s="5">
        <f t="shared" si="54"/>
        <v>0</v>
      </c>
      <c r="ECR249" s="5">
        <f t="shared" si="54"/>
        <v>0</v>
      </c>
      <c r="ECS249" s="5">
        <f t="shared" si="54"/>
        <v>0</v>
      </c>
      <c r="ECT249" s="5">
        <f t="shared" si="54"/>
        <v>0</v>
      </c>
      <c r="ECU249" s="5">
        <f t="shared" si="54"/>
        <v>0</v>
      </c>
      <c r="ECV249" s="5">
        <f t="shared" si="54"/>
        <v>0</v>
      </c>
      <c r="ECW249" s="5">
        <f t="shared" si="54"/>
        <v>0</v>
      </c>
      <c r="ECX249" s="5">
        <f t="shared" si="54"/>
        <v>0</v>
      </c>
      <c r="ECY249" s="5">
        <f t="shared" si="54"/>
        <v>0</v>
      </c>
      <c r="ECZ249" s="5">
        <f t="shared" si="54"/>
        <v>0</v>
      </c>
      <c r="EDA249" s="5">
        <f t="shared" si="54"/>
        <v>0</v>
      </c>
      <c r="EDB249" s="5">
        <f t="shared" si="54"/>
        <v>0</v>
      </c>
      <c r="EDC249" s="5">
        <f t="shared" si="54"/>
        <v>0</v>
      </c>
      <c r="EDD249" s="5">
        <f t="shared" si="54"/>
        <v>0</v>
      </c>
      <c r="EDE249" s="5">
        <f t="shared" si="54"/>
        <v>0</v>
      </c>
      <c r="EDF249" s="5">
        <f t="shared" si="54"/>
        <v>0</v>
      </c>
      <c r="EDG249" s="5">
        <f t="shared" si="54"/>
        <v>0</v>
      </c>
      <c r="EDH249" s="5">
        <f t="shared" si="54"/>
        <v>0</v>
      </c>
      <c r="EDI249" s="5">
        <f t="shared" si="54"/>
        <v>0</v>
      </c>
      <c r="EDJ249" s="5">
        <f t="shared" si="54"/>
        <v>0</v>
      </c>
      <c r="EDK249" s="5">
        <f t="shared" si="54"/>
        <v>0</v>
      </c>
      <c r="EDL249" s="5">
        <f t="shared" si="54"/>
        <v>0</v>
      </c>
      <c r="EDM249" s="5">
        <f t="shared" si="54"/>
        <v>0</v>
      </c>
      <c r="EDN249" s="5">
        <f t="shared" si="54"/>
        <v>0</v>
      </c>
      <c r="EDO249" s="5">
        <f t="shared" si="54"/>
        <v>0</v>
      </c>
      <c r="EDP249" s="5">
        <f t="shared" si="54"/>
        <v>0</v>
      </c>
      <c r="EDQ249" s="5">
        <f t="shared" si="54"/>
        <v>0</v>
      </c>
      <c r="EDR249" s="5">
        <f t="shared" si="54"/>
        <v>0</v>
      </c>
      <c r="EDS249" s="5">
        <f t="shared" si="54"/>
        <v>0</v>
      </c>
      <c r="EDT249" s="5">
        <f t="shared" si="54"/>
        <v>0</v>
      </c>
      <c r="EDU249" s="5">
        <f t="shared" si="54"/>
        <v>0</v>
      </c>
      <c r="EDV249" s="5">
        <f t="shared" si="54"/>
        <v>0</v>
      </c>
      <c r="EDW249" s="5">
        <f t="shared" si="54"/>
        <v>0</v>
      </c>
      <c r="EDX249" s="5">
        <f t="shared" si="54"/>
        <v>0</v>
      </c>
      <c r="EDY249" s="5">
        <f t="shared" si="54"/>
        <v>0</v>
      </c>
      <c r="EDZ249" s="5">
        <f t="shared" si="54"/>
        <v>0</v>
      </c>
      <c r="EEA249" s="5">
        <f t="shared" si="54"/>
        <v>0</v>
      </c>
      <c r="EEB249" s="5">
        <f t="shared" si="54"/>
        <v>0</v>
      </c>
      <c r="EEC249" s="5">
        <f t="shared" si="54"/>
        <v>0</v>
      </c>
      <c r="EED249" s="5">
        <f t="shared" si="54"/>
        <v>0</v>
      </c>
      <c r="EEE249" s="5">
        <f t="shared" si="54"/>
        <v>0</v>
      </c>
      <c r="EEF249" s="5">
        <f t="shared" si="54"/>
        <v>0</v>
      </c>
      <c r="EEG249" s="5">
        <f t="shared" si="54"/>
        <v>0</v>
      </c>
      <c r="EEH249" s="5">
        <f t="shared" si="54"/>
        <v>0</v>
      </c>
      <c r="EEI249" s="5">
        <f t="shared" si="54"/>
        <v>0</v>
      </c>
      <c r="EEJ249" s="5">
        <f t="shared" si="54"/>
        <v>0</v>
      </c>
      <c r="EEK249" s="5">
        <f t="shared" si="54"/>
        <v>0</v>
      </c>
      <c r="EEL249" s="5">
        <f t="shared" si="54"/>
        <v>0</v>
      </c>
      <c r="EEM249" s="5">
        <f t="shared" si="54"/>
        <v>0</v>
      </c>
      <c r="EEN249" s="5">
        <f t="shared" si="54"/>
        <v>0</v>
      </c>
      <c r="EEO249" s="5">
        <f t="shared" si="54"/>
        <v>0</v>
      </c>
      <c r="EEP249" s="5">
        <f t="shared" si="54"/>
        <v>0</v>
      </c>
      <c r="EEQ249" s="5">
        <f t="shared" si="54"/>
        <v>0</v>
      </c>
      <c r="EER249" s="5">
        <f t="shared" si="54"/>
        <v>0</v>
      </c>
      <c r="EES249" s="5">
        <f t="shared" si="54"/>
        <v>0</v>
      </c>
      <c r="EET249" s="5">
        <f t="shared" si="54"/>
        <v>0</v>
      </c>
      <c r="EEU249" s="5">
        <f t="shared" si="54"/>
        <v>0</v>
      </c>
      <c r="EEV249" s="5">
        <f t="shared" si="54"/>
        <v>0</v>
      </c>
      <c r="EEW249" s="5">
        <f t="shared" si="54"/>
        <v>0</v>
      </c>
      <c r="EEX249" s="5">
        <f t="shared" si="54"/>
        <v>0</v>
      </c>
      <c r="EEY249" s="5">
        <f t="shared" si="54"/>
        <v>0</v>
      </c>
      <c r="EEZ249" s="5">
        <f t="shared" si="54"/>
        <v>0</v>
      </c>
      <c r="EFA249" s="5">
        <f t="shared" si="54"/>
        <v>0</v>
      </c>
      <c r="EFB249" s="5">
        <f t="shared" ref="EFB249:EHM249" si="55">SUM(EFB246:EFB246)</f>
        <v>0</v>
      </c>
      <c r="EFC249" s="5">
        <f t="shared" si="55"/>
        <v>0</v>
      </c>
      <c r="EFD249" s="5">
        <f t="shared" si="55"/>
        <v>0</v>
      </c>
      <c r="EFE249" s="5">
        <f t="shared" si="55"/>
        <v>0</v>
      </c>
      <c r="EFF249" s="5">
        <f t="shared" si="55"/>
        <v>0</v>
      </c>
      <c r="EFG249" s="5">
        <f t="shared" si="55"/>
        <v>0</v>
      </c>
      <c r="EFH249" s="5">
        <f t="shared" si="55"/>
        <v>0</v>
      </c>
      <c r="EFI249" s="5">
        <f t="shared" si="55"/>
        <v>0</v>
      </c>
      <c r="EFJ249" s="5">
        <f t="shared" si="55"/>
        <v>0</v>
      </c>
      <c r="EFK249" s="5">
        <f t="shared" si="55"/>
        <v>0</v>
      </c>
      <c r="EFL249" s="5">
        <f t="shared" si="55"/>
        <v>0</v>
      </c>
      <c r="EFM249" s="5">
        <f t="shared" si="55"/>
        <v>0</v>
      </c>
      <c r="EFN249" s="5">
        <f t="shared" si="55"/>
        <v>0</v>
      </c>
      <c r="EFO249" s="5">
        <f t="shared" si="55"/>
        <v>0</v>
      </c>
      <c r="EFP249" s="5">
        <f t="shared" si="55"/>
        <v>0</v>
      </c>
      <c r="EFQ249" s="5">
        <f t="shared" si="55"/>
        <v>0</v>
      </c>
      <c r="EFR249" s="5">
        <f t="shared" si="55"/>
        <v>0</v>
      </c>
      <c r="EFS249" s="5">
        <f t="shared" si="55"/>
        <v>0</v>
      </c>
      <c r="EFT249" s="5">
        <f t="shared" si="55"/>
        <v>0</v>
      </c>
      <c r="EFU249" s="5">
        <f t="shared" si="55"/>
        <v>0</v>
      </c>
      <c r="EFV249" s="5">
        <f t="shared" si="55"/>
        <v>0</v>
      </c>
      <c r="EFW249" s="5">
        <f t="shared" si="55"/>
        <v>0</v>
      </c>
      <c r="EFX249" s="5">
        <f t="shared" si="55"/>
        <v>0</v>
      </c>
      <c r="EFY249" s="5">
        <f t="shared" si="55"/>
        <v>0</v>
      </c>
      <c r="EFZ249" s="5">
        <f t="shared" si="55"/>
        <v>0</v>
      </c>
      <c r="EGA249" s="5">
        <f t="shared" si="55"/>
        <v>0</v>
      </c>
      <c r="EGB249" s="5">
        <f t="shared" si="55"/>
        <v>0</v>
      </c>
      <c r="EGC249" s="5">
        <f t="shared" si="55"/>
        <v>0</v>
      </c>
      <c r="EGD249" s="5">
        <f t="shared" si="55"/>
        <v>0</v>
      </c>
      <c r="EGE249" s="5">
        <f t="shared" si="55"/>
        <v>0</v>
      </c>
      <c r="EGF249" s="5">
        <f t="shared" si="55"/>
        <v>0</v>
      </c>
      <c r="EGG249" s="5">
        <f t="shared" si="55"/>
        <v>0</v>
      </c>
      <c r="EGH249" s="5">
        <f t="shared" si="55"/>
        <v>0</v>
      </c>
      <c r="EGI249" s="5">
        <f t="shared" si="55"/>
        <v>0</v>
      </c>
      <c r="EGJ249" s="5">
        <f t="shared" si="55"/>
        <v>0</v>
      </c>
      <c r="EGK249" s="5">
        <f t="shared" si="55"/>
        <v>0</v>
      </c>
      <c r="EGL249" s="5">
        <f t="shared" si="55"/>
        <v>0</v>
      </c>
      <c r="EGM249" s="5">
        <f t="shared" si="55"/>
        <v>0</v>
      </c>
      <c r="EGN249" s="5">
        <f t="shared" si="55"/>
        <v>0</v>
      </c>
      <c r="EGO249" s="5">
        <f t="shared" si="55"/>
        <v>0</v>
      </c>
      <c r="EGP249" s="5">
        <f t="shared" si="55"/>
        <v>0</v>
      </c>
      <c r="EGQ249" s="5">
        <f t="shared" si="55"/>
        <v>0</v>
      </c>
      <c r="EGR249" s="5">
        <f t="shared" si="55"/>
        <v>0</v>
      </c>
      <c r="EGS249" s="5">
        <f t="shared" si="55"/>
        <v>0</v>
      </c>
      <c r="EGT249" s="5">
        <f t="shared" si="55"/>
        <v>0</v>
      </c>
      <c r="EGU249" s="5">
        <f t="shared" si="55"/>
        <v>0</v>
      </c>
      <c r="EGV249" s="5">
        <f t="shared" si="55"/>
        <v>0</v>
      </c>
      <c r="EGW249" s="5">
        <f t="shared" si="55"/>
        <v>0</v>
      </c>
      <c r="EGX249" s="5">
        <f t="shared" si="55"/>
        <v>0</v>
      </c>
      <c r="EGY249" s="5">
        <f t="shared" si="55"/>
        <v>0</v>
      </c>
      <c r="EGZ249" s="5">
        <f t="shared" si="55"/>
        <v>0</v>
      </c>
      <c r="EHA249" s="5">
        <f t="shared" si="55"/>
        <v>0</v>
      </c>
      <c r="EHB249" s="5">
        <f t="shared" si="55"/>
        <v>0</v>
      </c>
      <c r="EHC249" s="5">
        <f t="shared" si="55"/>
        <v>0</v>
      </c>
      <c r="EHD249" s="5">
        <f t="shared" si="55"/>
        <v>0</v>
      </c>
      <c r="EHE249" s="5">
        <f t="shared" si="55"/>
        <v>0</v>
      </c>
      <c r="EHF249" s="5">
        <f t="shared" si="55"/>
        <v>0</v>
      </c>
      <c r="EHG249" s="5">
        <f t="shared" si="55"/>
        <v>0</v>
      </c>
      <c r="EHH249" s="5">
        <f t="shared" si="55"/>
        <v>0</v>
      </c>
      <c r="EHI249" s="5">
        <f t="shared" si="55"/>
        <v>0</v>
      </c>
      <c r="EHJ249" s="5">
        <f t="shared" si="55"/>
        <v>0</v>
      </c>
      <c r="EHK249" s="5">
        <f t="shared" si="55"/>
        <v>0</v>
      </c>
      <c r="EHL249" s="5">
        <f t="shared" si="55"/>
        <v>0</v>
      </c>
      <c r="EHM249" s="5">
        <f t="shared" si="55"/>
        <v>0</v>
      </c>
      <c r="EHN249" s="5">
        <f t="shared" ref="EHN249:EJY249" si="56">SUM(EHN246:EHN246)</f>
        <v>0</v>
      </c>
      <c r="EHO249" s="5">
        <f t="shared" si="56"/>
        <v>0</v>
      </c>
      <c r="EHP249" s="5">
        <f t="shared" si="56"/>
        <v>0</v>
      </c>
      <c r="EHQ249" s="5">
        <f t="shared" si="56"/>
        <v>0</v>
      </c>
      <c r="EHR249" s="5">
        <f t="shared" si="56"/>
        <v>0</v>
      </c>
      <c r="EHS249" s="5">
        <f t="shared" si="56"/>
        <v>0</v>
      </c>
      <c r="EHT249" s="5">
        <f t="shared" si="56"/>
        <v>0</v>
      </c>
      <c r="EHU249" s="5">
        <f t="shared" si="56"/>
        <v>0</v>
      </c>
      <c r="EHV249" s="5">
        <f t="shared" si="56"/>
        <v>0</v>
      </c>
      <c r="EHW249" s="5">
        <f t="shared" si="56"/>
        <v>0</v>
      </c>
      <c r="EHX249" s="5">
        <f t="shared" si="56"/>
        <v>0</v>
      </c>
      <c r="EHY249" s="5">
        <f t="shared" si="56"/>
        <v>0</v>
      </c>
      <c r="EHZ249" s="5">
        <f t="shared" si="56"/>
        <v>0</v>
      </c>
      <c r="EIA249" s="5">
        <f t="shared" si="56"/>
        <v>0</v>
      </c>
      <c r="EIB249" s="5">
        <f t="shared" si="56"/>
        <v>0</v>
      </c>
      <c r="EIC249" s="5">
        <f t="shared" si="56"/>
        <v>0</v>
      </c>
      <c r="EID249" s="5">
        <f t="shared" si="56"/>
        <v>0</v>
      </c>
      <c r="EIE249" s="5">
        <f t="shared" si="56"/>
        <v>0</v>
      </c>
      <c r="EIF249" s="5">
        <f t="shared" si="56"/>
        <v>0</v>
      </c>
      <c r="EIG249" s="5">
        <f t="shared" si="56"/>
        <v>0</v>
      </c>
      <c r="EIH249" s="5">
        <f t="shared" si="56"/>
        <v>0</v>
      </c>
      <c r="EII249" s="5">
        <f t="shared" si="56"/>
        <v>0</v>
      </c>
      <c r="EIJ249" s="5">
        <f t="shared" si="56"/>
        <v>0</v>
      </c>
      <c r="EIK249" s="5">
        <f t="shared" si="56"/>
        <v>0</v>
      </c>
      <c r="EIL249" s="5">
        <f t="shared" si="56"/>
        <v>0</v>
      </c>
      <c r="EIM249" s="5">
        <f t="shared" si="56"/>
        <v>0</v>
      </c>
      <c r="EIN249" s="5">
        <f t="shared" si="56"/>
        <v>0</v>
      </c>
      <c r="EIO249" s="5">
        <f t="shared" si="56"/>
        <v>0</v>
      </c>
      <c r="EIP249" s="5">
        <f t="shared" si="56"/>
        <v>0</v>
      </c>
      <c r="EIQ249" s="5">
        <f t="shared" si="56"/>
        <v>0</v>
      </c>
      <c r="EIR249" s="5">
        <f t="shared" si="56"/>
        <v>0</v>
      </c>
      <c r="EIS249" s="5">
        <f t="shared" si="56"/>
        <v>0</v>
      </c>
      <c r="EIT249" s="5">
        <f t="shared" si="56"/>
        <v>0</v>
      </c>
      <c r="EIU249" s="5">
        <f t="shared" si="56"/>
        <v>0</v>
      </c>
      <c r="EIV249" s="5">
        <f t="shared" si="56"/>
        <v>0</v>
      </c>
      <c r="EIW249" s="5">
        <f t="shared" si="56"/>
        <v>0</v>
      </c>
      <c r="EIX249" s="5">
        <f t="shared" si="56"/>
        <v>0</v>
      </c>
      <c r="EIY249" s="5">
        <f t="shared" si="56"/>
        <v>0</v>
      </c>
      <c r="EIZ249" s="5">
        <f t="shared" si="56"/>
        <v>0</v>
      </c>
      <c r="EJA249" s="5">
        <f t="shared" si="56"/>
        <v>0</v>
      </c>
      <c r="EJB249" s="5">
        <f t="shared" si="56"/>
        <v>0</v>
      </c>
      <c r="EJC249" s="5">
        <f t="shared" si="56"/>
        <v>0</v>
      </c>
      <c r="EJD249" s="5">
        <f t="shared" si="56"/>
        <v>0</v>
      </c>
      <c r="EJE249" s="5">
        <f t="shared" si="56"/>
        <v>0</v>
      </c>
      <c r="EJF249" s="5">
        <f t="shared" si="56"/>
        <v>0</v>
      </c>
      <c r="EJG249" s="5">
        <f t="shared" si="56"/>
        <v>0</v>
      </c>
      <c r="EJH249" s="5">
        <f t="shared" si="56"/>
        <v>0</v>
      </c>
      <c r="EJI249" s="5">
        <f t="shared" si="56"/>
        <v>0</v>
      </c>
      <c r="EJJ249" s="5">
        <f t="shared" si="56"/>
        <v>0</v>
      </c>
      <c r="EJK249" s="5">
        <f t="shared" si="56"/>
        <v>0</v>
      </c>
      <c r="EJL249" s="5">
        <f t="shared" si="56"/>
        <v>0</v>
      </c>
      <c r="EJM249" s="5">
        <f t="shared" si="56"/>
        <v>0</v>
      </c>
      <c r="EJN249" s="5">
        <f t="shared" si="56"/>
        <v>0</v>
      </c>
      <c r="EJO249" s="5">
        <f t="shared" si="56"/>
        <v>0</v>
      </c>
      <c r="EJP249" s="5">
        <f t="shared" si="56"/>
        <v>0</v>
      </c>
      <c r="EJQ249" s="5">
        <f t="shared" si="56"/>
        <v>0</v>
      </c>
      <c r="EJR249" s="5">
        <f t="shared" si="56"/>
        <v>0</v>
      </c>
      <c r="EJS249" s="5">
        <f t="shared" si="56"/>
        <v>0</v>
      </c>
      <c r="EJT249" s="5">
        <f t="shared" si="56"/>
        <v>0</v>
      </c>
      <c r="EJU249" s="5">
        <f t="shared" si="56"/>
        <v>0</v>
      </c>
      <c r="EJV249" s="5">
        <f t="shared" si="56"/>
        <v>0</v>
      </c>
      <c r="EJW249" s="5">
        <f t="shared" si="56"/>
        <v>0</v>
      </c>
      <c r="EJX249" s="5">
        <f t="shared" si="56"/>
        <v>0</v>
      </c>
      <c r="EJY249" s="5">
        <f t="shared" si="56"/>
        <v>0</v>
      </c>
      <c r="EJZ249" s="5">
        <f t="shared" ref="EJZ249:EMK249" si="57">SUM(EJZ246:EJZ246)</f>
        <v>0</v>
      </c>
      <c r="EKA249" s="5">
        <f t="shared" si="57"/>
        <v>0</v>
      </c>
      <c r="EKB249" s="5">
        <f t="shared" si="57"/>
        <v>0</v>
      </c>
      <c r="EKC249" s="5">
        <f t="shared" si="57"/>
        <v>0</v>
      </c>
      <c r="EKD249" s="5">
        <f t="shared" si="57"/>
        <v>0</v>
      </c>
      <c r="EKE249" s="5">
        <f t="shared" si="57"/>
        <v>0</v>
      </c>
      <c r="EKF249" s="5">
        <f t="shared" si="57"/>
        <v>0</v>
      </c>
      <c r="EKG249" s="5">
        <f t="shared" si="57"/>
        <v>0</v>
      </c>
      <c r="EKH249" s="5">
        <f t="shared" si="57"/>
        <v>0</v>
      </c>
      <c r="EKI249" s="5">
        <f t="shared" si="57"/>
        <v>0</v>
      </c>
      <c r="EKJ249" s="5">
        <f t="shared" si="57"/>
        <v>0</v>
      </c>
      <c r="EKK249" s="5">
        <f t="shared" si="57"/>
        <v>0</v>
      </c>
      <c r="EKL249" s="5">
        <f t="shared" si="57"/>
        <v>0</v>
      </c>
      <c r="EKM249" s="5">
        <f t="shared" si="57"/>
        <v>0</v>
      </c>
      <c r="EKN249" s="5">
        <f t="shared" si="57"/>
        <v>0</v>
      </c>
      <c r="EKO249" s="5">
        <f t="shared" si="57"/>
        <v>0</v>
      </c>
      <c r="EKP249" s="5">
        <f t="shared" si="57"/>
        <v>0</v>
      </c>
      <c r="EKQ249" s="5">
        <f t="shared" si="57"/>
        <v>0</v>
      </c>
      <c r="EKR249" s="5">
        <f t="shared" si="57"/>
        <v>0</v>
      </c>
      <c r="EKS249" s="5">
        <f t="shared" si="57"/>
        <v>0</v>
      </c>
      <c r="EKT249" s="5">
        <f t="shared" si="57"/>
        <v>0</v>
      </c>
      <c r="EKU249" s="5">
        <f t="shared" si="57"/>
        <v>0</v>
      </c>
      <c r="EKV249" s="5">
        <f t="shared" si="57"/>
        <v>0</v>
      </c>
      <c r="EKW249" s="5">
        <f t="shared" si="57"/>
        <v>0</v>
      </c>
      <c r="EKX249" s="5">
        <f t="shared" si="57"/>
        <v>0</v>
      </c>
      <c r="EKY249" s="5">
        <f t="shared" si="57"/>
        <v>0</v>
      </c>
      <c r="EKZ249" s="5">
        <f t="shared" si="57"/>
        <v>0</v>
      </c>
      <c r="ELA249" s="5">
        <f t="shared" si="57"/>
        <v>0</v>
      </c>
      <c r="ELB249" s="5">
        <f t="shared" si="57"/>
        <v>0</v>
      </c>
      <c r="ELC249" s="5">
        <f t="shared" si="57"/>
        <v>0</v>
      </c>
      <c r="ELD249" s="5">
        <f t="shared" si="57"/>
        <v>0</v>
      </c>
      <c r="ELE249" s="5">
        <f t="shared" si="57"/>
        <v>0</v>
      </c>
      <c r="ELF249" s="5">
        <f t="shared" si="57"/>
        <v>0</v>
      </c>
      <c r="ELG249" s="5">
        <f t="shared" si="57"/>
        <v>0</v>
      </c>
      <c r="ELH249" s="5">
        <f t="shared" si="57"/>
        <v>0</v>
      </c>
      <c r="ELI249" s="5">
        <f t="shared" si="57"/>
        <v>0</v>
      </c>
      <c r="ELJ249" s="5">
        <f t="shared" si="57"/>
        <v>0</v>
      </c>
      <c r="ELK249" s="5">
        <f t="shared" si="57"/>
        <v>0</v>
      </c>
      <c r="ELL249" s="5">
        <f t="shared" si="57"/>
        <v>0</v>
      </c>
      <c r="ELM249" s="5">
        <f t="shared" si="57"/>
        <v>0</v>
      </c>
      <c r="ELN249" s="5">
        <f t="shared" si="57"/>
        <v>0</v>
      </c>
      <c r="ELO249" s="5">
        <f t="shared" si="57"/>
        <v>0</v>
      </c>
      <c r="ELP249" s="5">
        <f t="shared" si="57"/>
        <v>0</v>
      </c>
      <c r="ELQ249" s="5">
        <f t="shared" si="57"/>
        <v>0</v>
      </c>
      <c r="ELR249" s="5">
        <f t="shared" si="57"/>
        <v>0</v>
      </c>
      <c r="ELS249" s="5">
        <f t="shared" si="57"/>
        <v>0</v>
      </c>
      <c r="ELT249" s="5">
        <f t="shared" si="57"/>
        <v>0</v>
      </c>
      <c r="ELU249" s="5">
        <f t="shared" si="57"/>
        <v>0</v>
      </c>
      <c r="ELV249" s="5">
        <f t="shared" si="57"/>
        <v>0</v>
      </c>
      <c r="ELW249" s="5">
        <f t="shared" si="57"/>
        <v>0</v>
      </c>
      <c r="ELX249" s="5">
        <f t="shared" si="57"/>
        <v>0</v>
      </c>
      <c r="ELY249" s="5">
        <f t="shared" si="57"/>
        <v>0</v>
      </c>
      <c r="ELZ249" s="5">
        <f t="shared" si="57"/>
        <v>0</v>
      </c>
      <c r="EMA249" s="5">
        <f t="shared" si="57"/>
        <v>0</v>
      </c>
      <c r="EMB249" s="5">
        <f t="shared" si="57"/>
        <v>0</v>
      </c>
      <c r="EMC249" s="5">
        <f t="shared" si="57"/>
        <v>0</v>
      </c>
      <c r="EMD249" s="5">
        <f t="shared" si="57"/>
        <v>0</v>
      </c>
      <c r="EME249" s="5">
        <f t="shared" si="57"/>
        <v>0</v>
      </c>
      <c r="EMF249" s="5">
        <f t="shared" si="57"/>
        <v>0</v>
      </c>
      <c r="EMG249" s="5">
        <f t="shared" si="57"/>
        <v>0</v>
      </c>
      <c r="EMH249" s="5">
        <f t="shared" si="57"/>
        <v>0</v>
      </c>
      <c r="EMI249" s="5">
        <f t="shared" si="57"/>
        <v>0</v>
      </c>
      <c r="EMJ249" s="5">
        <f t="shared" si="57"/>
        <v>0</v>
      </c>
      <c r="EMK249" s="5">
        <f t="shared" si="57"/>
        <v>0</v>
      </c>
      <c r="EML249" s="5">
        <f t="shared" ref="EML249:EOW249" si="58">SUM(EML246:EML246)</f>
        <v>0</v>
      </c>
      <c r="EMM249" s="5">
        <f t="shared" si="58"/>
        <v>0</v>
      </c>
      <c r="EMN249" s="5">
        <f t="shared" si="58"/>
        <v>0</v>
      </c>
      <c r="EMO249" s="5">
        <f t="shared" si="58"/>
        <v>0</v>
      </c>
      <c r="EMP249" s="5">
        <f t="shared" si="58"/>
        <v>0</v>
      </c>
      <c r="EMQ249" s="5">
        <f t="shared" si="58"/>
        <v>0</v>
      </c>
      <c r="EMR249" s="5">
        <f t="shared" si="58"/>
        <v>0</v>
      </c>
      <c r="EMS249" s="5">
        <f t="shared" si="58"/>
        <v>0</v>
      </c>
      <c r="EMT249" s="5">
        <f t="shared" si="58"/>
        <v>0</v>
      </c>
      <c r="EMU249" s="5">
        <f t="shared" si="58"/>
        <v>0</v>
      </c>
      <c r="EMV249" s="5">
        <f t="shared" si="58"/>
        <v>0</v>
      </c>
      <c r="EMW249" s="5">
        <f t="shared" si="58"/>
        <v>0</v>
      </c>
      <c r="EMX249" s="5">
        <f t="shared" si="58"/>
        <v>0</v>
      </c>
      <c r="EMY249" s="5">
        <f t="shared" si="58"/>
        <v>0</v>
      </c>
      <c r="EMZ249" s="5">
        <f t="shared" si="58"/>
        <v>0</v>
      </c>
      <c r="ENA249" s="5">
        <f t="shared" si="58"/>
        <v>0</v>
      </c>
      <c r="ENB249" s="5">
        <f t="shared" si="58"/>
        <v>0</v>
      </c>
      <c r="ENC249" s="5">
        <f t="shared" si="58"/>
        <v>0</v>
      </c>
      <c r="END249" s="5">
        <f t="shared" si="58"/>
        <v>0</v>
      </c>
      <c r="ENE249" s="5">
        <f t="shared" si="58"/>
        <v>0</v>
      </c>
      <c r="ENF249" s="5">
        <f t="shared" si="58"/>
        <v>0</v>
      </c>
      <c r="ENG249" s="5">
        <f t="shared" si="58"/>
        <v>0</v>
      </c>
      <c r="ENH249" s="5">
        <f t="shared" si="58"/>
        <v>0</v>
      </c>
      <c r="ENI249" s="5">
        <f t="shared" si="58"/>
        <v>0</v>
      </c>
      <c r="ENJ249" s="5">
        <f t="shared" si="58"/>
        <v>0</v>
      </c>
      <c r="ENK249" s="5">
        <f t="shared" si="58"/>
        <v>0</v>
      </c>
      <c r="ENL249" s="5">
        <f t="shared" si="58"/>
        <v>0</v>
      </c>
      <c r="ENM249" s="5">
        <f t="shared" si="58"/>
        <v>0</v>
      </c>
      <c r="ENN249" s="5">
        <f t="shared" si="58"/>
        <v>0</v>
      </c>
      <c r="ENO249" s="5">
        <f t="shared" si="58"/>
        <v>0</v>
      </c>
      <c r="ENP249" s="5">
        <f t="shared" si="58"/>
        <v>0</v>
      </c>
      <c r="ENQ249" s="5">
        <f t="shared" si="58"/>
        <v>0</v>
      </c>
      <c r="ENR249" s="5">
        <f t="shared" si="58"/>
        <v>0</v>
      </c>
      <c r="ENS249" s="5">
        <f t="shared" si="58"/>
        <v>0</v>
      </c>
      <c r="ENT249" s="5">
        <f t="shared" si="58"/>
        <v>0</v>
      </c>
      <c r="ENU249" s="5">
        <f t="shared" si="58"/>
        <v>0</v>
      </c>
      <c r="ENV249" s="5">
        <f t="shared" si="58"/>
        <v>0</v>
      </c>
      <c r="ENW249" s="5">
        <f t="shared" si="58"/>
        <v>0</v>
      </c>
      <c r="ENX249" s="5">
        <f t="shared" si="58"/>
        <v>0</v>
      </c>
      <c r="ENY249" s="5">
        <f t="shared" si="58"/>
        <v>0</v>
      </c>
      <c r="ENZ249" s="5">
        <f t="shared" si="58"/>
        <v>0</v>
      </c>
      <c r="EOA249" s="5">
        <f t="shared" si="58"/>
        <v>0</v>
      </c>
      <c r="EOB249" s="5">
        <f t="shared" si="58"/>
        <v>0</v>
      </c>
      <c r="EOC249" s="5">
        <f t="shared" si="58"/>
        <v>0</v>
      </c>
      <c r="EOD249" s="5">
        <f t="shared" si="58"/>
        <v>0</v>
      </c>
      <c r="EOE249" s="5">
        <f t="shared" si="58"/>
        <v>0</v>
      </c>
      <c r="EOF249" s="5">
        <f t="shared" si="58"/>
        <v>0</v>
      </c>
      <c r="EOG249" s="5">
        <f t="shared" si="58"/>
        <v>0</v>
      </c>
      <c r="EOH249" s="5">
        <f t="shared" si="58"/>
        <v>0</v>
      </c>
      <c r="EOI249" s="5">
        <f t="shared" si="58"/>
        <v>0</v>
      </c>
      <c r="EOJ249" s="5">
        <f t="shared" si="58"/>
        <v>0</v>
      </c>
      <c r="EOK249" s="5">
        <f t="shared" si="58"/>
        <v>0</v>
      </c>
      <c r="EOL249" s="5">
        <f t="shared" si="58"/>
        <v>0</v>
      </c>
      <c r="EOM249" s="5">
        <f t="shared" si="58"/>
        <v>0</v>
      </c>
      <c r="EON249" s="5">
        <f t="shared" si="58"/>
        <v>0</v>
      </c>
      <c r="EOO249" s="5">
        <f t="shared" si="58"/>
        <v>0</v>
      </c>
      <c r="EOP249" s="5">
        <f t="shared" si="58"/>
        <v>0</v>
      </c>
      <c r="EOQ249" s="5">
        <f t="shared" si="58"/>
        <v>0</v>
      </c>
      <c r="EOR249" s="5">
        <f t="shared" si="58"/>
        <v>0</v>
      </c>
      <c r="EOS249" s="5">
        <f t="shared" si="58"/>
        <v>0</v>
      </c>
      <c r="EOT249" s="5">
        <f t="shared" si="58"/>
        <v>0</v>
      </c>
      <c r="EOU249" s="5">
        <f t="shared" si="58"/>
        <v>0</v>
      </c>
      <c r="EOV249" s="5">
        <f t="shared" si="58"/>
        <v>0</v>
      </c>
      <c r="EOW249" s="5">
        <f t="shared" si="58"/>
        <v>0</v>
      </c>
      <c r="EOX249" s="5">
        <f t="shared" ref="EOX249:ERI249" si="59">SUM(EOX246:EOX246)</f>
        <v>0</v>
      </c>
      <c r="EOY249" s="5">
        <f t="shared" si="59"/>
        <v>0</v>
      </c>
      <c r="EOZ249" s="5">
        <f t="shared" si="59"/>
        <v>0</v>
      </c>
      <c r="EPA249" s="5">
        <f t="shared" si="59"/>
        <v>0</v>
      </c>
      <c r="EPB249" s="5">
        <f t="shared" si="59"/>
        <v>0</v>
      </c>
      <c r="EPC249" s="5">
        <f t="shared" si="59"/>
        <v>0</v>
      </c>
      <c r="EPD249" s="5">
        <f t="shared" si="59"/>
        <v>0</v>
      </c>
      <c r="EPE249" s="5">
        <f t="shared" si="59"/>
        <v>0</v>
      </c>
      <c r="EPF249" s="5">
        <f t="shared" si="59"/>
        <v>0</v>
      </c>
      <c r="EPG249" s="5">
        <f t="shared" si="59"/>
        <v>0</v>
      </c>
      <c r="EPH249" s="5">
        <f t="shared" si="59"/>
        <v>0</v>
      </c>
      <c r="EPI249" s="5">
        <f t="shared" si="59"/>
        <v>0</v>
      </c>
      <c r="EPJ249" s="5">
        <f t="shared" si="59"/>
        <v>0</v>
      </c>
      <c r="EPK249" s="5">
        <f t="shared" si="59"/>
        <v>0</v>
      </c>
      <c r="EPL249" s="5">
        <f t="shared" si="59"/>
        <v>0</v>
      </c>
      <c r="EPM249" s="5">
        <f t="shared" si="59"/>
        <v>0</v>
      </c>
      <c r="EPN249" s="5">
        <f t="shared" si="59"/>
        <v>0</v>
      </c>
      <c r="EPO249" s="5">
        <f t="shared" si="59"/>
        <v>0</v>
      </c>
      <c r="EPP249" s="5">
        <f t="shared" si="59"/>
        <v>0</v>
      </c>
      <c r="EPQ249" s="5">
        <f t="shared" si="59"/>
        <v>0</v>
      </c>
      <c r="EPR249" s="5">
        <f t="shared" si="59"/>
        <v>0</v>
      </c>
      <c r="EPS249" s="5">
        <f t="shared" si="59"/>
        <v>0</v>
      </c>
      <c r="EPT249" s="5">
        <f t="shared" si="59"/>
        <v>0</v>
      </c>
      <c r="EPU249" s="5">
        <f t="shared" si="59"/>
        <v>0</v>
      </c>
      <c r="EPV249" s="5">
        <f t="shared" si="59"/>
        <v>0</v>
      </c>
      <c r="EPW249" s="5">
        <f t="shared" si="59"/>
        <v>0</v>
      </c>
      <c r="EPX249" s="5">
        <f t="shared" si="59"/>
        <v>0</v>
      </c>
      <c r="EPY249" s="5">
        <f t="shared" si="59"/>
        <v>0</v>
      </c>
      <c r="EPZ249" s="5">
        <f t="shared" si="59"/>
        <v>0</v>
      </c>
      <c r="EQA249" s="5">
        <f t="shared" si="59"/>
        <v>0</v>
      </c>
      <c r="EQB249" s="5">
        <f t="shared" si="59"/>
        <v>0</v>
      </c>
      <c r="EQC249" s="5">
        <f t="shared" si="59"/>
        <v>0</v>
      </c>
      <c r="EQD249" s="5">
        <f t="shared" si="59"/>
        <v>0</v>
      </c>
      <c r="EQE249" s="5">
        <f t="shared" si="59"/>
        <v>0</v>
      </c>
      <c r="EQF249" s="5">
        <f t="shared" si="59"/>
        <v>0</v>
      </c>
      <c r="EQG249" s="5">
        <f t="shared" si="59"/>
        <v>0</v>
      </c>
      <c r="EQH249" s="5">
        <f t="shared" si="59"/>
        <v>0</v>
      </c>
      <c r="EQI249" s="5">
        <f t="shared" si="59"/>
        <v>0</v>
      </c>
      <c r="EQJ249" s="5">
        <f t="shared" si="59"/>
        <v>0</v>
      </c>
      <c r="EQK249" s="5">
        <f t="shared" si="59"/>
        <v>0</v>
      </c>
      <c r="EQL249" s="5">
        <f t="shared" si="59"/>
        <v>0</v>
      </c>
      <c r="EQM249" s="5">
        <f t="shared" si="59"/>
        <v>0</v>
      </c>
      <c r="EQN249" s="5">
        <f t="shared" si="59"/>
        <v>0</v>
      </c>
      <c r="EQO249" s="5">
        <f t="shared" si="59"/>
        <v>0</v>
      </c>
      <c r="EQP249" s="5">
        <f t="shared" si="59"/>
        <v>0</v>
      </c>
      <c r="EQQ249" s="5">
        <f t="shared" si="59"/>
        <v>0</v>
      </c>
      <c r="EQR249" s="5">
        <f t="shared" si="59"/>
        <v>0</v>
      </c>
      <c r="EQS249" s="5">
        <f t="shared" si="59"/>
        <v>0</v>
      </c>
      <c r="EQT249" s="5">
        <f t="shared" si="59"/>
        <v>0</v>
      </c>
      <c r="EQU249" s="5">
        <f t="shared" si="59"/>
        <v>0</v>
      </c>
      <c r="EQV249" s="5">
        <f t="shared" si="59"/>
        <v>0</v>
      </c>
      <c r="EQW249" s="5">
        <f t="shared" si="59"/>
        <v>0</v>
      </c>
      <c r="EQX249" s="5">
        <f t="shared" si="59"/>
        <v>0</v>
      </c>
      <c r="EQY249" s="5">
        <f t="shared" si="59"/>
        <v>0</v>
      </c>
      <c r="EQZ249" s="5">
        <f t="shared" si="59"/>
        <v>0</v>
      </c>
      <c r="ERA249" s="5">
        <f t="shared" si="59"/>
        <v>0</v>
      </c>
      <c r="ERB249" s="5">
        <f t="shared" si="59"/>
        <v>0</v>
      </c>
      <c r="ERC249" s="5">
        <f t="shared" si="59"/>
        <v>0</v>
      </c>
      <c r="ERD249" s="5">
        <f t="shared" si="59"/>
        <v>0</v>
      </c>
      <c r="ERE249" s="5">
        <f t="shared" si="59"/>
        <v>0</v>
      </c>
      <c r="ERF249" s="5">
        <f t="shared" si="59"/>
        <v>0</v>
      </c>
      <c r="ERG249" s="5">
        <f t="shared" si="59"/>
        <v>0</v>
      </c>
      <c r="ERH249" s="5">
        <f t="shared" si="59"/>
        <v>0</v>
      </c>
      <c r="ERI249" s="5">
        <f t="shared" si="59"/>
        <v>0</v>
      </c>
      <c r="ERJ249" s="5">
        <f t="shared" ref="ERJ249:ETU249" si="60">SUM(ERJ246:ERJ246)</f>
        <v>0</v>
      </c>
      <c r="ERK249" s="5">
        <f t="shared" si="60"/>
        <v>0</v>
      </c>
      <c r="ERL249" s="5">
        <f t="shared" si="60"/>
        <v>0</v>
      </c>
      <c r="ERM249" s="5">
        <f t="shared" si="60"/>
        <v>0</v>
      </c>
      <c r="ERN249" s="5">
        <f t="shared" si="60"/>
        <v>0</v>
      </c>
      <c r="ERO249" s="5">
        <f t="shared" si="60"/>
        <v>0</v>
      </c>
      <c r="ERP249" s="5">
        <f t="shared" si="60"/>
        <v>0</v>
      </c>
      <c r="ERQ249" s="5">
        <f t="shared" si="60"/>
        <v>0</v>
      </c>
      <c r="ERR249" s="5">
        <f t="shared" si="60"/>
        <v>0</v>
      </c>
      <c r="ERS249" s="5">
        <f t="shared" si="60"/>
        <v>0</v>
      </c>
      <c r="ERT249" s="5">
        <f t="shared" si="60"/>
        <v>0</v>
      </c>
      <c r="ERU249" s="5">
        <f t="shared" si="60"/>
        <v>0</v>
      </c>
      <c r="ERV249" s="5">
        <f t="shared" si="60"/>
        <v>0</v>
      </c>
      <c r="ERW249" s="5">
        <f t="shared" si="60"/>
        <v>0</v>
      </c>
      <c r="ERX249" s="5">
        <f t="shared" si="60"/>
        <v>0</v>
      </c>
      <c r="ERY249" s="5">
        <f t="shared" si="60"/>
        <v>0</v>
      </c>
      <c r="ERZ249" s="5">
        <f t="shared" si="60"/>
        <v>0</v>
      </c>
      <c r="ESA249" s="5">
        <f t="shared" si="60"/>
        <v>0</v>
      </c>
      <c r="ESB249" s="5">
        <f t="shared" si="60"/>
        <v>0</v>
      </c>
      <c r="ESC249" s="5">
        <f t="shared" si="60"/>
        <v>0</v>
      </c>
      <c r="ESD249" s="5">
        <f t="shared" si="60"/>
        <v>0</v>
      </c>
      <c r="ESE249" s="5">
        <f t="shared" si="60"/>
        <v>0</v>
      </c>
      <c r="ESF249" s="5">
        <f t="shared" si="60"/>
        <v>0</v>
      </c>
      <c r="ESG249" s="5">
        <f t="shared" si="60"/>
        <v>0</v>
      </c>
      <c r="ESH249" s="5">
        <f t="shared" si="60"/>
        <v>0</v>
      </c>
      <c r="ESI249" s="5">
        <f t="shared" si="60"/>
        <v>0</v>
      </c>
      <c r="ESJ249" s="5">
        <f t="shared" si="60"/>
        <v>0</v>
      </c>
      <c r="ESK249" s="5">
        <f t="shared" si="60"/>
        <v>0</v>
      </c>
      <c r="ESL249" s="5">
        <f t="shared" si="60"/>
        <v>0</v>
      </c>
      <c r="ESM249" s="5">
        <f t="shared" si="60"/>
        <v>0</v>
      </c>
      <c r="ESN249" s="5">
        <f t="shared" si="60"/>
        <v>0</v>
      </c>
      <c r="ESO249" s="5">
        <f t="shared" si="60"/>
        <v>0</v>
      </c>
      <c r="ESP249" s="5">
        <f t="shared" si="60"/>
        <v>0</v>
      </c>
      <c r="ESQ249" s="5">
        <f t="shared" si="60"/>
        <v>0</v>
      </c>
      <c r="ESR249" s="5">
        <f t="shared" si="60"/>
        <v>0</v>
      </c>
      <c r="ESS249" s="5">
        <f t="shared" si="60"/>
        <v>0</v>
      </c>
      <c r="EST249" s="5">
        <f t="shared" si="60"/>
        <v>0</v>
      </c>
      <c r="ESU249" s="5">
        <f t="shared" si="60"/>
        <v>0</v>
      </c>
      <c r="ESV249" s="5">
        <f t="shared" si="60"/>
        <v>0</v>
      </c>
      <c r="ESW249" s="5">
        <f t="shared" si="60"/>
        <v>0</v>
      </c>
      <c r="ESX249" s="5">
        <f t="shared" si="60"/>
        <v>0</v>
      </c>
      <c r="ESY249" s="5">
        <f t="shared" si="60"/>
        <v>0</v>
      </c>
      <c r="ESZ249" s="5">
        <f t="shared" si="60"/>
        <v>0</v>
      </c>
      <c r="ETA249" s="5">
        <f t="shared" si="60"/>
        <v>0</v>
      </c>
      <c r="ETB249" s="5">
        <f t="shared" si="60"/>
        <v>0</v>
      </c>
      <c r="ETC249" s="5">
        <f t="shared" si="60"/>
        <v>0</v>
      </c>
      <c r="ETD249" s="5">
        <f t="shared" si="60"/>
        <v>0</v>
      </c>
      <c r="ETE249" s="5">
        <f t="shared" si="60"/>
        <v>0</v>
      </c>
      <c r="ETF249" s="5">
        <f t="shared" si="60"/>
        <v>0</v>
      </c>
      <c r="ETG249" s="5">
        <f t="shared" si="60"/>
        <v>0</v>
      </c>
      <c r="ETH249" s="5">
        <f t="shared" si="60"/>
        <v>0</v>
      </c>
      <c r="ETI249" s="5">
        <f t="shared" si="60"/>
        <v>0</v>
      </c>
      <c r="ETJ249" s="5">
        <f t="shared" si="60"/>
        <v>0</v>
      </c>
      <c r="ETK249" s="5">
        <f t="shared" si="60"/>
        <v>0</v>
      </c>
      <c r="ETL249" s="5">
        <f t="shared" si="60"/>
        <v>0</v>
      </c>
      <c r="ETM249" s="5">
        <f t="shared" si="60"/>
        <v>0</v>
      </c>
      <c r="ETN249" s="5">
        <f t="shared" si="60"/>
        <v>0</v>
      </c>
      <c r="ETO249" s="5">
        <f t="shared" si="60"/>
        <v>0</v>
      </c>
      <c r="ETP249" s="5">
        <f t="shared" si="60"/>
        <v>0</v>
      </c>
      <c r="ETQ249" s="5">
        <f t="shared" si="60"/>
        <v>0</v>
      </c>
      <c r="ETR249" s="5">
        <f t="shared" si="60"/>
        <v>0</v>
      </c>
      <c r="ETS249" s="5">
        <f t="shared" si="60"/>
        <v>0</v>
      </c>
      <c r="ETT249" s="5">
        <f t="shared" si="60"/>
        <v>0</v>
      </c>
      <c r="ETU249" s="5">
        <f t="shared" si="60"/>
        <v>0</v>
      </c>
      <c r="ETV249" s="5">
        <f t="shared" ref="ETV249:EWG249" si="61">SUM(ETV246:ETV246)</f>
        <v>0</v>
      </c>
      <c r="ETW249" s="5">
        <f t="shared" si="61"/>
        <v>0</v>
      </c>
      <c r="ETX249" s="5">
        <f t="shared" si="61"/>
        <v>0</v>
      </c>
      <c r="ETY249" s="5">
        <f t="shared" si="61"/>
        <v>0</v>
      </c>
      <c r="ETZ249" s="5">
        <f t="shared" si="61"/>
        <v>0</v>
      </c>
      <c r="EUA249" s="5">
        <f t="shared" si="61"/>
        <v>0</v>
      </c>
      <c r="EUB249" s="5">
        <f t="shared" si="61"/>
        <v>0</v>
      </c>
      <c r="EUC249" s="5">
        <f t="shared" si="61"/>
        <v>0</v>
      </c>
      <c r="EUD249" s="5">
        <f t="shared" si="61"/>
        <v>0</v>
      </c>
      <c r="EUE249" s="5">
        <f t="shared" si="61"/>
        <v>0</v>
      </c>
      <c r="EUF249" s="5">
        <f t="shared" si="61"/>
        <v>0</v>
      </c>
      <c r="EUG249" s="5">
        <f t="shared" si="61"/>
        <v>0</v>
      </c>
      <c r="EUH249" s="5">
        <f t="shared" si="61"/>
        <v>0</v>
      </c>
      <c r="EUI249" s="5">
        <f t="shared" si="61"/>
        <v>0</v>
      </c>
      <c r="EUJ249" s="5">
        <f t="shared" si="61"/>
        <v>0</v>
      </c>
      <c r="EUK249" s="5">
        <f t="shared" si="61"/>
        <v>0</v>
      </c>
      <c r="EUL249" s="5">
        <f t="shared" si="61"/>
        <v>0</v>
      </c>
      <c r="EUM249" s="5">
        <f t="shared" si="61"/>
        <v>0</v>
      </c>
      <c r="EUN249" s="5">
        <f t="shared" si="61"/>
        <v>0</v>
      </c>
      <c r="EUO249" s="5">
        <f t="shared" si="61"/>
        <v>0</v>
      </c>
      <c r="EUP249" s="5">
        <f t="shared" si="61"/>
        <v>0</v>
      </c>
      <c r="EUQ249" s="5">
        <f t="shared" si="61"/>
        <v>0</v>
      </c>
      <c r="EUR249" s="5">
        <f t="shared" si="61"/>
        <v>0</v>
      </c>
      <c r="EUS249" s="5">
        <f t="shared" si="61"/>
        <v>0</v>
      </c>
      <c r="EUT249" s="5">
        <f t="shared" si="61"/>
        <v>0</v>
      </c>
      <c r="EUU249" s="5">
        <f t="shared" si="61"/>
        <v>0</v>
      </c>
      <c r="EUV249" s="5">
        <f t="shared" si="61"/>
        <v>0</v>
      </c>
      <c r="EUW249" s="5">
        <f t="shared" si="61"/>
        <v>0</v>
      </c>
      <c r="EUX249" s="5">
        <f t="shared" si="61"/>
        <v>0</v>
      </c>
      <c r="EUY249" s="5">
        <f t="shared" si="61"/>
        <v>0</v>
      </c>
      <c r="EUZ249" s="5">
        <f t="shared" si="61"/>
        <v>0</v>
      </c>
      <c r="EVA249" s="5">
        <f t="shared" si="61"/>
        <v>0</v>
      </c>
      <c r="EVB249" s="5">
        <f t="shared" si="61"/>
        <v>0</v>
      </c>
      <c r="EVC249" s="5">
        <f t="shared" si="61"/>
        <v>0</v>
      </c>
      <c r="EVD249" s="5">
        <f t="shared" si="61"/>
        <v>0</v>
      </c>
      <c r="EVE249" s="5">
        <f t="shared" si="61"/>
        <v>0</v>
      </c>
      <c r="EVF249" s="5">
        <f t="shared" si="61"/>
        <v>0</v>
      </c>
      <c r="EVG249" s="5">
        <f t="shared" si="61"/>
        <v>0</v>
      </c>
      <c r="EVH249" s="5">
        <f t="shared" si="61"/>
        <v>0</v>
      </c>
      <c r="EVI249" s="5">
        <f t="shared" si="61"/>
        <v>0</v>
      </c>
      <c r="EVJ249" s="5">
        <f t="shared" si="61"/>
        <v>0</v>
      </c>
      <c r="EVK249" s="5">
        <f t="shared" si="61"/>
        <v>0</v>
      </c>
      <c r="EVL249" s="5">
        <f t="shared" si="61"/>
        <v>0</v>
      </c>
      <c r="EVM249" s="5">
        <f t="shared" si="61"/>
        <v>0</v>
      </c>
      <c r="EVN249" s="5">
        <f t="shared" si="61"/>
        <v>0</v>
      </c>
      <c r="EVO249" s="5">
        <f t="shared" si="61"/>
        <v>0</v>
      </c>
      <c r="EVP249" s="5">
        <f t="shared" si="61"/>
        <v>0</v>
      </c>
      <c r="EVQ249" s="5">
        <f t="shared" si="61"/>
        <v>0</v>
      </c>
      <c r="EVR249" s="5">
        <f t="shared" si="61"/>
        <v>0</v>
      </c>
      <c r="EVS249" s="5">
        <f t="shared" si="61"/>
        <v>0</v>
      </c>
      <c r="EVT249" s="5">
        <f t="shared" si="61"/>
        <v>0</v>
      </c>
      <c r="EVU249" s="5">
        <f t="shared" si="61"/>
        <v>0</v>
      </c>
      <c r="EVV249" s="5">
        <f t="shared" si="61"/>
        <v>0</v>
      </c>
      <c r="EVW249" s="5">
        <f t="shared" si="61"/>
        <v>0</v>
      </c>
      <c r="EVX249" s="5">
        <f t="shared" si="61"/>
        <v>0</v>
      </c>
      <c r="EVY249" s="5">
        <f t="shared" si="61"/>
        <v>0</v>
      </c>
      <c r="EVZ249" s="5">
        <f t="shared" si="61"/>
        <v>0</v>
      </c>
      <c r="EWA249" s="5">
        <f t="shared" si="61"/>
        <v>0</v>
      </c>
      <c r="EWB249" s="5">
        <f t="shared" si="61"/>
        <v>0</v>
      </c>
      <c r="EWC249" s="5">
        <f t="shared" si="61"/>
        <v>0</v>
      </c>
      <c r="EWD249" s="5">
        <f t="shared" si="61"/>
        <v>0</v>
      </c>
      <c r="EWE249" s="5">
        <f t="shared" si="61"/>
        <v>0</v>
      </c>
      <c r="EWF249" s="5">
        <f t="shared" si="61"/>
        <v>0</v>
      </c>
      <c r="EWG249" s="5">
        <f t="shared" si="61"/>
        <v>0</v>
      </c>
      <c r="EWH249" s="5">
        <f t="shared" ref="EWH249:EYS249" si="62">SUM(EWH246:EWH246)</f>
        <v>0</v>
      </c>
      <c r="EWI249" s="5">
        <f t="shared" si="62"/>
        <v>0</v>
      </c>
      <c r="EWJ249" s="5">
        <f t="shared" si="62"/>
        <v>0</v>
      </c>
      <c r="EWK249" s="5">
        <f t="shared" si="62"/>
        <v>0</v>
      </c>
      <c r="EWL249" s="5">
        <f t="shared" si="62"/>
        <v>0</v>
      </c>
      <c r="EWM249" s="5">
        <f t="shared" si="62"/>
        <v>0</v>
      </c>
      <c r="EWN249" s="5">
        <f t="shared" si="62"/>
        <v>0</v>
      </c>
      <c r="EWO249" s="5">
        <f t="shared" si="62"/>
        <v>0</v>
      </c>
      <c r="EWP249" s="5">
        <f t="shared" si="62"/>
        <v>0</v>
      </c>
      <c r="EWQ249" s="5">
        <f t="shared" si="62"/>
        <v>0</v>
      </c>
      <c r="EWR249" s="5">
        <f t="shared" si="62"/>
        <v>0</v>
      </c>
      <c r="EWS249" s="5">
        <f t="shared" si="62"/>
        <v>0</v>
      </c>
      <c r="EWT249" s="5">
        <f t="shared" si="62"/>
        <v>0</v>
      </c>
      <c r="EWU249" s="5">
        <f t="shared" si="62"/>
        <v>0</v>
      </c>
      <c r="EWV249" s="5">
        <f t="shared" si="62"/>
        <v>0</v>
      </c>
      <c r="EWW249" s="5">
        <f t="shared" si="62"/>
        <v>0</v>
      </c>
      <c r="EWX249" s="5">
        <f t="shared" si="62"/>
        <v>0</v>
      </c>
      <c r="EWY249" s="5">
        <f t="shared" si="62"/>
        <v>0</v>
      </c>
      <c r="EWZ249" s="5">
        <f t="shared" si="62"/>
        <v>0</v>
      </c>
      <c r="EXA249" s="5">
        <f t="shared" si="62"/>
        <v>0</v>
      </c>
      <c r="EXB249" s="5">
        <f t="shared" si="62"/>
        <v>0</v>
      </c>
      <c r="EXC249" s="5">
        <f t="shared" si="62"/>
        <v>0</v>
      </c>
      <c r="EXD249" s="5">
        <f t="shared" si="62"/>
        <v>0</v>
      </c>
      <c r="EXE249" s="5">
        <f t="shared" si="62"/>
        <v>0</v>
      </c>
      <c r="EXF249" s="5">
        <f t="shared" si="62"/>
        <v>0</v>
      </c>
      <c r="EXG249" s="5">
        <f t="shared" si="62"/>
        <v>0</v>
      </c>
      <c r="EXH249" s="5">
        <f t="shared" si="62"/>
        <v>0</v>
      </c>
      <c r="EXI249" s="5">
        <f t="shared" si="62"/>
        <v>0</v>
      </c>
      <c r="EXJ249" s="5">
        <f t="shared" si="62"/>
        <v>0</v>
      </c>
      <c r="EXK249" s="5">
        <f t="shared" si="62"/>
        <v>0</v>
      </c>
      <c r="EXL249" s="5">
        <f t="shared" si="62"/>
        <v>0</v>
      </c>
      <c r="EXM249" s="5">
        <f t="shared" si="62"/>
        <v>0</v>
      </c>
      <c r="EXN249" s="5">
        <f t="shared" si="62"/>
        <v>0</v>
      </c>
      <c r="EXO249" s="5">
        <f t="shared" si="62"/>
        <v>0</v>
      </c>
      <c r="EXP249" s="5">
        <f t="shared" si="62"/>
        <v>0</v>
      </c>
      <c r="EXQ249" s="5">
        <f t="shared" si="62"/>
        <v>0</v>
      </c>
      <c r="EXR249" s="5">
        <f t="shared" si="62"/>
        <v>0</v>
      </c>
      <c r="EXS249" s="5">
        <f t="shared" si="62"/>
        <v>0</v>
      </c>
      <c r="EXT249" s="5">
        <f t="shared" si="62"/>
        <v>0</v>
      </c>
      <c r="EXU249" s="5">
        <f t="shared" si="62"/>
        <v>0</v>
      </c>
      <c r="EXV249" s="5">
        <f t="shared" si="62"/>
        <v>0</v>
      </c>
      <c r="EXW249" s="5">
        <f t="shared" si="62"/>
        <v>0</v>
      </c>
      <c r="EXX249" s="5">
        <f t="shared" si="62"/>
        <v>0</v>
      </c>
      <c r="EXY249" s="5">
        <f t="shared" si="62"/>
        <v>0</v>
      </c>
      <c r="EXZ249" s="5">
        <f t="shared" si="62"/>
        <v>0</v>
      </c>
      <c r="EYA249" s="5">
        <f t="shared" si="62"/>
        <v>0</v>
      </c>
      <c r="EYB249" s="5">
        <f t="shared" si="62"/>
        <v>0</v>
      </c>
      <c r="EYC249" s="5">
        <f t="shared" si="62"/>
        <v>0</v>
      </c>
      <c r="EYD249" s="5">
        <f t="shared" si="62"/>
        <v>0</v>
      </c>
      <c r="EYE249" s="5">
        <f t="shared" si="62"/>
        <v>0</v>
      </c>
      <c r="EYF249" s="5">
        <f t="shared" si="62"/>
        <v>0</v>
      </c>
      <c r="EYG249" s="5">
        <f t="shared" si="62"/>
        <v>0</v>
      </c>
      <c r="EYH249" s="5">
        <f t="shared" si="62"/>
        <v>0</v>
      </c>
      <c r="EYI249" s="5">
        <f t="shared" si="62"/>
        <v>0</v>
      </c>
      <c r="EYJ249" s="5">
        <f t="shared" si="62"/>
        <v>0</v>
      </c>
      <c r="EYK249" s="5">
        <f t="shared" si="62"/>
        <v>0</v>
      </c>
      <c r="EYL249" s="5">
        <f t="shared" si="62"/>
        <v>0</v>
      </c>
      <c r="EYM249" s="5">
        <f t="shared" si="62"/>
        <v>0</v>
      </c>
      <c r="EYN249" s="5">
        <f t="shared" si="62"/>
        <v>0</v>
      </c>
      <c r="EYO249" s="5">
        <f t="shared" si="62"/>
        <v>0</v>
      </c>
      <c r="EYP249" s="5">
        <f t="shared" si="62"/>
        <v>0</v>
      </c>
      <c r="EYQ249" s="5">
        <f t="shared" si="62"/>
        <v>0</v>
      </c>
      <c r="EYR249" s="5">
        <f t="shared" si="62"/>
        <v>0</v>
      </c>
      <c r="EYS249" s="5">
        <f t="shared" si="62"/>
        <v>0</v>
      </c>
      <c r="EYT249" s="5">
        <f t="shared" ref="EYT249:FBE249" si="63">SUM(EYT246:EYT246)</f>
        <v>0</v>
      </c>
      <c r="EYU249" s="5">
        <f t="shared" si="63"/>
        <v>0</v>
      </c>
      <c r="EYV249" s="5">
        <f t="shared" si="63"/>
        <v>0</v>
      </c>
      <c r="EYW249" s="5">
        <f t="shared" si="63"/>
        <v>0</v>
      </c>
      <c r="EYX249" s="5">
        <f t="shared" si="63"/>
        <v>0</v>
      </c>
      <c r="EYY249" s="5">
        <f t="shared" si="63"/>
        <v>0</v>
      </c>
      <c r="EYZ249" s="5">
        <f t="shared" si="63"/>
        <v>0</v>
      </c>
      <c r="EZA249" s="5">
        <f t="shared" si="63"/>
        <v>0</v>
      </c>
      <c r="EZB249" s="5">
        <f t="shared" si="63"/>
        <v>0</v>
      </c>
      <c r="EZC249" s="5">
        <f t="shared" si="63"/>
        <v>0</v>
      </c>
      <c r="EZD249" s="5">
        <f t="shared" si="63"/>
        <v>0</v>
      </c>
      <c r="EZE249" s="5">
        <f t="shared" si="63"/>
        <v>0</v>
      </c>
      <c r="EZF249" s="5">
        <f t="shared" si="63"/>
        <v>0</v>
      </c>
      <c r="EZG249" s="5">
        <f t="shared" si="63"/>
        <v>0</v>
      </c>
      <c r="EZH249" s="5">
        <f t="shared" si="63"/>
        <v>0</v>
      </c>
      <c r="EZI249" s="5">
        <f t="shared" si="63"/>
        <v>0</v>
      </c>
      <c r="EZJ249" s="5">
        <f t="shared" si="63"/>
        <v>0</v>
      </c>
      <c r="EZK249" s="5">
        <f t="shared" si="63"/>
        <v>0</v>
      </c>
      <c r="EZL249" s="5">
        <f t="shared" si="63"/>
        <v>0</v>
      </c>
      <c r="EZM249" s="5">
        <f t="shared" si="63"/>
        <v>0</v>
      </c>
      <c r="EZN249" s="5">
        <f t="shared" si="63"/>
        <v>0</v>
      </c>
      <c r="EZO249" s="5">
        <f t="shared" si="63"/>
        <v>0</v>
      </c>
      <c r="EZP249" s="5">
        <f t="shared" si="63"/>
        <v>0</v>
      </c>
      <c r="EZQ249" s="5">
        <f t="shared" si="63"/>
        <v>0</v>
      </c>
      <c r="EZR249" s="5">
        <f t="shared" si="63"/>
        <v>0</v>
      </c>
      <c r="EZS249" s="5">
        <f t="shared" si="63"/>
        <v>0</v>
      </c>
      <c r="EZT249" s="5">
        <f t="shared" si="63"/>
        <v>0</v>
      </c>
      <c r="EZU249" s="5">
        <f t="shared" si="63"/>
        <v>0</v>
      </c>
      <c r="EZV249" s="5">
        <f t="shared" si="63"/>
        <v>0</v>
      </c>
      <c r="EZW249" s="5">
        <f t="shared" si="63"/>
        <v>0</v>
      </c>
      <c r="EZX249" s="5">
        <f t="shared" si="63"/>
        <v>0</v>
      </c>
      <c r="EZY249" s="5">
        <f t="shared" si="63"/>
        <v>0</v>
      </c>
      <c r="EZZ249" s="5">
        <f t="shared" si="63"/>
        <v>0</v>
      </c>
      <c r="FAA249" s="5">
        <f t="shared" si="63"/>
        <v>0</v>
      </c>
      <c r="FAB249" s="5">
        <f t="shared" si="63"/>
        <v>0</v>
      </c>
      <c r="FAC249" s="5">
        <f t="shared" si="63"/>
        <v>0</v>
      </c>
      <c r="FAD249" s="5">
        <f t="shared" si="63"/>
        <v>0</v>
      </c>
      <c r="FAE249" s="5">
        <f t="shared" si="63"/>
        <v>0</v>
      </c>
      <c r="FAF249" s="5">
        <f t="shared" si="63"/>
        <v>0</v>
      </c>
      <c r="FAG249" s="5">
        <f t="shared" si="63"/>
        <v>0</v>
      </c>
      <c r="FAH249" s="5">
        <f t="shared" si="63"/>
        <v>0</v>
      </c>
      <c r="FAI249" s="5">
        <f t="shared" si="63"/>
        <v>0</v>
      </c>
      <c r="FAJ249" s="5">
        <f t="shared" si="63"/>
        <v>0</v>
      </c>
      <c r="FAK249" s="5">
        <f t="shared" si="63"/>
        <v>0</v>
      </c>
      <c r="FAL249" s="5">
        <f t="shared" si="63"/>
        <v>0</v>
      </c>
      <c r="FAM249" s="5">
        <f t="shared" si="63"/>
        <v>0</v>
      </c>
      <c r="FAN249" s="5">
        <f t="shared" si="63"/>
        <v>0</v>
      </c>
      <c r="FAO249" s="5">
        <f t="shared" si="63"/>
        <v>0</v>
      </c>
      <c r="FAP249" s="5">
        <f t="shared" si="63"/>
        <v>0</v>
      </c>
      <c r="FAQ249" s="5">
        <f t="shared" si="63"/>
        <v>0</v>
      </c>
      <c r="FAR249" s="5">
        <f t="shared" si="63"/>
        <v>0</v>
      </c>
      <c r="FAS249" s="5">
        <f t="shared" si="63"/>
        <v>0</v>
      </c>
      <c r="FAT249" s="5">
        <f t="shared" si="63"/>
        <v>0</v>
      </c>
      <c r="FAU249" s="5">
        <f t="shared" si="63"/>
        <v>0</v>
      </c>
      <c r="FAV249" s="5">
        <f t="shared" si="63"/>
        <v>0</v>
      </c>
      <c r="FAW249" s="5">
        <f t="shared" si="63"/>
        <v>0</v>
      </c>
      <c r="FAX249" s="5">
        <f t="shared" si="63"/>
        <v>0</v>
      </c>
      <c r="FAY249" s="5">
        <f t="shared" si="63"/>
        <v>0</v>
      </c>
      <c r="FAZ249" s="5">
        <f t="shared" si="63"/>
        <v>0</v>
      </c>
      <c r="FBA249" s="5">
        <f t="shared" si="63"/>
        <v>0</v>
      </c>
      <c r="FBB249" s="5">
        <f t="shared" si="63"/>
        <v>0</v>
      </c>
      <c r="FBC249" s="5">
        <f t="shared" si="63"/>
        <v>0</v>
      </c>
      <c r="FBD249" s="5">
        <f t="shared" si="63"/>
        <v>0</v>
      </c>
      <c r="FBE249" s="5">
        <f t="shared" si="63"/>
        <v>0</v>
      </c>
      <c r="FBF249" s="5">
        <f t="shared" ref="FBF249:FDQ249" si="64">SUM(FBF246:FBF246)</f>
        <v>0</v>
      </c>
      <c r="FBG249" s="5">
        <f t="shared" si="64"/>
        <v>0</v>
      </c>
      <c r="FBH249" s="5">
        <f t="shared" si="64"/>
        <v>0</v>
      </c>
      <c r="FBI249" s="5">
        <f t="shared" si="64"/>
        <v>0</v>
      </c>
      <c r="FBJ249" s="5">
        <f t="shared" si="64"/>
        <v>0</v>
      </c>
      <c r="FBK249" s="5">
        <f t="shared" si="64"/>
        <v>0</v>
      </c>
      <c r="FBL249" s="5">
        <f t="shared" si="64"/>
        <v>0</v>
      </c>
      <c r="FBM249" s="5">
        <f t="shared" si="64"/>
        <v>0</v>
      </c>
      <c r="FBN249" s="5">
        <f t="shared" si="64"/>
        <v>0</v>
      </c>
      <c r="FBO249" s="5">
        <f t="shared" si="64"/>
        <v>0</v>
      </c>
      <c r="FBP249" s="5">
        <f t="shared" si="64"/>
        <v>0</v>
      </c>
      <c r="FBQ249" s="5">
        <f t="shared" si="64"/>
        <v>0</v>
      </c>
      <c r="FBR249" s="5">
        <f t="shared" si="64"/>
        <v>0</v>
      </c>
      <c r="FBS249" s="5">
        <f t="shared" si="64"/>
        <v>0</v>
      </c>
      <c r="FBT249" s="5">
        <f t="shared" si="64"/>
        <v>0</v>
      </c>
      <c r="FBU249" s="5">
        <f t="shared" si="64"/>
        <v>0</v>
      </c>
      <c r="FBV249" s="5">
        <f t="shared" si="64"/>
        <v>0</v>
      </c>
      <c r="FBW249" s="5">
        <f t="shared" si="64"/>
        <v>0</v>
      </c>
      <c r="FBX249" s="5">
        <f t="shared" si="64"/>
        <v>0</v>
      </c>
      <c r="FBY249" s="5">
        <f t="shared" si="64"/>
        <v>0</v>
      </c>
      <c r="FBZ249" s="5">
        <f t="shared" si="64"/>
        <v>0</v>
      </c>
      <c r="FCA249" s="5">
        <f t="shared" si="64"/>
        <v>0</v>
      </c>
      <c r="FCB249" s="5">
        <f t="shared" si="64"/>
        <v>0</v>
      </c>
      <c r="FCC249" s="5">
        <f t="shared" si="64"/>
        <v>0</v>
      </c>
      <c r="FCD249" s="5">
        <f t="shared" si="64"/>
        <v>0</v>
      </c>
      <c r="FCE249" s="5">
        <f t="shared" si="64"/>
        <v>0</v>
      </c>
      <c r="FCF249" s="5">
        <f t="shared" si="64"/>
        <v>0</v>
      </c>
      <c r="FCG249" s="5">
        <f t="shared" si="64"/>
        <v>0</v>
      </c>
      <c r="FCH249" s="5">
        <f t="shared" si="64"/>
        <v>0</v>
      </c>
      <c r="FCI249" s="5">
        <f t="shared" si="64"/>
        <v>0</v>
      </c>
      <c r="FCJ249" s="5">
        <f t="shared" si="64"/>
        <v>0</v>
      </c>
      <c r="FCK249" s="5">
        <f t="shared" si="64"/>
        <v>0</v>
      </c>
      <c r="FCL249" s="5">
        <f t="shared" si="64"/>
        <v>0</v>
      </c>
      <c r="FCM249" s="5">
        <f t="shared" si="64"/>
        <v>0</v>
      </c>
      <c r="FCN249" s="5">
        <f t="shared" si="64"/>
        <v>0</v>
      </c>
      <c r="FCO249" s="5">
        <f t="shared" si="64"/>
        <v>0</v>
      </c>
      <c r="FCP249" s="5">
        <f t="shared" si="64"/>
        <v>0</v>
      </c>
      <c r="FCQ249" s="5">
        <f t="shared" si="64"/>
        <v>0</v>
      </c>
      <c r="FCR249" s="5">
        <f t="shared" si="64"/>
        <v>0</v>
      </c>
      <c r="FCS249" s="5">
        <f t="shared" si="64"/>
        <v>0</v>
      </c>
      <c r="FCT249" s="5">
        <f t="shared" si="64"/>
        <v>0</v>
      </c>
      <c r="FCU249" s="5">
        <f t="shared" si="64"/>
        <v>0</v>
      </c>
      <c r="FCV249" s="5">
        <f t="shared" si="64"/>
        <v>0</v>
      </c>
      <c r="FCW249" s="5">
        <f t="shared" si="64"/>
        <v>0</v>
      </c>
      <c r="FCX249" s="5">
        <f t="shared" si="64"/>
        <v>0</v>
      </c>
      <c r="FCY249" s="5">
        <f t="shared" si="64"/>
        <v>0</v>
      </c>
      <c r="FCZ249" s="5">
        <f t="shared" si="64"/>
        <v>0</v>
      </c>
      <c r="FDA249" s="5">
        <f t="shared" si="64"/>
        <v>0</v>
      </c>
      <c r="FDB249" s="5">
        <f t="shared" si="64"/>
        <v>0</v>
      </c>
      <c r="FDC249" s="5">
        <f t="shared" si="64"/>
        <v>0</v>
      </c>
      <c r="FDD249" s="5">
        <f t="shared" si="64"/>
        <v>0</v>
      </c>
      <c r="FDE249" s="5">
        <f t="shared" si="64"/>
        <v>0</v>
      </c>
      <c r="FDF249" s="5">
        <f t="shared" si="64"/>
        <v>0</v>
      </c>
      <c r="FDG249" s="5">
        <f t="shared" si="64"/>
        <v>0</v>
      </c>
      <c r="FDH249" s="5">
        <f t="shared" si="64"/>
        <v>0</v>
      </c>
      <c r="FDI249" s="5">
        <f t="shared" si="64"/>
        <v>0</v>
      </c>
      <c r="FDJ249" s="5">
        <f t="shared" si="64"/>
        <v>0</v>
      </c>
      <c r="FDK249" s="5">
        <f t="shared" si="64"/>
        <v>0</v>
      </c>
      <c r="FDL249" s="5">
        <f t="shared" si="64"/>
        <v>0</v>
      </c>
      <c r="FDM249" s="5">
        <f t="shared" si="64"/>
        <v>0</v>
      </c>
      <c r="FDN249" s="5">
        <f t="shared" si="64"/>
        <v>0</v>
      </c>
      <c r="FDO249" s="5">
        <f t="shared" si="64"/>
        <v>0</v>
      </c>
      <c r="FDP249" s="5">
        <f t="shared" si="64"/>
        <v>0</v>
      </c>
      <c r="FDQ249" s="5">
        <f t="shared" si="64"/>
        <v>0</v>
      </c>
      <c r="FDR249" s="5">
        <f t="shared" ref="FDR249:FGC249" si="65">SUM(FDR246:FDR246)</f>
        <v>0</v>
      </c>
      <c r="FDS249" s="5">
        <f t="shared" si="65"/>
        <v>0</v>
      </c>
      <c r="FDT249" s="5">
        <f t="shared" si="65"/>
        <v>0</v>
      </c>
      <c r="FDU249" s="5">
        <f t="shared" si="65"/>
        <v>0</v>
      </c>
      <c r="FDV249" s="5">
        <f t="shared" si="65"/>
        <v>0</v>
      </c>
      <c r="FDW249" s="5">
        <f t="shared" si="65"/>
        <v>0</v>
      </c>
      <c r="FDX249" s="5">
        <f t="shared" si="65"/>
        <v>0</v>
      </c>
      <c r="FDY249" s="5">
        <f t="shared" si="65"/>
        <v>0</v>
      </c>
      <c r="FDZ249" s="5">
        <f t="shared" si="65"/>
        <v>0</v>
      </c>
      <c r="FEA249" s="5">
        <f t="shared" si="65"/>
        <v>0</v>
      </c>
      <c r="FEB249" s="5">
        <f t="shared" si="65"/>
        <v>0</v>
      </c>
      <c r="FEC249" s="5">
        <f t="shared" si="65"/>
        <v>0</v>
      </c>
      <c r="FED249" s="5">
        <f t="shared" si="65"/>
        <v>0</v>
      </c>
      <c r="FEE249" s="5">
        <f t="shared" si="65"/>
        <v>0</v>
      </c>
      <c r="FEF249" s="5">
        <f t="shared" si="65"/>
        <v>0</v>
      </c>
      <c r="FEG249" s="5">
        <f t="shared" si="65"/>
        <v>0</v>
      </c>
      <c r="FEH249" s="5">
        <f t="shared" si="65"/>
        <v>0</v>
      </c>
      <c r="FEI249" s="5">
        <f t="shared" si="65"/>
        <v>0</v>
      </c>
      <c r="FEJ249" s="5">
        <f t="shared" si="65"/>
        <v>0</v>
      </c>
      <c r="FEK249" s="5">
        <f t="shared" si="65"/>
        <v>0</v>
      </c>
      <c r="FEL249" s="5">
        <f t="shared" si="65"/>
        <v>0</v>
      </c>
      <c r="FEM249" s="5">
        <f t="shared" si="65"/>
        <v>0</v>
      </c>
      <c r="FEN249" s="5">
        <f t="shared" si="65"/>
        <v>0</v>
      </c>
      <c r="FEO249" s="5">
        <f t="shared" si="65"/>
        <v>0</v>
      </c>
      <c r="FEP249" s="5">
        <f t="shared" si="65"/>
        <v>0</v>
      </c>
      <c r="FEQ249" s="5">
        <f t="shared" si="65"/>
        <v>0</v>
      </c>
      <c r="FER249" s="5">
        <f t="shared" si="65"/>
        <v>0</v>
      </c>
      <c r="FES249" s="5">
        <f t="shared" si="65"/>
        <v>0</v>
      </c>
      <c r="FET249" s="5">
        <f t="shared" si="65"/>
        <v>0</v>
      </c>
      <c r="FEU249" s="5">
        <f t="shared" si="65"/>
        <v>0</v>
      </c>
      <c r="FEV249" s="5">
        <f t="shared" si="65"/>
        <v>0</v>
      </c>
      <c r="FEW249" s="5">
        <f t="shared" si="65"/>
        <v>0</v>
      </c>
      <c r="FEX249" s="5">
        <f t="shared" si="65"/>
        <v>0</v>
      </c>
      <c r="FEY249" s="5">
        <f t="shared" si="65"/>
        <v>0</v>
      </c>
      <c r="FEZ249" s="5">
        <f t="shared" si="65"/>
        <v>0</v>
      </c>
      <c r="FFA249" s="5">
        <f t="shared" si="65"/>
        <v>0</v>
      </c>
      <c r="FFB249" s="5">
        <f t="shared" si="65"/>
        <v>0</v>
      </c>
      <c r="FFC249" s="5">
        <f t="shared" si="65"/>
        <v>0</v>
      </c>
      <c r="FFD249" s="5">
        <f t="shared" si="65"/>
        <v>0</v>
      </c>
      <c r="FFE249" s="5">
        <f t="shared" si="65"/>
        <v>0</v>
      </c>
      <c r="FFF249" s="5">
        <f t="shared" si="65"/>
        <v>0</v>
      </c>
      <c r="FFG249" s="5">
        <f t="shared" si="65"/>
        <v>0</v>
      </c>
      <c r="FFH249" s="5">
        <f t="shared" si="65"/>
        <v>0</v>
      </c>
      <c r="FFI249" s="5">
        <f t="shared" si="65"/>
        <v>0</v>
      </c>
      <c r="FFJ249" s="5">
        <f t="shared" si="65"/>
        <v>0</v>
      </c>
      <c r="FFK249" s="5">
        <f t="shared" si="65"/>
        <v>0</v>
      </c>
      <c r="FFL249" s="5">
        <f t="shared" si="65"/>
        <v>0</v>
      </c>
      <c r="FFM249" s="5">
        <f t="shared" si="65"/>
        <v>0</v>
      </c>
      <c r="FFN249" s="5">
        <f t="shared" si="65"/>
        <v>0</v>
      </c>
      <c r="FFO249" s="5">
        <f t="shared" si="65"/>
        <v>0</v>
      </c>
      <c r="FFP249" s="5">
        <f t="shared" si="65"/>
        <v>0</v>
      </c>
      <c r="FFQ249" s="5">
        <f t="shared" si="65"/>
        <v>0</v>
      </c>
      <c r="FFR249" s="5">
        <f t="shared" si="65"/>
        <v>0</v>
      </c>
      <c r="FFS249" s="5">
        <f t="shared" si="65"/>
        <v>0</v>
      </c>
      <c r="FFT249" s="5">
        <f t="shared" si="65"/>
        <v>0</v>
      </c>
      <c r="FFU249" s="5">
        <f t="shared" si="65"/>
        <v>0</v>
      </c>
      <c r="FFV249" s="5">
        <f t="shared" si="65"/>
        <v>0</v>
      </c>
      <c r="FFW249" s="5">
        <f t="shared" si="65"/>
        <v>0</v>
      </c>
      <c r="FFX249" s="5">
        <f t="shared" si="65"/>
        <v>0</v>
      </c>
      <c r="FFY249" s="5">
        <f t="shared" si="65"/>
        <v>0</v>
      </c>
      <c r="FFZ249" s="5">
        <f t="shared" si="65"/>
        <v>0</v>
      </c>
      <c r="FGA249" s="5">
        <f t="shared" si="65"/>
        <v>0</v>
      </c>
      <c r="FGB249" s="5">
        <f t="shared" si="65"/>
        <v>0</v>
      </c>
      <c r="FGC249" s="5">
        <f t="shared" si="65"/>
        <v>0</v>
      </c>
      <c r="FGD249" s="5">
        <f t="shared" ref="FGD249:FIO249" si="66">SUM(FGD246:FGD246)</f>
        <v>0</v>
      </c>
      <c r="FGE249" s="5">
        <f t="shared" si="66"/>
        <v>0</v>
      </c>
      <c r="FGF249" s="5">
        <f t="shared" si="66"/>
        <v>0</v>
      </c>
      <c r="FGG249" s="5">
        <f t="shared" si="66"/>
        <v>0</v>
      </c>
      <c r="FGH249" s="5">
        <f t="shared" si="66"/>
        <v>0</v>
      </c>
      <c r="FGI249" s="5">
        <f t="shared" si="66"/>
        <v>0</v>
      </c>
      <c r="FGJ249" s="5">
        <f t="shared" si="66"/>
        <v>0</v>
      </c>
      <c r="FGK249" s="5">
        <f t="shared" si="66"/>
        <v>0</v>
      </c>
      <c r="FGL249" s="5">
        <f t="shared" si="66"/>
        <v>0</v>
      </c>
      <c r="FGM249" s="5">
        <f t="shared" si="66"/>
        <v>0</v>
      </c>
      <c r="FGN249" s="5">
        <f t="shared" si="66"/>
        <v>0</v>
      </c>
      <c r="FGO249" s="5">
        <f t="shared" si="66"/>
        <v>0</v>
      </c>
      <c r="FGP249" s="5">
        <f t="shared" si="66"/>
        <v>0</v>
      </c>
      <c r="FGQ249" s="5">
        <f t="shared" si="66"/>
        <v>0</v>
      </c>
      <c r="FGR249" s="5">
        <f t="shared" si="66"/>
        <v>0</v>
      </c>
      <c r="FGS249" s="5">
        <f t="shared" si="66"/>
        <v>0</v>
      </c>
      <c r="FGT249" s="5">
        <f t="shared" si="66"/>
        <v>0</v>
      </c>
      <c r="FGU249" s="5">
        <f t="shared" si="66"/>
        <v>0</v>
      </c>
      <c r="FGV249" s="5">
        <f t="shared" si="66"/>
        <v>0</v>
      </c>
      <c r="FGW249" s="5">
        <f t="shared" si="66"/>
        <v>0</v>
      </c>
      <c r="FGX249" s="5">
        <f t="shared" si="66"/>
        <v>0</v>
      </c>
      <c r="FGY249" s="5">
        <f t="shared" si="66"/>
        <v>0</v>
      </c>
      <c r="FGZ249" s="5">
        <f t="shared" si="66"/>
        <v>0</v>
      </c>
      <c r="FHA249" s="5">
        <f t="shared" si="66"/>
        <v>0</v>
      </c>
      <c r="FHB249" s="5">
        <f t="shared" si="66"/>
        <v>0</v>
      </c>
      <c r="FHC249" s="5">
        <f t="shared" si="66"/>
        <v>0</v>
      </c>
      <c r="FHD249" s="5">
        <f t="shared" si="66"/>
        <v>0</v>
      </c>
      <c r="FHE249" s="5">
        <f t="shared" si="66"/>
        <v>0</v>
      </c>
      <c r="FHF249" s="5">
        <f t="shared" si="66"/>
        <v>0</v>
      </c>
      <c r="FHG249" s="5">
        <f t="shared" si="66"/>
        <v>0</v>
      </c>
      <c r="FHH249" s="5">
        <f t="shared" si="66"/>
        <v>0</v>
      </c>
      <c r="FHI249" s="5">
        <f t="shared" si="66"/>
        <v>0</v>
      </c>
      <c r="FHJ249" s="5">
        <f t="shared" si="66"/>
        <v>0</v>
      </c>
      <c r="FHK249" s="5">
        <f t="shared" si="66"/>
        <v>0</v>
      </c>
      <c r="FHL249" s="5">
        <f t="shared" si="66"/>
        <v>0</v>
      </c>
      <c r="FHM249" s="5">
        <f t="shared" si="66"/>
        <v>0</v>
      </c>
      <c r="FHN249" s="5">
        <f t="shared" si="66"/>
        <v>0</v>
      </c>
      <c r="FHO249" s="5">
        <f t="shared" si="66"/>
        <v>0</v>
      </c>
      <c r="FHP249" s="5">
        <f t="shared" si="66"/>
        <v>0</v>
      </c>
      <c r="FHQ249" s="5">
        <f t="shared" si="66"/>
        <v>0</v>
      </c>
      <c r="FHR249" s="5">
        <f t="shared" si="66"/>
        <v>0</v>
      </c>
      <c r="FHS249" s="5">
        <f t="shared" si="66"/>
        <v>0</v>
      </c>
      <c r="FHT249" s="5">
        <f t="shared" si="66"/>
        <v>0</v>
      </c>
      <c r="FHU249" s="5">
        <f t="shared" si="66"/>
        <v>0</v>
      </c>
      <c r="FHV249" s="5">
        <f t="shared" si="66"/>
        <v>0</v>
      </c>
      <c r="FHW249" s="5">
        <f t="shared" si="66"/>
        <v>0</v>
      </c>
      <c r="FHX249" s="5">
        <f t="shared" si="66"/>
        <v>0</v>
      </c>
      <c r="FHY249" s="5">
        <f t="shared" si="66"/>
        <v>0</v>
      </c>
      <c r="FHZ249" s="5">
        <f t="shared" si="66"/>
        <v>0</v>
      </c>
      <c r="FIA249" s="5">
        <f t="shared" si="66"/>
        <v>0</v>
      </c>
      <c r="FIB249" s="5">
        <f t="shared" si="66"/>
        <v>0</v>
      </c>
      <c r="FIC249" s="5">
        <f t="shared" si="66"/>
        <v>0</v>
      </c>
      <c r="FID249" s="5">
        <f t="shared" si="66"/>
        <v>0</v>
      </c>
      <c r="FIE249" s="5">
        <f t="shared" si="66"/>
        <v>0</v>
      </c>
      <c r="FIF249" s="5">
        <f t="shared" si="66"/>
        <v>0</v>
      </c>
      <c r="FIG249" s="5">
        <f t="shared" si="66"/>
        <v>0</v>
      </c>
      <c r="FIH249" s="5">
        <f t="shared" si="66"/>
        <v>0</v>
      </c>
      <c r="FII249" s="5">
        <f t="shared" si="66"/>
        <v>0</v>
      </c>
      <c r="FIJ249" s="5">
        <f t="shared" si="66"/>
        <v>0</v>
      </c>
      <c r="FIK249" s="5">
        <f t="shared" si="66"/>
        <v>0</v>
      </c>
      <c r="FIL249" s="5">
        <f t="shared" si="66"/>
        <v>0</v>
      </c>
      <c r="FIM249" s="5">
        <f t="shared" si="66"/>
        <v>0</v>
      </c>
      <c r="FIN249" s="5">
        <f t="shared" si="66"/>
        <v>0</v>
      </c>
      <c r="FIO249" s="5">
        <f t="shared" si="66"/>
        <v>0</v>
      </c>
      <c r="FIP249" s="5">
        <f t="shared" ref="FIP249:FLA249" si="67">SUM(FIP246:FIP246)</f>
        <v>0</v>
      </c>
      <c r="FIQ249" s="5">
        <f t="shared" si="67"/>
        <v>0</v>
      </c>
      <c r="FIR249" s="5">
        <f t="shared" si="67"/>
        <v>0</v>
      </c>
      <c r="FIS249" s="5">
        <f t="shared" si="67"/>
        <v>0</v>
      </c>
      <c r="FIT249" s="5">
        <f t="shared" si="67"/>
        <v>0</v>
      </c>
      <c r="FIU249" s="5">
        <f t="shared" si="67"/>
        <v>0</v>
      </c>
      <c r="FIV249" s="5">
        <f t="shared" si="67"/>
        <v>0</v>
      </c>
      <c r="FIW249" s="5">
        <f t="shared" si="67"/>
        <v>0</v>
      </c>
      <c r="FIX249" s="5">
        <f t="shared" si="67"/>
        <v>0</v>
      </c>
      <c r="FIY249" s="5">
        <f t="shared" si="67"/>
        <v>0</v>
      </c>
      <c r="FIZ249" s="5">
        <f t="shared" si="67"/>
        <v>0</v>
      </c>
      <c r="FJA249" s="5">
        <f t="shared" si="67"/>
        <v>0</v>
      </c>
      <c r="FJB249" s="5">
        <f t="shared" si="67"/>
        <v>0</v>
      </c>
      <c r="FJC249" s="5">
        <f t="shared" si="67"/>
        <v>0</v>
      </c>
      <c r="FJD249" s="5">
        <f t="shared" si="67"/>
        <v>0</v>
      </c>
      <c r="FJE249" s="5">
        <f t="shared" si="67"/>
        <v>0</v>
      </c>
      <c r="FJF249" s="5">
        <f t="shared" si="67"/>
        <v>0</v>
      </c>
      <c r="FJG249" s="5">
        <f t="shared" si="67"/>
        <v>0</v>
      </c>
      <c r="FJH249" s="5">
        <f t="shared" si="67"/>
        <v>0</v>
      </c>
      <c r="FJI249" s="5">
        <f t="shared" si="67"/>
        <v>0</v>
      </c>
      <c r="FJJ249" s="5">
        <f t="shared" si="67"/>
        <v>0</v>
      </c>
      <c r="FJK249" s="5">
        <f t="shared" si="67"/>
        <v>0</v>
      </c>
      <c r="FJL249" s="5">
        <f t="shared" si="67"/>
        <v>0</v>
      </c>
      <c r="FJM249" s="5">
        <f t="shared" si="67"/>
        <v>0</v>
      </c>
      <c r="FJN249" s="5">
        <f t="shared" si="67"/>
        <v>0</v>
      </c>
      <c r="FJO249" s="5">
        <f t="shared" si="67"/>
        <v>0</v>
      </c>
      <c r="FJP249" s="5">
        <f t="shared" si="67"/>
        <v>0</v>
      </c>
      <c r="FJQ249" s="5">
        <f t="shared" si="67"/>
        <v>0</v>
      </c>
      <c r="FJR249" s="5">
        <f t="shared" si="67"/>
        <v>0</v>
      </c>
      <c r="FJS249" s="5">
        <f t="shared" si="67"/>
        <v>0</v>
      </c>
      <c r="FJT249" s="5">
        <f t="shared" si="67"/>
        <v>0</v>
      </c>
      <c r="FJU249" s="5">
        <f t="shared" si="67"/>
        <v>0</v>
      </c>
      <c r="FJV249" s="5">
        <f t="shared" si="67"/>
        <v>0</v>
      </c>
      <c r="FJW249" s="5">
        <f t="shared" si="67"/>
        <v>0</v>
      </c>
      <c r="FJX249" s="5">
        <f t="shared" si="67"/>
        <v>0</v>
      </c>
      <c r="FJY249" s="5">
        <f t="shared" si="67"/>
        <v>0</v>
      </c>
      <c r="FJZ249" s="5">
        <f t="shared" si="67"/>
        <v>0</v>
      </c>
      <c r="FKA249" s="5">
        <f t="shared" si="67"/>
        <v>0</v>
      </c>
      <c r="FKB249" s="5">
        <f t="shared" si="67"/>
        <v>0</v>
      </c>
      <c r="FKC249" s="5">
        <f t="shared" si="67"/>
        <v>0</v>
      </c>
      <c r="FKD249" s="5">
        <f t="shared" si="67"/>
        <v>0</v>
      </c>
      <c r="FKE249" s="5">
        <f t="shared" si="67"/>
        <v>0</v>
      </c>
      <c r="FKF249" s="5">
        <f t="shared" si="67"/>
        <v>0</v>
      </c>
      <c r="FKG249" s="5">
        <f t="shared" si="67"/>
        <v>0</v>
      </c>
      <c r="FKH249" s="5">
        <f t="shared" si="67"/>
        <v>0</v>
      </c>
      <c r="FKI249" s="5">
        <f t="shared" si="67"/>
        <v>0</v>
      </c>
      <c r="FKJ249" s="5">
        <f t="shared" si="67"/>
        <v>0</v>
      </c>
      <c r="FKK249" s="5">
        <f t="shared" si="67"/>
        <v>0</v>
      </c>
      <c r="FKL249" s="5">
        <f t="shared" si="67"/>
        <v>0</v>
      </c>
      <c r="FKM249" s="5">
        <f t="shared" si="67"/>
        <v>0</v>
      </c>
      <c r="FKN249" s="5">
        <f t="shared" si="67"/>
        <v>0</v>
      </c>
      <c r="FKO249" s="5">
        <f t="shared" si="67"/>
        <v>0</v>
      </c>
      <c r="FKP249" s="5">
        <f t="shared" si="67"/>
        <v>0</v>
      </c>
      <c r="FKQ249" s="5">
        <f t="shared" si="67"/>
        <v>0</v>
      </c>
      <c r="FKR249" s="5">
        <f t="shared" si="67"/>
        <v>0</v>
      </c>
      <c r="FKS249" s="5">
        <f t="shared" si="67"/>
        <v>0</v>
      </c>
      <c r="FKT249" s="5">
        <f t="shared" si="67"/>
        <v>0</v>
      </c>
      <c r="FKU249" s="5">
        <f t="shared" si="67"/>
        <v>0</v>
      </c>
      <c r="FKV249" s="5">
        <f t="shared" si="67"/>
        <v>0</v>
      </c>
      <c r="FKW249" s="5">
        <f t="shared" si="67"/>
        <v>0</v>
      </c>
      <c r="FKX249" s="5">
        <f t="shared" si="67"/>
        <v>0</v>
      </c>
      <c r="FKY249" s="5">
        <f t="shared" si="67"/>
        <v>0</v>
      </c>
      <c r="FKZ249" s="5">
        <f t="shared" si="67"/>
        <v>0</v>
      </c>
      <c r="FLA249" s="5">
        <f t="shared" si="67"/>
        <v>0</v>
      </c>
      <c r="FLB249" s="5">
        <f t="shared" ref="FLB249:FNM249" si="68">SUM(FLB246:FLB246)</f>
        <v>0</v>
      </c>
      <c r="FLC249" s="5">
        <f t="shared" si="68"/>
        <v>0</v>
      </c>
      <c r="FLD249" s="5">
        <f t="shared" si="68"/>
        <v>0</v>
      </c>
      <c r="FLE249" s="5">
        <f t="shared" si="68"/>
        <v>0</v>
      </c>
      <c r="FLF249" s="5">
        <f t="shared" si="68"/>
        <v>0</v>
      </c>
      <c r="FLG249" s="5">
        <f t="shared" si="68"/>
        <v>0</v>
      </c>
      <c r="FLH249" s="5">
        <f t="shared" si="68"/>
        <v>0</v>
      </c>
      <c r="FLI249" s="5">
        <f t="shared" si="68"/>
        <v>0</v>
      </c>
      <c r="FLJ249" s="5">
        <f t="shared" si="68"/>
        <v>0</v>
      </c>
      <c r="FLK249" s="5">
        <f t="shared" si="68"/>
        <v>0</v>
      </c>
      <c r="FLL249" s="5">
        <f t="shared" si="68"/>
        <v>0</v>
      </c>
      <c r="FLM249" s="5">
        <f t="shared" si="68"/>
        <v>0</v>
      </c>
      <c r="FLN249" s="5">
        <f t="shared" si="68"/>
        <v>0</v>
      </c>
      <c r="FLO249" s="5">
        <f t="shared" si="68"/>
        <v>0</v>
      </c>
      <c r="FLP249" s="5">
        <f t="shared" si="68"/>
        <v>0</v>
      </c>
      <c r="FLQ249" s="5">
        <f t="shared" si="68"/>
        <v>0</v>
      </c>
      <c r="FLR249" s="5">
        <f t="shared" si="68"/>
        <v>0</v>
      </c>
      <c r="FLS249" s="5">
        <f t="shared" si="68"/>
        <v>0</v>
      </c>
      <c r="FLT249" s="5">
        <f t="shared" si="68"/>
        <v>0</v>
      </c>
      <c r="FLU249" s="5">
        <f t="shared" si="68"/>
        <v>0</v>
      </c>
      <c r="FLV249" s="5">
        <f t="shared" si="68"/>
        <v>0</v>
      </c>
      <c r="FLW249" s="5">
        <f t="shared" si="68"/>
        <v>0</v>
      </c>
      <c r="FLX249" s="5">
        <f t="shared" si="68"/>
        <v>0</v>
      </c>
      <c r="FLY249" s="5">
        <f t="shared" si="68"/>
        <v>0</v>
      </c>
      <c r="FLZ249" s="5">
        <f t="shared" si="68"/>
        <v>0</v>
      </c>
      <c r="FMA249" s="5">
        <f t="shared" si="68"/>
        <v>0</v>
      </c>
      <c r="FMB249" s="5">
        <f t="shared" si="68"/>
        <v>0</v>
      </c>
      <c r="FMC249" s="5">
        <f t="shared" si="68"/>
        <v>0</v>
      </c>
      <c r="FMD249" s="5">
        <f t="shared" si="68"/>
        <v>0</v>
      </c>
      <c r="FME249" s="5">
        <f t="shared" si="68"/>
        <v>0</v>
      </c>
      <c r="FMF249" s="5">
        <f t="shared" si="68"/>
        <v>0</v>
      </c>
      <c r="FMG249" s="5">
        <f t="shared" si="68"/>
        <v>0</v>
      </c>
      <c r="FMH249" s="5">
        <f t="shared" si="68"/>
        <v>0</v>
      </c>
      <c r="FMI249" s="5">
        <f t="shared" si="68"/>
        <v>0</v>
      </c>
      <c r="FMJ249" s="5">
        <f t="shared" si="68"/>
        <v>0</v>
      </c>
      <c r="FMK249" s="5">
        <f t="shared" si="68"/>
        <v>0</v>
      </c>
      <c r="FML249" s="5">
        <f t="shared" si="68"/>
        <v>0</v>
      </c>
      <c r="FMM249" s="5">
        <f t="shared" si="68"/>
        <v>0</v>
      </c>
      <c r="FMN249" s="5">
        <f t="shared" si="68"/>
        <v>0</v>
      </c>
      <c r="FMO249" s="5">
        <f t="shared" si="68"/>
        <v>0</v>
      </c>
      <c r="FMP249" s="5">
        <f t="shared" si="68"/>
        <v>0</v>
      </c>
      <c r="FMQ249" s="5">
        <f t="shared" si="68"/>
        <v>0</v>
      </c>
      <c r="FMR249" s="5">
        <f t="shared" si="68"/>
        <v>0</v>
      </c>
      <c r="FMS249" s="5">
        <f t="shared" si="68"/>
        <v>0</v>
      </c>
      <c r="FMT249" s="5">
        <f t="shared" si="68"/>
        <v>0</v>
      </c>
      <c r="FMU249" s="5">
        <f t="shared" si="68"/>
        <v>0</v>
      </c>
      <c r="FMV249" s="5">
        <f t="shared" si="68"/>
        <v>0</v>
      </c>
      <c r="FMW249" s="5">
        <f t="shared" si="68"/>
        <v>0</v>
      </c>
      <c r="FMX249" s="5">
        <f t="shared" si="68"/>
        <v>0</v>
      </c>
      <c r="FMY249" s="5">
        <f t="shared" si="68"/>
        <v>0</v>
      </c>
      <c r="FMZ249" s="5">
        <f t="shared" si="68"/>
        <v>0</v>
      </c>
      <c r="FNA249" s="5">
        <f t="shared" si="68"/>
        <v>0</v>
      </c>
      <c r="FNB249" s="5">
        <f t="shared" si="68"/>
        <v>0</v>
      </c>
      <c r="FNC249" s="5">
        <f t="shared" si="68"/>
        <v>0</v>
      </c>
      <c r="FND249" s="5">
        <f t="shared" si="68"/>
        <v>0</v>
      </c>
      <c r="FNE249" s="5">
        <f t="shared" si="68"/>
        <v>0</v>
      </c>
      <c r="FNF249" s="5">
        <f t="shared" si="68"/>
        <v>0</v>
      </c>
      <c r="FNG249" s="5">
        <f t="shared" si="68"/>
        <v>0</v>
      </c>
      <c r="FNH249" s="5">
        <f t="shared" si="68"/>
        <v>0</v>
      </c>
      <c r="FNI249" s="5">
        <f t="shared" si="68"/>
        <v>0</v>
      </c>
      <c r="FNJ249" s="5">
        <f t="shared" si="68"/>
        <v>0</v>
      </c>
      <c r="FNK249" s="5">
        <f t="shared" si="68"/>
        <v>0</v>
      </c>
      <c r="FNL249" s="5">
        <f t="shared" si="68"/>
        <v>0</v>
      </c>
      <c r="FNM249" s="5">
        <f t="shared" si="68"/>
        <v>0</v>
      </c>
      <c r="FNN249" s="5">
        <f t="shared" ref="FNN249:FPY249" si="69">SUM(FNN246:FNN246)</f>
        <v>0</v>
      </c>
      <c r="FNO249" s="5">
        <f t="shared" si="69"/>
        <v>0</v>
      </c>
      <c r="FNP249" s="5">
        <f t="shared" si="69"/>
        <v>0</v>
      </c>
      <c r="FNQ249" s="5">
        <f t="shared" si="69"/>
        <v>0</v>
      </c>
      <c r="FNR249" s="5">
        <f t="shared" si="69"/>
        <v>0</v>
      </c>
      <c r="FNS249" s="5">
        <f t="shared" si="69"/>
        <v>0</v>
      </c>
      <c r="FNT249" s="5">
        <f t="shared" si="69"/>
        <v>0</v>
      </c>
      <c r="FNU249" s="5">
        <f t="shared" si="69"/>
        <v>0</v>
      </c>
      <c r="FNV249" s="5">
        <f t="shared" si="69"/>
        <v>0</v>
      </c>
      <c r="FNW249" s="5">
        <f t="shared" si="69"/>
        <v>0</v>
      </c>
      <c r="FNX249" s="5">
        <f t="shared" si="69"/>
        <v>0</v>
      </c>
      <c r="FNY249" s="5">
        <f t="shared" si="69"/>
        <v>0</v>
      </c>
      <c r="FNZ249" s="5">
        <f t="shared" si="69"/>
        <v>0</v>
      </c>
      <c r="FOA249" s="5">
        <f t="shared" si="69"/>
        <v>0</v>
      </c>
      <c r="FOB249" s="5">
        <f t="shared" si="69"/>
        <v>0</v>
      </c>
      <c r="FOC249" s="5">
        <f t="shared" si="69"/>
        <v>0</v>
      </c>
      <c r="FOD249" s="5">
        <f t="shared" si="69"/>
        <v>0</v>
      </c>
      <c r="FOE249" s="5">
        <f t="shared" si="69"/>
        <v>0</v>
      </c>
      <c r="FOF249" s="5">
        <f t="shared" si="69"/>
        <v>0</v>
      </c>
      <c r="FOG249" s="5">
        <f t="shared" si="69"/>
        <v>0</v>
      </c>
      <c r="FOH249" s="5">
        <f t="shared" si="69"/>
        <v>0</v>
      </c>
      <c r="FOI249" s="5">
        <f t="shared" si="69"/>
        <v>0</v>
      </c>
      <c r="FOJ249" s="5">
        <f t="shared" si="69"/>
        <v>0</v>
      </c>
      <c r="FOK249" s="5">
        <f t="shared" si="69"/>
        <v>0</v>
      </c>
      <c r="FOL249" s="5">
        <f t="shared" si="69"/>
        <v>0</v>
      </c>
      <c r="FOM249" s="5">
        <f t="shared" si="69"/>
        <v>0</v>
      </c>
      <c r="FON249" s="5">
        <f t="shared" si="69"/>
        <v>0</v>
      </c>
      <c r="FOO249" s="5">
        <f t="shared" si="69"/>
        <v>0</v>
      </c>
      <c r="FOP249" s="5">
        <f t="shared" si="69"/>
        <v>0</v>
      </c>
      <c r="FOQ249" s="5">
        <f t="shared" si="69"/>
        <v>0</v>
      </c>
      <c r="FOR249" s="5">
        <f t="shared" si="69"/>
        <v>0</v>
      </c>
      <c r="FOS249" s="5">
        <f t="shared" si="69"/>
        <v>0</v>
      </c>
      <c r="FOT249" s="5">
        <f t="shared" si="69"/>
        <v>0</v>
      </c>
      <c r="FOU249" s="5">
        <f t="shared" si="69"/>
        <v>0</v>
      </c>
      <c r="FOV249" s="5">
        <f t="shared" si="69"/>
        <v>0</v>
      </c>
      <c r="FOW249" s="5">
        <f t="shared" si="69"/>
        <v>0</v>
      </c>
      <c r="FOX249" s="5">
        <f t="shared" si="69"/>
        <v>0</v>
      </c>
      <c r="FOY249" s="5">
        <f t="shared" si="69"/>
        <v>0</v>
      </c>
      <c r="FOZ249" s="5">
        <f t="shared" si="69"/>
        <v>0</v>
      </c>
      <c r="FPA249" s="5">
        <f t="shared" si="69"/>
        <v>0</v>
      </c>
      <c r="FPB249" s="5">
        <f t="shared" si="69"/>
        <v>0</v>
      </c>
      <c r="FPC249" s="5">
        <f t="shared" si="69"/>
        <v>0</v>
      </c>
      <c r="FPD249" s="5">
        <f t="shared" si="69"/>
        <v>0</v>
      </c>
      <c r="FPE249" s="5">
        <f t="shared" si="69"/>
        <v>0</v>
      </c>
      <c r="FPF249" s="5">
        <f t="shared" si="69"/>
        <v>0</v>
      </c>
      <c r="FPG249" s="5">
        <f t="shared" si="69"/>
        <v>0</v>
      </c>
      <c r="FPH249" s="5">
        <f t="shared" si="69"/>
        <v>0</v>
      </c>
      <c r="FPI249" s="5">
        <f t="shared" si="69"/>
        <v>0</v>
      </c>
      <c r="FPJ249" s="5">
        <f t="shared" si="69"/>
        <v>0</v>
      </c>
      <c r="FPK249" s="5">
        <f t="shared" si="69"/>
        <v>0</v>
      </c>
      <c r="FPL249" s="5">
        <f t="shared" si="69"/>
        <v>0</v>
      </c>
      <c r="FPM249" s="5">
        <f t="shared" si="69"/>
        <v>0</v>
      </c>
      <c r="FPN249" s="5">
        <f t="shared" si="69"/>
        <v>0</v>
      </c>
      <c r="FPO249" s="5">
        <f t="shared" si="69"/>
        <v>0</v>
      </c>
      <c r="FPP249" s="5">
        <f t="shared" si="69"/>
        <v>0</v>
      </c>
      <c r="FPQ249" s="5">
        <f t="shared" si="69"/>
        <v>0</v>
      </c>
      <c r="FPR249" s="5">
        <f t="shared" si="69"/>
        <v>0</v>
      </c>
      <c r="FPS249" s="5">
        <f t="shared" si="69"/>
        <v>0</v>
      </c>
      <c r="FPT249" s="5">
        <f t="shared" si="69"/>
        <v>0</v>
      </c>
      <c r="FPU249" s="5">
        <f t="shared" si="69"/>
        <v>0</v>
      </c>
      <c r="FPV249" s="5">
        <f t="shared" si="69"/>
        <v>0</v>
      </c>
      <c r="FPW249" s="5">
        <f t="shared" si="69"/>
        <v>0</v>
      </c>
      <c r="FPX249" s="5">
        <f t="shared" si="69"/>
        <v>0</v>
      </c>
      <c r="FPY249" s="5">
        <f t="shared" si="69"/>
        <v>0</v>
      </c>
      <c r="FPZ249" s="5">
        <f t="shared" ref="FPZ249:FSK249" si="70">SUM(FPZ246:FPZ246)</f>
        <v>0</v>
      </c>
      <c r="FQA249" s="5">
        <f t="shared" si="70"/>
        <v>0</v>
      </c>
      <c r="FQB249" s="5">
        <f t="shared" si="70"/>
        <v>0</v>
      </c>
      <c r="FQC249" s="5">
        <f t="shared" si="70"/>
        <v>0</v>
      </c>
      <c r="FQD249" s="5">
        <f t="shared" si="70"/>
        <v>0</v>
      </c>
      <c r="FQE249" s="5">
        <f t="shared" si="70"/>
        <v>0</v>
      </c>
      <c r="FQF249" s="5">
        <f t="shared" si="70"/>
        <v>0</v>
      </c>
      <c r="FQG249" s="5">
        <f t="shared" si="70"/>
        <v>0</v>
      </c>
      <c r="FQH249" s="5">
        <f t="shared" si="70"/>
        <v>0</v>
      </c>
      <c r="FQI249" s="5">
        <f t="shared" si="70"/>
        <v>0</v>
      </c>
      <c r="FQJ249" s="5">
        <f t="shared" si="70"/>
        <v>0</v>
      </c>
      <c r="FQK249" s="5">
        <f t="shared" si="70"/>
        <v>0</v>
      </c>
      <c r="FQL249" s="5">
        <f t="shared" si="70"/>
        <v>0</v>
      </c>
      <c r="FQM249" s="5">
        <f t="shared" si="70"/>
        <v>0</v>
      </c>
      <c r="FQN249" s="5">
        <f t="shared" si="70"/>
        <v>0</v>
      </c>
      <c r="FQO249" s="5">
        <f t="shared" si="70"/>
        <v>0</v>
      </c>
      <c r="FQP249" s="5">
        <f t="shared" si="70"/>
        <v>0</v>
      </c>
      <c r="FQQ249" s="5">
        <f t="shared" si="70"/>
        <v>0</v>
      </c>
      <c r="FQR249" s="5">
        <f t="shared" si="70"/>
        <v>0</v>
      </c>
      <c r="FQS249" s="5">
        <f t="shared" si="70"/>
        <v>0</v>
      </c>
      <c r="FQT249" s="5">
        <f t="shared" si="70"/>
        <v>0</v>
      </c>
      <c r="FQU249" s="5">
        <f t="shared" si="70"/>
        <v>0</v>
      </c>
      <c r="FQV249" s="5">
        <f t="shared" si="70"/>
        <v>0</v>
      </c>
      <c r="FQW249" s="5">
        <f t="shared" si="70"/>
        <v>0</v>
      </c>
      <c r="FQX249" s="5">
        <f t="shared" si="70"/>
        <v>0</v>
      </c>
      <c r="FQY249" s="5">
        <f t="shared" si="70"/>
        <v>0</v>
      </c>
      <c r="FQZ249" s="5">
        <f t="shared" si="70"/>
        <v>0</v>
      </c>
      <c r="FRA249" s="5">
        <f t="shared" si="70"/>
        <v>0</v>
      </c>
      <c r="FRB249" s="5">
        <f t="shared" si="70"/>
        <v>0</v>
      </c>
      <c r="FRC249" s="5">
        <f t="shared" si="70"/>
        <v>0</v>
      </c>
      <c r="FRD249" s="5">
        <f t="shared" si="70"/>
        <v>0</v>
      </c>
      <c r="FRE249" s="5">
        <f t="shared" si="70"/>
        <v>0</v>
      </c>
      <c r="FRF249" s="5">
        <f t="shared" si="70"/>
        <v>0</v>
      </c>
      <c r="FRG249" s="5">
        <f t="shared" si="70"/>
        <v>0</v>
      </c>
      <c r="FRH249" s="5">
        <f t="shared" si="70"/>
        <v>0</v>
      </c>
      <c r="FRI249" s="5">
        <f t="shared" si="70"/>
        <v>0</v>
      </c>
      <c r="FRJ249" s="5">
        <f t="shared" si="70"/>
        <v>0</v>
      </c>
      <c r="FRK249" s="5">
        <f t="shared" si="70"/>
        <v>0</v>
      </c>
      <c r="FRL249" s="5">
        <f t="shared" si="70"/>
        <v>0</v>
      </c>
      <c r="FRM249" s="5">
        <f t="shared" si="70"/>
        <v>0</v>
      </c>
      <c r="FRN249" s="5">
        <f t="shared" si="70"/>
        <v>0</v>
      </c>
      <c r="FRO249" s="5">
        <f t="shared" si="70"/>
        <v>0</v>
      </c>
      <c r="FRP249" s="5">
        <f t="shared" si="70"/>
        <v>0</v>
      </c>
      <c r="FRQ249" s="5">
        <f t="shared" si="70"/>
        <v>0</v>
      </c>
      <c r="FRR249" s="5">
        <f t="shared" si="70"/>
        <v>0</v>
      </c>
      <c r="FRS249" s="5">
        <f t="shared" si="70"/>
        <v>0</v>
      </c>
      <c r="FRT249" s="5">
        <f t="shared" si="70"/>
        <v>0</v>
      </c>
      <c r="FRU249" s="5">
        <f t="shared" si="70"/>
        <v>0</v>
      </c>
      <c r="FRV249" s="5">
        <f t="shared" si="70"/>
        <v>0</v>
      </c>
      <c r="FRW249" s="5">
        <f t="shared" si="70"/>
        <v>0</v>
      </c>
      <c r="FRX249" s="5">
        <f t="shared" si="70"/>
        <v>0</v>
      </c>
      <c r="FRY249" s="5">
        <f t="shared" si="70"/>
        <v>0</v>
      </c>
      <c r="FRZ249" s="5">
        <f t="shared" si="70"/>
        <v>0</v>
      </c>
      <c r="FSA249" s="5">
        <f t="shared" si="70"/>
        <v>0</v>
      </c>
      <c r="FSB249" s="5">
        <f t="shared" si="70"/>
        <v>0</v>
      </c>
      <c r="FSC249" s="5">
        <f t="shared" si="70"/>
        <v>0</v>
      </c>
      <c r="FSD249" s="5">
        <f t="shared" si="70"/>
        <v>0</v>
      </c>
      <c r="FSE249" s="5">
        <f t="shared" si="70"/>
        <v>0</v>
      </c>
      <c r="FSF249" s="5">
        <f t="shared" si="70"/>
        <v>0</v>
      </c>
      <c r="FSG249" s="5">
        <f t="shared" si="70"/>
        <v>0</v>
      </c>
      <c r="FSH249" s="5">
        <f t="shared" si="70"/>
        <v>0</v>
      </c>
      <c r="FSI249" s="5">
        <f t="shared" si="70"/>
        <v>0</v>
      </c>
      <c r="FSJ249" s="5">
        <f t="shared" si="70"/>
        <v>0</v>
      </c>
      <c r="FSK249" s="5">
        <f t="shared" si="70"/>
        <v>0</v>
      </c>
      <c r="FSL249" s="5">
        <f t="shared" ref="FSL249:FUW249" si="71">SUM(FSL246:FSL246)</f>
        <v>0</v>
      </c>
      <c r="FSM249" s="5">
        <f t="shared" si="71"/>
        <v>0</v>
      </c>
      <c r="FSN249" s="5">
        <f t="shared" si="71"/>
        <v>0</v>
      </c>
      <c r="FSO249" s="5">
        <f t="shared" si="71"/>
        <v>0</v>
      </c>
      <c r="FSP249" s="5">
        <f t="shared" si="71"/>
        <v>0</v>
      </c>
      <c r="FSQ249" s="5">
        <f t="shared" si="71"/>
        <v>0</v>
      </c>
      <c r="FSR249" s="5">
        <f t="shared" si="71"/>
        <v>0</v>
      </c>
      <c r="FSS249" s="5">
        <f t="shared" si="71"/>
        <v>0</v>
      </c>
      <c r="FST249" s="5">
        <f t="shared" si="71"/>
        <v>0</v>
      </c>
      <c r="FSU249" s="5">
        <f t="shared" si="71"/>
        <v>0</v>
      </c>
      <c r="FSV249" s="5">
        <f t="shared" si="71"/>
        <v>0</v>
      </c>
      <c r="FSW249" s="5">
        <f t="shared" si="71"/>
        <v>0</v>
      </c>
      <c r="FSX249" s="5">
        <f t="shared" si="71"/>
        <v>0</v>
      </c>
      <c r="FSY249" s="5">
        <f t="shared" si="71"/>
        <v>0</v>
      </c>
      <c r="FSZ249" s="5">
        <f t="shared" si="71"/>
        <v>0</v>
      </c>
      <c r="FTA249" s="5">
        <f t="shared" si="71"/>
        <v>0</v>
      </c>
      <c r="FTB249" s="5">
        <f t="shared" si="71"/>
        <v>0</v>
      </c>
      <c r="FTC249" s="5">
        <f t="shared" si="71"/>
        <v>0</v>
      </c>
      <c r="FTD249" s="5">
        <f t="shared" si="71"/>
        <v>0</v>
      </c>
      <c r="FTE249" s="5">
        <f t="shared" si="71"/>
        <v>0</v>
      </c>
      <c r="FTF249" s="5">
        <f t="shared" si="71"/>
        <v>0</v>
      </c>
      <c r="FTG249" s="5">
        <f t="shared" si="71"/>
        <v>0</v>
      </c>
      <c r="FTH249" s="5">
        <f t="shared" si="71"/>
        <v>0</v>
      </c>
      <c r="FTI249" s="5">
        <f t="shared" si="71"/>
        <v>0</v>
      </c>
      <c r="FTJ249" s="5">
        <f t="shared" si="71"/>
        <v>0</v>
      </c>
      <c r="FTK249" s="5">
        <f t="shared" si="71"/>
        <v>0</v>
      </c>
      <c r="FTL249" s="5">
        <f t="shared" si="71"/>
        <v>0</v>
      </c>
      <c r="FTM249" s="5">
        <f t="shared" si="71"/>
        <v>0</v>
      </c>
      <c r="FTN249" s="5">
        <f t="shared" si="71"/>
        <v>0</v>
      </c>
      <c r="FTO249" s="5">
        <f t="shared" si="71"/>
        <v>0</v>
      </c>
      <c r="FTP249" s="5">
        <f t="shared" si="71"/>
        <v>0</v>
      </c>
      <c r="FTQ249" s="5">
        <f t="shared" si="71"/>
        <v>0</v>
      </c>
      <c r="FTR249" s="5">
        <f t="shared" si="71"/>
        <v>0</v>
      </c>
      <c r="FTS249" s="5">
        <f t="shared" si="71"/>
        <v>0</v>
      </c>
      <c r="FTT249" s="5">
        <f t="shared" si="71"/>
        <v>0</v>
      </c>
      <c r="FTU249" s="5">
        <f t="shared" si="71"/>
        <v>0</v>
      </c>
      <c r="FTV249" s="5">
        <f t="shared" si="71"/>
        <v>0</v>
      </c>
      <c r="FTW249" s="5">
        <f t="shared" si="71"/>
        <v>0</v>
      </c>
      <c r="FTX249" s="5">
        <f t="shared" si="71"/>
        <v>0</v>
      </c>
      <c r="FTY249" s="5">
        <f t="shared" si="71"/>
        <v>0</v>
      </c>
      <c r="FTZ249" s="5">
        <f t="shared" si="71"/>
        <v>0</v>
      </c>
      <c r="FUA249" s="5">
        <f t="shared" si="71"/>
        <v>0</v>
      </c>
      <c r="FUB249" s="5">
        <f t="shared" si="71"/>
        <v>0</v>
      </c>
      <c r="FUC249" s="5">
        <f t="shared" si="71"/>
        <v>0</v>
      </c>
      <c r="FUD249" s="5">
        <f t="shared" si="71"/>
        <v>0</v>
      </c>
      <c r="FUE249" s="5">
        <f t="shared" si="71"/>
        <v>0</v>
      </c>
      <c r="FUF249" s="5">
        <f t="shared" si="71"/>
        <v>0</v>
      </c>
      <c r="FUG249" s="5">
        <f t="shared" si="71"/>
        <v>0</v>
      </c>
      <c r="FUH249" s="5">
        <f t="shared" si="71"/>
        <v>0</v>
      </c>
      <c r="FUI249" s="5">
        <f t="shared" si="71"/>
        <v>0</v>
      </c>
      <c r="FUJ249" s="5">
        <f t="shared" si="71"/>
        <v>0</v>
      </c>
      <c r="FUK249" s="5">
        <f t="shared" si="71"/>
        <v>0</v>
      </c>
      <c r="FUL249" s="5">
        <f t="shared" si="71"/>
        <v>0</v>
      </c>
      <c r="FUM249" s="5">
        <f t="shared" si="71"/>
        <v>0</v>
      </c>
      <c r="FUN249" s="5">
        <f t="shared" si="71"/>
        <v>0</v>
      </c>
      <c r="FUO249" s="5">
        <f t="shared" si="71"/>
        <v>0</v>
      </c>
      <c r="FUP249" s="5">
        <f t="shared" si="71"/>
        <v>0</v>
      </c>
      <c r="FUQ249" s="5">
        <f t="shared" si="71"/>
        <v>0</v>
      </c>
      <c r="FUR249" s="5">
        <f t="shared" si="71"/>
        <v>0</v>
      </c>
      <c r="FUS249" s="5">
        <f t="shared" si="71"/>
        <v>0</v>
      </c>
      <c r="FUT249" s="5">
        <f t="shared" si="71"/>
        <v>0</v>
      </c>
      <c r="FUU249" s="5">
        <f t="shared" si="71"/>
        <v>0</v>
      </c>
      <c r="FUV249" s="5">
        <f t="shared" si="71"/>
        <v>0</v>
      </c>
      <c r="FUW249" s="5">
        <f t="shared" si="71"/>
        <v>0</v>
      </c>
      <c r="FUX249" s="5">
        <f t="shared" ref="FUX249:FXI249" si="72">SUM(FUX246:FUX246)</f>
        <v>0</v>
      </c>
      <c r="FUY249" s="5">
        <f t="shared" si="72"/>
        <v>0</v>
      </c>
      <c r="FUZ249" s="5">
        <f t="shared" si="72"/>
        <v>0</v>
      </c>
      <c r="FVA249" s="5">
        <f t="shared" si="72"/>
        <v>0</v>
      </c>
      <c r="FVB249" s="5">
        <f t="shared" si="72"/>
        <v>0</v>
      </c>
      <c r="FVC249" s="5">
        <f t="shared" si="72"/>
        <v>0</v>
      </c>
      <c r="FVD249" s="5">
        <f t="shared" si="72"/>
        <v>0</v>
      </c>
      <c r="FVE249" s="5">
        <f t="shared" si="72"/>
        <v>0</v>
      </c>
      <c r="FVF249" s="5">
        <f t="shared" si="72"/>
        <v>0</v>
      </c>
      <c r="FVG249" s="5">
        <f t="shared" si="72"/>
        <v>0</v>
      </c>
      <c r="FVH249" s="5">
        <f t="shared" si="72"/>
        <v>0</v>
      </c>
      <c r="FVI249" s="5">
        <f t="shared" si="72"/>
        <v>0</v>
      </c>
      <c r="FVJ249" s="5">
        <f t="shared" si="72"/>
        <v>0</v>
      </c>
      <c r="FVK249" s="5">
        <f t="shared" si="72"/>
        <v>0</v>
      </c>
      <c r="FVL249" s="5">
        <f t="shared" si="72"/>
        <v>0</v>
      </c>
      <c r="FVM249" s="5">
        <f t="shared" si="72"/>
        <v>0</v>
      </c>
      <c r="FVN249" s="5">
        <f t="shared" si="72"/>
        <v>0</v>
      </c>
      <c r="FVO249" s="5">
        <f t="shared" si="72"/>
        <v>0</v>
      </c>
      <c r="FVP249" s="5">
        <f t="shared" si="72"/>
        <v>0</v>
      </c>
      <c r="FVQ249" s="5">
        <f t="shared" si="72"/>
        <v>0</v>
      </c>
      <c r="FVR249" s="5">
        <f t="shared" si="72"/>
        <v>0</v>
      </c>
      <c r="FVS249" s="5">
        <f t="shared" si="72"/>
        <v>0</v>
      </c>
      <c r="FVT249" s="5">
        <f t="shared" si="72"/>
        <v>0</v>
      </c>
      <c r="FVU249" s="5">
        <f t="shared" si="72"/>
        <v>0</v>
      </c>
      <c r="FVV249" s="5">
        <f t="shared" si="72"/>
        <v>0</v>
      </c>
      <c r="FVW249" s="5">
        <f t="shared" si="72"/>
        <v>0</v>
      </c>
      <c r="FVX249" s="5">
        <f t="shared" si="72"/>
        <v>0</v>
      </c>
      <c r="FVY249" s="5">
        <f t="shared" si="72"/>
        <v>0</v>
      </c>
      <c r="FVZ249" s="5">
        <f t="shared" si="72"/>
        <v>0</v>
      </c>
      <c r="FWA249" s="5">
        <f t="shared" si="72"/>
        <v>0</v>
      </c>
      <c r="FWB249" s="5">
        <f t="shared" si="72"/>
        <v>0</v>
      </c>
      <c r="FWC249" s="5">
        <f t="shared" si="72"/>
        <v>0</v>
      </c>
      <c r="FWD249" s="5">
        <f t="shared" si="72"/>
        <v>0</v>
      </c>
      <c r="FWE249" s="5">
        <f t="shared" si="72"/>
        <v>0</v>
      </c>
      <c r="FWF249" s="5">
        <f t="shared" si="72"/>
        <v>0</v>
      </c>
      <c r="FWG249" s="5">
        <f t="shared" si="72"/>
        <v>0</v>
      </c>
      <c r="FWH249" s="5">
        <f t="shared" si="72"/>
        <v>0</v>
      </c>
      <c r="FWI249" s="5">
        <f t="shared" si="72"/>
        <v>0</v>
      </c>
      <c r="FWJ249" s="5">
        <f t="shared" si="72"/>
        <v>0</v>
      </c>
      <c r="FWK249" s="5">
        <f t="shared" si="72"/>
        <v>0</v>
      </c>
      <c r="FWL249" s="5">
        <f t="shared" si="72"/>
        <v>0</v>
      </c>
      <c r="FWM249" s="5">
        <f t="shared" si="72"/>
        <v>0</v>
      </c>
      <c r="FWN249" s="5">
        <f t="shared" si="72"/>
        <v>0</v>
      </c>
      <c r="FWO249" s="5">
        <f t="shared" si="72"/>
        <v>0</v>
      </c>
      <c r="FWP249" s="5">
        <f t="shared" si="72"/>
        <v>0</v>
      </c>
      <c r="FWQ249" s="5">
        <f t="shared" si="72"/>
        <v>0</v>
      </c>
      <c r="FWR249" s="5">
        <f t="shared" si="72"/>
        <v>0</v>
      </c>
      <c r="FWS249" s="5">
        <f t="shared" si="72"/>
        <v>0</v>
      </c>
      <c r="FWT249" s="5">
        <f t="shared" si="72"/>
        <v>0</v>
      </c>
      <c r="FWU249" s="5">
        <f t="shared" si="72"/>
        <v>0</v>
      </c>
      <c r="FWV249" s="5">
        <f t="shared" si="72"/>
        <v>0</v>
      </c>
      <c r="FWW249" s="5">
        <f t="shared" si="72"/>
        <v>0</v>
      </c>
      <c r="FWX249" s="5">
        <f t="shared" si="72"/>
        <v>0</v>
      </c>
      <c r="FWY249" s="5">
        <f t="shared" si="72"/>
        <v>0</v>
      </c>
      <c r="FWZ249" s="5">
        <f t="shared" si="72"/>
        <v>0</v>
      </c>
      <c r="FXA249" s="5">
        <f t="shared" si="72"/>
        <v>0</v>
      </c>
      <c r="FXB249" s="5">
        <f t="shared" si="72"/>
        <v>0</v>
      </c>
      <c r="FXC249" s="5">
        <f t="shared" si="72"/>
        <v>0</v>
      </c>
      <c r="FXD249" s="5">
        <f t="shared" si="72"/>
        <v>0</v>
      </c>
      <c r="FXE249" s="5">
        <f t="shared" si="72"/>
        <v>0</v>
      </c>
      <c r="FXF249" s="5">
        <f t="shared" si="72"/>
        <v>0</v>
      </c>
      <c r="FXG249" s="5">
        <f t="shared" si="72"/>
        <v>0</v>
      </c>
      <c r="FXH249" s="5">
        <f t="shared" si="72"/>
        <v>0</v>
      </c>
      <c r="FXI249" s="5">
        <f t="shared" si="72"/>
        <v>0</v>
      </c>
      <c r="FXJ249" s="5">
        <f t="shared" ref="FXJ249:FZU249" si="73">SUM(FXJ246:FXJ246)</f>
        <v>0</v>
      </c>
      <c r="FXK249" s="5">
        <f t="shared" si="73"/>
        <v>0</v>
      </c>
      <c r="FXL249" s="5">
        <f t="shared" si="73"/>
        <v>0</v>
      </c>
      <c r="FXM249" s="5">
        <f t="shared" si="73"/>
        <v>0</v>
      </c>
      <c r="FXN249" s="5">
        <f t="shared" si="73"/>
        <v>0</v>
      </c>
      <c r="FXO249" s="5">
        <f t="shared" si="73"/>
        <v>0</v>
      </c>
      <c r="FXP249" s="5">
        <f t="shared" si="73"/>
        <v>0</v>
      </c>
      <c r="FXQ249" s="5">
        <f t="shared" si="73"/>
        <v>0</v>
      </c>
      <c r="FXR249" s="5">
        <f t="shared" si="73"/>
        <v>0</v>
      </c>
      <c r="FXS249" s="5">
        <f t="shared" si="73"/>
        <v>0</v>
      </c>
      <c r="FXT249" s="5">
        <f t="shared" si="73"/>
        <v>0</v>
      </c>
      <c r="FXU249" s="5">
        <f t="shared" si="73"/>
        <v>0</v>
      </c>
      <c r="FXV249" s="5">
        <f t="shared" si="73"/>
        <v>0</v>
      </c>
      <c r="FXW249" s="5">
        <f t="shared" si="73"/>
        <v>0</v>
      </c>
      <c r="FXX249" s="5">
        <f t="shared" si="73"/>
        <v>0</v>
      </c>
      <c r="FXY249" s="5">
        <f t="shared" si="73"/>
        <v>0</v>
      </c>
      <c r="FXZ249" s="5">
        <f t="shared" si="73"/>
        <v>0</v>
      </c>
      <c r="FYA249" s="5">
        <f t="shared" si="73"/>
        <v>0</v>
      </c>
      <c r="FYB249" s="5">
        <f t="shared" si="73"/>
        <v>0</v>
      </c>
      <c r="FYC249" s="5">
        <f t="shared" si="73"/>
        <v>0</v>
      </c>
      <c r="FYD249" s="5">
        <f t="shared" si="73"/>
        <v>0</v>
      </c>
      <c r="FYE249" s="5">
        <f t="shared" si="73"/>
        <v>0</v>
      </c>
      <c r="FYF249" s="5">
        <f t="shared" si="73"/>
        <v>0</v>
      </c>
      <c r="FYG249" s="5">
        <f t="shared" si="73"/>
        <v>0</v>
      </c>
      <c r="FYH249" s="5">
        <f t="shared" si="73"/>
        <v>0</v>
      </c>
      <c r="FYI249" s="5">
        <f t="shared" si="73"/>
        <v>0</v>
      </c>
      <c r="FYJ249" s="5">
        <f t="shared" si="73"/>
        <v>0</v>
      </c>
      <c r="FYK249" s="5">
        <f t="shared" si="73"/>
        <v>0</v>
      </c>
      <c r="FYL249" s="5">
        <f t="shared" si="73"/>
        <v>0</v>
      </c>
      <c r="FYM249" s="5">
        <f t="shared" si="73"/>
        <v>0</v>
      </c>
      <c r="FYN249" s="5">
        <f t="shared" si="73"/>
        <v>0</v>
      </c>
      <c r="FYO249" s="5">
        <f t="shared" si="73"/>
        <v>0</v>
      </c>
      <c r="FYP249" s="5">
        <f t="shared" si="73"/>
        <v>0</v>
      </c>
      <c r="FYQ249" s="5">
        <f t="shared" si="73"/>
        <v>0</v>
      </c>
      <c r="FYR249" s="5">
        <f t="shared" si="73"/>
        <v>0</v>
      </c>
      <c r="FYS249" s="5">
        <f t="shared" si="73"/>
        <v>0</v>
      </c>
      <c r="FYT249" s="5">
        <f t="shared" si="73"/>
        <v>0</v>
      </c>
      <c r="FYU249" s="5">
        <f t="shared" si="73"/>
        <v>0</v>
      </c>
      <c r="FYV249" s="5">
        <f t="shared" si="73"/>
        <v>0</v>
      </c>
      <c r="FYW249" s="5">
        <f t="shared" si="73"/>
        <v>0</v>
      </c>
      <c r="FYX249" s="5">
        <f t="shared" si="73"/>
        <v>0</v>
      </c>
      <c r="FYY249" s="5">
        <f t="shared" si="73"/>
        <v>0</v>
      </c>
      <c r="FYZ249" s="5">
        <f t="shared" si="73"/>
        <v>0</v>
      </c>
      <c r="FZA249" s="5">
        <f t="shared" si="73"/>
        <v>0</v>
      </c>
      <c r="FZB249" s="5">
        <f t="shared" si="73"/>
        <v>0</v>
      </c>
      <c r="FZC249" s="5">
        <f t="shared" si="73"/>
        <v>0</v>
      </c>
      <c r="FZD249" s="5">
        <f t="shared" si="73"/>
        <v>0</v>
      </c>
      <c r="FZE249" s="5">
        <f t="shared" si="73"/>
        <v>0</v>
      </c>
      <c r="FZF249" s="5">
        <f t="shared" si="73"/>
        <v>0</v>
      </c>
      <c r="FZG249" s="5">
        <f t="shared" si="73"/>
        <v>0</v>
      </c>
      <c r="FZH249" s="5">
        <f t="shared" si="73"/>
        <v>0</v>
      </c>
      <c r="FZI249" s="5">
        <f t="shared" si="73"/>
        <v>0</v>
      </c>
      <c r="FZJ249" s="5">
        <f t="shared" si="73"/>
        <v>0</v>
      </c>
      <c r="FZK249" s="5">
        <f t="shared" si="73"/>
        <v>0</v>
      </c>
      <c r="FZL249" s="5">
        <f t="shared" si="73"/>
        <v>0</v>
      </c>
      <c r="FZM249" s="5">
        <f t="shared" si="73"/>
        <v>0</v>
      </c>
      <c r="FZN249" s="5">
        <f t="shared" si="73"/>
        <v>0</v>
      </c>
      <c r="FZO249" s="5">
        <f t="shared" si="73"/>
        <v>0</v>
      </c>
      <c r="FZP249" s="5">
        <f t="shared" si="73"/>
        <v>0</v>
      </c>
      <c r="FZQ249" s="5">
        <f t="shared" si="73"/>
        <v>0</v>
      </c>
      <c r="FZR249" s="5">
        <f t="shared" si="73"/>
        <v>0</v>
      </c>
      <c r="FZS249" s="5">
        <f t="shared" si="73"/>
        <v>0</v>
      </c>
      <c r="FZT249" s="5">
        <f t="shared" si="73"/>
        <v>0</v>
      </c>
      <c r="FZU249" s="5">
        <f t="shared" si="73"/>
        <v>0</v>
      </c>
      <c r="FZV249" s="5">
        <f t="shared" ref="FZV249:GCG249" si="74">SUM(FZV246:FZV246)</f>
        <v>0</v>
      </c>
      <c r="FZW249" s="5">
        <f t="shared" si="74"/>
        <v>0</v>
      </c>
      <c r="FZX249" s="5">
        <f t="shared" si="74"/>
        <v>0</v>
      </c>
      <c r="FZY249" s="5">
        <f t="shared" si="74"/>
        <v>0</v>
      </c>
      <c r="FZZ249" s="5">
        <f t="shared" si="74"/>
        <v>0</v>
      </c>
      <c r="GAA249" s="5">
        <f t="shared" si="74"/>
        <v>0</v>
      </c>
      <c r="GAB249" s="5">
        <f t="shared" si="74"/>
        <v>0</v>
      </c>
      <c r="GAC249" s="5">
        <f t="shared" si="74"/>
        <v>0</v>
      </c>
      <c r="GAD249" s="5">
        <f t="shared" si="74"/>
        <v>0</v>
      </c>
      <c r="GAE249" s="5">
        <f t="shared" si="74"/>
        <v>0</v>
      </c>
      <c r="GAF249" s="5">
        <f t="shared" si="74"/>
        <v>0</v>
      </c>
      <c r="GAG249" s="5">
        <f t="shared" si="74"/>
        <v>0</v>
      </c>
      <c r="GAH249" s="5">
        <f t="shared" si="74"/>
        <v>0</v>
      </c>
      <c r="GAI249" s="5">
        <f t="shared" si="74"/>
        <v>0</v>
      </c>
      <c r="GAJ249" s="5">
        <f t="shared" si="74"/>
        <v>0</v>
      </c>
      <c r="GAK249" s="5">
        <f t="shared" si="74"/>
        <v>0</v>
      </c>
      <c r="GAL249" s="5">
        <f t="shared" si="74"/>
        <v>0</v>
      </c>
      <c r="GAM249" s="5">
        <f t="shared" si="74"/>
        <v>0</v>
      </c>
      <c r="GAN249" s="5">
        <f t="shared" si="74"/>
        <v>0</v>
      </c>
      <c r="GAO249" s="5">
        <f t="shared" si="74"/>
        <v>0</v>
      </c>
      <c r="GAP249" s="5">
        <f t="shared" si="74"/>
        <v>0</v>
      </c>
      <c r="GAQ249" s="5">
        <f t="shared" si="74"/>
        <v>0</v>
      </c>
      <c r="GAR249" s="5">
        <f t="shared" si="74"/>
        <v>0</v>
      </c>
      <c r="GAS249" s="5">
        <f t="shared" si="74"/>
        <v>0</v>
      </c>
      <c r="GAT249" s="5">
        <f t="shared" si="74"/>
        <v>0</v>
      </c>
      <c r="GAU249" s="5">
        <f t="shared" si="74"/>
        <v>0</v>
      </c>
      <c r="GAV249" s="5">
        <f t="shared" si="74"/>
        <v>0</v>
      </c>
      <c r="GAW249" s="5">
        <f t="shared" si="74"/>
        <v>0</v>
      </c>
      <c r="GAX249" s="5">
        <f t="shared" si="74"/>
        <v>0</v>
      </c>
      <c r="GAY249" s="5">
        <f t="shared" si="74"/>
        <v>0</v>
      </c>
      <c r="GAZ249" s="5">
        <f t="shared" si="74"/>
        <v>0</v>
      </c>
      <c r="GBA249" s="5">
        <f t="shared" si="74"/>
        <v>0</v>
      </c>
      <c r="GBB249" s="5">
        <f t="shared" si="74"/>
        <v>0</v>
      </c>
      <c r="GBC249" s="5">
        <f t="shared" si="74"/>
        <v>0</v>
      </c>
      <c r="GBD249" s="5">
        <f t="shared" si="74"/>
        <v>0</v>
      </c>
      <c r="GBE249" s="5">
        <f t="shared" si="74"/>
        <v>0</v>
      </c>
      <c r="GBF249" s="5">
        <f t="shared" si="74"/>
        <v>0</v>
      </c>
      <c r="GBG249" s="5">
        <f t="shared" si="74"/>
        <v>0</v>
      </c>
      <c r="GBH249" s="5">
        <f t="shared" si="74"/>
        <v>0</v>
      </c>
      <c r="GBI249" s="5">
        <f t="shared" si="74"/>
        <v>0</v>
      </c>
      <c r="GBJ249" s="5">
        <f t="shared" si="74"/>
        <v>0</v>
      </c>
      <c r="GBK249" s="5">
        <f t="shared" si="74"/>
        <v>0</v>
      </c>
      <c r="GBL249" s="5">
        <f t="shared" si="74"/>
        <v>0</v>
      </c>
      <c r="GBM249" s="5">
        <f t="shared" si="74"/>
        <v>0</v>
      </c>
      <c r="GBN249" s="5">
        <f t="shared" si="74"/>
        <v>0</v>
      </c>
      <c r="GBO249" s="5">
        <f t="shared" si="74"/>
        <v>0</v>
      </c>
      <c r="GBP249" s="5">
        <f t="shared" si="74"/>
        <v>0</v>
      </c>
      <c r="GBQ249" s="5">
        <f t="shared" si="74"/>
        <v>0</v>
      </c>
      <c r="GBR249" s="5">
        <f t="shared" si="74"/>
        <v>0</v>
      </c>
      <c r="GBS249" s="5">
        <f t="shared" si="74"/>
        <v>0</v>
      </c>
      <c r="GBT249" s="5">
        <f t="shared" si="74"/>
        <v>0</v>
      </c>
      <c r="GBU249" s="5">
        <f t="shared" si="74"/>
        <v>0</v>
      </c>
      <c r="GBV249" s="5">
        <f t="shared" si="74"/>
        <v>0</v>
      </c>
      <c r="GBW249" s="5">
        <f t="shared" si="74"/>
        <v>0</v>
      </c>
      <c r="GBX249" s="5">
        <f t="shared" si="74"/>
        <v>0</v>
      </c>
      <c r="GBY249" s="5">
        <f t="shared" si="74"/>
        <v>0</v>
      </c>
      <c r="GBZ249" s="5">
        <f t="shared" si="74"/>
        <v>0</v>
      </c>
      <c r="GCA249" s="5">
        <f t="shared" si="74"/>
        <v>0</v>
      </c>
      <c r="GCB249" s="5">
        <f t="shared" si="74"/>
        <v>0</v>
      </c>
      <c r="GCC249" s="5">
        <f t="shared" si="74"/>
        <v>0</v>
      </c>
      <c r="GCD249" s="5">
        <f t="shared" si="74"/>
        <v>0</v>
      </c>
      <c r="GCE249" s="5">
        <f t="shared" si="74"/>
        <v>0</v>
      </c>
      <c r="GCF249" s="5">
        <f t="shared" si="74"/>
        <v>0</v>
      </c>
      <c r="GCG249" s="5">
        <f t="shared" si="74"/>
        <v>0</v>
      </c>
      <c r="GCH249" s="5">
        <f t="shared" ref="GCH249:GES249" si="75">SUM(GCH246:GCH246)</f>
        <v>0</v>
      </c>
      <c r="GCI249" s="5">
        <f t="shared" si="75"/>
        <v>0</v>
      </c>
      <c r="GCJ249" s="5">
        <f t="shared" si="75"/>
        <v>0</v>
      </c>
      <c r="GCK249" s="5">
        <f t="shared" si="75"/>
        <v>0</v>
      </c>
      <c r="GCL249" s="5">
        <f t="shared" si="75"/>
        <v>0</v>
      </c>
      <c r="GCM249" s="5">
        <f t="shared" si="75"/>
        <v>0</v>
      </c>
      <c r="GCN249" s="5">
        <f t="shared" si="75"/>
        <v>0</v>
      </c>
      <c r="GCO249" s="5">
        <f t="shared" si="75"/>
        <v>0</v>
      </c>
      <c r="GCP249" s="5">
        <f t="shared" si="75"/>
        <v>0</v>
      </c>
      <c r="GCQ249" s="5">
        <f t="shared" si="75"/>
        <v>0</v>
      </c>
      <c r="GCR249" s="5">
        <f t="shared" si="75"/>
        <v>0</v>
      </c>
      <c r="GCS249" s="5">
        <f t="shared" si="75"/>
        <v>0</v>
      </c>
      <c r="GCT249" s="5">
        <f t="shared" si="75"/>
        <v>0</v>
      </c>
      <c r="GCU249" s="5">
        <f t="shared" si="75"/>
        <v>0</v>
      </c>
      <c r="GCV249" s="5">
        <f t="shared" si="75"/>
        <v>0</v>
      </c>
      <c r="GCW249" s="5">
        <f t="shared" si="75"/>
        <v>0</v>
      </c>
      <c r="GCX249" s="5">
        <f t="shared" si="75"/>
        <v>0</v>
      </c>
      <c r="GCY249" s="5">
        <f t="shared" si="75"/>
        <v>0</v>
      </c>
      <c r="GCZ249" s="5">
        <f t="shared" si="75"/>
        <v>0</v>
      </c>
      <c r="GDA249" s="5">
        <f t="shared" si="75"/>
        <v>0</v>
      </c>
      <c r="GDB249" s="5">
        <f t="shared" si="75"/>
        <v>0</v>
      </c>
      <c r="GDC249" s="5">
        <f t="shared" si="75"/>
        <v>0</v>
      </c>
      <c r="GDD249" s="5">
        <f t="shared" si="75"/>
        <v>0</v>
      </c>
      <c r="GDE249" s="5">
        <f t="shared" si="75"/>
        <v>0</v>
      </c>
      <c r="GDF249" s="5">
        <f t="shared" si="75"/>
        <v>0</v>
      </c>
      <c r="GDG249" s="5">
        <f t="shared" si="75"/>
        <v>0</v>
      </c>
      <c r="GDH249" s="5">
        <f t="shared" si="75"/>
        <v>0</v>
      </c>
      <c r="GDI249" s="5">
        <f t="shared" si="75"/>
        <v>0</v>
      </c>
      <c r="GDJ249" s="5">
        <f t="shared" si="75"/>
        <v>0</v>
      </c>
      <c r="GDK249" s="5">
        <f t="shared" si="75"/>
        <v>0</v>
      </c>
      <c r="GDL249" s="5">
        <f t="shared" si="75"/>
        <v>0</v>
      </c>
      <c r="GDM249" s="5">
        <f t="shared" si="75"/>
        <v>0</v>
      </c>
      <c r="GDN249" s="5">
        <f t="shared" si="75"/>
        <v>0</v>
      </c>
      <c r="GDO249" s="5">
        <f t="shared" si="75"/>
        <v>0</v>
      </c>
      <c r="GDP249" s="5">
        <f t="shared" si="75"/>
        <v>0</v>
      </c>
      <c r="GDQ249" s="5">
        <f t="shared" si="75"/>
        <v>0</v>
      </c>
      <c r="GDR249" s="5">
        <f t="shared" si="75"/>
        <v>0</v>
      </c>
      <c r="GDS249" s="5">
        <f t="shared" si="75"/>
        <v>0</v>
      </c>
      <c r="GDT249" s="5">
        <f t="shared" si="75"/>
        <v>0</v>
      </c>
      <c r="GDU249" s="5">
        <f t="shared" si="75"/>
        <v>0</v>
      </c>
      <c r="GDV249" s="5">
        <f t="shared" si="75"/>
        <v>0</v>
      </c>
      <c r="GDW249" s="5">
        <f t="shared" si="75"/>
        <v>0</v>
      </c>
      <c r="GDX249" s="5">
        <f t="shared" si="75"/>
        <v>0</v>
      </c>
      <c r="GDY249" s="5">
        <f t="shared" si="75"/>
        <v>0</v>
      </c>
      <c r="GDZ249" s="5">
        <f t="shared" si="75"/>
        <v>0</v>
      </c>
      <c r="GEA249" s="5">
        <f t="shared" si="75"/>
        <v>0</v>
      </c>
      <c r="GEB249" s="5">
        <f t="shared" si="75"/>
        <v>0</v>
      </c>
      <c r="GEC249" s="5">
        <f t="shared" si="75"/>
        <v>0</v>
      </c>
      <c r="GED249" s="5">
        <f t="shared" si="75"/>
        <v>0</v>
      </c>
      <c r="GEE249" s="5">
        <f t="shared" si="75"/>
        <v>0</v>
      </c>
      <c r="GEF249" s="5">
        <f t="shared" si="75"/>
        <v>0</v>
      </c>
      <c r="GEG249" s="5">
        <f t="shared" si="75"/>
        <v>0</v>
      </c>
      <c r="GEH249" s="5">
        <f t="shared" si="75"/>
        <v>0</v>
      </c>
      <c r="GEI249" s="5">
        <f t="shared" si="75"/>
        <v>0</v>
      </c>
      <c r="GEJ249" s="5">
        <f t="shared" si="75"/>
        <v>0</v>
      </c>
      <c r="GEK249" s="5">
        <f t="shared" si="75"/>
        <v>0</v>
      </c>
      <c r="GEL249" s="5">
        <f t="shared" si="75"/>
        <v>0</v>
      </c>
      <c r="GEM249" s="5">
        <f t="shared" si="75"/>
        <v>0</v>
      </c>
      <c r="GEN249" s="5">
        <f t="shared" si="75"/>
        <v>0</v>
      </c>
      <c r="GEO249" s="5">
        <f t="shared" si="75"/>
        <v>0</v>
      </c>
      <c r="GEP249" s="5">
        <f t="shared" si="75"/>
        <v>0</v>
      </c>
      <c r="GEQ249" s="5">
        <f t="shared" si="75"/>
        <v>0</v>
      </c>
      <c r="GER249" s="5">
        <f t="shared" si="75"/>
        <v>0</v>
      </c>
      <c r="GES249" s="5">
        <f t="shared" si="75"/>
        <v>0</v>
      </c>
      <c r="GET249" s="5">
        <f t="shared" ref="GET249:GHE249" si="76">SUM(GET246:GET246)</f>
        <v>0</v>
      </c>
      <c r="GEU249" s="5">
        <f t="shared" si="76"/>
        <v>0</v>
      </c>
      <c r="GEV249" s="5">
        <f t="shared" si="76"/>
        <v>0</v>
      </c>
      <c r="GEW249" s="5">
        <f t="shared" si="76"/>
        <v>0</v>
      </c>
      <c r="GEX249" s="5">
        <f t="shared" si="76"/>
        <v>0</v>
      </c>
      <c r="GEY249" s="5">
        <f t="shared" si="76"/>
        <v>0</v>
      </c>
      <c r="GEZ249" s="5">
        <f t="shared" si="76"/>
        <v>0</v>
      </c>
      <c r="GFA249" s="5">
        <f t="shared" si="76"/>
        <v>0</v>
      </c>
      <c r="GFB249" s="5">
        <f t="shared" si="76"/>
        <v>0</v>
      </c>
      <c r="GFC249" s="5">
        <f t="shared" si="76"/>
        <v>0</v>
      </c>
      <c r="GFD249" s="5">
        <f t="shared" si="76"/>
        <v>0</v>
      </c>
      <c r="GFE249" s="5">
        <f t="shared" si="76"/>
        <v>0</v>
      </c>
      <c r="GFF249" s="5">
        <f t="shared" si="76"/>
        <v>0</v>
      </c>
      <c r="GFG249" s="5">
        <f t="shared" si="76"/>
        <v>0</v>
      </c>
      <c r="GFH249" s="5">
        <f t="shared" si="76"/>
        <v>0</v>
      </c>
      <c r="GFI249" s="5">
        <f t="shared" si="76"/>
        <v>0</v>
      </c>
      <c r="GFJ249" s="5">
        <f t="shared" si="76"/>
        <v>0</v>
      </c>
      <c r="GFK249" s="5">
        <f t="shared" si="76"/>
        <v>0</v>
      </c>
      <c r="GFL249" s="5">
        <f t="shared" si="76"/>
        <v>0</v>
      </c>
      <c r="GFM249" s="5">
        <f t="shared" si="76"/>
        <v>0</v>
      </c>
      <c r="GFN249" s="5">
        <f t="shared" si="76"/>
        <v>0</v>
      </c>
      <c r="GFO249" s="5">
        <f t="shared" si="76"/>
        <v>0</v>
      </c>
      <c r="GFP249" s="5">
        <f t="shared" si="76"/>
        <v>0</v>
      </c>
      <c r="GFQ249" s="5">
        <f t="shared" si="76"/>
        <v>0</v>
      </c>
      <c r="GFR249" s="5">
        <f t="shared" si="76"/>
        <v>0</v>
      </c>
      <c r="GFS249" s="5">
        <f t="shared" si="76"/>
        <v>0</v>
      </c>
      <c r="GFT249" s="5">
        <f t="shared" si="76"/>
        <v>0</v>
      </c>
      <c r="GFU249" s="5">
        <f t="shared" si="76"/>
        <v>0</v>
      </c>
      <c r="GFV249" s="5">
        <f t="shared" si="76"/>
        <v>0</v>
      </c>
      <c r="GFW249" s="5">
        <f t="shared" si="76"/>
        <v>0</v>
      </c>
      <c r="GFX249" s="5">
        <f t="shared" si="76"/>
        <v>0</v>
      </c>
      <c r="GFY249" s="5">
        <f t="shared" si="76"/>
        <v>0</v>
      </c>
      <c r="GFZ249" s="5">
        <f t="shared" si="76"/>
        <v>0</v>
      </c>
      <c r="GGA249" s="5">
        <f t="shared" si="76"/>
        <v>0</v>
      </c>
      <c r="GGB249" s="5">
        <f t="shared" si="76"/>
        <v>0</v>
      </c>
      <c r="GGC249" s="5">
        <f t="shared" si="76"/>
        <v>0</v>
      </c>
      <c r="GGD249" s="5">
        <f t="shared" si="76"/>
        <v>0</v>
      </c>
      <c r="GGE249" s="5">
        <f t="shared" si="76"/>
        <v>0</v>
      </c>
      <c r="GGF249" s="5">
        <f t="shared" si="76"/>
        <v>0</v>
      </c>
      <c r="GGG249" s="5">
        <f t="shared" si="76"/>
        <v>0</v>
      </c>
      <c r="GGH249" s="5">
        <f t="shared" si="76"/>
        <v>0</v>
      </c>
      <c r="GGI249" s="5">
        <f t="shared" si="76"/>
        <v>0</v>
      </c>
      <c r="GGJ249" s="5">
        <f t="shared" si="76"/>
        <v>0</v>
      </c>
      <c r="GGK249" s="5">
        <f t="shared" si="76"/>
        <v>0</v>
      </c>
      <c r="GGL249" s="5">
        <f t="shared" si="76"/>
        <v>0</v>
      </c>
      <c r="GGM249" s="5">
        <f t="shared" si="76"/>
        <v>0</v>
      </c>
      <c r="GGN249" s="5">
        <f t="shared" si="76"/>
        <v>0</v>
      </c>
      <c r="GGO249" s="5">
        <f t="shared" si="76"/>
        <v>0</v>
      </c>
      <c r="GGP249" s="5">
        <f t="shared" si="76"/>
        <v>0</v>
      </c>
      <c r="GGQ249" s="5">
        <f t="shared" si="76"/>
        <v>0</v>
      </c>
      <c r="GGR249" s="5">
        <f t="shared" si="76"/>
        <v>0</v>
      </c>
      <c r="GGS249" s="5">
        <f t="shared" si="76"/>
        <v>0</v>
      </c>
      <c r="GGT249" s="5">
        <f t="shared" si="76"/>
        <v>0</v>
      </c>
      <c r="GGU249" s="5">
        <f t="shared" si="76"/>
        <v>0</v>
      </c>
      <c r="GGV249" s="5">
        <f t="shared" si="76"/>
        <v>0</v>
      </c>
      <c r="GGW249" s="5">
        <f t="shared" si="76"/>
        <v>0</v>
      </c>
      <c r="GGX249" s="5">
        <f t="shared" si="76"/>
        <v>0</v>
      </c>
      <c r="GGY249" s="5">
        <f t="shared" si="76"/>
        <v>0</v>
      </c>
      <c r="GGZ249" s="5">
        <f t="shared" si="76"/>
        <v>0</v>
      </c>
      <c r="GHA249" s="5">
        <f t="shared" si="76"/>
        <v>0</v>
      </c>
      <c r="GHB249" s="5">
        <f t="shared" si="76"/>
        <v>0</v>
      </c>
      <c r="GHC249" s="5">
        <f t="shared" si="76"/>
        <v>0</v>
      </c>
      <c r="GHD249" s="5">
        <f t="shared" si="76"/>
        <v>0</v>
      </c>
      <c r="GHE249" s="5">
        <f t="shared" si="76"/>
        <v>0</v>
      </c>
      <c r="GHF249" s="5">
        <f t="shared" ref="GHF249:GJQ249" si="77">SUM(GHF246:GHF246)</f>
        <v>0</v>
      </c>
      <c r="GHG249" s="5">
        <f t="shared" si="77"/>
        <v>0</v>
      </c>
      <c r="GHH249" s="5">
        <f t="shared" si="77"/>
        <v>0</v>
      </c>
      <c r="GHI249" s="5">
        <f t="shared" si="77"/>
        <v>0</v>
      </c>
      <c r="GHJ249" s="5">
        <f t="shared" si="77"/>
        <v>0</v>
      </c>
      <c r="GHK249" s="5">
        <f t="shared" si="77"/>
        <v>0</v>
      </c>
      <c r="GHL249" s="5">
        <f t="shared" si="77"/>
        <v>0</v>
      </c>
      <c r="GHM249" s="5">
        <f t="shared" si="77"/>
        <v>0</v>
      </c>
      <c r="GHN249" s="5">
        <f t="shared" si="77"/>
        <v>0</v>
      </c>
      <c r="GHO249" s="5">
        <f t="shared" si="77"/>
        <v>0</v>
      </c>
      <c r="GHP249" s="5">
        <f t="shared" si="77"/>
        <v>0</v>
      </c>
      <c r="GHQ249" s="5">
        <f t="shared" si="77"/>
        <v>0</v>
      </c>
      <c r="GHR249" s="5">
        <f t="shared" si="77"/>
        <v>0</v>
      </c>
      <c r="GHS249" s="5">
        <f t="shared" si="77"/>
        <v>0</v>
      </c>
      <c r="GHT249" s="5">
        <f t="shared" si="77"/>
        <v>0</v>
      </c>
      <c r="GHU249" s="5">
        <f t="shared" si="77"/>
        <v>0</v>
      </c>
      <c r="GHV249" s="5">
        <f t="shared" si="77"/>
        <v>0</v>
      </c>
      <c r="GHW249" s="5">
        <f t="shared" si="77"/>
        <v>0</v>
      </c>
      <c r="GHX249" s="5">
        <f t="shared" si="77"/>
        <v>0</v>
      </c>
      <c r="GHY249" s="5">
        <f t="shared" si="77"/>
        <v>0</v>
      </c>
      <c r="GHZ249" s="5">
        <f t="shared" si="77"/>
        <v>0</v>
      </c>
      <c r="GIA249" s="5">
        <f t="shared" si="77"/>
        <v>0</v>
      </c>
      <c r="GIB249" s="5">
        <f t="shared" si="77"/>
        <v>0</v>
      </c>
      <c r="GIC249" s="5">
        <f t="shared" si="77"/>
        <v>0</v>
      </c>
      <c r="GID249" s="5">
        <f t="shared" si="77"/>
        <v>0</v>
      </c>
      <c r="GIE249" s="5">
        <f t="shared" si="77"/>
        <v>0</v>
      </c>
      <c r="GIF249" s="5">
        <f t="shared" si="77"/>
        <v>0</v>
      </c>
      <c r="GIG249" s="5">
        <f t="shared" si="77"/>
        <v>0</v>
      </c>
      <c r="GIH249" s="5">
        <f t="shared" si="77"/>
        <v>0</v>
      </c>
      <c r="GII249" s="5">
        <f t="shared" si="77"/>
        <v>0</v>
      </c>
      <c r="GIJ249" s="5">
        <f t="shared" si="77"/>
        <v>0</v>
      </c>
      <c r="GIK249" s="5">
        <f t="shared" si="77"/>
        <v>0</v>
      </c>
      <c r="GIL249" s="5">
        <f t="shared" si="77"/>
        <v>0</v>
      </c>
      <c r="GIM249" s="5">
        <f t="shared" si="77"/>
        <v>0</v>
      </c>
      <c r="GIN249" s="5">
        <f t="shared" si="77"/>
        <v>0</v>
      </c>
      <c r="GIO249" s="5">
        <f t="shared" si="77"/>
        <v>0</v>
      </c>
      <c r="GIP249" s="5">
        <f t="shared" si="77"/>
        <v>0</v>
      </c>
      <c r="GIQ249" s="5">
        <f t="shared" si="77"/>
        <v>0</v>
      </c>
      <c r="GIR249" s="5">
        <f t="shared" si="77"/>
        <v>0</v>
      </c>
      <c r="GIS249" s="5">
        <f t="shared" si="77"/>
        <v>0</v>
      </c>
      <c r="GIT249" s="5">
        <f t="shared" si="77"/>
        <v>0</v>
      </c>
      <c r="GIU249" s="5">
        <f t="shared" si="77"/>
        <v>0</v>
      </c>
      <c r="GIV249" s="5">
        <f t="shared" si="77"/>
        <v>0</v>
      </c>
      <c r="GIW249" s="5">
        <f t="shared" si="77"/>
        <v>0</v>
      </c>
      <c r="GIX249" s="5">
        <f t="shared" si="77"/>
        <v>0</v>
      </c>
      <c r="GIY249" s="5">
        <f t="shared" si="77"/>
        <v>0</v>
      </c>
      <c r="GIZ249" s="5">
        <f t="shared" si="77"/>
        <v>0</v>
      </c>
      <c r="GJA249" s="5">
        <f t="shared" si="77"/>
        <v>0</v>
      </c>
      <c r="GJB249" s="5">
        <f t="shared" si="77"/>
        <v>0</v>
      </c>
      <c r="GJC249" s="5">
        <f t="shared" si="77"/>
        <v>0</v>
      </c>
      <c r="GJD249" s="5">
        <f t="shared" si="77"/>
        <v>0</v>
      </c>
      <c r="GJE249" s="5">
        <f t="shared" si="77"/>
        <v>0</v>
      </c>
      <c r="GJF249" s="5">
        <f t="shared" si="77"/>
        <v>0</v>
      </c>
      <c r="GJG249" s="5">
        <f t="shared" si="77"/>
        <v>0</v>
      </c>
      <c r="GJH249" s="5">
        <f t="shared" si="77"/>
        <v>0</v>
      </c>
      <c r="GJI249" s="5">
        <f t="shared" si="77"/>
        <v>0</v>
      </c>
      <c r="GJJ249" s="5">
        <f t="shared" si="77"/>
        <v>0</v>
      </c>
      <c r="GJK249" s="5">
        <f t="shared" si="77"/>
        <v>0</v>
      </c>
      <c r="GJL249" s="5">
        <f t="shared" si="77"/>
        <v>0</v>
      </c>
      <c r="GJM249" s="5">
        <f t="shared" si="77"/>
        <v>0</v>
      </c>
      <c r="GJN249" s="5">
        <f t="shared" si="77"/>
        <v>0</v>
      </c>
      <c r="GJO249" s="5">
        <f t="shared" si="77"/>
        <v>0</v>
      </c>
      <c r="GJP249" s="5">
        <f t="shared" si="77"/>
        <v>0</v>
      </c>
      <c r="GJQ249" s="5">
        <f t="shared" si="77"/>
        <v>0</v>
      </c>
      <c r="GJR249" s="5">
        <f t="shared" ref="GJR249:GMC249" si="78">SUM(GJR246:GJR246)</f>
        <v>0</v>
      </c>
      <c r="GJS249" s="5">
        <f t="shared" si="78"/>
        <v>0</v>
      </c>
      <c r="GJT249" s="5">
        <f t="shared" si="78"/>
        <v>0</v>
      </c>
      <c r="GJU249" s="5">
        <f t="shared" si="78"/>
        <v>0</v>
      </c>
      <c r="GJV249" s="5">
        <f t="shared" si="78"/>
        <v>0</v>
      </c>
      <c r="GJW249" s="5">
        <f t="shared" si="78"/>
        <v>0</v>
      </c>
      <c r="GJX249" s="5">
        <f t="shared" si="78"/>
        <v>0</v>
      </c>
      <c r="GJY249" s="5">
        <f t="shared" si="78"/>
        <v>0</v>
      </c>
      <c r="GJZ249" s="5">
        <f t="shared" si="78"/>
        <v>0</v>
      </c>
      <c r="GKA249" s="5">
        <f t="shared" si="78"/>
        <v>0</v>
      </c>
      <c r="GKB249" s="5">
        <f t="shared" si="78"/>
        <v>0</v>
      </c>
      <c r="GKC249" s="5">
        <f t="shared" si="78"/>
        <v>0</v>
      </c>
      <c r="GKD249" s="5">
        <f t="shared" si="78"/>
        <v>0</v>
      </c>
      <c r="GKE249" s="5">
        <f t="shared" si="78"/>
        <v>0</v>
      </c>
      <c r="GKF249" s="5">
        <f t="shared" si="78"/>
        <v>0</v>
      </c>
      <c r="GKG249" s="5">
        <f t="shared" si="78"/>
        <v>0</v>
      </c>
      <c r="GKH249" s="5">
        <f t="shared" si="78"/>
        <v>0</v>
      </c>
      <c r="GKI249" s="5">
        <f t="shared" si="78"/>
        <v>0</v>
      </c>
      <c r="GKJ249" s="5">
        <f t="shared" si="78"/>
        <v>0</v>
      </c>
      <c r="GKK249" s="5">
        <f t="shared" si="78"/>
        <v>0</v>
      </c>
      <c r="GKL249" s="5">
        <f t="shared" si="78"/>
        <v>0</v>
      </c>
      <c r="GKM249" s="5">
        <f t="shared" si="78"/>
        <v>0</v>
      </c>
      <c r="GKN249" s="5">
        <f t="shared" si="78"/>
        <v>0</v>
      </c>
      <c r="GKO249" s="5">
        <f t="shared" si="78"/>
        <v>0</v>
      </c>
      <c r="GKP249" s="5">
        <f t="shared" si="78"/>
        <v>0</v>
      </c>
      <c r="GKQ249" s="5">
        <f t="shared" si="78"/>
        <v>0</v>
      </c>
      <c r="GKR249" s="5">
        <f t="shared" si="78"/>
        <v>0</v>
      </c>
      <c r="GKS249" s="5">
        <f t="shared" si="78"/>
        <v>0</v>
      </c>
      <c r="GKT249" s="5">
        <f t="shared" si="78"/>
        <v>0</v>
      </c>
      <c r="GKU249" s="5">
        <f t="shared" si="78"/>
        <v>0</v>
      </c>
      <c r="GKV249" s="5">
        <f t="shared" si="78"/>
        <v>0</v>
      </c>
      <c r="GKW249" s="5">
        <f t="shared" si="78"/>
        <v>0</v>
      </c>
      <c r="GKX249" s="5">
        <f t="shared" si="78"/>
        <v>0</v>
      </c>
      <c r="GKY249" s="5">
        <f t="shared" si="78"/>
        <v>0</v>
      </c>
      <c r="GKZ249" s="5">
        <f t="shared" si="78"/>
        <v>0</v>
      </c>
      <c r="GLA249" s="5">
        <f t="shared" si="78"/>
        <v>0</v>
      </c>
      <c r="GLB249" s="5">
        <f t="shared" si="78"/>
        <v>0</v>
      </c>
      <c r="GLC249" s="5">
        <f t="shared" si="78"/>
        <v>0</v>
      </c>
      <c r="GLD249" s="5">
        <f t="shared" si="78"/>
        <v>0</v>
      </c>
      <c r="GLE249" s="5">
        <f t="shared" si="78"/>
        <v>0</v>
      </c>
      <c r="GLF249" s="5">
        <f t="shared" si="78"/>
        <v>0</v>
      </c>
      <c r="GLG249" s="5">
        <f t="shared" si="78"/>
        <v>0</v>
      </c>
      <c r="GLH249" s="5">
        <f t="shared" si="78"/>
        <v>0</v>
      </c>
      <c r="GLI249" s="5">
        <f t="shared" si="78"/>
        <v>0</v>
      </c>
      <c r="GLJ249" s="5">
        <f t="shared" si="78"/>
        <v>0</v>
      </c>
      <c r="GLK249" s="5">
        <f t="shared" si="78"/>
        <v>0</v>
      </c>
      <c r="GLL249" s="5">
        <f t="shared" si="78"/>
        <v>0</v>
      </c>
      <c r="GLM249" s="5">
        <f t="shared" si="78"/>
        <v>0</v>
      </c>
      <c r="GLN249" s="5">
        <f t="shared" si="78"/>
        <v>0</v>
      </c>
      <c r="GLO249" s="5">
        <f t="shared" si="78"/>
        <v>0</v>
      </c>
      <c r="GLP249" s="5">
        <f t="shared" si="78"/>
        <v>0</v>
      </c>
      <c r="GLQ249" s="5">
        <f t="shared" si="78"/>
        <v>0</v>
      </c>
      <c r="GLR249" s="5">
        <f t="shared" si="78"/>
        <v>0</v>
      </c>
      <c r="GLS249" s="5">
        <f t="shared" si="78"/>
        <v>0</v>
      </c>
      <c r="GLT249" s="5">
        <f t="shared" si="78"/>
        <v>0</v>
      </c>
      <c r="GLU249" s="5">
        <f t="shared" si="78"/>
        <v>0</v>
      </c>
      <c r="GLV249" s="5">
        <f t="shared" si="78"/>
        <v>0</v>
      </c>
      <c r="GLW249" s="5">
        <f t="shared" si="78"/>
        <v>0</v>
      </c>
      <c r="GLX249" s="5">
        <f t="shared" si="78"/>
        <v>0</v>
      </c>
      <c r="GLY249" s="5">
        <f t="shared" si="78"/>
        <v>0</v>
      </c>
      <c r="GLZ249" s="5">
        <f t="shared" si="78"/>
        <v>0</v>
      </c>
      <c r="GMA249" s="5">
        <f t="shared" si="78"/>
        <v>0</v>
      </c>
      <c r="GMB249" s="5">
        <f t="shared" si="78"/>
        <v>0</v>
      </c>
      <c r="GMC249" s="5">
        <f t="shared" si="78"/>
        <v>0</v>
      </c>
      <c r="GMD249" s="5">
        <f t="shared" ref="GMD249:GOO249" si="79">SUM(GMD246:GMD246)</f>
        <v>0</v>
      </c>
      <c r="GME249" s="5">
        <f t="shared" si="79"/>
        <v>0</v>
      </c>
      <c r="GMF249" s="5">
        <f t="shared" si="79"/>
        <v>0</v>
      </c>
      <c r="GMG249" s="5">
        <f t="shared" si="79"/>
        <v>0</v>
      </c>
      <c r="GMH249" s="5">
        <f t="shared" si="79"/>
        <v>0</v>
      </c>
      <c r="GMI249" s="5">
        <f t="shared" si="79"/>
        <v>0</v>
      </c>
      <c r="GMJ249" s="5">
        <f t="shared" si="79"/>
        <v>0</v>
      </c>
      <c r="GMK249" s="5">
        <f t="shared" si="79"/>
        <v>0</v>
      </c>
      <c r="GML249" s="5">
        <f t="shared" si="79"/>
        <v>0</v>
      </c>
      <c r="GMM249" s="5">
        <f t="shared" si="79"/>
        <v>0</v>
      </c>
      <c r="GMN249" s="5">
        <f t="shared" si="79"/>
        <v>0</v>
      </c>
      <c r="GMO249" s="5">
        <f t="shared" si="79"/>
        <v>0</v>
      </c>
      <c r="GMP249" s="5">
        <f t="shared" si="79"/>
        <v>0</v>
      </c>
      <c r="GMQ249" s="5">
        <f t="shared" si="79"/>
        <v>0</v>
      </c>
      <c r="GMR249" s="5">
        <f t="shared" si="79"/>
        <v>0</v>
      </c>
      <c r="GMS249" s="5">
        <f t="shared" si="79"/>
        <v>0</v>
      </c>
      <c r="GMT249" s="5">
        <f t="shared" si="79"/>
        <v>0</v>
      </c>
      <c r="GMU249" s="5">
        <f t="shared" si="79"/>
        <v>0</v>
      </c>
      <c r="GMV249" s="5">
        <f t="shared" si="79"/>
        <v>0</v>
      </c>
      <c r="GMW249" s="5">
        <f t="shared" si="79"/>
        <v>0</v>
      </c>
      <c r="GMX249" s="5">
        <f t="shared" si="79"/>
        <v>0</v>
      </c>
      <c r="GMY249" s="5">
        <f t="shared" si="79"/>
        <v>0</v>
      </c>
      <c r="GMZ249" s="5">
        <f t="shared" si="79"/>
        <v>0</v>
      </c>
      <c r="GNA249" s="5">
        <f t="shared" si="79"/>
        <v>0</v>
      </c>
      <c r="GNB249" s="5">
        <f t="shared" si="79"/>
        <v>0</v>
      </c>
      <c r="GNC249" s="5">
        <f t="shared" si="79"/>
        <v>0</v>
      </c>
      <c r="GND249" s="5">
        <f t="shared" si="79"/>
        <v>0</v>
      </c>
      <c r="GNE249" s="5">
        <f t="shared" si="79"/>
        <v>0</v>
      </c>
      <c r="GNF249" s="5">
        <f t="shared" si="79"/>
        <v>0</v>
      </c>
      <c r="GNG249" s="5">
        <f t="shared" si="79"/>
        <v>0</v>
      </c>
      <c r="GNH249" s="5">
        <f t="shared" si="79"/>
        <v>0</v>
      </c>
      <c r="GNI249" s="5">
        <f t="shared" si="79"/>
        <v>0</v>
      </c>
      <c r="GNJ249" s="5">
        <f t="shared" si="79"/>
        <v>0</v>
      </c>
      <c r="GNK249" s="5">
        <f t="shared" si="79"/>
        <v>0</v>
      </c>
      <c r="GNL249" s="5">
        <f t="shared" si="79"/>
        <v>0</v>
      </c>
      <c r="GNM249" s="5">
        <f t="shared" si="79"/>
        <v>0</v>
      </c>
      <c r="GNN249" s="5">
        <f t="shared" si="79"/>
        <v>0</v>
      </c>
      <c r="GNO249" s="5">
        <f t="shared" si="79"/>
        <v>0</v>
      </c>
      <c r="GNP249" s="5">
        <f t="shared" si="79"/>
        <v>0</v>
      </c>
      <c r="GNQ249" s="5">
        <f t="shared" si="79"/>
        <v>0</v>
      </c>
      <c r="GNR249" s="5">
        <f t="shared" si="79"/>
        <v>0</v>
      </c>
      <c r="GNS249" s="5">
        <f t="shared" si="79"/>
        <v>0</v>
      </c>
      <c r="GNT249" s="5">
        <f t="shared" si="79"/>
        <v>0</v>
      </c>
      <c r="GNU249" s="5">
        <f t="shared" si="79"/>
        <v>0</v>
      </c>
      <c r="GNV249" s="5">
        <f t="shared" si="79"/>
        <v>0</v>
      </c>
      <c r="GNW249" s="5">
        <f t="shared" si="79"/>
        <v>0</v>
      </c>
      <c r="GNX249" s="5">
        <f t="shared" si="79"/>
        <v>0</v>
      </c>
      <c r="GNY249" s="5">
        <f t="shared" si="79"/>
        <v>0</v>
      </c>
      <c r="GNZ249" s="5">
        <f t="shared" si="79"/>
        <v>0</v>
      </c>
      <c r="GOA249" s="5">
        <f t="shared" si="79"/>
        <v>0</v>
      </c>
      <c r="GOB249" s="5">
        <f t="shared" si="79"/>
        <v>0</v>
      </c>
      <c r="GOC249" s="5">
        <f t="shared" si="79"/>
        <v>0</v>
      </c>
      <c r="GOD249" s="5">
        <f t="shared" si="79"/>
        <v>0</v>
      </c>
      <c r="GOE249" s="5">
        <f t="shared" si="79"/>
        <v>0</v>
      </c>
      <c r="GOF249" s="5">
        <f t="shared" si="79"/>
        <v>0</v>
      </c>
      <c r="GOG249" s="5">
        <f t="shared" si="79"/>
        <v>0</v>
      </c>
      <c r="GOH249" s="5">
        <f t="shared" si="79"/>
        <v>0</v>
      </c>
      <c r="GOI249" s="5">
        <f t="shared" si="79"/>
        <v>0</v>
      </c>
      <c r="GOJ249" s="5">
        <f t="shared" si="79"/>
        <v>0</v>
      </c>
      <c r="GOK249" s="5">
        <f t="shared" si="79"/>
        <v>0</v>
      </c>
      <c r="GOL249" s="5">
        <f t="shared" si="79"/>
        <v>0</v>
      </c>
      <c r="GOM249" s="5">
        <f t="shared" si="79"/>
        <v>0</v>
      </c>
      <c r="GON249" s="5">
        <f t="shared" si="79"/>
        <v>0</v>
      </c>
      <c r="GOO249" s="5">
        <f t="shared" si="79"/>
        <v>0</v>
      </c>
      <c r="GOP249" s="5">
        <f t="shared" ref="GOP249:GRA249" si="80">SUM(GOP246:GOP246)</f>
        <v>0</v>
      </c>
      <c r="GOQ249" s="5">
        <f t="shared" si="80"/>
        <v>0</v>
      </c>
      <c r="GOR249" s="5">
        <f t="shared" si="80"/>
        <v>0</v>
      </c>
      <c r="GOS249" s="5">
        <f t="shared" si="80"/>
        <v>0</v>
      </c>
      <c r="GOT249" s="5">
        <f t="shared" si="80"/>
        <v>0</v>
      </c>
      <c r="GOU249" s="5">
        <f t="shared" si="80"/>
        <v>0</v>
      </c>
      <c r="GOV249" s="5">
        <f t="shared" si="80"/>
        <v>0</v>
      </c>
      <c r="GOW249" s="5">
        <f t="shared" si="80"/>
        <v>0</v>
      </c>
      <c r="GOX249" s="5">
        <f t="shared" si="80"/>
        <v>0</v>
      </c>
      <c r="GOY249" s="5">
        <f t="shared" si="80"/>
        <v>0</v>
      </c>
      <c r="GOZ249" s="5">
        <f t="shared" si="80"/>
        <v>0</v>
      </c>
      <c r="GPA249" s="5">
        <f t="shared" si="80"/>
        <v>0</v>
      </c>
      <c r="GPB249" s="5">
        <f t="shared" si="80"/>
        <v>0</v>
      </c>
      <c r="GPC249" s="5">
        <f t="shared" si="80"/>
        <v>0</v>
      </c>
      <c r="GPD249" s="5">
        <f t="shared" si="80"/>
        <v>0</v>
      </c>
      <c r="GPE249" s="5">
        <f t="shared" si="80"/>
        <v>0</v>
      </c>
      <c r="GPF249" s="5">
        <f t="shared" si="80"/>
        <v>0</v>
      </c>
      <c r="GPG249" s="5">
        <f t="shared" si="80"/>
        <v>0</v>
      </c>
      <c r="GPH249" s="5">
        <f t="shared" si="80"/>
        <v>0</v>
      </c>
      <c r="GPI249" s="5">
        <f t="shared" si="80"/>
        <v>0</v>
      </c>
      <c r="GPJ249" s="5">
        <f t="shared" si="80"/>
        <v>0</v>
      </c>
      <c r="GPK249" s="5">
        <f t="shared" si="80"/>
        <v>0</v>
      </c>
      <c r="GPL249" s="5">
        <f t="shared" si="80"/>
        <v>0</v>
      </c>
      <c r="GPM249" s="5">
        <f t="shared" si="80"/>
        <v>0</v>
      </c>
      <c r="GPN249" s="5">
        <f t="shared" si="80"/>
        <v>0</v>
      </c>
      <c r="GPO249" s="5">
        <f t="shared" si="80"/>
        <v>0</v>
      </c>
      <c r="GPP249" s="5">
        <f t="shared" si="80"/>
        <v>0</v>
      </c>
      <c r="GPQ249" s="5">
        <f t="shared" si="80"/>
        <v>0</v>
      </c>
      <c r="GPR249" s="5">
        <f t="shared" si="80"/>
        <v>0</v>
      </c>
      <c r="GPS249" s="5">
        <f t="shared" si="80"/>
        <v>0</v>
      </c>
      <c r="GPT249" s="5">
        <f t="shared" si="80"/>
        <v>0</v>
      </c>
      <c r="GPU249" s="5">
        <f t="shared" si="80"/>
        <v>0</v>
      </c>
      <c r="GPV249" s="5">
        <f t="shared" si="80"/>
        <v>0</v>
      </c>
      <c r="GPW249" s="5">
        <f t="shared" si="80"/>
        <v>0</v>
      </c>
      <c r="GPX249" s="5">
        <f t="shared" si="80"/>
        <v>0</v>
      </c>
      <c r="GPY249" s="5">
        <f t="shared" si="80"/>
        <v>0</v>
      </c>
      <c r="GPZ249" s="5">
        <f t="shared" si="80"/>
        <v>0</v>
      </c>
      <c r="GQA249" s="5">
        <f t="shared" si="80"/>
        <v>0</v>
      </c>
      <c r="GQB249" s="5">
        <f t="shared" si="80"/>
        <v>0</v>
      </c>
      <c r="GQC249" s="5">
        <f t="shared" si="80"/>
        <v>0</v>
      </c>
      <c r="GQD249" s="5">
        <f t="shared" si="80"/>
        <v>0</v>
      </c>
      <c r="GQE249" s="5">
        <f t="shared" si="80"/>
        <v>0</v>
      </c>
      <c r="GQF249" s="5">
        <f t="shared" si="80"/>
        <v>0</v>
      </c>
      <c r="GQG249" s="5">
        <f t="shared" si="80"/>
        <v>0</v>
      </c>
      <c r="GQH249" s="5">
        <f t="shared" si="80"/>
        <v>0</v>
      </c>
      <c r="GQI249" s="5">
        <f t="shared" si="80"/>
        <v>0</v>
      </c>
      <c r="GQJ249" s="5">
        <f t="shared" si="80"/>
        <v>0</v>
      </c>
      <c r="GQK249" s="5">
        <f t="shared" si="80"/>
        <v>0</v>
      </c>
      <c r="GQL249" s="5">
        <f t="shared" si="80"/>
        <v>0</v>
      </c>
      <c r="GQM249" s="5">
        <f t="shared" si="80"/>
        <v>0</v>
      </c>
      <c r="GQN249" s="5">
        <f t="shared" si="80"/>
        <v>0</v>
      </c>
      <c r="GQO249" s="5">
        <f t="shared" si="80"/>
        <v>0</v>
      </c>
      <c r="GQP249" s="5">
        <f t="shared" si="80"/>
        <v>0</v>
      </c>
      <c r="GQQ249" s="5">
        <f t="shared" si="80"/>
        <v>0</v>
      </c>
      <c r="GQR249" s="5">
        <f t="shared" si="80"/>
        <v>0</v>
      </c>
      <c r="GQS249" s="5">
        <f t="shared" si="80"/>
        <v>0</v>
      </c>
      <c r="GQT249" s="5">
        <f t="shared" si="80"/>
        <v>0</v>
      </c>
      <c r="GQU249" s="5">
        <f t="shared" si="80"/>
        <v>0</v>
      </c>
      <c r="GQV249" s="5">
        <f t="shared" si="80"/>
        <v>0</v>
      </c>
      <c r="GQW249" s="5">
        <f t="shared" si="80"/>
        <v>0</v>
      </c>
      <c r="GQX249" s="5">
        <f t="shared" si="80"/>
        <v>0</v>
      </c>
      <c r="GQY249" s="5">
        <f t="shared" si="80"/>
        <v>0</v>
      </c>
      <c r="GQZ249" s="5">
        <f t="shared" si="80"/>
        <v>0</v>
      </c>
      <c r="GRA249" s="5">
        <f t="shared" si="80"/>
        <v>0</v>
      </c>
      <c r="GRB249" s="5">
        <f t="shared" ref="GRB249:GTM249" si="81">SUM(GRB246:GRB246)</f>
        <v>0</v>
      </c>
      <c r="GRC249" s="5">
        <f t="shared" si="81"/>
        <v>0</v>
      </c>
      <c r="GRD249" s="5">
        <f t="shared" si="81"/>
        <v>0</v>
      </c>
      <c r="GRE249" s="5">
        <f t="shared" si="81"/>
        <v>0</v>
      </c>
      <c r="GRF249" s="5">
        <f t="shared" si="81"/>
        <v>0</v>
      </c>
      <c r="GRG249" s="5">
        <f t="shared" si="81"/>
        <v>0</v>
      </c>
      <c r="GRH249" s="5">
        <f t="shared" si="81"/>
        <v>0</v>
      </c>
      <c r="GRI249" s="5">
        <f t="shared" si="81"/>
        <v>0</v>
      </c>
      <c r="GRJ249" s="5">
        <f t="shared" si="81"/>
        <v>0</v>
      </c>
      <c r="GRK249" s="5">
        <f t="shared" si="81"/>
        <v>0</v>
      </c>
      <c r="GRL249" s="5">
        <f t="shared" si="81"/>
        <v>0</v>
      </c>
      <c r="GRM249" s="5">
        <f t="shared" si="81"/>
        <v>0</v>
      </c>
      <c r="GRN249" s="5">
        <f t="shared" si="81"/>
        <v>0</v>
      </c>
      <c r="GRO249" s="5">
        <f t="shared" si="81"/>
        <v>0</v>
      </c>
      <c r="GRP249" s="5">
        <f t="shared" si="81"/>
        <v>0</v>
      </c>
      <c r="GRQ249" s="5">
        <f t="shared" si="81"/>
        <v>0</v>
      </c>
      <c r="GRR249" s="5">
        <f t="shared" si="81"/>
        <v>0</v>
      </c>
      <c r="GRS249" s="5">
        <f t="shared" si="81"/>
        <v>0</v>
      </c>
      <c r="GRT249" s="5">
        <f t="shared" si="81"/>
        <v>0</v>
      </c>
      <c r="GRU249" s="5">
        <f t="shared" si="81"/>
        <v>0</v>
      </c>
      <c r="GRV249" s="5">
        <f t="shared" si="81"/>
        <v>0</v>
      </c>
      <c r="GRW249" s="5">
        <f t="shared" si="81"/>
        <v>0</v>
      </c>
      <c r="GRX249" s="5">
        <f t="shared" si="81"/>
        <v>0</v>
      </c>
      <c r="GRY249" s="5">
        <f t="shared" si="81"/>
        <v>0</v>
      </c>
      <c r="GRZ249" s="5">
        <f t="shared" si="81"/>
        <v>0</v>
      </c>
      <c r="GSA249" s="5">
        <f t="shared" si="81"/>
        <v>0</v>
      </c>
      <c r="GSB249" s="5">
        <f t="shared" si="81"/>
        <v>0</v>
      </c>
      <c r="GSC249" s="5">
        <f t="shared" si="81"/>
        <v>0</v>
      </c>
      <c r="GSD249" s="5">
        <f t="shared" si="81"/>
        <v>0</v>
      </c>
      <c r="GSE249" s="5">
        <f t="shared" si="81"/>
        <v>0</v>
      </c>
      <c r="GSF249" s="5">
        <f t="shared" si="81"/>
        <v>0</v>
      </c>
      <c r="GSG249" s="5">
        <f t="shared" si="81"/>
        <v>0</v>
      </c>
      <c r="GSH249" s="5">
        <f t="shared" si="81"/>
        <v>0</v>
      </c>
      <c r="GSI249" s="5">
        <f t="shared" si="81"/>
        <v>0</v>
      </c>
      <c r="GSJ249" s="5">
        <f t="shared" si="81"/>
        <v>0</v>
      </c>
      <c r="GSK249" s="5">
        <f t="shared" si="81"/>
        <v>0</v>
      </c>
      <c r="GSL249" s="5">
        <f t="shared" si="81"/>
        <v>0</v>
      </c>
      <c r="GSM249" s="5">
        <f t="shared" si="81"/>
        <v>0</v>
      </c>
      <c r="GSN249" s="5">
        <f t="shared" si="81"/>
        <v>0</v>
      </c>
      <c r="GSO249" s="5">
        <f t="shared" si="81"/>
        <v>0</v>
      </c>
      <c r="GSP249" s="5">
        <f t="shared" si="81"/>
        <v>0</v>
      </c>
      <c r="GSQ249" s="5">
        <f t="shared" si="81"/>
        <v>0</v>
      </c>
      <c r="GSR249" s="5">
        <f t="shared" si="81"/>
        <v>0</v>
      </c>
      <c r="GSS249" s="5">
        <f t="shared" si="81"/>
        <v>0</v>
      </c>
      <c r="GST249" s="5">
        <f t="shared" si="81"/>
        <v>0</v>
      </c>
      <c r="GSU249" s="5">
        <f t="shared" si="81"/>
        <v>0</v>
      </c>
      <c r="GSV249" s="5">
        <f t="shared" si="81"/>
        <v>0</v>
      </c>
      <c r="GSW249" s="5">
        <f t="shared" si="81"/>
        <v>0</v>
      </c>
      <c r="GSX249" s="5">
        <f t="shared" si="81"/>
        <v>0</v>
      </c>
      <c r="GSY249" s="5">
        <f t="shared" si="81"/>
        <v>0</v>
      </c>
      <c r="GSZ249" s="5">
        <f t="shared" si="81"/>
        <v>0</v>
      </c>
      <c r="GTA249" s="5">
        <f t="shared" si="81"/>
        <v>0</v>
      </c>
      <c r="GTB249" s="5">
        <f t="shared" si="81"/>
        <v>0</v>
      </c>
      <c r="GTC249" s="5">
        <f t="shared" si="81"/>
        <v>0</v>
      </c>
      <c r="GTD249" s="5">
        <f t="shared" si="81"/>
        <v>0</v>
      </c>
      <c r="GTE249" s="5">
        <f t="shared" si="81"/>
        <v>0</v>
      </c>
      <c r="GTF249" s="5">
        <f t="shared" si="81"/>
        <v>0</v>
      </c>
      <c r="GTG249" s="5">
        <f t="shared" si="81"/>
        <v>0</v>
      </c>
      <c r="GTH249" s="5">
        <f t="shared" si="81"/>
        <v>0</v>
      </c>
      <c r="GTI249" s="5">
        <f t="shared" si="81"/>
        <v>0</v>
      </c>
      <c r="GTJ249" s="5">
        <f t="shared" si="81"/>
        <v>0</v>
      </c>
      <c r="GTK249" s="5">
        <f t="shared" si="81"/>
        <v>0</v>
      </c>
      <c r="GTL249" s="5">
        <f t="shared" si="81"/>
        <v>0</v>
      </c>
      <c r="GTM249" s="5">
        <f t="shared" si="81"/>
        <v>0</v>
      </c>
      <c r="GTN249" s="5">
        <f t="shared" ref="GTN249:GVY249" si="82">SUM(GTN246:GTN246)</f>
        <v>0</v>
      </c>
      <c r="GTO249" s="5">
        <f t="shared" si="82"/>
        <v>0</v>
      </c>
      <c r="GTP249" s="5">
        <f t="shared" si="82"/>
        <v>0</v>
      </c>
      <c r="GTQ249" s="5">
        <f t="shared" si="82"/>
        <v>0</v>
      </c>
      <c r="GTR249" s="5">
        <f t="shared" si="82"/>
        <v>0</v>
      </c>
      <c r="GTS249" s="5">
        <f t="shared" si="82"/>
        <v>0</v>
      </c>
      <c r="GTT249" s="5">
        <f t="shared" si="82"/>
        <v>0</v>
      </c>
      <c r="GTU249" s="5">
        <f t="shared" si="82"/>
        <v>0</v>
      </c>
      <c r="GTV249" s="5">
        <f t="shared" si="82"/>
        <v>0</v>
      </c>
      <c r="GTW249" s="5">
        <f t="shared" si="82"/>
        <v>0</v>
      </c>
      <c r="GTX249" s="5">
        <f t="shared" si="82"/>
        <v>0</v>
      </c>
      <c r="GTY249" s="5">
        <f t="shared" si="82"/>
        <v>0</v>
      </c>
      <c r="GTZ249" s="5">
        <f t="shared" si="82"/>
        <v>0</v>
      </c>
      <c r="GUA249" s="5">
        <f t="shared" si="82"/>
        <v>0</v>
      </c>
      <c r="GUB249" s="5">
        <f t="shared" si="82"/>
        <v>0</v>
      </c>
      <c r="GUC249" s="5">
        <f t="shared" si="82"/>
        <v>0</v>
      </c>
      <c r="GUD249" s="5">
        <f t="shared" si="82"/>
        <v>0</v>
      </c>
      <c r="GUE249" s="5">
        <f t="shared" si="82"/>
        <v>0</v>
      </c>
      <c r="GUF249" s="5">
        <f t="shared" si="82"/>
        <v>0</v>
      </c>
      <c r="GUG249" s="5">
        <f t="shared" si="82"/>
        <v>0</v>
      </c>
      <c r="GUH249" s="5">
        <f t="shared" si="82"/>
        <v>0</v>
      </c>
      <c r="GUI249" s="5">
        <f t="shared" si="82"/>
        <v>0</v>
      </c>
      <c r="GUJ249" s="5">
        <f t="shared" si="82"/>
        <v>0</v>
      </c>
      <c r="GUK249" s="5">
        <f t="shared" si="82"/>
        <v>0</v>
      </c>
      <c r="GUL249" s="5">
        <f t="shared" si="82"/>
        <v>0</v>
      </c>
      <c r="GUM249" s="5">
        <f t="shared" si="82"/>
        <v>0</v>
      </c>
      <c r="GUN249" s="5">
        <f t="shared" si="82"/>
        <v>0</v>
      </c>
      <c r="GUO249" s="5">
        <f t="shared" si="82"/>
        <v>0</v>
      </c>
      <c r="GUP249" s="5">
        <f t="shared" si="82"/>
        <v>0</v>
      </c>
      <c r="GUQ249" s="5">
        <f t="shared" si="82"/>
        <v>0</v>
      </c>
      <c r="GUR249" s="5">
        <f t="shared" si="82"/>
        <v>0</v>
      </c>
      <c r="GUS249" s="5">
        <f t="shared" si="82"/>
        <v>0</v>
      </c>
      <c r="GUT249" s="5">
        <f t="shared" si="82"/>
        <v>0</v>
      </c>
      <c r="GUU249" s="5">
        <f t="shared" si="82"/>
        <v>0</v>
      </c>
      <c r="GUV249" s="5">
        <f t="shared" si="82"/>
        <v>0</v>
      </c>
      <c r="GUW249" s="5">
        <f t="shared" si="82"/>
        <v>0</v>
      </c>
      <c r="GUX249" s="5">
        <f t="shared" si="82"/>
        <v>0</v>
      </c>
      <c r="GUY249" s="5">
        <f t="shared" si="82"/>
        <v>0</v>
      </c>
      <c r="GUZ249" s="5">
        <f t="shared" si="82"/>
        <v>0</v>
      </c>
      <c r="GVA249" s="5">
        <f t="shared" si="82"/>
        <v>0</v>
      </c>
      <c r="GVB249" s="5">
        <f t="shared" si="82"/>
        <v>0</v>
      </c>
      <c r="GVC249" s="5">
        <f t="shared" si="82"/>
        <v>0</v>
      </c>
      <c r="GVD249" s="5">
        <f t="shared" si="82"/>
        <v>0</v>
      </c>
      <c r="GVE249" s="5">
        <f t="shared" si="82"/>
        <v>0</v>
      </c>
      <c r="GVF249" s="5">
        <f t="shared" si="82"/>
        <v>0</v>
      </c>
      <c r="GVG249" s="5">
        <f t="shared" si="82"/>
        <v>0</v>
      </c>
      <c r="GVH249" s="5">
        <f t="shared" si="82"/>
        <v>0</v>
      </c>
      <c r="GVI249" s="5">
        <f t="shared" si="82"/>
        <v>0</v>
      </c>
      <c r="GVJ249" s="5">
        <f t="shared" si="82"/>
        <v>0</v>
      </c>
      <c r="GVK249" s="5">
        <f t="shared" si="82"/>
        <v>0</v>
      </c>
      <c r="GVL249" s="5">
        <f t="shared" si="82"/>
        <v>0</v>
      </c>
      <c r="GVM249" s="5">
        <f t="shared" si="82"/>
        <v>0</v>
      </c>
      <c r="GVN249" s="5">
        <f t="shared" si="82"/>
        <v>0</v>
      </c>
      <c r="GVO249" s="5">
        <f t="shared" si="82"/>
        <v>0</v>
      </c>
      <c r="GVP249" s="5">
        <f t="shared" si="82"/>
        <v>0</v>
      </c>
      <c r="GVQ249" s="5">
        <f t="shared" si="82"/>
        <v>0</v>
      </c>
      <c r="GVR249" s="5">
        <f t="shared" si="82"/>
        <v>0</v>
      </c>
      <c r="GVS249" s="5">
        <f t="shared" si="82"/>
        <v>0</v>
      </c>
      <c r="GVT249" s="5">
        <f t="shared" si="82"/>
        <v>0</v>
      </c>
      <c r="GVU249" s="5">
        <f t="shared" si="82"/>
        <v>0</v>
      </c>
      <c r="GVV249" s="5">
        <f t="shared" si="82"/>
        <v>0</v>
      </c>
      <c r="GVW249" s="5">
        <f t="shared" si="82"/>
        <v>0</v>
      </c>
      <c r="GVX249" s="5">
        <f t="shared" si="82"/>
        <v>0</v>
      </c>
      <c r="GVY249" s="5">
        <f t="shared" si="82"/>
        <v>0</v>
      </c>
      <c r="GVZ249" s="5">
        <f t="shared" ref="GVZ249:GYK249" si="83">SUM(GVZ246:GVZ246)</f>
        <v>0</v>
      </c>
      <c r="GWA249" s="5">
        <f t="shared" si="83"/>
        <v>0</v>
      </c>
      <c r="GWB249" s="5">
        <f t="shared" si="83"/>
        <v>0</v>
      </c>
      <c r="GWC249" s="5">
        <f t="shared" si="83"/>
        <v>0</v>
      </c>
      <c r="GWD249" s="5">
        <f t="shared" si="83"/>
        <v>0</v>
      </c>
      <c r="GWE249" s="5">
        <f t="shared" si="83"/>
        <v>0</v>
      </c>
      <c r="GWF249" s="5">
        <f t="shared" si="83"/>
        <v>0</v>
      </c>
      <c r="GWG249" s="5">
        <f t="shared" si="83"/>
        <v>0</v>
      </c>
      <c r="GWH249" s="5">
        <f t="shared" si="83"/>
        <v>0</v>
      </c>
      <c r="GWI249" s="5">
        <f t="shared" si="83"/>
        <v>0</v>
      </c>
      <c r="GWJ249" s="5">
        <f t="shared" si="83"/>
        <v>0</v>
      </c>
      <c r="GWK249" s="5">
        <f t="shared" si="83"/>
        <v>0</v>
      </c>
      <c r="GWL249" s="5">
        <f t="shared" si="83"/>
        <v>0</v>
      </c>
      <c r="GWM249" s="5">
        <f t="shared" si="83"/>
        <v>0</v>
      </c>
      <c r="GWN249" s="5">
        <f t="shared" si="83"/>
        <v>0</v>
      </c>
      <c r="GWO249" s="5">
        <f t="shared" si="83"/>
        <v>0</v>
      </c>
      <c r="GWP249" s="5">
        <f t="shared" si="83"/>
        <v>0</v>
      </c>
      <c r="GWQ249" s="5">
        <f t="shared" si="83"/>
        <v>0</v>
      </c>
      <c r="GWR249" s="5">
        <f t="shared" si="83"/>
        <v>0</v>
      </c>
      <c r="GWS249" s="5">
        <f t="shared" si="83"/>
        <v>0</v>
      </c>
      <c r="GWT249" s="5">
        <f t="shared" si="83"/>
        <v>0</v>
      </c>
      <c r="GWU249" s="5">
        <f t="shared" si="83"/>
        <v>0</v>
      </c>
      <c r="GWV249" s="5">
        <f t="shared" si="83"/>
        <v>0</v>
      </c>
      <c r="GWW249" s="5">
        <f t="shared" si="83"/>
        <v>0</v>
      </c>
      <c r="GWX249" s="5">
        <f t="shared" si="83"/>
        <v>0</v>
      </c>
      <c r="GWY249" s="5">
        <f t="shared" si="83"/>
        <v>0</v>
      </c>
      <c r="GWZ249" s="5">
        <f t="shared" si="83"/>
        <v>0</v>
      </c>
      <c r="GXA249" s="5">
        <f t="shared" si="83"/>
        <v>0</v>
      </c>
      <c r="GXB249" s="5">
        <f t="shared" si="83"/>
        <v>0</v>
      </c>
      <c r="GXC249" s="5">
        <f t="shared" si="83"/>
        <v>0</v>
      </c>
      <c r="GXD249" s="5">
        <f t="shared" si="83"/>
        <v>0</v>
      </c>
      <c r="GXE249" s="5">
        <f t="shared" si="83"/>
        <v>0</v>
      </c>
      <c r="GXF249" s="5">
        <f t="shared" si="83"/>
        <v>0</v>
      </c>
      <c r="GXG249" s="5">
        <f t="shared" si="83"/>
        <v>0</v>
      </c>
      <c r="GXH249" s="5">
        <f t="shared" si="83"/>
        <v>0</v>
      </c>
      <c r="GXI249" s="5">
        <f t="shared" si="83"/>
        <v>0</v>
      </c>
      <c r="GXJ249" s="5">
        <f t="shared" si="83"/>
        <v>0</v>
      </c>
      <c r="GXK249" s="5">
        <f t="shared" si="83"/>
        <v>0</v>
      </c>
      <c r="GXL249" s="5">
        <f t="shared" si="83"/>
        <v>0</v>
      </c>
      <c r="GXM249" s="5">
        <f t="shared" si="83"/>
        <v>0</v>
      </c>
      <c r="GXN249" s="5">
        <f t="shared" si="83"/>
        <v>0</v>
      </c>
      <c r="GXO249" s="5">
        <f t="shared" si="83"/>
        <v>0</v>
      </c>
      <c r="GXP249" s="5">
        <f t="shared" si="83"/>
        <v>0</v>
      </c>
      <c r="GXQ249" s="5">
        <f t="shared" si="83"/>
        <v>0</v>
      </c>
      <c r="GXR249" s="5">
        <f t="shared" si="83"/>
        <v>0</v>
      </c>
      <c r="GXS249" s="5">
        <f t="shared" si="83"/>
        <v>0</v>
      </c>
      <c r="GXT249" s="5">
        <f t="shared" si="83"/>
        <v>0</v>
      </c>
      <c r="GXU249" s="5">
        <f t="shared" si="83"/>
        <v>0</v>
      </c>
      <c r="GXV249" s="5">
        <f t="shared" si="83"/>
        <v>0</v>
      </c>
      <c r="GXW249" s="5">
        <f t="shared" si="83"/>
        <v>0</v>
      </c>
      <c r="GXX249" s="5">
        <f t="shared" si="83"/>
        <v>0</v>
      </c>
      <c r="GXY249" s="5">
        <f t="shared" si="83"/>
        <v>0</v>
      </c>
      <c r="GXZ249" s="5">
        <f t="shared" si="83"/>
        <v>0</v>
      </c>
      <c r="GYA249" s="5">
        <f t="shared" si="83"/>
        <v>0</v>
      </c>
      <c r="GYB249" s="5">
        <f t="shared" si="83"/>
        <v>0</v>
      </c>
      <c r="GYC249" s="5">
        <f t="shared" si="83"/>
        <v>0</v>
      </c>
      <c r="GYD249" s="5">
        <f t="shared" si="83"/>
        <v>0</v>
      </c>
      <c r="GYE249" s="5">
        <f t="shared" si="83"/>
        <v>0</v>
      </c>
      <c r="GYF249" s="5">
        <f t="shared" si="83"/>
        <v>0</v>
      </c>
      <c r="GYG249" s="5">
        <f t="shared" si="83"/>
        <v>0</v>
      </c>
      <c r="GYH249" s="5">
        <f t="shared" si="83"/>
        <v>0</v>
      </c>
      <c r="GYI249" s="5">
        <f t="shared" si="83"/>
        <v>0</v>
      </c>
      <c r="GYJ249" s="5">
        <f t="shared" si="83"/>
        <v>0</v>
      </c>
      <c r="GYK249" s="5">
        <f t="shared" si="83"/>
        <v>0</v>
      </c>
      <c r="GYL249" s="5">
        <f t="shared" ref="GYL249:HAW249" si="84">SUM(GYL246:GYL246)</f>
        <v>0</v>
      </c>
      <c r="GYM249" s="5">
        <f t="shared" si="84"/>
        <v>0</v>
      </c>
      <c r="GYN249" s="5">
        <f t="shared" si="84"/>
        <v>0</v>
      </c>
      <c r="GYO249" s="5">
        <f t="shared" si="84"/>
        <v>0</v>
      </c>
      <c r="GYP249" s="5">
        <f t="shared" si="84"/>
        <v>0</v>
      </c>
      <c r="GYQ249" s="5">
        <f t="shared" si="84"/>
        <v>0</v>
      </c>
      <c r="GYR249" s="5">
        <f t="shared" si="84"/>
        <v>0</v>
      </c>
      <c r="GYS249" s="5">
        <f t="shared" si="84"/>
        <v>0</v>
      </c>
      <c r="GYT249" s="5">
        <f t="shared" si="84"/>
        <v>0</v>
      </c>
      <c r="GYU249" s="5">
        <f t="shared" si="84"/>
        <v>0</v>
      </c>
      <c r="GYV249" s="5">
        <f t="shared" si="84"/>
        <v>0</v>
      </c>
      <c r="GYW249" s="5">
        <f t="shared" si="84"/>
        <v>0</v>
      </c>
      <c r="GYX249" s="5">
        <f t="shared" si="84"/>
        <v>0</v>
      </c>
      <c r="GYY249" s="5">
        <f t="shared" si="84"/>
        <v>0</v>
      </c>
      <c r="GYZ249" s="5">
        <f t="shared" si="84"/>
        <v>0</v>
      </c>
      <c r="GZA249" s="5">
        <f t="shared" si="84"/>
        <v>0</v>
      </c>
      <c r="GZB249" s="5">
        <f t="shared" si="84"/>
        <v>0</v>
      </c>
      <c r="GZC249" s="5">
        <f t="shared" si="84"/>
        <v>0</v>
      </c>
      <c r="GZD249" s="5">
        <f t="shared" si="84"/>
        <v>0</v>
      </c>
      <c r="GZE249" s="5">
        <f t="shared" si="84"/>
        <v>0</v>
      </c>
      <c r="GZF249" s="5">
        <f t="shared" si="84"/>
        <v>0</v>
      </c>
      <c r="GZG249" s="5">
        <f t="shared" si="84"/>
        <v>0</v>
      </c>
      <c r="GZH249" s="5">
        <f t="shared" si="84"/>
        <v>0</v>
      </c>
      <c r="GZI249" s="5">
        <f t="shared" si="84"/>
        <v>0</v>
      </c>
      <c r="GZJ249" s="5">
        <f t="shared" si="84"/>
        <v>0</v>
      </c>
      <c r="GZK249" s="5">
        <f t="shared" si="84"/>
        <v>0</v>
      </c>
      <c r="GZL249" s="5">
        <f t="shared" si="84"/>
        <v>0</v>
      </c>
      <c r="GZM249" s="5">
        <f t="shared" si="84"/>
        <v>0</v>
      </c>
      <c r="GZN249" s="5">
        <f t="shared" si="84"/>
        <v>0</v>
      </c>
      <c r="GZO249" s="5">
        <f t="shared" si="84"/>
        <v>0</v>
      </c>
      <c r="GZP249" s="5">
        <f t="shared" si="84"/>
        <v>0</v>
      </c>
      <c r="GZQ249" s="5">
        <f t="shared" si="84"/>
        <v>0</v>
      </c>
      <c r="GZR249" s="5">
        <f t="shared" si="84"/>
        <v>0</v>
      </c>
      <c r="GZS249" s="5">
        <f t="shared" si="84"/>
        <v>0</v>
      </c>
      <c r="GZT249" s="5">
        <f t="shared" si="84"/>
        <v>0</v>
      </c>
      <c r="GZU249" s="5">
        <f t="shared" si="84"/>
        <v>0</v>
      </c>
      <c r="GZV249" s="5">
        <f t="shared" si="84"/>
        <v>0</v>
      </c>
      <c r="GZW249" s="5">
        <f t="shared" si="84"/>
        <v>0</v>
      </c>
      <c r="GZX249" s="5">
        <f t="shared" si="84"/>
        <v>0</v>
      </c>
      <c r="GZY249" s="5">
        <f t="shared" si="84"/>
        <v>0</v>
      </c>
      <c r="GZZ249" s="5">
        <f t="shared" si="84"/>
        <v>0</v>
      </c>
      <c r="HAA249" s="5">
        <f t="shared" si="84"/>
        <v>0</v>
      </c>
      <c r="HAB249" s="5">
        <f t="shared" si="84"/>
        <v>0</v>
      </c>
      <c r="HAC249" s="5">
        <f t="shared" si="84"/>
        <v>0</v>
      </c>
      <c r="HAD249" s="5">
        <f t="shared" si="84"/>
        <v>0</v>
      </c>
      <c r="HAE249" s="5">
        <f t="shared" si="84"/>
        <v>0</v>
      </c>
      <c r="HAF249" s="5">
        <f t="shared" si="84"/>
        <v>0</v>
      </c>
      <c r="HAG249" s="5">
        <f t="shared" si="84"/>
        <v>0</v>
      </c>
      <c r="HAH249" s="5">
        <f t="shared" si="84"/>
        <v>0</v>
      </c>
      <c r="HAI249" s="5">
        <f t="shared" si="84"/>
        <v>0</v>
      </c>
      <c r="HAJ249" s="5">
        <f t="shared" si="84"/>
        <v>0</v>
      </c>
      <c r="HAK249" s="5">
        <f t="shared" si="84"/>
        <v>0</v>
      </c>
      <c r="HAL249" s="5">
        <f t="shared" si="84"/>
        <v>0</v>
      </c>
      <c r="HAM249" s="5">
        <f t="shared" si="84"/>
        <v>0</v>
      </c>
      <c r="HAN249" s="5">
        <f t="shared" si="84"/>
        <v>0</v>
      </c>
      <c r="HAO249" s="5">
        <f t="shared" si="84"/>
        <v>0</v>
      </c>
      <c r="HAP249" s="5">
        <f t="shared" si="84"/>
        <v>0</v>
      </c>
      <c r="HAQ249" s="5">
        <f t="shared" si="84"/>
        <v>0</v>
      </c>
      <c r="HAR249" s="5">
        <f t="shared" si="84"/>
        <v>0</v>
      </c>
      <c r="HAS249" s="5">
        <f t="shared" si="84"/>
        <v>0</v>
      </c>
      <c r="HAT249" s="5">
        <f t="shared" si="84"/>
        <v>0</v>
      </c>
      <c r="HAU249" s="5">
        <f t="shared" si="84"/>
        <v>0</v>
      </c>
      <c r="HAV249" s="5">
        <f t="shared" si="84"/>
        <v>0</v>
      </c>
      <c r="HAW249" s="5">
        <f t="shared" si="84"/>
        <v>0</v>
      </c>
      <c r="HAX249" s="5">
        <f t="shared" ref="HAX249:HDI249" si="85">SUM(HAX246:HAX246)</f>
        <v>0</v>
      </c>
      <c r="HAY249" s="5">
        <f t="shared" si="85"/>
        <v>0</v>
      </c>
      <c r="HAZ249" s="5">
        <f t="shared" si="85"/>
        <v>0</v>
      </c>
      <c r="HBA249" s="5">
        <f t="shared" si="85"/>
        <v>0</v>
      </c>
      <c r="HBB249" s="5">
        <f t="shared" si="85"/>
        <v>0</v>
      </c>
      <c r="HBC249" s="5">
        <f t="shared" si="85"/>
        <v>0</v>
      </c>
      <c r="HBD249" s="5">
        <f t="shared" si="85"/>
        <v>0</v>
      </c>
      <c r="HBE249" s="5">
        <f t="shared" si="85"/>
        <v>0</v>
      </c>
      <c r="HBF249" s="5">
        <f t="shared" si="85"/>
        <v>0</v>
      </c>
      <c r="HBG249" s="5">
        <f t="shared" si="85"/>
        <v>0</v>
      </c>
      <c r="HBH249" s="5">
        <f t="shared" si="85"/>
        <v>0</v>
      </c>
      <c r="HBI249" s="5">
        <f t="shared" si="85"/>
        <v>0</v>
      </c>
      <c r="HBJ249" s="5">
        <f t="shared" si="85"/>
        <v>0</v>
      </c>
      <c r="HBK249" s="5">
        <f t="shared" si="85"/>
        <v>0</v>
      </c>
      <c r="HBL249" s="5">
        <f t="shared" si="85"/>
        <v>0</v>
      </c>
      <c r="HBM249" s="5">
        <f t="shared" si="85"/>
        <v>0</v>
      </c>
      <c r="HBN249" s="5">
        <f t="shared" si="85"/>
        <v>0</v>
      </c>
      <c r="HBO249" s="5">
        <f t="shared" si="85"/>
        <v>0</v>
      </c>
      <c r="HBP249" s="5">
        <f t="shared" si="85"/>
        <v>0</v>
      </c>
      <c r="HBQ249" s="5">
        <f t="shared" si="85"/>
        <v>0</v>
      </c>
      <c r="HBR249" s="5">
        <f t="shared" si="85"/>
        <v>0</v>
      </c>
      <c r="HBS249" s="5">
        <f t="shared" si="85"/>
        <v>0</v>
      </c>
      <c r="HBT249" s="5">
        <f t="shared" si="85"/>
        <v>0</v>
      </c>
      <c r="HBU249" s="5">
        <f t="shared" si="85"/>
        <v>0</v>
      </c>
      <c r="HBV249" s="5">
        <f t="shared" si="85"/>
        <v>0</v>
      </c>
      <c r="HBW249" s="5">
        <f t="shared" si="85"/>
        <v>0</v>
      </c>
      <c r="HBX249" s="5">
        <f t="shared" si="85"/>
        <v>0</v>
      </c>
      <c r="HBY249" s="5">
        <f t="shared" si="85"/>
        <v>0</v>
      </c>
      <c r="HBZ249" s="5">
        <f t="shared" si="85"/>
        <v>0</v>
      </c>
      <c r="HCA249" s="5">
        <f t="shared" si="85"/>
        <v>0</v>
      </c>
      <c r="HCB249" s="5">
        <f t="shared" si="85"/>
        <v>0</v>
      </c>
      <c r="HCC249" s="5">
        <f t="shared" si="85"/>
        <v>0</v>
      </c>
      <c r="HCD249" s="5">
        <f t="shared" si="85"/>
        <v>0</v>
      </c>
      <c r="HCE249" s="5">
        <f t="shared" si="85"/>
        <v>0</v>
      </c>
      <c r="HCF249" s="5">
        <f t="shared" si="85"/>
        <v>0</v>
      </c>
      <c r="HCG249" s="5">
        <f t="shared" si="85"/>
        <v>0</v>
      </c>
      <c r="HCH249" s="5">
        <f t="shared" si="85"/>
        <v>0</v>
      </c>
      <c r="HCI249" s="5">
        <f t="shared" si="85"/>
        <v>0</v>
      </c>
      <c r="HCJ249" s="5">
        <f t="shared" si="85"/>
        <v>0</v>
      </c>
      <c r="HCK249" s="5">
        <f t="shared" si="85"/>
        <v>0</v>
      </c>
      <c r="HCL249" s="5">
        <f t="shared" si="85"/>
        <v>0</v>
      </c>
      <c r="HCM249" s="5">
        <f t="shared" si="85"/>
        <v>0</v>
      </c>
      <c r="HCN249" s="5">
        <f t="shared" si="85"/>
        <v>0</v>
      </c>
      <c r="HCO249" s="5">
        <f t="shared" si="85"/>
        <v>0</v>
      </c>
      <c r="HCP249" s="5">
        <f t="shared" si="85"/>
        <v>0</v>
      </c>
      <c r="HCQ249" s="5">
        <f t="shared" si="85"/>
        <v>0</v>
      </c>
      <c r="HCR249" s="5">
        <f t="shared" si="85"/>
        <v>0</v>
      </c>
      <c r="HCS249" s="5">
        <f t="shared" si="85"/>
        <v>0</v>
      </c>
      <c r="HCT249" s="5">
        <f t="shared" si="85"/>
        <v>0</v>
      </c>
      <c r="HCU249" s="5">
        <f t="shared" si="85"/>
        <v>0</v>
      </c>
      <c r="HCV249" s="5">
        <f t="shared" si="85"/>
        <v>0</v>
      </c>
      <c r="HCW249" s="5">
        <f t="shared" si="85"/>
        <v>0</v>
      </c>
      <c r="HCX249" s="5">
        <f t="shared" si="85"/>
        <v>0</v>
      </c>
      <c r="HCY249" s="5">
        <f t="shared" si="85"/>
        <v>0</v>
      </c>
      <c r="HCZ249" s="5">
        <f t="shared" si="85"/>
        <v>0</v>
      </c>
      <c r="HDA249" s="5">
        <f t="shared" si="85"/>
        <v>0</v>
      </c>
      <c r="HDB249" s="5">
        <f t="shared" si="85"/>
        <v>0</v>
      </c>
      <c r="HDC249" s="5">
        <f t="shared" si="85"/>
        <v>0</v>
      </c>
      <c r="HDD249" s="5">
        <f t="shared" si="85"/>
        <v>0</v>
      </c>
      <c r="HDE249" s="5">
        <f t="shared" si="85"/>
        <v>0</v>
      </c>
      <c r="HDF249" s="5">
        <f t="shared" si="85"/>
        <v>0</v>
      </c>
      <c r="HDG249" s="5">
        <f t="shared" si="85"/>
        <v>0</v>
      </c>
      <c r="HDH249" s="5">
        <f t="shared" si="85"/>
        <v>0</v>
      </c>
      <c r="HDI249" s="5">
        <f t="shared" si="85"/>
        <v>0</v>
      </c>
      <c r="HDJ249" s="5">
        <f t="shared" ref="HDJ249:HFU249" si="86">SUM(HDJ246:HDJ246)</f>
        <v>0</v>
      </c>
      <c r="HDK249" s="5">
        <f t="shared" si="86"/>
        <v>0</v>
      </c>
      <c r="HDL249" s="5">
        <f t="shared" si="86"/>
        <v>0</v>
      </c>
      <c r="HDM249" s="5">
        <f t="shared" si="86"/>
        <v>0</v>
      </c>
      <c r="HDN249" s="5">
        <f t="shared" si="86"/>
        <v>0</v>
      </c>
      <c r="HDO249" s="5">
        <f t="shared" si="86"/>
        <v>0</v>
      </c>
      <c r="HDP249" s="5">
        <f t="shared" si="86"/>
        <v>0</v>
      </c>
      <c r="HDQ249" s="5">
        <f t="shared" si="86"/>
        <v>0</v>
      </c>
      <c r="HDR249" s="5">
        <f t="shared" si="86"/>
        <v>0</v>
      </c>
      <c r="HDS249" s="5">
        <f t="shared" si="86"/>
        <v>0</v>
      </c>
      <c r="HDT249" s="5">
        <f t="shared" si="86"/>
        <v>0</v>
      </c>
      <c r="HDU249" s="5">
        <f t="shared" si="86"/>
        <v>0</v>
      </c>
      <c r="HDV249" s="5">
        <f t="shared" si="86"/>
        <v>0</v>
      </c>
      <c r="HDW249" s="5">
        <f t="shared" si="86"/>
        <v>0</v>
      </c>
      <c r="HDX249" s="5">
        <f t="shared" si="86"/>
        <v>0</v>
      </c>
      <c r="HDY249" s="5">
        <f t="shared" si="86"/>
        <v>0</v>
      </c>
      <c r="HDZ249" s="5">
        <f t="shared" si="86"/>
        <v>0</v>
      </c>
      <c r="HEA249" s="5">
        <f t="shared" si="86"/>
        <v>0</v>
      </c>
      <c r="HEB249" s="5">
        <f t="shared" si="86"/>
        <v>0</v>
      </c>
      <c r="HEC249" s="5">
        <f t="shared" si="86"/>
        <v>0</v>
      </c>
      <c r="HED249" s="5">
        <f t="shared" si="86"/>
        <v>0</v>
      </c>
      <c r="HEE249" s="5">
        <f t="shared" si="86"/>
        <v>0</v>
      </c>
      <c r="HEF249" s="5">
        <f t="shared" si="86"/>
        <v>0</v>
      </c>
      <c r="HEG249" s="5">
        <f t="shared" si="86"/>
        <v>0</v>
      </c>
      <c r="HEH249" s="5">
        <f t="shared" si="86"/>
        <v>0</v>
      </c>
      <c r="HEI249" s="5">
        <f t="shared" si="86"/>
        <v>0</v>
      </c>
      <c r="HEJ249" s="5">
        <f t="shared" si="86"/>
        <v>0</v>
      </c>
      <c r="HEK249" s="5">
        <f t="shared" si="86"/>
        <v>0</v>
      </c>
      <c r="HEL249" s="5">
        <f t="shared" si="86"/>
        <v>0</v>
      </c>
      <c r="HEM249" s="5">
        <f t="shared" si="86"/>
        <v>0</v>
      </c>
      <c r="HEN249" s="5">
        <f t="shared" si="86"/>
        <v>0</v>
      </c>
      <c r="HEO249" s="5">
        <f t="shared" si="86"/>
        <v>0</v>
      </c>
      <c r="HEP249" s="5">
        <f t="shared" si="86"/>
        <v>0</v>
      </c>
      <c r="HEQ249" s="5">
        <f t="shared" si="86"/>
        <v>0</v>
      </c>
      <c r="HER249" s="5">
        <f t="shared" si="86"/>
        <v>0</v>
      </c>
      <c r="HES249" s="5">
        <f t="shared" si="86"/>
        <v>0</v>
      </c>
      <c r="HET249" s="5">
        <f t="shared" si="86"/>
        <v>0</v>
      </c>
      <c r="HEU249" s="5">
        <f t="shared" si="86"/>
        <v>0</v>
      </c>
      <c r="HEV249" s="5">
        <f t="shared" si="86"/>
        <v>0</v>
      </c>
      <c r="HEW249" s="5">
        <f t="shared" si="86"/>
        <v>0</v>
      </c>
      <c r="HEX249" s="5">
        <f t="shared" si="86"/>
        <v>0</v>
      </c>
      <c r="HEY249" s="5">
        <f t="shared" si="86"/>
        <v>0</v>
      </c>
      <c r="HEZ249" s="5">
        <f t="shared" si="86"/>
        <v>0</v>
      </c>
      <c r="HFA249" s="5">
        <f t="shared" si="86"/>
        <v>0</v>
      </c>
      <c r="HFB249" s="5">
        <f t="shared" si="86"/>
        <v>0</v>
      </c>
      <c r="HFC249" s="5">
        <f t="shared" si="86"/>
        <v>0</v>
      </c>
      <c r="HFD249" s="5">
        <f t="shared" si="86"/>
        <v>0</v>
      </c>
      <c r="HFE249" s="5">
        <f t="shared" si="86"/>
        <v>0</v>
      </c>
      <c r="HFF249" s="5">
        <f t="shared" si="86"/>
        <v>0</v>
      </c>
      <c r="HFG249" s="5">
        <f t="shared" si="86"/>
        <v>0</v>
      </c>
      <c r="HFH249" s="5">
        <f t="shared" si="86"/>
        <v>0</v>
      </c>
      <c r="HFI249" s="5">
        <f t="shared" si="86"/>
        <v>0</v>
      </c>
      <c r="HFJ249" s="5">
        <f t="shared" si="86"/>
        <v>0</v>
      </c>
      <c r="HFK249" s="5">
        <f t="shared" si="86"/>
        <v>0</v>
      </c>
      <c r="HFL249" s="5">
        <f t="shared" si="86"/>
        <v>0</v>
      </c>
      <c r="HFM249" s="5">
        <f t="shared" si="86"/>
        <v>0</v>
      </c>
      <c r="HFN249" s="5">
        <f t="shared" si="86"/>
        <v>0</v>
      </c>
      <c r="HFO249" s="5">
        <f t="shared" si="86"/>
        <v>0</v>
      </c>
      <c r="HFP249" s="5">
        <f t="shared" si="86"/>
        <v>0</v>
      </c>
      <c r="HFQ249" s="5">
        <f t="shared" si="86"/>
        <v>0</v>
      </c>
      <c r="HFR249" s="5">
        <f t="shared" si="86"/>
        <v>0</v>
      </c>
      <c r="HFS249" s="5">
        <f t="shared" si="86"/>
        <v>0</v>
      </c>
      <c r="HFT249" s="5">
        <f t="shared" si="86"/>
        <v>0</v>
      </c>
      <c r="HFU249" s="5">
        <f t="shared" si="86"/>
        <v>0</v>
      </c>
      <c r="HFV249" s="5">
        <f t="shared" ref="HFV249:HIG249" si="87">SUM(HFV246:HFV246)</f>
        <v>0</v>
      </c>
      <c r="HFW249" s="5">
        <f t="shared" si="87"/>
        <v>0</v>
      </c>
      <c r="HFX249" s="5">
        <f t="shared" si="87"/>
        <v>0</v>
      </c>
      <c r="HFY249" s="5">
        <f t="shared" si="87"/>
        <v>0</v>
      </c>
      <c r="HFZ249" s="5">
        <f t="shared" si="87"/>
        <v>0</v>
      </c>
      <c r="HGA249" s="5">
        <f t="shared" si="87"/>
        <v>0</v>
      </c>
      <c r="HGB249" s="5">
        <f t="shared" si="87"/>
        <v>0</v>
      </c>
      <c r="HGC249" s="5">
        <f t="shared" si="87"/>
        <v>0</v>
      </c>
      <c r="HGD249" s="5">
        <f t="shared" si="87"/>
        <v>0</v>
      </c>
      <c r="HGE249" s="5">
        <f t="shared" si="87"/>
        <v>0</v>
      </c>
      <c r="HGF249" s="5">
        <f t="shared" si="87"/>
        <v>0</v>
      </c>
      <c r="HGG249" s="5">
        <f t="shared" si="87"/>
        <v>0</v>
      </c>
      <c r="HGH249" s="5">
        <f t="shared" si="87"/>
        <v>0</v>
      </c>
      <c r="HGI249" s="5">
        <f t="shared" si="87"/>
        <v>0</v>
      </c>
      <c r="HGJ249" s="5">
        <f t="shared" si="87"/>
        <v>0</v>
      </c>
      <c r="HGK249" s="5">
        <f t="shared" si="87"/>
        <v>0</v>
      </c>
      <c r="HGL249" s="5">
        <f t="shared" si="87"/>
        <v>0</v>
      </c>
      <c r="HGM249" s="5">
        <f t="shared" si="87"/>
        <v>0</v>
      </c>
      <c r="HGN249" s="5">
        <f t="shared" si="87"/>
        <v>0</v>
      </c>
      <c r="HGO249" s="5">
        <f t="shared" si="87"/>
        <v>0</v>
      </c>
      <c r="HGP249" s="5">
        <f t="shared" si="87"/>
        <v>0</v>
      </c>
      <c r="HGQ249" s="5">
        <f t="shared" si="87"/>
        <v>0</v>
      </c>
      <c r="HGR249" s="5">
        <f t="shared" si="87"/>
        <v>0</v>
      </c>
      <c r="HGS249" s="5">
        <f t="shared" si="87"/>
        <v>0</v>
      </c>
      <c r="HGT249" s="5">
        <f t="shared" si="87"/>
        <v>0</v>
      </c>
      <c r="HGU249" s="5">
        <f t="shared" si="87"/>
        <v>0</v>
      </c>
      <c r="HGV249" s="5">
        <f t="shared" si="87"/>
        <v>0</v>
      </c>
      <c r="HGW249" s="5">
        <f t="shared" si="87"/>
        <v>0</v>
      </c>
      <c r="HGX249" s="5">
        <f t="shared" si="87"/>
        <v>0</v>
      </c>
      <c r="HGY249" s="5">
        <f t="shared" si="87"/>
        <v>0</v>
      </c>
      <c r="HGZ249" s="5">
        <f t="shared" si="87"/>
        <v>0</v>
      </c>
      <c r="HHA249" s="5">
        <f t="shared" si="87"/>
        <v>0</v>
      </c>
      <c r="HHB249" s="5">
        <f t="shared" si="87"/>
        <v>0</v>
      </c>
      <c r="HHC249" s="5">
        <f t="shared" si="87"/>
        <v>0</v>
      </c>
      <c r="HHD249" s="5">
        <f t="shared" si="87"/>
        <v>0</v>
      </c>
      <c r="HHE249" s="5">
        <f t="shared" si="87"/>
        <v>0</v>
      </c>
      <c r="HHF249" s="5">
        <f t="shared" si="87"/>
        <v>0</v>
      </c>
      <c r="HHG249" s="5">
        <f t="shared" si="87"/>
        <v>0</v>
      </c>
      <c r="HHH249" s="5">
        <f t="shared" si="87"/>
        <v>0</v>
      </c>
      <c r="HHI249" s="5">
        <f t="shared" si="87"/>
        <v>0</v>
      </c>
      <c r="HHJ249" s="5">
        <f t="shared" si="87"/>
        <v>0</v>
      </c>
      <c r="HHK249" s="5">
        <f t="shared" si="87"/>
        <v>0</v>
      </c>
      <c r="HHL249" s="5">
        <f t="shared" si="87"/>
        <v>0</v>
      </c>
      <c r="HHM249" s="5">
        <f t="shared" si="87"/>
        <v>0</v>
      </c>
      <c r="HHN249" s="5">
        <f t="shared" si="87"/>
        <v>0</v>
      </c>
      <c r="HHO249" s="5">
        <f t="shared" si="87"/>
        <v>0</v>
      </c>
      <c r="HHP249" s="5">
        <f t="shared" si="87"/>
        <v>0</v>
      </c>
      <c r="HHQ249" s="5">
        <f t="shared" si="87"/>
        <v>0</v>
      </c>
      <c r="HHR249" s="5">
        <f t="shared" si="87"/>
        <v>0</v>
      </c>
      <c r="HHS249" s="5">
        <f t="shared" si="87"/>
        <v>0</v>
      </c>
      <c r="HHT249" s="5">
        <f t="shared" si="87"/>
        <v>0</v>
      </c>
      <c r="HHU249" s="5">
        <f t="shared" si="87"/>
        <v>0</v>
      </c>
      <c r="HHV249" s="5">
        <f t="shared" si="87"/>
        <v>0</v>
      </c>
      <c r="HHW249" s="5">
        <f t="shared" si="87"/>
        <v>0</v>
      </c>
      <c r="HHX249" s="5">
        <f t="shared" si="87"/>
        <v>0</v>
      </c>
      <c r="HHY249" s="5">
        <f t="shared" si="87"/>
        <v>0</v>
      </c>
      <c r="HHZ249" s="5">
        <f t="shared" si="87"/>
        <v>0</v>
      </c>
      <c r="HIA249" s="5">
        <f t="shared" si="87"/>
        <v>0</v>
      </c>
      <c r="HIB249" s="5">
        <f t="shared" si="87"/>
        <v>0</v>
      </c>
      <c r="HIC249" s="5">
        <f t="shared" si="87"/>
        <v>0</v>
      </c>
      <c r="HID249" s="5">
        <f t="shared" si="87"/>
        <v>0</v>
      </c>
      <c r="HIE249" s="5">
        <f t="shared" si="87"/>
        <v>0</v>
      </c>
      <c r="HIF249" s="5">
        <f t="shared" si="87"/>
        <v>0</v>
      </c>
      <c r="HIG249" s="5">
        <f t="shared" si="87"/>
        <v>0</v>
      </c>
      <c r="HIH249" s="5">
        <f t="shared" ref="HIH249:HKS249" si="88">SUM(HIH246:HIH246)</f>
        <v>0</v>
      </c>
      <c r="HII249" s="5">
        <f t="shared" si="88"/>
        <v>0</v>
      </c>
      <c r="HIJ249" s="5">
        <f t="shared" si="88"/>
        <v>0</v>
      </c>
      <c r="HIK249" s="5">
        <f t="shared" si="88"/>
        <v>0</v>
      </c>
      <c r="HIL249" s="5">
        <f t="shared" si="88"/>
        <v>0</v>
      </c>
      <c r="HIM249" s="5">
        <f t="shared" si="88"/>
        <v>0</v>
      </c>
      <c r="HIN249" s="5">
        <f t="shared" si="88"/>
        <v>0</v>
      </c>
      <c r="HIO249" s="5">
        <f t="shared" si="88"/>
        <v>0</v>
      </c>
      <c r="HIP249" s="5">
        <f t="shared" si="88"/>
        <v>0</v>
      </c>
      <c r="HIQ249" s="5">
        <f t="shared" si="88"/>
        <v>0</v>
      </c>
      <c r="HIR249" s="5">
        <f t="shared" si="88"/>
        <v>0</v>
      </c>
      <c r="HIS249" s="5">
        <f t="shared" si="88"/>
        <v>0</v>
      </c>
      <c r="HIT249" s="5">
        <f t="shared" si="88"/>
        <v>0</v>
      </c>
      <c r="HIU249" s="5">
        <f t="shared" si="88"/>
        <v>0</v>
      </c>
      <c r="HIV249" s="5">
        <f t="shared" si="88"/>
        <v>0</v>
      </c>
      <c r="HIW249" s="5">
        <f t="shared" si="88"/>
        <v>0</v>
      </c>
      <c r="HIX249" s="5">
        <f t="shared" si="88"/>
        <v>0</v>
      </c>
      <c r="HIY249" s="5">
        <f t="shared" si="88"/>
        <v>0</v>
      </c>
      <c r="HIZ249" s="5">
        <f t="shared" si="88"/>
        <v>0</v>
      </c>
      <c r="HJA249" s="5">
        <f t="shared" si="88"/>
        <v>0</v>
      </c>
      <c r="HJB249" s="5">
        <f t="shared" si="88"/>
        <v>0</v>
      </c>
      <c r="HJC249" s="5">
        <f t="shared" si="88"/>
        <v>0</v>
      </c>
      <c r="HJD249" s="5">
        <f t="shared" si="88"/>
        <v>0</v>
      </c>
      <c r="HJE249" s="5">
        <f t="shared" si="88"/>
        <v>0</v>
      </c>
      <c r="HJF249" s="5">
        <f t="shared" si="88"/>
        <v>0</v>
      </c>
      <c r="HJG249" s="5">
        <f t="shared" si="88"/>
        <v>0</v>
      </c>
      <c r="HJH249" s="5">
        <f t="shared" si="88"/>
        <v>0</v>
      </c>
      <c r="HJI249" s="5">
        <f t="shared" si="88"/>
        <v>0</v>
      </c>
      <c r="HJJ249" s="5">
        <f t="shared" si="88"/>
        <v>0</v>
      </c>
      <c r="HJK249" s="5">
        <f t="shared" si="88"/>
        <v>0</v>
      </c>
      <c r="HJL249" s="5">
        <f t="shared" si="88"/>
        <v>0</v>
      </c>
      <c r="HJM249" s="5">
        <f t="shared" si="88"/>
        <v>0</v>
      </c>
      <c r="HJN249" s="5">
        <f t="shared" si="88"/>
        <v>0</v>
      </c>
      <c r="HJO249" s="5">
        <f t="shared" si="88"/>
        <v>0</v>
      </c>
      <c r="HJP249" s="5">
        <f t="shared" si="88"/>
        <v>0</v>
      </c>
      <c r="HJQ249" s="5">
        <f t="shared" si="88"/>
        <v>0</v>
      </c>
      <c r="HJR249" s="5">
        <f t="shared" si="88"/>
        <v>0</v>
      </c>
      <c r="HJS249" s="5">
        <f t="shared" si="88"/>
        <v>0</v>
      </c>
      <c r="HJT249" s="5">
        <f t="shared" si="88"/>
        <v>0</v>
      </c>
      <c r="HJU249" s="5">
        <f t="shared" si="88"/>
        <v>0</v>
      </c>
      <c r="HJV249" s="5">
        <f t="shared" si="88"/>
        <v>0</v>
      </c>
      <c r="HJW249" s="5">
        <f t="shared" si="88"/>
        <v>0</v>
      </c>
      <c r="HJX249" s="5">
        <f t="shared" si="88"/>
        <v>0</v>
      </c>
      <c r="HJY249" s="5">
        <f t="shared" si="88"/>
        <v>0</v>
      </c>
      <c r="HJZ249" s="5">
        <f t="shared" si="88"/>
        <v>0</v>
      </c>
      <c r="HKA249" s="5">
        <f t="shared" si="88"/>
        <v>0</v>
      </c>
      <c r="HKB249" s="5">
        <f t="shared" si="88"/>
        <v>0</v>
      </c>
      <c r="HKC249" s="5">
        <f t="shared" si="88"/>
        <v>0</v>
      </c>
      <c r="HKD249" s="5">
        <f t="shared" si="88"/>
        <v>0</v>
      </c>
      <c r="HKE249" s="5">
        <f t="shared" si="88"/>
        <v>0</v>
      </c>
      <c r="HKF249" s="5">
        <f t="shared" si="88"/>
        <v>0</v>
      </c>
      <c r="HKG249" s="5">
        <f t="shared" si="88"/>
        <v>0</v>
      </c>
      <c r="HKH249" s="5">
        <f t="shared" si="88"/>
        <v>0</v>
      </c>
      <c r="HKI249" s="5">
        <f t="shared" si="88"/>
        <v>0</v>
      </c>
      <c r="HKJ249" s="5">
        <f t="shared" si="88"/>
        <v>0</v>
      </c>
      <c r="HKK249" s="5">
        <f t="shared" si="88"/>
        <v>0</v>
      </c>
      <c r="HKL249" s="5">
        <f t="shared" si="88"/>
        <v>0</v>
      </c>
      <c r="HKM249" s="5">
        <f t="shared" si="88"/>
        <v>0</v>
      </c>
      <c r="HKN249" s="5">
        <f t="shared" si="88"/>
        <v>0</v>
      </c>
      <c r="HKO249" s="5">
        <f t="shared" si="88"/>
        <v>0</v>
      </c>
      <c r="HKP249" s="5">
        <f t="shared" si="88"/>
        <v>0</v>
      </c>
      <c r="HKQ249" s="5">
        <f t="shared" si="88"/>
        <v>0</v>
      </c>
      <c r="HKR249" s="5">
        <f t="shared" si="88"/>
        <v>0</v>
      </c>
      <c r="HKS249" s="5">
        <f t="shared" si="88"/>
        <v>0</v>
      </c>
      <c r="HKT249" s="5">
        <f t="shared" ref="HKT249:HNE249" si="89">SUM(HKT246:HKT246)</f>
        <v>0</v>
      </c>
      <c r="HKU249" s="5">
        <f t="shared" si="89"/>
        <v>0</v>
      </c>
      <c r="HKV249" s="5">
        <f t="shared" si="89"/>
        <v>0</v>
      </c>
      <c r="HKW249" s="5">
        <f t="shared" si="89"/>
        <v>0</v>
      </c>
      <c r="HKX249" s="5">
        <f t="shared" si="89"/>
        <v>0</v>
      </c>
      <c r="HKY249" s="5">
        <f t="shared" si="89"/>
        <v>0</v>
      </c>
      <c r="HKZ249" s="5">
        <f t="shared" si="89"/>
        <v>0</v>
      </c>
      <c r="HLA249" s="5">
        <f t="shared" si="89"/>
        <v>0</v>
      </c>
      <c r="HLB249" s="5">
        <f t="shared" si="89"/>
        <v>0</v>
      </c>
      <c r="HLC249" s="5">
        <f t="shared" si="89"/>
        <v>0</v>
      </c>
      <c r="HLD249" s="5">
        <f t="shared" si="89"/>
        <v>0</v>
      </c>
      <c r="HLE249" s="5">
        <f t="shared" si="89"/>
        <v>0</v>
      </c>
      <c r="HLF249" s="5">
        <f t="shared" si="89"/>
        <v>0</v>
      </c>
      <c r="HLG249" s="5">
        <f t="shared" si="89"/>
        <v>0</v>
      </c>
      <c r="HLH249" s="5">
        <f t="shared" si="89"/>
        <v>0</v>
      </c>
      <c r="HLI249" s="5">
        <f t="shared" si="89"/>
        <v>0</v>
      </c>
      <c r="HLJ249" s="5">
        <f t="shared" si="89"/>
        <v>0</v>
      </c>
      <c r="HLK249" s="5">
        <f t="shared" si="89"/>
        <v>0</v>
      </c>
      <c r="HLL249" s="5">
        <f t="shared" si="89"/>
        <v>0</v>
      </c>
      <c r="HLM249" s="5">
        <f t="shared" si="89"/>
        <v>0</v>
      </c>
      <c r="HLN249" s="5">
        <f t="shared" si="89"/>
        <v>0</v>
      </c>
      <c r="HLO249" s="5">
        <f t="shared" si="89"/>
        <v>0</v>
      </c>
      <c r="HLP249" s="5">
        <f t="shared" si="89"/>
        <v>0</v>
      </c>
      <c r="HLQ249" s="5">
        <f t="shared" si="89"/>
        <v>0</v>
      </c>
      <c r="HLR249" s="5">
        <f t="shared" si="89"/>
        <v>0</v>
      </c>
      <c r="HLS249" s="5">
        <f t="shared" si="89"/>
        <v>0</v>
      </c>
      <c r="HLT249" s="5">
        <f t="shared" si="89"/>
        <v>0</v>
      </c>
      <c r="HLU249" s="5">
        <f t="shared" si="89"/>
        <v>0</v>
      </c>
      <c r="HLV249" s="5">
        <f t="shared" si="89"/>
        <v>0</v>
      </c>
      <c r="HLW249" s="5">
        <f t="shared" si="89"/>
        <v>0</v>
      </c>
      <c r="HLX249" s="5">
        <f t="shared" si="89"/>
        <v>0</v>
      </c>
      <c r="HLY249" s="5">
        <f t="shared" si="89"/>
        <v>0</v>
      </c>
      <c r="HLZ249" s="5">
        <f t="shared" si="89"/>
        <v>0</v>
      </c>
      <c r="HMA249" s="5">
        <f t="shared" si="89"/>
        <v>0</v>
      </c>
      <c r="HMB249" s="5">
        <f t="shared" si="89"/>
        <v>0</v>
      </c>
      <c r="HMC249" s="5">
        <f t="shared" si="89"/>
        <v>0</v>
      </c>
      <c r="HMD249" s="5">
        <f t="shared" si="89"/>
        <v>0</v>
      </c>
      <c r="HME249" s="5">
        <f t="shared" si="89"/>
        <v>0</v>
      </c>
      <c r="HMF249" s="5">
        <f t="shared" si="89"/>
        <v>0</v>
      </c>
      <c r="HMG249" s="5">
        <f t="shared" si="89"/>
        <v>0</v>
      </c>
      <c r="HMH249" s="5">
        <f t="shared" si="89"/>
        <v>0</v>
      </c>
      <c r="HMI249" s="5">
        <f t="shared" si="89"/>
        <v>0</v>
      </c>
      <c r="HMJ249" s="5">
        <f t="shared" si="89"/>
        <v>0</v>
      </c>
      <c r="HMK249" s="5">
        <f t="shared" si="89"/>
        <v>0</v>
      </c>
      <c r="HML249" s="5">
        <f t="shared" si="89"/>
        <v>0</v>
      </c>
      <c r="HMM249" s="5">
        <f t="shared" si="89"/>
        <v>0</v>
      </c>
      <c r="HMN249" s="5">
        <f t="shared" si="89"/>
        <v>0</v>
      </c>
      <c r="HMO249" s="5">
        <f t="shared" si="89"/>
        <v>0</v>
      </c>
      <c r="HMP249" s="5">
        <f t="shared" si="89"/>
        <v>0</v>
      </c>
      <c r="HMQ249" s="5">
        <f t="shared" si="89"/>
        <v>0</v>
      </c>
      <c r="HMR249" s="5">
        <f t="shared" si="89"/>
        <v>0</v>
      </c>
      <c r="HMS249" s="5">
        <f t="shared" si="89"/>
        <v>0</v>
      </c>
      <c r="HMT249" s="5">
        <f t="shared" si="89"/>
        <v>0</v>
      </c>
      <c r="HMU249" s="5">
        <f t="shared" si="89"/>
        <v>0</v>
      </c>
      <c r="HMV249" s="5">
        <f t="shared" si="89"/>
        <v>0</v>
      </c>
      <c r="HMW249" s="5">
        <f t="shared" si="89"/>
        <v>0</v>
      </c>
      <c r="HMX249" s="5">
        <f t="shared" si="89"/>
        <v>0</v>
      </c>
      <c r="HMY249" s="5">
        <f t="shared" si="89"/>
        <v>0</v>
      </c>
      <c r="HMZ249" s="5">
        <f t="shared" si="89"/>
        <v>0</v>
      </c>
      <c r="HNA249" s="5">
        <f t="shared" si="89"/>
        <v>0</v>
      </c>
      <c r="HNB249" s="5">
        <f t="shared" si="89"/>
        <v>0</v>
      </c>
      <c r="HNC249" s="5">
        <f t="shared" si="89"/>
        <v>0</v>
      </c>
      <c r="HND249" s="5">
        <f t="shared" si="89"/>
        <v>0</v>
      </c>
      <c r="HNE249" s="5">
        <f t="shared" si="89"/>
        <v>0</v>
      </c>
      <c r="HNF249" s="5">
        <f t="shared" ref="HNF249:HPQ249" si="90">SUM(HNF246:HNF246)</f>
        <v>0</v>
      </c>
      <c r="HNG249" s="5">
        <f t="shared" si="90"/>
        <v>0</v>
      </c>
      <c r="HNH249" s="5">
        <f t="shared" si="90"/>
        <v>0</v>
      </c>
      <c r="HNI249" s="5">
        <f t="shared" si="90"/>
        <v>0</v>
      </c>
      <c r="HNJ249" s="5">
        <f t="shared" si="90"/>
        <v>0</v>
      </c>
      <c r="HNK249" s="5">
        <f t="shared" si="90"/>
        <v>0</v>
      </c>
      <c r="HNL249" s="5">
        <f t="shared" si="90"/>
        <v>0</v>
      </c>
      <c r="HNM249" s="5">
        <f t="shared" si="90"/>
        <v>0</v>
      </c>
      <c r="HNN249" s="5">
        <f t="shared" si="90"/>
        <v>0</v>
      </c>
      <c r="HNO249" s="5">
        <f t="shared" si="90"/>
        <v>0</v>
      </c>
      <c r="HNP249" s="5">
        <f t="shared" si="90"/>
        <v>0</v>
      </c>
      <c r="HNQ249" s="5">
        <f t="shared" si="90"/>
        <v>0</v>
      </c>
      <c r="HNR249" s="5">
        <f t="shared" si="90"/>
        <v>0</v>
      </c>
      <c r="HNS249" s="5">
        <f t="shared" si="90"/>
        <v>0</v>
      </c>
      <c r="HNT249" s="5">
        <f t="shared" si="90"/>
        <v>0</v>
      </c>
      <c r="HNU249" s="5">
        <f t="shared" si="90"/>
        <v>0</v>
      </c>
      <c r="HNV249" s="5">
        <f t="shared" si="90"/>
        <v>0</v>
      </c>
      <c r="HNW249" s="5">
        <f t="shared" si="90"/>
        <v>0</v>
      </c>
      <c r="HNX249" s="5">
        <f t="shared" si="90"/>
        <v>0</v>
      </c>
      <c r="HNY249" s="5">
        <f t="shared" si="90"/>
        <v>0</v>
      </c>
      <c r="HNZ249" s="5">
        <f t="shared" si="90"/>
        <v>0</v>
      </c>
      <c r="HOA249" s="5">
        <f t="shared" si="90"/>
        <v>0</v>
      </c>
      <c r="HOB249" s="5">
        <f t="shared" si="90"/>
        <v>0</v>
      </c>
      <c r="HOC249" s="5">
        <f t="shared" si="90"/>
        <v>0</v>
      </c>
      <c r="HOD249" s="5">
        <f t="shared" si="90"/>
        <v>0</v>
      </c>
      <c r="HOE249" s="5">
        <f t="shared" si="90"/>
        <v>0</v>
      </c>
      <c r="HOF249" s="5">
        <f t="shared" si="90"/>
        <v>0</v>
      </c>
      <c r="HOG249" s="5">
        <f t="shared" si="90"/>
        <v>0</v>
      </c>
      <c r="HOH249" s="5">
        <f t="shared" si="90"/>
        <v>0</v>
      </c>
      <c r="HOI249" s="5">
        <f t="shared" si="90"/>
        <v>0</v>
      </c>
      <c r="HOJ249" s="5">
        <f t="shared" si="90"/>
        <v>0</v>
      </c>
      <c r="HOK249" s="5">
        <f t="shared" si="90"/>
        <v>0</v>
      </c>
      <c r="HOL249" s="5">
        <f t="shared" si="90"/>
        <v>0</v>
      </c>
      <c r="HOM249" s="5">
        <f t="shared" si="90"/>
        <v>0</v>
      </c>
      <c r="HON249" s="5">
        <f t="shared" si="90"/>
        <v>0</v>
      </c>
      <c r="HOO249" s="5">
        <f t="shared" si="90"/>
        <v>0</v>
      </c>
      <c r="HOP249" s="5">
        <f t="shared" si="90"/>
        <v>0</v>
      </c>
      <c r="HOQ249" s="5">
        <f t="shared" si="90"/>
        <v>0</v>
      </c>
      <c r="HOR249" s="5">
        <f t="shared" si="90"/>
        <v>0</v>
      </c>
      <c r="HOS249" s="5">
        <f t="shared" si="90"/>
        <v>0</v>
      </c>
      <c r="HOT249" s="5">
        <f t="shared" si="90"/>
        <v>0</v>
      </c>
      <c r="HOU249" s="5">
        <f t="shared" si="90"/>
        <v>0</v>
      </c>
      <c r="HOV249" s="5">
        <f t="shared" si="90"/>
        <v>0</v>
      </c>
      <c r="HOW249" s="5">
        <f t="shared" si="90"/>
        <v>0</v>
      </c>
      <c r="HOX249" s="5">
        <f t="shared" si="90"/>
        <v>0</v>
      </c>
      <c r="HOY249" s="5">
        <f t="shared" si="90"/>
        <v>0</v>
      </c>
      <c r="HOZ249" s="5">
        <f t="shared" si="90"/>
        <v>0</v>
      </c>
      <c r="HPA249" s="5">
        <f t="shared" si="90"/>
        <v>0</v>
      </c>
      <c r="HPB249" s="5">
        <f t="shared" si="90"/>
        <v>0</v>
      </c>
      <c r="HPC249" s="5">
        <f t="shared" si="90"/>
        <v>0</v>
      </c>
      <c r="HPD249" s="5">
        <f t="shared" si="90"/>
        <v>0</v>
      </c>
      <c r="HPE249" s="5">
        <f t="shared" si="90"/>
        <v>0</v>
      </c>
      <c r="HPF249" s="5">
        <f t="shared" si="90"/>
        <v>0</v>
      </c>
      <c r="HPG249" s="5">
        <f t="shared" si="90"/>
        <v>0</v>
      </c>
      <c r="HPH249" s="5">
        <f t="shared" si="90"/>
        <v>0</v>
      </c>
      <c r="HPI249" s="5">
        <f t="shared" si="90"/>
        <v>0</v>
      </c>
      <c r="HPJ249" s="5">
        <f t="shared" si="90"/>
        <v>0</v>
      </c>
      <c r="HPK249" s="5">
        <f t="shared" si="90"/>
        <v>0</v>
      </c>
      <c r="HPL249" s="5">
        <f t="shared" si="90"/>
        <v>0</v>
      </c>
      <c r="HPM249" s="5">
        <f t="shared" si="90"/>
        <v>0</v>
      </c>
      <c r="HPN249" s="5">
        <f t="shared" si="90"/>
        <v>0</v>
      </c>
      <c r="HPO249" s="5">
        <f t="shared" si="90"/>
        <v>0</v>
      </c>
      <c r="HPP249" s="5">
        <f t="shared" si="90"/>
        <v>0</v>
      </c>
      <c r="HPQ249" s="5">
        <f t="shared" si="90"/>
        <v>0</v>
      </c>
      <c r="HPR249" s="5">
        <f t="shared" ref="HPR249:HSC249" si="91">SUM(HPR246:HPR246)</f>
        <v>0</v>
      </c>
      <c r="HPS249" s="5">
        <f t="shared" si="91"/>
        <v>0</v>
      </c>
      <c r="HPT249" s="5">
        <f t="shared" si="91"/>
        <v>0</v>
      </c>
      <c r="HPU249" s="5">
        <f t="shared" si="91"/>
        <v>0</v>
      </c>
      <c r="HPV249" s="5">
        <f t="shared" si="91"/>
        <v>0</v>
      </c>
      <c r="HPW249" s="5">
        <f t="shared" si="91"/>
        <v>0</v>
      </c>
      <c r="HPX249" s="5">
        <f t="shared" si="91"/>
        <v>0</v>
      </c>
      <c r="HPY249" s="5">
        <f t="shared" si="91"/>
        <v>0</v>
      </c>
      <c r="HPZ249" s="5">
        <f t="shared" si="91"/>
        <v>0</v>
      </c>
      <c r="HQA249" s="5">
        <f t="shared" si="91"/>
        <v>0</v>
      </c>
      <c r="HQB249" s="5">
        <f t="shared" si="91"/>
        <v>0</v>
      </c>
      <c r="HQC249" s="5">
        <f t="shared" si="91"/>
        <v>0</v>
      </c>
      <c r="HQD249" s="5">
        <f t="shared" si="91"/>
        <v>0</v>
      </c>
      <c r="HQE249" s="5">
        <f t="shared" si="91"/>
        <v>0</v>
      </c>
      <c r="HQF249" s="5">
        <f t="shared" si="91"/>
        <v>0</v>
      </c>
      <c r="HQG249" s="5">
        <f t="shared" si="91"/>
        <v>0</v>
      </c>
      <c r="HQH249" s="5">
        <f t="shared" si="91"/>
        <v>0</v>
      </c>
      <c r="HQI249" s="5">
        <f t="shared" si="91"/>
        <v>0</v>
      </c>
      <c r="HQJ249" s="5">
        <f t="shared" si="91"/>
        <v>0</v>
      </c>
      <c r="HQK249" s="5">
        <f t="shared" si="91"/>
        <v>0</v>
      </c>
      <c r="HQL249" s="5">
        <f t="shared" si="91"/>
        <v>0</v>
      </c>
      <c r="HQM249" s="5">
        <f t="shared" si="91"/>
        <v>0</v>
      </c>
      <c r="HQN249" s="5">
        <f t="shared" si="91"/>
        <v>0</v>
      </c>
      <c r="HQO249" s="5">
        <f t="shared" si="91"/>
        <v>0</v>
      </c>
      <c r="HQP249" s="5">
        <f t="shared" si="91"/>
        <v>0</v>
      </c>
      <c r="HQQ249" s="5">
        <f t="shared" si="91"/>
        <v>0</v>
      </c>
      <c r="HQR249" s="5">
        <f t="shared" si="91"/>
        <v>0</v>
      </c>
      <c r="HQS249" s="5">
        <f t="shared" si="91"/>
        <v>0</v>
      </c>
      <c r="HQT249" s="5">
        <f t="shared" si="91"/>
        <v>0</v>
      </c>
      <c r="HQU249" s="5">
        <f t="shared" si="91"/>
        <v>0</v>
      </c>
      <c r="HQV249" s="5">
        <f t="shared" si="91"/>
        <v>0</v>
      </c>
      <c r="HQW249" s="5">
        <f t="shared" si="91"/>
        <v>0</v>
      </c>
      <c r="HQX249" s="5">
        <f t="shared" si="91"/>
        <v>0</v>
      </c>
      <c r="HQY249" s="5">
        <f t="shared" si="91"/>
        <v>0</v>
      </c>
      <c r="HQZ249" s="5">
        <f t="shared" si="91"/>
        <v>0</v>
      </c>
      <c r="HRA249" s="5">
        <f t="shared" si="91"/>
        <v>0</v>
      </c>
      <c r="HRB249" s="5">
        <f t="shared" si="91"/>
        <v>0</v>
      </c>
      <c r="HRC249" s="5">
        <f t="shared" si="91"/>
        <v>0</v>
      </c>
      <c r="HRD249" s="5">
        <f t="shared" si="91"/>
        <v>0</v>
      </c>
      <c r="HRE249" s="5">
        <f t="shared" si="91"/>
        <v>0</v>
      </c>
      <c r="HRF249" s="5">
        <f t="shared" si="91"/>
        <v>0</v>
      </c>
      <c r="HRG249" s="5">
        <f t="shared" si="91"/>
        <v>0</v>
      </c>
      <c r="HRH249" s="5">
        <f t="shared" si="91"/>
        <v>0</v>
      </c>
      <c r="HRI249" s="5">
        <f t="shared" si="91"/>
        <v>0</v>
      </c>
      <c r="HRJ249" s="5">
        <f t="shared" si="91"/>
        <v>0</v>
      </c>
      <c r="HRK249" s="5">
        <f t="shared" si="91"/>
        <v>0</v>
      </c>
      <c r="HRL249" s="5">
        <f t="shared" si="91"/>
        <v>0</v>
      </c>
      <c r="HRM249" s="5">
        <f t="shared" si="91"/>
        <v>0</v>
      </c>
      <c r="HRN249" s="5">
        <f t="shared" si="91"/>
        <v>0</v>
      </c>
      <c r="HRO249" s="5">
        <f t="shared" si="91"/>
        <v>0</v>
      </c>
      <c r="HRP249" s="5">
        <f t="shared" si="91"/>
        <v>0</v>
      </c>
      <c r="HRQ249" s="5">
        <f t="shared" si="91"/>
        <v>0</v>
      </c>
      <c r="HRR249" s="5">
        <f t="shared" si="91"/>
        <v>0</v>
      </c>
      <c r="HRS249" s="5">
        <f t="shared" si="91"/>
        <v>0</v>
      </c>
      <c r="HRT249" s="5">
        <f t="shared" si="91"/>
        <v>0</v>
      </c>
      <c r="HRU249" s="5">
        <f t="shared" si="91"/>
        <v>0</v>
      </c>
      <c r="HRV249" s="5">
        <f t="shared" si="91"/>
        <v>0</v>
      </c>
      <c r="HRW249" s="5">
        <f t="shared" si="91"/>
        <v>0</v>
      </c>
      <c r="HRX249" s="5">
        <f t="shared" si="91"/>
        <v>0</v>
      </c>
      <c r="HRY249" s="5">
        <f t="shared" si="91"/>
        <v>0</v>
      </c>
      <c r="HRZ249" s="5">
        <f t="shared" si="91"/>
        <v>0</v>
      </c>
      <c r="HSA249" s="5">
        <f t="shared" si="91"/>
        <v>0</v>
      </c>
      <c r="HSB249" s="5">
        <f t="shared" si="91"/>
        <v>0</v>
      </c>
      <c r="HSC249" s="5">
        <f t="shared" si="91"/>
        <v>0</v>
      </c>
      <c r="HSD249" s="5">
        <f t="shared" ref="HSD249:HUO249" si="92">SUM(HSD246:HSD246)</f>
        <v>0</v>
      </c>
      <c r="HSE249" s="5">
        <f t="shared" si="92"/>
        <v>0</v>
      </c>
      <c r="HSF249" s="5">
        <f t="shared" si="92"/>
        <v>0</v>
      </c>
      <c r="HSG249" s="5">
        <f t="shared" si="92"/>
        <v>0</v>
      </c>
      <c r="HSH249" s="5">
        <f t="shared" si="92"/>
        <v>0</v>
      </c>
      <c r="HSI249" s="5">
        <f t="shared" si="92"/>
        <v>0</v>
      </c>
      <c r="HSJ249" s="5">
        <f t="shared" si="92"/>
        <v>0</v>
      </c>
      <c r="HSK249" s="5">
        <f t="shared" si="92"/>
        <v>0</v>
      </c>
      <c r="HSL249" s="5">
        <f t="shared" si="92"/>
        <v>0</v>
      </c>
      <c r="HSM249" s="5">
        <f t="shared" si="92"/>
        <v>0</v>
      </c>
      <c r="HSN249" s="5">
        <f t="shared" si="92"/>
        <v>0</v>
      </c>
      <c r="HSO249" s="5">
        <f t="shared" si="92"/>
        <v>0</v>
      </c>
      <c r="HSP249" s="5">
        <f t="shared" si="92"/>
        <v>0</v>
      </c>
      <c r="HSQ249" s="5">
        <f t="shared" si="92"/>
        <v>0</v>
      </c>
      <c r="HSR249" s="5">
        <f t="shared" si="92"/>
        <v>0</v>
      </c>
      <c r="HSS249" s="5">
        <f t="shared" si="92"/>
        <v>0</v>
      </c>
      <c r="HST249" s="5">
        <f t="shared" si="92"/>
        <v>0</v>
      </c>
      <c r="HSU249" s="5">
        <f t="shared" si="92"/>
        <v>0</v>
      </c>
      <c r="HSV249" s="5">
        <f t="shared" si="92"/>
        <v>0</v>
      </c>
      <c r="HSW249" s="5">
        <f t="shared" si="92"/>
        <v>0</v>
      </c>
      <c r="HSX249" s="5">
        <f t="shared" si="92"/>
        <v>0</v>
      </c>
      <c r="HSY249" s="5">
        <f t="shared" si="92"/>
        <v>0</v>
      </c>
      <c r="HSZ249" s="5">
        <f t="shared" si="92"/>
        <v>0</v>
      </c>
      <c r="HTA249" s="5">
        <f t="shared" si="92"/>
        <v>0</v>
      </c>
      <c r="HTB249" s="5">
        <f t="shared" si="92"/>
        <v>0</v>
      </c>
      <c r="HTC249" s="5">
        <f t="shared" si="92"/>
        <v>0</v>
      </c>
      <c r="HTD249" s="5">
        <f t="shared" si="92"/>
        <v>0</v>
      </c>
      <c r="HTE249" s="5">
        <f t="shared" si="92"/>
        <v>0</v>
      </c>
      <c r="HTF249" s="5">
        <f t="shared" si="92"/>
        <v>0</v>
      </c>
      <c r="HTG249" s="5">
        <f t="shared" si="92"/>
        <v>0</v>
      </c>
      <c r="HTH249" s="5">
        <f t="shared" si="92"/>
        <v>0</v>
      </c>
      <c r="HTI249" s="5">
        <f t="shared" si="92"/>
        <v>0</v>
      </c>
      <c r="HTJ249" s="5">
        <f t="shared" si="92"/>
        <v>0</v>
      </c>
      <c r="HTK249" s="5">
        <f t="shared" si="92"/>
        <v>0</v>
      </c>
      <c r="HTL249" s="5">
        <f t="shared" si="92"/>
        <v>0</v>
      </c>
      <c r="HTM249" s="5">
        <f t="shared" si="92"/>
        <v>0</v>
      </c>
      <c r="HTN249" s="5">
        <f t="shared" si="92"/>
        <v>0</v>
      </c>
      <c r="HTO249" s="5">
        <f t="shared" si="92"/>
        <v>0</v>
      </c>
      <c r="HTP249" s="5">
        <f t="shared" si="92"/>
        <v>0</v>
      </c>
      <c r="HTQ249" s="5">
        <f t="shared" si="92"/>
        <v>0</v>
      </c>
      <c r="HTR249" s="5">
        <f t="shared" si="92"/>
        <v>0</v>
      </c>
      <c r="HTS249" s="5">
        <f t="shared" si="92"/>
        <v>0</v>
      </c>
      <c r="HTT249" s="5">
        <f t="shared" si="92"/>
        <v>0</v>
      </c>
      <c r="HTU249" s="5">
        <f t="shared" si="92"/>
        <v>0</v>
      </c>
      <c r="HTV249" s="5">
        <f t="shared" si="92"/>
        <v>0</v>
      </c>
      <c r="HTW249" s="5">
        <f t="shared" si="92"/>
        <v>0</v>
      </c>
      <c r="HTX249" s="5">
        <f t="shared" si="92"/>
        <v>0</v>
      </c>
      <c r="HTY249" s="5">
        <f t="shared" si="92"/>
        <v>0</v>
      </c>
      <c r="HTZ249" s="5">
        <f t="shared" si="92"/>
        <v>0</v>
      </c>
      <c r="HUA249" s="5">
        <f t="shared" si="92"/>
        <v>0</v>
      </c>
      <c r="HUB249" s="5">
        <f t="shared" si="92"/>
        <v>0</v>
      </c>
      <c r="HUC249" s="5">
        <f t="shared" si="92"/>
        <v>0</v>
      </c>
      <c r="HUD249" s="5">
        <f t="shared" si="92"/>
        <v>0</v>
      </c>
      <c r="HUE249" s="5">
        <f t="shared" si="92"/>
        <v>0</v>
      </c>
      <c r="HUF249" s="5">
        <f t="shared" si="92"/>
        <v>0</v>
      </c>
      <c r="HUG249" s="5">
        <f t="shared" si="92"/>
        <v>0</v>
      </c>
      <c r="HUH249" s="5">
        <f t="shared" si="92"/>
        <v>0</v>
      </c>
      <c r="HUI249" s="5">
        <f t="shared" si="92"/>
        <v>0</v>
      </c>
      <c r="HUJ249" s="5">
        <f t="shared" si="92"/>
        <v>0</v>
      </c>
      <c r="HUK249" s="5">
        <f t="shared" si="92"/>
        <v>0</v>
      </c>
      <c r="HUL249" s="5">
        <f t="shared" si="92"/>
        <v>0</v>
      </c>
      <c r="HUM249" s="5">
        <f t="shared" si="92"/>
        <v>0</v>
      </c>
      <c r="HUN249" s="5">
        <f t="shared" si="92"/>
        <v>0</v>
      </c>
      <c r="HUO249" s="5">
        <f t="shared" si="92"/>
        <v>0</v>
      </c>
      <c r="HUP249" s="5">
        <f t="shared" ref="HUP249:HXA249" si="93">SUM(HUP246:HUP246)</f>
        <v>0</v>
      </c>
      <c r="HUQ249" s="5">
        <f t="shared" si="93"/>
        <v>0</v>
      </c>
      <c r="HUR249" s="5">
        <f t="shared" si="93"/>
        <v>0</v>
      </c>
      <c r="HUS249" s="5">
        <f t="shared" si="93"/>
        <v>0</v>
      </c>
      <c r="HUT249" s="5">
        <f t="shared" si="93"/>
        <v>0</v>
      </c>
      <c r="HUU249" s="5">
        <f t="shared" si="93"/>
        <v>0</v>
      </c>
      <c r="HUV249" s="5">
        <f t="shared" si="93"/>
        <v>0</v>
      </c>
      <c r="HUW249" s="5">
        <f t="shared" si="93"/>
        <v>0</v>
      </c>
      <c r="HUX249" s="5">
        <f t="shared" si="93"/>
        <v>0</v>
      </c>
      <c r="HUY249" s="5">
        <f t="shared" si="93"/>
        <v>0</v>
      </c>
      <c r="HUZ249" s="5">
        <f t="shared" si="93"/>
        <v>0</v>
      </c>
      <c r="HVA249" s="5">
        <f t="shared" si="93"/>
        <v>0</v>
      </c>
      <c r="HVB249" s="5">
        <f t="shared" si="93"/>
        <v>0</v>
      </c>
      <c r="HVC249" s="5">
        <f t="shared" si="93"/>
        <v>0</v>
      </c>
      <c r="HVD249" s="5">
        <f t="shared" si="93"/>
        <v>0</v>
      </c>
      <c r="HVE249" s="5">
        <f t="shared" si="93"/>
        <v>0</v>
      </c>
      <c r="HVF249" s="5">
        <f t="shared" si="93"/>
        <v>0</v>
      </c>
      <c r="HVG249" s="5">
        <f t="shared" si="93"/>
        <v>0</v>
      </c>
      <c r="HVH249" s="5">
        <f t="shared" si="93"/>
        <v>0</v>
      </c>
      <c r="HVI249" s="5">
        <f t="shared" si="93"/>
        <v>0</v>
      </c>
      <c r="HVJ249" s="5">
        <f t="shared" si="93"/>
        <v>0</v>
      </c>
      <c r="HVK249" s="5">
        <f t="shared" si="93"/>
        <v>0</v>
      </c>
      <c r="HVL249" s="5">
        <f t="shared" si="93"/>
        <v>0</v>
      </c>
      <c r="HVM249" s="5">
        <f t="shared" si="93"/>
        <v>0</v>
      </c>
      <c r="HVN249" s="5">
        <f t="shared" si="93"/>
        <v>0</v>
      </c>
      <c r="HVO249" s="5">
        <f t="shared" si="93"/>
        <v>0</v>
      </c>
      <c r="HVP249" s="5">
        <f t="shared" si="93"/>
        <v>0</v>
      </c>
      <c r="HVQ249" s="5">
        <f t="shared" si="93"/>
        <v>0</v>
      </c>
      <c r="HVR249" s="5">
        <f t="shared" si="93"/>
        <v>0</v>
      </c>
      <c r="HVS249" s="5">
        <f t="shared" si="93"/>
        <v>0</v>
      </c>
      <c r="HVT249" s="5">
        <f t="shared" si="93"/>
        <v>0</v>
      </c>
      <c r="HVU249" s="5">
        <f t="shared" si="93"/>
        <v>0</v>
      </c>
      <c r="HVV249" s="5">
        <f t="shared" si="93"/>
        <v>0</v>
      </c>
      <c r="HVW249" s="5">
        <f t="shared" si="93"/>
        <v>0</v>
      </c>
      <c r="HVX249" s="5">
        <f t="shared" si="93"/>
        <v>0</v>
      </c>
      <c r="HVY249" s="5">
        <f t="shared" si="93"/>
        <v>0</v>
      </c>
      <c r="HVZ249" s="5">
        <f t="shared" si="93"/>
        <v>0</v>
      </c>
      <c r="HWA249" s="5">
        <f t="shared" si="93"/>
        <v>0</v>
      </c>
      <c r="HWB249" s="5">
        <f t="shared" si="93"/>
        <v>0</v>
      </c>
      <c r="HWC249" s="5">
        <f t="shared" si="93"/>
        <v>0</v>
      </c>
      <c r="HWD249" s="5">
        <f t="shared" si="93"/>
        <v>0</v>
      </c>
      <c r="HWE249" s="5">
        <f t="shared" si="93"/>
        <v>0</v>
      </c>
      <c r="HWF249" s="5">
        <f t="shared" si="93"/>
        <v>0</v>
      </c>
      <c r="HWG249" s="5">
        <f t="shared" si="93"/>
        <v>0</v>
      </c>
      <c r="HWH249" s="5">
        <f t="shared" si="93"/>
        <v>0</v>
      </c>
      <c r="HWI249" s="5">
        <f t="shared" si="93"/>
        <v>0</v>
      </c>
      <c r="HWJ249" s="5">
        <f t="shared" si="93"/>
        <v>0</v>
      </c>
      <c r="HWK249" s="5">
        <f t="shared" si="93"/>
        <v>0</v>
      </c>
      <c r="HWL249" s="5">
        <f t="shared" si="93"/>
        <v>0</v>
      </c>
      <c r="HWM249" s="5">
        <f t="shared" si="93"/>
        <v>0</v>
      </c>
      <c r="HWN249" s="5">
        <f t="shared" si="93"/>
        <v>0</v>
      </c>
      <c r="HWO249" s="5">
        <f t="shared" si="93"/>
        <v>0</v>
      </c>
      <c r="HWP249" s="5">
        <f t="shared" si="93"/>
        <v>0</v>
      </c>
      <c r="HWQ249" s="5">
        <f t="shared" si="93"/>
        <v>0</v>
      </c>
      <c r="HWR249" s="5">
        <f t="shared" si="93"/>
        <v>0</v>
      </c>
      <c r="HWS249" s="5">
        <f t="shared" si="93"/>
        <v>0</v>
      </c>
      <c r="HWT249" s="5">
        <f t="shared" si="93"/>
        <v>0</v>
      </c>
      <c r="HWU249" s="5">
        <f t="shared" si="93"/>
        <v>0</v>
      </c>
      <c r="HWV249" s="5">
        <f t="shared" si="93"/>
        <v>0</v>
      </c>
      <c r="HWW249" s="5">
        <f t="shared" si="93"/>
        <v>0</v>
      </c>
      <c r="HWX249" s="5">
        <f t="shared" si="93"/>
        <v>0</v>
      </c>
      <c r="HWY249" s="5">
        <f t="shared" si="93"/>
        <v>0</v>
      </c>
      <c r="HWZ249" s="5">
        <f t="shared" si="93"/>
        <v>0</v>
      </c>
      <c r="HXA249" s="5">
        <f t="shared" si="93"/>
        <v>0</v>
      </c>
      <c r="HXB249" s="5">
        <f t="shared" ref="HXB249:HZM249" si="94">SUM(HXB246:HXB246)</f>
        <v>0</v>
      </c>
      <c r="HXC249" s="5">
        <f t="shared" si="94"/>
        <v>0</v>
      </c>
      <c r="HXD249" s="5">
        <f t="shared" si="94"/>
        <v>0</v>
      </c>
      <c r="HXE249" s="5">
        <f t="shared" si="94"/>
        <v>0</v>
      </c>
      <c r="HXF249" s="5">
        <f t="shared" si="94"/>
        <v>0</v>
      </c>
      <c r="HXG249" s="5">
        <f t="shared" si="94"/>
        <v>0</v>
      </c>
      <c r="HXH249" s="5">
        <f t="shared" si="94"/>
        <v>0</v>
      </c>
      <c r="HXI249" s="5">
        <f t="shared" si="94"/>
        <v>0</v>
      </c>
      <c r="HXJ249" s="5">
        <f t="shared" si="94"/>
        <v>0</v>
      </c>
      <c r="HXK249" s="5">
        <f t="shared" si="94"/>
        <v>0</v>
      </c>
      <c r="HXL249" s="5">
        <f t="shared" si="94"/>
        <v>0</v>
      </c>
      <c r="HXM249" s="5">
        <f t="shared" si="94"/>
        <v>0</v>
      </c>
      <c r="HXN249" s="5">
        <f t="shared" si="94"/>
        <v>0</v>
      </c>
      <c r="HXO249" s="5">
        <f t="shared" si="94"/>
        <v>0</v>
      </c>
      <c r="HXP249" s="5">
        <f t="shared" si="94"/>
        <v>0</v>
      </c>
      <c r="HXQ249" s="5">
        <f t="shared" si="94"/>
        <v>0</v>
      </c>
      <c r="HXR249" s="5">
        <f t="shared" si="94"/>
        <v>0</v>
      </c>
      <c r="HXS249" s="5">
        <f t="shared" si="94"/>
        <v>0</v>
      </c>
      <c r="HXT249" s="5">
        <f t="shared" si="94"/>
        <v>0</v>
      </c>
      <c r="HXU249" s="5">
        <f t="shared" si="94"/>
        <v>0</v>
      </c>
      <c r="HXV249" s="5">
        <f t="shared" si="94"/>
        <v>0</v>
      </c>
      <c r="HXW249" s="5">
        <f t="shared" si="94"/>
        <v>0</v>
      </c>
      <c r="HXX249" s="5">
        <f t="shared" si="94"/>
        <v>0</v>
      </c>
      <c r="HXY249" s="5">
        <f t="shared" si="94"/>
        <v>0</v>
      </c>
      <c r="HXZ249" s="5">
        <f t="shared" si="94"/>
        <v>0</v>
      </c>
      <c r="HYA249" s="5">
        <f t="shared" si="94"/>
        <v>0</v>
      </c>
      <c r="HYB249" s="5">
        <f t="shared" si="94"/>
        <v>0</v>
      </c>
      <c r="HYC249" s="5">
        <f t="shared" si="94"/>
        <v>0</v>
      </c>
      <c r="HYD249" s="5">
        <f t="shared" si="94"/>
        <v>0</v>
      </c>
      <c r="HYE249" s="5">
        <f t="shared" si="94"/>
        <v>0</v>
      </c>
      <c r="HYF249" s="5">
        <f t="shared" si="94"/>
        <v>0</v>
      </c>
      <c r="HYG249" s="5">
        <f t="shared" si="94"/>
        <v>0</v>
      </c>
      <c r="HYH249" s="5">
        <f t="shared" si="94"/>
        <v>0</v>
      </c>
      <c r="HYI249" s="5">
        <f t="shared" si="94"/>
        <v>0</v>
      </c>
      <c r="HYJ249" s="5">
        <f t="shared" si="94"/>
        <v>0</v>
      </c>
      <c r="HYK249" s="5">
        <f t="shared" si="94"/>
        <v>0</v>
      </c>
      <c r="HYL249" s="5">
        <f t="shared" si="94"/>
        <v>0</v>
      </c>
      <c r="HYM249" s="5">
        <f t="shared" si="94"/>
        <v>0</v>
      </c>
      <c r="HYN249" s="5">
        <f t="shared" si="94"/>
        <v>0</v>
      </c>
      <c r="HYO249" s="5">
        <f t="shared" si="94"/>
        <v>0</v>
      </c>
      <c r="HYP249" s="5">
        <f t="shared" si="94"/>
        <v>0</v>
      </c>
      <c r="HYQ249" s="5">
        <f t="shared" si="94"/>
        <v>0</v>
      </c>
      <c r="HYR249" s="5">
        <f t="shared" si="94"/>
        <v>0</v>
      </c>
      <c r="HYS249" s="5">
        <f t="shared" si="94"/>
        <v>0</v>
      </c>
      <c r="HYT249" s="5">
        <f t="shared" si="94"/>
        <v>0</v>
      </c>
      <c r="HYU249" s="5">
        <f t="shared" si="94"/>
        <v>0</v>
      </c>
      <c r="HYV249" s="5">
        <f t="shared" si="94"/>
        <v>0</v>
      </c>
      <c r="HYW249" s="5">
        <f t="shared" si="94"/>
        <v>0</v>
      </c>
      <c r="HYX249" s="5">
        <f t="shared" si="94"/>
        <v>0</v>
      </c>
      <c r="HYY249" s="5">
        <f t="shared" si="94"/>
        <v>0</v>
      </c>
      <c r="HYZ249" s="5">
        <f t="shared" si="94"/>
        <v>0</v>
      </c>
      <c r="HZA249" s="5">
        <f t="shared" si="94"/>
        <v>0</v>
      </c>
      <c r="HZB249" s="5">
        <f t="shared" si="94"/>
        <v>0</v>
      </c>
      <c r="HZC249" s="5">
        <f t="shared" si="94"/>
        <v>0</v>
      </c>
      <c r="HZD249" s="5">
        <f t="shared" si="94"/>
        <v>0</v>
      </c>
      <c r="HZE249" s="5">
        <f t="shared" si="94"/>
        <v>0</v>
      </c>
      <c r="HZF249" s="5">
        <f t="shared" si="94"/>
        <v>0</v>
      </c>
      <c r="HZG249" s="5">
        <f t="shared" si="94"/>
        <v>0</v>
      </c>
      <c r="HZH249" s="5">
        <f t="shared" si="94"/>
        <v>0</v>
      </c>
      <c r="HZI249" s="5">
        <f t="shared" si="94"/>
        <v>0</v>
      </c>
      <c r="HZJ249" s="5">
        <f t="shared" si="94"/>
        <v>0</v>
      </c>
      <c r="HZK249" s="5">
        <f t="shared" si="94"/>
        <v>0</v>
      </c>
      <c r="HZL249" s="5">
        <f t="shared" si="94"/>
        <v>0</v>
      </c>
      <c r="HZM249" s="5">
        <f t="shared" si="94"/>
        <v>0</v>
      </c>
      <c r="HZN249" s="5">
        <f t="shared" ref="HZN249:IBY249" si="95">SUM(HZN246:HZN246)</f>
        <v>0</v>
      </c>
      <c r="HZO249" s="5">
        <f t="shared" si="95"/>
        <v>0</v>
      </c>
      <c r="HZP249" s="5">
        <f t="shared" si="95"/>
        <v>0</v>
      </c>
      <c r="HZQ249" s="5">
        <f t="shared" si="95"/>
        <v>0</v>
      </c>
      <c r="HZR249" s="5">
        <f t="shared" si="95"/>
        <v>0</v>
      </c>
      <c r="HZS249" s="5">
        <f t="shared" si="95"/>
        <v>0</v>
      </c>
      <c r="HZT249" s="5">
        <f t="shared" si="95"/>
        <v>0</v>
      </c>
      <c r="HZU249" s="5">
        <f t="shared" si="95"/>
        <v>0</v>
      </c>
      <c r="HZV249" s="5">
        <f t="shared" si="95"/>
        <v>0</v>
      </c>
      <c r="HZW249" s="5">
        <f t="shared" si="95"/>
        <v>0</v>
      </c>
      <c r="HZX249" s="5">
        <f t="shared" si="95"/>
        <v>0</v>
      </c>
      <c r="HZY249" s="5">
        <f t="shared" si="95"/>
        <v>0</v>
      </c>
      <c r="HZZ249" s="5">
        <f t="shared" si="95"/>
        <v>0</v>
      </c>
      <c r="IAA249" s="5">
        <f t="shared" si="95"/>
        <v>0</v>
      </c>
      <c r="IAB249" s="5">
        <f t="shared" si="95"/>
        <v>0</v>
      </c>
      <c r="IAC249" s="5">
        <f t="shared" si="95"/>
        <v>0</v>
      </c>
      <c r="IAD249" s="5">
        <f t="shared" si="95"/>
        <v>0</v>
      </c>
      <c r="IAE249" s="5">
        <f t="shared" si="95"/>
        <v>0</v>
      </c>
      <c r="IAF249" s="5">
        <f t="shared" si="95"/>
        <v>0</v>
      </c>
      <c r="IAG249" s="5">
        <f t="shared" si="95"/>
        <v>0</v>
      </c>
      <c r="IAH249" s="5">
        <f t="shared" si="95"/>
        <v>0</v>
      </c>
      <c r="IAI249" s="5">
        <f t="shared" si="95"/>
        <v>0</v>
      </c>
      <c r="IAJ249" s="5">
        <f t="shared" si="95"/>
        <v>0</v>
      </c>
      <c r="IAK249" s="5">
        <f t="shared" si="95"/>
        <v>0</v>
      </c>
      <c r="IAL249" s="5">
        <f t="shared" si="95"/>
        <v>0</v>
      </c>
      <c r="IAM249" s="5">
        <f t="shared" si="95"/>
        <v>0</v>
      </c>
      <c r="IAN249" s="5">
        <f t="shared" si="95"/>
        <v>0</v>
      </c>
      <c r="IAO249" s="5">
        <f t="shared" si="95"/>
        <v>0</v>
      </c>
      <c r="IAP249" s="5">
        <f t="shared" si="95"/>
        <v>0</v>
      </c>
      <c r="IAQ249" s="5">
        <f t="shared" si="95"/>
        <v>0</v>
      </c>
      <c r="IAR249" s="5">
        <f t="shared" si="95"/>
        <v>0</v>
      </c>
      <c r="IAS249" s="5">
        <f t="shared" si="95"/>
        <v>0</v>
      </c>
      <c r="IAT249" s="5">
        <f t="shared" si="95"/>
        <v>0</v>
      </c>
      <c r="IAU249" s="5">
        <f t="shared" si="95"/>
        <v>0</v>
      </c>
      <c r="IAV249" s="5">
        <f t="shared" si="95"/>
        <v>0</v>
      </c>
      <c r="IAW249" s="5">
        <f t="shared" si="95"/>
        <v>0</v>
      </c>
      <c r="IAX249" s="5">
        <f t="shared" si="95"/>
        <v>0</v>
      </c>
      <c r="IAY249" s="5">
        <f t="shared" si="95"/>
        <v>0</v>
      </c>
      <c r="IAZ249" s="5">
        <f t="shared" si="95"/>
        <v>0</v>
      </c>
      <c r="IBA249" s="5">
        <f t="shared" si="95"/>
        <v>0</v>
      </c>
      <c r="IBB249" s="5">
        <f t="shared" si="95"/>
        <v>0</v>
      </c>
      <c r="IBC249" s="5">
        <f t="shared" si="95"/>
        <v>0</v>
      </c>
      <c r="IBD249" s="5">
        <f t="shared" si="95"/>
        <v>0</v>
      </c>
      <c r="IBE249" s="5">
        <f t="shared" si="95"/>
        <v>0</v>
      </c>
      <c r="IBF249" s="5">
        <f t="shared" si="95"/>
        <v>0</v>
      </c>
      <c r="IBG249" s="5">
        <f t="shared" si="95"/>
        <v>0</v>
      </c>
      <c r="IBH249" s="5">
        <f t="shared" si="95"/>
        <v>0</v>
      </c>
      <c r="IBI249" s="5">
        <f t="shared" si="95"/>
        <v>0</v>
      </c>
      <c r="IBJ249" s="5">
        <f t="shared" si="95"/>
        <v>0</v>
      </c>
      <c r="IBK249" s="5">
        <f t="shared" si="95"/>
        <v>0</v>
      </c>
      <c r="IBL249" s="5">
        <f t="shared" si="95"/>
        <v>0</v>
      </c>
      <c r="IBM249" s="5">
        <f t="shared" si="95"/>
        <v>0</v>
      </c>
      <c r="IBN249" s="5">
        <f t="shared" si="95"/>
        <v>0</v>
      </c>
      <c r="IBO249" s="5">
        <f t="shared" si="95"/>
        <v>0</v>
      </c>
      <c r="IBP249" s="5">
        <f t="shared" si="95"/>
        <v>0</v>
      </c>
      <c r="IBQ249" s="5">
        <f t="shared" si="95"/>
        <v>0</v>
      </c>
      <c r="IBR249" s="5">
        <f t="shared" si="95"/>
        <v>0</v>
      </c>
      <c r="IBS249" s="5">
        <f t="shared" si="95"/>
        <v>0</v>
      </c>
      <c r="IBT249" s="5">
        <f t="shared" si="95"/>
        <v>0</v>
      </c>
      <c r="IBU249" s="5">
        <f t="shared" si="95"/>
        <v>0</v>
      </c>
      <c r="IBV249" s="5">
        <f t="shared" si="95"/>
        <v>0</v>
      </c>
      <c r="IBW249" s="5">
        <f t="shared" si="95"/>
        <v>0</v>
      </c>
      <c r="IBX249" s="5">
        <f t="shared" si="95"/>
        <v>0</v>
      </c>
      <c r="IBY249" s="5">
        <f t="shared" si="95"/>
        <v>0</v>
      </c>
      <c r="IBZ249" s="5">
        <f t="shared" ref="IBZ249:IEK249" si="96">SUM(IBZ246:IBZ246)</f>
        <v>0</v>
      </c>
      <c r="ICA249" s="5">
        <f t="shared" si="96"/>
        <v>0</v>
      </c>
      <c r="ICB249" s="5">
        <f t="shared" si="96"/>
        <v>0</v>
      </c>
      <c r="ICC249" s="5">
        <f t="shared" si="96"/>
        <v>0</v>
      </c>
      <c r="ICD249" s="5">
        <f t="shared" si="96"/>
        <v>0</v>
      </c>
      <c r="ICE249" s="5">
        <f t="shared" si="96"/>
        <v>0</v>
      </c>
      <c r="ICF249" s="5">
        <f t="shared" si="96"/>
        <v>0</v>
      </c>
      <c r="ICG249" s="5">
        <f t="shared" si="96"/>
        <v>0</v>
      </c>
      <c r="ICH249" s="5">
        <f t="shared" si="96"/>
        <v>0</v>
      </c>
      <c r="ICI249" s="5">
        <f t="shared" si="96"/>
        <v>0</v>
      </c>
      <c r="ICJ249" s="5">
        <f t="shared" si="96"/>
        <v>0</v>
      </c>
      <c r="ICK249" s="5">
        <f t="shared" si="96"/>
        <v>0</v>
      </c>
      <c r="ICL249" s="5">
        <f t="shared" si="96"/>
        <v>0</v>
      </c>
      <c r="ICM249" s="5">
        <f t="shared" si="96"/>
        <v>0</v>
      </c>
      <c r="ICN249" s="5">
        <f t="shared" si="96"/>
        <v>0</v>
      </c>
      <c r="ICO249" s="5">
        <f t="shared" si="96"/>
        <v>0</v>
      </c>
      <c r="ICP249" s="5">
        <f t="shared" si="96"/>
        <v>0</v>
      </c>
      <c r="ICQ249" s="5">
        <f t="shared" si="96"/>
        <v>0</v>
      </c>
      <c r="ICR249" s="5">
        <f t="shared" si="96"/>
        <v>0</v>
      </c>
      <c r="ICS249" s="5">
        <f t="shared" si="96"/>
        <v>0</v>
      </c>
      <c r="ICT249" s="5">
        <f t="shared" si="96"/>
        <v>0</v>
      </c>
      <c r="ICU249" s="5">
        <f t="shared" si="96"/>
        <v>0</v>
      </c>
      <c r="ICV249" s="5">
        <f t="shared" si="96"/>
        <v>0</v>
      </c>
      <c r="ICW249" s="5">
        <f t="shared" si="96"/>
        <v>0</v>
      </c>
      <c r="ICX249" s="5">
        <f t="shared" si="96"/>
        <v>0</v>
      </c>
      <c r="ICY249" s="5">
        <f t="shared" si="96"/>
        <v>0</v>
      </c>
      <c r="ICZ249" s="5">
        <f t="shared" si="96"/>
        <v>0</v>
      </c>
      <c r="IDA249" s="5">
        <f t="shared" si="96"/>
        <v>0</v>
      </c>
      <c r="IDB249" s="5">
        <f t="shared" si="96"/>
        <v>0</v>
      </c>
      <c r="IDC249" s="5">
        <f t="shared" si="96"/>
        <v>0</v>
      </c>
      <c r="IDD249" s="5">
        <f t="shared" si="96"/>
        <v>0</v>
      </c>
      <c r="IDE249" s="5">
        <f t="shared" si="96"/>
        <v>0</v>
      </c>
      <c r="IDF249" s="5">
        <f t="shared" si="96"/>
        <v>0</v>
      </c>
      <c r="IDG249" s="5">
        <f t="shared" si="96"/>
        <v>0</v>
      </c>
      <c r="IDH249" s="5">
        <f t="shared" si="96"/>
        <v>0</v>
      </c>
      <c r="IDI249" s="5">
        <f t="shared" si="96"/>
        <v>0</v>
      </c>
      <c r="IDJ249" s="5">
        <f t="shared" si="96"/>
        <v>0</v>
      </c>
      <c r="IDK249" s="5">
        <f t="shared" si="96"/>
        <v>0</v>
      </c>
      <c r="IDL249" s="5">
        <f t="shared" si="96"/>
        <v>0</v>
      </c>
      <c r="IDM249" s="5">
        <f t="shared" si="96"/>
        <v>0</v>
      </c>
      <c r="IDN249" s="5">
        <f t="shared" si="96"/>
        <v>0</v>
      </c>
      <c r="IDO249" s="5">
        <f t="shared" si="96"/>
        <v>0</v>
      </c>
      <c r="IDP249" s="5">
        <f t="shared" si="96"/>
        <v>0</v>
      </c>
      <c r="IDQ249" s="5">
        <f t="shared" si="96"/>
        <v>0</v>
      </c>
      <c r="IDR249" s="5">
        <f t="shared" si="96"/>
        <v>0</v>
      </c>
      <c r="IDS249" s="5">
        <f t="shared" si="96"/>
        <v>0</v>
      </c>
      <c r="IDT249" s="5">
        <f t="shared" si="96"/>
        <v>0</v>
      </c>
      <c r="IDU249" s="5">
        <f t="shared" si="96"/>
        <v>0</v>
      </c>
      <c r="IDV249" s="5">
        <f t="shared" si="96"/>
        <v>0</v>
      </c>
      <c r="IDW249" s="5">
        <f t="shared" si="96"/>
        <v>0</v>
      </c>
      <c r="IDX249" s="5">
        <f t="shared" si="96"/>
        <v>0</v>
      </c>
      <c r="IDY249" s="5">
        <f t="shared" si="96"/>
        <v>0</v>
      </c>
      <c r="IDZ249" s="5">
        <f t="shared" si="96"/>
        <v>0</v>
      </c>
      <c r="IEA249" s="5">
        <f t="shared" si="96"/>
        <v>0</v>
      </c>
      <c r="IEB249" s="5">
        <f t="shared" si="96"/>
        <v>0</v>
      </c>
      <c r="IEC249" s="5">
        <f t="shared" si="96"/>
        <v>0</v>
      </c>
      <c r="IED249" s="5">
        <f t="shared" si="96"/>
        <v>0</v>
      </c>
      <c r="IEE249" s="5">
        <f t="shared" si="96"/>
        <v>0</v>
      </c>
      <c r="IEF249" s="5">
        <f t="shared" si="96"/>
        <v>0</v>
      </c>
      <c r="IEG249" s="5">
        <f t="shared" si="96"/>
        <v>0</v>
      </c>
      <c r="IEH249" s="5">
        <f t="shared" si="96"/>
        <v>0</v>
      </c>
      <c r="IEI249" s="5">
        <f t="shared" si="96"/>
        <v>0</v>
      </c>
      <c r="IEJ249" s="5">
        <f t="shared" si="96"/>
        <v>0</v>
      </c>
      <c r="IEK249" s="5">
        <f t="shared" si="96"/>
        <v>0</v>
      </c>
      <c r="IEL249" s="5">
        <f t="shared" ref="IEL249:IGW249" si="97">SUM(IEL246:IEL246)</f>
        <v>0</v>
      </c>
      <c r="IEM249" s="5">
        <f t="shared" si="97"/>
        <v>0</v>
      </c>
      <c r="IEN249" s="5">
        <f t="shared" si="97"/>
        <v>0</v>
      </c>
      <c r="IEO249" s="5">
        <f t="shared" si="97"/>
        <v>0</v>
      </c>
      <c r="IEP249" s="5">
        <f t="shared" si="97"/>
        <v>0</v>
      </c>
      <c r="IEQ249" s="5">
        <f t="shared" si="97"/>
        <v>0</v>
      </c>
      <c r="IER249" s="5">
        <f t="shared" si="97"/>
        <v>0</v>
      </c>
      <c r="IES249" s="5">
        <f t="shared" si="97"/>
        <v>0</v>
      </c>
      <c r="IET249" s="5">
        <f t="shared" si="97"/>
        <v>0</v>
      </c>
      <c r="IEU249" s="5">
        <f t="shared" si="97"/>
        <v>0</v>
      </c>
      <c r="IEV249" s="5">
        <f t="shared" si="97"/>
        <v>0</v>
      </c>
      <c r="IEW249" s="5">
        <f t="shared" si="97"/>
        <v>0</v>
      </c>
      <c r="IEX249" s="5">
        <f t="shared" si="97"/>
        <v>0</v>
      </c>
      <c r="IEY249" s="5">
        <f t="shared" si="97"/>
        <v>0</v>
      </c>
      <c r="IEZ249" s="5">
        <f t="shared" si="97"/>
        <v>0</v>
      </c>
      <c r="IFA249" s="5">
        <f t="shared" si="97"/>
        <v>0</v>
      </c>
      <c r="IFB249" s="5">
        <f t="shared" si="97"/>
        <v>0</v>
      </c>
      <c r="IFC249" s="5">
        <f t="shared" si="97"/>
        <v>0</v>
      </c>
      <c r="IFD249" s="5">
        <f t="shared" si="97"/>
        <v>0</v>
      </c>
      <c r="IFE249" s="5">
        <f t="shared" si="97"/>
        <v>0</v>
      </c>
      <c r="IFF249" s="5">
        <f t="shared" si="97"/>
        <v>0</v>
      </c>
      <c r="IFG249" s="5">
        <f t="shared" si="97"/>
        <v>0</v>
      </c>
      <c r="IFH249" s="5">
        <f t="shared" si="97"/>
        <v>0</v>
      </c>
      <c r="IFI249" s="5">
        <f t="shared" si="97"/>
        <v>0</v>
      </c>
      <c r="IFJ249" s="5">
        <f t="shared" si="97"/>
        <v>0</v>
      </c>
      <c r="IFK249" s="5">
        <f t="shared" si="97"/>
        <v>0</v>
      </c>
      <c r="IFL249" s="5">
        <f t="shared" si="97"/>
        <v>0</v>
      </c>
      <c r="IFM249" s="5">
        <f t="shared" si="97"/>
        <v>0</v>
      </c>
      <c r="IFN249" s="5">
        <f t="shared" si="97"/>
        <v>0</v>
      </c>
      <c r="IFO249" s="5">
        <f t="shared" si="97"/>
        <v>0</v>
      </c>
      <c r="IFP249" s="5">
        <f t="shared" si="97"/>
        <v>0</v>
      </c>
      <c r="IFQ249" s="5">
        <f t="shared" si="97"/>
        <v>0</v>
      </c>
      <c r="IFR249" s="5">
        <f t="shared" si="97"/>
        <v>0</v>
      </c>
      <c r="IFS249" s="5">
        <f t="shared" si="97"/>
        <v>0</v>
      </c>
      <c r="IFT249" s="5">
        <f t="shared" si="97"/>
        <v>0</v>
      </c>
      <c r="IFU249" s="5">
        <f t="shared" si="97"/>
        <v>0</v>
      </c>
      <c r="IFV249" s="5">
        <f t="shared" si="97"/>
        <v>0</v>
      </c>
      <c r="IFW249" s="5">
        <f t="shared" si="97"/>
        <v>0</v>
      </c>
      <c r="IFX249" s="5">
        <f t="shared" si="97"/>
        <v>0</v>
      </c>
      <c r="IFY249" s="5">
        <f t="shared" si="97"/>
        <v>0</v>
      </c>
      <c r="IFZ249" s="5">
        <f t="shared" si="97"/>
        <v>0</v>
      </c>
      <c r="IGA249" s="5">
        <f t="shared" si="97"/>
        <v>0</v>
      </c>
      <c r="IGB249" s="5">
        <f t="shared" si="97"/>
        <v>0</v>
      </c>
      <c r="IGC249" s="5">
        <f t="shared" si="97"/>
        <v>0</v>
      </c>
      <c r="IGD249" s="5">
        <f t="shared" si="97"/>
        <v>0</v>
      </c>
      <c r="IGE249" s="5">
        <f t="shared" si="97"/>
        <v>0</v>
      </c>
      <c r="IGF249" s="5">
        <f t="shared" si="97"/>
        <v>0</v>
      </c>
      <c r="IGG249" s="5">
        <f t="shared" si="97"/>
        <v>0</v>
      </c>
      <c r="IGH249" s="5">
        <f t="shared" si="97"/>
        <v>0</v>
      </c>
      <c r="IGI249" s="5">
        <f t="shared" si="97"/>
        <v>0</v>
      </c>
      <c r="IGJ249" s="5">
        <f t="shared" si="97"/>
        <v>0</v>
      </c>
      <c r="IGK249" s="5">
        <f t="shared" si="97"/>
        <v>0</v>
      </c>
      <c r="IGL249" s="5">
        <f t="shared" si="97"/>
        <v>0</v>
      </c>
      <c r="IGM249" s="5">
        <f t="shared" si="97"/>
        <v>0</v>
      </c>
      <c r="IGN249" s="5">
        <f t="shared" si="97"/>
        <v>0</v>
      </c>
      <c r="IGO249" s="5">
        <f t="shared" si="97"/>
        <v>0</v>
      </c>
      <c r="IGP249" s="5">
        <f t="shared" si="97"/>
        <v>0</v>
      </c>
      <c r="IGQ249" s="5">
        <f t="shared" si="97"/>
        <v>0</v>
      </c>
      <c r="IGR249" s="5">
        <f t="shared" si="97"/>
        <v>0</v>
      </c>
      <c r="IGS249" s="5">
        <f t="shared" si="97"/>
        <v>0</v>
      </c>
      <c r="IGT249" s="5">
        <f t="shared" si="97"/>
        <v>0</v>
      </c>
      <c r="IGU249" s="5">
        <f t="shared" si="97"/>
        <v>0</v>
      </c>
      <c r="IGV249" s="5">
        <f t="shared" si="97"/>
        <v>0</v>
      </c>
      <c r="IGW249" s="5">
        <f t="shared" si="97"/>
        <v>0</v>
      </c>
      <c r="IGX249" s="5">
        <f t="shared" ref="IGX249:IJI249" si="98">SUM(IGX246:IGX246)</f>
        <v>0</v>
      </c>
      <c r="IGY249" s="5">
        <f t="shared" si="98"/>
        <v>0</v>
      </c>
      <c r="IGZ249" s="5">
        <f t="shared" si="98"/>
        <v>0</v>
      </c>
      <c r="IHA249" s="5">
        <f t="shared" si="98"/>
        <v>0</v>
      </c>
      <c r="IHB249" s="5">
        <f t="shared" si="98"/>
        <v>0</v>
      </c>
      <c r="IHC249" s="5">
        <f t="shared" si="98"/>
        <v>0</v>
      </c>
      <c r="IHD249" s="5">
        <f t="shared" si="98"/>
        <v>0</v>
      </c>
      <c r="IHE249" s="5">
        <f t="shared" si="98"/>
        <v>0</v>
      </c>
      <c r="IHF249" s="5">
        <f t="shared" si="98"/>
        <v>0</v>
      </c>
      <c r="IHG249" s="5">
        <f t="shared" si="98"/>
        <v>0</v>
      </c>
      <c r="IHH249" s="5">
        <f t="shared" si="98"/>
        <v>0</v>
      </c>
      <c r="IHI249" s="5">
        <f t="shared" si="98"/>
        <v>0</v>
      </c>
      <c r="IHJ249" s="5">
        <f t="shared" si="98"/>
        <v>0</v>
      </c>
      <c r="IHK249" s="5">
        <f t="shared" si="98"/>
        <v>0</v>
      </c>
      <c r="IHL249" s="5">
        <f t="shared" si="98"/>
        <v>0</v>
      </c>
      <c r="IHM249" s="5">
        <f t="shared" si="98"/>
        <v>0</v>
      </c>
      <c r="IHN249" s="5">
        <f t="shared" si="98"/>
        <v>0</v>
      </c>
      <c r="IHO249" s="5">
        <f t="shared" si="98"/>
        <v>0</v>
      </c>
      <c r="IHP249" s="5">
        <f t="shared" si="98"/>
        <v>0</v>
      </c>
      <c r="IHQ249" s="5">
        <f t="shared" si="98"/>
        <v>0</v>
      </c>
      <c r="IHR249" s="5">
        <f t="shared" si="98"/>
        <v>0</v>
      </c>
      <c r="IHS249" s="5">
        <f t="shared" si="98"/>
        <v>0</v>
      </c>
      <c r="IHT249" s="5">
        <f t="shared" si="98"/>
        <v>0</v>
      </c>
      <c r="IHU249" s="5">
        <f t="shared" si="98"/>
        <v>0</v>
      </c>
      <c r="IHV249" s="5">
        <f t="shared" si="98"/>
        <v>0</v>
      </c>
      <c r="IHW249" s="5">
        <f t="shared" si="98"/>
        <v>0</v>
      </c>
      <c r="IHX249" s="5">
        <f t="shared" si="98"/>
        <v>0</v>
      </c>
      <c r="IHY249" s="5">
        <f t="shared" si="98"/>
        <v>0</v>
      </c>
      <c r="IHZ249" s="5">
        <f t="shared" si="98"/>
        <v>0</v>
      </c>
      <c r="IIA249" s="5">
        <f t="shared" si="98"/>
        <v>0</v>
      </c>
      <c r="IIB249" s="5">
        <f t="shared" si="98"/>
        <v>0</v>
      </c>
      <c r="IIC249" s="5">
        <f t="shared" si="98"/>
        <v>0</v>
      </c>
      <c r="IID249" s="5">
        <f t="shared" si="98"/>
        <v>0</v>
      </c>
      <c r="IIE249" s="5">
        <f t="shared" si="98"/>
        <v>0</v>
      </c>
      <c r="IIF249" s="5">
        <f t="shared" si="98"/>
        <v>0</v>
      </c>
      <c r="IIG249" s="5">
        <f t="shared" si="98"/>
        <v>0</v>
      </c>
      <c r="IIH249" s="5">
        <f t="shared" si="98"/>
        <v>0</v>
      </c>
      <c r="III249" s="5">
        <f t="shared" si="98"/>
        <v>0</v>
      </c>
      <c r="IIJ249" s="5">
        <f t="shared" si="98"/>
        <v>0</v>
      </c>
      <c r="IIK249" s="5">
        <f t="shared" si="98"/>
        <v>0</v>
      </c>
      <c r="IIL249" s="5">
        <f t="shared" si="98"/>
        <v>0</v>
      </c>
      <c r="IIM249" s="5">
        <f t="shared" si="98"/>
        <v>0</v>
      </c>
      <c r="IIN249" s="5">
        <f t="shared" si="98"/>
        <v>0</v>
      </c>
      <c r="IIO249" s="5">
        <f t="shared" si="98"/>
        <v>0</v>
      </c>
      <c r="IIP249" s="5">
        <f t="shared" si="98"/>
        <v>0</v>
      </c>
      <c r="IIQ249" s="5">
        <f t="shared" si="98"/>
        <v>0</v>
      </c>
      <c r="IIR249" s="5">
        <f t="shared" si="98"/>
        <v>0</v>
      </c>
      <c r="IIS249" s="5">
        <f t="shared" si="98"/>
        <v>0</v>
      </c>
      <c r="IIT249" s="5">
        <f t="shared" si="98"/>
        <v>0</v>
      </c>
      <c r="IIU249" s="5">
        <f t="shared" si="98"/>
        <v>0</v>
      </c>
      <c r="IIV249" s="5">
        <f t="shared" si="98"/>
        <v>0</v>
      </c>
      <c r="IIW249" s="5">
        <f t="shared" si="98"/>
        <v>0</v>
      </c>
      <c r="IIX249" s="5">
        <f t="shared" si="98"/>
        <v>0</v>
      </c>
      <c r="IIY249" s="5">
        <f t="shared" si="98"/>
        <v>0</v>
      </c>
      <c r="IIZ249" s="5">
        <f t="shared" si="98"/>
        <v>0</v>
      </c>
      <c r="IJA249" s="5">
        <f t="shared" si="98"/>
        <v>0</v>
      </c>
      <c r="IJB249" s="5">
        <f t="shared" si="98"/>
        <v>0</v>
      </c>
      <c r="IJC249" s="5">
        <f t="shared" si="98"/>
        <v>0</v>
      </c>
      <c r="IJD249" s="5">
        <f t="shared" si="98"/>
        <v>0</v>
      </c>
      <c r="IJE249" s="5">
        <f t="shared" si="98"/>
        <v>0</v>
      </c>
      <c r="IJF249" s="5">
        <f t="shared" si="98"/>
        <v>0</v>
      </c>
      <c r="IJG249" s="5">
        <f t="shared" si="98"/>
        <v>0</v>
      </c>
      <c r="IJH249" s="5">
        <f t="shared" si="98"/>
        <v>0</v>
      </c>
      <c r="IJI249" s="5">
        <f t="shared" si="98"/>
        <v>0</v>
      </c>
      <c r="IJJ249" s="5">
        <f t="shared" ref="IJJ249:ILU249" si="99">SUM(IJJ246:IJJ246)</f>
        <v>0</v>
      </c>
      <c r="IJK249" s="5">
        <f t="shared" si="99"/>
        <v>0</v>
      </c>
      <c r="IJL249" s="5">
        <f t="shared" si="99"/>
        <v>0</v>
      </c>
      <c r="IJM249" s="5">
        <f t="shared" si="99"/>
        <v>0</v>
      </c>
      <c r="IJN249" s="5">
        <f t="shared" si="99"/>
        <v>0</v>
      </c>
      <c r="IJO249" s="5">
        <f t="shared" si="99"/>
        <v>0</v>
      </c>
      <c r="IJP249" s="5">
        <f t="shared" si="99"/>
        <v>0</v>
      </c>
      <c r="IJQ249" s="5">
        <f t="shared" si="99"/>
        <v>0</v>
      </c>
      <c r="IJR249" s="5">
        <f t="shared" si="99"/>
        <v>0</v>
      </c>
      <c r="IJS249" s="5">
        <f t="shared" si="99"/>
        <v>0</v>
      </c>
      <c r="IJT249" s="5">
        <f t="shared" si="99"/>
        <v>0</v>
      </c>
      <c r="IJU249" s="5">
        <f t="shared" si="99"/>
        <v>0</v>
      </c>
      <c r="IJV249" s="5">
        <f t="shared" si="99"/>
        <v>0</v>
      </c>
      <c r="IJW249" s="5">
        <f t="shared" si="99"/>
        <v>0</v>
      </c>
      <c r="IJX249" s="5">
        <f t="shared" si="99"/>
        <v>0</v>
      </c>
      <c r="IJY249" s="5">
        <f t="shared" si="99"/>
        <v>0</v>
      </c>
      <c r="IJZ249" s="5">
        <f t="shared" si="99"/>
        <v>0</v>
      </c>
      <c r="IKA249" s="5">
        <f t="shared" si="99"/>
        <v>0</v>
      </c>
      <c r="IKB249" s="5">
        <f t="shared" si="99"/>
        <v>0</v>
      </c>
      <c r="IKC249" s="5">
        <f t="shared" si="99"/>
        <v>0</v>
      </c>
      <c r="IKD249" s="5">
        <f t="shared" si="99"/>
        <v>0</v>
      </c>
      <c r="IKE249" s="5">
        <f t="shared" si="99"/>
        <v>0</v>
      </c>
      <c r="IKF249" s="5">
        <f t="shared" si="99"/>
        <v>0</v>
      </c>
      <c r="IKG249" s="5">
        <f t="shared" si="99"/>
        <v>0</v>
      </c>
      <c r="IKH249" s="5">
        <f t="shared" si="99"/>
        <v>0</v>
      </c>
      <c r="IKI249" s="5">
        <f t="shared" si="99"/>
        <v>0</v>
      </c>
      <c r="IKJ249" s="5">
        <f t="shared" si="99"/>
        <v>0</v>
      </c>
      <c r="IKK249" s="5">
        <f t="shared" si="99"/>
        <v>0</v>
      </c>
      <c r="IKL249" s="5">
        <f t="shared" si="99"/>
        <v>0</v>
      </c>
      <c r="IKM249" s="5">
        <f t="shared" si="99"/>
        <v>0</v>
      </c>
      <c r="IKN249" s="5">
        <f t="shared" si="99"/>
        <v>0</v>
      </c>
      <c r="IKO249" s="5">
        <f t="shared" si="99"/>
        <v>0</v>
      </c>
      <c r="IKP249" s="5">
        <f t="shared" si="99"/>
        <v>0</v>
      </c>
      <c r="IKQ249" s="5">
        <f t="shared" si="99"/>
        <v>0</v>
      </c>
      <c r="IKR249" s="5">
        <f t="shared" si="99"/>
        <v>0</v>
      </c>
      <c r="IKS249" s="5">
        <f t="shared" si="99"/>
        <v>0</v>
      </c>
      <c r="IKT249" s="5">
        <f t="shared" si="99"/>
        <v>0</v>
      </c>
      <c r="IKU249" s="5">
        <f t="shared" si="99"/>
        <v>0</v>
      </c>
      <c r="IKV249" s="5">
        <f t="shared" si="99"/>
        <v>0</v>
      </c>
      <c r="IKW249" s="5">
        <f t="shared" si="99"/>
        <v>0</v>
      </c>
      <c r="IKX249" s="5">
        <f t="shared" si="99"/>
        <v>0</v>
      </c>
      <c r="IKY249" s="5">
        <f t="shared" si="99"/>
        <v>0</v>
      </c>
      <c r="IKZ249" s="5">
        <f t="shared" si="99"/>
        <v>0</v>
      </c>
      <c r="ILA249" s="5">
        <f t="shared" si="99"/>
        <v>0</v>
      </c>
      <c r="ILB249" s="5">
        <f t="shared" si="99"/>
        <v>0</v>
      </c>
      <c r="ILC249" s="5">
        <f t="shared" si="99"/>
        <v>0</v>
      </c>
      <c r="ILD249" s="5">
        <f t="shared" si="99"/>
        <v>0</v>
      </c>
      <c r="ILE249" s="5">
        <f t="shared" si="99"/>
        <v>0</v>
      </c>
      <c r="ILF249" s="5">
        <f t="shared" si="99"/>
        <v>0</v>
      </c>
      <c r="ILG249" s="5">
        <f t="shared" si="99"/>
        <v>0</v>
      </c>
      <c r="ILH249" s="5">
        <f t="shared" si="99"/>
        <v>0</v>
      </c>
      <c r="ILI249" s="5">
        <f t="shared" si="99"/>
        <v>0</v>
      </c>
      <c r="ILJ249" s="5">
        <f t="shared" si="99"/>
        <v>0</v>
      </c>
      <c r="ILK249" s="5">
        <f t="shared" si="99"/>
        <v>0</v>
      </c>
      <c r="ILL249" s="5">
        <f t="shared" si="99"/>
        <v>0</v>
      </c>
      <c r="ILM249" s="5">
        <f t="shared" si="99"/>
        <v>0</v>
      </c>
      <c r="ILN249" s="5">
        <f t="shared" si="99"/>
        <v>0</v>
      </c>
      <c r="ILO249" s="5">
        <f t="shared" si="99"/>
        <v>0</v>
      </c>
      <c r="ILP249" s="5">
        <f t="shared" si="99"/>
        <v>0</v>
      </c>
      <c r="ILQ249" s="5">
        <f t="shared" si="99"/>
        <v>0</v>
      </c>
      <c r="ILR249" s="5">
        <f t="shared" si="99"/>
        <v>0</v>
      </c>
      <c r="ILS249" s="5">
        <f t="shared" si="99"/>
        <v>0</v>
      </c>
      <c r="ILT249" s="5">
        <f t="shared" si="99"/>
        <v>0</v>
      </c>
      <c r="ILU249" s="5">
        <f t="shared" si="99"/>
        <v>0</v>
      </c>
      <c r="ILV249" s="5">
        <f t="shared" ref="ILV249:IOG249" si="100">SUM(ILV246:ILV246)</f>
        <v>0</v>
      </c>
      <c r="ILW249" s="5">
        <f t="shared" si="100"/>
        <v>0</v>
      </c>
      <c r="ILX249" s="5">
        <f t="shared" si="100"/>
        <v>0</v>
      </c>
      <c r="ILY249" s="5">
        <f t="shared" si="100"/>
        <v>0</v>
      </c>
      <c r="ILZ249" s="5">
        <f t="shared" si="100"/>
        <v>0</v>
      </c>
      <c r="IMA249" s="5">
        <f t="shared" si="100"/>
        <v>0</v>
      </c>
      <c r="IMB249" s="5">
        <f t="shared" si="100"/>
        <v>0</v>
      </c>
      <c r="IMC249" s="5">
        <f t="shared" si="100"/>
        <v>0</v>
      </c>
      <c r="IMD249" s="5">
        <f t="shared" si="100"/>
        <v>0</v>
      </c>
      <c r="IME249" s="5">
        <f t="shared" si="100"/>
        <v>0</v>
      </c>
      <c r="IMF249" s="5">
        <f t="shared" si="100"/>
        <v>0</v>
      </c>
      <c r="IMG249" s="5">
        <f t="shared" si="100"/>
        <v>0</v>
      </c>
      <c r="IMH249" s="5">
        <f t="shared" si="100"/>
        <v>0</v>
      </c>
      <c r="IMI249" s="5">
        <f t="shared" si="100"/>
        <v>0</v>
      </c>
      <c r="IMJ249" s="5">
        <f t="shared" si="100"/>
        <v>0</v>
      </c>
      <c r="IMK249" s="5">
        <f t="shared" si="100"/>
        <v>0</v>
      </c>
      <c r="IML249" s="5">
        <f t="shared" si="100"/>
        <v>0</v>
      </c>
      <c r="IMM249" s="5">
        <f t="shared" si="100"/>
        <v>0</v>
      </c>
      <c r="IMN249" s="5">
        <f t="shared" si="100"/>
        <v>0</v>
      </c>
      <c r="IMO249" s="5">
        <f t="shared" si="100"/>
        <v>0</v>
      </c>
      <c r="IMP249" s="5">
        <f t="shared" si="100"/>
        <v>0</v>
      </c>
      <c r="IMQ249" s="5">
        <f t="shared" si="100"/>
        <v>0</v>
      </c>
      <c r="IMR249" s="5">
        <f t="shared" si="100"/>
        <v>0</v>
      </c>
      <c r="IMS249" s="5">
        <f t="shared" si="100"/>
        <v>0</v>
      </c>
      <c r="IMT249" s="5">
        <f t="shared" si="100"/>
        <v>0</v>
      </c>
      <c r="IMU249" s="5">
        <f t="shared" si="100"/>
        <v>0</v>
      </c>
      <c r="IMV249" s="5">
        <f t="shared" si="100"/>
        <v>0</v>
      </c>
      <c r="IMW249" s="5">
        <f t="shared" si="100"/>
        <v>0</v>
      </c>
      <c r="IMX249" s="5">
        <f t="shared" si="100"/>
        <v>0</v>
      </c>
      <c r="IMY249" s="5">
        <f t="shared" si="100"/>
        <v>0</v>
      </c>
      <c r="IMZ249" s="5">
        <f t="shared" si="100"/>
        <v>0</v>
      </c>
      <c r="INA249" s="5">
        <f t="shared" si="100"/>
        <v>0</v>
      </c>
      <c r="INB249" s="5">
        <f t="shared" si="100"/>
        <v>0</v>
      </c>
      <c r="INC249" s="5">
        <f t="shared" si="100"/>
        <v>0</v>
      </c>
      <c r="IND249" s="5">
        <f t="shared" si="100"/>
        <v>0</v>
      </c>
      <c r="INE249" s="5">
        <f t="shared" si="100"/>
        <v>0</v>
      </c>
      <c r="INF249" s="5">
        <f t="shared" si="100"/>
        <v>0</v>
      </c>
      <c r="ING249" s="5">
        <f t="shared" si="100"/>
        <v>0</v>
      </c>
      <c r="INH249" s="5">
        <f t="shared" si="100"/>
        <v>0</v>
      </c>
      <c r="INI249" s="5">
        <f t="shared" si="100"/>
        <v>0</v>
      </c>
      <c r="INJ249" s="5">
        <f t="shared" si="100"/>
        <v>0</v>
      </c>
      <c r="INK249" s="5">
        <f t="shared" si="100"/>
        <v>0</v>
      </c>
      <c r="INL249" s="5">
        <f t="shared" si="100"/>
        <v>0</v>
      </c>
      <c r="INM249" s="5">
        <f t="shared" si="100"/>
        <v>0</v>
      </c>
      <c r="INN249" s="5">
        <f t="shared" si="100"/>
        <v>0</v>
      </c>
      <c r="INO249" s="5">
        <f t="shared" si="100"/>
        <v>0</v>
      </c>
      <c r="INP249" s="5">
        <f t="shared" si="100"/>
        <v>0</v>
      </c>
      <c r="INQ249" s="5">
        <f t="shared" si="100"/>
        <v>0</v>
      </c>
      <c r="INR249" s="5">
        <f t="shared" si="100"/>
        <v>0</v>
      </c>
      <c r="INS249" s="5">
        <f t="shared" si="100"/>
        <v>0</v>
      </c>
      <c r="INT249" s="5">
        <f t="shared" si="100"/>
        <v>0</v>
      </c>
      <c r="INU249" s="5">
        <f t="shared" si="100"/>
        <v>0</v>
      </c>
      <c r="INV249" s="5">
        <f t="shared" si="100"/>
        <v>0</v>
      </c>
      <c r="INW249" s="5">
        <f t="shared" si="100"/>
        <v>0</v>
      </c>
      <c r="INX249" s="5">
        <f t="shared" si="100"/>
        <v>0</v>
      </c>
      <c r="INY249" s="5">
        <f t="shared" si="100"/>
        <v>0</v>
      </c>
      <c r="INZ249" s="5">
        <f t="shared" si="100"/>
        <v>0</v>
      </c>
      <c r="IOA249" s="5">
        <f t="shared" si="100"/>
        <v>0</v>
      </c>
      <c r="IOB249" s="5">
        <f t="shared" si="100"/>
        <v>0</v>
      </c>
      <c r="IOC249" s="5">
        <f t="shared" si="100"/>
        <v>0</v>
      </c>
      <c r="IOD249" s="5">
        <f t="shared" si="100"/>
        <v>0</v>
      </c>
      <c r="IOE249" s="5">
        <f t="shared" si="100"/>
        <v>0</v>
      </c>
      <c r="IOF249" s="5">
        <f t="shared" si="100"/>
        <v>0</v>
      </c>
      <c r="IOG249" s="5">
        <f t="shared" si="100"/>
        <v>0</v>
      </c>
      <c r="IOH249" s="5">
        <f t="shared" ref="IOH249:IQS249" si="101">SUM(IOH246:IOH246)</f>
        <v>0</v>
      </c>
      <c r="IOI249" s="5">
        <f t="shared" si="101"/>
        <v>0</v>
      </c>
      <c r="IOJ249" s="5">
        <f t="shared" si="101"/>
        <v>0</v>
      </c>
      <c r="IOK249" s="5">
        <f t="shared" si="101"/>
        <v>0</v>
      </c>
      <c r="IOL249" s="5">
        <f t="shared" si="101"/>
        <v>0</v>
      </c>
      <c r="IOM249" s="5">
        <f t="shared" si="101"/>
        <v>0</v>
      </c>
      <c r="ION249" s="5">
        <f t="shared" si="101"/>
        <v>0</v>
      </c>
      <c r="IOO249" s="5">
        <f t="shared" si="101"/>
        <v>0</v>
      </c>
      <c r="IOP249" s="5">
        <f t="shared" si="101"/>
        <v>0</v>
      </c>
      <c r="IOQ249" s="5">
        <f t="shared" si="101"/>
        <v>0</v>
      </c>
      <c r="IOR249" s="5">
        <f t="shared" si="101"/>
        <v>0</v>
      </c>
      <c r="IOS249" s="5">
        <f t="shared" si="101"/>
        <v>0</v>
      </c>
      <c r="IOT249" s="5">
        <f t="shared" si="101"/>
        <v>0</v>
      </c>
      <c r="IOU249" s="5">
        <f t="shared" si="101"/>
        <v>0</v>
      </c>
      <c r="IOV249" s="5">
        <f t="shared" si="101"/>
        <v>0</v>
      </c>
      <c r="IOW249" s="5">
        <f t="shared" si="101"/>
        <v>0</v>
      </c>
      <c r="IOX249" s="5">
        <f t="shared" si="101"/>
        <v>0</v>
      </c>
      <c r="IOY249" s="5">
        <f t="shared" si="101"/>
        <v>0</v>
      </c>
      <c r="IOZ249" s="5">
        <f t="shared" si="101"/>
        <v>0</v>
      </c>
      <c r="IPA249" s="5">
        <f t="shared" si="101"/>
        <v>0</v>
      </c>
      <c r="IPB249" s="5">
        <f t="shared" si="101"/>
        <v>0</v>
      </c>
      <c r="IPC249" s="5">
        <f t="shared" si="101"/>
        <v>0</v>
      </c>
      <c r="IPD249" s="5">
        <f t="shared" si="101"/>
        <v>0</v>
      </c>
      <c r="IPE249" s="5">
        <f t="shared" si="101"/>
        <v>0</v>
      </c>
      <c r="IPF249" s="5">
        <f t="shared" si="101"/>
        <v>0</v>
      </c>
      <c r="IPG249" s="5">
        <f t="shared" si="101"/>
        <v>0</v>
      </c>
      <c r="IPH249" s="5">
        <f t="shared" si="101"/>
        <v>0</v>
      </c>
      <c r="IPI249" s="5">
        <f t="shared" si="101"/>
        <v>0</v>
      </c>
      <c r="IPJ249" s="5">
        <f t="shared" si="101"/>
        <v>0</v>
      </c>
      <c r="IPK249" s="5">
        <f t="shared" si="101"/>
        <v>0</v>
      </c>
      <c r="IPL249" s="5">
        <f t="shared" si="101"/>
        <v>0</v>
      </c>
      <c r="IPM249" s="5">
        <f t="shared" si="101"/>
        <v>0</v>
      </c>
      <c r="IPN249" s="5">
        <f t="shared" si="101"/>
        <v>0</v>
      </c>
      <c r="IPO249" s="5">
        <f t="shared" si="101"/>
        <v>0</v>
      </c>
      <c r="IPP249" s="5">
        <f t="shared" si="101"/>
        <v>0</v>
      </c>
      <c r="IPQ249" s="5">
        <f t="shared" si="101"/>
        <v>0</v>
      </c>
      <c r="IPR249" s="5">
        <f t="shared" si="101"/>
        <v>0</v>
      </c>
      <c r="IPS249" s="5">
        <f t="shared" si="101"/>
        <v>0</v>
      </c>
      <c r="IPT249" s="5">
        <f t="shared" si="101"/>
        <v>0</v>
      </c>
      <c r="IPU249" s="5">
        <f t="shared" si="101"/>
        <v>0</v>
      </c>
      <c r="IPV249" s="5">
        <f t="shared" si="101"/>
        <v>0</v>
      </c>
      <c r="IPW249" s="5">
        <f t="shared" si="101"/>
        <v>0</v>
      </c>
      <c r="IPX249" s="5">
        <f t="shared" si="101"/>
        <v>0</v>
      </c>
      <c r="IPY249" s="5">
        <f t="shared" si="101"/>
        <v>0</v>
      </c>
      <c r="IPZ249" s="5">
        <f t="shared" si="101"/>
        <v>0</v>
      </c>
      <c r="IQA249" s="5">
        <f t="shared" si="101"/>
        <v>0</v>
      </c>
      <c r="IQB249" s="5">
        <f t="shared" si="101"/>
        <v>0</v>
      </c>
      <c r="IQC249" s="5">
        <f t="shared" si="101"/>
        <v>0</v>
      </c>
      <c r="IQD249" s="5">
        <f t="shared" si="101"/>
        <v>0</v>
      </c>
      <c r="IQE249" s="5">
        <f t="shared" si="101"/>
        <v>0</v>
      </c>
      <c r="IQF249" s="5">
        <f t="shared" si="101"/>
        <v>0</v>
      </c>
      <c r="IQG249" s="5">
        <f t="shared" si="101"/>
        <v>0</v>
      </c>
      <c r="IQH249" s="5">
        <f t="shared" si="101"/>
        <v>0</v>
      </c>
      <c r="IQI249" s="5">
        <f t="shared" si="101"/>
        <v>0</v>
      </c>
      <c r="IQJ249" s="5">
        <f t="shared" si="101"/>
        <v>0</v>
      </c>
      <c r="IQK249" s="5">
        <f t="shared" si="101"/>
        <v>0</v>
      </c>
      <c r="IQL249" s="5">
        <f t="shared" si="101"/>
        <v>0</v>
      </c>
      <c r="IQM249" s="5">
        <f t="shared" si="101"/>
        <v>0</v>
      </c>
      <c r="IQN249" s="5">
        <f t="shared" si="101"/>
        <v>0</v>
      </c>
      <c r="IQO249" s="5">
        <f t="shared" si="101"/>
        <v>0</v>
      </c>
      <c r="IQP249" s="5">
        <f t="shared" si="101"/>
        <v>0</v>
      </c>
      <c r="IQQ249" s="5">
        <f t="shared" si="101"/>
        <v>0</v>
      </c>
      <c r="IQR249" s="5">
        <f t="shared" si="101"/>
        <v>0</v>
      </c>
      <c r="IQS249" s="5">
        <f t="shared" si="101"/>
        <v>0</v>
      </c>
      <c r="IQT249" s="5">
        <f t="shared" ref="IQT249:ITE249" si="102">SUM(IQT246:IQT246)</f>
        <v>0</v>
      </c>
      <c r="IQU249" s="5">
        <f t="shared" si="102"/>
        <v>0</v>
      </c>
      <c r="IQV249" s="5">
        <f t="shared" si="102"/>
        <v>0</v>
      </c>
      <c r="IQW249" s="5">
        <f t="shared" si="102"/>
        <v>0</v>
      </c>
      <c r="IQX249" s="5">
        <f t="shared" si="102"/>
        <v>0</v>
      </c>
      <c r="IQY249" s="5">
        <f t="shared" si="102"/>
        <v>0</v>
      </c>
      <c r="IQZ249" s="5">
        <f t="shared" si="102"/>
        <v>0</v>
      </c>
      <c r="IRA249" s="5">
        <f t="shared" si="102"/>
        <v>0</v>
      </c>
      <c r="IRB249" s="5">
        <f t="shared" si="102"/>
        <v>0</v>
      </c>
      <c r="IRC249" s="5">
        <f t="shared" si="102"/>
        <v>0</v>
      </c>
      <c r="IRD249" s="5">
        <f t="shared" si="102"/>
        <v>0</v>
      </c>
      <c r="IRE249" s="5">
        <f t="shared" si="102"/>
        <v>0</v>
      </c>
      <c r="IRF249" s="5">
        <f t="shared" si="102"/>
        <v>0</v>
      </c>
      <c r="IRG249" s="5">
        <f t="shared" si="102"/>
        <v>0</v>
      </c>
      <c r="IRH249" s="5">
        <f t="shared" si="102"/>
        <v>0</v>
      </c>
      <c r="IRI249" s="5">
        <f t="shared" si="102"/>
        <v>0</v>
      </c>
      <c r="IRJ249" s="5">
        <f t="shared" si="102"/>
        <v>0</v>
      </c>
      <c r="IRK249" s="5">
        <f t="shared" si="102"/>
        <v>0</v>
      </c>
      <c r="IRL249" s="5">
        <f t="shared" si="102"/>
        <v>0</v>
      </c>
      <c r="IRM249" s="5">
        <f t="shared" si="102"/>
        <v>0</v>
      </c>
      <c r="IRN249" s="5">
        <f t="shared" si="102"/>
        <v>0</v>
      </c>
      <c r="IRO249" s="5">
        <f t="shared" si="102"/>
        <v>0</v>
      </c>
      <c r="IRP249" s="5">
        <f t="shared" si="102"/>
        <v>0</v>
      </c>
      <c r="IRQ249" s="5">
        <f t="shared" si="102"/>
        <v>0</v>
      </c>
      <c r="IRR249" s="5">
        <f t="shared" si="102"/>
        <v>0</v>
      </c>
      <c r="IRS249" s="5">
        <f t="shared" si="102"/>
        <v>0</v>
      </c>
      <c r="IRT249" s="5">
        <f t="shared" si="102"/>
        <v>0</v>
      </c>
      <c r="IRU249" s="5">
        <f t="shared" si="102"/>
        <v>0</v>
      </c>
      <c r="IRV249" s="5">
        <f t="shared" si="102"/>
        <v>0</v>
      </c>
      <c r="IRW249" s="5">
        <f t="shared" si="102"/>
        <v>0</v>
      </c>
      <c r="IRX249" s="5">
        <f t="shared" si="102"/>
        <v>0</v>
      </c>
      <c r="IRY249" s="5">
        <f t="shared" si="102"/>
        <v>0</v>
      </c>
      <c r="IRZ249" s="5">
        <f t="shared" si="102"/>
        <v>0</v>
      </c>
      <c r="ISA249" s="5">
        <f t="shared" si="102"/>
        <v>0</v>
      </c>
      <c r="ISB249" s="5">
        <f t="shared" si="102"/>
        <v>0</v>
      </c>
      <c r="ISC249" s="5">
        <f t="shared" si="102"/>
        <v>0</v>
      </c>
      <c r="ISD249" s="5">
        <f t="shared" si="102"/>
        <v>0</v>
      </c>
      <c r="ISE249" s="5">
        <f t="shared" si="102"/>
        <v>0</v>
      </c>
      <c r="ISF249" s="5">
        <f t="shared" si="102"/>
        <v>0</v>
      </c>
      <c r="ISG249" s="5">
        <f t="shared" si="102"/>
        <v>0</v>
      </c>
      <c r="ISH249" s="5">
        <f t="shared" si="102"/>
        <v>0</v>
      </c>
      <c r="ISI249" s="5">
        <f t="shared" si="102"/>
        <v>0</v>
      </c>
      <c r="ISJ249" s="5">
        <f t="shared" si="102"/>
        <v>0</v>
      </c>
      <c r="ISK249" s="5">
        <f t="shared" si="102"/>
        <v>0</v>
      </c>
      <c r="ISL249" s="5">
        <f t="shared" si="102"/>
        <v>0</v>
      </c>
      <c r="ISM249" s="5">
        <f t="shared" si="102"/>
        <v>0</v>
      </c>
      <c r="ISN249" s="5">
        <f t="shared" si="102"/>
        <v>0</v>
      </c>
      <c r="ISO249" s="5">
        <f t="shared" si="102"/>
        <v>0</v>
      </c>
      <c r="ISP249" s="5">
        <f t="shared" si="102"/>
        <v>0</v>
      </c>
      <c r="ISQ249" s="5">
        <f t="shared" si="102"/>
        <v>0</v>
      </c>
      <c r="ISR249" s="5">
        <f t="shared" si="102"/>
        <v>0</v>
      </c>
      <c r="ISS249" s="5">
        <f t="shared" si="102"/>
        <v>0</v>
      </c>
      <c r="IST249" s="5">
        <f t="shared" si="102"/>
        <v>0</v>
      </c>
      <c r="ISU249" s="5">
        <f t="shared" si="102"/>
        <v>0</v>
      </c>
      <c r="ISV249" s="5">
        <f t="shared" si="102"/>
        <v>0</v>
      </c>
      <c r="ISW249" s="5">
        <f t="shared" si="102"/>
        <v>0</v>
      </c>
      <c r="ISX249" s="5">
        <f t="shared" si="102"/>
        <v>0</v>
      </c>
      <c r="ISY249" s="5">
        <f t="shared" si="102"/>
        <v>0</v>
      </c>
      <c r="ISZ249" s="5">
        <f t="shared" si="102"/>
        <v>0</v>
      </c>
      <c r="ITA249" s="5">
        <f t="shared" si="102"/>
        <v>0</v>
      </c>
      <c r="ITB249" s="5">
        <f t="shared" si="102"/>
        <v>0</v>
      </c>
      <c r="ITC249" s="5">
        <f t="shared" si="102"/>
        <v>0</v>
      </c>
      <c r="ITD249" s="5">
        <f t="shared" si="102"/>
        <v>0</v>
      </c>
      <c r="ITE249" s="5">
        <f t="shared" si="102"/>
        <v>0</v>
      </c>
      <c r="ITF249" s="5">
        <f t="shared" ref="ITF249:IVQ249" si="103">SUM(ITF246:ITF246)</f>
        <v>0</v>
      </c>
      <c r="ITG249" s="5">
        <f t="shared" si="103"/>
        <v>0</v>
      </c>
      <c r="ITH249" s="5">
        <f t="shared" si="103"/>
        <v>0</v>
      </c>
      <c r="ITI249" s="5">
        <f t="shared" si="103"/>
        <v>0</v>
      </c>
      <c r="ITJ249" s="5">
        <f t="shared" si="103"/>
        <v>0</v>
      </c>
      <c r="ITK249" s="5">
        <f t="shared" si="103"/>
        <v>0</v>
      </c>
      <c r="ITL249" s="5">
        <f t="shared" si="103"/>
        <v>0</v>
      </c>
      <c r="ITM249" s="5">
        <f t="shared" si="103"/>
        <v>0</v>
      </c>
      <c r="ITN249" s="5">
        <f t="shared" si="103"/>
        <v>0</v>
      </c>
      <c r="ITO249" s="5">
        <f t="shared" si="103"/>
        <v>0</v>
      </c>
      <c r="ITP249" s="5">
        <f t="shared" si="103"/>
        <v>0</v>
      </c>
      <c r="ITQ249" s="5">
        <f t="shared" si="103"/>
        <v>0</v>
      </c>
      <c r="ITR249" s="5">
        <f t="shared" si="103"/>
        <v>0</v>
      </c>
      <c r="ITS249" s="5">
        <f t="shared" si="103"/>
        <v>0</v>
      </c>
      <c r="ITT249" s="5">
        <f t="shared" si="103"/>
        <v>0</v>
      </c>
      <c r="ITU249" s="5">
        <f t="shared" si="103"/>
        <v>0</v>
      </c>
      <c r="ITV249" s="5">
        <f t="shared" si="103"/>
        <v>0</v>
      </c>
      <c r="ITW249" s="5">
        <f t="shared" si="103"/>
        <v>0</v>
      </c>
      <c r="ITX249" s="5">
        <f t="shared" si="103"/>
        <v>0</v>
      </c>
      <c r="ITY249" s="5">
        <f t="shared" si="103"/>
        <v>0</v>
      </c>
      <c r="ITZ249" s="5">
        <f t="shared" si="103"/>
        <v>0</v>
      </c>
      <c r="IUA249" s="5">
        <f t="shared" si="103"/>
        <v>0</v>
      </c>
      <c r="IUB249" s="5">
        <f t="shared" si="103"/>
        <v>0</v>
      </c>
      <c r="IUC249" s="5">
        <f t="shared" si="103"/>
        <v>0</v>
      </c>
      <c r="IUD249" s="5">
        <f t="shared" si="103"/>
        <v>0</v>
      </c>
      <c r="IUE249" s="5">
        <f t="shared" si="103"/>
        <v>0</v>
      </c>
      <c r="IUF249" s="5">
        <f t="shared" si="103"/>
        <v>0</v>
      </c>
      <c r="IUG249" s="5">
        <f t="shared" si="103"/>
        <v>0</v>
      </c>
      <c r="IUH249" s="5">
        <f t="shared" si="103"/>
        <v>0</v>
      </c>
      <c r="IUI249" s="5">
        <f t="shared" si="103"/>
        <v>0</v>
      </c>
      <c r="IUJ249" s="5">
        <f t="shared" si="103"/>
        <v>0</v>
      </c>
      <c r="IUK249" s="5">
        <f t="shared" si="103"/>
        <v>0</v>
      </c>
      <c r="IUL249" s="5">
        <f t="shared" si="103"/>
        <v>0</v>
      </c>
      <c r="IUM249" s="5">
        <f t="shared" si="103"/>
        <v>0</v>
      </c>
      <c r="IUN249" s="5">
        <f t="shared" si="103"/>
        <v>0</v>
      </c>
      <c r="IUO249" s="5">
        <f t="shared" si="103"/>
        <v>0</v>
      </c>
      <c r="IUP249" s="5">
        <f t="shared" si="103"/>
        <v>0</v>
      </c>
      <c r="IUQ249" s="5">
        <f t="shared" si="103"/>
        <v>0</v>
      </c>
      <c r="IUR249" s="5">
        <f t="shared" si="103"/>
        <v>0</v>
      </c>
      <c r="IUS249" s="5">
        <f t="shared" si="103"/>
        <v>0</v>
      </c>
      <c r="IUT249" s="5">
        <f t="shared" si="103"/>
        <v>0</v>
      </c>
      <c r="IUU249" s="5">
        <f t="shared" si="103"/>
        <v>0</v>
      </c>
      <c r="IUV249" s="5">
        <f t="shared" si="103"/>
        <v>0</v>
      </c>
      <c r="IUW249" s="5">
        <f t="shared" si="103"/>
        <v>0</v>
      </c>
      <c r="IUX249" s="5">
        <f t="shared" si="103"/>
        <v>0</v>
      </c>
      <c r="IUY249" s="5">
        <f t="shared" si="103"/>
        <v>0</v>
      </c>
      <c r="IUZ249" s="5">
        <f t="shared" si="103"/>
        <v>0</v>
      </c>
      <c r="IVA249" s="5">
        <f t="shared" si="103"/>
        <v>0</v>
      </c>
      <c r="IVB249" s="5">
        <f t="shared" si="103"/>
        <v>0</v>
      </c>
      <c r="IVC249" s="5">
        <f t="shared" si="103"/>
        <v>0</v>
      </c>
      <c r="IVD249" s="5">
        <f t="shared" si="103"/>
        <v>0</v>
      </c>
      <c r="IVE249" s="5">
        <f t="shared" si="103"/>
        <v>0</v>
      </c>
      <c r="IVF249" s="5">
        <f t="shared" si="103"/>
        <v>0</v>
      </c>
      <c r="IVG249" s="5">
        <f t="shared" si="103"/>
        <v>0</v>
      </c>
      <c r="IVH249" s="5">
        <f t="shared" si="103"/>
        <v>0</v>
      </c>
      <c r="IVI249" s="5">
        <f t="shared" si="103"/>
        <v>0</v>
      </c>
      <c r="IVJ249" s="5">
        <f t="shared" si="103"/>
        <v>0</v>
      </c>
      <c r="IVK249" s="5">
        <f t="shared" si="103"/>
        <v>0</v>
      </c>
      <c r="IVL249" s="5">
        <f t="shared" si="103"/>
        <v>0</v>
      </c>
      <c r="IVM249" s="5">
        <f t="shared" si="103"/>
        <v>0</v>
      </c>
      <c r="IVN249" s="5">
        <f t="shared" si="103"/>
        <v>0</v>
      </c>
      <c r="IVO249" s="5">
        <f t="shared" si="103"/>
        <v>0</v>
      </c>
      <c r="IVP249" s="5">
        <f t="shared" si="103"/>
        <v>0</v>
      </c>
      <c r="IVQ249" s="5">
        <f t="shared" si="103"/>
        <v>0</v>
      </c>
      <c r="IVR249" s="5">
        <f t="shared" ref="IVR249:IYC249" si="104">SUM(IVR246:IVR246)</f>
        <v>0</v>
      </c>
      <c r="IVS249" s="5">
        <f t="shared" si="104"/>
        <v>0</v>
      </c>
      <c r="IVT249" s="5">
        <f t="shared" si="104"/>
        <v>0</v>
      </c>
      <c r="IVU249" s="5">
        <f t="shared" si="104"/>
        <v>0</v>
      </c>
      <c r="IVV249" s="5">
        <f t="shared" si="104"/>
        <v>0</v>
      </c>
      <c r="IVW249" s="5">
        <f t="shared" si="104"/>
        <v>0</v>
      </c>
      <c r="IVX249" s="5">
        <f t="shared" si="104"/>
        <v>0</v>
      </c>
      <c r="IVY249" s="5">
        <f t="shared" si="104"/>
        <v>0</v>
      </c>
      <c r="IVZ249" s="5">
        <f t="shared" si="104"/>
        <v>0</v>
      </c>
      <c r="IWA249" s="5">
        <f t="shared" si="104"/>
        <v>0</v>
      </c>
      <c r="IWB249" s="5">
        <f t="shared" si="104"/>
        <v>0</v>
      </c>
      <c r="IWC249" s="5">
        <f t="shared" si="104"/>
        <v>0</v>
      </c>
      <c r="IWD249" s="5">
        <f t="shared" si="104"/>
        <v>0</v>
      </c>
      <c r="IWE249" s="5">
        <f t="shared" si="104"/>
        <v>0</v>
      </c>
      <c r="IWF249" s="5">
        <f t="shared" si="104"/>
        <v>0</v>
      </c>
      <c r="IWG249" s="5">
        <f t="shared" si="104"/>
        <v>0</v>
      </c>
      <c r="IWH249" s="5">
        <f t="shared" si="104"/>
        <v>0</v>
      </c>
      <c r="IWI249" s="5">
        <f t="shared" si="104"/>
        <v>0</v>
      </c>
      <c r="IWJ249" s="5">
        <f t="shared" si="104"/>
        <v>0</v>
      </c>
      <c r="IWK249" s="5">
        <f t="shared" si="104"/>
        <v>0</v>
      </c>
      <c r="IWL249" s="5">
        <f t="shared" si="104"/>
        <v>0</v>
      </c>
      <c r="IWM249" s="5">
        <f t="shared" si="104"/>
        <v>0</v>
      </c>
      <c r="IWN249" s="5">
        <f t="shared" si="104"/>
        <v>0</v>
      </c>
      <c r="IWO249" s="5">
        <f t="shared" si="104"/>
        <v>0</v>
      </c>
      <c r="IWP249" s="5">
        <f t="shared" si="104"/>
        <v>0</v>
      </c>
      <c r="IWQ249" s="5">
        <f t="shared" si="104"/>
        <v>0</v>
      </c>
      <c r="IWR249" s="5">
        <f t="shared" si="104"/>
        <v>0</v>
      </c>
      <c r="IWS249" s="5">
        <f t="shared" si="104"/>
        <v>0</v>
      </c>
      <c r="IWT249" s="5">
        <f t="shared" si="104"/>
        <v>0</v>
      </c>
      <c r="IWU249" s="5">
        <f t="shared" si="104"/>
        <v>0</v>
      </c>
      <c r="IWV249" s="5">
        <f t="shared" si="104"/>
        <v>0</v>
      </c>
      <c r="IWW249" s="5">
        <f t="shared" si="104"/>
        <v>0</v>
      </c>
      <c r="IWX249" s="5">
        <f t="shared" si="104"/>
        <v>0</v>
      </c>
      <c r="IWY249" s="5">
        <f t="shared" si="104"/>
        <v>0</v>
      </c>
      <c r="IWZ249" s="5">
        <f t="shared" si="104"/>
        <v>0</v>
      </c>
      <c r="IXA249" s="5">
        <f t="shared" si="104"/>
        <v>0</v>
      </c>
      <c r="IXB249" s="5">
        <f t="shared" si="104"/>
        <v>0</v>
      </c>
      <c r="IXC249" s="5">
        <f t="shared" si="104"/>
        <v>0</v>
      </c>
      <c r="IXD249" s="5">
        <f t="shared" si="104"/>
        <v>0</v>
      </c>
      <c r="IXE249" s="5">
        <f t="shared" si="104"/>
        <v>0</v>
      </c>
      <c r="IXF249" s="5">
        <f t="shared" si="104"/>
        <v>0</v>
      </c>
      <c r="IXG249" s="5">
        <f t="shared" si="104"/>
        <v>0</v>
      </c>
      <c r="IXH249" s="5">
        <f t="shared" si="104"/>
        <v>0</v>
      </c>
      <c r="IXI249" s="5">
        <f t="shared" si="104"/>
        <v>0</v>
      </c>
      <c r="IXJ249" s="5">
        <f t="shared" si="104"/>
        <v>0</v>
      </c>
      <c r="IXK249" s="5">
        <f t="shared" si="104"/>
        <v>0</v>
      </c>
      <c r="IXL249" s="5">
        <f t="shared" si="104"/>
        <v>0</v>
      </c>
      <c r="IXM249" s="5">
        <f t="shared" si="104"/>
        <v>0</v>
      </c>
      <c r="IXN249" s="5">
        <f t="shared" si="104"/>
        <v>0</v>
      </c>
      <c r="IXO249" s="5">
        <f t="shared" si="104"/>
        <v>0</v>
      </c>
      <c r="IXP249" s="5">
        <f t="shared" si="104"/>
        <v>0</v>
      </c>
      <c r="IXQ249" s="5">
        <f t="shared" si="104"/>
        <v>0</v>
      </c>
      <c r="IXR249" s="5">
        <f t="shared" si="104"/>
        <v>0</v>
      </c>
      <c r="IXS249" s="5">
        <f t="shared" si="104"/>
        <v>0</v>
      </c>
      <c r="IXT249" s="5">
        <f t="shared" si="104"/>
        <v>0</v>
      </c>
      <c r="IXU249" s="5">
        <f t="shared" si="104"/>
        <v>0</v>
      </c>
      <c r="IXV249" s="5">
        <f t="shared" si="104"/>
        <v>0</v>
      </c>
      <c r="IXW249" s="5">
        <f t="shared" si="104"/>
        <v>0</v>
      </c>
      <c r="IXX249" s="5">
        <f t="shared" si="104"/>
        <v>0</v>
      </c>
      <c r="IXY249" s="5">
        <f t="shared" si="104"/>
        <v>0</v>
      </c>
      <c r="IXZ249" s="5">
        <f t="shared" si="104"/>
        <v>0</v>
      </c>
      <c r="IYA249" s="5">
        <f t="shared" si="104"/>
        <v>0</v>
      </c>
      <c r="IYB249" s="5">
        <f t="shared" si="104"/>
        <v>0</v>
      </c>
      <c r="IYC249" s="5">
        <f t="shared" si="104"/>
        <v>0</v>
      </c>
      <c r="IYD249" s="5">
        <f t="shared" ref="IYD249:JAO249" si="105">SUM(IYD246:IYD246)</f>
        <v>0</v>
      </c>
      <c r="IYE249" s="5">
        <f t="shared" si="105"/>
        <v>0</v>
      </c>
      <c r="IYF249" s="5">
        <f t="shared" si="105"/>
        <v>0</v>
      </c>
      <c r="IYG249" s="5">
        <f t="shared" si="105"/>
        <v>0</v>
      </c>
      <c r="IYH249" s="5">
        <f t="shared" si="105"/>
        <v>0</v>
      </c>
      <c r="IYI249" s="5">
        <f t="shared" si="105"/>
        <v>0</v>
      </c>
      <c r="IYJ249" s="5">
        <f t="shared" si="105"/>
        <v>0</v>
      </c>
      <c r="IYK249" s="5">
        <f t="shared" si="105"/>
        <v>0</v>
      </c>
      <c r="IYL249" s="5">
        <f t="shared" si="105"/>
        <v>0</v>
      </c>
      <c r="IYM249" s="5">
        <f t="shared" si="105"/>
        <v>0</v>
      </c>
      <c r="IYN249" s="5">
        <f t="shared" si="105"/>
        <v>0</v>
      </c>
      <c r="IYO249" s="5">
        <f t="shared" si="105"/>
        <v>0</v>
      </c>
      <c r="IYP249" s="5">
        <f t="shared" si="105"/>
        <v>0</v>
      </c>
      <c r="IYQ249" s="5">
        <f t="shared" si="105"/>
        <v>0</v>
      </c>
      <c r="IYR249" s="5">
        <f t="shared" si="105"/>
        <v>0</v>
      </c>
      <c r="IYS249" s="5">
        <f t="shared" si="105"/>
        <v>0</v>
      </c>
      <c r="IYT249" s="5">
        <f t="shared" si="105"/>
        <v>0</v>
      </c>
      <c r="IYU249" s="5">
        <f t="shared" si="105"/>
        <v>0</v>
      </c>
      <c r="IYV249" s="5">
        <f t="shared" si="105"/>
        <v>0</v>
      </c>
      <c r="IYW249" s="5">
        <f t="shared" si="105"/>
        <v>0</v>
      </c>
      <c r="IYX249" s="5">
        <f t="shared" si="105"/>
        <v>0</v>
      </c>
      <c r="IYY249" s="5">
        <f t="shared" si="105"/>
        <v>0</v>
      </c>
      <c r="IYZ249" s="5">
        <f t="shared" si="105"/>
        <v>0</v>
      </c>
      <c r="IZA249" s="5">
        <f t="shared" si="105"/>
        <v>0</v>
      </c>
      <c r="IZB249" s="5">
        <f t="shared" si="105"/>
        <v>0</v>
      </c>
      <c r="IZC249" s="5">
        <f t="shared" si="105"/>
        <v>0</v>
      </c>
      <c r="IZD249" s="5">
        <f t="shared" si="105"/>
        <v>0</v>
      </c>
      <c r="IZE249" s="5">
        <f t="shared" si="105"/>
        <v>0</v>
      </c>
      <c r="IZF249" s="5">
        <f t="shared" si="105"/>
        <v>0</v>
      </c>
      <c r="IZG249" s="5">
        <f t="shared" si="105"/>
        <v>0</v>
      </c>
      <c r="IZH249" s="5">
        <f t="shared" si="105"/>
        <v>0</v>
      </c>
      <c r="IZI249" s="5">
        <f t="shared" si="105"/>
        <v>0</v>
      </c>
      <c r="IZJ249" s="5">
        <f t="shared" si="105"/>
        <v>0</v>
      </c>
      <c r="IZK249" s="5">
        <f t="shared" si="105"/>
        <v>0</v>
      </c>
      <c r="IZL249" s="5">
        <f t="shared" si="105"/>
        <v>0</v>
      </c>
      <c r="IZM249" s="5">
        <f t="shared" si="105"/>
        <v>0</v>
      </c>
      <c r="IZN249" s="5">
        <f t="shared" si="105"/>
        <v>0</v>
      </c>
      <c r="IZO249" s="5">
        <f t="shared" si="105"/>
        <v>0</v>
      </c>
      <c r="IZP249" s="5">
        <f t="shared" si="105"/>
        <v>0</v>
      </c>
      <c r="IZQ249" s="5">
        <f t="shared" si="105"/>
        <v>0</v>
      </c>
      <c r="IZR249" s="5">
        <f t="shared" si="105"/>
        <v>0</v>
      </c>
      <c r="IZS249" s="5">
        <f t="shared" si="105"/>
        <v>0</v>
      </c>
      <c r="IZT249" s="5">
        <f t="shared" si="105"/>
        <v>0</v>
      </c>
      <c r="IZU249" s="5">
        <f t="shared" si="105"/>
        <v>0</v>
      </c>
      <c r="IZV249" s="5">
        <f t="shared" si="105"/>
        <v>0</v>
      </c>
      <c r="IZW249" s="5">
        <f t="shared" si="105"/>
        <v>0</v>
      </c>
      <c r="IZX249" s="5">
        <f t="shared" si="105"/>
        <v>0</v>
      </c>
      <c r="IZY249" s="5">
        <f t="shared" si="105"/>
        <v>0</v>
      </c>
      <c r="IZZ249" s="5">
        <f t="shared" si="105"/>
        <v>0</v>
      </c>
      <c r="JAA249" s="5">
        <f t="shared" si="105"/>
        <v>0</v>
      </c>
      <c r="JAB249" s="5">
        <f t="shared" si="105"/>
        <v>0</v>
      </c>
      <c r="JAC249" s="5">
        <f t="shared" si="105"/>
        <v>0</v>
      </c>
      <c r="JAD249" s="5">
        <f t="shared" si="105"/>
        <v>0</v>
      </c>
      <c r="JAE249" s="5">
        <f t="shared" si="105"/>
        <v>0</v>
      </c>
      <c r="JAF249" s="5">
        <f t="shared" si="105"/>
        <v>0</v>
      </c>
      <c r="JAG249" s="5">
        <f t="shared" si="105"/>
        <v>0</v>
      </c>
      <c r="JAH249" s="5">
        <f t="shared" si="105"/>
        <v>0</v>
      </c>
      <c r="JAI249" s="5">
        <f t="shared" si="105"/>
        <v>0</v>
      </c>
      <c r="JAJ249" s="5">
        <f t="shared" si="105"/>
        <v>0</v>
      </c>
      <c r="JAK249" s="5">
        <f t="shared" si="105"/>
        <v>0</v>
      </c>
      <c r="JAL249" s="5">
        <f t="shared" si="105"/>
        <v>0</v>
      </c>
      <c r="JAM249" s="5">
        <f t="shared" si="105"/>
        <v>0</v>
      </c>
      <c r="JAN249" s="5">
        <f t="shared" si="105"/>
        <v>0</v>
      </c>
      <c r="JAO249" s="5">
        <f t="shared" si="105"/>
        <v>0</v>
      </c>
      <c r="JAP249" s="5">
        <f t="shared" ref="JAP249:JDA249" si="106">SUM(JAP246:JAP246)</f>
        <v>0</v>
      </c>
      <c r="JAQ249" s="5">
        <f t="shared" si="106"/>
        <v>0</v>
      </c>
      <c r="JAR249" s="5">
        <f t="shared" si="106"/>
        <v>0</v>
      </c>
      <c r="JAS249" s="5">
        <f t="shared" si="106"/>
        <v>0</v>
      </c>
      <c r="JAT249" s="5">
        <f t="shared" si="106"/>
        <v>0</v>
      </c>
      <c r="JAU249" s="5">
        <f t="shared" si="106"/>
        <v>0</v>
      </c>
      <c r="JAV249" s="5">
        <f t="shared" si="106"/>
        <v>0</v>
      </c>
      <c r="JAW249" s="5">
        <f t="shared" si="106"/>
        <v>0</v>
      </c>
      <c r="JAX249" s="5">
        <f t="shared" si="106"/>
        <v>0</v>
      </c>
      <c r="JAY249" s="5">
        <f t="shared" si="106"/>
        <v>0</v>
      </c>
      <c r="JAZ249" s="5">
        <f t="shared" si="106"/>
        <v>0</v>
      </c>
      <c r="JBA249" s="5">
        <f t="shared" si="106"/>
        <v>0</v>
      </c>
      <c r="JBB249" s="5">
        <f t="shared" si="106"/>
        <v>0</v>
      </c>
      <c r="JBC249" s="5">
        <f t="shared" si="106"/>
        <v>0</v>
      </c>
      <c r="JBD249" s="5">
        <f t="shared" si="106"/>
        <v>0</v>
      </c>
      <c r="JBE249" s="5">
        <f t="shared" si="106"/>
        <v>0</v>
      </c>
      <c r="JBF249" s="5">
        <f t="shared" si="106"/>
        <v>0</v>
      </c>
      <c r="JBG249" s="5">
        <f t="shared" si="106"/>
        <v>0</v>
      </c>
      <c r="JBH249" s="5">
        <f t="shared" si="106"/>
        <v>0</v>
      </c>
      <c r="JBI249" s="5">
        <f t="shared" si="106"/>
        <v>0</v>
      </c>
      <c r="JBJ249" s="5">
        <f t="shared" si="106"/>
        <v>0</v>
      </c>
      <c r="JBK249" s="5">
        <f t="shared" si="106"/>
        <v>0</v>
      </c>
      <c r="JBL249" s="5">
        <f t="shared" si="106"/>
        <v>0</v>
      </c>
      <c r="JBM249" s="5">
        <f t="shared" si="106"/>
        <v>0</v>
      </c>
      <c r="JBN249" s="5">
        <f t="shared" si="106"/>
        <v>0</v>
      </c>
      <c r="JBO249" s="5">
        <f t="shared" si="106"/>
        <v>0</v>
      </c>
      <c r="JBP249" s="5">
        <f t="shared" si="106"/>
        <v>0</v>
      </c>
      <c r="JBQ249" s="5">
        <f t="shared" si="106"/>
        <v>0</v>
      </c>
      <c r="JBR249" s="5">
        <f t="shared" si="106"/>
        <v>0</v>
      </c>
      <c r="JBS249" s="5">
        <f t="shared" si="106"/>
        <v>0</v>
      </c>
      <c r="JBT249" s="5">
        <f t="shared" si="106"/>
        <v>0</v>
      </c>
      <c r="JBU249" s="5">
        <f t="shared" si="106"/>
        <v>0</v>
      </c>
      <c r="JBV249" s="5">
        <f t="shared" si="106"/>
        <v>0</v>
      </c>
      <c r="JBW249" s="5">
        <f t="shared" si="106"/>
        <v>0</v>
      </c>
      <c r="JBX249" s="5">
        <f t="shared" si="106"/>
        <v>0</v>
      </c>
      <c r="JBY249" s="5">
        <f t="shared" si="106"/>
        <v>0</v>
      </c>
      <c r="JBZ249" s="5">
        <f t="shared" si="106"/>
        <v>0</v>
      </c>
      <c r="JCA249" s="5">
        <f t="shared" si="106"/>
        <v>0</v>
      </c>
      <c r="JCB249" s="5">
        <f t="shared" si="106"/>
        <v>0</v>
      </c>
      <c r="JCC249" s="5">
        <f t="shared" si="106"/>
        <v>0</v>
      </c>
      <c r="JCD249" s="5">
        <f t="shared" si="106"/>
        <v>0</v>
      </c>
      <c r="JCE249" s="5">
        <f t="shared" si="106"/>
        <v>0</v>
      </c>
      <c r="JCF249" s="5">
        <f t="shared" si="106"/>
        <v>0</v>
      </c>
      <c r="JCG249" s="5">
        <f t="shared" si="106"/>
        <v>0</v>
      </c>
      <c r="JCH249" s="5">
        <f t="shared" si="106"/>
        <v>0</v>
      </c>
      <c r="JCI249" s="5">
        <f t="shared" si="106"/>
        <v>0</v>
      </c>
      <c r="JCJ249" s="5">
        <f t="shared" si="106"/>
        <v>0</v>
      </c>
      <c r="JCK249" s="5">
        <f t="shared" si="106"/>
        <v>0</v>
      </c>
      <c r="JCL249" s="5">
        <f t="shared" si="106"/>
        <v>0</v>
      </c>
      <c r="JCM249" s="5">
        <f t="shared" si="106"/>
        <v>0</v>
      </c>
      <c r="JCN249" s="5">
        <f t="shared" si="106"/>
        <v>0</v>
      </c>
      <c r="JCO249" s="5">
        <f t="shared" si="106"/>
        <v>0</v>
      </c>
      <c r="JCP249" s="5">
        <f t="shared" si="106"/>
        <v>0</v>
      </c>
      <c r="JCQ249" s="5">
        <f t="shared" si="106"/>
        <v>0</v>
      </c>
      <c r="JCR249" s="5">
        <f t="shared" si="106"/>
        <v>0</v>
      </c>
      <c r="JCS249" s="5">
        <f t="shared" si="106"/>
        <v>0</v>
      </c>
      <c r="JCT249" s="5">
        <f t="shared" si="106"/>
        <v>0</v>
      </c>
      <c r="JCU249" s="5">
        <f t="shared" si="106"/>
        <v>0</v>
      </c>
      <c r="JCV249" s="5">
        <f t="shared" si="106"/>
        <v>0</v>
      </c>
      <c r="JCW249" s="5">
        <f t="shared" si="106"/>
        <v>0</v>
      </c>
      <c r="JCX249" s="5">
        <f t="shared" si="106"/>
        <v>0</v>
      </c>
      <c r="JCY249" s="5">
        <f t="shared" si="106"/>
        <v>0</v>
      </c>
      <c r="JCZ249" s="5">
        <f t="shared" si="106"/>
        <v>0</v>
      </c>
      <c r="JDA249" s="5">
        <f t="shared" si="106"/>
        <v>0</v>
      </c>
      <c r="JDB249" s="5">
        <f t="shared" ref="JDB249:JFM249" si="107">SUM(JDB246:JDB246)</f>
        <v>0</v>
      </c>
      <c r="JDC249" s="5">
        <f t="shared" si="107"/>
        <v>0</v>
      </c>
      <c r="JDD249" s="5">
        <f t="shared" si="107"/>
        <v>0</v>
      </c>
      <c r="JDE249" s="5">
        <f t="shared" si="107"/>
        <v>0</v>
      </c>
      <c r="JDF249" s="5">
        <f t="shared" si="107"/>
        <v>0</v>
      </c>
      <c r="JDG249" s="5">
        <f t="shared" si="107"/>
        <v>0</v>
      </c>
      <c r="JDH249" s="5">
        <f t="shared" si="107"/>
        <v>0</v>
      </c>
      <c r="JDI249" s="5">
        <f t="shared" si="107"/>
        <v>0</v>
      </c>
      <c r="JDJ249" s="5">
        <f t="shared" si="107"/>
        <v>0</v>
      </c>
      <c r="JDK249" s="5">
        <f t="shared" si="107"/>
        <v>0</v>
      </c>
      <c r="JDL249" s="5">
        <f t="shared" si="107"/>
        <v>0</v>
      </c>
      <c r="JDM249" s="5">
        <f t="shared" si="107"/>
        <v>0</v>
      </c>
      <c r="JDN249" s="5">
        <f t="shared" si="107"/>
        <v>0</v>
      </c>
      <c r="JDO249" s="5">
        <f t="shared" si="107"/>
        <v>0</v>
      </c>
      <c r="JDP249" s="5">
        <f t="shared" si="107"/>
        <v>0</v>
      </c>
      <c r="JDQ249" s="5">
        <f t="shared" si="107"/>
        <v>0</v>
      </c>
      <c r="JDR249" s="5">
        <f t="shared" si="107"/>
        <v>0</v>
      </c>
      <c r="JDS249" s="5">
        <f t="shared" si="107"/>
        <v>0</v>
      </c>
      <c r="JDT249" s="5">
        <f t="shared" si="107"/>
        <v>0</v>
      </c>
      <c r="JDU249" s="5">
        <f t="shared" si="107"/>
        <v>0</v>
      </c>
      <c r="JDV249" s="5">
        <f t="shared" si="107"/>
        <v>0</v>
      </c>
      <c r="JDW249" s="5">
        <f t="shared" si="107"/>
        <v>0</v>
      </c>
      <c r="JDX249" s="5">
        <f t="shared" si="107"/>
        <v>0</v>
      </c>
      <c r="JDY249" s="5">
        <f t="shared" si="107"/>
        <v>0</v>
      </c>
      <c r="JDZ249" s="5">
        <f t="shared" si="107"/>
        <v>0</v>
      </c>
      <c r="JEA249" s="5">
        <f t="shared" si="107"/>
        <v>0</v>
      </c>
      <c r="JEB249" s="5">
        <f t="shared" si="107"/>
        <v>0</v>
      </c>
      <c r="JEC249" s="5">
        <f t="shared" si="107"/>
        <v>0</v>
      </c>
      <c r="JED249" s="5">
        <f t="shared" si="107"/>
        <v>0</v>
      </c>
      <c r="JEE249" s="5">
        <f t="shared" si="107"/>
        <v>0</v>
      </c>
      <c r="JEF249" s="5">
        <f t="shared" si="107"/>
        <v>0</v>
      </c>
      <c r="JEG249" s="5">
        <f t="shared" si="107"/>
        <v>0</v>
      </c>
      <c r="JEH249" s="5">
        <f t="shared" si="107"/>
        <v>0</v>
      </c>
      <c r="JEI249" s="5">
        <f t="shared" si="107"/>
        <v>0</v>
      </c>
      <c r="JEJ249" s="5">
        <f t="shared" si="107"/>
        <v>0</v>
      </c>
      <c r="JEK249" s="5">
        <f t="shared" si="107"/>
        <v>0</v>
      </c>
      <c r="JEL249" s="5">
        <f t="shared" si="107"/>
        <v>0</v>
      </c>
      <c r="JEM249" s="5">
        <f t="shared" si="107"/>
        <v>0</v>
      </c>
      <c r="JEN249" s="5">
        <f t="shared" si="107"/>
        <v>0</v>
      </c>
      <c r="JEO249" s="5">
        <f t="shared" si="107"/>
        <v>0</v>
      </c>
      <c r="JEP249" s="5">
        <f t="shared" si="107"/>
        <v>0</v>
      </c>
      <c r="JEQ249" s="5">
        <f t="shared" si="107"/>
        <v>0</v>
      </c>
      <c r="JER249" s="5">
        <f t="shared" si="107"/>
        <v>0</v>
      </c>
      <c r="JES249" s="5">
        <f t="shared" si="107"/>
        <v>0</v>
      </c>
      <c r="JET249" s="5">
        <f t="shared" si="107"/>
        <v>0</v>
      </c>
      <c r="JEU249" s="5">
        <f t="shared" si="107"/>
        <v>0</v>
      </c>
      <c r="JEV249" s="5">
        <f t="shared" si="107"/>
        <v>0</v>
      </c>
      <c r="JEW249" s="5">
        <f t="shared" si="107"/>
        <v>0</v>
      </c>
      <c r="JEX249" s="5">
        <f t="shared" si="107"/>
        <v>0</v>
      </c>
      <c r="JEY249" s="5">
        <f t="shared" si="107"/>
        <v>0</v>
      </c>
      <c r="JEZ249" s="5">
        <f t="shared" si="107"/>
        <v>0</v>
      </c>
      <c r="JFA249" s="5">
        <f t="shared" si="107"/>
        <v>0</v>
      </c>
      <c r="JFB249" s="5">
        <f t="shared" si="107"/>
        <v>0</v>
      </c>
      <c r="JFC249" s="5">
        <f t="shared" si="107"/>
        <v>0</v>
      </c>
      <c r="JFD249" s="5">
        <f t="shared" si="107"/>
        <v>0</v>
      </c>
      <c r="JFE249" s="5">
        <f t="shared" si="107"/>
        <v>0</v>
      </c>
      <c r="JFF249" s="5">
        <f t="shared" si="107"/>
        <v>0</v>
      </c>
      <c r="JFG249" s="5">
        <f t="shared" si="107"/>
        <v>0</v>
      </c>
      <c r="JFH249" s="5">
        <f t="shared" si="107"/>
        <v>0</v>
      </c>
      <c r="JFI249" s="5">
        <f t="shared" si="107"/>
        <v>0</v>
      </c>
      <c r="JFJ249" s="5">
        <f t="shared" si="107"/>
        <v>0</v>
      </c>
      <c r="JFK249" s="5">
        <f t="shared" si="107"/>
        <v>0</v>
      </c>
      <c r="JFL249" s="5">
        <f t="shared" si="107"/>
        <v>0</v>
      </c>
      <c r="JFM249" s="5">
        <f t="shared" si="107"/>
        <v>0</v>
      </c>
      <c r="JFN249" s="5">
        <f t="shared" ref="JFN249:JHY249" si="108">SUM(JFN246:JFN246)</f>
        <v>0</v>
      </c>
      <c r="JFO249" s="5">
        <f t="shared" si="108"/>
        <v>0</v>
      </c>
      <c r="JFP249" s="5">
        <f t="shared" si="108"/>
        <v>0</v>
      </c>
      <c r="JFQ249" s="5">
        <f t="shared" si="108"/>
        <v>0</v>
      </c>
      <c r="JFR249" s="5">
        <f t="shared" si="108"/>
        <v>0</v>
      </c>
      <c r="JFS249" s="5">
        <f t="shared" si="108"/>
        <v>0</v>
      </c>
      <c r="JFT249" s="5">
        <f t="shared" si="108"/>
        <v>0</v>
      </c>
      <c r="JFU249" s="5">
        <f t="shared" si="108"/>
        <v>0</v>
      </c>
      <c r="JFV249" s="5">
        <f t="shared" si="108"/>
        <v>0</v>
      </c>
      <c r="JFW249" s="5">
        <f t="shared" si="108"/>
        <v>0</v>
      </c>
      <c r="JFX249" s="5">
        <f t="shared" si="108"/>
        <v>0</v>
      </c>
      <c r="JFY249" s="5">
        <f t="shared" si="108"/>
        <v>0</v>
      </c>
      <c r="JFZ249" s="5">
        <f t="shared" si="108"/>
        <v>0</v>
      </c>
      <c r="JGA249" s="5">
        <f t="shared" si="108"/>
        <v>0</v>
      </c>
      <c r="JGB249" s="5">
        <f t="shared" si="108"/>
        <v>0</v>
      </c>
      <c r="JGC249" s="5">
        <f t="shared" si="108"/>
        <v>0</v>
      </c>
      <c r="JGD249" s="5">
        <f t="shared" si="108"/>
        <v>0</v>
      </c>
      <c r="JGE249" s="5">
        <f t="shared" si="108"/>
        <v>0</v>
      </c>
      <c r="JGF249" s="5">
        <f t="shared" si="108"/>
        <v>0</v>
      </c>
      <c r="JGG249" s="5">
        <f t="shared" si="108"/>
        <v>0</v>
      </c>
      <c r="JGH249" s="5">
        <f t="shared" si="108"/>
        <v>0</v>
      </c>
      <c r="JGI249" s="5">
        <f t="shared" si="108"/>
        <v>0</v>
      </c>
      <c r="JGJ249" s="5">
        <f t="shared" si="108"/>
        <v>0</v>
      </c>
      <c r="JGK249" s="5">
        <f t="shared" si="108"/>
        <v>0</v>
      </c>
      <c r="JGL249" s="5">
        <f t="shared" si="108"/>
        <v>0</v>
      </c>
      <c r="JGM249" s="5">
        <f t="shared" si="108"/>
        <v>0</v>
      </c>
      <c r="JGN249" s="5">
        <f t="shared" si="108"/>
        <v>0</v>
      </c>
      <c r="JGO249" s="5">
        <f t="shared" si="108"/>
        <v>0</v>
      </c>
      <c r="JGP249" s="5">
        <f t="shared" si="108"/>
        <v>0</v>
      </c>
      <c r="JGQ249" s="5">
        <f t="shared" si="108"/>
        <v>0</v>
      </c>
      <c r="JGR249" s="5">
        <f t="shared" si="108"/>
        <v>0</v>
      </c>
      <c r="JGS249" s="5">
        <f t="shared" si="108"/>
        <v>0</v>
      </c>
      <c r="JGT249" s="5">
        <f t="shared" si="108"/>
        <v>0</v>
      </c>
      <c r="JGU249" s="5">
        <f t="shared" si="108"/>
        <v>0</v>
      </c>
      <c r="JGV249" s="5">
        <f t="shared" si="108"/>
        <v>0</v>
      </c>
      <c r="JGW249" s="5">
        <f t="shared" si="108"/>
        <v>0</v>
      </c>
      <c r="JGX249" s="5">
        <f t="shared" si="108"/>
        <v>0</v>
      </c>
      <c r="JGY249" s="5">
        <f t="shared" si="108"/>
        <v>0</v>
      </c>
      <c r="JGZ249" s="5">
        <f t="shared" si="108"/>
        <v>0</v>
      </c>
      <c r="JHA249" s="5">
        <f t="shared" si="108"/>
        <v>0</v>
      </c>
      <c r="JHB249" s="5">
        <f t="shared" si="108"/>
        <v>0</v>
      </c>
      <c r="JHC249" s="5">
        <f t="shared" si="108"/>
        <v>0</v>
      </c>
      <c r="JHD249" s="5">
        <f t="shared" si="108"/>
        <v>0</v>
      </c>
      <c r="JHE249" s="5">
        <f t="shared" si="108"/>
        <v>0</v>
      </c>
      <c r="JHF249" s="5">
        <f t="shared" si="108"/>
        <v>0</v>
      </c>
      <c r="JHG249" s="5">
        <f t="shared" si="108"/>
        <v>0</v>
      </c>
      <c r="JHH249" s="5">
        <f t="shared" si="108"/>
        <v>0</v>
      </c>
      <c r="JHI249" s="5">
        <f t="shared" si="108"/>
        <v>0</v>
      </c>
      <c r="JHJ249" s="5">
        <f t="shared" si="108"/>
        <v>0</v>
      </c>
      <c r="JHK249" s="5">
        <f t="shared" si="108"/>
        <v>0</v>
      </c>
      <c r="JHL249" s="5">
        <f t="shared" si="108"/>
        <v>0</v>
      </c>
      <c r="JHM249" s="5">
        <f t="shared" si="108"/>
        <v>0</v>
      </c>
      <c r="JHN249" s="5">
        <f t="shared" si="108"/>
        <v>0</v>
      </c>
      <c r="JHO249" s="5">
        <f t="shared" si="108"/>
        <v>0</v>
      </c>
      <c r="JHP249" s="5">
        <f t="shared" si="108"/>
        <v>0</v>
      </c>
      <c r="JHQ249" s="5">
        <f t="shared" si="108"/>
        <v>0</v>
      </c>
      <c r="JHR249" s="5">
        <f t="shared" si="108"/>
        <v>0</v>
      </c>
      <c r="JHS249" s="5">
        <f t="shared" si="108"/>
        <v>0</v>
      </c>
      <c r="JHT249" s="5">
        <f t="shared" si="108"/>
        <v>0</v>
      </c>
      <c r="JHU249" s="5">
        <f t="shared" si="108"/>
        <v>0</v>
      </c>
      <c r="JHV249" s="5">
        <f t="shared" si="108"/>
        <v>0</v>
      </c>
      <c r="JHW249" s="5">
        <f t="shared" si="108"/>
        <v>0</v>
      </c>
      <c r="JHX249" s="5">
        <f t="shared" si="108"/>
        <v>0</v>
      </c>
      <c r="JHY249" s="5">
        <f t="shared" si="108"/>
        <v>0</v>
      </c>
      <c r="JHZ249" s="5">
        <f t="shared" ref="JHZ249:JKK249" si="109">SUM(JHZ246:JHZ246)</f>
        <v>0</v>
      </c>
      <c r="JIA249" s="5">
        <f t="shared" si="109"/>
        <v>0</v>
      </c>
      <c r="JIB249" s="5">
        <f t="shared" si="109"/>
        <v>0</v>
      </c>
      <c r="JIC249" s="5">
        <f t="shared" si="109"/>
        <v>0</v>
      </c>
      <c r="JID249" s="5">
        <f t="shared" si="109"/>
        <v>0</v>
      </c>
      <c r="JIE249" s="5">
        <f t="shared" si="109"/>
        <v>0</v>
      </c>
      <c r="JIF249" s="5">
        <f t="shared" si="109"/>
        <v>0</v>
      </c>
      <c r="JIG249" s="5">
        <f t="shared" si="109"/>
        <v>0</v>
      </c>
      <c r="JIH249" s="5">
        <f t="shared" si="109"/>
        <v>0</v>
      </c>
      <c r="JII249" s="5">
        <f t="shared" si="109"/>
        <v>0</v>
      </c>
      <c r="JIJ249" s="5">
        <f t="shared" si="109"/>
        <v>0</v>
      </c>
      <c r="JIK249" s="5">
        <f t="shared" si="109"/>
        <v>0</v>
      </c>
      <c r="JIL249" s="5">
        <f t="shared" si="109"/>
        <v>0</v>
      </c>
      <c r="JIM249" s="5">
        <f t="shared" si="109"/>
        <v>0</v>
      </c>
      <c r="JIN249" s="5">
        <f t="shared" si="109"/>
        <v>0</v>
      </c>
      <c r="JIO249" s="5">
        <f t="shared" si="109"/>
        <v>0</v>
      </c>
      <c r="JIP249" s="5">
        <f t="shared" si="109"/>
        <v>0</v>
      </c>
      <c r="JIQ249" s="5">
        <f t="shared" si="109"/>
        <v>0</v>
      </c>
      <c r="JIR249" s="5">
        <f t="shared" si="109"/>
        <v>0</v>
      </c>
      <c r="JIS249" s="5">
        <f t="shared" si="109"/>
        <v>0</v>
      </c>
      <c r="JIT249" s="5">
        <f t="shared" si="109"/>
        <v>0</v>
      </c>
      <c r="JIU249" s="5">
        <f t="shared" si="109"/>
        <v>0</v>
      </c>
      <c r="JIV249" s="5">
        <f t="shared" si="109"/>
        <v>0</v>
      </c>
      <c r="JIW249" s="5">
        <f t="shared" si="109"/>
        <v>0</v>
      </c>
      <c r="JIX249" s="5">
        <f t="shared" si="109"/>
        <v>0</v>
      </c>
      <c r="JIY249" s="5">
        <f t="shared" si="109"/>
        <v>0</v>
      </c>
      <c r="JIZ249" s="5">
        <f t="shared" si="109"/>
        <v>0</v>
      </c>
      <c r="JJA249" s="5">
        <f t="shared" si="109"/>
        <v>0</v>
      </c>
      <c r="JJB249" s="5">
        <f t="shared" si="109"/>
        <v>0</v>
      </c>
      <c r="JJC249" s="5">
        <f t="shared" si="109"/>
        <v>0</v>
      </c>
      <c r="JJD249" s="5">
        <f t="shared" si="109"/>
        <v>0</v>
      </c>
      <c r="JJE249" s="5">
        <f t="shared" si="109"/>
        <v>0</v>
      </c>
      <c r="JJF249" s="5">
        <f t="shared" si="109"/>
        <v>0</v>
      </c>
      <c r="JJG249" s="5">
        <f t="shared" si="109"/>
        <v>0</v>
      </c>
      <c r="JJH249" s="5">
        <f t="shared" si="109"/>
        <v>0</v>
      </c>
      <c r="JJI249" s="5">
        <f t="shared" si="109"/>
        <v>0</v>
      </c>
      <c r="JJJ249" s="5">
        <f t="shared" si="109"/>
        <v>0</v>
      </c>
      <c r="JJK249" s="5">
        <f t="shared" si="109"/>
        <v>0</v>
      </c>
      <c r="JJL249" s="5">
        <f t="shared" si="109"/>
        <v>0</v>
      </c>
      <c r="JJM249" s="5">
        <f t="shared" si="109"/>
        <v>0</v>
      </c>
      <c r="JJN249" s="5">
        <f t="shared" si="109"/>
        <v>0</v>
      </c>
      <c r="JJO249" s="5">
        <f t="shared" si="109"/>
        <v>0</v>
      </c>
      <c r="JJP249" s="5">
        <f t="shared" si="109"/>
        <v>0</v>
      </c>
      <c r="JJQ249" s="5">
        <f t="shared" si="109"/>
        <v>0</v>
      </c>
      <c r="JJR249" s="5">
        <f t="shared" si="109"/>
        <v>0</v>
      </c>
      <c r="JJS249" s="5">
        <f t="shared" si="109"/>
        <v>0</v>
      </c>
      <c r="JJT249" s="5">
        <f t="shared" si="109"/>
        <v>0</v>
      </c>
      <c r="JJU249" s="5">
        <f t="shared" si="109"/>
        <v>0</v>
      </c>
      <c r="JJV249" s="5">
        <f t="shared" si="109"/>
        <v>0</v>
      </c>
      <c r="JJW249" s="5">
        <f t="shared" si="109"/>
        <v>0</v>
      </c>
      <c r="JJX249" s="5">
        <f t="shared" si="109"/>
        <v>0</v>
      </c>
      <c r="JJY249" s="5">
        <f t="shared" si="109"/>
        <v>0</v>
      </c>
      <c r="JJZ249" s="5">
        <f t="shared" si="109"/>
        <v>0</v>
      </c>
      <c r="JKA249" s="5">
        <f t="shared" si="109"/>
        <v>0</v>
      </c>
      <c r="JKB249" s="5">
        <f t="shared" si="109"/>
        <v>0</v>
      </c>
      <c r="JKC249" s="5">
        <f t="shared" si="109"/>
        <v>0</v>
      </c>
      <c r="JKD249" s="5">
        <f t="shared" si="109"/>
        <v>0</v>
      </c>
      <c r="JKE249" s="5">
        <f t="shared" si="109"/>
        <v>0</v>
      </c>
      <c r="JKF249" s="5">
        <f t="shared" si="109"/>
        <v>0</v>
      </c>
      <c r="JKG249" s="5">
        <f t="shared" si="109"/>
        <v>0</v>
      </c>
      <c r="JKH249" s="5">
        <f t="shared" si="109"/>
        <v>0</v>
      </c>
      <c r="JKI249" s="5">
        <f t="shared" si="109"/>
        <v>0</v>
      </c>
      <c r="JKJ249" s="5">
        <f t="shared" si="109"/>
        <v>0</v>
      </c>
      <c r="JKK249" s="5">
        <f t="shared" si="109"/>
        <v>0</v>
      </c>
      <c r="JKL249" s="5">
        <f t="shared" ref="JKL249:JMW249" si="110">SUM(JKL246:JKL246)</f>
        <v>0</v>
      </c>
      <c r="JKM249" s="5">
        <f t="shared" si="110"/>
        <v>0</v>
      </c>
      <c r="JKN249" s="5">
        <f t="shared" si="110"/>
        <v>0</v>
      </c>
      <c r="JKO249" s="5">
        <f t="shared" si="110"/>
        <v>0</v>
      </c>
      <c r="JKP249" s="5">
        <f t="shared" si="110"/>
        <v>0</v>
      </c>
      <c r="JKQ249" s="5">
        <f t="shared" si="110"/>
        <v>0</v>
      </c>
      <c r="JKR249" s="5">
        <f t="shared" si="110"/>
        <v>0</v>
      </c>
      <c r="JKS249" s="5">
        <f t="shared" si="110"/>
        <v>0</v>
      </c>
      <c r="JKT249" s="5">
        <f t="shared" si="110"/>
        <v>0</v>
      </c>
      <c r="JKU249" s="5">
        <f t="shared" si="110"/>
        <v>0</v>
      </c>
      <c r="JKV249" s="5">
        <f t="shared" si="110"/>
        <v>0</v>
      </c>
      <c r="JKW249" s="5">
        <f t="shared" si="110"/>
        <v>0</v>
      </c>
      <c r="JKX249" s="5">
        <f t="shared" si="110"/>
        <v>0</v>
      </c>
      <c r="JKY249" s="5">
        <f t="shared" si="110"/>
        <v>0</v>
      </c>
      <c r="JKZ249" s="5">
        <f t="shared" si="110"/>
        <v>0</v>
      </c>
      <c r="JLA249" s="5">
        <f t="shared" si="110"/>
        <v>0</v>
      </c>
      <c r="JLB249" s="5">
        <f t="shared" si="110"/>
        <v>0</v>
      </c>
      <c r="JLC249" s="5">
        <f t="shared" si="110"/>
        <v>0</v>
      </c>
      <c r="JLD249" s="5">
        <f t="shared" si="110"/>
        <v>0</v>
      </c>
      <c r="JLE249" s="5">
        <f t="shared" si="110"/>
        <v>0</v>
      </c>
      <c r="JLF249" s="5">
        <f t="shared" si="110"/>
        <v>0</v>
      </c>
      <c r="JLG249" s="5">
        <f t="shared" si="110"/>
        <v>0</v>
      </c>
      <c r="JLH249" s="5">
        <f t="shared" si="110"/>
        <v>0</v>
      </c>
      <c r="JLI249" s="5">
        <f t="shared" si="110"/>
        <v>0</v>
      </c>
      <c r="JLJ249" s="5">
        <f t="shared" si="110"/>
        <v>0</v>
      </c>
      <c r="JLK249" s="5">
        <f t="shared" si="110"/>
        <v>0</v>
      </c>
      <c r="JLL249" s="5">
        <f t="shared" si="110"/>
        <v>0</v>
      </c>
      <c r="JLM249" s="5">
        <f t="shared" si="110"/>
        <v>0</v>
      </c>
      <c r="JLN249" s="5">
        <f t="shared" si="110"/>
        <v>0</v>
      </c>
      <c r="JLO249" s="5">
        <f t="shared" si="110"/>
        <v>0</v>
      </c>
      <c r="JLP249" s="5">
        <f t="shared" si="110"/>
        <v>0</v>
      </c>
      <c r="JLQ249" s="5">
        <f t="shared" si="110"/>
        <v>0</v>
      </c>
      <c r="JLR249" s="5">
        <f t="shared" si="110"/>
        <v>0</v>
      </c>
      <c r="JLS249" s="5">
        <f t="shared" si="110"/>
        <v>0</v>
      </c>
      <c r="JLT249" s="5">
        <f t="shared" si="110"/>
        <v>0</v>
      </c>
      <c r="JLU249" s="5">
        <f t="shared" si="110"/>
        <v>0</v>
      </c>
      <c r="JLV249" s="5">
        <f t="shared" si="110"/>
        <v>0</v>
      </c>
      <c r="JLW249" s="5">
        <f t="shared" si="110"/>
        <v>0</v>
      </c>
      <c r="JLX249" s="5">
        <f t="shared" si="110"/>
        <v>0</v>
      </c>
      <c r="JLY249" s="5">
        <f t="shared" si="110"/>
        <v>0</v>
      </c>
      <c r="JLZ249" s="5">
        <f t="shared" si="110"/>
        <v>0</v>
      </c>
      <c r="JMA249" s="5">
        <f t="shared" si="110"/>
        <v>0</v>
      </c>
      <c r="JMB249" s="5">
        <f t="shared" si="110"/>
        <v>0</v>
      </c>
      <c r="JMC249" s="5">
        <f t="shared" si="110"/>
        <v>0</v>
      </c>
      <c r="JMD249" s="5">
        <f t="shared" si="110"/>
        <v>0</v>
      </c>
      <c r="JME249" s="5">
        <f t="shared" si="110"/>
        <v>0</v>
      </c>
      <c r="JMF249" s="5">
        <f t="shared" si="110"/>
        <v>0</v>
      </c>
      <c r="JMG249" s="5">
        <f t="shared" si="110"/>
        <v>0</v>
      </c>
      <c r="JMH249" s="5">
        <f t="shared" si="110"/>
        <v>0</v>
      </c>
      <c r="JMI249" s="5">
        <f t="shared" si="110"/>
        <v>0</v>
      </c>
      <c r="JMJ249" s="5">
        <f t="shared" si="110"/>
        <v>0</v>
      </c>
      <c r="JMK249" s="5">
        <f t="shared" si="110"/>
        <v>0</v>
      </c>
      <c r="JML249" s="5">
        <f t="shared" si="110"/>
        <v>0</v>
      </c>
      <c r="JMM249" s="5">
        <f t="shared" si="110"/>
        <v>0</v>
      </c>
      <c r="JMN249" s="5">
        <f t="shared" si="110"/>
        <v>0</v>
      </c>
      <c r="JMO249" s="5">
        <f t="shared" si="110"/>
        <v>0</v>
      </c>
      <c r="JMP249" s="5">
        <f t="shared" si="110"/>
        <v>0</v>
      </c>
      <c r="JMQ249" s="5">
        <f t="shared" si="110"/>
        <v>0</v>
      </c>
      <c r="JMR249" s="5">
        <f t="shared" si="110"/>
        <v>0</v>
      </c>
      <c r="JMS249" s="5">
        <f t="shared" si="110"/>
        <v>0</v>
      </c>
      <c r="JMT249" s="5">
        <f t="shared" si="110"/>
        <v>0</v>
      </c>
      <c r="JMU249" s="5">
        <f t="shared" si="110"/>
        <v>0</v>
      </c>
      <c r="JMV249" s="5">
        <f t="shared" si="110"/>
        <v>0</v>
      </c>
      <c r="JMW249" s="5">
        <f t="shared" si="110"/>
        <v>0</v>
      </c>
      <c r="JMX249" s="5">
        <f t="shared" ref="JMX249:JPI249" si="111">SUM(JMX246:JMX246)</f>
        <v>0</v>
      </c>
      <c r="JMY249" s="5">
        <f t="shared" si="111"/>
        <v>0</v>
      </c>
      <c r="JMZ249" s="5">
        <f t="shared" si="111"/>
        <v>0</v>
      </c>
      <c r="JNA249" s="5">
        <f t="shared" si="111"/>
        <v>0</v>
      </c>
      <c r="JNB249" s="5">
        <f t="shared" si="111"/>
        <v>0</v>
      </c>
      <c r="JNC249" s="5">
        <f t="shared" si="111"/>
        <v>0</v>
      </c>
      <c r="JND249" s="5">
        <f t="shared" si="111"/>
        <v>0</v>
      </c>
      <c r="JNE249" s="5">
        <f t="shared" si="111"/>
        <v>0</v>
      </c>
      <c r="JNF249" s="5">
        <f t="shared" si="111"/>
        <v>0</v>
      </c>
      <c r="JNG249" s="5">
        <f t="shared" si="111"/>
        <v>0</v>
      </c>
      <c r="JNH249" s="5">
        <f t="shared" si="111"/>
        <v>0</v>
      </c>
      <c r="JNI249" s="5">
        <f t="shared" si="111"/>
        <v>0</v>
      </c>
      <c r="JNJ249" s="5">
        <f t="shared" si="111"/>
        <v>0</v>
      </c>
      <c r="JNK249" s="5">
        <f t="shared" si="111"/>
        <v>0</v>
      </c>
      <c r="JNL249" s="5">
        <f t="shared" si="111"/>
        <v>0</v>
      </c>
      <c r="JNM249" s="5">
        <f t="shared" si="111"/>
        <v>0</v>
      </c>
      <c r="JNN249" s="5">
        <f t="shared" si="111"/>
        <v>0</v>
      </c>
      <c r="JNO249" s="5">
        <f t="shared" si="111"/>
        <v>0</v>
      </c>
      <c r="JNP249" s="5">
        <f t="shared" si="111"/>
        <v>0</v>
      </c>
      <c r="JNQ249" s="5">
        <f t="shared" si="111"/>
        <v>0</v>
      </c>
      <c r="JNR249" s="5">
        <f t="shared" si="111"/>
        <v>0</v>
      </c>
      <c r="JNS249" s="5">
        <f t="shared" si="111"/>
        <v>0</v>
      </c>
      <c r="JNT249" s="5">
        <f t="shared" si="111"/>
        <v>0</v>
      </c>
      <c r="JNU249" s="5">
        <f t="shared" si="111"/>
        <v>0</v>
      </c>
      <c r="JNV249" s="5">
        <f t="shared" si="111"/>
        <v>0</v>
      </c>
      <c r="JNW249" s="5">
        <f t="shared" si="111"/>
        <v>0</v>
      </c>
      <c r="JNX249" s="5">
        <f t="shared" si="111"/>
        <v>0</v>
      </c>
      <c r="JNY249" s="5">
        <f t="shared" si="111"/>
        <v>0</v>
      </c>
      <c r="JNZ249" s="5">
        <f t="shared" si="111"/>
        <v>0</v>
      </c>
      <c r="JOA249" s="5">
        <f t="shared" si="111"/>
        <v>0</v>
      </c>
      <c r="JOB249" s="5">
        <f t="shared" si="111"/>
        <v>0</v>
      </c>
      <c r="JOC249" s="5">
        <f t="shared" si="111"/>
        <v>0</v>
      </c>
      <c r="JOD249" s="5">
        <f t="shared" si="111"/>
        <v>0</v>
      </c>
      <c r="JOE249" s="5">
        <f t="shared" si="111"/>
        <v>0</v>
      </c>
      <c r="JOF249" s="5">
        <f t="shared" si="111"/>
        <v>0</v>
      </c>
      <c r="JOG249" s="5">
        <f t="shared" si="111"/>
        <v>0</v>
      </c>
      <c r="JOH249" s="5">
        <f t="shared" si="111"/>
        <v>0</v>
      </c>
      <c r="JOI249" s="5">
        <f t="shared" si="111"/>
        <v>0</v>
      </c>
      <c r="JOJ249" s="5">
        <f t="shared" si="111"/>
        <v>0</v>
      </c>
      <c r="JOK249" s="5">
        <f t="shared" si="111"/>
        <v>0</v>
      </c>
      <c r="JOL249" s="5">
        <f t="shared" si="111"/>
        <v>0</v>
      </c>
      <c r="JOM249" s="5">
        <f t="shared" si="111"/>
        <v>0</v>
      </c>
      <c r="JON249" s="5">
        <f t="shared" si="111"/>
        <v>0</v>
      </c>
      <c r="JOO249" s="5">
        <f t="shared" si="111"/>
        <v>0</v>
      </c>
      <c r="JOP249" s="5">
        <f t="shared" si="111"/>
        <v>0</v>
      </c>
      <c r="JOQ249" s="5">
        <f t="shared" si="111"/>
        <v>0</v>
      </c>
      <c r="JOR249" s="5">
        <f t="shared" si="111"/>
        <v>0</v>
      </c>
      <c r="JOS249" s="5">
        <f t="shared" si="111"/>
        <v>0</v>
      </c>
      <c r="JOT249" s="5">
        <f t="shared" si="111"/>
        <v>0</v>
      </c>
      <c r="JOU249" s="5">
        <f t="shared" si="111"/>
        <v>0</v>
      </c>
      <c r="JOV249" s="5">
        <f t="shared" si="111"/>
        <v>0</v>
      </c>
      <c r="JOW249" s="5">
        <f t="shared" si="111"/>
        <v>0</v>
      </c>
      <c r="JOX249" s="5">
        <f t="shared" si="111"/>
        <v>0</v>
      </c>
      <c r="JOY249" s="5">
        <f t="shared" si="111"/>
        <v>0</v>
      </c>
      <c r="JOZ249" s="5">
        <f t="shared" si="111"/>
        <v>0</v>
      </c>
      <c r="JPA249" s="5">
        <f t="shared" si="111"/>
        <v>0</v>
      </c>
      <c r="JPB249" s="5">
        <f t="shared" si="111"/>
        <v>0</v>
      </c>
      <c r="JPC249" s="5">
        <f t="shared" si="111"/>
        <v>0</v>
      </c>
      <c r="JPD249" s="5">
        <f t="shared" si="111"/>
        <v>0</v>
      </c>
      <c r="JPE249" s="5">
        <f t="shared" si="111"/>
        <v>0</v>
      </c>
      <c r="JPF249" s="5">
        <f t="shared" si="111"/>
        <v>0</v>
      </c>
      <c r="JPG249" s="5">
        <f t="shared" si="111"/>
        <v>0</v>
      </c>
      <c r="JPH249" s="5">
        <f t="shared" si="111"/>
        <v>0</v>
      </c>
      <c r="JPI249" s="5">
        <f t="shared" si="111"/>
        <v>0</v>
      </c>
      <c r="JPJ249" s="5">
        <f t="shared" ref="JPJ249:JRU249" si="112">SUM(JPJ246:JPJ246)</f>
        <v>0</v>
      </c>
      <c r="JPK249" s="5">
        <f t="shared" si="112"/>
        <v>0</v>
      </c>
      <c r="JPL249" s="5">
        <f t="shared" si="112"/>
        <v>0</v>
      </c>
      <c r="JPM249" s="5">
        <f t="shared" si="112"/>
        <v>0</v>
      </c>
      <c r="JPN249" s="5">
        <f t="shared" si="112"/>
        <v>0</v>
      </c>
      <c r="JPO249" s="5">
        <f t="shared" si="112"/>
        <v>0</v>
      </c>
      <c r="JPP249" s="5">
        <f t="shared" si="112"/>
        <v>0</v>
      </c>
      <c r="JPQ249" s="5">
        <f t="shared" si="112"/>
        <v>0</v>
      </c>
      <c r="JPR249" s="5">
        <f t="shared" si="112"/>
        <v>0</v>
      </c>
      <c r="JPS249" s="5">
        <f t="shared" si="112"/>
        <v>0</v>
      </c>
      <c r="JPT249" s="5">
        <f t="shared" si="112"/>
        <v>0</v>
      </c>
      <c r="JPU249" s="5">
        <f t="shared" si="112"/>
        <v>0</v>
      </c>
      <c r="JPV249" s="5">
        <f t="shared" si="112"/>
        <v>0</v>
      </c>
      <c r="JPW249" s="5">
        <f t="shared" si="112"/>
        <v>0</v>
      </c>
      <c r="JPX249" s="5">
        <f t="shared" si="112"/>
        <v>0</v>
      </c>
      <c r="JPY249" s="5">
        <f t="shared" si="112"/>
        <v>0</v>
      </c>
      <c r="JPZ249" s="5">
        <f t="shared" si="112"/>
        <v>0</v>
      </c>
      <c r="JQA249" s="5">
        <f t="shared" si="112"/>
        <v>0</v>
      </c>
      <c r="JQB249" s="5">
        <f t="shared" si="112"/>
        <v>0</v>
      </c>
      <c r="JQC249" s="5">
        <f t="shared" si="112"/>
        <v>0</v>
      </c>
      <c r="JQD249" s="5">
        <f t="shared" si="112"/>
        <v>0</v>
      </c>
      <c r="JQE249" s="5">
        <f t="shared" si="112"/>
        <v>0</v>
      </c>
      <c r="JQF249" s="5">
        <f t="shared" si="112"/>
        <v>0</v>
      </c>
      <c r="JQG249" s="5">
        <f t="shared" si="112"/>
        <v>0</v>
      </c>
      <c r="JQH249" s="5">
        <f t="shared" si="112"/>
        <v>0</v>
      </c>
      <c r="JQI249" s="5">
        <f t="shared" si="112"/>
        <v>0</v>
      </c>
      <c r="JQJ249" s="5">
        <f t="shared" si="112"/>
        <v>0</v>
      </c>
      <c r="JQK249" s="5">
        <f t="shared" si="112"/>
        <v>0</v>
      </c>
      <c r="JQL249" s="5">
        <f t="shared" si="112"/>
        <v>0</v>
      </c>
      <c r="JQM249" s="5">
        <f t="shared" si="112"/>
        <v>0</v>
      </c>
      <c r="JQN249" s="5">
        <f t="shared" si="112"/>
        <v>0</v>
      </c>
      <c r="JQO249" s="5">
        <f t="shared" si="112"/>
        <v>0</v>
      </c>
      <c r="JQP249" s="5">
        <f t="shared" si="112"/>
        <v>0</v>
      </c>
      <c r="JQQ249" s="5">
        <f t="shared" si="112"/>
        <v>0</v>
      </c>
      <c r="JQR249" s="5">
        <f t="shared" si="112"/>
        <v>0</v>
      </c>
      <c r="JQS249" s="5">
        <f t="shared" si="112"/>
        <v>0</v>
      </c>
      <c r="JQT249" s="5">
        <f t="shared" si="112"/>
        <v>0</v>
      </c>
      <c r="JQU249" s="5">
        <f t="shared" si="112"/>
        <v>0</v>
      </c>
      <c r="JQV249" s="5">
        <f t="shared" si="112"/>
        <v>0</v>
      </c>
      <c r="JQW249" s="5">
        <f t="shared" si="112"/>
        <v>0</v>
      </c>
      <c r="JQX249" s="5">
        <f t="shared" si="112"/>
        <v>0</v>
      </c>
      <c r="JQY249" s="5">
        <f t="shared" si="112"/>
        <v>0</v>
      </c>
      <c r="JQZ249" s="5">
        <f t="shared" si="112"/>
        <v>0</v>
      </c>
      <c r="JRA249" s="5">
        <f t="shared" si="112"/>
        <v>0</v>
      </c>
      <c r="JRB249" s="5">
        <f t="shared" si="112"/>
        <v>0</v>
      </c>
      <c r="JRC249" s="5">
        <f t="shared" si="112"/>
        <v>0</v>
      </c>
      <c r="JRD249" s="5">
        <f t="shared" si="112"/>
        <v>0</v>
      </c>
      <c r="JRE249" s="5">
        <f t="shared" si="112"/>
        <v>0</v>
      </c>
      <c r="JRF249" s="5">
        <f t="shared" si="112"/>
        <v>0</v>
      </c>
      <c r="JRG249" s="5">
        <f t="shared" si="112"/>
        <v>0</v>
      </c>
      <c r="JRH249" s="5">
        <f t="shared" si="112"/>
        <v>0</v>
      </c>
      <c r="JRI249" s="5">
        <f t="shared" si="112"/>
        <v>0</v>
      </c>
      <c r="JRJ249" s="5">
        <f t="shared" si="112"/>
        <v>0</v>
      </c>
      <c r="JRK249" s="5">
        <f t="shared" si="112"/>
        <v>0</v>
      </c>
      <c r="JRL249" s="5">
        <f t="shared" si="112"/>
        <v>0</v>
      </c>
      <c r="JRM249" s="5">
        <f t="shared" si="112"/>
        <v>0</v>
      </c>
      <c r="JRN249" s="5">
        <f t="shared" si="112"/>
        <v>0</v>
      </c>
      <c r="JRO249" s="5">
        <f t="shared" si="112"/>
        <v>0</v>
      </c>
      <c r="JRP249" s="5">
        <f t="shared" si="112"/>
        <v>0</v>
      </c>
      <c r="JRQ249" s="5">
        <f t="shared" si="112"/>
        <v>0</v>
      </c>
      <c r="JRR249" s="5">
        <f t="shared" si="112"/>
        <v>0</v>
      </c>
      <c r="JRS249" s="5">
        <f t="shared" si="112"/>
        <v>0</v>
      </c>
      <c r="JRT249" s="5">
        <f t="shared" si="112"/>
        <v>0</v>
      </c>
      <c r="JRU249" s="5">
        <f t="shared" si="112"/>
        <v>0</v>
      </c>
      <c r="JRV249" s="5">
        <f t="shared" ref="JRV249:JUG249" si="113">SUM(JRV246:JRV246)</f>
        <v>0</v>
      </c>
      <c r="JRW249" s="5">
        <f t="shared" si="113"/>
        <v>0</v>
      </c>
      <c r="JRX249" s="5">
        <f t="shared" si="113"/>
        <v>0</v>
      </c>
      <c r="JRY249" s="5">
        <f t="shared" si="113"/>
        <v>0</v>
      </c>
      <c r="JRZ249" s="5">
        <f t="shared" si="113"/>
        <v>0</v>
      </c>
      <c r="JSA249" s="5">
        <f t="shared" si="113"/>
        <v>0</v>
      </c>
      <c r="JSB249" s="5">
        <f t="shared" si="113"/>
        <v>0</v>
      </c>
      <c r="JSC249" s="5">
        <f t="shared" si="113"/>
        <v>0</v>
      </c>
      <c r="JSD249" s="5">
        <f t="shared" si="113"/>
        <v>0</v>
      </c>
      <c r="JSE249" s="5">
        <f t="shared" si="113"/>
        <v>0</v>
      </c>
      <c r="JSF249" s="5">
        <f t="shared" si="113"/>
        <v>0</v>
      </c>
      <c r="JSG249" s="5">
        <f t="shared" si="113"/>
        <v>0</v>
      </c>
      <c r="JSH249" s="5">
        <f t="shared" si="113"/>
        <v>0</v>
      </c>
      <c r="JSI249" s="5">
        <f t="shared" si="113"/>
        <v>0</v>
      </c>
      <c r="JSJ249" s="5">
        <f t="shared" si="113"/>
        <v>0</v>
      </c>
      <c r="JSK249" s="5">
        <f t="shared" si="113"/>
        <v>0</v>
      </c>
      <c r="JSL249" s="5">
        <f t="shared" si="113"/>
        <v>0</v>
      </c>
      <c r="JSM249" s="5">
        <f t="shared" si="113"/>
        <v>0</v>
      </c>
      <c r="JSN249" s="5">
        <f t="shared" si="113"/>
        <v>0</v>
      </c>
      <c r="JSO249" s="5">
        <f t="shared" si="113"/>
        <v>0</v>
      </c>
      <c r="JSP249" s="5">
        <f t="shared" si="113"/>
        <v>0</v>
      </c>
      <c r="JSQ249" s="5">
        <f t="shared" si="113"/>
        <v>0</v>
      </c>
      <c r="JSR249" s="5">
        <f t="shared" si="113"/>
        <v>0</v>
      </c>
      <c r="JSS249" s="5">
        <f t="shared" si="113"/>
        <v>0</v>
      </c>
      <c r="JST249" s="5">
        <f t="shared" si="113"/>
        <v>0</v>
      </c>
      <c r="JSU249" s="5">
        <f t="shared" si="113"/>
        <v>0</v>
      </c>
      <c r="JSV249" s="5">
        <f t="shared" si="113"/>
        <v>0</v>
      </c>
      <c r="JSW249" s="5">
        <f t="shared" si="113"/>
        <v>0</v>
      </c>
      <c r="JSX249" s="5">
        <f t="shared" si="113"/>
        <v>0</v>
      </c>
      <c r="JSY249" s="5">
        <f t="shared" si="113"/>
        <v>0</v>
      </c>
      <c r="JSZ249" s="5">
        <f t="shared" si="113"/>
        <v>0</v>
      </c>
      <c r="JTA249" s="5">
        <f t="shared" si="113"/>
        <v>0</v>
      </c>
      <c r="JTB249" s="5">
        <f t="shared" si="113"/>
        <v>0</v>
      </c>
      <c r="JTC249" s="5">
        <f t="shared" si="113"/>
        <v>0</v>
      </c>
      <c r="JTD249" s="5">
        <f t="shared" si="113"/>
        <v>0</v>
      </c>
      <c r="JTE249" s="5">
        <f t="shared" si="113"/>
        <v>0</v>
      </c>
      <c r="JTF249" s="5">
        <f t="shared" si="113"/>
        <v>0</v>
      </c>
      <c r="JTG249" s="5">
        <f t="shared" si="113"/>
        <v>0</v>
      </c>
      <c r="JTH249" s="5">
        <f t="shared" si="113"/>
        <v>0</v>
      </c>
      <c r="JTI249" s="5">
        <f t="shared" si="113"/>
        <v>0</v>
      </c>
      <c r="JTJ249" s="5">
        <f t="shared" si="113"/>
        <v>0</v>
      </c>
      <c r="JTK249" s="5">
        <f t="shared" si="113"/>
        <v>0</v>
      </c>
      <c r="JTL249" s="5">
        <f t="shared" si="113"/>
        <v>0</v>
      </c>
      <c r="JTM249" s="5">
        <f t="shared" si="113"/>
        <v>0</v>
      </c>
      <c r="JTN249" s="5">
        <f t="shared" si="113"/>
        <v>0</v>
      </c>
      <c r="JTO249" s="5">
        <f t="shared" si="113"/>
        <v>0</v>
      </c>
      <c r="JTP249" s="5">
        <f t="shared" si="113"/>
        <v>0</v>
      </c>
      <c r="JTQ249" s="5">
        <f t="shared" si="113"/>
        <v>0</v>
      </c>
      <c r="JTR249" s="5">
        <f t="shared" si="113"/>
        <v>0</v>
      </c>
      <c r="JTS249" s="5">
        <f t="shared" si="113"/>
        <v>0</v>
      </c>
      <c r="JTT249" s="5">
        <f t="shared" si="113"/>
        <v>0</v>
      </c>
      <c r="JTU249" s="5">
        <f t="shared" si="113"/>
        <v>0</v>
      </c>
      <c r="JTV249" s="5">
        <f t="shared" si="113"/>
        <v>0</v>
      </c>
      <c r="JTW249" s="5">
        <f t="shared" si="113"/>
        <v>0</v>
      </c>
      <c r="JTX249" s="5">
        <f t="shared" si="113"/>
        <v>0</v>
      </c>
      <c r="JTY249" s="5">
        <f t="shared" si="113"/>
        <v>0</v>
      </c>
      <c r="JTZ249" s="5">
        <f t="shared" si="113"/>
        <v>0</v>
      </c>
      <c r="JUA249" s="5">
        <f t="shared" si="113"/>
        <v>0</v>
      </c>
      <c r="JUB249" s="5">
        <f t="shared" si="113"/>
        <v>0</v>
      </c>
      <c r="JUC249" s="5">
        <f t="shared" si="113"/>
        <v>0</v>
      </c>
      <c r="JUD249" s="5">
        <f t="shared" si="113"/>
        <v>0</v>
      </c>
      <c r="JUE249" s="5">
        <f t="shared" si="113"/>
        <v>0</v>
      </c>
      <c r="JUF249" s="5">
        <f t="shared" si="113"/>
        <v>0</v>
      </c>
      <c r="JUG249" s="5">
        <f t="shared" si="113"/>
        <v>0</v>
      </c>
      <c r="JUH249" s="5">
        <f t="shared" ref="JUH249:JWS249" si="114">SUM(JUH246:JUH246)</f>
        <v>0</v>
      </c>
      <c r="JUI249" s="5">
        <f t="shared" si="114"/>
        <v>0</v>
      </c>
      <c r="JUJ249" s="5">
        <f t="shared" si="114"/>
        <v>0</v>
      </c>
      <c r="JUK249" s="5">
        <f t="shared" si="114"/>
        <v>0</v>
      </c>
      <c r="JUL249" s="5">
        <f t="shared" si="114"/>
        <v>0</v>
      </c>
      <c r="JUM249" s="5">
        <f t="shared" si="114"/>
        <v>0</v>
      </c>
      <c r="JUN249" s="5">
        <f t="shared" si="114"/>
        <v>0</v>
      </c>
      <c r="JUO249" s="5">
        <f t="shared" si="114"/>
        <v>0</v>
      </c>
      <c r="JUP249" s="5">
        <f t="shared" si="114"/>
        <v>0</v>
      </c>
      <c r="JUQ249" s="5">
        <f t="shared" si="114"/>
        <v>0</v>
      </c>
      <c r="JUR249" s="5">
        <f t="shared" si="114"/>
        <v>0</v>
      </c>
      <c r="JUS249" s="5">
        <f t="shared" si="114"/>
        <v>0</v>
      </c>
      <c r="JUT249" s="5">
        <f t="shared" si="114"/>
        <v>0</v>
      </c>
      <c r="JUU249" s="5">
        <f t="shared" si="114"/>
        <v>0</v>
      </c>
      <c r="JUV249" s="5">
        <f t="shared" si="114"/>
        <v>0</v>
      </c>
      <c r="JUW249" s="5">
        <f t="shared" si="114"/>
        <v>0</v>
      </c>
      <c r="JUX249" s="5">
        <f t="shared" si="114"/>
        <v>0</v>
      </c>
      <c r="JUY249" s="5">
        <f t="shared" si="114"/>
        <v>0</v>
      </c>
      <c r="JUZ249" s="5">
        <f t="shared" si="114"/>
        <v>0</v>
      </c>
      <c r="JVA249" s="5">
        <f t="shared" si="114"/>
        <v>0</v>
      </c>
      <c r="JVB249" s="5">
        <f t="shared" si="114"/>
        <v>0</v>
      </c>
      <c r="JVC249" s="5">
        <f t="shared" si="114"/>
        <v>0</v>
      </c>
      <c r="JVD249" s="5">
        <f t="shared" si="114"/>
        <v>0</v>
      </c>
      <c r="JVE249" s="5">
        <f t="shared" si="114"/>
        <v>0</v>
      </c>
      <c r="JVF249" s="5">
        <f t="shared" si="114"/>
        <v>0</v>
      </c>
      <c r="JVG249" s="5">
        <f t="shared" si="114"/>
        <v>0</v>
      </c>
      <c r="JVH249" s="5">
        <f t="shared" si="114"/>
        <v>0</v>
      </c>
      <c r="JVI249" s="5">
        <f t="shared" si="114"/>
        <v>0</v>
      </c>
      <c r="JVJ249" s="5">
        <f t="shared" si="114"/>
        <v>0</v>
      </c>
      <c r="JVK249" s="5">
        <f t="shared" si="114"/>
        <v>0</v>
      </c>
      <c r="JVL249" s="5">
        <f t="shared" si="114"/>
        <v>0</v>
      </c>
      <c r="JVM249" s="5">
        <f t="shared" si="114"/>
        <v>0</v>
      </c>
      <c r="JVN249" s="5">
        <f t="shared" si="114"/>
        <v>0</v>
      </c>
      <c r="JVO249" s="5">
        <f t="shared" si="114"/>
        <v>0</v>
      </c>
      <c r="JVP249" s="5">
        <f t="shared" si="114"/>
        <v>0</v>
      </c>
      <c r="JVQ249" s="5">
        <f t="shared" si="114"/>
        <v>0</v>
      </c>
      <c r="JVR249" s="5">
        <f t="shared" si="114"/>
        <v>0</v>
      </c>
      <c r="JVS249" s="5">
        <f t="shared" si="114"/>
        <v>0</v>
      </c>
      <c r="JVT249" s="5">
        <f t="shared" si="114"/>
        <v>0</v>
      </c>
      <c r="JVU249" s="5">
        <f t="shared" si="114"/>
        <v>0</v>
      </c>
      <c r="JVV249" s="5">
        <f t="shared" si="114"/>
        <v>0</v>
      </c>
      <c r="JVW249" s="5">
        <f t="shared" si="114"/>
        <v>0</v>
      </c>
      <c r="JVX249" s="5">
        <f t="shared" si="114"/>
        <v>0</v>
      </c>
      <c r="JVY249" s="5">
        <f t="shared" si="114"/>
        <v>0</v>
      </c>
      <c r="JVZ249" s="5">
        <f t="shared" si="114"/>
        <v>0</v>
      </c>
      <c r="JWA249" s="5">
        <f t="shared" si="114"/>
        <v>0</v>
      </c>
      <c r="JWB249" s="5">
        <f t="shared" si="114"/>
        <v>0</v>
      </c>
      <c r="JWC249" s="5">
        <f t="shared" si="114"/>
        <v>0</v>
      </c>
      <c r="JWD249" s="5">
        <f t="shared" si="114"/>
        <v>0</v>
      </c>
      <c r="JWE249" s="5">
        <f t="shared" si="114"/>
        <v>0</v>
      </c>
      <c r="JWF249" s="5">
        <f t="shared" si="114"/>
        <v>0</v>
      </c>
      <c r="JWG249" s="5">
        <f t="shared" si="114"/>
        <v>0</v>
      </c>
      <c r="JWH249" s="5">
        <f t="shared" si="114"/>
        <v>0</v>
      </c>
      <c r="JWI249" s="5">
        <f t="shared" si="114"/>
        <v>0</v>
      </c>
      <c r="JWJ249" s="5">
        <f t="shared" si="114"/>
        <v>0</v>
      </c>
      <c r="JWK249" s="5">
        <f t="shared" si="114"/>
        <v>0</v>
      </c>
      <c r="JWL249" s="5">
        <f t="shared" si="114"/>
        <v>0</v>
      </c>
      <c r="JWM249" s="5">
        <f t="shared" si="114"/>
        <v>0</v>
      </c>
      <c r="JWN249" s="5">
        <f t="shared" si="114"/>
        <v>0</v>
      </c>
      <c r="JWO249" s="5">
        <f t="shared" si="114"/>
        <v>0</v>
      </c>
      <c r="JWP249" s="5">
        <f t="shared" si="114"/>
        <v>0</v>
      </c>
      <c r="JWQ249" s="5">
        <f t="shared" si="114"/>
        <v>0</v>
      </c>
      <c r="JWR249" s="5">
        <f t="shared" si="114"/>
        <v>0</v>
      </c>
      <c r="JWS249" s="5">
        <f t="shared" si="114"/>
        <v>0</v>
      </c>
      <c r="JWT249" s="5">
        <f t="shared" ref="JWT249:JZE249" si="115">SUM(JWT246:JWT246)</f>
        <v>0</v>
      </c>
      <c r="JWU249" s="5">
        <f t="shared" si="115"/>
        <v>0</v>
      </c>
      <c r="JWV249" s="5">
        <f t="shared" si="115"/>
        <v>0</v>
      </c>
      <c r="JWW249" s="5">
        <f t="shared" si="115"/>
        <v>0</v>
      </c>
      <c r="JWX249" s="5">
        <f t="shared" si="115"/>
        <v>0</v>
      </c>
      <c r="JWY249" s="5">
        <f t="shared" si="115"/>
        <v>0</v>
      </c>
      <c r="JWZ249" s="5">
        <f t="shared" si="115"/>
        <v>0</v>
      </c>
      <c r="JXA249" s="5">
        <f t="shared" si="115"/>
        <v>0</v>
      </c>
      <c r="JXB249" s="5">
        <f t="shared" si="115"/>
        <v>0</v>
      </c>
      <c r="JXC249" s="5">
        <f t="shared" si="115"/>
        <v>0</v>
      </c>
      <c r="JXD249" s="5">
        <f t="shared" si="115"/>
        <v>0</v>
      </c>
      <c r="JXE249" s="5">
        <f t="shared" si="115"/>
        <v>0</v>
      </c>
      <c r="JXF249" s="5">
        <f t="shared" si="115"/>
        <v>0</v>
      </c>
      <c r="JXG249" s="5">
        <f t="shared" si="115"/>
        <v>0</v>
      </c>
      <c r="JXH249" s="5">
        <f t="shared" si="115"/>
        <v>0</v>
      </c>
      <c r="JXI249" s="5">
        <f t="shared" si="115"/>
        <v>0</v>
      </c>
      <c r="JXJ249" s="5">
        <f t="shared" si="115"/>
        <v>0</v>
      </c>
      <c r="JXK249" s="5">
        <f t="shared" si="115"/>
        <v>0</v>
      </c>
      <c r="JXL249" s="5">
        <f t="shared" si="115"/>
        <v>0</v>
      </c>
      <c r="JXM249" s="5">
        <f t="shared" si="115"/>
        <v>0</v>
      </c>
      <c r="JXN249" s="5">
        <f t="shared" si="115"/>
        <v>0</v>
      </c>
      <c r="JXO249" s="5">
        <f t="shared" si="115"/>
        <v>0</v>
      </c>
      <c r="JXP249" s="5">
        <f t="shared" si="115"/>
        <v>0</v>
      </c>
      <c r="JXQ249" s="5">
        <f t="shared" si="115"/>
        <v>0</v>
      </c>
      <c r="JXR249" s="5">
        <f t="shared" si="115"/>
        <v>0</v>
      </c>
      <c r="JXS249" s="5">
        <f t="shared" si="115"/>
        <v>0</v>
      </c>
      <c r="JXT249" s="5">
        <f t="shared" si="115"/>
        <v>0</v>
      </c>
      <c r="JXU249" s="5">
        <f t="shared" si="115"/>
        <v>0</v>
      </c>
      <c r="JXV249" s="5">
        <f t="shared" si="115"/>
        <v>0</v>
      </c>
      <c r="JXW249" s="5">
        <f t="shared" si="115"/>
        <v>0</v>
      </c>
      <c r="JXX249" s="5">
        <f t="shared" si="115"/>
        <v>0</v>
      </c>
      <c r="JXY249" s="5">
        <f t="shared" si="115"/>
        <v>0</v>
      </c>
      <c r="JXZ249" s="5">
        <f t="shared" si="115"/>
        <v>0</v>
      </c>
      <c r="JYA249" s="5">
        <f t="shared" si="115"/>
        <v>0</v>
      </c>
      <c r="JYB249" s="5">
        <f t="shared" si="115"/>
        <v>0</v>
      </c>
      <c r="JYC249" s="5">
        <f t="shared" si="115"/>
        <v>0</v>
      </c>
      <c r="JYD249" s="5">
        <f t="shared" si="115"/>
        <v>0</v>
      </c>
      <c r="JYE249" s="5">
        <f t="shared" si="115"/>
        <v>0</v>
      </c>
      <c r="JYF249" s="5">
        <f t="shared" si="115"/>
        <v>0</v>
      </c>
      <c r="JYG249" s="5">
        <f t="shared" si="115"/>
        <v>0</v>
      </c>
      <c r="JYH249" s="5">
        <f t="shared" si="115"/>
        <v>0</v>
      </c>
      <c r="JYI249" s="5">
        <f t="shared" si="115"/>
        <v>0</v>
      </c>
      <c r="JYJ249" s="5">
        <f t="shared" si="115"/>
        <v>0</v>
      </c>
      <c r="JYK249" s="5">
        <f t="shared" si="115"/>
        <v>0</v>
      </c>
      <c r="JYL249" s="5">
        <f t="shared" si="115"/>
        <v>0</v>
      </c>
      <c r="JYM249" s="5">
        <f t="shared" si="115"/>
        <v>0</v>
      </c>
      <c r="JYN249" s="5">
        <f t="shared" si="115"/>
        <v>0</v>
      </c>
      <c r="JYO249" s="5">
        <f t="shared" si="115"/>
        <v>0</v>
      </c>
      <c r="JYP249" s="5">
        <f t="shared" si="115"/>
        <v>0</v>
      </c>
      <c r="JYQ249" s="5">
        <f t="shared" si="115"/>
        <v>0</v>
      </c>
      <c r="JYR249" s="5">
        <f t="shared" si="115"/>
        <v>0</v>
      </c>
      <c r="JYS249" s="5">
        <f t="shared" si="115"/>
        <v>0</v>
      </c>
      <c r="JYT249" s="5">
        <f t="shared" si="115"/>
        <v>0</v>
      </c>
      <c r="JYU249" s="5">
        <f t="shared" si="115"/>
        <v>0</v>
      </c>
      <c r="JYV249" s="5">
        <f t="shared" si="115"/>
        <v>0</v>
      </c>
      <c r="JYW249" s="5">
        <f t="shared" si="115"/>
        <v>0</v>
      </c>
      <c r="JYX249" s="5">
        <f t="shared" si="115"/>
        <v>0</v>
      </c>
      <c r="JYY249" s="5">
        <f t="shared" si="115"/>
        <v>0</v>
      </c>
      <c r="JYZ249" s="5">
        <f t="shared" si="115"/>
        <v>0</v>
      </c>
      <c r="JZA249" s="5">
        <f t="shared" si="115"/>
        <v>0</v>
      </c>
      <c r="JZB249" s="5">
        <f t="shared" si="115"/>
        <v>0</v>
      </c>
      <c r="JZC249" s="5">
        <f t="shared" si="115"/>
        <v>0</v>
      </c>
      <c r="JZD249" s="5">
        <f t="shared" si="115"/>
        <v>0</v>
      </c>
      <c r="JZE249" s="5">
        <f t="shared" si="115"/>
        <v>0</v>
      </c>
      <c r="JZF249" s="5">
        <f t="shared" ref="JZF249:KBQ249" si="116">SUM(JZF246:JZF246)</f>
        <v>0</v>
      </c>
      <c r="JZG249" s="5">
        <f t="shared" si="116"/>
        <v>0</v>
      </c>
      <c r="JZH249" s="5">
        <f t="shared" si="116"/>
        <v>0</v>
      </c>
      <c r="JZI249" s="5">
        <f t="shared" si="116"/>
        <v>0</v>
      </c>
      <c r="JZJ249" s="5">
        <f t="shared" si="116"/>
        <v>0</v>
      </c>
      <c r="JZK249" s="5">
        <f t="shared" si="116"/>
        <v>0</v>
      </c>
      <c r="JZL249" s="5">
        <f t="shared" si="116"/>
        <v>0</v>
      </c>
      <c r="JZM249" s="5">
        <f t="shared" si="116"/>
        <v>0</v>
      </c>
      <c r="JZN249" s="5">
        <f t="shared" si="116"/>
        <v>0</v>
      </c>
      <c r="JZO249" s="5">
        <f t="shared" si="116"/>
        <v>0</v>
      </c>
      <c r="JZP249" s="5">
        <f t="shared" si="116"/>
        <v>0</v>
      </c>
      <c r="JZQ249" s="5">
        <f t="shared" si="116"/>
        <v>0</v>
      </c>
      <c r="JZR249" s="5">
        <f t="shared" si="116"/>
        <v>0</v>
      </c>
      <c r="JZS249" s="5">
        <f t="shared" si="116"/>
        <v>0</v>
      </c>
      <c r="JZT249" s="5">
        <f t="shared" si="116"/>
        <v>0</v>
      </c>
      <c r="JZU249" s="5">
        <f t="shared" si="116"/>
        <v>0</v>
      </c>
      <c r="JZV249" s="5">
        <f t="shared" si="116"/>
        <v>0</v>
      </c>
      <c r="JZW249" s="5">
        <f t="shared" si="116"/>
        <v>0</v>
      </c>
      <c r="JZX249" s="5">
        <f t="shared" si="116"/>
        <v>0</v>
      </c>
      <c r="JZY249" s="5">
        <f t="shared" si="116"/>
        <v>0</v>
      </c>
      <c r="JZZ249" s="5">
        <f t="shared" si="116"/>
        <v>0</v>
      </c>
      <c r="KAA249" s="5">
        <f t="shared" si="116"/>
        <v>0</v>
      </c>
      <c r="KAB249" s="5">
        <f t="shared" si="116"/>
        <v>0</v>
      </c>
      <c r="KAC249" s="5">
        <f t="shared" si="116"/>
        <v>0</v>
      </c>
      <c r="KAD249" s="5">
        <f t="shared" si="116"/>
        <v>0</v>
      </c>
      <c r="KAE249" s="5">
        <f t="shared" si="116"/>
        <v>0</v>
      </c>
      <c r="KAF249" s="5">
        <f t="shared" si="116"/>
        <v>0</v>
      </c>
      <c r="KAG249" s="5">
        <f t="shared" si="116"/>
        <v>0</v>
      </c>
      <c r="KAH249" s="5">
        <f t="shared" si="116"/>
        <v>0</v>
      </c>
      <c r="KAI249" s="5">
        <f t="shared" si="116"/>
        <v>0</v>
      </c>
      <c r="KAJ249" s="5">
        <f t="shared" si="116"/>
        <v>0</v>
      </c>
      <c r="KAK249" s="5">
        <f t="shared" si="116"/>
        <v>0</v>
      </c>
      <c r="KAL249" s="5">
        <f t="shared" si="116"/>
        <v>0</v>
      </c>
      <c r="KAM249" s="5">
        <f t="shared" si="116"/>
        <v>0</v>
      </c>
      <c r="KAN249" s="5">
        <f t="shared" si="116"/>
        <v>0</v>
      </c>
      <c r="KAO249" s="5">
        <f t="shared" si="116"/>
        <v>0</v>
      </c>
      <c r="KAP249" s="5">
        <f t="shared" si="116"/>
        <v>0</v>
      </c>
      <c r="KAQ249" s="5">
        <f t="shared" si="116"/>
        <v>0</v>
      </c>
      <c r="KAR249" s="5">
        <f t="shared" si="116"/>
        <v>0</v>
      </c>
      <c r="KAS249" s="5">
        <f t="shared" si="116"/>
        <v>0</v>
      </c>
      <c r="KAT249" s="5">
        <f t="shared" si="116"/>
        <v>0</v>
      </c>
      <c r="KAU249" s="5">
        <f t="shared" si="116"/>
        <v>0</v>
      </c>
      <c r="KAV249" s="5">
        <f t="shared" si="116"/>
        <v>0</v>
      </c>
      <c r="KAW249" s="5">
        <f t="shared" si="116"/>
        <v>0</v>
      </c>
      <c r="KAX249" s="5">
        <f t="shared" si="116"/>
        <v>0</v>
      </c>
      <c r="KAY249" s="5">
        <f t="shared" si="116"/>
        <v>0</v>
      </c>
      <c r="KAZ249" s="5">
        <f t="shared" si="116"/>
        <v>0</v>
      </c>
      <c r="KBA249" s="5">
        <f t="shared" si="116"/>
        <v>0</v>
      </c>
      <c r="KBB249" s="5">
        <f t="shared" si="116"/>
        <v>0</v>
      </c>
      <c r="KBC249" s="5">
        <f t="shared" si="116"/>
        <v>0</v>
      </c>
      <c r="KBD249" s="5">
        <f t="shared" si="116"/>
        <v>0</v>
      </c>
      <c r="KBE249" s="5">
        <f t="shared" si="116"/>
        <v>0</v>
      </c>
      <c r="KBF249" s="5">
        <f t="shared" si="116"/>
        <v>0</v>
      </c>
      <c r="KBG249" s="5">
        <f t="shared" si="116"/>
        <v>0</v>
      </c>
      <c r="KBH249" s="5">
        <f t="shared" si="116"/>
        <v>0</v>
      </c>
      <c r="KBI249" s="5">
        <f t="shared" si="116"/>
        <v>0</v>
      </c>
      <c r="KBJ249" s="5">
        <f t="shared" si="116"/>
        <v>0</v>
      </c>
      <c r="KBK249" s="5">
        <f t="shared" si="116"/>
        <v>0</v>
      </c>
      <c r="KBL249" s="5">
        <f t="shared" si="116"/>
        <v>0</v>
      </c>
      <c r="KBM249" s="5">
        <f t="shared" si="116"/>
        <v>0</v>
      </c>
      <c r="KBN249" s="5">
        <f t="shared" si="116"/>
        <v>0</v>
      </c>
      <c r="KBO249" s="5">
        <f t="shared" si="116"/>
        <v>0</v>
      </c>
      <c r="KBP249" s="5">
        <f t="shared" si="116"/>
        <v>0</v>
      </c>
      <c r="KBQ249" s="5">
        <f t="shared" si="116"/>
        <v>0</v>
      </c>
      <c r="KBR249" s="5">
        <f t="shared" ref="KBR249:KEC249" si="117">SUM(KBR246:KBR246)</f>
        <v>0</v>
      </c>
      <c r="KBS249" s="5">
        <f t="shared" si="117"/>
        <v>0</v>
      </c>
      <c r="KBT249" s="5">
        <f t="shared" si="117"/>
        <v>0</v>
      </c>
      <c r="KBU249" s="5">
        <f t="shared" si="117"/>
        <v>0</v>
      </c>
      <c r="KBV249" s="5">
        <f t="shared" si="117"/>
        <v>0</v>
      </c>
      <c r="KBW249" s="5">
        <f t="shared" si="117"/>
        <v>0</v>
      </c>
      <c r="KBX249" s="5">
        <f t="shared" si="117"/>
        <v>0</v>
      </c>
      <c r="KBY249" s="5">
        <f t="shared" si="117"/>
        <v>0</v>
      </c>
      <c r="KBZ249" s="5">
        <f t="shared" si="117"/>
        <v>0</v>
      </c>
      <c r="KCA249" s="5">
        <f t="shared" si="117"/>
        <v>0</v>
      </c>
      <c r="KCB249" s="5">
        <f t="shared" si="117"/>
        <v>0</v>
      </c>
      <c r="KCC249" s="5">
        <f t="shared" si="117"/>
        <v>0</v>
      </c>
      <c r="KCD249" s="5">
        <f t="shared" si="117"/>
        <v>0</v>
      </c>
      <c r="KCE249" s="5">
        <f t="shared" si="117"/>
        <v>0</v>
      </c>
      <c r="KCF249" s="5">
        <f t="shared" si="117"/>
        <v>0</v>
      </c>
      <c r="KCG249" s="5">
        <f t="shared" si="117"/>
        <v>0</v>
      </c>
      <c r="KCH249" s="5">
        <f t="shared" si="117"/>
        <v>0</v>
      </c>
      <c r="KCI249" s="5">
        <f t="shared" si="117"/>
        <v>0</v>
      </c>
      <c r="KCJ249" s="5">
        <f t="shared" si="117"/>
        <v>0</v>
      </c>
      <c r="KCK249" s="5">
        <f t="shared" si="117"/>
        <v>0</v>
      </c>
      <c r="KCL249" s="5">
        <f t="shared" si="117"/>
        <v>0</v>
      </c>
      <c r="KCM249" s="5">
        <f t="shared" si="117"/>
        <v>0</v>
      </c>
      <c r="KCN249" s="5">
        <f t="shared" si="117"/>
        <v>0</v>
      </c>
      <c r="KCO249" s="5">
        <f t="shared" si="117"/>
        <v>0</v>
      </c>
      <c r="KCP249" s="5">
        <f t="shared" si="117"/>
        <v>0</v>
      </c>
      <c r="KCQ249" s="5">
        <f t="shared" si="117"/>
        <v>0</v>
      </c>
      <c r="KCR249" s="5">
        <f t="shared" si="117"/>
        <v>0</v>
      </c>
      <c r="KCS249" s="5">
        <f t="shared" si="117"/>
        <v>0</v>
      </c>
      <c r="KCT249" s="5">
        <f t="shared" si="117"/>
        <v>0</v>
      </c>
      <c r="KCU249" s="5">
        <f t="shared" si="117"/>
        <v>0</v>
      </c>
      <c r="KCV249" s="5">
        <f t="shared" si="117"/>
        <v>0</v>
      </c>
      <c r="KCW249" s="5">
        <f t="shared" si="117"/>
        <v>0</v>
      </c>
      <c r="KCX249" s="5">
        <f t="shared" si="117"/>
        <v>0</v>
      </c>
      <c r="KCY249" s="5">
        <f t="shared" si="117"/>
        <v>0</v>
      </c>
      <c r="KCZ249" s="5">
        <f t="shared" si="117"/>
        <v>0</v>
      </c>
      <c r="KDA249" s="5">
        <f t="shared" si="117"/>
        <v>0</v>
      </c>
      <c r="KDB249" s="5">
        <f t="shared" si="117"/>
        <v>0</v>
      </c>
      <c r="KDC249" s="5">
        <f t="shared" si="117"/>
        <v>0</v>
      </c>
      <c r="KDD249" s="5">
        <f t="shared" si="117"/>
        <v>0</v>
      </c>
      <c r="KDE249" s="5">
        <f t="shared" si="117"/>
        <v>0</v>
      </c>
      <c r="KDF249" s="5">
        <f t="shared" si="117"/>
        <v>0</v>
      </c>
      <c r="KDG249" s="5">
        <f t="shared" si="117"/>
        <v>0</v>
      </c>
      <c r="KDH249" s="5">
        <f t="shared" si="117"/>
        <v>0</v>
      </c>
      <c r="KDI249" s="5">
        <f t="shared" si="117"/>
        <v>0</v>
      </c>
      <c r="KDJ249" s="5">
        <f t="shared" si="117"/>
        <v>0</v>
      </c>
      <c r="KDK249" s="5">
        <f t="shared" si="117"/>
        <v>0</v>
      </c>
      <c r="KDL249" s="5">
        <f t="shared" si="117"/>
        <v>0</v>
      </c>
      <c r="KDM249" s="5">
        <f t="shared" si="117"/>
        <v>0</v>
      </c>
      <c r="KDN249" s="5">
        <f t="shared" si="117"/>
        <v>0</v>
      </c>
      <c r="KDO249" s="5">
        <f t="shared" si="117"/>
        <v>0</v>
      </c>
      <c r="KDP249" s="5">
        <f t="shared" si="117"/>
        <v>0</v>
      </c>
      <c r="KDQ249" s="5">
        <f t="shared" si="117"/>
        <v>0</v>
      </c>
      <c r="KDR249" s="5">
        <f t="shared" si="117"/>
        <v>0</v>
      </c>
      <c r="KDS249" s="5">
        <f t="shared" si="117"/>
        <v>0</v>
      </c>
      <c r="KDT249" s="5">
        <f t="shared" si="117"/>
        <v>0</v>
      </c>
      <c r="KDU249" s="5">
        <f t="shared" si="117"/>
        <v>0</v>
      </c>
      <c r="KDV249" s="5">
        <f t="shared" si="117"/>
        <v>0</v>
      </c>
      <c r="KDW249" s="5">
        <f t="shared" si="117"/>
        <v>0</v>
      </c>
      <c r="KDX249" s="5">
        <f t="shared" si="117"/>
        <v>0</v>
      </c>
      <c r="KDY249" s="5">
        <f t="shared" si="117"/>
        <v>0</v>
      </c>
      <c r="KDZ249" s="5">
        <f t="shared" si="117"/>
        <v>0</v>
      </c>
      <c r="KEA249" s="5">
        <f t="shared" si="117"/>
        <v>0</v>
      </c>
      <c r="KEB249" s="5">
        <f t="shared" si="117"/>
        <v>0</v>
      </c>
      <c r="KEC249" s="5">
        <f t="shared" si="117"/>
        <v>0</v>
      </c>
      <c r="KED249" s="5">
        <f t="shared" ref="KED249:KGO249" si="118">SUM(KED246:KED246)</f>
        <v>0</v>
      </c>
      <c r="KEE249" s="5">
        <f t="shared" si="118"/>
        <v>0</v>
      </c>
      <c r="KEF249" s="5">
        <f t="shared" si="118"/>
        <v>0</v>
      </c>
      <c r="KEG249" s="5">
        <f t="shared" si="118"/>
        <v>0</v>
      </c>
      <c r="KEH249" s="5">
        <f t="shared" si="118"/>
        <v>0</v>
      </c>
      <c r="KEI249" s="5">
        <f t="shared" si="118"/>
        <v>0</v>
      </c>
      <c r="KEJ249" s="5">
        <f t="shared" si="118"/>
        <v>0</v>
      </c>
      <c r="KEK249" s="5">
        <f t="shared" si="118"/>
        <v>0</v>
      </c>
      <c r="KEL249" s="5">
        <f t="shared" si="118"/>
        <v>0</v>
      </c>
      <c r="KEM249" s="5">
        <f t="shared" si="118"/>
        <v>0</v>
      </c>
      <c r="KEN249" s="5">
        <f t="shared" si="118"/>
        <v>0</v>
      </c>
      <c r="KEO249" s="5">
        <f t="shared" si="118"/>
        <v>0</v>
      </c>
      <c r="KEP249" s="5">
        <f t="shared" si="118"/>
        <v>0</v>
      </c>
      <c r="KEQ249" s="5">
        <f t="shared" si="118"/>
        <v>0</v>
      </c>
      <c r="KER249" s="5">
        <f t="shared" si="118"/>
        <v>0</v>
      </c>
      <c r="KES249" s="5">
        <f t="shared" si="118"/>
        <v>0</v>
      </c>
      <c r="KET249" s="5">
        <f t="shared" si="118"/>
        <v>0</v>
      </c>
      <c r="KEU249" s="5">
        <f t="shared" si="118"/>
        <v>0</v>
      </c>
      <c r="KEV249" s="5">
        <f t="shared" si="118"/>
        <v>0</v>
      </c>
      <c r="KEW249" s="5">
        <f t="shared" si="118"/>
        <v>0</v>
      </c>
      <c r="KEX249" s="5">
        <f t="shared" si="118"/>
        <v>0</v>
      </c>
      <c r="KEY249" s="5">
        <f t="shared" si="118"/>
        <v>0</v>
      </c>
      <c r="KEZ249" s="5">
        <f t="shared" si="118"/>
        <v>0</v>
      </c>
      <c r="KFA249" s="5">
        <f t="shared" si="118"/>
        <v>0</v>
      </c>
      <c r="KFB249" s="5">
        <f t="shared" si="118"/>
        <v>0</v>
      </c>
      <c r="KFC249" s="5">
        <f t="shared" si="118"/>
        <v>0</v>
      </c>
      <c r="KFD249" s="5">
        <f t="shared" si="118"/>
        <v>0</v>
      </c>
      <c r="KFE249" s="5">
        <f t="shared" si="118"/>
        <v>0</v>
      </c>
      <c r="KFF249" s="5">
        <f t="shared" si="118"/>
        <v>0</v>
      </c>
      <c r="KFG249" s="5">
        <f t="shared" si="118"/>
        <v>0</v>
      </c>
      <c r="KFH249" s="5">
        <f t="shared" si="118"/>
        <v>0</v>
      </c>
      <c r="KFI249" s="5">
        <f t="shared" si="118"/>
        <v>0</v>
      </c>
      <c r="KFJ249" s="5">
        <f t="shared" si="118"/>
        <v>0</v>
      </c>
      <c r="KFK249" s="5">
        <f t="shared" si="118"/>
        <v>0</v>
      </c>
      <c r="KFL249" s="5">
        <f t="shared" si="118"/>
        <v>0</v>
      </c>
      <c r="KFM249" s="5">
        <f t="shared" si="118"/>
        <v>0</v>
      </c>
      <c r="KFN249" s="5">
        <f t="shared" si="118"/>
        <v>0</v>
      </c>
      <c r="KFO249" s="5">
        <f t="shared" si="118"/>
        <v>0</v>
      </c>
      <c r="KFP249" s="5">
        <f t="shared" si="118"/>
        <v>0</v>
      </c>
      <c r="KFQ249" s="5">
        <f t="shared" si="118"/>
        <v>0</v>
      </c>
      <c r="KFR249" s="5">
        <f t="shared" si="118"/>
        <v>0</v>
      </c>
      <c r="KFS249" s="5">
        <f t="shared" si="118"/>
        <v>0</v>
      </c>
      <c r="KFT249" s="5">
        <f t="shared" si="118"/>
        <v>0</v>
      </c>
      <c r="KFU249" s="5">
        <f t="shared" si="118"/>
        <v>0</v>
      </c>
      <c r="KFV249" s="5">
        <f t="shared" si="118"/>
        <v>0</v>
      </c>
      <c r="KFW249" s="5">
        <f t="shared" si="118"/>
        <v>0</v>
      </c>
      <c r="KFX249" s="5">
        <f t="shared" si="118"/>
        <v>0</v>
      </c>
      <c r="KFY249" s="5">
        <f t="shared" si="118"/>
        <v>0</v>
      </c>
      <c r="KFZ249" s="5">
        <f t="shared" si="118"/>
        <v>0</v>
      </c>
      <c r="KGA249" s="5">
        <f t="shared" si="118"/>
        <v>0</v>
      </c>
      <c r="KGB249" s="5">
        <f t="shared" si="118"/>
        <v>0</v>
      </c>
      <c r="KGC249" s="5">
        <f t="shared" si="118"/>
        <v>0</v>
      </c>
      <c r="KGD249" s="5">
        <f t="shared" si="118"/>
        <v>0</v>
      </c>
      <c r="KGE249" s="5">
        <f t="shared" si="118"/>
        <v>0</v>
      </c>
      <c r="KGF249" s="5">
        <f t="shared" si="118"/>
        <v>0</v>
      </c>
      <c r="KGG249" s="5">
        <f t="shared" si="118"/>
        <v>0</v>
      </c>
      <c r="KGH249" s="5">
        <f t="shared" si="118"/>
        <v>0</v>
      </c>
      <c r="KGI249" s="5">
        <f t="shared" si="118"/>
        <v>0</v>
      </c>
      <c r="KGJ249" s="5">
        <f t="shared" si="118"/>
        <v>0</v>
      </c>
      <c r="KGK249" s="5">
        <f t="shared" si="118"/>
        <v>0</v>
      </c>
      <c r="KGL249" s="5">
        <f t="shared" si="118"/>
        <v>0</v>
      </c>
      <c r="KGM249" s="5">
        <f t="shared" si="118"/>
        <v>0</v>
      </c>
      <c r="KGN249" s="5">
        <f t="shared" si="118"/>
        <v>0</v>
      </c>
      <c r="KGO249" s="5">
        <f t="shared" si="118"/>
        <v>0</v>
      </c>
      <c r="KGP249" s="5">
        <f t="shared" ref="KGP249:KJA249" si="119">SUM(KGP246:KGP246)</f>
        <v>0</v>
      </c>
      <c r="KGQ249" s="5">
        <f t="shared" si="119"/>
        <v>0</v>
      </c>
      <c r="KGR249" s="5">
        <f t="shared" si="119"/>
        <v>0</v>
      </c>
      <c r="KGS249" s="5">
        <f t="shared" si="119"/>
        <v>0</v>
      </c>
      <c r="KGT249" s="5">
        <f t="shared" si="119"/>
        <v>0</v>
      </c>
      <c r="KGU249" s="5">
        <f t="shared" si="119"/>
        <v>0</v>
      </c>
      <c r="KGV249" s="5">
        <f t="shared" si="119"/>
        <v>0</v>
      </c>
      <c r="KGW249" s="5">
        <f t="shared" si="119"/>
        <v>0</v>
      </c>
      <c r="KGX249" s="5">
        <f t="shared" si="119"/>
        <v>0</v>
      </c>
      <c r="KGY249" s="5">
        <f t="shared" si="119"/>
        <v>0</v>
      </c>
      <c r="KGZ249" s="5">
        <f t="shared" si="119"/>
        <v>0</v>
      </c>
      <c r="KHA249" s="5">
        <f t="shared" si="119"/>
        <v>0</v>
      </c>
      <c r="KHB249" s="5">
        <f t="shared" si="119"/>
        <v>0</v>
      </c>
      <c r="KHC249" s="5">
        <f t="shared" si="119"/>
        <v>0</v>
      </c>
      <c r="KHD249" s="5">
        <f t="shared" si="119"/>
        <v>0</v>
      </c>
      <c r="KHE249" s="5">
        <f t="shared" si="119"/>
        <v>0</v>
      </c>
      <c r="KHF249" s="5">
        <f t="shared" si="119"/>
        <v>0</v>
      </c>
      <c r="KHG249" s="5">
        <f t="shared" si="119"/>
        <v>0</v>
      </c>
      <c r="KHH249" s="5">
        <f t="shared" si="119"/>
        <v>0</v>
      </c>
      <c r="KHI249" s="5">
        <f t="shared" si="119"/>
        <v>0</v>
      </c>
      <c r="KHJ249" s="5">
        <f t="shared" si="119"/>
        <v>0</v>
      </c>
      <c r="KHK249" s="5">
        <f t="shared" si="119"/>
        <v>0</v>
      </c>
      <c r="KHL249" s="5">
        <f t="shared" si="119"/>
        <v>0</v>
      </c>
      <c r="KHM249" s="5">
        <f t="shared" si="119"/>
        <v>0</v>
      </c>
      <c r="KHN249" s="5">
        <f t="shared" si="119"/>
        <v>0</v>
      </c>
      <c r="KHO249" s="5">
        <f t="shared" si="119"/>
        <v>0</v>
      </c>
      <c r="KHP249" s="5">
        <f t="shared" si="119"/>
        <v>0</v>
      </c>
      <c r="KHQ249" s="5">
        <f t="shared" si="119"/>
        <v>0</v>
      </c>
      <c r="KHR249" s="5">
        <f t="shared" si="119"/>
        <v>0</v>
      </c>
      <c r="KHS249" s="5">
        <f t="shared" si="119"/>
        <v>0</v>
      </c>
      <c r="KHT249" s="5">
        <f t="shared" si="119"/>
        <v>0</v>
      </c>
      <c r="KHU249" s="5">
        <f t="shared" si="119"/>
        <v>0</v>
      </c>
      <c r="KHV249" s="5">
        <f t="shared" si="119"/>
        <v>0</v>
      </c>
      <c r="KHW249" s="5">
        <f t="shared" si="119"/>
        <v>0</v>
      </c>
      <c r="KHX249" s="5">
        <f t="shared" si="119"/>
        <v>0</v>
      </c>
      <c r="KHY249" s="5">
        <f t="shared" si="119"/>
        <v>0</v>
      </c>
      <c r="KHZ249" s="5">
        <f t="shared" si="119"/>
        <v>0</v>
      </c>
      <c r="KIA249" s="5">
        <f t="shared" si="119"/>
        <v>0</v>
      </c>
      <c r="KIB249" s="5">
        <f t="shared" si="119"/>
        <v>0</v>
      </c>
      <c r="KIC249" s="5">
        <f t="shared" si="119"/>
        <v>0</v>
      </c>
      <c r="KID249" s="5">
        <f t="shared" si="119"/>
        <v>0</v>
      </c>
      <c r="KIE249" s="5">
        <f t="shared" si="119"/>
        <v>0</v>
      </c>
      <c r="KIF249" s="5">
        <f t="shared" si="119"/>
        <v>0</v>
      </c>
      <c r="KIG249" s="5">
        <f t="shared" si="119"/>
        <v>0</v>
      </c>
      <c r="KIH249" s="5">
        <f t="shared" si="119"/>
        <v>0</v>
      </c>
      <c r="KII249" s="5">
        <f t="shared" si="119"/>
        <v>0</v>
      </c>
      <c r="KIJ249" s="5">
        <f t="shared" si="119"/>
        <v>0</v>
      </c>
      <c r="KIK249" s="5">
        <f t="shared" si="119"/>
        <v>0</v>
      </c>
      <c r="KIL249" s="5">
        <f t="shared" si="119"/>
        <v>0</v>
      </c>
      <c r="KIM249" s="5">
        <f t="shared" si="119"/>
        <v>0</v>
      </c>
      <c r="KIN249" s="5">
        <f t="shared" si="119"/>
        <v>0</v>
      </c>
      <c r="KIO249" s="5">
        <f t="shared" si="119"/>
        <v>0</v>
      </c>
      <c r="KIP249" s="5">
        <f t="shared" si="119"/>
        <v>0</v>
      </c>
      <c r="KIQ249" s="5">
        <f t="shared" si="119"/>
        <v>0</v>
      </c>
      <c r="KIR249" s="5">
        <f t="shared" si="119"/>
        <v>0</v>
      </c>
      <c r="KIS249" s="5">
        <f t="shared" si="119"/>
        <v>0</v>
      </c>
      <c r="KIT249" s="5">
        <f t="shared" si="119"/>
        <v>0</v>
      </c>
      <c r="KIU249" s="5">
        <f t="shared" si="119"/>
        <v>0</v>
      </c>
      <c r="KIV249" s="5">
        <f t="shared" si="119"/>
        <v>0</v>
      </c>
      <c r="KIW249" s="5">
        <f t="shared" si="119"/>
        <v>0</v>
      </c>
      <c r="KIX249" s="5">
        <f t="shared" si="119"/>
        <v>0</v>
      </c>
      <c r="KIY249" s="5">
        <f t="shared" si="119"/>
        <v>0</v>
      </c>
      <c r="KIZ249" s="5">
        <f t="shared" si="119"/>
        <v>0</v>
      </c>
      <c r="KJA249" s="5">
        <f t="shared" si="119"/>
        <v>0</v>
      </c>
      <c r="KJB249" s="5">
        <f t="shared" ref="KJB249:KLM249" si="120">SUM(KJB246:KJB246)</f>
        <v>0</v>
      </c>
      <c r="KJC249" s="5">
        <f t="shared" si="120"/>
        <v>0</v>
      </c>
      <c r="KJD249" s="5">
        <f t="shared" si="120"/>
        <v>0</v>
      </c>
      <c r="KJE249" s="5">
        <f t="shared" si="120"/>
        <v>0</v>
      </c>
      <c r="KJF249" s="5">
        <f t="shared" si="120"/>
        <v>0</v>
      </c>
      <c r="KJG249" s="5">
        <f t="shared" si="120"/>
        <v>0</v>
      </c>
      <c r="KJH249" s="5">
        <f t="shared" si="120"/>
        <v>0</v>
      </c>
      <c r="KJI249" s="5">
        <f t="shared" si="120"/>
        <v>0</v>
      </c>
      <c r="KJJ249" s="5">
        <f t="shared" si="120"/>
        <v>0</v>
      </c>
      <c r="KJK249" s="5">
        <f t="shared" si="120"/>
        <v>0</v>
      </c>
      <c r="KJL249" s="5">
        <f t="shared" si="120"/>
        <v>0</v>
      </c>
      <c r="KJM249" s="5">
        <f t="shared" si="120"/>
        <v>0</v>
      </c>
      <c r="KJN249" s="5">
        <f t="shared" si="120"/>
        <v>0</v>
      </c>
      <c r="KJO249" s="5">
        <f t="shared" si="120"/>
        <v>0</v>
      </c>
      <c r="KJP249" s="5">
        <f t="shared" si="120"/>
        <v>0</v>
      </c>
      <c r="KJQ249" s="5">
        <f t="shared" si="120"/>
        <v>0</v>
      </c>
      <c r="KJR249" s="5">
        <f t="shared" si="120"/>
        <v>0</v>
      </c>
      <c r="KJS249" s="5">
        <f t="shared" si="120"/>
        <v>0</v>
      </c>
      <c r="KJT249" s="5">
        <f t="shared" si="120"/>
        <v>0</v>
      </c>
      <c r="KJU249" s="5">
        <f t="shared" si="120"/>
        <v>0</v>
      </c>
      <c r="KJV249" s="5">
        <f t="shared" si="120"/>
        <v>0</v>
      </c>
      <c r="KJW249" s="5">
        <f t="shared" si="120"/>
        <v>0</v>
      </c>
      <c r="KJX249" s="5">
        <f t="shared" si="120"/>
        <v>0</v>
      </c>
      <c r="KJY249" s="5">
        <f t="shared" si="120"/>
        <v>0</v>
      </c>
      <c r="KJZ249" s="5">
        <f t="shared" si="120"/>
        <v>0</v>
      </c>
      <c r="KKA249" s="5">
        <f t="shared" si="120"/>
        <v>0</v>
      </c>
      <c r="KKB249" s="5">
        <f t="shared" si="120"/>
        <v>0</v>
      </c>
      <c r="KKC249" s="5">
        <f t="shared" si="120"/>
        <v>0</v>
      </c>
      <c r="KKD249" s="5">
        <f t="shared" si="120"/>
        <v>0</v>
      </c>
      <c r="KKE249" s="5">
        <f t="shared" si="120"/>
        <v>0</v>
      </c>
      <c r="KKF249" s="5">
        <f t="shared" si="120"/>
        <v>0</v>
      </c>
      <c r="KKG249" s="5">
        <f t="shared" si="120"/>
        <v>0</v>
      </c>
      <c r="KKH249" s="5">
        <f t="shared" si="120"/>
        <v>0</v>
      </c>
      <c r="KKI249" s="5">
        <f t="shared" si="120"/>
        <v>0</v>
      </c>
      <c r="KKJ249" s="5">
        <f t="shared" si="120"/>
        <v>0</v>
      </c>
      <c r="KKK249" s="5">
        <f t="shared" si="120"/>
        <v>0</v>
      </c>
      <c r="KKL249" s="5">
        <f t="shared" si="120"/>
        <v>0</v>
      </c>
      <c r="KKM249" s="5">
        <f t="shared" si="120"/>
        <v>0</v>
      </c>
      <c r="KKN249" s="5">
        <f t="shared" si="120"/>
        <v>0</v>
      </c>
      <c r="KKO249" s="5">
        <f t="shared" si="120"/>
        <v>0</v>
      </c>
      <c r="KKP249" s="5">
        <f t="shared" si="120"/>
        <v>0</v>
      </c>
      <c r="KKQ249" s="5">
        <f t="shared" si="120"/>
        <v>0</v>
      </c>
      <c r="KKR249" s="5">
        <f t="shared" si="120"/>
        <v>0</v>
      </c>
      <c r="KKS249" s="5">
        <f t="shared" si="120"/>
        <v>0</v>
      </c>
      <c r="KKT249" s="5">
        <f t="shared" si="120"/>
        <v>0</v>
      </c>
      <c r="KKU249" s="5">
        <f t="shared" si="120"/>
        <v>0</v>
      </c>
      <c r="KKV249" s="5">
        <f t="shared" si="120"/>
        <v>0</v>
      </c>
      <c r="KKW249" s="5">
        <f t="shared" si="120"/>
        <v>0</v>
      </c>
      <c r="KKX249" s="5">
        <f t="shared" si="120"/>
        <v>0</v>
      </c>
      <c r="KKY249" s="5">
        <f t="shared" si="120"/>
        <v>0</v>
      </c>
      <c r="KKZ249" s="5">
        <f t="shared" si="120"/>
        <v>0</v>
      </c>
      <c r="KLA249" s="5">
        <f t="shared" si="120"/>
        <v>0</v>
      </c>
      <c r="KLB249" s="5">
        <f t="shared" si="120"/>
        <v>0</v>
      </c>
      <c r="KLC249" s="5">
        <f t="shared" si="120"/>
        <v>0</v>
      </c>
      <c r="KLD249" s="5">
        <f t="shared" si="120"/>
        <v>0</v>
      </c>
      <c r="KLE249" s="5">
        <f t="shared" si="120"/>
        <v>0</v>
      </c>
      <c r="KLF249" s="5">
        <f t="shared" si="120"/>
        <v>0</v>
      </c>
      <c r="KLG249" s="5">
        <f t="shared" si="120"/>
        <v>0</v>
      </c>
      <c r="KLH249" s="5">
        <f t="shared" si="120"/>
        <v>0</v>
      </c>
      <c r="KLI249" s="5">
        <f t="shared" si="120"/>
        <v>0</v>
      </c>
      <c r="KLJ249" s="5">
        <f t="shared" si="120"/>
        <v>0</v>
      </c>
      <c r="KLK249" s="5">
        <f t="shared" si="120"/>
        <v>0</v>
      </c>
      <c r="KLL249" s="5">
        <f t="shared" si="120"/>
        <v>0</v>
      </c>
      <c r="KLM249" s="5">
        <f t="shared" si="120"/>
        <v>0</v>
      </c>
      <c r="KLN249" s="5">
        <f t="shared" ref="KLN249:KNY249" si="121">SUM(KLN246:KLN246)</f>
        <v>0</v>
      </c>
      <c r="KLO249" s="5">
        <f t="shared" si="121"/>
        <v>0</v>
      </c>
      <c r="KLP249" s="5">
        <f t="shared" si="121"/>
        <v>0</v>
      </c>
      <c r="KLQ249" s="5">
        <f t="shared" si="121"/>
        <v>0</v>
      </c>
      <c r="KLR249" s="5">
        <f t="shared" si="121"/>
        <v>0</v>
      </c>
      <c r="KLS249" s="5">
        <f t="shared" si="121"/>
        <v>0</v>
      </c>
      <c r="KLT249" s="5">
        <f t="shared" si="121"/>
        <v>0</v>
      </c>
      <c r="KLU249" s="5">
        <f t="shared" si="121"/>
        <v>0</v>
      </c>
      <c r="KLV249" s="5">
        <f t="shared" si="121"/>
        <v>0</v>
      </c>
      <c r="KLW249" s="5">
        <f t="shared" si="121"/>
        <v>0</v>
      </c>
      <c r="KLX249" s="5">
        <f t="shared" si="121"/>
        <v>0</v>
      </c>
      <c r="KLY249" s="5">
        <f t="shared" si="121"/>
        <v>0</v>
      </c>
      <c r="KLZ249" s="5">
        <f t="shared" si="121"/>
        <v>0</v>
      </c>
      <c r="KMA249" s="5">
        <f t="shared" si="121"/>
        <v>0</v>
      </c>
      <c r="KMB249" s="5">
        <f t="shared" si="121"/>
        <v>0</v>
      </c>
      <c r="KMC249" s="5">
        <f t="shared" si="121"/>
        <v>0</v>
      </c>
      <c r="KMD249" s="5">
        <f t="shared" si="121"/>
        <v>0</v>
      </c>
      <c r="KME249" s="5">
        <f t="shared" si="121"/>
        <v>0</v>
      </c>
      <c r="KMF249" s="5">
        <f t="shared" si="121"/>
        <v>0</v>
      </c>
      <c r="KMG249" s="5">
        <f t="shared" si="121"/>
        <v>0</v>
      </c>
      <c r="KMH249" s="5">
        <f t="shared" si="121"/>
        <v>0</v>
      </c>
      <c r="KMI249" s="5">
        <f t="shared" si="121"/>
        <v>0</v>
      </c>
      <c r="KMJ249" s="5">
        <f t="shared" si="121"/>
        <v>0</v>
      </c>
      <c r="KMK249" s="5">
        <f t="shared" si="121"/>
        <v>0</v>
      </c>
      <c r="KML249" s="5">
        <f t="shared" si="121"/>
        <v>0</v>
      </c>
      <c r="KMM249" s="5">
        <f t="shared" si="121"/>
        <v>0</v>
      </c>
      <c r="KMN249" s="5">
        <f t="shared" si="121"/>
        <v>0</v>
      </c>
      <c r="KMO249" s="5">
        <f t="shared" si="121"/>
        <v>0</v>
      </c>
      <c r="KMP249" s="5">
        <f t="shared" si="121"/>
        <v>0</v>
      </c>
      <c r="KMQ249" s="5">
        <f t="shared" si="121"/>
        <v>0</v>
      </c>
      <c r="KMR249" s="5">
        <f t="shared" si="121"/>
        <v>0</v>
      </c>
      <c r="KMS249" s="5">
        <f t="shared" si="121"/>
        <v>0</v>
      </c>
      <c r="KMT249" s="5">
        <f t="shared" si="121"/>
        <v>0</v>
      </c>
      <c r="KMU249" s="5">
        <f t="shared" si="121"/>
        <v>0</v>
      </c>
      <c r="KMV249" s="5">
        <f t="shared" si="121"/>
        <v>0</v>
      </c>
      <c r="KMW249" s="5">
        <f t="shared" si="121"/>
        <v>0</v>
      </c>
      <c r="KMX249" s="5">
        <f t="shared" si="121"/>
        <v>0</v>
      </c>
      <c r="KMY249" s="5">
        <f t="shared" si="121"/>
        <v>0</v>
      </c>
      <c r="KMZ249" s="5">
        <f t="shared" si="121"/>
        <v>0</v>
      </c>
      <c r="KNA249" s="5">
        <f t="shared" si="121"/>
        <v>0</v>
      </c>
      <c r="KNB249" s="5">
        <f t="shared" si="121"/>
        <v>0</v>
      </c>
      <c r="KNC249" s="5">
        <f t="shared" si="121"/>
        <v>0</v>
      </c>
      <c r="KND249" s="5">
        <f t="shared" si="121"/>
        <v>0</v>
      </c>
      <c r="KNE249" s="5">
        <f t="shared" si="121"/>
        <v>0</v>
      </c>
      <c r="KNF249" s="5">
        <f t="shared" si="121"/>
        <v>0</v>
      </c>
      <c r="KNG249" s="5">
        <f t="shared" si="121"/>
        <v>0</v>
      </c>
      <c r="KNH249" s="5">
        <f t="shared" si="121"/>
        <v>0</v>
      </c>
      <c r="KNI249" s="5">
        <f t="shared" si="121"/>
        <v>0</v>
      </c>
      <c r="KNJ249" s="5">
        <f t="shared" si="121"/>
        <v>0</v>
      </c>
      <c r="KNK249" s="5">
        <f t="shared" si="121"/>
        <v>0</v>
      </c>
      <c r="KNL249" s="5">
        <f t="shared" si="121"/>
        <v>0</v>
      </c>
      <c r="KNM249" s="5">
        <f t="shared" si="121"/>
        <v>0</v>
      </c>
      <c r="KNN249" s="5">
        <f t="shared" si="121"/>
        <v>0</v>
      </c>
      <c r="KNO249" s="5">
        <f t="shared" si="121"/>
        <v>0</v>
      </c>
      <c r="KNP249" s="5">
        <f t="shared" si="121"/>
        <v>0</v>
      </c>
      <c r="KNQ249" s="5">
        <f t="shared" si="121"/>
        <v>0</v>
      </c>
      <c r="KNR249" s="5">
        <f t="shared" si="121"/>
        <v>0</v>
      </c>
      <c r="KNS249" s="5">
        <f t="shared" si="121"/>
        <v>0</v>
      </c>
      <c r="KNT249" s="5">
        <f t="shared" si="121"/>
        <v>0</v>
      </c>
      <c r="KNU249" s="5">
        <f t="shared" si="121"/>
        <v>0</v>
      </c>
      <c r="KNV249" s="5">
        <f t="shared" si="121"/>
        <v>0</v>
      </c>
      <c r="KNW249" s="5">
        <f t="shared" si="121"/>
        <v>0</v>
      </c>
      <c r="KNX249" s="5">
        <f t="shared" si="121"/>
        <v>0</v>
      </c>
      <c r="KNY249" s="5">
        <f t="shared" si="121"/>
        <v>0</v>
      </c>
      <c r="KNZ249" s="5">
        <f t="shared" ref="KNZ249:KQK249" si="122">SUM(KNZ246:KNZ246)</f>
        <v>0</v>
      </c>
      <c r="KOA249" s="5">
        <f t="shared" si="122"/>
        <v>0</v>
      </c>
      <c r="KOB249" s="5">
        <f t="shared" si="122"/>
        <v>0</v>
      </c>
      <c r="KOC249" s="5">
        <f t="shared" si="122"/>
        <v>0</v>
      </c>
      <c r="KOD249" s="5">
        <f t="shared" si="122"/>
        <v>0</v>
      </c>
      <c r="KOE249" s="5">
        <f t="shared" si="122"/>
        <v>0</v>
      </c>
      <c r="KOF249" s="5">
        <f t="shared" si="122"/>
        <v>0</v>
      </c>
      <c r="KOG249" s="5">
        <f t="shared" si="122"/>
        <v>0</v>
      </c>
      <c r="KOH249" s="5">
        <f t="shared" si="122"/>
        <v>0</v>
      </c>
      <c r="KOI249" s="5">
        <f t="shared" si="122"/>
        <v>0</v>
      </c>
      <c r="KOJ249" s="5">
        <f t="shared" si="122"/>
        <v>0</v>
      </c>
      <c r="KOK249" s="5">
        <f t="shared" si="122"/>
        <v>0</v>
      </c>
      <c r="KOL249" s="5">
        <f t="shared" si="122"/>
        <v>0</v>
      </c>
      <c r="KOM249" s="5">
        <f t="shared" si="122"/>
        <v>0</v>
      </c>
      <c r="KON249" s="5">
        <f t="shared" si="122"/>
        <v>0</v>
      </c>
      <c r="KOO249" s="5">
        <f t="shared" si="122"/>
        <v>0</v>
      </c>
      <c r="KOP249" s="5">
        <f t="shared" si="122"/>
        <v>0</v>
      </c>
      <c r="KOQ249" s="5">
        <f t="shared" si="122"/>
        <v>0</v>
      </c>
      <c r="KOR249" s="5">
        <f t="shared" si="122"/>
        <v>0</v>
      </c>
      <c r="KOS249" s="5">
        <f t="shared" si="122"/>
        <v>0</v>
      </c>
      <c r="KOT249" s="5">
        <f t="shared" si="122"/>
        <v>0</v>
      </c>
      <c r="KOU249" s="5">
        <f t="shared" si="122"/>
        <v>0</v>
      </c>
      <c r="KOV249" s="5">
        <f t="shared" si="122"/>
        <v>0</v>
      </c>
      <c r="KOW249" s="5">
        <f t="shared" si="122"/>
        <v>0</v>
      </c>
      <c r="KOX249" s="5">
        <f t="shared" si="122"/>
        <v>0</v>
      </c>
      <c r="KOY249" s="5">
        <f t="shared" si="122"/>
        <v>0</v>
      </c>
      <c r="KOZ249" s="5">
        <f t="shared" si="122"/>
        <v>0</v>
      </c>
      <c r="KPA249" s="5">
        <f t="shared" si="122"/>
        <v>0</v>
      </c>
      <c r="KPB249" s="5">
        <f t="shared" si="122"/>
        <v>0</v>
      </c>
      <c r="KPC249" s="5">
        <f t="shared" si="122"/>
        <v>0</v>
      </c>
      <c r="KPD249" s="5">
        <f t="shared" si="122"/>
        <v>0</v>
      </c>
      <c r="KPE249" s="5">
        <f t="shared" si="122"/>
        <v>0</v>
      </c>
      <c r="KPF249" s="5">
        <f t="shared" si="122"/>
        <v>0</v>
      </c>
      <c r="KPG249" s="5">
        <f t="shared" si="122"/>
        <v>0</v>
      </c>
      <c r="KPH249" s="5">
        <f t="shared" si="122"/>
        <v>0</v>
      </c>
      <c r="KPI249" s="5">
        <f t="shared" si="122"/>
        <v>0</v>
      </c>
      <c r="KPJ249" s="5">
        <f t="shared" si="122"/>
        <v>0</v>
      </c>
      <c r="KPK249" s="5">
        <f t="shared" si="122"/>
        <v>0</v>
      </c>
      <c r="KPL249" s="5">
        <f t="shared" si="122"/>
        <v>0</v>
      </c>
      <c r="KPM249" s="5">
        <f t="shared" si="122"/>
        <v>0</v>
      </c>
      <c r="KPN249" s="5">
        <f t="shared" si="122"/>
        <v>0</v>
      </c>
      <c r="KPO249" s="5">
        <f t="shared" si="122"/>
        <v>0</v>
      </c>
      <c r="KPP249" s="5">
        <f t="shared" si="122"/>
        <v>0</v>
      </c>
      <c r="KPQ249" s="5">
        <f t="shared" si="122"/>
        <v>0</v>
      </c>
      <c r="KPR249" s="5">
        <f t="shared" si="122"/>
        <v>0</v>
      </c>
      <c r="KPS249" s="5">
        <f t="shared" si="122"/>
        <v>0</v>
      </c>
      <c r="KPT249" s="5">
        <f t="shared" si="122"/>
        <v>0</v>
      </c>
      <c r="KPU249" s="5">
        <f t="shared" si="122"/>
        <v>0</v>
      </c>
      <c r="KPV249" s="5">
        <f t="shared" si="122"/>
        <v>0</v>
      </c>
      <c r="KPW249" s="5">
        <f t="shared" si="122"/>
        <v>0</v>
      </c>
      <c r="KPX249" s="5">
        <f t="shared" si="122"/>
        <v>0</v>
      </c>
      <c r="KPY249" s="5">
        <f t="shared" si="122"/>
        <v>0</v>
      </c>
      <c r="KPZ249" s="5">
        <f t="shared" si="122"/>
        <v>0</v>
      </c>
      <c r="KQA249" s="5">
        <f t="shared" si="122"/>
        <v>0</v>
      </c>
      <c r="KQB249" s="5">
        <f t="shared" si="122"/>
        <v>0</v>
      </c>
      <c r="KQC249" s="5">
        <f t="shared" si="122"/>
        <v>0</v>
      </c>
      <c r="KQD249" s="5">
        <f t="shared" si="122"/>
        <v>0</v>
      </c>
      <c r="KQE249" s="5">
        <f t="shared" si="122"/>
        <v>0</v>
      </c>
      <c r="KQF249" s="5">
        <f t="shared" si="122"/>
        <v>0</v>
      </c>
      <c r="KQG249" s="5">
        <f t="shared" si="122"/>
        <v>0</v>
      </c>
      <c r="KQH249" s="5">
        <f t="shared" si="122"/>
        <v>0</v>
      </c>
      <c r="KQI249" s="5">
        <f t="shared" si="122"/>
        <v>0</v>
      </c>
      <c r="KQJ249" s="5">
        <f t="shared" si="122"/>
        <v>0</v>
      </c>
      <c r="KQK249" s="5">
        <f t="shared" si="122"/>
        <v>0</v>
      </c>
      <c r="KQL249" s="5">
        <f t="shared" ref="KQL249:KSW249" si="123">SUM(KQL246:KQL246)</f>
        <v>0</v>
      </c>
      <c r="KQM249" s="5">
        <f t="shared" si="123"/>
        <v>0</v>
      </c>
      <c r="KQN249" s="5">
        <f t="shared" si="123"/>
        <v>0</v>
      </c>
      <c r="KQO249" s="5">
        <f t="shared" si="123"/>
        <v>0</v>
      </c>
      <c r="KQP249" s="5">
        <f t="shared" si="123"/>
        <v>0</v>
      </c>
      <c r="KQQ249" s="5">
        <f t="shared" si="123"/>
        <v>0</v>
      </c>
      <c r="KQR249" s="5">
        <f t="shared" si="123"/>
        <v>0</v>
      </c>
      <c r="KQS249" s="5">
        <f t="shared" si="123"/>
        <v>0</v>
      </c>
      <c r="KQT249" s="5">
        <f t="shared" si="123"/>
        <v>0</v>
      </c>
      <c r="KQU249" s="5">
        <f t="shared" si="123"/>
        <v>0</v>
      </c>
      <c r="KQV249" s="5">
        <f t="shared" si="123"/>
        <v>0</v>
      </c>
      <c r="KQW249" s="5">
        <f t="shared" si="123"/>
        <v>0</v>
      </c>
      <c r="KQX249" s="5">
        <f t="shared" si="123"/>
        <v>0</v>
      </c>
      <c r="KQY249" s="5">
        <f t="shared" si="123"/>
        <v>0</v>
      </c>
      <c r="KQZ249" s="5">
        <f t="shared" si="123"/>
        <v>0</v>
      </c>
      <c r="KRA249" s="5">
        <f t="shared" si="123"/>
        <v>0</v>
      </c>
      <c r="KRB249" s="5">
        <f t="shared" si="123"/>
        <v>0</v>
      </c>
      <c r="KRC249" s="5">
        <f t="shared" si="123"/>
        <v>0</v>
      </c>
      <c r="KRD249" s="5">
        <f t="shared" si="123"/>
        <v>0</v>
      </c>
      <c r="KRE249" s="5">
        <f t="shared" si="123"/>
        <v>0</v>
      </c>
      <c r="KRF249" s="5">
        <f t="shared" si="123"/>
        <v>0</v>
      </c>
      <c r="KRG249" s="5">
        <f t="shared" si="123"/>
        <v>0</v>
      </c>
      <c r="KRH249" s="5">
        <f t="shared" si="123"/>
        <v>0</v>
      </c>
      <c r="KRI249" s="5">
        <f t="shared" si="123"/>
        <v>0</v>
      </c>
      <c r="KRJ249" s="5">
        <f t="shared" si="123"/>
        <v>0</v>
      </c>
      <c r="KRK249" s="5">
        <f t="shared" si="123"/>
        <v>0</v>
      </c>
      <c r="KRL249" s="5">
        <f t="shared" si="123"/>
        <v>0</v>
      </c>
      <c r="KRM249" s="5">
        <f t="shared" si="123"/>
        <v>0</v>
      </c>
      <c r="KRN249" s="5">
        <f t="shared" si="123"/>
        <v>0</v>
      </c>
      <c r="KRO249" s="5">
        <f t="shared" si="123"/>
        <v>0</v>
      </c>
      <c r="KRP249" s="5">
        <f t="shared" si="123"/>
        <v>0</v>
      </c>
      <c r="KRQ249" s="5">
        <f t="shared" si="123"/>
        <v>0</v>
      </c>
      <c r="KRR249" s="5">
        <f t="shared" si="123"/>
        <v>0</v>
      </c>
      <c r="KRS249" s="5">
        <f t="shared" si="123"/>
        <v>0</v>
      </c>
      <c r="KRT249" s="5">
        <f t="shared" si="123"/>
        <v>0</v>
      </c>
      <c r="KRU249" s="5">
        <f t="shared" si="123"/>
        <v>0</v>
      </c>
      <c r="KRV249" s="5">
        <f t="shared" si="123"/>
        <v>0</v>
      </c>
      <c r="KRW249" s="5">
        <f t="shared" si="123"/>
        <v>0</v>
      </c>
      <c r="KRX249" s="5">
        <f t="shared" si="123"/>
        <v>0</v>
      </c>
      <c r="KRY249" s="5">
        <f t="shared" si="123"/>
        <v>0</v>
      </c>
      <c r="KRZ249" s="5">
        <f t="shared" si="123"/>
        <v>0</v>
      </c>
      <c r="KSA249" s="5">
        <f t="shared" si="123"/>
        <v>0</v>
      </c>
      <c r="KSB249" s="5">
        <f t="shared" si="123"/>
        <v>0</v>
      </c>
      <c r="KSC249" s="5">
        <f t="shared" si="123"/>
        <v>0</v>
      </c>
      <c r="KSD249" s="5">
        <f t="shared" si="123"/>
        <v>0</v>
      </c>
      <c r="KSE249" s="5">
        <f t="shared" si="123"/>
        <v>0</v>
      </c>
      <c r="KSF249" s="5">
        <f t="shared" si="123"/>
        <v>0</v>
      </c>
      <c r="KSG249" s="5">
        <f t="shared" si="123"/>
        <v>0</v>
      </c>
      <c r="KSH249" s="5">
        <f t="shared" si="123"/>
        <v>0</v>
      </c>
      <c r="KSI249" s="5">
        <f t="shared" si="123"/>
        <v>0</v>
      </c>
      <c r="KSJ249" s="5">
        <f t="shared" si="123"/>
        <v>0</v>
      </c>
      <c r="KSK249" s="5">
        <f t="shared" si="123"/>
        <v>0</v>
      </c>
      <c r="KSL249" s="5">
        <f t="shared" si="123"/>
        <v>0</v>
      </c>
      <c r="KSM249" s="5">
        <f t="shared" si="123"/>
        <v>0</v>
      </c>
      <c r="KSN249" s="5">
        <f t="shared" si="123"/>
        <v>0</v>
      </c>
      <c r="KSO249" s="5">
        <f t="shared" si="123"/>
        <v>0</v>
      </c>
      <c r="KSP249" s="5">
        <f t="shared" si="123"/>
        <v>0</v>
      </c>
      <c r="KSQ249" s="5">
        <f t="shared" si="123"/>
        <v>0</v>
      </c>
      <c r="KSR249" s="5">
        <f t="shared" si="123"/>
        <v>0</v>
      </c>
      <c r="KSS249" s="5">
        <f t="shared" si="123"/>
        <v>0</v>
      </c>
      <c r="KST249" s="5">
        <f t="shared" si="123"/>
        <v>0</v>
      </c>
      <c r="KSU249" s="5">
        <f t="shared" si="123"/>
        <v>0</v>
      </c>
      <c r="KSV249" s="5">
        <f t="shared" si="123"/>
        <v>0</v>
      </c>
      <c r="KSW249" s="5">
        <f t="shared" si="123"/>
        <v>0</v>
      </c>
      <c r="KSX249" s="5">
        <f t="shared" ref="KSX249:KVI249" si="124">SUM(KSX246:KSX246)</f>
        <v>0</v>
      </c>
      <c r="KSY249" s="5">
        <f t="shared" si="124"/>
        <v>0</v>
      </c>
      <c r="KSZ249" s="5">
        <f t="shared" si="124"/>
        <v>0</v>
      </c>
      <c r="KTA249" s="5">
        <f t="shared" si="124"/>
        <v>0</v>
      </c>
      <c r="KTB249" s="5">
        <f t="shared" si="124"/>
        <v>0</v>
      </c>
      <c r="KTC249" s="5">
        <f t="shared" si="124"/>
        <v>0</v>
      </c>
      <c r="KTD249" s="5">
        <f t="shared" si="124"/>
        <v>0</v>
      </c>
      <c r="KTE249" s="5">
        <f t="shared" si="124"/>
        <v>0</v>
      </c>
      <c r="KTF249" s="5">
        <f t="shared" si="124"/>
        <v>0</v>
      </c>
      <c r="KTG249" s="5">
        <f t="shared" si="124"/>
        <v>0</v>
      </c>
      <c r="KTH249" s="5">
        <f t="shared" si="124"/>
        <v>0</v>
      </c>
      <c r="KTI249" s="5">
        <f t="shared" si="124"/>
        <v>0</v>
      </c>
      <c r="KTJ249" s="5">
        <f t="shared" si="124"/>
        <v>0</v>
      </c>
      <c r="KTK249" s="5">
        <f t="shared" si="124"/>
        <v>0</v>
      </c>
      <c r="KTL249" s="5">
        <f t="shared" si="124"/>
        <v>0</v>
      </c>
      <c r="KTM249" s="5">
        <f t="shared" si="124"/>
        <v>0</v>
      </c>
      <c r="KTN249" s="5">
        <f t="shared" si="124"/>
        <v>0</v>
      </c>
      <c r="KTO249" s="5">
        <f t="shared" si="124"/>
        <v>0</v>
      </c>
      <c r="KTP249" s="5">
        <f t="shared" si="124"/>
        <v>0</v>
      </c>
      <c r="KTQ249" s="5">
        <f t="shared" si="124"/>
        <v>0</v>
      </c>
      <c r="KTR249" s="5">
        <f t="shared" si="124"/>
        <v>0</v>
      </c>
      <c r="KTS249" s="5">
        <f t="shared" si="124"/>
        <v>0</v>
      </c>
      <c r="KTT249" s="5">
        <f t="shared" si="124"/>
        <v>0</v>
      </c>
      <c r="KTU249" s="5">
        <f t="shared" si="124"/>
        <v>0</v>
      </c>
      <c r="KTV249" s="5">
        <f t="shared" si="124"/>
        <v>0</v>
      </c>
      <c r="KTW249" s="5">
        <f t="shared" si="124"/>
        <v>0</v>
      </c>
      <c r="KTX249" s="5">
        <f t="shared" si="124"/>
        <v>0</v>
      </c>
      <c r="KTY249" s="5">
        <f t="shared" si="124"/>
        <v>0</v>
      </c>
      <c r="KTZ249" s="5">
        <f t="shared" si="124"/>
        <v>0</v>
      </c>
      <c r="KUA249" s="5">
        <f t="shared" si="124"/>
        <v>0</v>
      </c>
      <c r="KUB249" s="5">
        <f t="shared" si="124"/>
        <v>0</v>
      </c>
      <c r="KUC249" s="5">
        <f t="shared" si="124"/>
        <v>0</v>
      </c>
      <c r="KUD249" s="5">
        <f t="shared" si="124"/>
        <v>0</v>
      </c>
      <c r="KUE249" s="5">
        <f t="shared" si="124"/>
        <v>0</v>
      </c>
      <c r="KUF249" s="5">
        <f t="shared" si="124"/>
        <v>0</v>
      </c>
      <c r="KUG249" s="5">
        <f t="shared" si="124"/>
        <v>0</v>
      </c>
      <c r="KUH249" s="5">
        <f t="shared" si="124"/>
        <v>0</v>
      </c>
      <c r="KUI249" s="5">
        <f t="shared" si="124"/>
        <v>0</v>
      </c>
      <c r="KUJ249" s="5">
        <f t="shared" si="124"/>
        <v>0</v>
      </c>
      <c r="KUK249" s="5">
        <f t="shared" si="124"/>
        <v>0</v>
      </c>
      <c r="KUL249" s="5">
        <f t="shared" si="124"/>
        <v>0</v>
      </c>
      <c r="KUM249" s="5">
        <f t="shared" si="124"/>
        <v>0</v>
      </c>
      <c r="KUN249" s="5">
        <f t="shared" si="124"/>
        <v>0</v>
      </c>
      <c r="KUO249" s="5">
        <f t="shared" si="124"/>
        <v>0</v>
      </c>
      <c r="KUP249" s="5">
        <f t="shared" si="124"/>
        <v>0</v>
      </c>
      <c r="KUQ249" s="5">
        <f t="shared" si="124"/>
        <v>0</v>
      </c>
      <c r="KUR249" s="5">
        <f t="shared" si="124"/>
        <v>0</v>
      </c>
      <c r="KUS249" s="5">
        <f t="shared" si="124"/>
        <v>0</v>
      </c>
      <c r="KUT249" s="5">
        <f t="shared" si="124"/>
        <v>0</v>
      </c>
      <c r="KUU249" s="5">
        <f t="shared" si="124"/>
        <v>0</v>
      </c>
      <c r="KUV249" s="5">
        <f t="shared" si="124"/>
        <v>0</v>
      </c>
      <c r="KUW249" s="5">
        <f t="shared" si="124"/>
        <v>0</v>
      </c>
      <c r="KUX249" s="5">
        <f t="shared" si="124"/>
        <v>0</v>
      </c>
      <c r="KUY249" s="5">
        <f t="shared" si="124"/>
        <v>0</v>
      </c>
      <c r="KUZ249" s="5">
        <f t="shared" si="124"/>
        <v>0</v>
      </c>
      <c r="KVA249" s="5">
        <f t="shared" si="124"/>
        <v>0</v>
      </c>
      <c r="KVB249" s="5">
        <f t="shared" si="124"/>
        <v>0</v>
      </c>
      <c r="KVC249" s="5">
        <f t="shared" si="124"/>
        <v>0</v>
      </c>
      <c r="KVD249" s="5">
        <f t="shared" si="124"/>
        <v>0</v>
      </c>
      <c r="KVE249" s="5">
        <f t="shared" si="124"/>
        <v>0</v>
      </c>
      <c r="KVF249" s="5">
        <f t="shared" si="124"/>
        <v>0</v>
      </c>
      <c r="KVG249" s="5">
        <f t="shared" si="124"/>
        <v>0</v>
      </c>
      <c r="KVH249" s="5">
        <f t="shared" si="124"/>
        <v>0</v>
      </c>
      <c r="KVI249" s="5">
        <f t="shared" si="124"/>
        <v>0</v>
      </c>
      <c r="KVJ249" s="5">
        <f t="shared" ref="KVJ249:KXU249" si="125">SUM(KVJ246:KVJ246)</f>
        <v>0</v>
      </c>
      <c r="KVK249" s="5">
        <f t="shared" si="125"/>
        <v>0</v>
      </c>
      <c r="KVL249" s="5">
        <f t="shared" si="125"/>
        <v>0</v>
      </c>
      <c r="KVM249" s="5">
        <f t="shared" si="125"/>
        <v>0</v>
      </c>
      <c r="KVN249" s="5">
        <f t="shared" si="125"/>
        <v>0</v>
      </c>
      <c r="KVO249" s="5">
        <f t="shared" si="125"/>
        <v>0</v>
      </c>
      <c r="KVP249" s="5">
        <f t="shared" si="125"/>
        <v>0</v>
      </c>
      <c r="KVQ249" s="5">
        <f t="shared" si="125"/>
        <v>0</v>
      </c>
      <c r="KVR249" s="5">
        <f t="shared" si="125"/>
        <v>0</v>
      </c>
      <c r="KVS249" s="5">
        <f t="shared" si="125"/>
        <v>0</v>
      </c>
      <c r="KVT249" s="5">
        <f t="shared" si="125"/>
        <v>0</v>
      </c>
      <c r="KVU249" s="5">
        <f t="shared" si="125"/>
        <v>0</v>
      </c>
      <c r="KVV249" s="5">
        <f t="shared" si="125"/>
        <v>0</v>
      </c>
      <c r="KVW249" s="5">
        <f t="shared" si="125"/>
        <v>0</v>
      </c>
      <c r="KVX249" s="5">
        <f t="shared" si="125"/>
        <v>0</v>
      </c>
      <c r="KVY249" s="5">
        <f t="shared" si="125"/>
        <v>0</v>
      </c>
      <c r="KVZ249" s="5">
        <f t="shared" si="125"/>
        <v>0</v>
      </c>
      <c r="KWA249" s="5">
        <f t="shared" si="125"/>
        <v>0</v>
      </c>
      <c r="KWB249" s="5">
        <f t="shared" si="125"/>
        <v>0</v>
      </c>
      <c r="KWC249" s="5">
        <f t="shared" si="125"/>
        <v>0</v>
      </c>
      <c r="KWD249" s="5">
        <f t="shared" si="125"/>
        <v>0</v>
      </c>
      <c r="KWE249" s="5">
        <f t="shared" si="125"/>
        <v>0</v>
      </c>
      <c r="KWF249" s="5">
        <f t="shared" si="125"/>
        <v>0</v>
      </c>
      <c r="KWG249" s="5">
        <f t="shared" si="125"/>
        <v>0</v>
      </c>
      <c r="KWH249" s="5">
        <f t="shared" si="125"/>
        <v>0</v>
      </c>
      <c r="KWI249" s="5">
        <f t="shared" si="125"/>
        <v>0</v>
      </c>
      <c r="KWJ249" s="5">
        <f t="shared" si="125"/>
        <v>0</v>
      </c>
      <c r="KWK249" s="5">
        <f t="shared" si="125"/>
        <v>0</v>
      </c>
      <c r="KWL249" s="5">
        <f t="shared" si="125"/>
        <v>0</v>
      </c>
      <c r="KWM249" s="5">
        <f t="shared" si="125"/>
        <v>0</v>
      </c>
      <c r="KWN249" s="5">
        <f t="shared" si="125"/>
        <v>0</v>
      </c>
      <c r="KWO249" s="5">
        <f t="shared" si="125"/>
        <v>0</v>
      </c>
      <c r="KWP249" s="5">
        <f t="shared" si="125"/>
        <v>0</v>
      </c>
      <c r="KWQ249" s="5">
        <f t="shared" si="125"/>
        <v>0</v>
      </c>
      <c r="KWR249" s="5">
        <f t="shared" si="125"/>
        <v>0</v>
      </c>
      <c r="KWS249" s="5">
        <f t="shared" si="125"/>
        <v>0</v>
      </c>
      <c r="KWT249" s="5">
        <f t="shared" si="125"/>
        <v>0</v>
      </c>
      <c r="KWU249" s="5">
        <f t="shared" si="125"/>
        <v>0</v>
      </c>
      <c r="KWV249" s="5">
        <f t="shared" si="125"/>
        <v>0</v>
      </c>
      <c r="KWW249" s="5">
        <f t="shared" si="125"/>
        <v>0</v>
      </c>
      <c r="KWX249" s="5">
        <f t="shared" si="125"/>
        <v>0</v>
      </c>
      <c r="KWY249" s="5">
        <f t="shared" si="125"/>
        <v>0</v>
      </c>
      <c r="KWZ249" s="5">
        <f t="shared" si="125"/>
        <v>0</v>
      </c>
      <c r="KXA249" s="5">
        <f t="shared" si="125"/>
        <v>0</v>
      </c>
      <c r="KXB249" s="5">
        <f t="shared" si="125"/>
        <v>0</v>
      </c>
      <c r="KXC249" s="5">
        <f t="shared" si="125"/>
        <v>0</v>
      </c>
      <c r="KXD249" s="5">
        <f t="shared" si="125"/>
        <v>0</v>
      </c>
      <c r="KXE249" s="5">
        <f t="shared" si="125"/>
        <v>0</v>
      </c>
      <c r="KXF249" s="5">
        <f t="shared" si="125"/>
        <v>0</v>
      </c>
      <c r="KXG249" s="5">
        <f t="shared" si="125"/>
        <v>0</v>
      </c>
      <c r="KXH249" s="5">
        <f t="shared" si="125"/>
        <v>0</v>
      </c>
      <c r="KXI249" s="5">
        <f t="shared" si="125"/>
        <v>0</v>
      </c>
      <c r="KXJ249" s="5">
        <f t="shared" si="125"/>
        <v>0</v>
      </c>
      <c r="KXK249" s="5">
        <f t="shared" si="125"/>
        <v>0</v>
      </c>
      <c r="KXL249" s="5">
        <f t="shared" si="125"/>
        <v>0</v>
      </c>
      <c r="KXM249" s="5">
        <f t="shared" si="125"/>
        <v>0</v>
      </c>
      <c r="KXN249" s="5">
        <f t="shared" si="125"/>
        <v>0</v>
      </c>
      <c r="KXO249" s="5">
        <f t="shared" si="125"/>
        <v>0</v>
      </c>
      <c r="KXP249" s="5">
        <f t="shared" si="125"/>
        <v>0</v>
      </c>
      <c r="KXQ249" s="5">
        <f t="shared" si="125"/>
        <v>0</v>
      </c>
      <c r="KXR249" s="5">
        <f t="shared" si="125"/>
        <v>0</v>
      </c>
      <c r="KXS249" s="5">
        <f t="shared" si="125"/>
        <v>0</v>
      </c>
      <c r="KXT249" s="5">
        <f t="shared" si="125"/>
        <v>0</v>
      </c>
      <c r="KXU249" s="5">
        <f t="shared" si="125"/>
        <v>0</v>
      </c>
      <c r="KXV249" s="5">
        <f t="shared" ref="KXV249:LAG249" si="126">SUM(KXV246:KXV246)</f>
        <v>0</v>
      </c>
      <c r="KXW249" s="5">
        <f t="shared" si="126"/>
        <v>0</v>
      </c>
      <c r="KXX249" s="5">
        <f t="shared" si="126"/>
        <v>0</v>
      </c>
      <c r="KXY249" s="5">
        <f t="shared" si="126"/>
        <v>0</v>
      </c>
      <c r="KXZ249" s="5">
        <f t="shared" si="126"/>
        <v>0</v>
      </c>
      <c r="KYA249" s="5">
        <f t="shared" si="126"/>
        <v>0</v>
      </c>
      <c r="KYB249" s="5">
        <f t="shared" si="126"/>
        <v>0</v>
      </c>
      <c r="KYC249" s="5">
        <f t="shared" si="126"/>
        <v>0</v>
      </c>
      <c r="KYD249" s="5">
        <f t="shared" si="126"/>
        <v>0</v>
      </c>
      <c r="KYE249" s="5">
        <f t="shared" si="126"/>
        <v>0</v>
      </c>
      <c r="KYF249" s="5">
        <f t="shared" si="126"/>
        <v>0</v>
      </c>
      <c r="KYG249" s="5">
        <f t="shared" si="126"/>
        <v>0</v>
      </c>
      <c r="KYH249" s="5">
        <f t="shared" si="126"/>
        <v>0</v>
      </c>
      <c r="KYI249" s="5">
        <f t="shared" si="126"/>
        <v>0</v>
      </c>
      <c r="KYJ249" s="5">
        <f t="shared" si="126"/>
        <v>0</v>
      </c>
      <c r="KYK249" s="5">
        <f t="shared" si="126"/>
        <v>0</v>
      </c>
      <c r="KYL249" s="5">
        <f t="shared" si="126"/>
        <v>0</v>
      </c>
      <c r="KYM249" s="5">
        <f t="shared" si="126"/>
        <v>0</v>
      </c>
      <c r="KYN249" s="5">
        <f t="shared" si="126"/>
        <v>0</v>
      </c>
      <c r="KYO249" s="5">
        <f t="shared" si="126"/>
        <v>0</v>
      </c>
      <c r="KYP249" s="5">
        <f t="shared" si="126"/>
        <v>0</v>
      </c>
      <c r="KYQ249" s="5">
        <f t="shared" si="126"/>
        <v>0</v>
      </c>
      <c r="KYR249" s="5">
        <f t="shared" si="126"/>
        <v>0</v>
      </c>
      <c r="KYS249" s="5">
        <f t="shared" si="126"/>
        <v>0</v>
      </c>
      <c r="KYT249" s="5">
        <f t="shared" si="126"/>
        <v>0</v>
      </c>
      <c r="KYU249" s="5">
        <f t="shared" si="126"/>
        <v>0</v>
      </c>
      <c r="KYV249" s="5">
        <f t="shared" si="126"/>
        <v>0</v>
      </c>
      <c r="KYW249" s="5">
        <f t="shared" si="126"/>
        <v>0</v>
      </c>
      <c r="KYX249" s="5">
        <f t="shared" si="126"/>
        <v>0</v>
      </c>
      <c r="KYY249" s="5">
        <f t="shared" si="126"/>
        <v>0</v>
      </c>
      <c r="KYZ249" s="5">
        <f t="shared" si="126"/>
        <v>0</v>
      </c>
      <c r="KZA249" s="5">
        <f t="shared" si="126"/>
        <v>0</v>
      </c>
      <c r="KZB249" s="5">
        <f t="shared" si="126"/>
        <v>0</v>
      </c>
      <c r="KZC249" s="5">
        <f t="shared" si="126"/>
        <v>0</v>
      </c>
      <c r="KZD249" s="5">
        <f t="shared" si="126"/>
        <v>0</v>
      </c>
      <c r="KZE249" s="5">
        <f t="shared" si="126"/>
        <v>0</v>
      </c>
      <c r="KZF249" s="5">
        <f t="shared" si="126"/>
        <v>0</v>
      </c>
      <c r="KZG249" s="5">
        <f t="shared" si="126"/>
        <v>0</v>
      </c>
      <c r="KZH249" s="5">
        <f t="shared" si="126"/>
        <v>0</v>
      </c>
      <c r="KZI249" s="5">
        <f t="shared" si="126"/>
        <v>0</v>
      </c>
      <c r="KZJ249" s="5">
        <f t="shared" si="126"/>
        <v>0</v>
      </c>
      <c r="KZK249" s="5">
        <f t="shared" si="126"/>
        <v>0</v>
      </c>
      <c r="KZL249" s="5">
        <f t="shared" si="126"/>
        <v>0</v>
      </c>
      <c r="KZM249" s="5">
        <f t="shared" si="126"/>
        <v>0</v>
      </c>
      <c r="KZN249" s="5">
        <f t="shared" si="126"/>
        <v>0</v>
      </c>
      <c r="KZO249" s="5">
        <f t="shared" si="126"/>
        <v>0</v>
      </c>
      <c r="KZP249" s="5">
        <f t="shared" si="126"/>
        <v>0</v>
      </c>
      <c r="KZQ249" s="5">
        <f t="shared" si="126"/>
        <v>0</v>
      </c>
      <c r="KZR249" s="5">
        <f t="shared" si="126"/>
        <v>0</v>
      </c>
      <c r="KZS249" s="5">
        <f t="shared" si="126"/>
        <v>0</v>
      </c>
      <c r="KZT249" s="5">
        <f t="shared" si="126"/>
        <v>0</v>
      </c>
      <c r="KZU249" s="5">
        <f t="shared" si="126"/>
        <v>0</v>
      </c>
      <c r="KZV249" s="5">
        <f t="shared" si="126"/>
        <v>0</v>
      </c>
      <c r="KZW249" s="5">
        <f t="shared" si="126"/>
        <v>0</v>
      </c>
      <c r="KZX249" s="5">
        <f t="shared" si="126"/>
        <v>0</v>
      </c>
      <c r="KZY249" s="5">
        <f t="shared" si="126"/>
        <v>0</v>
      </c>
      <c r="KZZ249" s="5">
        <f t="shared" si="126"/>
        <v>0</v>
      </c>
      <c r="LAA249" s="5">
        <f t="shared" si="126"/>
        <v>0</v>
      </c>
      <c r="LAB249" s="5">
        <f t="shared" si="126"/>
        <v>0</v>
      </c>
      <c r="LAC249" s="5">
        <f t="shared" si="126"/>
        <v>0</v>
      </c>
      <c r="LAD249" s="5">
        <f t="shared" si="126"/>
        <v>0</v>
      </c>
      <c r="LAE249" s="5">
        <f t="shared" si="126"/>
        <v>0</v>
      </c>
      <c r="LAF249" s="5">
        <f t="shared" si="126"/>
        <v>0</v>
      </c>
      <c r="LAG249" s="5">
        <f t="shared" si="126"/>
        <v>0</v>
      </c>
      <c r="LAH249" s="5">
        <f t="shared" ref="LAH249:LCS249" si="127">SUM(LAH246:LAH246)</f>
        <v>0</v>
      </c>
      <c r="LAI249" s="5">
        <f t="shared" si="127"/>
        <v>0</v>
      </c>
      <c r="LAJ249" s="5">
        <f t="shared" si="127"/>
        <v>0</v>
      </c>
      <c r="LAK249" s="5">
        <f t="shared" si="127"/>
        <v>0</v>
      </c>
      <c r="LAL249" s="5">
        <f t="shared" si="127"/>
        <v>0</v>
      </c>
      <c r="LAM249" s="5">
        <f t="shared" si="127"/>
        <v>0</v>
      </c>
      <c r="LAN249" s="5">
        <f t="shared" si="127"/>
        <v>0</v>
      </c>
      <c r="LAO249" s="5">
        <f t="shared" si="127"/>
        <v>0</v>
      </c>
      <c r="LAP249" s="5">
        <f t="shared" si="127"/>
        <v>0</v>
      </c>
      <c r="LAQ249" s="5">
        <f t="shared" si="127"/>
        <v>0</v>
      </c>
      <c r="LAR249" s="5">
        <f t="shared" si="127"/>
        <v>0</v>
      </c>
      <c r="LAS249" s="5">
        <f t="shared" si="127"/>
        <v>0</v>
      </c>
      <c r="LAT249" s="5">
        <f t="shared" si="127"/>
        <v>0</v>
      </c>
      <c r="LAU249" s="5">
        <f t="shared" si="127"/>
        <v>0</v>
      </c>
      <c r="LAV249" s="5">
        <f t="shared" si="127"/>
        <v>0</v>
      </c>
      <c r="LAW249" s="5">
        <f t="shared" si="127"/>
        <v>0</v>
      </c>
      <c r="LAX249" s="5">
        <f t="shared" si="127"/>
        <v>0</v>
      </c>
      <c r="LAY249" s="5">
        <f t="shared" si="127"/>
        <v>0</v>
      </c>
      <c r="LAZ249" s="5">
        <f t="shared" si="127"/>
        <v>0</v>
      </c>
      <c r="LBA249" s="5">
        <f t="shared" si="127"/>
        <v>0</v>
      </c>
      <c r="LBB249" s="5">
        <f t="shared" si="127"/>
        <v>0</v>
      </c>
      <c r="LBC249" s="5">
        <f t="shared" si="127"/>
        <v>0</v>
      </c>
      <c r="LBD249" s="5">
        <f t="shared" si="127"/>
        <v>0</v>
      </c>
      <c r="LBE249" s="5">
        <f t="shared" si="127"/>
        <v>0</v>
      </c>
      <c r="LBF249" s="5">
        <f t="shared" si="127"/>
        <v>0</v>
      </c>
      <c r="LBG249" s="5">
        <f t="shared" si="127"/>
        <v>0</v>
      </c>
      <c r="LBH249" s="5">
        <f t="shared" si="127"/>
        <v>0</v>
      </c>
      <c r="LBI249" s="5">
        <f t="shared" si="127"/>
        <v>0</v>
      </c>
      <c r="LBJ249" s="5">
        <f t="shared" si="127"/>
        <v>0</v>
      </c>
      <c r="LBK249" s="5">
        <f t="shared" si="127"/>
        <v>0</v>
      </c>
      <c r="LBL249" s="5">
        <f t="shared" si="127"/>
        <v>0</v>
      </c>
      <c r="LBM249" s="5">
        <f t="shared" si="127"/>
        <v>0</v>
      </c>
      <c r="LBN249" s="5">
        <f t="shared" si="127"/>
        <v>0</v>
      </c>
      <c r="LBO249" s="5">
        <f t="shared" si="127"/>
        <v>0</v>
      </c>
      <c r="LBP249" s="5">
        <f t="shared" si="127"/>
        <v>0</v>
      </c>
      <c r="LBQ249" s="5">
        <f t="shared" si="127"/>
        <v>0</v>
      </c>
      <c r="LBR249" s="5">
        <f t="shared" si="127"/>
        <v>0</v>
      </c>
      <c r="LBS249" s="5">
        <f t="shared" si="127"/>
        <v>0</v>
      </c>
      <c r="LBT249" s="5">
        <f t="shared" si="127"/>
        <v>0</v>
      </c>
      <c r="LBU249" s="5">
        <f t="shared" si="127"/>
        <v>0</v>
      </c>
      <c r="LBV249" s="5">
        <f t="shared" si="127"/>
        <v>0</v>
      </c>
      <c r="LBW249" s="5">
        <f t="shared" si="127"/>
        <v>0</v>
      </c>
      <c r="LBX249" s="5">
        <f t="shared" si="127"/>
        <v>0</v>
      </c>
      <c r="LBY249" s="5">
        <f t="shared" si="127"/>
        <v>0</v>
      </c>
      <c r="LBZ249" s="5">
        <f t="shared" si="127"/>
        <v>0</v>
      </c>
      <c r="LCA249" s="5">
        <f t="shared" si="127"/>
        <v>0</v>
      </c>
      <c r="LCB249" s="5">
        <f t="shared" si="127"/>
        <v>0</v>
      </c>
      <c r="LCC249" s="5">
        <f t="shared" si="127"/>
        <v>0</v>
      </c>
      <c r="LCD249" s="5">
        <f t="shared" si="127"/>
        <v>0</v>
      </c>
      <c r="LCE249" s="5">
        <f t="shared" si="127"/>
        <v>0</v>
      </c>
      <c r="LCF249" s="5">
        <f t="shared" si="127"/>
        <v>0</v>
      </c>
      <c r="LCG249" s="5">
        <f t="shared" si="127"/>
        <v>0</v>
      </c>
      <c r="LCH249" s="5">
        <f t="shared" si="127"/>
        <v>0</v>
      </c>
      <c r="LCI249" s="5">
        <f t="shared" si="127"/>
        <v>0</v>
      </c>
      <c r="LCJ249" s="5">
        <f t="shared" si="127"/>
        <v>0</v>
      </c>
      <c r="LCK249" s="5">
        <f t="shared" si="127"/>
        <v>0</v>
      </c>
      <c r="LCL249" s="5">
        <f t="shared" si="127"/>
        <v>0</v>
      </c>
      <c r="LCM249" s="5">
        <f t="shared" si="127"/>
        <v>0</v>
      </c>
      <c r="LCN249" s="5">
        <f t="shared" si="127"/>
        <v>0</v>
      </c>
      <c r="LCO249" s="5">
        <f t="shared" si="127"/>
        <v>0</v>
      </c>
      <c r="LCP249" s="5">
        <f t="shared" si="127"/>
        <v>0</v>
      </c>
      <c r="LCQ249" s="5">
        <f t="shared" si="127"/>
        <v>0</v>
      </c>
      <c r="LCR249" s="5">
        <f t="shared" si="127"/>
        <v>0</v>
      </c>
      <c r="LCS249" s="5">
        <f t="shared" si="127"/>
        <v>0</v>
      </c>
      <c r="LCT249" s="5">
        <f t="shared" ref="LCT249:LFE249" si="128">SUM(LCT246:LCT246)</f>
        <v>0</v>
      </c>
      <c r="LCU249" s="5">
        <f t="shared" si="128"/>
        <v>0</v>
      </c>
      <c r="LCV249" s="5">
        <f t="shared" si="128"/>
        <v>0</v>
      </c>
      <c r="LCW249" s="5">
        <f t="shared" si="128"/>
        <v>0</v>
      </c>
      <c r="LCX249" s="5">
        <f t="shared" si="128"/>
        <v>0</v>
      </c>
      <c r="LCY249" s="5">
        <f t="shared" si="128"/>
        <v>0</v>
      </c>
      <c r="LCZ249" s="5">
        <f t="shared" si="128"/>
        <v>0</v>
      </c>
      <c r="LDA249" s="5">
        <f t="shared" si="128"/>
        <v>0</v>
      </c>
      <c r="LDB249" s="5">
        <f t="shared" si="128"/>
        <v>0</v>
      </c>
      <c r="LDC249" s="5">
        <f t="shared" si="128"/>
        <v>0</v>
      </c>
      <c r="LDD249" s="5">
        <f t="shared" si="128"/>
        <v>0</v>
      </c>
      <c r="LDE249" s="5">
        <f t="shared" si="128"/>
        <v>0</v>
      </c>
      <c r="LDF249" s="5">
        <f t="shared" si="128"/>
        <v>0</v>
      </c>
      <c r="LDG249" s="5">
        <f t="shared" si="128"/>
        <v>0</v>
      </c>
      <c r="LDH249" s="5">
        <f t="shared" si="128"/>
        <v>0</v>
      </c>
      <c r="LDI249" s="5">
        <f t="shared" si="128"/>
        <v>0</v>
      </c>
      <c r="LDJ249" s="5">
        <f t="shared" si="128"/>
        <v>0</v>
      </c>
      <c r="LDK249" s="5">
        <f t="shared" si="128"/>
        <v>0</v>
      </c>
      <c r="LDL249" s="5">
        <f t="shared" si="128"/>
        <v>0</v>
      </c>
      <c r="LDM249" s="5">
        <f t="shared" si="128"/>
        <v>0</v>
      </c>
      <c r="LDN249" s="5">
        <f t="shared" si="128"/>
        <v>0</v>
      </c>
      <c r="LDO249" s="5">
        <f t="shared" si="128"/>
        <v>0</v>
      </c>
      <c r="LDP249" s="5">
        <f t="shared" si="128"/>
        <v>0</v>
      </c>
      <c r="LDQ249" s="5">
        <f t="shared" si="128"/>
        <v>0</v>
      </c>
      <c r="LDR249" s="5">
        <f t="shared" si="128"/>
        <v>0</v>
      </c>
      <c r="LDS249" s="5">
        <f t="shared" si="128"/>
        <v>0</v>
      </c>
      <c r="LDT249" s="5">
        <f t="shared" si="128"/>
        <v>0</v>
      </c>
      <c r="LDU249" s="5">
        <f t="shared" si="128"/>
        <v>0</v>
      </c>
      <c r="LDV249" s="5">
        <f t="shared" si="128"/>
        <v>0</v>
      </c>
      <c r="LDW249" s="5">
        <f t="shared" si="128"/>
        <v>0</v>
      </c>
      <c r="LDX249" s="5">
        <f t="shared" si="128"/>
        <v>0</v>
      </c>
      <c r="LDY249" s="5">
        <f t="shared" si="128"/>
        <v>0</v>
      </c>
      <c r="LDZ249" s="5">
        <f t="shared" si="128"/>
        <v>0</v>
      </c>
      <c r="LEA249" s="5">
        <f t="shared" si="128"/>
        <v>0</v>
      </c>
      <c r="LEB249" s="5">
        <f t="shared" si="128"/>
        <v>0</v>
      </c>
      <c r="LEC249" s="5">
        <f t="shared" si="128"/>
        <v>0</v>
      </c>
      <c r="LED249" s="5">
        <f t="shared" si="128"/>
        <v>0</v>
      </c>
      <c r="LEE249" s="5">
        <f t="shared" si="128"/>
        <v>0</v>
      </c>
      <c r="LEF249" s="5">
        <f t="shared" si="128"/>
        <v>0</v>
      </c>
      <c r="LEG249" s="5">
        <f t="shared" si="128"/>
        <v>0</v>
      </c>
      <c r="LEH249" s="5">
        <f t="shared" si="128"/>
        <v>0</v>
      </c>
      <c r="LEI249" s="5">
        <f t="shared" si="128"/>
        <v>0</v>
      </c>
      <c r="LEJ249" s="5">
        <f t="shared" si="128"/>
        <v>0</v>
      </c>
      <c r="LEK249" s="5">
        <f t="shared" si="128"/>
        <v>0</v>
      </c>
      <c r="LEL249" s="5">
        <f t="shared" si="128"/>
        <v>0</v>
      </c>
      <c r="LEM249" s="5">
        <f t="shared" si="128"/>
        <v>0</v>
      </c>
      <c r="LEN249" s="5">
        <f t="shared" si="128"/>
        <v>0</v>
      </c>
      <c r="LEO249" s="5">
        <f t="shared" si="128"/>
        <v>0</v>
      </c>
      <c r="LEP249" s="5">
        <f t="shared" si="128"/>
        <v>0</v>
      </c>
      <c r="LEQ249" s="5">
        <f t="shared" si="128"/>
        <v>0</v>
      </c>
      <c r="LER249" s="5">
        <f t="shared" si="128"/>
        <v>0</v>
      </c>
      <c r="LES249" s="5">
        <f t="shared" si="128"/>
        <v>0</v>
      </c>
      <c r="LET249" s="5">
        <f t="shared" si="128"/>
        <v>0</v>
      </c>
      <c r="LEU249" s="5">
        <f t="shared" si="128"/>
        <v>0</v>
      </c>
      <c r="LEV249" s="5">
        <f t="shared" si="128"/>
        <v>0</v>
      </c>
      <c r="LEW249" s="5">
        <f t="shared" si="128"/>
        <v>0</v>
      </c>
      <c r="LEX249" s="5">
        <f t="shared" si="128"/>
        <v>0</v>
      </c>
      <c r="LEY249" s="5">
        <f t="shared" si="128"/>
        <v>0</v>
      </c>
      <c r="LEZ249" s="5">
        <f t="shared" si="128"/>
        <v>0</v>
      </c>
      <c r="LFA249" s="5">
        <f t="shared" si="128"/>
        <v>0</v>
      </c>
      <c r="LFB249" s="5">
        <f t="shared" si="128"/>
        <v>0</v>
      </c>
      <c r="LFC249" s="5">
        <f t="shared" si="128"/>
        <v>0</v>
      </c>
      <c r="LFD249" s="5">
        <f t="shared" si="128"/>
        <v>0</v>
      </c>
      <c r="LFE249" s="5">
        <f t="shared" si="128"/>
        <v>0</v>
      </c>
      <c r="LFF249" s="5">
        <f t="shared" ref="LFF249:LHQ249" si="129">SUM(LFF246:LFF246)</f>
        <v>0</v>
      </c>
      <c r="LFG249" s="5">
        <f t="shared" si="129"/>
        <v>0</v>
      </c>
      <c r="LFH249" s="5">
        <f t="shared" si="129"/>
        <v>0</v>
      </c>
      <c r="LFI249" s="5">
        <f t="shared" si="129"/>
        <v>0</v>
      </c>
      <c r="LFJ249" s="5">
        <f t="shared" si="129"/>
        <v>0</v>
      </c>
      <c r="LFK249" s="5">
        <f t="shared" si="129"/>
        <v>0</v>
      </c>
      <c r="LFL249" s="5">
        <f t="shared" si="129"/>
        <v>0</v>
      </c>
      <c r="LFM249" s="5">
        <f t="shared" si="129"/>
        <v>0</v>
      </c>
      <c r="LFN249" s="5">
        <f t="shared" si="129"/>
        <v>0</v>
      </c>
      <c r="LFO249" s="5">
        <f t="shared" si="129"/>
        <v>0</v>
      </c>
      <c r="LFP249" s="5">
        <f t="shared" si="129"/>
        <v>0</v>
      </c>
      <c r="LFQ249" s="5">
        <f t="shared" si="129"/>
        <v>0</v>
      </c>
      <c r="LFR249" s="5">
        <f t="shared" si="129"/>
        <v>0</v>
      </c>
      <c r="LFS249" s="5">
        <f t="shared" si="129"/>
        <v>0</v>
      </c>
      <c r="LFT249" s="5">
        <f t="shared" si="129"/>
        <v>0</v>
      </c>
      <c r="LFU249" s="5">
        <f t="shared" si="129"/>
        <v>0</v>
      </c>
      <c r="LFV249" s="5">
        <f t="shared" si="129"/>
        <v>0</v>
      </c>
      <c r="LFW249" s="5">
        <f t="shared" si="129"/>
        <v>0</v>
      </c>
      <c r="LFX249" s="5">
        <f t="shared" si="129"/>
        <v>0</v>
      </c>
      <c r="LFY249" s="5">
        <f t="shared" si="129"/>
        <v>0</v>
      </c>
      <c r="LFZ249" s="5">
        <f t="shared" si="129"/>
        <v>0</v>
      </c>
      <c r="LGA249" s="5">
        <f t="shared" si="129"/>
        <v>0</v>
      </c>
      <c r="LGB249" s="5">
        <f t="shared" si="129"/>
        <v>0</v>
      </c>
      <c r="LGC249" s="5">
        <f t="shared" si="129"/>
        <v>0</v>
      </c>
      <c r="LGD249" s="5">
        <f t="shared" si="129"/>
        <v>0</v>
      </c>
      <c r="LGE249" s="5">
        <f t="shared" si="129"/>
        <v>0</v>
      </c>
      <c r="LGF249" s="5">
        <f t="shared" si="129"/>
        <v>0</v>
      </c>
      <c r="LGG249" s="5">
        <f t="shared" si="129"/>
        <v>0</v>
      </c>
      <c r="LGH249" s="5">
        <f t="shared" si="129"/>
        <v>0</v>
      </c>
      <c r="LGI249" s="5">
        <f t="shared" si="129"/>
        <v>0</v>
      </c>
      <c r="LGJ249" s="5">
        <f t="shared" si="129"/>
        <v>0</v>
      </c>
      <c r="LGK249" s="5">
        <f t="shared" si="129"/>
        <v>0</v>
      </c>
      <c r="LGL249" s="5">
        <f t="shared" si="129"/>
        <v>0</v>
      </c>
      <c r="LGM249" s="5">
        <f t="shared" si="129"/>
        <v>0</v>
      </c>
      <c r="LGN249" s="5">
        <f t="shared" si="129"/>
        <v>0</v>
      </c>
      <c r="LGO249" s="5">
        <f t="shared" si="129"/>
        <v>0</v>
      </c>
      <c r="LGP249" s="5">
        <f t="shared" si="129"/>
        <v>0</v>
      </c>
      <c r="LGQ249" s="5">
        <f t="shared" si="129"/>
        <v>0</v>
      </c>
      <c r="LGR249" s="5">
        <f t="shared" si="129"/>
        <v>0</v>
      </c>
      <c r="LGS249" s="5">
        <f t="shared" si="129"/>
        <v>0</v>
      </c>
      <c r="LGT249" s="5">
        <f t="shared" si="129"/>
        <v>0</v>
      </c>
      <c r="LGU249" s="5">
        <f t="shared" si="129"/>
        <v>0</v>
      </c>
      <c r="LGV249" s="5">
        <f t="shared" si="129"/>
        <v>0</v>
      </c>
      <c r="LGW249" s="5">
        <f t="shared" si="129"/>
        <v>0</v>
      </c>
      <c r="LGX249" s="5">
        <f t="shared" si="129"/>
        <v>0</v>
      </c>
      <c r="LGY249" s="5">
        <f t="shared" si="129"/>
        <v>0</v>
      </c>
      <c r="LGZ249" s="5">
        <f t="shared" si="129"/>
        <v>0</v>
      </c>
      <c r="LHA249" s="5">
        <f t="shared" si="129"/>
        <v>0</v>
      </c>
      <c r="LHB249" s="5">
        <f t="shared" si="129"/>
        <v>0</v>
      </c>
      <c r="LHC249" s="5">
        <f t="shared" si="129"/>
        <v>0</v>
      </c>
      <c r="LHD249" s="5">
        <f t="shared" si="129"/>
        <v>0</v>
      </c>
      <c r="LHE249" s="5">
        <f t="shared" si="129"/>
        <v>0</v>
      </c>
      <c r="LHF249" s="5">
        <f t="shared" si="129"/>
        <v>0</v>
      </c>
      <c r="LHG249" s="5">
        <f t="shared" si="129"/>
        <v>0</v>
      </c>
      <c r="LHH249" s="5">
        <f t="shared" si="129"/>
        <v>0</v>
      </c>
      <c r="LHI249" s="5">
        <f t="shared" si="129"/>
        <v>0</v>
      </c>
      <c r="LHJ249" s="5">
        <f t="shared" si="129"/>
        <v>0</v>
      </c>
      <c r="LHK249" s="5">
        <f t="shared" si="129"/>
        <v>0</v>
      </c>
      <c r="LHL249" s="5">
        <f t="shared" si="129"/>
        <v>0</v>
      </c>
      <c r="LHM249" s="5">
        <f t="shared" si="129"/>
        <v>0</v>
      </c>
      <c r="LHN249" s="5">
        <f t="shared" si="129"/>
        <v>0</v>
      </c>
      <c r="LHO249" s="5">
        <f t="shared" si="129"/>
        <v>0</v>
      </c>
      <c r="LHP249" s="5">
        <f t="shared" si="129"/>
        <v>0</v>
      </c>
      <c r="LHQ249" s="5">
        <f t="shared" si="129"/>
        <v>0</v>
      </c>
      <c r="LHR249" s="5">
        <f t="shared" ref="LHR249:LKC249" si="130">SUM(LHR246:LHR246)</f>
        <v>0</v>
      </c>
      <c r="LHS249" s="5">
        <f t="shared" si="130"/>
        <v>0</v>
      </c>
      <c r="LHT249" s="5">
        <f t="shared" si="130"/>
        <v>0</v>
      </c>
      <c r="LHU249" s="5">
        <f t="shared" si="130"/>
        <v>0</v>
      </c>
      <c r="LHV249" s="5">
        <f t="shared" si="130"/>
        <v>0</v>
      </c>
      <c r="LHW249" s="5">
        <f t="shared" si="130"/>
        <v>0</v>
      </c>
      <c r="LHX249" s="5">
        <f t="shared" si="130"/>
        <v>0</v>
      </c>
      <c r="LHY249" s="5">
        <f t="shared" si="130"/>
        <v>0</v>
      </c>
      <c r="LHZ249" s="5">
        <f t="shared" si="130"/>
        <v>0</v>
      </c>
      <c r="LIA249" s="5">
        <f t="shared" si="130"/>
        <v>0</v>
      </c>
      <c r="LIB249" s="5">
        <f t="shared" si="130"/>
        <v>0</v>
      </c>
      <c r="LIC249" s="5">
        <f t="shared" si="130"/>
        <v>0</v>
      </c>
      <c r="LID249" s="5">
        <f t="shared" si="130"/>
        <v>0</v>
      </c>
      <c r="LIE249" s="5">
        <f t="shared" si="130"/>
        <v>0</v>
      </c>
      <c r="LIF249" s="5">
        <f t="shared" si="130"/>
        <v>0</v>
      </c>
      <c r="LIG249" s="5">
        <f t="shared" si="130"/>
        <v>0</v>
      </c>
      <c r="LIH249" s="5">
        <f t="shared" si="130"/>
        <v>0</v>
      </c>
      <c r="LII249" s="5">
        <f t="shared" si="130"/>
        <v>0</v>
      </c>
      <c r="LIJ249" s="5">
        <f t="shared" si="130"/>
        <v>0</v>
      </c>
      <c r="LIK249" s="5">
        <f t="shared" si="130"/>
        <v>0</v>
      </c>
      <c r="LIL249" s="5">
        <f t="shared" si="130"/>
        <v>0</v>
      </c>
      <c r="LIM249" s="5">
        <f t="shared" si="130"/>
        <v>0</v>
      </c>
      <c r="LIN249" s="5">
        <f t="shared" si="130"/>
        <v>0</v>
      </c>
      <c r="LIO249" s="5">
        <f t="shared" si="130"/>
        <v>0</v>
      </c>
      <c r="LIP249" s="5">
        <f t="shared" si="130"/>
        <v>0</v>
      </c>
      <c r="LIQ249" s="5">
        <f t="shared" si="130"/>
        <v>0</v>
      </c>
      <c r="LIR249" s="5">
        <f t="shared" si="130"/>
        <v>0</v>
      </c>
      <c r="LIS249" s="5">
        <f t="shared" si="130"/>
        <v>0</v>
      </c>
      <c r="LIT249" s="5">
        <f t="shared" si="130"/>
        <v>0</v>
      </c>
      <c r="LIU249" s="5">
        <f t="shared" si="130"/>
        <v>0</v>
      </c>
      <c r="LIV249" s="5">
        <f t="shared" si="130"/>
        <v>0</v>
      </c>
      <c r="LIW249" s="5">
        <f t="shared" si="130"/>
        <v>0</v>
      </c>
      <c r="LIX249" s="5">
        <f t="shared" si="130"/>
        <v>0</v>
      </c>
      <c r="LIY249" s="5">
        <f t="shared" si="130"/>
        <v>0</v>
      </c>
      <c r="LIZ249" s="5">
        <f t="shared" si="130"/>
        <v>0</v>
      </c>
      <c r="LJA249" s="5">
        <f t="shared" si="130"/>
        <v>0</v>
      </c>
      <c r="LJB249" s="5">
        <f t="shared" si="130"/>
        <v>0</v>
      </c>
      <c r="LJC249" s="5">
        <f t="shared" si="130"/>
        <v>0</v>
      </c>
      <c r="LJD249" s="5">
        <f t="shared" si="130"/>
        <v>0</v>
      </c>
      <c r="LJE249" s="5">
        <f t="shared" si="130"/>
        <v>0</v>
      </c>
      <c r="LJF249" s="5">
        <f t="shared" si="130"/>
        <v>0</v>
      </c>
      <c r="LJG249" s="5">
        <f t="shared" si="130"/>
        <v>0</v>
      </c>
      <c r="LJH249" s="5">
        <f t="shared" si="130"/>
        <v>0</v>
      </c>
      <c r="LJI249" s="5">
        <f t="shared" si="130"/>
        <v>0</v>
      </c>
      <c r="LJJ249" s="5">
        <f t="shared" si="130"/>
        <v>0</v>
      </c>
      <c r="LJK249" s="5">
        <f t="shared" si="130"/>
        <v>0</v>
      </c>
      <c r="LJL249" s="5">
        <f t="shared" si="130"/>
        <v>0</v>
      </c>
      <c r="LJM249" s="5">
        <f t="shared" si="130"/>
        <v>0</v>
      </c>
      <c r="LJN249" s="5">
        <f t="shared" si="130"/>
        <v>0</v>
      </c>
      <c r="LJO249" s="5">
        <f t="shared" si="130"/>
        <v>0</v>
      </c>
      <c r="LJP249" s="5">
        <f t="shared" si="130"/>
        <v>0</v>
      </c>
      <c r="LJQ249" s="5">
        <f t="shared" si="130"/>
        <v>0</v>
      </c>
      <c r="LJR249" s="5">
        <f t="shared" si="130"/>
        <v>0</v>
      </c>
      <c r="LJS249" s="5">
        <f t="shared" si="130"/>
        <v>0</v>
      </c>
      <c r="LJT249" s="5">
        <f t="shared" si="130"/>
        <v>0</v>
      </c>
      <c r="LJU249" s="5">
        <f t="shared" si="130"/>
        <v>0</v>
      </c>
      <c r="LJV249" s="5">
        <f t="shared" si="130"/>
        <v>0</v>
      </c>
      <c r="LJW249" s="5">
        <f t="shared" si="130"/>
        <v>0</v>
      </c>
      <c r="LJX249" s="5">
        <f t="shared" si="130"/>
        <v>0</v>
      </c>
      <c r="LJY249" s="5">
        <f t="shared" si="130"/>
        <v>0</v>
      </c>
      <c r="LJZ249" s="5">
        <f t="shared" si="130"/>
        <v>0</v>
      </c>
      <c r="LKA249" s="5">
        <f t="shared" si="130"/>
        <v>0</v>
      </c>
      <c r="LKB249" s="5">
        <f t="shared" si="130"/>
        <v>0</v>
      </c>
      <c r="LKC249" s="5">
        <f t="shared" si="130"/>
        <v>0</v>
      </c>
      <c r="LKD249" s="5">
        <f t="shared" ref="LKD249:LMO249" si="131">SUM(LKD246:LKD246)</f>
        <v>0</v>
      </c>
      <c r="LKE249" s="5">
        <f t="shared" si="131"/>
        <v>0</v>
      </c>
      <c r="LKF249" s="5">
        <f t="shared" si="131"/>
        <v>0</v>
      </c>
      <c r="LKG249" s="5">
        <f t="shared" si="131"/>
        <v>0</v>
      </c>
      <c r="LKH249" s="5">
        <f t="shared" si="131"/>
        <v>0</v>
      </c>
      <c r="LKI249" s="5">
        <f t="shared" si="131"/>
        <v>0</v>
      </c>
      <c r="LKJ249" s="5">
        <f t="shared" si="131"/>
        <v>0</v>
      </c>
      <c r="LKK249" s="5">
        <f t="shared" si="131"/>
        <v>0</v>
      </c>
      <c r="LKL249" s="5">
        <f t="shared" si="131"/>
        <v>0</v>
      </c>
      <c r="LKM249" s="5">
        <f t="shared" si="131"/>
        <v>0</v>
      </c>
      <c r="LKN249" s="5">
        <f t="shared" si="131"/>
        <v>0</v>
      </c>
      <c r="LKO249" s="5">
        <f t="shared" si="131"/>
        <v>0</v>
      </c>
      <c r="LKP249" s="5">
        <f t="shared" si="131"/>
        <v>0</v>
      </c>
      <c r="LKQ249" s="5">
        <f t="shared" si="131"/>
        <v>0</v>
      </c>
      <c r="LKR249" s="5">
        <f t="shared" si="131"/>
        <v>0</v>
      </c>
      <c r="LKS249" s="5">
        <f t="shared" si="131"/>
        <v>0</v>
      </c>
      <c r="LKT249" s="5">
        <f t="shared" si="131"/>
        <v>0</v>
      </c>
      <c r="LKU249" s="5">
        <f t="shared" si="131"/>
        <v>0</v>
      </c>
      <c r="LKV249" s="5">
        <f t="shared" si="131"/>
        <v>0</v>
      </c>
      <c r="LKW249" s="5">
        <f t="shared" si="131"/>
        <v>0</v>
      </c>
      <c r="LKX249" s="5">
        <f t="shared" si="131"/>
        <v>0</v>
      </c>
      <c r="LKY249" s="5">
        <f t="shared" si="131"/>
        <v>0</v>
      </c>
      <c r="LKZ249" s="5">
        <f t="shared" si="131"/>
        <v>0</v>
      </c>
      <c r="LLA249" s="5">
        <f t="shared" si="131"/>
        <v>0</v>
      </c>
      <c r="LLB249" s="5">
        <f t="shared" si="131"/>
        <v>0</v>
      </c>
      <c r="LLC249" s="5">
        <f t="shared" si="131"/>
        <v>0</v>
      </c>
      <c r="LLD249" s="5">
        <f t="shared" si="131"/>
        <v>0</v>
      </c>
      <c r="LLE249" s="5">
        <f t="shared" si="131"/>
        <v>0</v>
      </c>
      <c r="LLF249" s="5">
        <f t="shared" si="131"/>
        <v>0</v>
      </c>
      <c r="LLG249" s="5">
        <f t="shared" si="131"/>
        <v>0</v>
      </c>
      <c r="LLH249" s="5">
        <f t="shared" si="131"/>
        <v>0</v>
      </c>
      <c r="LLI249" s="5">
        <f t="shared" si="131"/>
        <v>0</v>
      </c>
      <c r="LLJ249" s="5">
        <f t="shared" si="131"/>
        <v>0</v>
      </c>
      <c r="LLK249" s="5">
        <f t="shared" si="131"/>
        <v>0</v>
      </c>
      <c r="LLL249" s="5">
        <f t="shared" si="131"/>
        <v>0</v>
      </c>
      <c r="LLM249" s="5">
        <f t="shared" si="131"/>
        <v>0</v>
      </c>
      <c r="LLN249" s="5">
        <f t="shared" si="131"/>
        <v>0</v>
      </c>
      <c r="LLO249" s="5">
        <f t="shared" si="131"/>
        <v>0</v>
      </c>
      <c r="LLP249" s="5">
        <f t="shared" si="131"/>
        <v>0</v>
      </c>
      <c r="LLQ249" s="5">
        <f t="shared" si="131"/>
        <v>0</v>
      </c>
      <c r="LLR249" s="5">
        <f t="shared" si="131"/>
        <v>0</v>
      </c>
      <c r="LLS249" s="5">
        <f t="shared" si="131"/>
        <v>0</v>
      </c>
      <c r="LLT249" s="5">
        <f t="shared" si="131"/>
        <v>0</v>
      </c>
      <c r="LLU249" s="5">
        <f t="shared" si="131"/>
        <v>0</v>
      </c>
      <c r="LLV249" s="5">
        <f t="shared" si="131"/>
        <v>0</v>
      </c>
      <c r="LLW249" s="5">
        <f t="shared" si="131"/>
        <v>0</v>
      </c>
      <c r="LLX249" s="5">
        <f t="shared" si="131"/>
        <v>0</v>
      </c>
      <c r="LLY249" s="5">
        <f t="shared" si="131"/>
        <v>0</v>
      </c>
      <c r="LLZ249" s="5">
        <f t="shared" si="131"/>
        <v>0</v>
      </c>
      <c r="LMA249" s="5">
        <f t="shared" si="131"/>
        <v>0</v>
      </c>
      <c r="LMB249" s="5">
        <f t="shared" si="131"/>
        <v>0</v>
      </c>
      <c r="LMC249" s="5">
        <f t="shared" si="131"/>
        <v>0</v>
      </c>
      <c r="LMD249" s="5">
        <f t="shared" si="131"/>
        <v>0</v>
      </c>
      <c r="LME249" s="5">
        <f t="shared" si="131"/>
        <v>0</v>
      </c>
      <c r="LMF249" s="5">
        <f t="shared" si="131"/>
        <v>0</v>
      </c>
      <c r="LMG249" s="5">
        <f t="shared" si="131"/>
        <v>0</v>
      </c>
      <c r="LMH249" s="5">
        <f t="shared" si="131"/>
        <v>0</v>
      </c>
      <c r="LMI249" s="5">
        <f t="shared" si="131"/>
        <v>0</v>
      </c>
      <c r="LMJ249" s="5">
        <f t="shared" si="131"/>
        <v>0</v>
      </c>
      <c r="LMK249" s="5">
        <f t="shared" si="131"/>
        <v>0</v>
      </c>
      <c r="LML249" s="5">
        <f t="shared" si="131"/>
        <v>0</v>
      </c>
      <c r="LMM249" s="5">
        <f t="shared" si="131"/>
        <v>0</v>
      </c>
      <c r="LMN249" s="5">
        <f t="shared" si="131"/>
        <v>0</v>
      </c>
      <c r="LMO249" s="5">
        <f t="shared" si="131"/>
        <v>0</v>
      </c>
      <c r="LMP249" s="5">
        <f t="shared" ref="LMP249:LPA249" si="132">SUM(LMP246:LMP246)</f>
        <v>0</v>
      </c>
      <c r="LMQ249" s="5">
        <f t="shared" si="132"/>
        <v>0</v>
      </c>
      <c r="LMR249" s="5">
        <f t="shared" si="132"/>
        <v>0</v>
      </c>
      <c r="LMS249" s="5">
        <f t="shared" si="132"/>
        <v>0</v>
      </c>
      <c r="LMT249" s="5">
        <f t="shared" si="132"/>
        <v>0</v>
      </c>
      <c r="LMU249" s="5">
        <f t="shared" si="132"/>
        <v>0</v>
      </c>
      <c r="LMV249" s="5">
        <f t="shared" si="132"/>
        <v>0</v>
      </c>
      <c r="LMW249" s="5">
        <f t="shared" si="132"/>
        <v>0</v>
      </c>
      <c r="LMX249" s="5">
        <f t="shared" si="132"/>
        <v>0</v>
      </c>
      <c r="LMY249" s="5">
        <f t="shared" si="132"/>
        <v>0</v>
      </c>
      <c r="LMZ249" s="5">
        <f t="shared" si="132"/>
        <v>0</v>
      </c>
      <c r="LNA249" s="5">
        <f t="shared" si="132"/>
        <v>0</v>
      </c>
      <c r="LNB249" s="5">
        <f t="shared" si="132"/>
        <v>0</v>
      </c>
      <c r="LNC249" s="5">
        <f t="shared" si="132"/>
        <v>0</v>
      </c>
      <c r="LND249" s="5">
        <f t="shared" si="132"/>
        <v>0</v>
      </c>
      <c r="LNE249" s="5">
        <f t="shared" si="132"/>
        <v>0</v>
      </c>
      <c r="LNF249" s="5">
        <f t="shared" si="132"/>
        <v>0</v>
      </c>
      <c r="LNG249" s="5">
        <f t="shared" si="132"/>
        <v>0</v>
      </c>
      <c r="LNH249" s="5">
        <f t="shared" si="132"/>
        <v>0</v>
      </c>
      <c r="LNI249" s="5">
        <f t="shared" si="132"/>
        <v>0</v>
      </c>
      <c r="LNJ249" s="5">
        <f t="shared" si="132"/>
        <v>0</v>
      </c>
      <c r="LNK249" s="5">
        <f t="shared" si="132"/>
        <v>0</v>
      </c>
      <c r="LNL249" s="5">
        <f t="shared" si="132"/>
        <v>0</v>
      </c>
      <c r="LNM249" s="5">
        <f t="shared" si="132"/>
        <v>0</v>
      </c>
      <c r="LNN249" s="5">
        <f t="shared" si="132"/>
        <v>0</v>
      </c>
      <c r="LNO249" s="5">
        <f t="shared" si="132"/>
        <v>0</v>
      </c>
      <c r="LNP249" s="5">
        <f t="shared" si="132"/>
        <v>0</v>
      </c>
      <c r="LNQ249" s="5">
        <f t="shared" si="132"/>
        <v>0</v>
      </c>
      <c r="LNR249" s="5">
        <f t="shared" si="132"/>
        <v>0</v>
      </c>
      <c r="LNS249" s="5">
        <f t="shared" si="132"/>
        <v>0</v>
      </c>
      <c r="LNT249" s="5">
        <f t="shared" si="132"/>
        <v>0</v>
      </c>
      <c r="LNU249" s="5">
        <f t="shared" si="132"/>
        <v>0</v>
      </c>
      <c r="LNV249" s="5">
        <f t="shared" si="132"/>
        <v>0</v>
      </c>
      <c r="LNW249" s="5">
        <f t="shared" si="132"/>
        <v>0</v>
      </c>
      <c r="LNX249" s="5">
        <f t="shared" si="132"/>
        <v>0</v>
      </c>
      <c r="LNY249" s="5">
        <f t="shared" si="132"/>
        <v>0</v>
      </c>
      <c r="LNZ249" s="5">
        <f t="shared" si="132"/>
        <v>0</v>
      </c>
      <c r="LOA249" s="5">
        <f t="shared" si="132"/>
        <v>0</v>
      </c>
      <c r="LOB249" s="5">
        <f t="shared" si="132"/>
        <v>0</v>
      </c>
      <c r="LOC249" s="5">
        <f t="shared" si="132"/>
        <v>0</v>
      </c>
      <c r="LOD249" s="5">
        <f t="shared" si="132"/>
        <v>0</v>
      </c>
      <c r="LOE249" s="5">
        <f t="shared" si="132"/>
        <v>0</v>
      </c>
      <c r="LOF249" s="5">
        <f t="shared" si="132"/>
        <v>0</v>
      </c>
      <c r="LOG249" s="5">
        <f t="shared" si="132"/>
        <v>0</v>
      </c>
      <c r="LOH249" s="5">
        <f t="shared" si="132"/>
        <v>0</v>
      </c>
      <c r="LOI249" s="5">
        <f t="shared" si="132"/>
        <v>0</v>
      </c>
      <c r="LOJ249" s="5">
        <f t="shared" si="132"/>
        <v>0</v>
      </c>
      <c r="LOK249" s="5">
        <f t="shared" si="132"/>
        <v>0</v>
      </c>
      <c r="LOL249" s="5">
        <f t="shared" si="132"/>
        <v>0</v>
      </c>
      <c r="LOM249" s="5">
        <f t="shared" si="132"/>
        <v>0</v>
      </c>
      <c r="LON249" s="5">
        <f t="shared" si="132"/>
        <v>0</v>
      </c>
      <c r="LOO249" s="5">
        <f t="shared" si="132"/>
        <v>0</v>
      </c>
      <c r="LOP249" s="5">
        <f t="shared" si="132"/>
        <v>0</v>
      </c>
      <c r="LOQ249" s="5">
        <f t="shared" si="132"/>
        <v>0</v>
      </c>
      <c r="LOR249" s="5">
        <f t="shared" si="132"/>
        <v>0</v>
      </c>
      <c r="LOS249" s="5">
        <f t="shared" si="132"/>
        <v>0</v>
      </c>
      <c r="LOT249" s="5">
        <f t="shared" si="132"/>
        <v>0</v>
      </c>
      <c r="LOU249" s="5">
        <f t="shared" si="132"/>
        <v>0</v>
      </c>
      <c r="LOV249" s="5">
        <f t="shared" si="132"/>
        <v>0</v>
      </c>
      <c r="LOW249" s="5">
        <f t="shared" si="132"/>
        <v>0</v>
      </c>
      <c r="LOX249" s="5">
        <f t="shared" si="132"/>
        <v>0</v>
      </c>
      <c r="LOY249" s="5">
        <f t="shared" si="132"/>
        <v>0</v>
      </c>
      <c r="LOZ249" s="5">
        <f t="shared" si="132"/>
        <v>0</v>
      </c>
      <c r="LPA249" s="5">
        <f t="shared" si="132"/>
        <v>0</v>
      </c>
      <c r="LPB249" s="5">
        <f t="shared" ref="LPB249:LRM249" si="133">SUM(LPB246:LPB246)</f>
        <v>0</v>
      </c>
      <c r="LPC249" s="5">
        <f t="shared" si="133"/>
        <v>0</v>
      </c>
      <c r="LPD249" s="5">
        <f t="shared" si="133"/>
        <v>0</v>
      </c>
      <c r="LPE249" s="5">
        <f t="shared" si="133"/>
        <v>0</v>
      </c>
      <c r="LPF249" s="5">
        <f t="shared" si="133"/>
        <v>0</v>
      </c>
      <c r="LPG249" s="5">
        <f t="shared" si="133"/>
        <v>0</v>
      </c>
      <c r="LPH249" s="5">
        <f t="shared" si="133"/>
        <v>0</v>
      </c>
      <c r="LPI249" s="5">
        <f t="shared" si="133"/>
        <v>0</v>
      </c>
      <c r="LPJ249" s="5">
        <f t="shared" si="133"/>
        <v>0</v>
      </c>
      <c r="LPK249" s="5">
        <f t="shared" si="133"/>
        <v>0</v>
      </c>
      <c r="LPL249" s="5">
        <f t="shared" si="133"/>
        <v>0</v>
      </c>
      <c r="LPM249" s="5">
        <f t="shared" si="133"/>
        <v>0</v>
      </c>
      <c r="LPN249" s="5">
        <f t="shared" si="133"/>
        <v>0</v>
      </c>
      <c r="LPO249" s="5">
        <f t="shared" si="133"/>
        <v>0</v>
      </c>
      <c r="LPP249" s="5">
        <f t="shared" si="133"/>
        <v>0</v>
      </c>
      <c r="LPQ249" s="5">
        <f t="shared" si="133"/>
        <v>0</v>
      </c>
      <c r="LPR249" s="5">
        <f t="shared" si="133"/>
        <v>0</v>
      </c>
      <c r="LPS249" s="5">
        <f t="shared" si="133"/>
        <v>0</v>
      </c>
      <c r="LPT249" s="5">
        <f t="shared" si="133"/>
        <v>0</v>
      </c>
      <c r="LPU249" s="5">
        <f t="shared" si="133"/>
        <v>0</v>
      </c>
      <c r="LPV249" s="5">
        <f t="shared" si="133"/>
        <v>0</v>
      </c>
      <c r="LPW249" s="5">
        <f t="shared" si="133"/>
        <v>0</v>
      </c>
      <c r="LPX249" s="5">
        <f t="shared" si="133"/>
        <v>0</v>
      </c>
      <c r="LPY249" s="5">
        <f t="shared" si="133"/>
        <v>0</v>
      </c>
      <c r="LPZ249" s="5">
        <f t="shared" si="133"/>
        <v>0</v>
      </c>
      <c r="LQA249" s="5">
        <f t="shared" si="133"/>
        <v>0</v>
      </c>
      <c r="LQB249" s="5">
        <f t="shared" si="133"/>
        <v>0</v>
      </c>
      <c r="LQC249" s="5">
        <f t="shared" si="133"/>
        <v>0</v>
      </c>
      <c r="LQD249" s="5">
        <f t="shared" si="133"/>
        <v>0</v>
      </c>
      <c r="LQE249" s="5">
        <f t="shared" si="133"/>
        <v>0</v>
      </c>
      <c r="LQF249" s="5">
        <f t="shared" si="133"/>
        <v>0</v>
      </c>
      <c r="LQG249" s="5">
        <f t="shared" si="133"/>
        <v>0</v>
      </c>
      <c r="LQH249" s="5">
        <f t="shared" si="133"/>
        <v>0</v>
      </c>
      <c r="LQI249" s="5">
        <f t="shared" si="133"/>
        <v>0</v>
      </c>
      <c r="LQJ249" s="5">
        <f t="shared" si="133"/>
        <v>0</v>
      </c>
      <c r="LQK249" s="5">
        <f t="shared" si="133"/>
        <v>0</v>
      </c>
      <c r="LQL249" s="5">
        <f t="shared" si="133"/>
        <v>0</v>
      </c>
      <c r="LQM249" s="5">
        <f t="shared" si="133"/>
        <v>0</v>
      </c>
      <c r="LQN249" s="5">
        <f t="shared" si="133"/>
        <v>0</v>
      </c>
      <c r="LQO249" s="5">
        <f t="shared" si="133"/>
        <v>0</v>
      </c>
      <c r="LQP249" s="5">
        <f t="shared" si="133"/>
        <v>0</v>
      </c>
      <c r="LQQ249" s="5">
        <f t="shared" si="133"/>
        <v>0</v>
      </c>
      <c r="LQR249" s="5">
        <f t="shared" si="133"/>
        <v>0</v>
      </c>
      <c r="LQS249" s="5">
        <f t="shared" si="133"/>
        <v>0</v>
      </c>
      <c r="LQT249" s="5">
        <f t="shared" si="133"/>
        <v>0</v>
      </c>
      <c r="LQU249" s="5">
        <f t="shared" si="133"/>
        <v>0</v>
      </c>
      <c r="LQV249" s="5">
        <f t="shared" si="133"/>
        <v>0</v>
      </c>
      <c r="LQW249" s="5">
        <f t="shared" si="133"/>
        <v>0</v>
      </c>
      <c r="LQX249" s="5">
        <f t="shared" si="133"/>
        <v>0</v>
      </c>
      <c r="LQY249" s="5">
        <f t="shared" si="133"/>
        <v>0</v>
      </c>
      <c r="LQZ249" s="5">
        <f t="shared" si="133"/>
        <v>0</v>
      </c>
      <c r="LRA249" s="5">
        <f t="shared" si="133"/>
        <v>0</v>
      </c>
      <c r="LRB249" s="5">
        <f t="shared" si="133"/>
        <v>0</v>
      </c>
      <c r="LRC249" s="5">
        <f t="shared" si="133"/>
        <v>0</v>
      </c>
      <c r="LRD249" s="5">
        <f t="shared" si="133"/>
        <v>0</v>
      </c>
      <c r="LRE249" s="5">
        <f t="shared" si="133"/>
        <v>0</v>
      </c>
      <c r="LRF249" s="5">
        <f t="shared" si="133"/>
        <v>0</v>
      </c>
      <c r="LRG249" s="5">
        <f t="shared" si="133"/>
        <v>0</v>
      </c>
      <c r="LRH249" s="5">
        <f t="shared" si="133"/>
        <v>0</v>
      </c>
      <c r="LRI249" s="5">
        <f t="shared" si="133"/>
        <v>0</v>
      </c>
      <c r="LRJ249" s="5">
        <f t="shared" si="133"/>
        <v>0</v>
      </c>
      <c r="LRK249" s="5">
        <f t="shared" si="133"/>
        <v>0</v>
      </c>
      <c r="LRL249" s="5">
        <f t="shared" si="133"/>
        <v>0</v>
      </c>
      <c r="LRM249" s="5">
        <f t="shared" si="133"/>
        <v>0</v>
      </c>
      <c r="LRN249" s="5">
        <f t="shared" ref="LRN249:LTY249" si="134">SUM(LRN246:LRN246)</f>
        <v>0</v>
      </c>
      <c r="LRO249" s="5">
        <f t="shared" si="134"/>
        <v>0</v>
      </c>
      <c r="LRP249" s="5">
        <f t="shared" si="134"/>
        <v>0</v>
      </c>
      <c r="LRQ249" s="5">
        <f t="shared" si="134"/>
        <v>0</v>
      </c>
      <c r="LRR249" s="5">
        <f t="shared" si="134"/>
        <v>0</v>
      </c>
      <c r="LRS249" s="5">
        <f t="shared" si="134"/>
        <v>0</v>
      </c>
      <c r="LRT249" s="5">
        <f t="shared" si="134"/>
        <v>0</v>
      </c>
      <c r="LRU249" s="5">
        <f t="shared" si="134"/>
        <v>0</v>
      </c>
      <c r="LRV249" s="5">
        <f t="shared" si="134"/>
        <v>0</v>
      </c>
      <c r="LRW249" s="5">
        <f t="shared" si="134"/>
        <v>0</v>
      </c>
      <c r="LRX249" s="5">
        <f t="shared" si="134"/>
        <v>0</v>
      </c>
      <c r="LRY249" s="5">
        <f t="shared" si="134"/>
        <v>0</v>
      </c>
      <c r="LRZ249" s="5">
        <f t="shared" si="134"/>
        <v>0</v>
      </c>
      <c r="LSA249" s="5">
        <f t="shared" si="134"/>
        <v>0</v>
      </c>
      <c r="LSB249" s="5">
        <f t="shared" si="134"/>
        <v>0</v>
      </c>
      <c r="LSC249" s="5">
        <f t="shared" si="134"/>
        <v>0</v>
      </c>
      <c r="LSD249" s="5">
        <f t="shared" si="134"/>
        <v>0</v>
      </c>
      <c r="LSE249" s="5">
        <f t="shared" si="134"/>
        <v>0</v>
      </c>
      <c r="LSF249" s="5">
        <f t="shared" si="134"/>
        <v>0</v>
      </c>
      <c r="LSG249" s="5">
        <f t="shared" si="134"/>
        <v>0</v>
      </c>
      <c r="LSH249" s="5">
        <f t="shared" si="134"/>
        <v>0</v>
      </c>
      <c r="LSI249" s="5">
        <f t="shared" si="134"/>
        <v>0</v>
      </c>
      <c r="LSJ249" s="5">
        <f t="shared" si="134"/>
        <v>0</v>
      </c>
      <c r="LSK249" s="5">
        <f t="shared" si="134"/>
        <v>0</v>
      </c>
      <c r="LSL249" s="5">
        <f t="shared" si="134"/>
        <v>0</v>
      </c>
      <c r="LSM249" s="5">
        <f t="shared" si="134"/>
        <v>0</v>
      </c>
      <c r="LSN249" s="5">
        <f t="shared" si="134"/>
        <v>0</v>
      </c>
      <c r="LSO249" s="5">
        <f t="shared" si="134"/>
        <v>0</v>
      </c>
      <c r="LSP249" s="5">
        <f t="shared" si="134"/>
        <v>0</v>
      </c>
      <c r="LSQ249" s="5">
        <f t="shared" si="134"/>
        <v>0</v>
      </c>
      <c r="LSR249" s="5">
        <f t="shared" si="134"/>
        <v>0</v>
      </c>
      <c r="LSS249" s="5">
        <f t="shared" si="134"/>
        <v>0</v>
      </c>
      <c r="LST249" s="5">
        <f t="shared" si="134"/>
        <v>0</v>
      </c>
      <c r="LSU249" s="5">
        <f t="shared" si="134"/>
        <v>0</v>
      </c>
      <c r="LSV249" s="5">
        <f t="shared" si="134"/>
        <v>0</v>
      </c>
      <c r="LSW249" s="5">
        <f t="shared" si="134"/>
        <v>0</v>
      </c>
      <c r="LSX249" s="5">
        <f t="shared" si="134"/>
        <v>0</v>
      </c>
      <c r="LSY249" s="5">
        <f t="shared" si="134"/>
        <v>0</v>
      </c>
      <c r="LSZ249" s="5">
        <f t="shared" si="134"/>
        <v>0</v>
      </c>
      <c r="LTA249" s="5">
        <f t="shared" si="134"/>
        <v>0</v>
      </c>
      <c r="LTB249" s="5">
        <f t="shared" si="134"/>
        <v>0</v>
      </c>
      <c r="LTC249" s="5">
        <f t="shared" si="134"/>
        <v>0</v>
      </c>
      <c r="LTD249" s="5">
        <f t="shared" si="134"/>
        <v>0</v>
      </c>
      <c r="LTE249" s="5">
        <f t="shared" si="134"/>
        <v>0</v>
      </c>
      <c r="LTF249" s="5">
        <f t="shared" si="134"/>
        <v>0</v>
      </c>
      <c r="LTG249" s="5">
        <f t="shared" si="134"/>
        <v>0</v>
      </c>
      <c r="LTH249" s="5">
        <f t="shared" si="134"/>
        <v>0</v>
      </c>
      <c r="LTI249" s="5">
        <f t="shared" si="134"/>
        <v>0</v>
      </c>
      <c r="LTJ249" s="5">
        <f t="shared" si="134"/>
        <v>0</v>
      </c>
      <c r="LTK249" s="5">
        <f t="shared" si="134"/>
        <v>0</v>
      </c>
      <c r="LTL249" s="5">
        <f t="shared" si="134"/>
        <v>0</v>
      </c>
      <c r="LTM249" s="5">
        <f t="shared" si="134"/>
        <v>0</v>
      </c>
      <c r="LTN249" s="5">
        <f t="shared" si="134"/>
        <v>0</v>
      </c>
      <c r="LTO249" s="5">
        <f t="shared" si="134"/>
        <v>0</v>
      </c>
      <c r="LTP249" s="5">
        <f t="shared" si="134"/>
        <v>0</v>
      </c>
      <c r="LTQ249" s="5">
        <f t="shared" si="134"/>
        <v>0</v>
      </c>
      <c r="LTR249" s="5">
        <f t="shared" si="134"/>
        <v>0</v>
      </c>
      <c r="LTS249" s="5">
        <f t="shared" si="134"/>
        <v>0</v>
      </c>
      <c r="LTT249" s="5">
        <f t="shared" si="134"/>
        <v>0</v>
      </c>
      <c r="LTU249" s="5">
        <f t="shared" si="134"/>
        <v>0</v>
      </c>
      <c r="LTV249" s="5">
        <f t="shared" si="134"/>
        <v>0</v>
      </c>
      <c r="LTW249" s="5">
        <f t="shared" si="134"/>
        <v>0</v>
      </c>
      <c r="LTX249" s="5">
        <f t="shared" si="134"/>
        <v>0</v>
      </c>
      <c r="LTY249" s="5">
        <f t="shared" si="134"/>
        <v>0</v>
      </c>
      <c r="LTZ249" s="5">
        <f t="shared" ref="LTZ249:LWK249" si="135">SUM(LTZ246:LTZ246)</f>
        <v>0</v>
      </c>
      <c r="LUA249" s="5">
        <f t="shared" si="135"/>
        <v>0</v>
      </c>
      <c r="LUB249" s="5">
        <f t="shared" si="135"/>
        <v>0</v>
      </c>
      <c r="LUC249" s="5">
        <f t="shared" si="135"/>
        <v>0</v>
      </c>
      <c r="LUD249" s="5">
        <f t="shared" si="135"/>
        <v>0</v>
      </c>
      <c r="LUE249" s="5">
        <f t="shared" si="135"/>
        <v>0</v>
      </c>
      <c r="LUF249" s="5">
        <f t="shared" si="135"/>
        <v>0</v>
      </c>
      <c r="LUG249" s="5">
        <f t="shared" si="135"/>
        <v>0</v>
      </c>
      <c r="LUH249" s="5">
        <f t="shared" si="135"/>
        <v>0</v>
      </c>
      <c r="LUI249" s="5">
        <f t="shared" si="135"/>
        <v>0</v>
      </c>
      <c r="LUJ249" s="5">
        <f t="shared" si="135"/>
        <v>0</v>
      </c>
      <c r="LUK249" s="5">
        <f t="shared" si="135"/>
        <v>0</v>
      </c>
      <c r="LUL249" s="5">
        <f t="shared" si="135"/>
        <v>0</v>
      </c>
      <c r="LUM249" s="5">
        <f t="shared" si="135"/>
        <v>0</v>
      </c>
      <c r="LUN249" s="5">
        <f t="shared" si="135"/>
        <v>0</v>
      </c>
      <c r="LUO249" s="5">
        <f t="shared" si="135"/>
        <v>0</v>
      </c>
      <c r="LUP249" s="5">
        <f t="shared" si="135"/>
        <v>0</v>
      </c>
      <c r="LUQ249" s="5">
        <f t="shared" si="135"/>
        <v>0</v>
      </c>
      <c r="LUR249" s="5">
        <f t="shared" si="135"/>
        <v>0</v>
      </c>
      <c r="LUS249" s="5">
        <f t="shared" si="135"/>
        <v>0</v>
      </c>
      <c r="LUT249" s="5">
        <f t="shared" si="135"/>
        <v>0</v>
      </c>
      <c r="LUU249" s="5">
        <f t="shared" si="135"/>
        <v>0</v>
      </c>
      <c r="LUV249" s="5">
        <f t="shared" si="135"/>
        <v>0</v>
      </c>
      <c r="LUW249" s="5">
        <f t="shared" si="135"/>
        <v>0</v>
      </c>
      <c r="LUX249" s="5">
        <f t="shared" si="135"/>
        <v>0</v>
      </c>
      <c r="LUY249" s="5">
        <f t="shared" si="135"/>
        <v>0</v>
      </c>
      <c r="LUZ249" s="5">
        <f t="shared" si="135"/>
        <v>0</v>
      </c>
      <c r="LVA249" s="5">
        <f t="shared" si="135"/>
        <v>0</v>
      </c>
      <c r="LVB249" s="5">
        <f t="shared" si="135"/>
        <v>0</v>
      </c>
      <c r="LVC249" s="5">
        <f t="shared" si="135"/>
        <v>0</v>
      </c>
      <c r="LVD249" s="5">
        <f t="shared" si="135"/>
        <v>0</v>
      </c>
      <c r="LVE249" s="5">
        <f t="shared" si="135"/>
        <v>0</v>
      </c>
      <c r="LVF249" s="5">
        <f t="shared" si="135"/>
        <v>0</v>
      </c>
      <c r="LVG249" s="5">
        <f t="shared" si="135"/>
        <v>0</v>
      </c>
      <c r="LVH249" s="5">
        <f t="shared" si="135"/>
        <v>0</v>
      </c>
      <c r="LVI249" s="5">
        <f t="shared" si="135"/>
        <v>0</v>
      </c>
      <c r="LVJ249" s="5">
        <f t="shared" si="135"/>
        <v>0</v>
      </c>
      <c r="LVK249" s="5">
        <f t="shared" si="135"/>
        <v>0</v>
      </c>
      <c r="LVL249" s="5">
        <f t="shared" si="135"/>
        <v>0</v>
      </c>
      <c r="LVM249" s="5">
        <f t="shared" si="135"/>
        <v>0</v>
      </c>
      <c r="LVN249" s="5">
        <f t="shared" si="135"/>
        <v>0</v>
      </c>
      <c r="LVO249" s="5">
        <f t="shared" si="135"/>
        <v>0</v>
      </c>
      <c r="LVP249" s="5">
        <f t="shared" si="135"/>
        <v>0</v>
      </c>
      <c r="LVQ249" s="5">
        <f t="shared" si="135"/>
        <v>0</v>
      </c>
      <c r="LVR249" s="5">
        <f t="shared" si="135"/>
        <v>0</v>
      </c>
      <c r="LVS249" s="5">
        <f t="shared" si="135"/>
        <v>0</v>
      </c>
      <c r="LVT249" s="5">
        <f t="shared" si="135"/>
        <v>0</v>
      </c>
      <c r="LVU249" s="5">
        <f t="shared" si="135"/>
        <v>0</v>
      </c>
      <c r="LVV249" s="5">
        <f t="shared" si="135"/>
        <v>0</v>
      </c>
      <c r="LVW249" s="5">
        <f t="shared" si="135"/>
        <v>0</v>
      </c>
      <c r="LVX249" s="5">
        <f t="shared" si="135"/>
        <v>0</v>
      </c>
      <c r="LVY249" s="5">
        <f t="shared" si="135"/>
        <v>0</v>
      </c>
      <c r="LVZ249" s="5">
        <f t="shared" si="135"/>
        <v>0</v>
      </c>
      <c r="LWA249" s="5">
        <f t="shared" si="135"/>
        <v>0</v>
      </c>
      <c r="LWB249" s="5">
        <f t="shared" si="135"/>
        <v>0</v>
      </c>
      <c r="LWC249" s="5">
        <f t="shared" si="135"/>
        <v>0</v>
      </c>
      <c r="LWD249" s="5">
        <f t="shared" si="135"/>
        <v>0</v>
      </c>
      <c r="LWE249" s="5">
        <f t="shared" si="135"/>
        <v>0</v>
      </c>
      <c r="LWF249" s="5">
        <f t="shared" si="135"/>
        <v>0</v>
      </c>
      <c r="LWG249" s="5">
        <f t="shared" si="135"/>
        <v>0</v>
      </c>
      <c r="LWH249" s="5">
        <f t="shared" si="135"/>
        <v>0</v>
      </c>
      <c r="LWI249" s="5">
        <f t="shared" si="135"/>
        <v>0</v>
      </c>
      <c r="LWJ249" s="5">
        <f t="shared" si="135"/>
        <v>0</v>
      </c>
      <c r="LWK249" s="5">
        <f t="shared" si="135"/>
        <v>0</v>
      </c>
      <c r="LWL249" s="5">
        <f t="shared" ref="LWL249:LYW249" si="136">SUM(LWL246:LWL246)</f>
        <v>0</v>
      </c>
      <c r="LWM249" s="5">
        <f t="shared" si="136"/>
        <v>0</v>
      </c>
      <c r="LWN249" s="5">
        <f t="shared" si="136"/>
        <v>0</v>
      </c>
      <c r="LWO249" s="5">
        <f t="shared" si="136"/>
        <v>0</v>
      </c>
      <c r="LWP249" s="5">
        <f t="shared" si="136"/>
        <v>0</v>
      </c>
      <c r="LWQ249" s="5">
        <f t="shared" si="136"/>
        <v>0</v>
      </c>
      <c r="LWR249" s="5">
        <f t="shared" si="136"/>
        <v>0</v>
      </c>
      <c r="LWS249" s="5">
        <f t="shared" si="136"/>
        <v>0</v>
      </c>
      <c r="LWT249" s="5">
        <f t="shared" si="136"/>
        <v>0</v>
      </c>
      <c r="LWU249" s="5">
        <f t="shared" si="136"/>
        <v>0</v>
      </c>
      <c r="LWV249" s="5">
        <f t="shared" si="136"/>
        <v>0</v>
      </c>
      <c r="LWW249" s="5">
        <f t="shared" si="136"/>
        <v>0</v>
      </c>
      <c r="LWX249" s="5">
        <f t="shared" si="136"/>
        <v>0</v>
      </c>
      <c r="LWY249" s="5">
        <f t="shared" si="136"/>
        <v>0</v>
      </c>
      <c r="LWZ249" s="5">
        <f t="shared" si="136"/>
        <v>0</v>
      </c>
      <c r="LXA249" s="5">
        <f t="shared" si="136"/>
        <v>0</v>
      </c>
      <c r="LXB249" s="5">
        <f t="shared" si="136"/>
        <v>0</v>
      </c>
      <c r="LXC249" s="5">
        <f t="shared" si="136"/>
        <v>0</v>
      </c>
      <c r="LXD249" s="5">
        <f t="shared" si="136"/>
        <v>0</v>
      </c>
      <c r="LXE249" s="5">
        <f t="shared" si="136"/>
        <v>0</v>
      </c>
      <c r="LXF249" s="5">
        <f t="shared" si="136"/>
        <v>0</v>
      </c>
      <c r="LXG249" s="5">
        <f t="shared" si="136"/>
        <v>0</v>
      </c>
      <c r="LXH249" s="5">
        <f t="shared" si="136"/>
        <v>0</v>
      </c>
      <c r="LXI249" s="5">
        <f t="shared" si="136"/>
        <v>0</v>
      </c>
      <c r="LXJ249" s="5">
        <f t="shared" si="136"/>
        <v>0</v>
      </c>
      <c r="LXK249" s="5">
        <f t="shared" si="136"/>
        <v>0</v>
      </c>
      <c r="LXL249" s="5">
        <f t="shared" si="136"/>
        <v>0</v>
      </c>
      <c r="LXM249" s="5">
        <f t="shared" si="136"/>
        <v>0</v>
      </c>
      <c r="LXN249" s="5">
        <f t="shared" si="136"/>
        <v>0</v>
      </c>
      <c r="LXO249" s="5">
        <f t="shared" si="136"/>
        <v>0</v>
      </c>
      <c r="LXP249" s="5">
        <f t="shared" si="136"/>
        <v>0</v>
      </c>
      <c r="LXQ249" s="5">
        <f t="shared" si="136"/>
        <v>0</v>
      </c>
      <c r="LXR249" s="5">
        <f t="shared" si="136"/>
        <v>0</v>
      </c>
      <c r="LXS249" s="5">
        <f t="shared" si="136"/>
        <v>0</v>
      </c>
      <c r="LXT249" s="5">
        <f t="shared" si="136"/>
        <v>0</v>
      </c>
      <c r="LXU249" s="5">
        <f t="shared" si="136"/>
        <v>0</v>
      </c>
      <c r="LXV249" s="5">
        <f t="shared" si="136"/>
        <v>0</v>
      </c>
      <c r="LXW249" s="5">
        <f t="shared" si="136"/>
        <v>0</v>
      </c>
      <c r="LXX249" s="5">
        <f t="shared" si="136"/>
        <v>0</v>
      </c>
      <c r="LXY249" s="5">
        <f t="shared" si="136"/>
        <v>0</v>
      </c>
      <c r="LXZ249" s="5">
        <f t="shared" si="136"/>
        <v>0</v>
      </c>
      <c r="LYA249" s="5">
        <f t="shared" si="136"/>
        <v>0</v>
      </c>
      <c r="LYB249" s="5">
        <f t="shared" si="136"/>
        <v>0</v>
      </c>
      <c r="LYC249" s="5">
        <f t="shared" si="136"/>
        <v>0</v>
      </c>
      <c r="LYD249" s="5">
        <f t="shared" si="136"/>
        <v>0</v>
      </c>
      <c r="LYE249" s="5">
        <f t="shared" si="136"/>
        <v>0</v>
      </c>
      <c r="LYF249" s="5">
        <f t="shared" si="136"/>
        <v>0</v>
      </c>
      <c r="LYG249" s="5">
        <f t="shared" si="136"/>
        <v>0</v>
      </c>
      <c r="LYH249" s="5">
        <f t="shared" si="136"/>
        <v>0</v>
      </c>
      <c r="LYI249" s="5">
        <f t="shared" si="136"/>
        <v>0</v>
      </c>
      <c r="LYJ249" s="5">
        <f t="shared" si="136"/>
        <v>0</v>
      </c>
      <c r="LYK249" s="5">
        <f t="shared" si="136"/>
        <v>0</v>
      </c>
      <c r="LYL249" s="5">
        <f t="shared" si="136"/>
        <v>0</v>
      </c>
      <c r="LYM249" s="5">
        <f t="shared" si="136"/>
        <v>0</v>
      </c>
      <c r="LYN249" s="5">
        <f t="shared" si="136"/>
        <v>0</v>
      </c>
      <c r="LYO249" s="5">
        <f t="shared" si="136"/>
        <v>0</v>
      </c>
      <c r="LYP249" s="5">
        <f t="shared" si="136"/>
        <v>0</v>
      </c>
      <c r="LYQ249" s="5">
        <f t="shared" si="136"/>
        <v>0</v>
      </c>
      <c r="LYR249" s="5">
        <f t="shared" si="136"/>
        <v>0</v>
      </c>
      <c r="LYS249" s="5">
        <f t="shared" si="136"/>
        <v>0</v>
      </c>
      <c r="LYT249" s="5">
        <f t="shared" si="136"/>
        <v>0</v>
      </c>
      <c r="LYU249" s="5">
        <f t="shared" si="136"/>
        <v>0</v>
      </c>
      <c r="LYV249" s="5">
        <f t="shared" si="136"/>
        <v>0</v>
      </c>
      <c r="LYW249" s="5">
        <f t="shared" si="136"/>
        <v>0</v>
      </c>
      <c r="LYX249" s="5">
        <f t="shared" ref="LYX249:MBI249" si="137">SUM(LYX246:LYX246)</f>
        <v>0</v>
      </c>
      <c r="LYY249" s="5">
        <f t="shared" si="137"/>
        <v>0</v>
      </c>
      <c r="LYZ249" s="5">
        <f t="shared" si="137"/>
        <v>0</v>
      </c>
      <c r="LZA249" s="5">
        <f t="shared" si="137"/>
        <v>0</v>
      </c>
      <c r="LZB249" s="5">
        <f t="shared" si="137"/>
        <v>0</v>
      </c>
      <c r="LZC249" s="5">
        <f t="shared" si="137"/>
        <v>0</v>
      </c>
      <c r="LZD249" s="5">
        <f t="shared" si="137"/>
        <v>0</v>
      </c>
      <c r="LZE249" s="5">
        <f t="shared" si="137"/>
        <v>0</v>
      </c>
      <c r="LZF249" s="5">
        <f t="shared" si="137"/>
        <v>0</v>
      </c>
      <c r="LZG249" s="5">
        <f t="shared" si="137"/>
        <v>0</v>
      </c>
      <c r="LZH249" s="5">
        <f t="shared" si="137"/>
        <v>0</v>
      </c>
      <c r="LZI249" s="5">
        <f t="shared" si="137"/>
        <v>0</v>
      </c>
      <c r="LZJ249" s="5">
        <f t="shared" si="137"/>
        <v>0</v>
      </c>
      <c r="LZK249" s="5">
        <f t="shared" si="137"/>
        <v>0</v>
      </c>
      <c r="LZL249" s="5">
        <f t="shared" si="137"/>
        <v>0</v>
      </c>
      <c r="LZM249" s="5">
        <f t="shared" si="137"/>
        <v>0</v>
      </c>
      <c r="LZN249" s="5">
        <f t="shared" si="137"/>
        <v>0</v>
      </c>
      <c r="LZO249" s="5">
        <f t="shared" si="137"/>
        <v>0</v>
      </c>
      <c r="LZP249" s="5">
        <f t="shared" si="137"/>
        <v>0</v>
      </c>
      <c r="LZQ249" s="5">
        <f t="shared" si="137"/>
        <v>0</v>
      </c>
      <c r="LZR249" s="5">
        <f t="shared" si="137"/>
        <v>0</v>
      </c>
      <c r="LZS249" s="5">
        <f t="shared" si="137"/>
        <v>0</v>
      </c>
      <c r="LZT249" s="5">
        <f t="shared" si="137"/>
        <v>0</v>
      </c>
      <c r="LZU249" s="5">
        <f t="shared" si="137"/>
        <v>0</v>
      </c>
      <c r="LZV249" s="5">
        <f t="shared" si="137"/>
        <v>0</v>
      </c>
      <c r="LZW249" s="5">
        <f t="shared" si="137"/>
        <v>0</v>
      </c>
      <c r="LZX249" s="5">
        <f t="shared" si="137"/>
        <v>0</v>
      </c>
      <c r="LZY249" s="5">
        <f t="shared" si="137"/>
        <v>0</v>
      </c>
      <c r="LZZ249" s="5">
        <f t="shared" si="137"/>
        <v>0</v>
      </c>
      <c r="MAA249" s="5">
        <f t="shared" si="137"/>
        <v>0</v>
      </c>
      <c r="MAB249" s="5">
        <f t="shared" si="137"/>
        <v>0</v>
      </c>
      <c r="MAC249" s="5">
        <f t="shared" si="137"/>
        <v>0</v>
      </c>
      <c r="MAD249" s="5">
        <f t="shared" si="137"/>
        <v>0</v>
      </c>
      <c r="MAE249" s="5">
        <f t="shared" si="137"/>
        <v>0</v>
      </c>
      <c r="MAF249" s="5">
        <f t="shared" si="137"/>
        <v>0</v>
      </c>
      <c r="MAG249" s="5">
        <f t="shared" si="137"/>
        <v>0</v>
      </c>
      <c r="MAH249" s="5">
        <f t="shared" si="137"/>
        <v>0</v>
      </c>
      <c r="MAI249" s="5">
        <f t="shared" si="137"/>
        <v>0</v>
      </c>
      <c r="MAJ249" s="5">
        <f t="shared" si="137"/>
        <v>0</v>
      </c>
      <c r="MAK249" s="5">
        <f t="shared" si="137"/>
        <v>0</v>
      </c>
      <c r="MAL249" s="5">
        <f t="shared" si="137"/>
        <v>0</v>
      </c>
      <c r="MAM249" s="5">
        <f t="shared" si="137"/>
        <v>0</v>
      </c>
      <c r="MAN249" s="5">
        <f t="shared" si="137"/>
        <v>0</v>
      </c>
      <c r="MAO249" s="5">
        <f t="shared" si="137"/>
        <v>0</v>
      </c>
      <c r="MAP249" s="5">
        <f t="shared" si="137"/>
        <v>0</v>
      </c>
      <c r="MAQ249" s="5">
        <f t="shared" si="137"/>
        <v>0</v>
      </c>
      <c r="MAR249" s="5">
        <f t="shared" si="137"/>
        <v>0</v>
      </c>
      <c r="MAS249" s="5">
        <f t="shared" si="137"/>
        <v>0</v>
      </c>
      <c r="MAT249" s="5">
        <f t="shared" si="137"/>
        <v>0</v>
      </c>
      <c r="MAU249" s="5">
        <f t="shared" si="137"/>
        <v>0</v>
      </c>
      <c r="MAV249" s="5">
        <f t="shared" si="137"/>
        <v>0</v>
      </c>
      <c r="MAW249" s="5">
        <f t="shared" si="137"/>
        <v>0</v>
      </c>
      <c r="MAX249" s="5">
        <f t="shared" si="137"/>
        <v>0</v>
      </c>
      <c r="MAY249" s="5">
        <f t="shared" si="137"/>
        <v>0</v>
      </c>
      <c r="MAZ249" s="5">
        <f t="shared" si="137"/>
        <v>0</v>
      </c>
      <c r="MBA249" s="5">
        <f t="shared" si="137"/>
        <v>0</v>
      </c>
      <c r="MBB249" s="5">
        <f t="shared" si="137"/>
        <v>0</v>
      </c>
      <c r="MBC249" s="5">
        <f t="shared" si="137"/>
        <v>0</v>
      </c>
      <c r="MBD249" s="5">
        <f t="shared" si="137"/>
        <v>0</v>
      </c>
      <c r="MBE249" s="5">
        <f t="shared" si="137"/>
        <v>0</v>
      </c>
      <c r="MBF249" s="5">
        <f t="shared" si="137"/>
        <v>0</v>
      </c>
      <c r="MBG249" s="5">
        <f t="shared" si="137"/>
        <v>0</v>
      </c>
      <c r="MBH249" s="5">
        <f t="shared" si="137"/>
        <v>0</v>
      </c>
      <c r="MBI249" s="5">
        <f t="shared" si="137"/>
        <v>0</v>
      </c>
      <c r="MBJ249" s="5">
        <f t="shared" ref="MBJ249:MDU249" si="138">SUM(MBJ246:MBJ246)</f>
        <v>0</v>
      </c>
      <c r="MBK249" s="5">
        <f t="shared" si="138"/>
        <v>0</v>
      </c>
      <c r="MBL249" s="5">
        <f t="shared" si="138"/>
        <v>0</v>
      </c>
      <c r="MBM249" s="5">
        <f t="shared" si="138"/>
        <v>0</v>
      </c>
      <c r="MBN249" s="5">
        <f t="shared" si="138"/>
        <v>0</v>
      </c>
      <c r="MBO249" s="5">
        <f t="shared" si="138"/>
        <v>0</v>
      </c>
      <c r="MBP249" s="5">
        <f t="shared" si="138"/>
        <v>0</v>
      </c>
      <c r="MBQ249" s="5">
        <f t="shared" si="138"/>
        <v>0</v>
      </c>
      <c r="MBR249" s="5">
        <f t="shared" si="138"/>
        <v>0</v>
      </c>
      <c r="MBS249" s="5">
        <f t="shared" si="138"/>
        <v>0</v>
      </c>
      <c r="MBT249" s="5">
        <f t="shared" si="138"/>
        <v>0</v>
      </c>
      <c r="MBU249" s="5">
        <f t="shared" si="138"/>
        <v>0</v>
      </c>
      <c r="MBV249" s="5">
        <f t="shared" si="138"/>
        <v>0</v>
      </c>
      <c r="MBW249" s="5">
        <f t="shared" si="138"/>
        <v>0</v>
      </c>
      <c r="MBX249" s="5">
        <f t="shared" si="138"/>
        <v>0</v>
      </c>
      <c r="MBY249" s="5">
        <f t="shared" si="138"/>
        <v>0</v>
      </c>
      <c r="MBZ249" s="5">
        <f t="shared" si="138"/>
        <v>0</v>
      </c>
      <c r="MCA249" s="5">
        <f t="shared" si="138"/>
        <v>0</v>
      </c>
      <c r="MCB249" s="5">
        <f t="shared" si="138"/>
        <v>0</v>
      </c>
      <c r="MCC249" s="5">
        <f t="shared" si="138"/>
        <v>0</v>
      </c>
      <c r="MCD249" s="5">
        <f t="shared" si="138"/>
        <v>0</v>
      </c>
      <c r="MCE249" s="5">
        <f t="shared" si="138"/>
        <v>0</v>
      </c>
      <c r="MCF249" s="5">
        <f t="shared" si="138"/>
        <v>0</v>
      </c>
      <c r="MCG249" s="5">
        <f t="shared" si="138"/>
        <v>0</v>
      </c>
      <c r="MCH249" s="5">
        <f t="shared" si="138"/>
        <v>0</v>
      </c>
      <c r="MCI249" s="5">
        <f t="shared" si="138"/>
        <v>0</v>
      </c>
      <c r="MCJ249" s="5">
        <f t="shared" si="138"/>
        <v>0</v>
      </c>
      <c r="MCK249" s="5">
        <f t="shared" si="138"/>
        <v>0</v>
      </c>
      <c r="MCL249" s="5">
        <f t="shared" si="138"/>
        <v>0</v>
      </c>
      <c r="MCM249" s="5">
        <f t="shared" si="138"/>
        <v>0</v>
      </c>
      <c r="MCN249" s="5">
        <f t="shared" si="138"/>
        <v>0</v>
      </c>
      <c r="MCO249" s="5">
        <f t="shared" si="138"/>
        <v>0</v>
      </c>
      <c r="MCP249" s="5">
        <f t="shared" si="138"/>
        <v>0</v>
      </c>
      <c r="MCQ249" s="5">
        <f t="shared" si="138"/>
        <v>0</v>
      </c>
      <c r="MCR249" s="5">
        <f t="shared" si="138"/>
        <v>0</v>
      </c>
      <c r="MCS249" s="5">
        <f t="shared" si="138"/>
        <v>0</v>
      </c>
      <c r="MCT249" s="5">
        <f t="shared" si="138"/>
        <v>0</v>
      </c>
      <c r="MCU249" s="5">
        <f t="shared" si="138"/>
        <v>0</v>
      </c>
      <c r="MCV249" s="5">
        <f t="shared" si="138"/>
        <v>0</v>
      </c>
      <c r="MCW249" s="5">
        <f t="shared" si="138"/>
        <v>0</v>
      </c>
      <c r="MCX249" s="5">
        <f t="shared" si="138"/>
        <v>0</v>
      </c>
      <c r="MCY249" s="5">
        <f t="shared" si="138"/>
        <v>0</v>
      </c>
      <c r="MCZ249" s="5">
        <f t="shared" si="138"/>
        <v>0</v>
      </c>
      <c r="MDA249" s="5">
        <f t="shared" si="138"/>
        <v>0</v>
      </c>
      <c r="MDB249" s="5">
        <f t="shared" si="138"/>
        <v>0</v>
      </c>
      <c r="MDC249" s="5">
        <f t="shared" si="138"/>
        <v>0</v>
      </c>
      <c r="MDD249" s="5">
        <f t="shared" si="138"/>
        <v>0</v>
      </c>
      <c r="MDE249" s="5">
        <f t="shared" si="138"/>
        <v>0</v>
      </c>
      <c r="MDF249" s="5">
        <f t="shared" si="138"/>
        <v>0</v>
      </c>
      <c r="MDG249" s="5">
        <f t="shared" si="138"/>
        <v>0</v>
      </c>
      <c r="MDH249" s="5">
        <f t="shared" si="138"/>
        <v>0</v>
      </c>
      <c r="MDI249" s="5">
        <f t="shared" si="138"/>
        <v>0</v>
      </c>
      <c r="MDJ249" s="5">
        <f t="shared" si="138"/>
        <v>0</v>
      </c>
      <c r="MDK249" s="5">
        <f t="shared" si="138"/>
        <v>0</v>
      </c>
      <c r="MDL249" s="5">
        <f t="shared" si="138"/>
        <v>0</v>
      </c>
      <c r="MDM249" s="5">
        <f t="shared" si="138"/>
        <v>0</v>
      </c>
      <c r="MDN249" s="5">
        <f t="shared" si="138"/>
        <v>0</v>
      </c>
      <c r="MDO249" s="5">
        <f t="shared" si="138"/>
        <v>0</v>
      </c>
      <c r="MDP249" s="5">
        <f t="shared" si="138"/>
        <v>0</v>
      </c>
      <c r="MDQ249" s="5">
        <f t="shared" si="138"/>
        <v>0</v>
      </c>
      <c r="MDR249" s="5">
        <f t="shared" si="138"/>
        <v>0</v>
      </c>
      <c r="MDS249" s="5">
        <f t="shared" si="138"/>
        <v>0</v>
      </c>
      <c r="MDT249" s="5">
        <f t="shared" si="138"/>
        <v>0</v>
      </c>
      <c r="MDU249" s="5">
        <f t="shared" si="138"/>
        <v>0</v>
      </c>
      <c r="MDV249" s="5">
        <f t="shared" ref="MDV249:MGG249" si="139">SUM(MDV246:MDV246)</f>
        <v>0</v>
      </c>
      <c r="MDW249" s="5">
        <f t="shared" si="139"/>
        <v>0</v>
      </c>
      <c r="MDX249" s="5">
        <f t="shared" si="139"/>
        <v>0</v>
      </c>
      <c r="MDY249" s="5">
        <f t="shared" si="139"/>
        <v>0</v>
      </c>
      <c r="MDZ249" s="5">
        <f t="shared" si="139"/>
        <v>0</v>
      </c>
      <c r="MEA249" s="5">
        <f t="shared" si="139"/>
        <v>0</v>
      </c>
      <c r="MEB249" s="5">
        <f t="shared" si="139"/>
        <v>0</v>
      </c>
      <c r="MEC249" s="5">
        <f t="shared" si="139"/>
        <v>0</v>
      </c>
      <c r="MED249" s="5">
        <f t="shared" si="139"/>
        <v>0</v>
      </c>
      <c r="MEE249" s="5">
        <f t="shared" si="139"/>
        <v>0</v>
      </c>
      <c r="MEF249" s="5">
        <f t="shared" si="139"/>
        <v>0</v>
      </c>
      <c r="MEG249" s="5">
        <f t="shared" si="139"/>
        <v>0</v>
      </c>
      <c r="MEH249" s="5">
        <f t="shared" si="139"/>
        <v>0</v>
      </c>
      <c r="MEI249" s="5">
        <f t="shared" si="139"/>
        <v>0</v>
      </c>
      <c r="MEJ249" s="5">
        <f t="shared" si="139"/>
        <v>0</v>
      </c>
      <c r="MEK249" s="5">
        <f t="shared" si="139"/>
        <v>0</v>
      </c>
      <c r="MEL249" s="5">
        <f t="shared" si="139"/>
        <v>0</v>
      </c>
      <c r="MEM249" s="5">
        <f t="shared" si="139"/>
        <v>0</v>
      </c>
      <c r="MEN249" s="5">
        <f t="shared" si="139"/>
        <v>0</v>
      </c>
      <c r="MEO249" s="5">
        <f t="shared" si="139"/>
        <v>0</v>
      </c>
      <c r="MEP249" s="5">
        <f t="shared" si="139"/>
        <v>0</v>
      </c>
      <c r="MEQ249" s="5">
        <f t="shared" si="139"/>
        <v>0</v>
      </c>
      <c r="MER249" s="5">
        <f t="shared" si="139"/>
        <v>0</v>
      </c>
      <c r="MES249" s="5">
        <f t="shared" si="139"/>
        <v>0</v>
      </c>
      <c r="MET249" s="5">
        <f t="shared" si="139"/>
        <v>0</v>
      </c>
      <c r="MEU249" s="5">
        <f t="shared" si="139"/>
        <v>0</v>
      </c>
      <c r="MEV249" s="5">
        <f t="shared" si="139"/>
        <v>0</v>
      </c>
      <c r="MEW249" s="5">
        <f t="shared" si="139"/>
        <v>0</v>
      </c>
      <c r="MEX249" s="5">
        <f t="shared" si="139"/>
        <v>0</v>
      </c>
      <c r="MEY249" s="5">
        <f t="shared" si="139"/>
        <v>0</v>
      </c>
      <c r="MEZ249" s="5">
        <f t="shared" si="139"/>
        <v>0</v>
      </c>
      <c r="MFA249" s="5">
        <f t="shared" si="139"/>
        <v>0</v>
      </c>
      <c r="MFB249" s="5">
        <f t="shared" si="139"/>
        <v>0</v>
      </c>
      <c r="MFC249" s="5">
        <f t="shared" si="139"/>
        <v>0</v>
      </c>
      <c r="MFD249" s="5">
        <f t="shared" si="139"/>
        <v>0</v>
      </c>
      <c r="MFE249" s="5">
        <f t="shared" si="139"/>
        <v>0</v>
      </c>
      <c r="MFF249" s="5">
        <f t="shared" si="139"/>
        <v>0</v>
      </c>
      <c r="MFG249" s="5">
        <f t="shared" si="139"/>
        <v>0</v>
      </c>
      <c r="MFH249" s="5">
        <f t="shared" si="139"/>
        <v>0</v>
      </c>
      <c r="MFI249" s="5">
        <f t="shared" si="139"/>
        <v>0</v>
      </c>
      <c r="MFJ249" s="5">
        <f t="shared" si="139"/>
        <v>0</v>
      </c>
      <c r="MFK249" s="5">
        <f t="shared" si="139"/>
        <v>0</v>
      </c>
      <c r="MFL249" s="5">
        <f t="shared" si="139"/>
        <v>0</v>
      </c>
      <c r="MFM249" s="5">
        <f t="shared" si="139"/>
        <v>0</v>
      </c>
      <c r="MFN249" s="5">
        <f t="shared" si="139"/>
        <v>0</v>
      </c>
      <c r="MFO249" s="5">
        <f t="shared" si="139"/>
        <v>0</v>
      </c>
      <c r="MFP249" s="5">
        <f t="shared" si="139"/>
        <v>0</v>
      </c>
      <c r="MFQ249" s="5">
        <f t="shared" si="139"/>
        <v>0</v>
      </c>
      <c r="MFR249" s="5">
        <f t="shared" si="139"/>
        <v>0</v>
      </c>
      <c r="MFS249" s="5">
        <f t="shared" si="139"/>
        <v>0</v>
      </c>
      <c r="MFT249" s="5">
        <f t="shared" si="139"/>
        <v>0</v>
      </c>
      <c r="MFU249" s="5">
        <f t="shared" si="139"/>
        <v>0</v>
      </c>
      <c r="MFV249" s="5">
        <f t="shared" si="139"/>
        <v>0</v>
      </c>
      <c r="MFW249" s="5">
        <f t="shared" si="139"/>
        <v>0</v>
      </c>
      <c r="MFX249" s="5">
        <f t="shared" si="139"/>
        <v>0</v>
      </c>
      <c r="MFY249" s="5">
        <f t="shared" si="139"/>
        <v>0</v>
      </c>
      <c r="MFZ249" s="5">
        <f t="shared" si="139"/>
        <v>0</v>
      </c>
      <c r="MGA249" s="5">
        <f t="shared" si="139"/>
        <v>0</v>
      </c>
      <c r="MGB249" s="5">
        <f t="shared" si="139"/>
        <v>0</v>
      </c>
      <c r="MGC249" s="5">
        <f t="shared" si="139"/>
        <v>0</v>
      </c>
      <c r="MGD249" s="5">
        <f t="shared" si="139"/>
        <v>0</v>
      </c>
      <c r="MGE249" s="5">
        <f t="shared" si="139"/>
        <v>0</v>
      </c>
      <c r="MGF249" s="5">
        <f t="shared" si="139"/>
        <v>0</v>
      </c>
      <c r="MGG249" s="5">
        <f t="shared" si="139"/>
        <v>0</v>
      </c>
      <c r="MGH249" s="5">
        <f t="shared" ref="MGH249:MIS249" si="140">SUM(MGH246:MGH246)</f>
        <v>0</v>
      </c>
      <c r="MGI249" s="5">
        <f t="shared" si="140"/>
        <v>0</v>
      </c>
      <c r="MGJ249" s="5">
        <f t="shared" si="140"/>
        <v>0</v>
      </c>
      <c r="MGK249" s="5">
        <f t="shared" si="140"/>
        <v>0</v>
      </c>
      <c r="MGL249" s="5">
        <f t="shared" si="140"/>
        <v>0</v>
      </c>
      <c r="MGM249" s="5">
        <f t="shared" si="140"/>
        <v>0</v>
      </c>
      <c r="MGN249" s="5">
        <f t="shared" si="140"/>
        <v>0</v>
      </c>
      <c r="MGO249" s="5">
        <f t="shared" si="140"/>
        <v>0</v>
      </c>
      <c r="MGP249" s="5">
        <f t="shared" si="140"/>
        <v>0</v>
      </c>
      <c r="MGQ249" s="5">
        <f t="shared" si="140"/>
        <v>0</v>
      </c>
      <c r="MGR249" s="5">
        <f t="shared" si="140"/>
        <v>0</v>
      </c>
      <c r="MGS249" s="5">
        <f t="shared" si="140"/>
        <v>0</v>
      </c>
      <c r="MGT249" s="5">
        <f t="shared" si="140"/>
        <v>0</v>
      </c>
      <c r="MGU249" s="5">
        <f t="shared" si="140"/>
        <v>0</v>
      </c>
      <c r="MGV249" s="5">
        <f t="shared" si="140"/>
        <v>0</v>
      </c>
      <c r="MGW249" s="5">
        <f t="shared" si="140"/>
        <v>0</v>
      </c>
      <c r="MGX249" s="5">
        <f t="shared" si="140"/>
        <v>0</v>
      </c>
      <c r="MGY249" s="5">
        <f t="shared" si="140"/>
        <v>0</v>
      </c>
      <c r="MGZ249" s="5">
        <f t="shared" si="140"/>
        <v>0</v>
      </c>
      <c r="MHA249" s="5">
        <f t="shared" si="140"/>
        <v>0</v>
      </c>
      <c r="MHB249" s="5">
        <f t="shared" si="140"/>
        <v>0</v>
      </c>
      <c r="MHC249" s="5">
        <f t="shared" si="140"/>
        <v>0</v>
      </c>
      <c r="MHD249" s="5">
        <f t="shared" si="140"/>
        <v>0</v>
      </c>
      <c r="MHE249" s="5">
        <f t="shared" si="140"/>
        <v>0</v>
      </c>
      <c r="MHF249" s="5">
        <f t="shared" si="140"/>
        <v>0</v>
      </c>
      <c r="MHG249" s="5">
        <f t="shared" si="140"/>
        <v>0</v>
      </c>
      <c r="MHH249" s="5">
        <f t="shared" si="140"/>
        <v>0</v>
      </c>
      <c r="MHI249" s="5">
        <f t="shared" si="140"/>
        <v>0</v>
      </c>
      <c r="MHJ249" s="5">
        <f t="shared" si="140"/>
        <v>0</v>
      </c>
      <c r="MHK249" s="5">
        <f t="shared" si="140"/>
        <v>0</v>
      </c>
      <c r="MHL249" s="5">
        <f t="shared" si="140"/>
        <v>0</v>
      </c>
      <c r="MHM249" s="5">
        <f t="shared" si="140"/>
        <v>0</v>
      </c>
      <c r="MHN249" s="5">
        <f t="shared" si="140"/>
        <v>0</v>
      </c>
      <c r="MHO249" s="5">
        <f t="shared" si="140"/>
        <v>0</v>
      </c>
      <c r="MHP249" s="5">
        <f t="shared" si="140"/>
        <v>0</v>
      </c>
      <c r="MHQ249" s="5">
        <f t="shared" si="140"/>
        <v>0</v>
      </c>
      <c r="MHR249" s="5">
        <f t="shared" si="140"/>
        <v>0</v>
      </c>
      <c r="MHS249" s="5">
        <f t="shared" si="140"/>
        <v>0</v>
      </c>
      <c r="MHT249" s="5">
        <f t="shared" si="140"/>
        <v>0</v>
      </c>
      <c r="MHU249" s="5">
        <f t="shared" si="140"/>
        <v>0</v>
      </c>
      <c r="MHV249" s="5">
        <f t="shared" si="140"/>
        <v>0</v>
      </c>
      <c r="MHW249" s="5">
        <f t="shared" si="140"/>
        <v>0</v>
      </c>
      <c r="MHX249" s="5">
        <f t="shared" si="140"/>
        <v>0</v>
      </c>
      <c r="MHY249" s="5">
        <f t="shared" si="140"/>
        <v>0</v>
      </c>
      <c r="MHZ249" s="5">
        <f t="shared" si="140"/>
        <v>0</v>
      </c>
      <c r="MIA249" s="5">
        <f t="shared" si="140"/>
        <v>0</v>
      </c>
      <c r="MIB249" s="5">
        <f t="shared" si="140"/>
        <v>0</v>
      </c>
      <c r="MIC249" s="5">
        <f t="shared" si="140"/>
        <v>0</v>
      </c>
      <c r="MID249" s="5">
        <f t="shared" si="140"/>
        <v>0</v>
      </c>
      <c r="MIE249" s="5">
        <f t="shared" si="140"/>
        <v>0</v>
      </c>
      <c r="MIF249" s="5">
        <f t="shared" si="140"/>
        <v>0</v>
      </c>
      <c r="MIG249" s="5">
        <f t="shared" si="140"/>
        <v>0</v>
      </c>
      <c r="MIH249" s="5">
        <f t="shared" si="140"/>
        <v>0</v>
      </c>
      <c r="MII249" s="5">
        <f t="shared" si="140"/>
        <v>0</v>
      </c>
      <c r="MIJ249" s="5">
        <f t="shared" si="140"/>
        <v>0</v>
      </c>
      <c r="MIK249" s="5">
        <f t="shared" si="140"/>
        <v>0</v>
      </c>
      <c r="MIL249" s="5">
        <f t="shared" si="140"/>
        <v>0</v>
      </c>
      <c r="MIM249" s="5">
        <f t="shared" si="140"/>
        <v>0</v>
      </c>
      <c r="MIN249" s="5">
        <f t="shared" si="140"/>
        <v>0</v>
      </c>
      <c r="MIO249" s="5">
        <f t="shared" si="140"/>
        <v>0</v>
      </c>
      <c r="MIP249" s="5">
        <f t="shared" si="140"/>
        <v>0</v>
      </c>
      <c r="MIQ249" s="5">
        <f t="shared" si="140"/>
        <v>0</v>
      </c>
      <c r="MIR249" s="5">
        <f t="shared" si="140"/>
        <v>0</v>
      </c>
      <c r="MIS249" s="5">
        <f t="shared" si="140"/>
        <v>0</v>
      </c>
      <c r="MIT249" s="5">
        <f t="shared" ref="MIT249:MLE249" si="141">SUM(MIT246:MIT246)</f>
        <v>0</v>
      </c>
      <c r="MIU249" s="5">
        <f t="shared" si="141"/>
        <v>0</v>
      </c>
      <c r="MIV249" s="5">
        <f t="shared" si="141"/>
        <v>0</v>
      </c>
      <c r="MIW249" s="5">
        <f t="shared" si="141"/>
        <v>0</v>
      </c>
      <c r="MIX249" s="5">
        <f t="shared" si="141"/>
        <v>0</v>
      </c>
      <c r="MIY249" s="5">
        <f t="shared" si="141"/>
        <v>0</v>
      </c>
      <c r="MIZ249" s="5">
        <f t="shared" si="141"/>
        <v>0</v>
      </c>
      <c r="MJA249" s="5">
        <f t="shared" si="141"/>
        <v>0</v>
      </c>
      <c r="MJB249" s="5">
        <f t="shared" si="141"/>
        <v>0</v>
      </c>
      <c r="MJC249" s="5">
        <f t="shared" si="141"/>
        <v>0</v>
      </c>
      <c r="MJD249" s="5">
        <f t="shared" si="141"/>
        <v>0</v>
      </c>
      <c r="MJE249" s="5">
        <f t="shared" si="141"/>
        <v>0</v>
      </c>
      <c r="MJF249" s="5">
        <f t="shared" si="141"/>
        <v>0</v>
      </c>
      <c r="MJG249" s="5">
        <f t="shared" si="141"/>
        <v>0</v>
      </c>
      <c r="MJH249" s="5">
        <f t="shared" si="141"/>
        <v>0</v>
      </c>
      <c r="MJI249" s="5">
        <f t="shared" si="141"/>
        <v>0</v>
      </c>
      <c r="MJJ249" s="5">
        <f t="shared" si="141"/>
        <v>0</v>
      </c>
      <c r="MJK249" s="5">
        <f t="shared" si="141"/>
        <v>0</v>
      </c>
      <c r="MJL249" s="5">
        <f t="shared" si="141"/>
        <v>0</v>
      </c>
      <c r="MJM249" s="5">
        <f t="shared" si="141"/>
        <v>0</v>
      </c>
      <c r="MJN249" s="5">
        <f t="shared" si="141"/>
        <v>0</v>
      </c>
      <c r="MJO249" s="5">
        <f t="shared" si="141"/>
        <v>0</v>
      </c>
      <c r="MJP249" s="5">
        <f t="shared" si="141"/>
        <v>0</v>
      </c>
      <c r="MJQ249" s="5">
        <f t="shared" si="141"/>
        <v>0</v>
      </c>
      <c r="MJR249" s="5">
        <f t="shared" si="141"/>
        <v>0</v>
      </c>
      <c r="MJS249" s="5">
        <f t="shared" si="141"/>
        <v>0</v>
      </c>
      <c r="MJT249" s="5">
        <f t="shared" si="141"/>
        <v>0</v>
      </c>
      <c r="MJU249" s="5">
        <f t="shared" si="141"/>
        <v>0</v>
      </c>
      <c r="MJV249" s="5">
        <f t="shared" si="141"/>
        <v>0</v>
      </c>
      <c r="MJW249" s="5">
        <f t="shared" si="141"/>
        <v>0</v>
      </c>
      <c r="MJX249" s="5">
        <f t="shared" si="141"/>
        <v>0</v>
      </c>
      <c r="MJY249" s="5">
        <f t="shared" si="141"/>
        <v>0</v>
      </c>
      <c r="MJZ249" s="5">
        <f t="shared" si="141"/>
        <v>0</v>
      </c>
      <c r="MKA249" s="5">
        <f t="shared" si="141"/>
        <v>0</v>
      </c>
      <c r="MKB249" s="5">
        <f t="shared" si="141"/>
        <v>0</v>
      </c>
      <c r="MKC249" s="5">
        <f t="shared" si="141"/>
        <v>0</v>
      </c>
      <c r="MKD249" s="5">
        <f t="shared" si="141"/>
        <v>0</v>
      </c>
      <c r="MKE249" s="5">
        <f t="shared" si="141"/>
        <v>0</v>
      </c>
      <c r="MKF249" s="5">
        <f t="shared" si="141"/>
        <v>0</v>
      </c>
      <c r="MKG249" s="5">
        <f t="shared" si="141"/>
        <v>0</v>
      </c>
      <c r="MKH249" s="5">
        <f t="shared" si="141"/>
        <v>0</v>
      </c>
      <c r="MKI249" s="5">
        <f t="shared" si="141"/>
        <v>0</v>
      </c>
      <c r="MKJ249" s="5">
        <f t="shared" si="141"/>
        <v>0</v>
      </c>
      <c r="MKK249" s="5">
        <f t="shared" si="141"/>
        <v>0</v>
      </c>
      <c r="MKL249" s="5">
        <f t="shared" si="141"/>
        <v>0</v>
      </c>
      <c r="MKM249" s="5">
        <f t="shared" si="141"/>
        <v>0</v>
      </c>
      <c r="MKN249" s="5">
        <f t="shared" si="141"/>
        <v>0</v>
      </c>
      <c r="MKO249" s="5">
        <f t="shared" si="141"/>
        <v>0</v>
      </c>
      <c r="MKP249" s="5">
        <f t="shared" si="141"/>
        <v>0</v>
      </c>
      <c r="MKQ249" s="5">
        <f t="shared" si="141"/>
        <v>0</v>
      </c>
      <c r="MKR249" s="5">
        <f t="shared" si="141"/>
        <v>0</v>
      </c>
      <c r="MKS249" s="5">
        <f t="shared" si="141"/>
        <v>0</v>
      </c>
      <c r="MKT249" s="5">
        <f t="shared" si="141"/>
        <v>0</v>
      </c>
      <c r="MKU249" s="5">
        <f t="shared" si="141"/>
        <v>0</v>
      </c>
      <c r="MKV249" s="5">
        <f t="shared" si="141"/>
        <v>0</v>
      </c>
      <c r="MKW249" s="5">
        <f t="shared" si="141"/>
        <v>0</v>
      </c>
      <c r="MKX249" s="5">
        <f t="shared" si="141"/>
        <v>0</v>
      </c>
      <c r="MKY249" s="5">
        <f t="shared" si="141"/>
        <v>0</v>
      </c>
      <c r="MKZ249" s="5">
        <f t="shared" si="141"/>
        <v>0</v>
      </c>
      <c r="MLA249" s="5">
        <f t="shared" si="141"/>
        <v>0</v>
      </c>
      <c r="MLB249" s="5">
        <f t="shared" si="141"/>
        <v>0</v>
      </c>
      <c r="MLC249" s="5">
        <f t="shared" si="141"/>
        <v>0</v>
      </c>
      <c r="MLD249" s="5">
        <f t="shared" si="141"/>
        <v>0</v>
      </c>
      <c r="MLE249" s="5">
        <f t="shared" si="141"/>
        <v>0</v>
      </c>
      <c r="MLF249" s="5">
        <f t="shared" ref="MLF249:MNQ249" si="142">SUM(MLF246:MLF246)</f>
        <v>0</v>
      </c>
      <c r="MLG249" s="5">
        <f t="shared" si="142"/>
        <v>0</v>
      </c>
      <c r="MLH249" s="5">
        <f t="shared" si="142"/>
        <v>0</v>
      </c>
      <c r="MLI249" s="5">
        <f t="shared" si="142"/>
        <v>0</v>
      </c>
      <c r="MLJ249" s="5">
        <f t="shared" si="142"/>
        <v>0</v>
      </c>
      <c r="MLK249" s="5">
        <f t="shared" si="142"/>
        <v>0</v>
      </c>
      <c r="MLL249" s="5">
        <f t="shared" si="142"/>
        <v>0</v>
      </c>
      <c r="MLM249" s="5">
        <f t="shared" si="142"/>
        <v>0</v>
      </c>
      <c r="MLN249" s="5">
        <f t="shared" si="142"/>
        <v>0</v>
      </c>
      <c r="MLO249" s="5">
        <f t="shared" si="142"/>
        <v>0</v>
      </c>
      <c r="MLP249" s="5">
        <f t="shared" si="142"/>
        <v>0</v>
      </c>
      <c r="MLQ249" s="5">
        <f t="shared" si="142"/>
        <v>0</v>
      </c>
      <c r="MLR249" s="5">
        <f t="shared" si="142"/>
        <v>0</v>
      </c>
      <c r="MLS249" s="5">
        <f t="shared" si="142"/>
        <v>0</v>
      </c>
      <c r="MLT249" s="5">
        <f t="shared" si="142"/>
        <v>0</v>
      </c>
      <c r="MLU249" s="5">
        <f t="shared" si="142"/>
        <v>0</v>
      </c>
      <c r="MLV249" s="5">
        <f t="shared" si="142"/>
        <v>0</v>
      </c>
      <c r="MLW249" s="5">
        <f t="shared" si="142"/>
        <v>0</v>
      </c>
      <c r="MLX249" s="5">
        <f t="shared" si="142"/>
        <v>0</v>
      </c>
      <c r="MLY249" s="5">
        <f t="shared" si="142"/>
        <v>0</v>
      </c>
      <c r="MLZ249" s="5">
        <f t="shared" si="142"/>
        <v>0</v>
      </c>
      <c r="MMA249" s="5">
        <f t="shared" si="142"/>
        <v>0</v>
      </c>
      <c r="MMB249" s="5">
        <f t="shared" si="142"/>
        <v>0</v>
      </c>
      <c r="MMC249" s="5">
        <f t="shared" si="142"/>
        <v>0</v>
      </c>
      <c r="MMD249" s="5">
        <f t="shared" si="142"/>
        <v>0</v>
      </c>
      <c r="MME249" s="5">
        <f t="shared" si="142"/>
        <v>0</v>
      </c>
      <c r="MMF249" s="5">
        <f t="shared" si="142"/>
        <v>0</v>
      </c>
      <c r="MMG249" s="5">
        <f t="shared" si="142"/>
        <v>0</v>
      </c>
      <c r="MMH249" s="5">
        <f t="shared" si="142"/>
        <v>0</v>
      </c>
      <c r="MMI249" s="5">
        <f t="shared" si="142"/>
        <v>0</v>
      </c>
      <c r="MMJ249" s="5">
        <f t="shared" si="142"/>
        <v>0</v>
      </c>
      <c r="MMK249" s="5">
        <f t="shared" si="142"/>
        <v>0</v>
      </c>
      <c r="MML249" s="5">
        <f t="shared" si="142"/>
        <v>0</v>
      </c>
      <c r="MMM249" s="5">
        <f t="shared" si="142"/>
        <v>0</v>
      </c>
      <c r="MMN249" s="5">
        <f t="shared" si="142"/>
        <v>0</v>
      </c>
      <c r="MMO249" s="5">
        <f t="shared" si="142"/>
        <v>0</v>
      </c>
      <c r="MMP249" s="5">
        <f t="shared" si="142"/>
        <v>0</v>
      </c>
      <c r="MMQ249" s="5">
        <f t="shared" si="142"/>
        <v>0</v>
      </c>
      <c r="MMR249" s="5">
        <f t="shared" si="142"/>
        <v>0</v>
      </c>
      <c r="MMS249" s="5">
        <f t="shared" si="142"/>
        <v>0</v>
      </c>
      <c r="MMT249" s="5">
        <f t="shared" si="142"/>
        <v>0</v>
      </c>
      <c r="MMU249" s="5">
        <f t="shared" si="142"/>
        <v>0</v>
      </c>
      <c r="MMV249" s="5">
        <f t="shared" si="142"/>
        <v>0</v>
      </c>
      <c r="MMW249" s="5">
        <f t="shared" si="142"/>
        <v>0</v>
      </c>
      <c r="MMX249" s="5">
        <f t="shared" si="142"/>
        <v>0</v>
      </c>
      <c r="MMY249" s="5">
        <f t="shared" si="142"/>
        <v>0</v>
      </c>
      <c r="MMZ249" s="5">
        <f t="shared" si="142"/>
        <v>0</v>
      </c>
      <c r="MNA249" s="5">
        <f t="shared" si="142"/>
        <v>0</v>
      </c>
      <c r="MNB249" s="5">
        <f t="shared" si="142"/>
        <v>0</v>
      </c>
      <c r="MNC249" s="5">
        <f t="shared" si="142"/>
        <v>0</v>
      </c>
      <c r="MND249" s="5">
        <f t="shared" si="142"/>
        <v>0</v>
      </c>
      <c r="MNE249" s="5">
        <f t="shared" si="142"/>
        <v>0</v>
      </c>
      <c r="MNF249" s="5">
        <f t="shared" si="142"/>
        <v>0</v>
      </c>
      <c r="MNG249" s="5">
        <f t="shared" si="142"/>
        <v>0</v>
      </c>
      <c r="MNH249" s="5">
        <f t="shared" si="142"/>
        <v>0</v>
      </c>
      <c r="MNI249" s="5">
        <f t="shared" si="142"/>
        <v>0</v>
      </c>
      <c r="MNJ249" s="5">
        <f t="shared" si="142"/>
        <v>0</v>
      </c>
      <c r="MNK249" s="5">
        <f t="shared" si="142"/>
        <v>0</v>
      </c>
      <c r="MNL249" s="5">
        <f t="shared" si="142"/>
        <v>0</v>
      </c>
      <c r="MNM249" s="5">
        <f t="shared" si="142"/>
        <v>0</v>
      </c>
      <c r="MNN249" s="5">
        <f t="shared" si="142"/>
        <v>0</v>
      </c>
      <c r="MNO249" s="5">
        <f t="shared" si="142"/>
        <v>0</v>
      </c>
      <c r="MNP249" s="5">
        <f t="shared" si="142"/>
        <v>0</v>
      </c>
      <c r="MNQ249" s="5">
        <f t="shared" si="142"/>
        <v>0</v>
      </c>
      <c r="MNR249" s="5">
        <f t="shared" ref="MNR249:MQC249" si="143">SUM(MNR246:MNR246)</f>
        <v>0</v>
      </c>
      <c r="MNS249" s="5">
        <f t="shared" si="143"/>
        <v>0</v>
      </c>
      <c r="MNT249" s="5">
        <f t="shared" si="143"/>
        <v>0</v>
      </c>
      <c r="MNU249" s="5">
        <f t="shared" si="143"/>
        <v>0</v>
      </c>
      <c r="MNV249" s="5">
        <f t="shared" si="143"/>
        <v>0</v>
      </c>
      <c r="MNW249" s="5">
        <f t="shared" si="143"/>
        <v>0</v>
      </c>
      <c r="MNX249" s="5">
        <f t="shared" si="143"/>
        <v>0</v>
      </c>
      <c r="MNY249" s="5">
        <f t="shared" si="143"/>
        <v>0</v>
      </c>
      <c r="MNZ249" s="5">
        <f t="shared" si="143"/>
        <v>0</v>
      </c>
      <c r="MOA249" s="5">
        <f t="shared" si="143"/>
        <v>0</v>
      </c>
      <c r="MOB249" s="5">
        <f t="shared" si="143"/>
        <v>0</v>
      </c>
      <c r="MOC249" s="5">
        <f t="shared" si="143"/>
        <v>0</v>
      </c>
      <c r="MOD249" s="5">
        <f t="shared" si="143"/>
        <v>0</v>
      </c>
      <c r="MOE249" s="5">
        <f t="shared" si="143"/>
        <v>0</v>
      </c>
      <c r="MOF249" s="5">
        <f t="shared" si="143"/>
        <v>0</v>
      </c>
      <c r="MOG249" s="5">
        <f t="shared" si="143"/>
        <v>0</v>
      </c>
      <c r="MOH249" s="5">
        <f t="shared" si="143"/>
        <v>0</v>
      </c>
      <c r="MOI249" s="5">
        <f t="shared" si="143"/>
        <v>0</v>
      </c>
      <c r="MOJ249" s="5">
        <f t="shared" si="143"/>
        <v>0</v>
      </c>
      <c r="MOK249" s="5">
        <f t="shared" si="143"/>
        <v>0</v>
      </c>
      <c r="MOL249" s="5">
        <f t="shared" si="143"/>
        <v>0</v>
      </c>
      <c r="MOM249" s="5">
        <f t="shared" si="143"/>
        <v>0</v>
      </c>
      <c r="MON249" s="5">
        <f t="shared" si="143"/>
        <v>0</v>
      </c>
      <c r="MOO249" s="5">
        <f t="shared" si="143"/>
        <v>0</v>
      </c>
      <c r="MOP249" s="5">
        <f t="shared" si="143"/>
        <v>0</v>
      </c>
      <c r="MOQ249" s="5">
        <f t="shared" si="143"/>
        <v>0</v>
      </c>
      <c r="MOR249" s="5">
        <f t="shared" si="143"/>
        <v>0</v>
      </c>
      <c r="MOS249" s="5">
        <f t="shared" si="143"/>
        <v>0</v>
      </c>
      <c r="MOT249" s="5">
        <f t="shared" si="143"/>
        <v>0</v>
      </c>
      <c r="MOU249" s="5">
        <f t="shared" si="143"/>
        <v>0</v>
      </c>
      <c r="MOV249" s="5">
        <f t="shared" si="143"/>
        <v>0</v>
      </c>
      <c r="MOW249" s="5">
        <f t="shared" si="143"/>
        <v>0</v>
      </c>
      <c r="MOX249" s="5">
        <f t="shared" si="143"/>
        <v>0</v>
      </c>
      <c r="MOY249" s="5">
        <f t="shared" si="143"/>
        <v>0</v>
      </c>
      <c r="MOZ249" s="5">
        <f t="shared" si="143"/>
        <v>0</v>
      </c>
      <c r="MPA249" s="5">
        <f t="shared" si="143"/>
        <v>0</v>
      </c>
      <c r="MPB249" s="5">
        <f t="shared" si="143"/>
        <v>0</v>
      </c>
      <c r="MPC249" s="5">
        <f t="shared" si="143"/>
        <v>0</v>
      </c>
      <c r="MPD249" s="5">
        <f t="shared" si="143"/>
        <v>0</v>
      </c>
      <c r="MPE249" s="5">
        <f t="shared" si="143"/>
        <v>0</v>
      </c>
      <c r="MPF249" s="5">
        <f t="shared" si="143"/>
        <v>0</v>
      </c>
      <c r="MPG249" s="5">
        <f t="shared" si="143"/>
        <v>0</v>
      </c>
      <c r="MPH249" s="5">
        <f t="shared" si="143"/>
        <v>0</v>
      </c>
      <c r="MPI249" s="5">
        <f t="shared" si="143"/>
        <v>0</v>
      </c>
      <c r="MPJ249" s="5">
        <f t="shared" si="143"/>
        <v>0</v>
      </c>
      <c r="MPK249" s="5">
        <f t="shared" si="143"/>
        <v>0</v>
      </c>
      <c r="MPL249" s="5">
        <f t="shared" si="143"/>
        <v>0</v>
      </c>
      <c r="MPM249" s="5">
        <f t="shared" si="143"/>
        <v>0</v>
      </c>
      <c r="MPN249" s="5">
        <f t="shared" si="143"/>
        <v>0</v>
      </c>
      <c r="MPO249" s="5">
        <f t="shared" si="143"/>
        <v>0</v>
      </c>
      <c r="MPP249" s="5">
        <f t="shared" si="143"/>
        <v>0</v>
      </c>
      <c r="MPQ249" s="5">
        <f t="shared" si="143"/>
        <v>0</v>
      </c>
      <c r="MPR249" s="5">
        <f t="shared" si="143"/>
        <v>0</v>
      </c>
      <c r="MPS249" s="5">
        <f t="shared" si="143"/>
        <v>0</v>
      </c>
      <c r="MPT249" s="5">
        <f t="shared" si="143"/>
        <v>0</v>
      </c>
      <c r="MPU249" s="5">
        <f t="shared" si="143"/>
        <v>0</v>
      </c>
      <c r="MPV249" s="5">
        <f t="shared" si="143"/>
        <v>0</v>
      </c>
      <c r="MPW249" s="5">
        <f t="shared" si="143"/>
        <v>0</v>
      </c>
      <c r="MPX249" s="5">
        <f t="shared" si="143"/>
        <v>0</v>
      </c>
      <c r="MPY249" s="5">
        <f t="shared" si="143"/>
        <v>0</v>
      </c>
      <c r="MPZ249" s="5">
        <f t="shared" si="143"/>
        <v>0</v>
      </c>
      <c r="MQA249" s="5">
        <f t="shared" si="143"/>
        <v>0</v>
      </c>
      <c r="MQB249" s="5">
        <f t="shared" si="143"/>
        <v>0</v>
      </c>
      <c r="MQC249" s="5">
        <f t="shared" si="143"/>
        <v>0</v>
      </c>
      <c r="MQD249" s="5">
        <f t="shared" ref="MQD249:MSO249" si="144">SUM(MQD246:MQD246)</f>
        <v>0</v>
      </c>
      <c r="MQE249" s="5">
        <f t="shared" si="144"/>
        <v>0</v>
      </c>
      <c r="MQF249" s="5">
        <f t="shared" si="144"/>
        <v>0</v>
      </c>
      <c r="MQG249" s="5">
        <f t="shared" si="144"/>
        <v>0</v>
      </c>
      <c r="MQH249" s="5">
        <f t="shared" si="144"/>
        <v>0</v>
      </c>
      <c r="MQI249" s="5">
        <f t="shared" si="144"/>
        <v>0</v>
      </c>
      <c r="MQJ249" s="5">
        <f t="shared" si="144"/>
        <v>0</v>
      </c>
      <c r="MQK249" s="5">
        <f t="shared" si="144"/>
        <v>0</v>
      </c>
      <c r="MQL249" s="5">
        <f t="shared" si="144"/>
        <v>0</v>
      </c>
      <c r="MQM249" s="5">
        <f t="shared" si="144"/>
        <v>0</v>
      </c>
      <c r="MQN249" s="5">
        <f t="shared" si="144"/>
        <v>0</v>
      </c>
      <c r="MQO249" s="5">
        <f t="shared" si="144"/>
        <v>0</v>
      </c>
      <c r="MQP249" s="5">
        <f t="shared" si="144"/>
        <v>0</v>
      </c>
      <c r="MQQ249" s="5">
        <f t="shared" si="144"/>
        <v>0</v>
      </c>
      <c r="MQR249" s="5">
        <f t="shared" si="144"/>
        <v>0</v>
      </c>
      <c r="MQS249" s="5">
        <f t="shared" si="144"/>
        <v>0</v>
      </c>
      <c r="MQT249" s="5">
        <f t="shared" si="144"/>
        <v>0</v>
      </c>
      <c r="MQU249" s="5">
        <f t="shared" si="144"/>
        <v>0</v>
      </c>
      <c r="MQV249" s="5">
        <f t="shared" si="144"/>
        <v>0</v>
      </c>
      <c r="MQW249" s="5">
        <f t="shared" si="144"/>
        <v>0</v>
      </c>
      <c r="MQX249" s="5">
        <f t="shared" si="144"/>
        <v>0</v>
      </c>
      <c r="MQY249" s="5">
        <f t="shared" si="144"/>
        <v>0</v>
      </c>
      <c r="MQZ249" s="5">
        <f t="shared" si="144"/>
        <v>0</v>
      </c>
      <c r="MRA249" s="5">
        <f t="shared" si="144"/>
        <v>0</v>
      </c>
      <c r="MRB249" s="5">
        <f t="shared" si="144"/>
        <v>0</v>
      </c>
      <c r="MRC249" s="5">
        <f t="shared" si="144"/>
        <v>0</v>
      </c>
      <c r="MRD249" s="5">
        <f t="shared" si="144"/>
        <v>0</v>
      </c>
      <c r="MRE249" s="5">
        <f t="shared" si="144"/>
        <v>0</v>
      </c>
      <c r="MRF249" s="5">
        <f t="shared" si="144"/>
        <v>0</v>
      </c>
      <c r="MRG249" s="5">
        <f t="shared" si="144"/>
        <v>0</v>
      </c>
      <c r="MRH249" s="5">
        <f t="shared" si="144"/>
        <v>0</v>
      </c>
      <c r="MRI249" s="5">
        <f t="shared" si="144"/>
        <v>0</v>
      </c>
      <c r="MRJ249" s="5">
        <f t="shared" si="144"/>
        <v>0</v>
      </c>
      <c r="MRK249" s="5">
        <f t="shared" si="144"/>
        <v>0</v>
      </c>
      <c r="MRL249" s="5">
        <f t="shared" si="144"/>
        <v>0</v>
      </c>
      <c r="MRM249" s="5">
        <f t="shared" si="144"/>
        <v>0</v>
      </c>
      <c r="MRN249" s="5">
        <f t="shared" si="144"/>
        <v>0</v>
      </c>
      <c r="MRO249" s="5">
        <f t="shared" si="144"/>
        <v>0</v>
      </c>
      <c r="MRP249" s="5">
        <f t="shared" si="144"/>
        <v>0</v>
      </c>
      <c r="MRQ249" s="5">
        <f t="shared" si="144"/>
        <v>0</v>
      </c>
      <c r="MRR249" s="5">
        <f t="shared" si="144"/>
        <v>0</v>
      </c>
      <c r="MRS249" s="5">
        <f t="shared" si="144"/>
        <v>0</v>
      </c>
      <c r="MRT249" s="5">
        <f t="shared" si="144"/>
        <v>0</v>
      </c>
      <c r="MRU249" s="5">
        <f t="shared" si="144"/>
        <v>0</v>
      </c>
      <c r="MRV249" s="5">
        <f t="shared" si="144"/>
        <v>0</v>
      </c>
      <c r="MRW249" s="5">
        <f t="shared" si="144"/>
        <v>0</v>
      </c>
      <c r="MRX249" s="5">
        <f t="shared" si="144"/>
        <v>0</v>
      </c>
      <c r="MRY249" s="5">
        <f t="shared" si="144"/>
        <v>0</v>
      </c>
      <c r="MRZ249" s="5">
        <f t="shared" si="144"/>
        <v>0</v>
      </c>
      <c r="MSA249" s="5">
        <f t="shared" si="144"/>
        <v>0</v>
      </c>
      <c r="MSB249" s="5">
        <f t="shared" si="144"/>
        <v>0</v>
      </c>
      <c r="MSC249" s="5">
        <f t="shared" si="144"/>
        <v>0</v>
      </c>
      <c r="MSD249" s="5">
        <f t="shared" si="144"/>
        <v>0</v>
      </c>
      <c r="MSE249" s="5">
        <f t="shared" si="144"/>
        <v>0</v>
      </c>
      <c r="MSF249" s="5">
        <f t="shared" si="144"/>
        <v>0</v>
      </c>
      <c r="MSG249" s="5">
        <f t="shared" si="144"/>
        <v>0</v>
      </c>
      <c r="MSH249" s="5">
        <f t="shared" si="144"/>
        <v>0</v>
      </c>
      <c r="MSI249" s="5">
        <f t="shared" si="144"/>
        <v>0</v>
      </c>
      <c r="MSJ249" s="5">
        <f t="shared" si="144"/>
        <v>0</v>
      </c>
      <c r="MSK249" s="5">
        <f t="shared" si="144"/>
        <v>0</v>
      </c>
      <c r="MSL249" s="5">
        <f t="shared" si="144"/>
        <v>0</v>
      </c>
      <c r="MSM249" s="5">
        <f t="shared" si="144"/>
        <v>0</v>
      </c>
      <c r="MSN249" s="5">
        <f t="shared" si="144"/>
        <v>0</v>
      </c>
      <c r="MSO249" s="5">
        <f t="shared" si="144"/>
        <v>0</v>
      </c>
      <c r="MSP249" s="5">
        <f t="shared" ref="MSP249:MVA249" si="145">SUM(MSP246:MSP246)</f>
        <v>0</v>
      </c>
      <c r="MSQ249" s="5">
        <f t="shared" si="145"/>
        <v>0</v>
      </c>
      <c r="MSR249" s="5">
        <f t="shared" si="145"/>
        <v>0</v>
      </c>
      <c r="MSS249" s="5">
        <f t="shared" si="145"/>
        <v>0</v>
      </c>
      <c r="MST249" s="5">
        <f t="shared" si="145"/>
        <v>0</v>
      </c>
      <c r="MSU249" s="5">
        <f t="shared" si="145"/>
        <v>0</v>
      </c>
      <c r="MSV249" s="5">
        <f t="shared" si="145"/>
        <v>0</v>
      </c>
      <c r="MSW249" s="5">
        <f t="shared" si="145"/>
        <v>0</v>
      </c>
      <c r="MSX249" s="5">
        <f t="shared" si="145"/>
        <v>0</v>
      </c>
      <c r="MSY249" s="5">
        <f t="shared" si="145"/>
        <v>0</v>
      </c>
      <c r="MSZ249" s="5">
        <f t="shared" si="145"/>
        <v>0</v>
      </c>
      <c r="MTA249" s="5">
        <f t="shared" si="145"/>
        <v>0</v>
      </c>
      <c r="MTB249" s="5">
        <f t="shared" si="145"/>
        <v>0</v>
      </c>
      <c r="MTC249" s="5">
        <f t="shared" si="145"/>
        <v>0</v>
      </c>
      <c r="MTD249" s="5">
        <f t="shared" si="145"/>
        <v>0</v>
      </c>
      <c r="MTE249" s="5">
        <f t="shared" si="145"/>
        <v>0</v>
      </c>
      <c r="MTF249" s="5">
        <f t="shared" si="145"/>
        <v>0</v>
      </c>
      <c r="MTG249" s="5">
        <f t="shared" si="145"/>
        <v>0</v>
      </c>
      <c r="MTH249" s="5">
        <f t="shared" si="145"/>
        <v>0</v>
      </c>
      <c r="MTI249" s="5">
        <f t="shared" si="145"/>
        <v>0</v>
      </c>
      <c r="MTJ249" s="5">
        <f t="shared" si="145"/>
        <v>0</v>
      </c>
      <c r="MTK249" s="5">
        <f t="shared" si="145"/>
        <v>0</v>
      </c>
      <c r="MTL249" s="5">
        <f t="shared" si="145"/>
        <v>0</v>
      </c>
      <c r="MTM249" s="5">
        <f t="shared" si="145"/>
        <v>0</v>
      </c>
      <c r="MTN249" s="5">
        <f t="shared" si="145"/>
        <v>0</v>
      </c>
      <c r="MTO249" s="5">
        <f t="shared" si="145"/>
        <v>0</v>
      </c>
      <c r="MTP249" s="5">
        <f t="shared" si="145"/>
        <v>0</v>
      </c>
      <c r="MTQ249" s="5">
        <f t="shared" si="145"/>
        <v>0</v>
      </c>
      <c r="MTR249" s="5">
        <f t="shared" si="145"/>
        <v>0</v>
      </c>
      <c r="MTS249" s="5">
        <f t="shared" si="145"/>
        <v>0</v>
      </c>
      <c r="MTT249" s="5">
        <f t="shared" si="145"/>
        <v>0</v>
      </c>
      <c r="MTU249" s="5">
        <f t="shared" si="145"/>
        <v>0</v>
      </c>
      <c r="MTV249" s="5">
        <f t="shared" si="145"/>
        <v>0</v>
      </c>
      <c r="MTW249" s="5">
        <f t="shared" si="145"/>
        <v>0</v>
      </c>
      <c r="MTX249" s="5">
        <f t="shared" si="145"/>
        <v>0</v>
      </c>
      <c r="MTY249" s="5">
        <f t="shared" si="145"/>
        <v>0</v>
      </c>
      <c r="MTZ249" s="5">
        <f t="shared" si="145"/>
        <v>0</v>
      </c>
      <c r="MUA249" s="5">
        <f t="shared" si="145"/>
        <v>0</v>
      </c>
      <c r="MUB249" s="5">
        <f t="shared" si="145"/>
        <v>0</v>
      </c>
      <c r="MUC249" s="5">
        <f t="shared" si="145"/>
        <v>0</v>
      </c>
      <c r="MUD249" s="5">
        <f t="shared" si="145"/>
        <v>0</v>
      </c>
      <c r="MUE249" s="5">
        <f t="shared" si="145"/>
        <v>0</v>
      </c>
      <c r="MUF249" s="5">
        <f t="shared" si="145"/>
        <v>0</v>
      </c>
      <c r="MUG249" s="5">
        <f t="shared" si="145"/>
        <v>0</v>
      </c>
      <c r="MUH249" s="5">
        <f t="shared" si="145"/>
        <v>0</v>
      </c>
      <c r="MUI249" s="5">
        <f t="shared" si="145"/>
        <v>0</v>
      </c>
      <c r="MUJ249" s="5">
        <f t="shared" si="145"/>
        <v>0</v>
      </c>
      <c r="MUK249" s="5">
        <f t="shared" si="145"/>
        <v>0</v>
      </c>
      <c r="MUL249" s="5">
        <f t="shared" si="145"/>
        <v>0</v>
      </c>
      <c r="MUM249" s="5">
        <f t="shared" si="145"/>
        <v>0</v>
      </c>
      <c r="MUN249" s="5">
        <f t="shared" si="145"/>
        <v>0</v>
      </c>
      <c r="MUO249" s="5">
        <f t="shared" si="145"/>
        <v>0</v>
      </c>
      <c r="MUP249" s="5">
        <f t="shared" si="145"/>
        <v>0</v>
      </c>
      <c r="MUQ249" s="5">
        <f t="shared" si="145"/>
        <v>0</v>
      </c>
      <c r="MUR249" s="5">
        <f t="shared" si="145"/>
        <v>0</v>
      </c>
      <c r="MUS249" s="5">
        <f t="shared" si="145"/>
        <v>0</v>
      </c>
      <c r="MUT249" s="5">
        <f t="shared" si="145"/>
        <v>0</v>
      </c>
      <c r="MUU249" s="5">
        <f t="shared" si="145"/>
        <v>0</v>
      </c>
      <c r="MUV249" s="5">
        <f t="shared" si="145"/>
        <v>0</v>
      </c>
      <c r="MUW249" s="5">
        <f t="shared" si="145"/>
        <v>0</v>
      </c>
      <c r="MUX249" s="5">
        <f t="shared" si="145"/>
        <v>0</v>
      </c>
      <c r="MUY249" s="5">
        <f t="shared" si="145"/>
        <v>0</v>
      </c>
      <c r="MUZ249" s="5">
        <f t="shared" si="145"/>
        <v>0</v>
      </c>
      <c r="MVA249" s="5">
        <f t="shared" si="145"/>
        <v>0</v>
      </c>
      <c r="MVB249" s="5">
        <f t="shared" ref="MVB249:MXM249" si="146">SUM(MVB246:MVB246)</f>
        <v>0</v>
      </c>
      <c r="MVC249" s="5">
        <f t="shared" si="146"/>
        <v>0</v>
      </c>
      <c r="MVD249" s="5">
        <f t="shared" si="146"/>
        <v>0</v>
      </c>
      <c r="MVE249" s="5">
        <f t="shared" si="146"/>
        <v>0</v>
      </c>
      <c r="MVF249" s="5">
        <f t="shared" si="146"/>
        <v>0</v>
      </c>
      <c r="MVG249" s="5">
        <f t="shared" si="146"/>
        <v>0</v>
      </c>
      <c r="MVH249" s="5">
        <f t="shared" si="146"/>
        <v>0</v>
      </c>
      <c r="MVI249" s="5">
        <f t="shared" si="146"/>
        <v>0</v>
      </c>
      <c r="MVJ249" s="5">
        <f t="shared" si="146"/>
        <v>0</v>
      </c>
      <c r="MVK249" s="5">
        <f t="shared" si="146"/>
        <v>0</v>
      </c>
      <c r="MVL249" s="5">
        <f t="shared" si="146"/>
        <v>0</v>
      </c>
      <c r="MVM249" s="5">
        <f t="shared" si="146"/>
        <v>0</v>
      </c>
      <c r="MVN249" s="5">
        <f t="shared" si="146"/>
        <v>0</v>
      </c>
      <c r="MVO249" s="5">
        <f t="shared" si="146"/>
        <v>0</v>
      </c>
      <c r="MVP249" s="5">
        <f t="shared" si="146"/>
        <v>0</v>
      </c>
      <c r="MVQ249" s="5">
        <f t="shared" si="146"/>
        <v>0</v>
      </c>
      <c r="MVR249" s="5">
        <f t="shared" si="146"/>
        <v>0</v>
      </c>
      <c r="MVS249" s="5">
        <f t="shared" si="146"/>
        <v>0</v>
      </c>
      <c r="MVT249" s="5">
        <f t="shared" si="146"/>
        <v>0</v>
      </c>
      <c r="MVU249" s="5">
        <f t="shared" si="146"/>
        <v>0</v>
      </c>
      <c r="MVV249" s="5">
        <f t="shared" si="146"/>
        <v>0</v>
      </c>
      <c r="MVW249" s="5">
        <f t="shared" si="146"/>
        <v>0</v>
      </c>
      <c r="MVX249" s="5">
        <f t="shared" si="146"/>
        <v>0</v>
      </c>
      <c r="MVY249" s="5">
        <f t="shared" si="146"/>
        <v>0</v>
      </c>
      <c r="MVZ249" s="5">
        <f t="shared" si="146"/>
        <v>0</v>
      </c>
      <c r="MWA249" s="5">
        <f t="shared" si="146"/>
        <v>0</v>
      </c>
      <c r="MWB249" s="5">
        <f t="shared" si="146"/>
        <v>0</v>
      </c>
      <c r="MWC249" s="5">
        <f t="shared" si="146"/>
        <v>0</v>
      </c>
      <c r="MWD249" s="5">
        <f t="shared" si="146"/>
        <v>0</v>
      </c>
      <c r="MWE249" s="5">
        <f t="shared" si="146"/>
        <v>0</v>
      </c>
      <c r="MWF249" s="5">
        <f t="shared" si="146"/>
        <v>0</v>
      </c>
      <c r="MWG249" s="5">
        <f t="shared" si="146"/>
        <v>0</v>
      </c>
      <c r="MWH249" s="5">
        <f t="shared" si="146"/>
        <v>0</v>
      </c>
      <c r="MWI249" s="5">
        <f t="shared" si="146"/>
        <v>0</v>
      </c>
      <c r="MWJ249" s="5">
        <f t="shared" si="146"/>
        <v>0</v>
      </c>
      <c r="MWK249" s="5">
        <f t="shared" si="146"/>
        <v>0</v>
      </c>
      <c r="MWL249" s="5">
        <f t="shared" si="146"/>
        <v>0</v>
      </c>
      <c r="MWM249" s="5">
        <f t="shared" si="146"/>
        <v>0</v>
      </c>
      <c r="MWN249" s="5">
        <f t="shared" si="146"/>
        <v>0</v>
      </c>
      <c r="MWO249" s="5">
        <f t="shared" si="146"/>
        <v>0</v>
      </c>
      <c r="MWP249" s="5">
        <f t="shared" si="146"/>
        <v>0</v>
      </c>
      <c r="MWQ249" s="5">
        <f t="shared" si="146"/>
        <v>0</v>
      </c>
      <c r="MWR249" s="5">
        <f t="shared" si="146"/>
        <v>0</v>
      </c>
      <c r="MWS249" s="5">
        <f t="shared" si="146"/>
        <v>0</v>
      </c>
      <c r="MWT249" s="5">
        <f t="shared" si="146"/>
        <v>0</v>
      </c>
      <c r="MWU249" s="5">
        <f t="shared" si="146"/>
        <v>0</v>
      </c>
      <c r="MWV249" s="5">
        <f t="shared" si="146"/>
        <v>0</v>
      </c>
      <c r="MWW249" s="5">
        <f t="shared" si="146"/>
        <v>0</v>
      </c>
      <c r="MWX249" s="5">
        <f t="shared" si="146"/>
        <v>0</v>
      </c>
      <c r="MWY249" s="5">
        <f t="shared" si="146"/>
        <v>0</v>
      </c>
      <c r="MWZ249" s="5">
        <f t="shared" si="146"/>
        <v>0</v>
      </c>
      <c r="MXA249" s="5">
        <f t="shared" si="146"/>
        <v>0</v>
      </c>
      <c r="MXB249" s="5">
        <f t="shared" si="146"/>
        <v>0</v>
      </c>
      <c r="MXC249" s="5">
        <f t="shared" si="146"/>
        <v>0</v>
      </c>
      <c r="MXD249" s="5">
        <f t="shared" si="146"/>
        <v>0</v>
      </c>
      <c r="MXE249" s="5">
        <f t="shared" si="146"/>
        <v>0</v>
      </c>
      <c r="MXF249" s="5">
        <f t="shared" si="146"/>
        <v>0</v>
      </c>
      <c r="MXG249" s="5">
        <f t="shared" si="146"/>
        <v>0</v>
      </c>
      <c r="MXH249" s="5">
        <f t="shared" si="146"/>
        <v>0</v>
      </c>
      <c r="MXI249" s="5">
        <f t="shared" si="146"/>
        <v>0</v>
      </c>
      <c r="MXJ249" s="5">
        <f t="shared" si="146"/>
        <v>0</v>
      </c>
      <c r="MXK249" s="5">
        <f t="shared" si="146"/>
        <v>0</v>
      </c>
      <c r="MXL249" s="5">
        <f t="shared" si="146"/>
        <v>0</v>
      </c>
      <c r="MXM249" s="5">
        <f t="shared" si="146"/>
        <v>0</v>
      </c>
      <c r="MXN249" s="5">
        <f t="shared" ref="MXN249:MZY249" si="147">SUM(MXN246:MXN246)</f>
        <v>0</v>
      </c>
      <c r="MXO249" s="5">
        <f t="shared" si="147"/>
        <v>0</v>
      </c>
      <c r="MXP249" s="5">
        <f t="shared" si="147"/>
        <v>0</v>
      </c>
      <c r="MXQ249" s="5">
        <f t="shared" si="147"/>
        <v>0</v>
      </c>
      <c r="MXR249" s="5">
        <f t="shared" si="147"/>
        <v>0</v>
      </c>
      <c r="MXS249" s="5">
        <f t="shared" si="147"/>
        <v>0</v>
      </c>
      <c r="MXT249" s="5">
        <f t="shared" si="147"/>
        <v>0</v>
      </c>
      <c r="MXU249" s="5">
        <f t="shared" si="147"/>
        <v>0</v>
      </c>
      <c r="MXV249" s="5">
        <f t="shared" si="147"/>
        <v>0</v>
      </c>
      <c r="MXW249" s="5">
        <f t="shared" si="147"/>
        <v>0</v>
      </c>
      <c r="MXX249" s="5">
        <f t="shared" si="147"/>
        <v>0</v>
      </c>
      <c r="MXY249" s="5">
        <f t="shared" si="147"/>
        <v>0</v>
      </c>
      <c r="MXZ249" s="5">
        <f t="shared" si="147"/>
        <v>0</v>
      </c>
      <c r="MYA249" s="5">
        <f t="shared" si="147"/>
        <v>0</v>
      </c>
      <c r="MYB249" s="5">
        <f t="shared" si="147"/>
        <v>0</v>
      </c>
      <c r="MYC249" s="5">
        <f t="shared" si="147"/>
        <v>0</v>
      </c>
      <c r="MYD249" s="5">
        <f t="shared" si="147"/>
        <v>0</v>
      </c>
      <c r="MYE249" s="5">
        <f t="shared" si="147"/>
        <v>0</v>
      </c>
      <c r="MYF249" s="5">
        <f t="shared" si="147"/>
        <v>0</v>
      </c>
      <c r="MYG249" s="5">
        <f t="shared" si="147"/>
        <v>0</v>
      </c>
      <c r="MYH249" s="5">
        <f t="shared" si="147"/>
        <v>0</v>
      </c>
      <c r="MYI249" s="5">
        <f t="shared" si="147"/>
        <v>0</v>
      </c>
      <c r="MYJ249" s="5">
        <f t="shared" si="147"/>
        <v>0</v>
      </c>
      <c r="MYK249" s="5">
        <f t="shared" si="147"/>
        <v>0</v>
      </c>
      <c r="MYL249" s="5">
        <f t="shared" si="147"/>
        <v>0</v>
      </c>
      <c r="MYM249" s="5">
        <f t="shared" si="147"/>
        <v>0</v>
      </c>
      <c r="MYN249" s="5">
        <f t="shared" si="147"/>
        <v>0</v>
      </c>
      <c r="MYO249" s="5">
        <f t="shared" si="147"/>
        <v>0</v>
      </c>
      <c r="MYP249" s="5">
        <f t="shared" si="147"/>
        <v>0</v>
      </c>
      <c r="MYQ249" s="5">
        <f t="shared" si="147"/>
        <v>0</v>
      </c>
      <c r="MYR249" s="5">
        <f t="shared" si="147"/>
        <v>0</v>
      </c>
      <c r="MYS249" s="5">
        <f t="shared" si="147"/>
        <v>0</v>
      </c>
      <c r="MYT249" s="5">
        <f t="shared" si="147"/>
        <v>0</v>
      </c>
      <c r="MYU249" s="5">
        <f t="shared" si="147"/>
        <v>0</v>
      </c>
      <c r="MYV249" s="5">
        <f t="shared" si="147"/>
        <v>0</v>
      </c>
      <c r="MYW249" s="5">
        <f t="shared" si="147"/>
        <v>0</v>
      </c>
      <c r="MYX249" s="5">
        <f t="shared" si="147"/>
        <v>0</v>
      </c>
      <c r="MYY249" s="5">
        <f t="shared" si="147"/>
        <v>0</v>
      </c>
      <c r="MYZ249" s="5">
        <f t="shared" si="147"/>
        <v>0</v>
      </c>
      <c r="MZA249" s="5">
        <f t="shared" si="147"/>
        <v>0</v>
      </c>
      <c r="MZB249" s="5">
        <f t="shared" si="147"/>
        <v>0</v>
      </c>
      <c r="MZC249" s="5">
        <f t="shared" si="147"/>
        <v>0</v>
      </c>
      <c r="MZD249" s="5">
        <f t="shared" si="147"/>
        <v>0</v>
      </c>
      <c r="MZE249" s="5">
        <f t="shared" si="147"/>
        <v>0</v>
      </c>
      <c r="MZF249" s="5">
        <f t="shared" si="147"/>
        <v>0</v>
      </c>
      <c r="MZG249" s="5">
        <f t="shared" si="147"/>
        <v>0</v>
      </c>
      <c r="MZH249" s="5">
        <f t="shared" si="147"/>
        <v>0</v>
      </c>
      <c r="MZI249" s="5">
        <f t="shared" si="147"/>
        <v>0</v>
      </c>
      <c r="MZJ249" s="5">
        <f t="shared" si="147"/>
        <v>0</v>
      </c>
      <c r="MZK249" s="5">
        <f t="shared" si="147"/>
        <v>0</v>
      </c>
      <c r="MZL249" s="5">
        <f t="shared" si="147"/>
        <v>0</v>
      </c>
      <c r="MZM249" s="5">
        <f t="shared" si="147"/>
        <v>0</v>
      </c>
      <c r="MZN249" s="5">
        <f t="shared" si="147"/>
        <v>0</v>
      </c>
      <c r="MZO249" s="5">
        <f t="shared" si="147"/>
        <v>0</v>
      </c>
      <c r="MZP249" s="5">
        <f t="shared" si="147"/>
        <v>0</v>
      </c>
      <c r="MZQ249" s="5">
        <f t="shared" si="147"/>
        <v>0</v>
      </c>
      <c r="MZR249" s="5">
        <f t="shared" si="147"/>
        <v>0</v>
      </c>
      <c r="MZS249" s="5">
        <f t="shared" si="147"/>
        <v>0</v>
      </c>
      <c r="MZT249" s="5">
        <f t="shared" si="147"/>
        <v>0</v>
      </c>
      <c r="MZU249" s="5">
        <f t="shared" si="147"/>
        <v>0</v>
      </c>
      <c r="MZV249" s="5">
        <f t="shared" si="147"/>
        <v>0</v>
      </c>
      <c r="MZW249" s="5">
        <f t="shared" si="147"/>
        <v>0</v>
      </c>
      <c r="MZX249" s="5">
        <f t="shared" si="147"/>
        <v>0</v>
      </c>
      <c r="MZY249" s="5">
        <f t="shared" si="147"/>
        <v>0</v>
      </c>
      <c r="MZZ249" s="5">
        <f t="shared" ref="MZZ249:NCK249" si="148">SUM(MZZ246:MZZ246)</f>
        <v>0</v>
      </c>
      <c r="NAA249" s="5">
        <f t="shared" si="148"/>
        <v>0</v>
      </c>
      <c r="NAB249" s="5">
        <f t="shared" si="148"/>
        <v>0</v>
      </c>
      <c r="NAC249" s="5">
        <f t="shared" si="148"/>
        <v>0</v>
      </c>
      <c r="NAD249" s="5">
        <f t="shared" si="148"/>
        <v>0</v>
      </c>
      <c r="NAE249" s="5">
        <f t="shared" si="148"/>
        <v>0</v>
      </c>
      <c r="NAF249" s="5">
        <f t="shared" si="148"/>
        <v>0</v>
      </c>
      <c r="NAG249" s="5">
        <f t="shared" si="148"/>
        <v>0</v>
      </c>
      <c r="NAH249" s="5">
        <f t="shared" si="148"/>
        <v>0</v>
      </c>
      <c r="NAI249" s="5">
        <f t="shared" si="148"/>
        <v>0</v>
      </c>
      <c r="NAJ249" s="5">
        <f t="shared" si="148"/>
        <v>0</v>
      </c>
      <c r="NAK249" s="5">
        <f t="shared" si="148"/>
        <v>0</v>
      </c>
      <c r="NAL249" s="5">
        <f t="shared" si="148"/>
        <v>0</v>
      </c>
      <c r="NAM249" s="5">
        <f t="shared" si="148"/>
        <v>0</v>
      </c>
      <c r="NAN249" s="5">
        <f t="shared" si="148"/>
        <v>0</v>
      </c>
      <c r="NAO249" s="5">
        <f t="shared" si="148"/>
        <v>0</v>
      </c>
      <c r="NAP249" s="5">
        <f t="shared" si="148"/>
        <v>0</v>
      </c>
      <c r="NAQ249" s="5">
        <f t="shared" si="148"/>
        <v>0</v>
      </c>
      <c r="NAR249" s="5">
        <f t="shared" si="148"/>
        <v>0</v>
      </c>
      <c r="NAS249" s="5">
        <f t="shared" si="148"/>
        <v>0</v>
      </c>
      <c r="NAT249" s="5">
        <f t="shared" si="148"/>
        <v>0</v>
      </c>
      <c r="NAU249" s="5">
        <f t="shared" si="148"/>
        <v>0</v>
      </c>
      <c r="NAV249" s="5">
        <f t="shared" si="148"/>
        <v>0</v>
      </c>
      <c r="NAW249" s="5">
        <f t="shared" si="148"/>
        <v>0</v>
      </c>
      <c r="NAX249" s="5">
        <f t="shared" si="148"/>
        <v>0</v>
      </c>
      <c r="NAY249" s="5">
        <f t="shared" si="148"/>
        <v>0</v>
      </c>
      <c r="NAZ249" s="5">
        <f t="shared" si="148"/>
        <v>0</v>
      </c>
      <c r="NBA249" s="5">
        <f t="shared" si="148"/>
        <v>0</v>
      </c>
      <c r="NBB249" s="5">
        <f t="shared" si="148"/>
        <v>0</v>
      </c>
      <c r="NBC249" s="5">
        <f t="shared" si="148"/>
        <v>0</v>
      </c>
      <c r="NBD249" s="5">
        <f t="shared" si="148"/>
        <v>0</v>
      </c>
      <c r="NBE249" s="5">
        <f t="shared" si="148"/>
        <v>0</v>
      </c>
      <c r="NBF249" s="5">
        <f t="shared" si="148"/>
        <v>0</v>
      </c>
      <c r="NBG249" s="5">
        <f t="shared" si="148"/>
        <v>0</v>
      </c>
      <c r="NBH249" s="5">
        <f t="shared" si="148"/>
        <v>0</v>
      </c>
      <c r="NBI249" s="5">
        <f t="shared" si="148"/>
        <v>0</v>
      </c>
      <c r="NBJ249" s="5">
        <f t="shared" si="148"/>
        <v>0</v>
      </c>
      <c r="NBK249" s="5">
        <f t="shared" si="148"/>
        <v>0</v>
      </c>
      <c r="NBL249" s="5">
        <f t="shared" si="148"/>
        <v>0</v>
      </c>
      <c r="NBM249" s="5">
        <f t="shared" si="148"/>
        <v>0</v>
      </c>
      <c r="NBN249" s="5">
        <f t="shared" si="148"/>
        <v>0</v>
      </c>
      <c r="NBO249" s="5">
        <f t="shared" si="148"/>
        <v>0</v>
      </c>
      <c r="NBP249" s="5">
        <f t="shared" si="148"/>
        <v>0</v>
      </c>
      <c r="NBQ249" s="5">
        <f t="shared" si="148"/>
        <v>0</v>
      </c>
      <c r="NBR249" s="5">
        <f t="shared" si="148"/>
        <v>0</v>
      </c>
      <c r="NBS249" s="5">
        <f t="shared" si="148"/>
        <v>0</v>
      </c>
      <c r="NBT249" s="5">
        <f t="shared" si="148"/>
        <v>0</v>
      </c>
      <c r="NBU249" s="5">
        <f t="shared" si="148"/>
        <v>0</v>
      </c>
      <c r="NBV249" s="5">
        <f t="shared" si="148"/>
        <v>0</v>
      </c>
      <c r="NBW249" s="5">
        <f t="shared" si="148"/>
        <v>0</v>
      </c>
      <c r="NBX249" s="5">
        <f t="shared" si="148"/>
        <v>0</v>
      </c>
      <c r="NBY249" s="5">
        <f t="shared" si="148"/>
        <v>0</v>
      </c>
      <c r="NBZ249" s="5">
        <f t="shared" si="148"/>
        <v>0</v>
      </c>
      <c r="NCA249" s="5">
        <f t="shared" si="148"/>
        <v>0</v>
      </c>
      <c r="NCB249" s="5">
        <f t="shared" si="148"/>
        <v>0</v>
      </c>
      <c r="NCC249" s="5">
        <f t="shared" si="148"/>
        <v>0</v>
      </c>
      <c r="NCD249" s="5">
        <f t="shared" si="148"/>
        <v>0</v>
      </c>
      <c r="NCE249" s="5">
        <f t="shared" si="148"/>
        <v>0</v>
      </c>
      <c r="NCF249" s="5">
        <f t="shared" si="148"/>
        <v>0</v>
      </c>
      <c r="NCG249" s="5">
        <f t="shared" si="148"/>
        <v>0</v>
      </c>
      <c r="NCH249" s="5">
        <f t="shared" si="148"/>
        <v>0</v>
      </c>
      <c r="NCI249" s="5">
        <f t="shared" si="148"/>
        <v>0</v>
      </c>
      <c r="NCJ249" s="5">
        <f t="shared" si="148"/>
        <v>0</v>
      </c>
      <c r="NCK249" s="5">
        <f t="shared" si="148"/>
        <v>0</v>
      </c>
      <c r="NCL249" s="5">
        <f t="shared" ref="NCL249:NEW249" si="149">SUM(NCL246:NCL246)</f>
        <v>0</v>
      </c>
      <c r="NCM249" s="5">
        <f t="shared" si="149"/>
        <v>0</v>
      </c>
      <c r="NCN249" s="5">
        <f t="shared" si="149"/>
        <v>0</v>
      </c>
      <c r="NCO249" s="5">
        <f t="shared" si="149"/>
        <v>0</v>
      </c>
      <c r="NCP249" s="5">
        <f t="shared" si="149"/>
        <v>0</v>
      </c>
      <c r="NCQ249" s="5">
        <f t="shared" si="149"/>
        <v>0</v>
      </c>
      <c r="NCR249" s="5">
        <f t="shared" si="149"/>
        <v>0</v>
      </c>
      <c r="NCS249" s="5">
        <f t="shared" si="149"/>
        <v>0</v>
      </c>
      <c r="NCT249" s="5">
        <f t="shared" si="149"/>
        <v>0</v>
      </c>
      <c r="NCU249" s="5">
        <f t="shared" si="149"/>
        <v>0</v>
      </c>
      <c r="NCV249" s="5">
        <f t="shared" si="149"/>
        <v>0</v>
      </c>
      <c r="NCW249" s="5">
        <f t="shared" si="149"/>
        <v>0</v>
      </c>
      <c r="NCX249" s="5">
        <f t="shared" si="149"/>
        <v>0</v>
      </c>
      <c r="NCY249" s="5">
        <f t="shared" si="149"/>
        <v>0</v>
      </c>
      <c r="NCZ249" s="5">
        <f t="shared" si="149"/>
        <v>0</v>
      </c>
      <c r="NDA249" s="5">
        <f t="shared" si="149"/>
        <v>0</v>
      </c>
      <c r="NDB249" s="5">
        <f t="shared" si="149"/>
        <v>0</v>
      </c>
      <c r="NDC249" s="5">
        <f t="shared" si="149"/>
        <v>0</v>
      </c>
      <c r="NDD249" s="5">
        <f t="shared" si="149"/>
        <v>0</v>
      </c>
      <c r="NDE249" s="5">
        <f t="shared" si="149"/>
        <v>0</v>
      </c>
      <c r="NDF249" s="5">
        <f t="shared" si="149"/>
        <v>0</v>
      </c>
      <c r="NDG249" s="5">
        <f t="shared" si="149"/>
        <v>0</v>
      </c>
      <c r="NDH249" s="5">
        <f t="shared" si="149"/>
        <v>0</v>
      </c>
      <c r="NDI249" s="5">
        <f t="shared" si="149"/>
        <v>0</v>
      </c>
      <c r="NDJ249" s="5">
        <f t="shared" si="149"/>
        <v>0</v>
      </c>
      <c r="NDK249" s="5">
        <f t="shared" si="149"/>
        <v>0</v>
      </c>
      <c r="NDL249" s="5">
        <f t="shared" si="149"/>
        <v>0</v>
      </c>
      <c r="NDM249" s="5">
        <f t="shared" si="149"/>
        <v>0</v>
      </c>
      <c r="NDN249" s="5">
        <f t="shared" si="149"/>
        <v>0</v>
      </c>
      <c r="NDO249" s="5">
        <f t="shared" si="149"/>
        <v>0</v>
      </c>
      <c r="NDP249" s="5">
        <f t="shared" si="149"/>
        <v>0</v>
      </c>
      <c r="NDQ249" s="5">
        <f t="shared" si="149"/>
        <v>0</v>
      </c>
      <c r="NDR249" s="5">
        <f t="shared" si="149"/>
        <v>0</v>
      </c>
      <c r="NDS249" s="5">
        <f t="shared" si="149"/>
        <v>0</v>
      </c>
      <c r="NDT249" s="5">
        <f t="shared" si="149"/>
        <v>0</v>
      </c>
      <c r="NDU249" s="5">
        <f t="shared" si="149"/>
        <v>0</v>
      </c>
      <c r="NDV249" s="5">
        <f t="shared" si="149"/>
        <v>0</v>
      </c>
      <c r="NDW249" s="5">
        <f t="shared" si="149"/>
        <v>0</v>
      </c>
      <c r="NDX249" s="5">
        <f t="shared" si="149"/>
        <v>0</v>
      </c>
      <c r="NDY249" s="5">
        <f t="shared" si="149"/>
        <v>0</v>
      </c>
      <c r="NDZ249" s="5">
        <f t="shared" si="149"/>
        <v>0</v>
      </c>
      <c r="NEA249" s="5">
        <f t="shared" si="149"/>
        <v>0</v>
      </c>
      <c r="NEB249" s="5">
        <f t="shared" si="149"/>
        <v>0</v>
      </c>
      <c r="NEC249" s="5">
        <f t="shared" si="149"/>
        <v>0</v>
      </c>
      <c r="NED249" s="5">
        <f t="shared" si="149"/>
        <v>0</v>
      </c>
      <c r="NEE249" s="5">
        <f t="shared" si="149"/>
        <v>0</v>
      </c>
      <c r="NEF249" s="5">
        <f t="shared" si="149"/>
        <v>0</v>
      </c>
      <c r="NEG249" s="5">
        <f t="shared" si="149"/>
        <v>0</v>
      </c>
      <c r="NEH249" s="5">
        <f t="shared" si="149"/>
        <v>0</v>
      </c>
      <c r="NEI249" s="5">
        <f t="shared" si="149"/>
        <v>0</v>
      </c>
      <c r="NEJ249" s="5">
        <f t="shared" si="149"/>
        <v>0</v>
      </c>
      <c r="NEK249" s="5">
        <f t="shared" si="149"/>
        <v>0</v>
      </c>
      <c r="NEL249" s="5">
        <f t="shared" si="149"/>
        <v>0</v>
      </c>
      <c r="NEM249" s="5">
        <f t="shared" si="149"/>
        <v>0</v>
      </c>
      <c r="NEN249" s="5">
        <f t="shared" si="149"/>
        <v>0</v>
      </c>
      <c r="NEO249" s="5">
        <f t="shared" si="149"/>
        <v>0</v>
      </c>
      <c r="NEP249" s="5">
        <f t="shared" si="149"/>
        <v>0</v>
      </c>
      <c r="NEQ249" s="5">
        <f t="shared" si="149"/>
        <v>0</v>
      </c>
      <c r="NER249" s="5">
        <f t="shared" si="149"/>
        <v>0</v>
      </c>
      <c r="NES249" s="5">
        <f t="shared" si="149"/>
        <v>0</v>
      </c>
      <c r="NET249" s="5">
        <f t="shared" si="149"/>
        <v>0</v>
      </c>
      <c r="NEU249" s="5">
        <f t="shared" si="149"/>
        <v>0</v>
      </c>
      <c r="NEV249" s="5">
        <f t="shared" si="149"/>
        <v>0</v>
      </c>
      <c r="NEW249" s="5">
        <f t="shared" si="149"/>
        <v>0</v>
      </c>
      <c r="NEX249" s="5">
        <f t="shared" ref="NEX249:NHI249" si="150">SUM(NEX246:NEX246)</f>
        <v>0</v>
      </c>
      <c r="NEY249" s="5">
        <f t="shared" si="150"/>
        <v>0</v>
      </c>
      <c r="NEZ249" s="5">
        <f t="shared" si="150"/>
        <v>0</v>
      </c>
      <c r="NFA249" s="5">
        <f t="shared" si="150"/>
        <v>0</v>
      </c>
      <c r="NFB249" s="5">
        <f t="shared" si="150"/>
        <v>0</v>
      </c>
      <c r="NFC249" s="5">
        <f t="shared" si="150"/>
        <v>0</v>
      </c>
      <c r="NFD249" s="5">
        <f t="shared" si="150"/>
        <v>0</v>
      </c>
      <c r="NFE249" s="5">
        <f t="shared" si="150"/>
        <v>0</v>
      </c>
      <c r="NFF249" s="5">
        <f t="shared" si="150"/>
        <v>0</v>
      </c>
      <c r="NFG249" s="5">
        <f t="shared" si="150"/>
        <v>0</v>
      </c>
      <c r="NFH249" s="5">
        <f t="shared" si="150"/>
        <v>0</v>
      </c>
      <c r="NFI249" s="5">
        <f t="shared" si="150"/>
        <v>0</v>
      </c>
      <c r="NFJ249" s="5">
        <f t="shared" si="150"/>
        <v>0</v>
      </c>
      <c r="NFK249" s="5">
        <f t="shared" si="150"/>
        <v>0</v>
      </c>
      <c r="NFL249" s="5">
        <f t="shared" si="150"/>
        <v>0</v>
      </c>
      <c r="NFM249" s="5">
        <f t="shared" si="150"/>
        <v>0</v>
      </c>
      <c r="NFN249" s="5">
        <f t="shared" si="150"/>
        <v>0</v>
      </c>
      <c r="NFO249" s="5">
        <f t="shared" si="150"/>
        <v>0</v>
      </c>
      <c r="NFP249" s="5">
        <f t="shared" si="150"/>
        <v>0</v>
      </c>
      <c r="NFQ249" s="5">
        <f t="shared" si="150"/>
        <v>0</v>
      </c>
      <c r="NFR249" s="5">
        <f t="shared" si="150"/>
        <v>0</v>
      </c>
      <c r="NFS249" s="5">
        <f t="shared" si="150"/>
        <v>0</v>
      </c>
      <c r="NFT249" s="5">
        <f t="shared" si="150"/>
        <v>0</v>
      </c>
      <c r="NFU249" s="5">
        <f t="shared" si="150"/>
        <v>0</v>
      </c>
      <c r="NFV249" s="5">
        <f t="shared" si="150"/>
        <v>0</v>
      </c>
      <c r="NFW249" s="5">
        <f t="shared" si="150"/>
        <v>0</v>
      </c>
      <c r="NFX249" s="5">
        <f t="shared" si="150"/>
        <v>0</v>
      </c>
      <c r="NFY249" s="5">
        <f t="shared" si="150"/>
        <v>0</v>
      </c>
      <c r="NFZ249" s="5">
        <f t="shared" si="150"/>
        <v>0</v>
      </c>
      <c r="NGA249" s="5">
        <f t="shared" si="150"/>
        <v>0</v>
      </c>
      <c r="NGB249" s="5">
        <f t="shared" si="150"/>
        <v>0</v>
      </c>
      <c r="NGC249" s="5">
        <f t="shared" si="150"/>
        <v>0</v>
      </c>
      <c r="NGD249" s="5">
        <f t="shared" si="150"/>
        <v>0</v>
      </c>
      <c r="NGE249" s="5">
        <f t="shared" si="150"/>
        <v>0</v>
      </c>
      <c r="NGF249" s="5">
        <f t="shared" si="150"/>
        <v>0</v>
      </c>
      <c r="NGG249" s="5">
        <f t="shared" si="150"/>
        <v>0</v>
      </c>
      <c r="NGH249" s="5">
        <f t="shared" si="150"/>
        <v>0</v>
      </c>
      <c r="NGI249" s="5">
        <f t="shared" si="150"/>
        <v>0</v>
      </c>
      <c r="NGJ249" s="5">
        <f t="shared" si="150"/>
        <v>0</v>
      </c>
      <c r="NGK249" s="5">
        <f t="shared" si="150"/>
        <v>0</v>
      </c>
      <c r="NGL249" s="5">
        <f t="shared" si="150"/>
        <v>0</v>
      </c>
      <c r="NGM249" s="5">
        <f t="shared" si="150"/>
        <v>0</v>
      </c>
      <c r="NGN249" s="5">
        <f t="shared" si="150"/>
        <v>0</v>
      </c>
      <c r="NGO249" s="5">
        <f t="shared" si="150"/>
        <v>0</v>
      </c>
      <c r="NGP249" s="5">
        <f t="shared" si="150"/>
        <v>0</v>
      </c>
      <c r="NGQ249" s="5">
        <f t="shared" si="150"/>
        <v>0</v>
      </c>
      <c r="NGR249" s="5">
        <f t="shared" si="150"/>
        <v>0</v>
      </c>
      <c r="NGS249" s="5">
        <f t="shared" si="150"/>
        <v>0</v>
      </c>
      <c r="NGT249" s="5">
        <f t="shared" si="150"/>
        <v>0</v>
      </c>
      <c r="NGU249" s="5">
        <f t="shared" si="150"/>
        <v>0</v>
      </c>
      <c r="NGV249" s="5">
        <f t="shared" si="150"/>
        <v>0</v>
      </c>
      <c r="NGW249" s="5">
        <f t="shared" si="150"/>
        <v>0</v>
      </c>
      <c r="NGX249" s="5">
        <f t="shared" si="150"/>
        <v>0</v>
      </c>
      <c r="NGY249" s="5">
        <f t="shared" si="150"/>
        <v>0</v>
      </c>
      <c r="NGZ249" s="5">
        <f t="shared" si="150"/>
        <v>0</v>
      </c>
      <c r="NHA249" s="5">
        <f t="shared" si="150"/>
        <v>0</v>
      </c>
      <c r="NHB249" s="5">
        <f t="shared" si="150"/>
        <v>0</v>
      </c>
      <c r="NHC249" s="5">
        <f t="shared" si="150"/>
        <v>0</v>
      </c>
      <c r="NHD249" s="5">
        <f t="shared" si="150"/>
        <v>0</v>
      </c>
      <c r="NHE249" s="5">
        <f t="shared" si="150"/>
        <v>0</v>
      </c>
      <c r="NHF249" s="5">
        <f t="shared" si="150"/>
        <v>0</v>
      </c>
      <c r="NHG249" s="5">
        <f t="shared" si="150"/>
        <v>0</v>
      </c>
      <c r="NHH249" s="5">
        <f t="shared" si="150"/>
        <v>0</v>
      </c>
      <c r="NHI249" s="5">
        <f t="shared" si="150"/>
        <v>0</v>
      </c>
      <c r="NHJ249" s="5">
        <f t="shared" ref="NHJ249:NJU249" si="151">SUM(NHJ246:NHJ246)</f>
        <v>0</v>
      </c>
      <c r="NHK249" s="5">
        <f t="shared" si="151"/>
        <v>0</v>
      </c>
      <c r="NHL249" s="5">
        <f t="shared" si="151"/>
        <v>0</v>
      </c>
      <c r="NHM249" s="5">
        <f t="shared" si="151"/>
        <v>0</v>
      </c>
      <c r="NHN249" s="5">
        <f t="shared" si="151"/>
        <v>0</v>
      </c>
      <c r="NHO249" s="5">
        <f t="shared" si="151"/>
        <v>0</v>
      </c>
      <c r="NHP249" s="5">
        <f t="shared" si="151"/>
        <v>0</v>
      </c>
      <c r="NHQ249" s="5">
        <f t="shared" si="151"/>
        <v>0</v>
      </c>
      <c r="NHR249" s="5">
        <f t="shared" si="151"/>
        <v>0</v>
      </c>
      <c r="NHS249" s="5">
        <f t="shared" si="151"/>
        <v>0</v>
      </c>
      <c r="NHT249" s="5">
        <f t="shared" si="151"/>
        <v>0</v>
      </c>
      <c r="NHU249" s="5">
        <f t="shared" si="151"/>
        <v>0</v>
      </c>
      <c r="NHV249" s="5">
        <f t="shared" si="151"/>
        <v>0</v>
      </c>
      <c r="NHW249" s="5">
        <f t="shared" si="151"/>
        <v>0</v>
      </c>
      <c r="NHX249" s="5">
        <f t="shared" si="151"/>
        <v>0</v>
      </c>
      <c r="NHY249" s="5">
        <f t="shared" si="151"/>
        <v>0</v>
      </c>
      <c r="NHZ249" s="5">
        <f t="shared" si="151"/>
        <v>0</v>
      </c>
      <c r="NIA249" s="5">
        <f t="shared" si="151"/>
        <v>0</v>
      </c>
      <c r="NIB249" s="5">
        <f t="shared" si="151"/>
        <v>0</v>
      </c>
      <c r="NIC249" s="5">
        <f t="shared" si="151"/>
        <v>0</v>
      </c>
      <c r="NID249" s="5">
        <f t="shared" si="151"/>
        <v>0</v>
      </c>
      <c r="NIE249" s="5">
        <f t="shared" si="151"/>
        <v>0</v>
      </c>
      <c r="NIF249" s="5">
        <f t="shared" si="151"/>
        <v>0</v>
      </c>
      <c r="NIG249" s="5">
        <f t="shared" si="151"/>
        <v>0</v>
      </c>
      <c r="NIH249" s="5">
        <f t="shared" si="151"/>
        <v>0</v>
      </c>
      <c r="NII249" s="5">
        <f t="shared" si="151"/>
        <v>0</v>
      </c>
      <c r="NIJ249" s="5">
        <f t="shared" si="151"/>
        <v>0</v>
      </c>
      <c r="NIK249" s="5">
        <f t="shared" si="151"/>
        <v>0</v>
      </c>
      <c r="NIL249" s="5">
        <f t="shared" si="151"/>
        <v>0</v>
      </c>
      <c r="NIM249" s="5">
        <f t="shared" si="151"/>
        <v>0</v>
      </c>
      <c r="NIN249" s="5">
        <f t="shared" si="151"/>
        <v>0</v>
      </c>
      <c r="NIO249" s="5">
        <f t="shared" si="151"/>
        <v>0</v>
      </c>
      <c r="NIP249" s="5">
        <f t="shared" si="151"/>
        <v>0</v>
      </c>
      <c r="NIQ249" s="5">
        <f t="shared" si="151"/>
        <v>0</v>
      </c>
      <c r="NIR249" s="5">
        <f t="shared" si="151"/>
        <v>0</v>
      </c>
      <c r="NIS249" s="5">
        <f t="shared" si="151"/>
        <v>0</v>
      </c>
      <c r="NIT249" s="5">
        <f t="shared" si="151"/>
        <v>0</v>
      </c>
      <c r="NIU249" s="5">
        <f t="shared" si="151"/>
        <v>0</v>
      </c>
      <c r="NIV249" s="5">
        <f t="shared" si="151"/>
        <v>0</v>
      </c>
      <c r="NIW249" s="5">
        <f t="shared" si="151"/>
        <v>0</v>
      </c>
      <c r="NIX249" s="5">
        <f t="shared" si="151"/>
        <v>0</v>
      </c>
      <c r="NIY249" s="5">
        <f t="shared" si="151"/>
        <v>0</v>
      </c>
      <c r="NIZ249" s="5">
        <f t="shared" si="151"/>
        <v>0</v>
      </c>
      <c r="NJA249" s="5">
        <f t="shared" si="151"/>
        <v>0</v>
      </c>
      <c r="NJB249" s="5">
        <f t="shared" si="151"/>
        <v>0</v>
      </c>
      <c r="NJC249" s="5">
        <f t="shared" si="151"/>
        <v>0</v>
      </c>
      <c r="NJD249" s="5">
        <f t="shared" si="151"/>
        <v>0</v>
      </c>
      <c r="NJE249" s="5">
        <f t="shared" si="151"/>
        <v>0</v>
      </c>
      <c r="NJF249" s="5">
        <f t="shared" si="151"/>
        <v>0</v>
      </c>
      <c r="NJG249" s="5">
        <f t="shared" si="151"/>
        <v>0</v>
      </c>
      <c r="NJH249" s="5">
        <f t="shared" si="151"/>
        <v>0</v>
      </c>
      <c r="NJI249" s="5">
        <f t="shared" si="151"/>
        <v>0</v>
      </c>
      <c r="NJJ249" s="5">
        <f t="shared" si="151"/>
        <v>0</v>
      </c>
      <c r="NJK249" s="5">
        <f t="shared" si="151"/>
        <v>0</v>
      </c>
      <c r="NJL249" s="5">
        <f t="shared" si="151"/>
        <v>0</v>
      </c>
      <c r="NJM249" s="5">
        <f t="shared" si="151"/>
        <v>0</v>
      </c>
      <c r="NJN249" s="5">
        <f t="shared" si="151"/>
        <v>0</v>
      </c>
      <c r="NJO249" s="5">
        <f t="shared" si="151"/>
        <v>0</v>
      </c>
      <c r="NJP249" s="5">
        <f t="shared" si="151"/>
        <v>0</v>
      </c>
      <c r="NJQ249" s="5">
        <f t="shared" si="151"/>
        <v>0</v>
      </c>
      <c r="NJR249" s="5">
        <f t="shared" si="151"/>
        <v>0</v>
      </c>
      <c r="NJS249" s="5">
        <f t="shared" si="151"/>
        <v>0</v>
      </c>
      <c r="NJT249" s="5">
        <f t="shared" si="151"/>
        <v>0</v>
      </c>
      <c r="NJU249" s="5">
        <f t="shared" si="151"/>
        <v>0</v>
      </c>
      <c r="NJV249" s="5">
        <f t="shared" ref="NJV249:NMG249" si="152">SUM(NJV246:NJV246)</f>
        <v>0</v>
      </c>
      <c r="NJW249" s="5">
        <f t="shared" si="152"/>
        <v>0</v>
      </c>
      <c r="NJX249" s="5">
        <f t="shared" si="152"/>
        <v>0</v>
      </c>
      <c r="NJY249" s="5">
        <f t="shared" si="152"/>
        <v>0</v>
      </c>
      <c r="NJZ249" s="5">
        <f t="shared" si="152"/>
        <v>0</v>
      </c>
      <c r="NKA249" s="5">
        <f t="shared" si="152"/>
        <v>0</v>
      </c>
      <c r="NKB249" s="5">
        <f t="shared" si="152"/>
        <v>0</v>
      </c>
      <c r="NKC249" s="5">
        <f t="shared" si="152"/>
        <v>0</v>
      </c>
      <c r="NKD249" s="5">
        <f t="shared" si="152"/>
        <v>0</v>
      </c>
      <c r="NKE249" s="5">
        <f t="shared" si="152"/>
        <v>0</v>
      </c>
      <c r="NKF249" s="5">
        <f t="shared" si="152"/>
        <v>0</v>
      </c>
      <c r="NKG249" s="5">
        <f t="shared" si="152"/>
        <v>0</v>
      </c>
      <c r="NKH249" s="5">
        <f t="shared" si="152"/>
        <v>0</v>
      </c>
      <c r="NKI249" s="5">
        <f t="shared" si="152"/>
        <v>0</v>
      </c>
      <c r="NKJ249" s="5">
        <f t="shared" si="152"/>
        <v>0</v>
      </c>
      <c r="NKK249" s="5">
        <f t="shared" si="152"/>
        <v>0</v>
      </c>
      <c r="NKL249" s="5">
        <f t="shared" si="152"/>
        <v>0</v>
      </c>
      <c r="NKM249" s="5">
        <f t="shared" si="152"/>
        <v>0</v>
      </c>
      <c r="NKN249" s="5">
        <f t="shared" si="152"/>
        <v>0</v>
      </c>
      <c r="NKO249" s="5">
        <f t="shared" si="152"/>
        <v>0</v>
      </c>
      <c r="NKP249" s="5">
        <f t="shared" si="152"/>
        <v>0</v>
      </c>
      <c r="NKQ249" s="5">
        <f t="shared" si="152"/>
        <v>0</v>
      </c>
      <c r="NKR249" s="5">
        <f t="shared" si="152"/>
        <v>0</v>
      </c>
      <c r="NKS249" s="5">
        <f t="shared" si="152"/>
        <v>0</v>
      </c>
      <c r="NKT249" s="5">
        <f t="shared" si="152"/>
        <v>0</v>
      </c>
      <c r="NKU249" s="5">
        <f t="shared" si="152"/>
        <v>0</v>
      </c>
      <c r="NKV249" s="5">
        <f t="shared" si="152"/>
        <v>0</v>
      </c>
      <c r="NKW249" s="5">
        <f t="shared" si="152"/>
        <v>0</v>
      </c>
      <c r="NKX249" s="5">
        <f t="shared" si="152"/>
        <v>0</v>
      </c>
      <c r="NKY249" s="5">
        <f t="shared" si="152"/>
        <v>0</v>
      </c>
      <c r="NKZ249" s="5">
        <f t="shared" si="152"/>
        <v>0</v>
      </c>
      <c r="NLA249" s="5">
        <f t="shared" si="152"/>
        <v>0</v>
      </c>
      <c r="NLB249" s="5">
        <f t="shared" si="152"/>
        <v>0</v>
      </c>
      <c r="NLC249" s="5">
        <f t="shared" si="152"/>
        <v>0</v>
      </c>
      <c r="NLD249" s="5">
        <f t="shared" si="152"/>
        <v>0</v>
      </c>
      <c r="NLE249" s="5">
        <f t="shared" si="152"/>
        <v>0</v>
      </c>
      <c r="NLF249" s="5">
        <f t="shared" si="152"/>
        <v>0</v>
      </c>
      <c r="NLG249" s="5">
        <f t="shared" si="152"/>
        <v>0</v>
      </c>
      <c r="NLH249" s="5">
        <f t="shared" si="152"/>
        <v>0</v>
      </c>
      <c r="NLI249" s="5">
        <f t="shared" si="152"/>
        <v>0</v>
      </c>
      <c r="NLJ249" s="5">
        <f t="shared" si="152"/>
        <v>0</v>
      </c>
      <c r="NLK249" s="5">
        <f t="shared" si="152"/>
        <v>0</v>
      </c>
      <c r="NLL249" s="5">
        <f t="shared" si="152"/>
        <v>0</v>
      </c>
      <c r="NLM249" s="5">
        <f t="shared" si="152"/>
        <v>0</v>
      </c>
      <c r="NLN249" s="5">
        <f t="shared" si="152"/>
        <v>0</v>
      </c>
      <c r="NLO249" s="5">
        <f t="shared" si="152"/>
        <v>0</v>
      </c>
      <c r="NLP249" s="5">
        <f t="shared" si="152"/>
        <v>0</v>
      </c>
      <c r="NLQ249" s="5">
        <f t="shared" si="152"/>
        <v>0</v>
      </c>
      <c r="NLR249" s="5">
        <f t="shared" si="152"/>
        <v>0</v>
      </c>
      <c r="NLS249" s="5">
        <f t="shared" si="152"/>
        <v>0</v>
      </c>
      <c r="NLT249" s="5">
        <f t="shared" si="152"/>
        <v>0</v>
      </c>
      <c r="NLU249" s="5">
        <f t="shared" si="152"/>
        <v>0</v>
      </c>
      <c r="NLV249" s="5">
        <f t="shared" si="152"/>
        <v>0</v>
      </c>
      <c r="NLW249" s="5">
        <f t="shared" si="152"/>
        <v>0</v>
      </c>
      <c r="NLX249" s="5">
        <f t="shared" si="152"/>
        <v>0</v>
      </c>
      <c r="NLY249" s="5">
        <f t="shared" si="152"/>
        <v>0</v>
      </c>
      <c r="NLZ249" s="5">
        <f t="shared" si="152"/>
        <v>0</v>
      </c>
      <c r="NMA249" s="5">
        <f t="shared" si="152"/>
        <v>0</v>
      </c>
      <c r="NMB249" s="5">
        <f t="shared" si="152"/>
        <v>0</v>
      </c>
      <c r="NMC249" s="5">
        <f t="shared" si="152"/>
        <v>0</v>
      </c>
      <c r="NMD249" s="5">
        <f t="shared" si="152"/>
        <v>0</v>
      </c>
      <c r="NME249" s="5">
        <f t="shared" si="152"/>
        <v>0</v>
      </c>
      <c r="NMF249" s="5">
        <f t="shared" si="152"/>
        <v>0</v>
      </c>
      <c r="NMG249" s="5">
        <f t="shared" si="152"/>
        <v>0</v>
      </c>
      <c r="NMH249" s="5">
        <f t="shared" ref="NMH249:NOS249" si="153">SUM(NMH246:NMH246)</f>
        <v>0</v>
      </c>
      <c r="NMI249" s="5">
        <f t="shared" si="153"/>
        <v>0</v>
      </c>
      <c r="NMJ249" s="5">
        <f t="shared" si="153"/>
        <v>0</v>
      </c>
      <c r="NMK249" s="5">
        <f t="shared" si="153"/>
        <v>0</v>
      </c>
      <c r="NML249" s="5">
        <f t="shared" si="153"/>
        <v>0</v>
      </c>
      <c r="NMM249" s="5">
        <f t="shared" si="153"/>
        <v>0</v>
      </c>
      <c r="NMN249" s="5">
        <f t="shared" si="153"/>
        <v>0</v>
      </c>
      <c r="NMO249" s="5">
        <f t="shared" si="153"/>
        <v>0</v>
      </c>
      <c r="NMP249" s="5">
        <f t="shared" si="153"/>
        <v>0</v>
      </c>
      <c r="NMQ249" s="5">
        <f t="shared" si="153"/>
        <v>0</v>
      </c>
      <c r="NMR249" s="5">
        <f t="shared" si="153"/>
        <v>0</v>
      </c>
      <c r="NMS249" s="5">
        <f t="shared" si="153"/>
        <v>0</v>
      </c>
      <c r="NMT249" s="5">
        <f t="shared" si="153"/>
        <v>0</v>
      </c>
      <c r="NMU249" s="5">
        <f t="shared" si="153"/>
        <v>0</v>
      </c>
      <c r="NMV249" s="5">
        <f t="shared" si="153"/>
        <v>0</v>
      </c>
      <c r="NMW249" s="5">
        <f t="shared" si="153"/>
        <v>0</v>
      </c>
      <c r="NMX249" s="5">
        <f t="shared" si="153"/>
        <v>0</v>
      </c>
      <c r="NMY249" s="5">
        <f t="shared" si="153"/>
        <v>0</v>
      </c>
      <c r="NMZ249" s="5">
        <f t="shared" si="153"/>
        <v>0</v>
      </c>
      <c r="NNA249" s="5">
        <f t="shared" si="153"/>
        <v>0</v>
      </c>
      <c r="NNB249" s="5">
        <f t="shared" si="153"/>
        <v>0</v>
      </c>
      <c r="NNC249" s="5">
        <f t="shared" si="153"/>
        <v>0</v>
      </c>
      <c r="NND249" s="5">
        <f t="shared" si="153"/>
        <v>0</v>
      </c>
      <c r="NNE249" s="5">
        <f t="shared" si="153"/>
        <v>0</v>
      </c>
      <c r="NNF249" s="5">
        <f t="shared" si="153"/>
        <v>0</v>
      </c>
      <c r="NNG249" s="5">
        <f t="shared" si="153"/>
        <v>0</v>
      </c>
      <c r="NNH249" s="5">
        <f t="shared" si="153"/>
        <v>0</v>
      </c>
      <c r="NNI249" s="5">
        <f t="shared" si="153"/>
        <v>0</v>
      </c>
      <c r="NNJ249" s="5">
        <f t="shared" si="153"/>
        <v>0</v>
      </c>
      <c r="NNK249" s="5">
        <f t="shared" si="153"/>
        <v>0</v>
      </c>
      <c r="NNL249" s="5">
        <f t="shared" si="153"/>
        <v>0</v>
      </c>
      <c r="NNM249" s="5">
        <f t="shared" si="153"/>
        <v>0</v>
      </c>
      <c r="NNN249" s="5">
        <f t="shared" si="153"/>
        <v>0</v>
      </c>
      <c r="NNO249" s="5">
        <f t="shared" si="153"/>
        <v>0</v>
      </c>
      <c r="NNP249" s="5">
        <f t="shared" si="153"/>
        <v>0</v>
      </c>
      <c r="NNQ249" s="5">
        <f t="shared" si="153"/>
        <v>0</v>
      </c>
      <c r="NNR249" s="5">
        <f t="shared" si="153"/>
        <v>0</v>
      </c>
      <c r="NNS249" s="5">
        <f t="shared" si="153"/>
        <v>0</v>
      </c>
      <c r="NNT249" s="5">
        <f t="shared" si="153"/>
        <v>0</v>
      </c>
      <c r="NNU249" s="5">
        <f t="shared" si="153"/>
        <v>0</v>
      </c>
      <c r="NNV249" s="5">
        <f t="shared" si="153"/>
        <v>0</v>
      </c>
      <c r="NNW249" s="5">
        <f t="shared" si="153"/>
        <v>0</v>
      </c>
      <c r="NNX249" s="5">
        <f t="shared" si="153"/>
        <v>0</v>
      </c>
      <c r="NNY249" s="5">
        <f t="shared" si="153"/>
        <v>0</v>
      </c>
      <c r="NNZ249" s="5">
        <f t="shared" si="153"/>
        <v>0</v>
      </c>
      <c r="NOA249" s="5">
        <f t="shared" si="153"/>
        <v>0</v>
      </c>
      <c r="NOB249" s="5">
        <f t="shared" si="153"/>
        <v>0</v>
      </c>
      <c r="NOC249" s="5">
        <f t="shared" si="153"/>
        <v>0</v>
      </c>
      <c r="NOD249" s="5">
        <f t="shared" si="153"/>
        <v>0</v>
      </c>
      <c r="NOE249" s="5">
        <f t="shared" si="153"/>
        <v>0</v>
      </c>
      <c r="NOF249" s="5">
        <f t="shared" si="153"/>
        <v>0</v>
      </c>
      <c r="NOG249" s="5">
        <f t="shared" si="153"/>
        <v>0</v>
      </c>
      <c r="NOH249" s="5">
        <f t="shared" si="153"/>
        <v>0</v>
      </c>
      <c r="NOI249" s="5">
        <f t="shared" si="153"/>
        <v>0</v>
      </c>
      <c r="NOJ249" s="5">
        <f t="shared" si="153"/>
        <v>0</v>
      </c>
      <c r="NOK249" s="5">
        <f t="shared" si="153"/>
        <v>0</v>
      </c>
      <c r="NOL249" s="5">
        <f t="shared" si="153"/>
        <v>0</v>
      </c>
      <c r="NOM249" s="5">
        <f t="shared" si="153"/>
        <v>0</v>
      </c>
      <c r="NON249" s="5">
        <f t="shared" si="153"/>
        <v>0</v>
      </c>
      <c r="NOO249" s="5">
        <f t="shared" si="153"/>
        <v>0</v>
      </c>
      <c r="NOP249" s="5">
        <f t="shared" si="153"/>
        <v>0</v>
      </c>
      <c r="NOQ249" s="5">
        <f t="shared" si="153"/>
        <v>0</v>
      </c>
      <c r="NOR249" s="5">
        <f t="shared" si="153"/>
        <v>0</v>
      </c>
      <c r="NOS249" s="5">
        <f t="shared" si="153"/>
        <v>0</v>
      </c>
      <c r="NOT249" s="5">
        <f t="shared" ref="NOT249:NRE249" si="154">SUM(NOT246:NOT246)</f>
        <v>0</v>
      </c>
      <c r="NOU249" s="5">
        <f t="shared" si="154"/>
        <v>0</v>
      </c>
      <c r="NOV249" s="5">
        <f t="shared" si="154"/>
        <v>0</v>
      </c>
      <c r="NOW249" s="5">
        <f t="shared" si="154"/>
        <v>0</v>
      </c>
      <c r="NOX249" s="5">
        <f t="shared" si="154"/>
        <v>0</v>
      </c>
      <c r="NOY249" s="5">
        <f t="shared" si="154"/>
        <v>0</v>
      </c>
      <c r="NOZ249" s="5">
        <f t="shared" si="154"/>
        <v>0</v>
      </c>
      <c r="NPA249" s="5">
        <f t="shared" si="154"/>
        <v>0</v>
      </c>
      <c r="NPB249" s="5">
        <f t="shared" si="154"/>
        <v>0</v>
      </c>
      <c r="NPC249" s="5">
        <f t="shared" si="154"/>
        <v>0</v>
      </c>
      <c r="NPD249" s="5">
        <f t="shared" si="154"/>
        <v>0</v>
      </c>
      <c r="NPE249" s="5">
        <f t="shared" si="154"/>
        <v>0</v>
      </c>
      <c r="NPF249" s="5">
        <f t="shared" si="154"/>
        <v>0</v>
      </c>
      <c r="NPG249" s="5">
        <f t="shared" si="154"/>
        <v>0</v>
      </c>
      <c r="NPH249" s="5">
        <f t="shared" si="154"/>
        <v>0</v>
      </c>
      <c r="NPI249" s="5">
        <f t="shared" si="154"/>
        <v>0</v>
      </c>
      <c r="NPJ249" s="5">
        <f t="shared" si="154"/>
        <v>0</v>
      </c>
      <c r="NPK249" s="5">
        <f t="shared" si="154"/>
        <v>0</v>
      </c>
      <c r="NPL249" s="5">
        <f t="shared" si="154"/>
        <v>0</v>
      </c>
      <c r="NPM249" s="5">
        <f t="shared" si="154"/>
        <v>0</v>
      </c>
      <c r="NPN249" s="5">
        <f t="shared" si="154"/>
        <v>0</v>
      </c>
      <c r="NPO249" s="5">
        <f t="shared" si="154"/>
        <v>0</v>
      </c>
      <c r="NPP249" s="5">
        <f t="shared" si="154"/>
        <v>0</v>
      </c>
      <c r="NPQ249" s="5">
        <f t="shared" si="154"/>
        <v>0</v>
      </c>
      <c r="NPR249" s="5">
        <f t="shared" si="154"/>
        <v>0</v>
      </c>
      <c r="NPS249" s="5">
        <f t="shared" si="154"/>
        <v>0</v>
      </c>
      <c r="NPT249" s="5">
        <f t="shared" si="154"/>
        <v>0</v>
      </c>
      <c r="NPU249" s="5">
        <f t="shared" si="154"/>
        <v>0</v>
      </c>
      <c r="NPV249" s="5">
        <f t="shared" si="154"/>
        <v>0</v>
      </c>
      <c r="NPW249" s="5">
        <f t="shared" si="154"/>
        <v>0</v>
      </c>
      <c r="NPX249" s="5">
        <f t="shared" si="154"/>
        <v>0</v>
      </c>
      <c r="NPY249" s="5">
        <f t="shared" si="154"/>
        <v>0</v>
      </c>
      <c r="NPZ249" s="5">
        <f t="shared" si="154"/>
        <v>0</v>
      </c>
      <c r="NQA249" s="5">
        <f t="shared" si="154"/>
        <v>0</v>
      </c>
      <c r="NQB249" s="5">
        <f t="shared" si="154"/>
        <v>0</v>
      </c>
      <c r="NQC249" s="5">
        <f t="shared" si="154"/>
        <v>0</v>
      </c>
      <c r="NQD249" s="5">
        <f t="shared" si="154"/>
        <v>0</v>
      </c>
      <c r="NQE249" s="5">
        <f t="shared" si="154"/>
        <v>0</v>
      </c>
      <c r="NQF249" s="5">
        <f t="shared" si="154"/>
        <v>0</v>
      </c>
      <c r="NQG249" s="5">
        <f t="shared" si="154"/>
        <v>0</v>
      </c>
      <c r="NQH249" s="5">
        <f t="shared" si="154"/>
        <v>0</v>
      </c>
      <c r="NQI249" s="5">
        <f t="shared" si="154"/>
        <v>0</v>
      </c>
      <c r="NQJ249" s="5">
        <f t="shared" si="154"/>
        <v>0</v>
      </c>
      <c r="NQK249" s="5">
        <f t="shared" si="154"/>
        <v>0</v>
      </c>
      <c r="NQL249" s="5">
        <f t="shared" si="154"/>
        <v>0</v>
      </c>
      <c r="NQM249" s="5">
        <f t="shared" si="154"/>
        <v>0</v>
      </c>
      <c r="NQN249" s="5">
        <f t="shared" si="154"/>
        <v>0</v>
      </c>
      <c r="NQO249" s="5">
        <f t="shared" si="154"/>
        <v>0</v>
      </c>
      <c r="NQP249" s="5">
        <f t="shared" si="154"/>
        <v>0</v>
      </c>
      <c r="NQQ249" s="5">
        <f t="shared" si="154"/>
        <v>0</v>
      </c>
      <c r="NQR249" s="5">
        <f t="shared" si="154"/>
        <v>0</v>
      </c>
      <c r="NQS249" s="5">
        <f t="shared" si="154"/>
        <v>0</v>
      </c>
      <c r="NQT249" s="5">
        <f t="shared" si="154"/>
        <v>0</v>
      </c>
      <c r="NQU249" s="5">
        <f t="shared" si="154"/>
        <v>0</v>
      </c>
      <c r="NQV249" s="5">
        <f t="shared" si="154"/>
        <v>0</v>
      </c>
      <c r="NQW249" s="5">
        <f t="shared" si="154"/>
        <v>0</v>
      </c>
      <c r="NQX249" s="5">
        <f t="shared" si="154"/>
        <v>0</v>
      </c>
      <c r="NQY249" s="5">
        <f t="shared" si="154"/>
        <v>0</v>
      </c>
      <c r="NQZ249" s="5">
        <f t="shared" si="154"/>
        <v>0</v>
      </c>
      <c r="NRA249" s="5">
        <f t="shared" si="154"/>
        <v>0</v>
      </c>
      <c r="NRB249" s="5">
        <f t="shared" si="154"/>
        <v>0</v>
      </c>
      <c r="NRC249" s="5">
        <f t="shared" si="154"/>
        <v>0</v>
      </c>
      <c r="NRD249" s="5">
        <f t="shared" si="154"/>
        <v>0</v>
      </c>
      <c r="NRE249" s="5">
        <f t="shared" si="154"/>
        <v>0</v>
      </c>
      <c r="NRF249" s="5">
        <f t="shared" ref="NRF249:NTQ249" si="155">SUM(NRF246:NRF246)</f>
        <v>0</v>
      </c>
      <c r="NRG249" s="5">
        <f t="shared" si="155"/>
        <v>0</v>
      </c>
      <c r="NRH249" s="5">
        <f t="shared" si="155"/>
        <v>0</v>
      </c>
      <c r="NRI249" s="5">
        <f t="shared" si="155"/>
        <v>0</v>
      </c>
      <c r="NRJ249" s="5">
        <f t="shared" si="155"/>
        <v>0</v>
      </c>
      <c r="NRK249" s="5">
        <f t="shared" si="155"/>
        <v>0</v>
      </c>
      <c r="NRL249" s="5">
        <f t="shared" si="155"/>
        <v>0</v>
      </c>
      <c r="NRM249" s="5">
        <f t="shared" si="155"/>
        <v>0</v>
      </c>
      <c r="NRN249" s="5">
        <f t="shared" si="155"/>
        <v>0</v>
      </c>
      <c r="NRO249" s="5">
        <f t="shared" si="155"/>
        <v>0</v>
      </c>
      <c r="NRP249" s="5">
        <f t="shared" si="155"/>
        <v>0</v>
      </c>
      <c r="NRQ249" s="5">
        <f t="shared" si="155"/>
        <v>0</v>
      </c>
      <c r="NRR249" s="5">
        <f t="shared" si="155"/>
        <v>0</v>
      </c>
      <c r="NRS249" s="5">
        <f t="shared" si="155"/>
        <v>0</v>
      </c>
      <c r="NRT249" s="5">
        <f t="shared" si="155"/>
        <v>0</v>
      </c>
      <c r="NRU249" s="5">
        <f t="shared" si="155"/>
        <v>0</v>
      </c>
      <c r="NRV249" s="5">
        <f t="shared" si="155"/>
        <v>0</v>
      </c>
      <c r="NRW249" s="5">
        <f t="shared" si="155"/>
        <v>0</v>
      </c>
      <c r="NRX249" s="5">
        <f t="shared" si="155"/>
        <v>0</v>
      </c>
      <c r="NRY249" s="5">
        <f t="shared" si="155"/>
        <v>0</v>
      </c>
      <c r="NRZ249" s="5">
        <f t="shared" si="155"/>
        <v>0</v>
      </c>
      <c r="NSA249" s="5">
        <f t="shared" si="155"/>
        <v>0</v>
      </c>
      <c r="NSB249" s="5">
        <f t="shared" si="155"/>
        <v>0</v>
      </c>
      <c r="NSC249" s="5">
        <f t="shared" si="155"/>
        <v>0</v>
      </c>
      <c r="NSD249" s="5">
        <f t="shared" si="155"/>
        <v>0</v>
      </c>
      <c r="NSE249" s="5">
        <f t="shared" si="155"/>
        <v>0</v>
      </c>
      <c r="NSF249" s="5">
        <f t="shared" si="155"/>
        <v>0</v>
      </c>
      <c r="NSG249" s="5">
        <f t="shared" si="155"/>
        <v>0</v>
      </c>
      <c r="NSH249" s="5">
        <f t="shared" si="155"/>
        <v>0</v>
      </c>
      <c r="NSI249" s="5">
        <f t="shared" si="155"/>
        <v>0</v>
      </c>
      <c r="NSJ249" s="5">
        <f t="shared" si="155"/>
        <v>0</v>
      </c>
      <c r="NSK249" s="5">
        <f t="shared" si="155"/>
        <v>0</v>
      </c>
      <c r="NSL249" s="5">
        <f t="shared" si="155"/>
        <v>0</v>
      </c>
      <c r="NSM249" s="5">
        <f t="shared" si="155"/>
        <v>0</v>
      </c>
      <c r="NSN249" s="5">
        <f t="shared" si="155"/>
        <v>0</v>
      </c>
      <c r="NSO249" s="5">
        <f t="shared" si="155"/>
        <v>0</v>
      </c>
      <c r="NSP249" s="5">
        <f t="shared" si="155"/>
        <v>0</v>
      </c>
      <c r="NSQ249" s="5">
        <f t="shared" si="155"/>
        <v>0</v>
      </c>
      <c r="NSR249" s="5">
        <f t="shared" si="155"/>
        <v>0</v>
      </c>
      <c r="NSS249" s="5">
        <f t="shared" si="155"/>
        <v>0</v>
      </c>
      <c r="NST249" s="5">
        <f t="shared" si="155"/>
        <v>0</v>
      </c>
      <c r="NSU249" s="5">
        <f t="shared" si="155"/>
        <v>0</v>
      </c>
      <c r="NSV249" s="5">
        <f t="shared" si="155"/>
        <v>0</v>
      </c>
      <c r="NSW249" s="5">
        <f t="shared" si="155"/>
        <v>0</v>
      </c>
      <c r="NSX249" s="5">
        <f t="shared" si="155"/>
        <v>0</v>
      </c>
      <c r="NSY249" s="5">
        <f t="shared" si="155"/>
        <v>0</v>
      </c>
      <c r="NSZ249" s="5">
        <f t="shared" si="155"/>
        <v>0</v>
      </c>
      <c r="NTA249" s="5">
        <f t="shared" si="155"/>
        <v>0</v>
      </c>
      <c r="NTB249" s="5">
        <f t="shared" si="155"/>
        <v>0</v>
      </c>
      <c r="NTC249" s="5">
        <f t="shared" si="155"/>
        <v>0</v>
      </c>
      <c r="NTD249" s="5">
        <f t="shared" si="155"/>
        <v>0</v>
      </c>
      <c r="NTE249" s="5">
        <f t="shared" si="155"/>
        <v>0</v>
      </c>
      <c r="NTF249" s="5">
        <f t="shared" si="155"/>
        <v>0</v>
      </c>
      <c r="NTG249" s="5">
        <f t="shared" si="155"/>
        <v>0</v>
      </c>
      <c r="NTH249" s="5">
        <f t="shared" si="155"/>
        <v>0</v>
      </c>
      <c r="NTI249" s="5">
        <f t="shared" si="155"/>
        <v>0</v>
      </c>
      <c r="NTJ249" s="5">
        <f t="shared" si="155"/>
        <v>0</v>
      </c>
      <c r="NTK249" s="5">
        <f t="shared" si="155"/>
        <v>0</v>
      </c>
      <c r="NTL249" s="5">
        <f t="shared" si="155"/>
        <v>0</v>
      </c>
      <c r="NTM249" s="5">
        <f t="shared" si="155"/>
        <v>0</v>
      </c>
      <c r="NTN249" s="5">
        <f t="shared" si="155"/>
        <v>0</v>
      </c>
      <c r="NTO249" s="5">
        <f t="shared" si="155"/>
        <v>0</v>
      </c>
      <c r="NTP249" s="5">
        <f t="shared" si="155"/>
        <v>0</v>
      </c>
      <c r="NTQ249" s="5">
        <f t="shared" si="155"/>
        <v>0</v>
      </c>
      <c r="NTR249" s="5">
        <f t="shared" ref="NTR249:NWC249" si="156">SUM(NTR246:NTR246)</f>
        <v>0</v>
      </c>
      <c r="NTS249" s="5">
        <f t="shared" si="156"/>
        <v>0</v>
      </c>
      <c r="NTT249" s="5">
        <f t="shared" si="156"/>
        <v>0</v>
      </c>
      <c r="NTU249" s="5">
        <f t="shared" si="156"/>
        <v>0</v>
      </c>
      <c r="NTV249" s="5">
        <f t="shared" si="156"/>
        <v>0</v>
      </c>
      <c r="NTW249" s="5">
        <f t="shared" si="156"/>
        <v>0</v>
      </c>
      <c r="NTX249" s="5">
        <f t="shared" si="156"/>
        <v>0</v>
      </c>
      <c r="NTY249" s="5">
        <f t="shared" si="156"/>
        <v>0</v>
      </c>
      <c r="NTZ249" s="5">
        <f t="shared" si="156"/>
        <v>0</v>
      </c>
      <c r="NUA249" s="5">
        <f t="shared" si="156"/>
        <v>0</v>
      </c>
      <c r="NUB249" s="5">
        <f t="shared" si="156"/>
        <v>0</v>
      </c>
      <c r="NUC249" s="5">
        <f t="shared" si="156"/>
        <v>0</v>
      </c>
      <c r="NUD249" s="5">
        <f t="shared" si="156"/>
        <v>0</v>
      </c>
      <c r="NUE249" s="5">
        <f t="shared" si="156"/>
        <v>0</v>
      </c>
      <c r="NUF249" s="5">
        <f t="shared" si="156"/>
        <v>0</v>
      </c>
      <c r="NUG249" s="5">
        <f t="shared" si="156"/>
        <v>0</v>
      </c>
      <c r="NUH249" s="5">
        <f t="shared" si="156"/>
        <v>0</v>
      </c>
      <c r="NUI249" s="5">
        <f t="shared" si="156"/>
        <v>0</v>
      </c>
      <c r="NUJ249" s="5">
        <f t="shared" si="156"/>
        <v>0</v>
      </c>
      <c r="NUK249" s="5">
        <f t="shared" si="156"/>
        <v>0</v>
      </c>
      <c r="NUL249" s="5">
        <f t="shared" si="156"/>
        <v>0</v>
      </c>
      <c r="NUM249" s="5">
        <f t="shared" si="156"/>
        <v>0</v>
      </c>
      <c r="NUN249" s="5">
        <f t="shared" si="156"/>
        <v>0</v>
      </c>
      <c r="NUO249" s="5">
        <f t="shared" si="156"/>
        <v>0</v>
      </c>
      <c r="NUP249" s="5">
        <f t="shared" si="156"/>
        <v>0</v>
      </c>
      <c r="NUQ249" s="5">
        <f t="shared" si="156"/>
        <v>0</v>
      </c>
      <c r="NUR249" s="5">
        <f t="shared" si="156"/>
        <v>0</v>
      </c>
      <c r="NUS249" s="5">
        <f t="shared" si="156"/>
        <v>0</v>
      </c>
      <c r="NUT249" s="5">
        <f t="shared" si="156"/>
        <v>0</v>
      </c>
      <c r="NUU249" s="5">
        <f t="shared" si="156"/>
        <v>0</v>
      </c>
      <c r="NUV249" s="5">
        <f t="shared" si="156"/>
        <v>0</v>
      </c>
      <c r="NUW249" s="5">
        <f t="shared" si="156"/>
        <v>0</v>
      </c>
      <c r="NUX249" s="5">
        <f t="shared" si="156"/>
        <v>0</v>
      </c>
      <c r="NUY249" s="5">
        <f t="shared" si="156"/>
        <v>0</v>
      </c>
      <c r="NUZ249" s="5">
        <f t="shared" si="156"/>
        <v>0</v>
      </c>
      <c r="NVA249" s="5">
        <f t="shared" si="156"/>
        <v>0</v>
      </c>
      <c r="NVB249" s="5">
        <f t="shared" si="156"/>
        <v>0</v>
      </c>
      <c r="NVC249" s="5">
        <f t="shared" si="156"/>
        <v>0</v>
      </c>
      <c r="NVD249" s="5">
        <f t="shared" si="156"/>
        <v>0</v>
      </c>
      <c r="NVE249" s="5">
        <f t="shared" si="156"/>
        <v>0</v>
      </c>
      <c r="NVF249" s="5">
        <f t="shared" si="156"/>
        <v>0</v>
      </c>
      <c r="NVG249" s="5">
        <f t="shared" si="156"/>
        <v>0</v>
      </c>
      <c r="NVH249" s="5">
        <f t="shared" si="156"/>
        <v>0</v>
      </c>
      <c r="NVI249" s="5">
        <f t="shared" si="156"/>
        <v>0</v>
      </c>
      <c r="NVJ249" s="5">
        <f t="shared" si="156"/>
        <v>0</v>
      </c>
      <c r="NVK249" s="5">
        <f t="shared" si="156"/>
        <v>0</v>
      </c>
      <c r="NVL249" s="5">
        <f t="shared" si="156"/>
        <v>0</v>
      </c>
      <c r="NVM249" s="5">
        <f t="shared" si="156"/>
        <v>0</v>
      </c>
      <c r="NVN249" s="5">
        <f t="shared" si="156"/>
        <v>0</v>
      </c>
      <c r="NVO249" s="5">
        <f t="shared" si="156"/>
        <v>0</v>
      </c>
      <c r="NVP249" s="5">
        <f t="shared" si="156"/>
        <v>0</v>
      </c>
      <c r="NVQ249" s="5">
        <f t="shared" si="156"/>
        <v>0</v>
      </c>
      <c r="NVR249" s="5">
        <f t="shared" si="156"/>
        <v>0</v>
      </c>
      <c r="NVS249" s="5">
        <f t="shared" si="156"/>
        <v>0</v>
      </c>
      <c r="NVT249" s="5">
        <f t="shared" si="156"/>
        <v>0</v>
      </c>
      <c r="NVU249" s="5">
        <f t="shared" si="156"/>
        <v>0</v>
      </c>
      <c r="NVV249" s="5">
        <f t="shared" si="156"/>
        <v>0</v>
      </c>
      <c r="NVW249" s="5">
        <f t="shared" si="156"/>
        <v>0</v>
      </c>
      <c r="NVX249" s="5">
        <f t="shared" si="156"/>
        <v>0</v>
      </c>
      <c r="NVY249" s="5">
        <f t="shared" si="156"/>
        <v>0</v>
      </c>
      <c r="NVZ249" s="5">
        <f t="shared" si="156"/>
        <v>0</v>
      </c>
      <c r="NWA249" s="5">
        <f t="shared" si="156"/>
        <v>0</v>
      </c>
      <c r="NWB249" s="5">
        <f t="shared" si="156"/>
        <v>0</v>
      </c>
      <c r="NWC249" s="5">
        <f t="shared" si="156"/>
        <v>0</v>
      </c>
      <c r="NWD249" s="5">
        <f t="shared" ref="NWD249:NYO249" si="157">SUM(NWD246:NWD246)</f>
        <v>0</v>
      </c>
      <c r="NWE249" s="5">
        <f t="shared" si="157"/>
        <v>0</v>
      </c>
      <c r="NWF249" s="5">
        <f t="shared" si="157"/>
        <v>0</v>
      </c>
      <c r="NWG249" s="5">
        <f t="shared" si="157"/>
        <v>0</v>
      </c>
      <c r="NWH249" s="5">
        <f t="shared" si="157"/>
        <v>0</v>
      </c>
      <c r="NWI249" s="5">
        <f t="shared" si="157"/>
        <v>0</v>
      </c>
      <c r="NWJ249" s="5">
        <f t="shared" si="157"/>
        <v>0</v>
      </c>
      <c r="NWK249" s="5">
        <f t="shared" si="157"/>
        <v>0</v>
      </c>
      <c r="NWL249" s="5">
        <f t="shared" si="157"/>
        <v>0</v>
      </c>
      <c r="NWM249" s="5">
        <f t="shared" si="157"/>
        <v>0</v>
      </c>
      <c r="NWN249" s="5">
        <f t="shared" si="157"/>
        <v>0</v>
      </c>
      <c r="NWO249" s="5">
        <f t="shared" si="157"/>
        <v>0</v>
      </c>
      <c r="NWP249" s="5">
        <f t="shared" si="157"/>
        <v>0</v>
      </c>
      <c r="NWQ249" s="5">
        <f t="shared" si="157"/>
        <v>0</v>
      </c>
      <c r="NWR249" s="5">
        <f t="shared" si="157"/>
        <v>0</v>
      </c>
      <c r="NWS249" s="5">
        <f t="shared" si="157"/>
        <v>0</v>
      </c>
      <c r="NWT249" s="5">
        <f t="shared" si="157"/>
        <v>0</v>
      </c>
      <c r="NWU249" s="5">
        <f t="shared" si="157"/>
        <v>0</v>
      </c>
      <c r="NWV249" s="5">
        <f t="shared" si="157"/>
        <v>0</v>
      </c>
      <c r="NWW249" s="5">
        <f t="shared" si="157"/>
        <v>0</v>
      </c>
      <c r="NWX249" s="5">
        <f t="shared" si="157"/>
        <v>0</v>
      </c>
      <c r="NWY249" s="5">
        <f t="shared" si="157"/>
        <v>0</v>
      </c>
      <c r="NWZ249" s="5">
        <f t="shared" si="157"/>
        <v>0</v>
      </c>
      <c r="NXA249" s="5">
        <f t="shared" si="157"/>
        <v>0</v>
      </c>
      <c r="NXB249" s="5">
        <f t="shared" si="157"/>
        <v>0</v>
      </c>
      <c r="NXC249" s="5">
        <f t="shared" si="157"/>
        <v>0</v>
      </c>
      <c r="NXD249" s="5">
        <f t="shared" si="157"/>
        <v>0</v>
      </c>
      <c r="NXE249" s="5">
        <f t="shared" si="157"/>
        <v>0</v>
      </c>
      <c r="NXF249" s="5">
        <f t="shared" si="157"/>
        <v>0</v>
      </c>
      <c r="NXG249" s="5">
        <f t="shared" si="157"/>
        <v>0</v>
      </c>
      <c r="NXH249" s="5">
        <f t="shared" si="157"/>
        <v>0</v>
      </c>
      <c r="NXI249" s="5">
        <f t="shared" si="157"/>
        <v>0</v>
      </c>
      <c r="NXJ249" s="5">
        <f t="shared" si="157"/>
        <v>0</v>
      </c>
      <c r="NXK249" s="5">
        <f t="shared" si="157"/>
        <v>0</v>
      </c>
      <c r="NXL249" s="5">
        <f t="shared" si="157"/>
        <v>0</v>
      </c>
      <c r="NXM249" s="5">
        <f t="shared" si="157"/>
        <v>0</v>
      </c>
      <c r="NXN249" s="5">
        <f t="shared" si="157"/>
        <v>0</v>
      </c>
      <c r="NXO249" s="5">
        <f t="shared" si="157"/>
        <v>0</v>
      </c>
      <c r="NXP249" s="5">
        <f t="shared" si="157"/>
        <v>0</v>
      </c>
      <c r="NXQ249" s="5">
        <f t="shared" si="157"/>
        <v>0</v>
      </c>
      <c r="NXR249" s="5">
        <f t="shared" si="157"/>
        <v>0</v>
      </c>
      <c r="NXS249" s="5">
        <f t="shared" si="157"/>
        <v>0</v>
      </c>
      <c r="NXT249" s="5">
        <f t="shared" si="157"/>
        <v>0</v>
      </c>
      <c r="NXU249" s="5">
        <f t="shared" si="157"/>
        <v>0</v>
      </c>
      <c r="NXV249" s="5">
        <f t="shared" si="157"/>
        <v>0</v>
      </c>
      <c r="NXW249" s="5">
        <f t="shared" si="157"/>
        <v>0</v>
      </c>
      <c r="NXX249" s="5">
        <f t="shared" si="157"/>
        <v>0</v>
      </c>
      <c r="NXY249" s="5">
        <f t="shared" si="157"/>
        <v>0</v>
      </c>
      <c r="NXZ249" s="5">
        <f t="shared" si="157"/>
        <v>0</v>
      </c>
      <c r="NYA249" s="5">
        <f t="shared" si="157"/>
        <v>0</v>
      </c>
      <c r="NYB249" s="5">
        <f t="shared" si="157"/>
        <v>0</v>
      </c>
      <c r="NYC249" s="5">
        <f t="shared" si="157"/>
        <v>0</v>
      </c>
      <c r="NYD249" s="5">
        <f t="shared" si="157"/>
        <v>0</v>
      </c>
      <c r="NYE249" s="5">
        <f t="shared" si="157"/>
        <v>0</v>
      </c>
      <c r="NYF249" s="5">
        <f t="shared" si="157"/>
        <v>0</v>
      </c>
      <c r="NYG249" s="5">
        <f t="shared" si="157"/>
        <v>0</v>
      </c>
      <c r="NYH249" s="5">
        <f t="shared" si="157"/>
        <v>0</v>
      </c>
      <c r="NYI249" s="5">
        <f t="shared" si="157"/>
        <v>0</v>
      </c>
      <c r="NYJ249" s="5">
        <f t="shared" si="157"/>
        <v>0</v>
      </c>
      <c r="NYK249" s="5">
        <f t="shared" si="157"/>
        <v>0</v>
      </c>
      <c r="NYL249" s="5">
        <f t="shared" si="157"/>
        <v>0</v>
      </c>
      <c r="NYM249" s="5">
        <f t="shared" si="157"/>
        <v>0</v>
      </c>
      <c r="NYN249" s="5">
        <f t="shared" si="157"/>
        <v>0</v>
      </c>
      <c r="NYO249" s="5">
        <f t="shared" si="157"/>
        <v>0</v>
      </c>
      <c r="NYP249" s="5">
        <f t="shared" ref="NYP249:OBA249" si="158">SUM(NYP246:NYP246)</f>
        <v>0</v>
      </c>
      <c r="NYQ249" s="5">
        <f t="shared" si="158"/>
        <v>0</v>
      </c>
      <c r="NYR249" s="5">
        <f t="shared" si="158"/>
        <v>0</v>
      </c>
      <c r="NYS249" s="5">
        <f t="shared" si="158"/>
        <v>0</v>
      </c>
      <c r="NYT249" s="5">
        <f t="shared" si="158"/>
        <v>0</v>
      </c>
      <c r="NYU249" s="5">
        <f t="shared" si="158"/>
        <v>0</v>
      </c>
      <c r="NYV249" s="5">
        <f t="shared" si="158"/>
        <v>0</v>
      </c>
      <c r="NYW249" s="5">
        <f t="shared" si="158"/>
        <v>0</v>
      </c>
      <c r="NYX249" s="5">
        <f t="shared" si="158"/>
        <v>0</v>
      </c>
      <c r="NYY249" s="5">
        <f t="shared" si="158"/>
        <v>0</v>
      </c>
      <c r="NYZ249" s="5">
        <f t="shared" si="158"/>
        <v>0</v>
      </c>
      <c r="NZA249" s="5">
        <f t="shared" si="158"/>
        <v>0</v>
      </c>
      <c r="NZB249" s="5">
        <f t="shared" si="158"/>
        <v>0</v>
      </c>
      <c r="NZC249" s="5">
        <f t="shared" si="158"/>
        <v>0</v>
      </c>
      <c r="NZD249" s="5">
        <f t="shared" si="158"/>
        <v>0</v>
      </c>
      <c r="NZE249" s="5">
        <f t="shared" si="158"/>
        <v>0</v>
      </c>
      <c r="NZF249" s="5">
        <f t="shared" si="158"/>
        <v>0</v>
      </c>
      <c r="NZG249" s="5">
        <f t="shared" si="158"/>
        <v>0</v>
      </c>
      <c r="NZH249" s="5">
        <f t="shared" si="158"/>
        <v>0</v>
      </c>
      <c r="NZI249" s="5">
        <f t="shared" si="158"/>
        <v>0</v>
      </c>
      <c r="NZJ249" s="5">
        <f t="shared" si="158"/>
        <v>0</v>
      </c>
      <c r="NZK249" s="5">
        <f t="shared" si="158"/>
        <v>0</v>
      </c>
      <c r="NZL249" s="5">
        <f t="shared" si="158"/>
        <v>0</v>
      </c>
      <c r="NZM249" s="5">
        <f t="shared" si="158"/>
        <v>0</v>
      </c>
      <c r="NZN249" s="5">
        <f t="shared" si="158"/>
        <v>0</v>
      </c>
      <c r="NZO249" s="5">
        <f t="shared" si="158"/>
        <v>0</v>
      </c>
      <c r="NZP249" s="5">
        <f t="shared" si="158"/>
        <v>0</v>
      </c>
      <c r="NZQ249" s="5">
        <f t="shared" si="158"/>
        <v>0</v>
      </c>
      <c r="NZR249" s="5">
        <f t="shared" si="158"/>
        <v>0</v>
      </c>
      <c r="NZS249" s="5">
        <f t="shared" si="158"/>
        <v>0</v>
      </c>
      <c r="NZT249" s="5">
        <f t="shared" si="158"/>
        <v>0</v>
      </c>
      <c r="NZU249" s="5">
        <f t="shared" si="158"/>
        <v>0</v>
      </c>
      <c r="NZV249" s="5">
        <f t="shared" si="158"/>
        <v>0</v>
      </c>
      <c r="NZW249" s="5">
        <f t="shared" si="158"/>
        <v>0</v>
      </c>
      <c r="NZX249" s="5">
        <f t="shared" si="158"/>
        <v>0</v>
      </c>
      <c r="NZY249" s="5">
        <f t="shared" si="158"/>
        <v>0</v>
      </c>
      <c r="NZZ249" s="5">
        <f t="shared" si="158"/>
        <v>0</v>
      </c>
      <c r="OAA249" s="5">
        <f t="shared" si="158"/>
        <v>0</v>
      </c>
      <c r="OAB249" s="5">
        <f t="shared" si="158"/>
        <v>0</v>
      </c>
      <c r="OAC249" s="5">
        <f t="shared" si="158"/>
        <v>0</v>
      </c>
      <c r="OAD249" s="5">
        <f t="shared" si="158"/>
        <v>0</v>
      </c>
      <c r="OAE249" s="5">
        <f t="shared" si="158"/>
        <v>0</v>
      </c>
      <c r="OAF249" s="5">
        <f t="shared" si="158"/>
        <v>0</v>
      </c>
      <c r="OAG249" s="5">
        <f t="shared" si="158"/>
        <v>0</v>
      </c>
      <c r="OAH249" s="5">
        <f t="shared" si="158"/>
        <v>0</v>
      </c>
      <c r="OAI249" s="5">
        <f t="shared" si="158"/>
        <v>0</v>
      </c>
      <c r="OAJ249" s="5">
        <f t="shared" si="158"/>
        <v>0</v>
      </c>
      <c r="OAK249" s="5">
        <f t="shared" si="158"/>
        <v>0</v>
      </c>
      <c r="OAL249" s="5">
        <f t="shared" si="158"/>
        <v>0</v>
      </c>
      <c r="OAM249" s="5">
        <f t="shared" si="158"/>
        <v>0</v>
      </c>
      <c r="OAN249" s="5">
        <f t="shared" si="158"/>
        <v>0</v>
      </c>
      <c r="OAO249" s="5">
        <f t="shared" si="158"/>
        <v>0</v>
      </c>
      <c r="OAP249" s="5">
        <f t="shared" si="158"/>
        <v>0</v>
      </c>
      <c r="OAQ249" s="5">
        <f t="shared" si="158"/>
        <v>0</v>
      </c>
      <c r="OAR249" s="5">
        <f t="shared" si="158"/>
        <v>0</v>
      </c>
      <c r="OAS249" s="5">
        <f t="shared" si="158"/>
        <v>0</v>
      </c>
      <c r="OAT249" s="5">
        <f t="shared" si="158"/>
        <v>0</v>
      </c>
      <c r="OAU249" s="5">
        <f t="shared" si="158"/>
        <v>0</v>
      </c>
      <c r="OAV249" s="5">
        <f t="shared" si="158"/>
        <v>0</v>
      </c>
      <c r="OAW249" s="5">
        <f t="shared" si="158"/>
        <v>0</v>
      </c>
      <c r="OAX249" s="5">
        <f t="shared" si="158"/>
        <v>0</v>
      </c>
      <c r="OAY249" s="5">
        <f t="shared" si="158"/>
        <v>0</v>
      </c>
      <c r="OAZ249" s="5">
        <f t="shared" si="158"/>
        <v>0</v>
      </c>
      <c r="OBA249" s="5">
        <f t="shared" si="158"/>
        <v>0</v>
      </c>
      <c r="OBB249" s="5">
        <f t="shared" ref="OBB249:ODM249" si="159">SUM(OBB246:OBB246)</f>
        <v>0</v>
      </c>
      <c r="OBC249" s="5">
        <f t="shared" si="159"/>
        <v>0</v>
      </c>
      <c r="OBD249" s="5">
        <f t="shared" si="159"/>
        <v>0</v>
      </c>
      <c r="OBE249" s="5">
        <f t="shared" si="159"/>
        <v>0</v>
      </c>
      <c r="OBF249" s="5">
        <f t="shared" si="159"/>
        <v>0</v>
      </c>
      <c r="OBG249" s="5">
        <f t="shared" si="159"/>
        <v>0</v>
      </c>
      <c r="OBH249" s="5">
        <f t="shared" si="159"/>
        <v>0</v>
      </c>
      <c r="OBI249" s="5">
        <f t="shared" si="159"/>
        <v>0</v>
      </c>
      <c r="OBJ249" s="5">
        <f t="shared" si="159"/>
        <v>0</v>
      </c>
      <c r="OBK249" s="5">
        <f t="shared" si="159"/>
        <v>0</v>
      </c>
      <c r="OBL249" s="5">
        <f t="shared" si="159"/>
        <v>0</v>
      </c>
      <c r="OBM249" s="5">
        <f t="shared" si="159"/>
        <v>0</v>
      </c>
      <c r="OBN249" s="5">
        <f t="shared" si="159"/>
        <v>0</v>
      </c>
      <c r="OBO249" s="5">
        <f t="shared" si="159"/>
        <v>0</v>
      </c>
      <c r="OBP249" s="5">
        <f t="shared" si="159"/>
        <v>0</v>
      </c>
      <c r="OBQ249" s="5">
        <f t="shared" si="159"/>
        <v>0</v>
      </c>
      <c r="OBR249" s="5">
        <f t="shared" si="159"/>
        <v>0</v>
      </c>
      <c r="OBS249" s="5">
        <f t="shared" si="159"/>
        <v>0</v>
      </c>
      <c r="OBT249" s="5">
        <f t="shared" si="159"/>
        <v>0</v>
      </c>
      <c r="OBU249" s="5">
        <f t="shared" si="159"/>
        <v>0</v>
      </c>
      <c r="OBV249" s="5">
        <f t="shared" si="159"/>
        <v>0</v>
      </c>
      <c r="OBW249" s="5">
        <f t="shared" si="159"/>
        <v>0</v>
      </c>
      <c r="OBX249" s="5">
        <f t="shared" si="159"/>
        <v>0</v>
      </c>
      <c r="OBY249" s="5">
        <f t="shared" si="159"/>
        <v>0</v>
      </c>
      <c r="OBZ249" s="5">
        <f t="shared" si="159"/>
        <v>0</v>
      </c>
      <c r="OCA249" s="5">
        <f t="shared" si="159"/>
        <v>0</v>
      </c>
      <c r="OCB249" s="5">
        <f t="shared" si="159"/>
        <v>0</v>
      </c>
      <c r="OCC249" s="5">
        <f t="shared" si="159"/>
        <v>0</v>
      </c>
      <c r="OCD249" s="5">
        <f t="shared" si="159"/>
        <v>0</v>
      </c>
      <c r="OCE249" s="5">
        <f t="shared" si="159"/>
        <v>0</v>
      </c>
      <c r="OCF249" s="5">
        <f t="shared" si="159"/>
        <v>0</v>
      </c>
      <c r="OCG249" s="5">
        <f t="shared" si="159"/>
        <v>0</v>
      </c>
      <c r="OCH249" s="5">
        <f t="shared" si="159"/>
        <v>0</v>
      </c>
      <c r="OCI249" s="5">
        <f t="shared" si="159"/>
        <v>0</v>
      </c>
      <c r="OCJ249" s="5">
        <f t="shared" si="159"/>
        <v>0</v>
      </c>
      <c r="OCK249" s="5">
        <f t="shared" si="159"/>
        <v>0</v>
      </c>
      <c r="OCL249" s="5">
        <f t="shared" si="159"/>
        <v>0</v>
      </c>
      <c r="OCM249" s="5">
        <f t="shared" si="159"/>
        <v>0</v>
      </c>
      <c r="OCN249" s="5">
        <f t="shared" si="159"/>
        <v>0</v>
      </c>
      <c r="OCO249" s="5">
        <f t="shared" si="159"/>
        <v>0</v>
      </c>
      <c r="OCP249" s="5">
        <f t="shared" si="159"/>
        <v>0</v>
      </c>
      <c r="OCQ249" s="5">
        <f t="shared" si="159"/>
        <v>0</v>
      </c>
      <c r="OCR249" s="5">
        <f t="shared" si="159"/>
        <v>0</v>
      </c>
      <c r="OCS249" s="5">
        <f t="shared" si="159"/>
        <v>0</v>
      </c>
      <c r="OCT249" s="5">
        <f t="shared" si="159"/>
        <v>0</v>
      </c>
      <c r="OCU249" s="5">
        <f t="shared" si="159"/>
        <v>0</v>
      </c>
      <c r="OCV249" s="5">
        <f t="shared" si="159"/>
        <v>0</v>
      </c>
      <c r="OCW249" s="5">
        <f t="shared" si="159"/>
        <v>0</v>
      </c>
      <c r="OCX249" s="5">
        <f t="shared" si="159"/>
        <v>0</v>
      </c>
      <c r="OCY249" s="5">
        <f t="shared" si="159"/>
        <v>0</v>
      </c>
      <c r="OCZ249" s="5">
        <f t="shared" si="159"/>
        <v>0</v>
      </c>
      <c r="ODA249" s="5">
        <f t="shared" si="159"/>
        <v>0</v>
      </c>
      <c r="ODB249" s="5">
        <f t="shared" si="159"/>
        <v>0</v>
      </c>
      <c r="ODC249" s="5">
        <f t="shared" si="159"/>
        <v>0</v>
      </c>
      <c r="ODD249" s="5">
        <f t="shared" si="159"/>
        <v>0</v>
      </c>
      <c r="ODE249" s="5">
        <f t="shared" si="159"/>
        <v>0</v>
      </c>
      <c r="ODF249" s="5">
        <f t="shared" si="159"/>
        <v>0</v>
      </c>
      <c r="ODG249" s="5">
        <f t="shared" si="159"/>
        <v>0</v>
      </c>
      <c r="ODH249" s="5">
        <f t="shared" si="159"/>
        <v>0</v>
      </c>
      <c r="ODI249" s="5">
        <f t="shared" si="159"/>
        <v>0</v>
      </c>
      <c r="ODJ249" s="5">
        <f t="shared" si="159"/>
        <v>0</v>
      </c>
      <c r="ODK249" s="5">
        <f t="shared" si="159"/>
        <v>0</v>
      </c>
      <c r="ODL249" s="5">
        <f t="shared" si="159"/>
        <v>0</v>
      </c>
      <c r="ODM249" s="5">
        <f t="shared" si="159"/>
        <v>0</v>
      </c>
      <c r="ODN249" s="5">
        <f t="shared" ref="ODN249:OFY249" si="160">SUM(ODN246:ODN246)</f>
        <v>0</v>
      </c>
      <c r="ODO249" s="5">
        <f t="shared" si="160"/>
        <v>0</v>
      </c>
      <c r="ODP249" s="5">
        <f t="shared" si="160"/>
        <v>0</v>
      </c>
      <c r="ODQ249" s="5">
        <f t="shared" si="160"/>
        <v>0</v>
      </c>
      <c r="ODR249" s="5">
        <f t="shared" si="160"/>
        <v>0</v>
      </c>
      <c r="ODS249" s="5">
        <f t="shared" si="160"/>
        <v>0</v>
      </c>
      <c r="ODT249" s="5">
        <f t="shared" si="160"/>
        <v>0</v>
      </c>
      <c r="ODU249" s="5">
        <f t="shared" si="160"/>
        <v>0</v>
      </c>
      <c r="ODV249" s="5">
        <f t="shared" si="160"/>
        <v>0</v>
      </c>
      <c r="ODW249" s="5">
        <f t="shared" si="160"/>
        <v>0</v>
      </c>
      <c r="ODX249" s="5">
        <f t="shared" si="160"/>
        <v>0</v>
      </c>
      <c r="ODY249" s="5">
        <f t="shared" si="160"/>
        <v>0</v>
      </c>
      <c r="ODZ249" s="5">
        <f t="shared" si="160"/>
        <v>0</v>
      </c>
      <c r="OEA249" s="5">
        <f t="shared" si="160"/>
        <v>0</v>
      </c>
      <c r="OEB249" s="5">
        <f t="shared" si="160"/>
        <v>0</v>
      </c>
      <c r="OEC249" s="5">
        <f t="shared" si="160"/>
        <v>0</v>
      </c>
      <c r="OED249" s="5">
        <f t="shared" si="160"/>
        <v>0</v>
      </c>
      <c r="OEE249" s="5">
        <f t="shared" si="160"/>
        <v>0</v>
      </c>
      <c r="OEF249" s="5">
        <f t="shared" si="160"/>
        <v>0</v>
      </c>
      <c r="OEG249" s="5">
        <f t="shared" si="160"/>
        <v>0</v>
      </c>
      <c r="OEH249" s="5">
        <f t="shared" si="160"/>
        <v>0</v>
      </c>
      <c r="OEI249" s="5">
        <f t="shared" si="160"/>
        <v>0</v>
      </c>
      <c r="OEJ249" s="5">
        <f t="shared" si="160"/>
        <v>0</v>
      </c>
      <c r="OEK249" s="5">
        <f t="shared" si="160"/>
        <v>0</v>
      </c>
      <c r="OEL249" s="5">
        <f t="shared" si="160"/>
        <v>0</v>
      </c>
      <c r="OEM249" s="5">
        <f t="shared" si="160"/>
        <v>0</v>
      </c>
      <c r="OEN249" s="5">
        <f t="shared" si="160"/>
        <v>0</v>
      </c>
      <c r="OEO249" s="5">
        <f t="shared" si="160"/>
        <v>0</v>
      </c>
      <c r="OEP249" s="5">
        <f t="shared" si="160"/>
        <v>0</v>
      </c>
      <c r="OEQ249" s="5">
        <f t="shared" si="160"/>
        <v>0</v>
      </c>
      <c r="OER249" s="5">
        <f t="shared" si="160"/>
        <v>0</v>
      </c>
      <c r="OES249" s="5">
        <f t="shared" si="160"/>
        <v>0</v>
      </c>
      <c r="OET249" s="5">
        <f t="shared" si="160"/>
        <v>0</v>
      </c>
      <c r="OEU249" s="5">
        <f t="shared" si="160"/>
        <v>0</v>
      </c>
      <c r="OEV249" s="5">
        <f t="shared" si="160"/>
        <v>0</v>
      </c>
      <c r="OEW249" s="5">
        <f t="shared" si="160"/>
        <v>0</v>
      </c>
      <c r="OEX249" s="5">
        <f t="shared" si="160"/>
        <v>0</v>
      </c>
      <c r="OEY249" s="5">
        <f t="shared" si="160"/>
        <v>0</v>
      </c>
      <c r="OEZ249" s="5">
        <f t="shared" si="160"/>
        <v>0</v>
      </c>
      <c r="OFA249" s="5">
        <f t="shared" si="160"/>
        <v>0</v>
      </c>
      <c r="OFB249" s="5">
        <f t="shared" si="160"/>
        <v>0</v>
      </c>
      <c r="OFC249" s="5">
        <f t="shared" si="160"/>
        <v>0</v>
      </c>
      <c r="OFD249" s="5">
        <f t="shared" si="160"/>
        <v>0</v>
      </c>
      <c r="OFE249" s="5">
        <f t="shared" si="160"/>
        <v>0</v>
      </c>
      <c r="OFF249" s="5">
        <f t="shared" si="160"/>
        <v>0</v>
      </c>
      <c r="OFG249" s="5">
        <f t="shared" si="160"/>
        <v>0</v>
      </c>
      <c r="OFH249" s="5">
        <f t="shared" si="160"/>
        <v>0</v>
      </c>
      <c r="OFI249" s="5">
        <f t="shared" si="160"/>
        <v>0</v>
      </c>
      <c r="OFJ249" s="5">
        <f t="shared" si="160"/>
        <v>0</v>
      </c>
      <c r="OFK249" s="5">
        <f t="shared" si="160"/>
        <v>0</v>
      </c>
      <c r="OFL249" s="5">
        <f t="shared" si="160"/>
        <v>0</v>
      </c>
      <c r="OFM249" s="5">
        <f t="shared" si="160"/>
        <v>0</v>
      </c>
      <c r="OFN249" s="5">
        <f t="shared" si="160"/>
        <v>0</v>
      </c>
      <c r="OFO249" s="5">
        <f t="shared" si="160"/>
        <v>0</v>
      </c>
      <c r="OFP249" s="5">
        <f t="shared" si="160"/>
        <v>0</v>
      </c>
      <c r="OFQ249" s="5">
        <f t="shared" si="160"/>
        <v>0</v>
      </c>
      <c r="OFR249" s="5">
        <f t="shared" si="160"/>
        <v>0</v>
      </c>
      <c r="OFS249" s="5">
        <f t="shared" si="160"/>
        <v>0</v>
      </c>
      <c r="OFT249" s="5">
        <f t="shared" si="160"/>
        <v>0</v>
      </c>
      <c r="OFU249" s="5">
        <f t="shared" si="160"/>
        <v>0</v>
      </c>
      <c r="OFV249" s="5">
        <f t="shared" si="160"/>
        <v>0</v>
      </c>
      <c r="OFW249" s="5">
        <f t="shared" si="160"/>
        <v>0</v>
      </c>
      <c r="OFX249" s="5">
        <f t="shared" si="160"/>
        <v>0</v>
      </c>
      <c r="OFY249" s="5">
        <f t="shared" si="160"/>
        <v>0</v>
      </c>
      <c r="OFZ249" s="5">
        <f t="shared" ref="OFZ249:OIK249" si="161">SUM(OFZ246:OFZ246)</f>
        <v>0</v>
      </c>
      <c r="OGA249" s="5">
        <f t="shared" si="161"/>
        <v>0</v>
      </c>
      <c r="OGB249" s="5">
        <f t="shared" si="161"/>
        <v>0</v>
      </c>
      <c r="OGC249" s="5">
        <f t="shared" si="161"/>
        <v>0</v>
      </c>
      <c r="OGD249" s="5">
        <f t="shared" si="161"/>
        <v>0</v>
      </c>
      <c r="OGE249" s="5">
        <f t="shared" si="161"/>
        <v>0</v>
      </c>
      <c r="OGF249" s="5">
        <f t="shared" si="161"/>
        <v>0</v>
      </c>
      <c r="OGG249" s="5">
        <f t="shared" si="161"/>
        <v>0</v>
      </c>
      <c r="OGH249" s="5">
        <f t="shared" si="161"/>
        <v>0</v>
      </c>
      <c r="OGI249" s="5">
        <f t="shared" si="161"/>
        <v>0</v>
      </c>
      <c r="OGJ249" s="5">
        <f t="shared" si="161"/>
        <v>0</v>
      </c>
      <c r="OGK249" s="5">
        <f t="shared" si="161"/>
        <v>0</v>
      </c>
      <c r="OGL249" s="5">
        <f t="shared" si="161"/>
        <v>0</v>
      </c>
      <c r="OGM249" s="5">
        <f t="shared" si="161"/>
        <v>0</v>
      </c>
      <c r="OGN249" s="5">
        <f t="shared" si="161"/>
        <v>0</v>
      </c>
      <c r="OGO249" s="5">
        <f t="shared" si="161"/>
        <v>0</v>
      </c>
      <c r="OGP249" s="5">
        <f t="shared" si="161"/>
        <v>0</v>
      </c>
      <c r="OGQ249" s="5">
        <f t="shared" si="161"/>
        <v>0</v>
      </c>
      <c r="OGR249" s="5">
        <f t="shared" si="161"/>
        <v>0</v>
      </c>
      <c r="OGS249" s="5">
        <f t="shared" si="161"/>
        <v>0</v>
      </c>
      <c r="OGT249" s="5">
        <f t="shared" si="161"/>
        <v>0</v>
      </c>
      <c r="OGU249" s="5">
        <f t="shared" si="161"/>
        <v>0</v>
      </c>
      <c r="OGV249" s="5">
        <f t="shared" si="161"/>
        <v>0</v>
      </c>
      <c r="OGW249" s="5">
        <f t="shared" si="161"/>
        <v>0</v>
      </c>
      <c r="OGX249" s="5">
        <f t="shared" si="161"/>
        <v>0</v>
      </c>
      <c r="OGY249" s="5">
        <f t="shared" si="161"/>
        <v>0</v>
      </c>
      <c r="OGZ249" s="5">
        <f t="shared" si="161"/>
        <v>0</v>
      </c>
      <c r="OHA249" s="5">
        <f t="shared" si="161"/>
        <v>0</v>
      </c>
      <c r="OHB249" s="5">
        <f t="shared" si="161"/>
        <v>0</v>
      </c>
      <c r="OHC249" s="5">
        <f t="shared" si="161"/>
        <v>0</v>
      </c>
      <c r="OHD249" s="5">
        <f t="shared" si="161"/>
        <v>0</v>
      </c>
      <c r="OHE249" s="5">
        <f t="shared" si="161"/>
        <v>0</v>
      </c>
      <c r="OHF249" s="5">
        <f t="shared" si="161"/>
        <v>0</v>
      </c>
      <c r="OHG249" s="5">
        <f t="shared" si="161"/>
        <v>0</v>
      </c>
      <c r="OHH249" s="5">
        <f t="shared" si="161"/>
        <v>0</v>
      </c>
      <c r="OHI249" s="5">
        <f t="shared" si="161"/>
        <v>0</v>
      </c>
      <c r="OHJ249" s="5">
        <f t="shared" si="161"/>
        <v>0</v>
      </c>
      <c r="OHK249" s="5">
        <f t="shared" si="161"/>
        <v>0</v>
      </c>
      <c r="OHL249" s="5">
        <f t="shared" si="161"/>
        <v>0</v>
      </c>
      <c r="OHM249" s="5">
        <f t="shared" si="161"/>
        <v>0</v>
      </c>
      <c r="OHN249" s="5">
        <f t="shared" si="161"/>
        <v>0</v>
      </c>
      <c r="OHO249" s="5">
        <f t="shared" si="161"/>
        <v>0</v>
      </c>
      <c r="OHP249" s="5">
        <f t="shared" si="161"/>
        <v>0</v>
      </c>
      <c r="OHQ249" s="5">
        <f t="shared" si="161"/>
        <v>0</v>
      </c>
      <c r="OHR249" s="5">
        <f t="shared" si="161"/>
        <v>0</v>
      </c>
      <c r="OHS249" s="5">
        <f t="shared" si="161"/>
        <v>0</v>
      </c>
      <c r="OHT249" s="5">
        <f t="shared" si="161"/>
        <v>0</v>
      </c>
      <c r="OHU249" s="5">
        <f t="shared" si="161"/>
        <v>0</v>
      </c>
      <c r="OHV249" s="5">
        <f t="shared" si="161"/>
        <v>0</v>
      </c>
      <c r="OHW249" s="5">
        <f t="shared" si="161"/>
        <v>0</v>
      </c>
      <c r="OHX249" s="5">
        <f t="shared" si="161"/>
        <v>0</v>
      </c>
      <c r="OHY249" s="5">
        <f t="shared" si="161"/>
        <v>0</v>
      </c>
      <c r="OHZ249" s="5">
        <f t="shared" si="161"/>
        <v>0</v>
      </c>
      <c r="OIA249" s="5">
        <f t="shared" si="161"/>
        <v>0</v>
      </c>
      <c r="OIB249" s="5">
        <f t="shared" si="161"/>
        <v>0</v>
      </c>
      <c r="OIC249" s="5">
        <f t="shared" si="161"/>
        <v>0</v>
      </c>
      <c r="OID249" s="5">
        <f t="shared" si="161"/>
        <v>0</v>
      </c>
      <c r="OIE249" s="5">
        <f t="shared" si="161"/>
        <v>0</v>
      </c>
      <c r="OIF249" s="5">
        <f t="shared" si="161"/>
        <v>0</v>
      </c>
      <c r="OIG249" s="5">
        <f t="shared" si="161"/>
        <v>0</v>
      </c>
      <c r="OIH249" s="5">
        <f t="shared" si="161"/>
        <v>0</v>
      </c>
      <c r="OII249" s="5">
        <f t="shared" si="161"/>
        <v>0</v>
      </c>
      <c r="OIJ249" s="5">
        <f t="shared" si="161"/>
        <v>0</v>
      </c>
      <c r="OIK249" s="5">
        <f t="shared" si="161"/>
        <v>0</v>
      </c>
      <c r="OIL249" s="5">
        <f t="shared" ref="OIL249:OKW249" si="162">SUM(OIL246:OIL246)</f>
        <v>0</v>
      </c>
      <c r="OIM249" s="5">
        <f t="shared" si="162"/>
        <v>0</v>
      </c>
      <c r="OIN249" s="5">
        <f t="shared" si="162"/>
        <v>0</v>
      </c>
      <c r="OIO249" s="5">
        <f t="shared" si="162"/>
        <v>0</v>
      </c>
      <c r="OIP249" s="5">
        <f t="shared" si="162"/>
        <v>0</v>
      </c>
      <c r="OIQ249" s="5">
        <f t="shared" si="162"/>
        <v>0</v>
      </c>
      <c r="OIR249" s="5">
        <f t="shared" si="162"/>
        <v>0</v>
      </c>
      <c r="OIS249" s="5">
        <f t="shared" si="162"/>
        <v>0</v>
      </c>
      <c r="OIT249" s="5">
        <f t="shared" si="162"/>
        <v>0</v>
      </c>
      <c r="OIU249" s="5">
        <f t="shared" si="162"/>
        <v>0</v>
      </c>
      <c r="OIV249" s="5">
        <f t="shared" si="162"/>
        <v>0</v>
      </c>
      <c r="OIW249" s="5">
        <f t="shared" si="162"/>
        <v>0</v>
      </c>
      <c r="OIX249" s="5">
        <f t="shared" si="162"/>
        <v>0</v>
      </c>
      <c r="OIY249" s="5">
        <f t="shared" si="162"/>
        <v>0</v>
      </c>
      <c r="OIZ249" s="5">
        <f t="shared" si="162"/>
        <v>0</v>
      </c>
      <c r="OJA249" s="5">
        <f t="shared" si="162"/>
        <v>0</v>
      </c>
      <c r="OJB249" s="5">
        <f t="shared" si="162"/>
        <v>0</v>
      </c>
      <c r="OJC249" s="5">
        <f t="shared" si="162"/>
        <v>0</v>
      </c>
      <c r="OJD249" s="5">
        <f t="shared" si="162"/>
        <v>0</v>
      </c>
      <c r="OJE249" s="5">
        <f t="shared" si="162"/>
        <v>0</v>
      </c>
      <c r="OJF249" s="5">
        <f t="shared" si="162"/>
        <v>0</v>
      </c>
      <c r="OJG249" s="5">
        <f t="shared" si="162"/>
        <v>0</v>
      </c>
      <c r="OJH249" s="5">
        <f t="shared" si="162"/>
        <v>0</v>
      </c>
      <c r="OJI249" s="5">
        <f t="shared" si="162"/>
        <v>0</v>
      </c>
      <c r="OJJ249" s="5">
        <f t="shared" si="162"/>
        <v>0</v>
      </c>
      <c r="OJK249" s="5">
        <f t="shared" si="162"/>
        <v>0</v>
      </c>
      <c r="OJL249" s="5">
        <f t="shared" si="162"/>
        <v>0</v>
      </c>
      <c r="OJM249" s="5">
        <f t="shared" si="162"/>
        <v>0</v>
      </c>
      <c r="OJN249" s="5">
        <f t="shared" si="162"/>
        <v>0</v>
      </c>
      <c r="OJO249" s="5">
        <f t="shared" si="162"/>
        <v>0</v>
      </c>
      <c r="OJP249" s="5">
        <f t="shared" si="162"/>
        <v>0</v>
      </c>
      <c r="OJQ249" s="5">
        <f t="shared" si="162"/>
        <v>0</v>
      </c>
      <c r="OJR249" s="5">
        <f t="shared" si="162"/>
        <v>0</v>
      </c>
      <c r="OJS249" s="5">
        <f t="shared" si="162"/>
        <v>0</v>
      </c>
      <c r="OJT249" s="5">
        <f t="shared" si="162"/>
        <v>0</v>
      </c>
      <c r="OJU249" s="5">
        <f t="shared" si="162"/>
        <v>0</v>
      </c>
      <c r="OJV249" s="5">
        <f t="shared" si="162"/>
        <v>0</v>
      </c>
      <c r="OJW249" s="5">
        <f t="shared" si="162"/>
        <v>0</v>
      </c>
      <c r="OJX249" s="5">
        <f t="shared" si="162"/>
        <v>0</v>
      </c>
      <c r="OJY249" s="5">
        <f t="shared" si="162"/>
        <v>0</v>
      </c>
      <c r="OJZ249" s="5">
        <f t="shared" si="162"/>
        <v>0</v>
      </c>
      <c r="OKA249" s="5">
        <f t="shared" si="162"/>
        <v>0</v>
      </c>
      <c r="OKB249" s="5">
        <f t="shared" si="162"/>
        <v>0</v>
      </c>
      <c r="OKC249" s="5">
        <f t="shared" si="162"/>
        <v>0</v>
      </c>
      <c r="OKD249" s="5">
        <f t="shared" si="162"/>
        <v>0</v>
      </c>
      <c r="OKE249" s="5">
        <f t="shared" si="162"/>
        <v>0</v>
      </c>
      <c r="OKF249" s="5">
        <f t="shared" si="162"/>
        <v>0</v>
      </c>
      <c r="OKG249" s="5">
        <f t="shared" si="162"/>
        <v>0</v>
      </c>
      <c r="OKH249" s="5">
        <f t="shared" si="162"/>
        <v>0</v>
      </c>
      <c r="OKI249" s="5">
        <f t="shared" si="162"/>
        <v>0</v>
      </c>
      <c r="OKJ249" s="5">
        <f t="shared" si="162"/>
        <v>0</v>
      </c>
      <c r="OKK249" s="5">
        <f t="shared" si="162"/>
        <v>0</v>
      </c>
      <c r="OKL249" s="5">
        <f t="shared" si="162"/>
        <v>0</v>
      </c>
      <c r="OKM249" s="5">
        <f t="shared" si="162"/>
        <v>0</v>
      </c>
      <c r="OKN249" s="5">
        <f t="shared" si="162"/>
        <v>0</v>
      </c>
      <c r="OKO249" s="5">
        <f t="shared" si="162"/>
        <v>0</v>
      </c>
      <c r="OKP249" s="5">
        <f t="shared" si="162"/>
        <v>0</v>
      </c>
      <c r="OKQ249" s="5">
        <f t="shared" si="162"/>
        <v>0</v>
      </c>
      <c r="OKR249" s="5">
        <f t="shared" si="162"/>
        <v>0</v>
      </c>
      <c r="OKS249" s="5">
        <f t="shared" si="162"/>
        <v>0</v>
      </c>
      <c r="OKT249" s="5">
        <f t="shared" si="162"/>
        <v>0</v>
      </c>
      <c r="OKU249" s="5">
        <f t="shared" si="162"/>
        <v>0</v>
      </c>
      <c r="OKV249" s="5">
        <f t="shared" si="162"/>
        <v>0</v>
      </c>
      <c r="OKW249" s="5">
        <f t="shared" si="162"/>
        <v>0</v>
      </c>
      <c r="OKX249" s="5">
        <f t="shared" ref="OKX249:ONI249" si="163">SUM(OKX246:OKX246)</f>
        <v>0</v>
      </c>
      <c r="OKY249" s="5">
        <f t="shared" si="163"/>
        <v>0</v>
      </c>
      <c r="OKZ249" s="5">
        <f t="shared" si="163"/>
        <v>0</v>
      </c>
      <c r="OLA249" s="5">
        <f t="shared" si="163"/>
        <v>0</v>
      </c>
      <c r="OLB249" s="5">
        <f t="shared" si="163"/>
        <v>0</v>
      </c>
      <c r="OLC249" s="5">
        <f t="shared" si="163"/>
        <v>0</v>
      </c>
      <c r="OLD249" s="5">
        <f t="shared" si="163"/>
        <v>0</v>
      </c>
      <c r="OLE249" s="5">
        <f t="shared" si="163"/>
        <v>0</v>
      </c>
      <c r="OLF249" s="5">
        <f t="shared" si="163"/>
        <v>0</v>
      </c>
      <c r="OLG249" s="5">
        <f t="shared" si="163"/>
        <v>0</v>
      </c>
      <c r="OLH249" s="5">
        <f t="shared" si="163"/>
        <v>0</v>
      </c>
      <c r="OLI249" s="5">
        <f t="shared" si="163"/>
        <v>0</v>
      </c>
      <c r="OLJ249" s="5">
        <f t="shared" si="163"/>
        <v>0</v>
      </c>
      <c r="OLK249" s="5">
        <f t="shared" si="163"/>
        <v>0</v>
      </c>
      <c r="OLL249" s="5">
        <f t="shared" si="163"/>
        <v>0</v>
      </c>
      <c r="OLM249" s="5">
        <f t="shared" si="163"/>
        <v>0</v>
      </c>
      <c r="OLN249" s="5">
        <f t="shared" si="163"/>
        <v>0</v>
      </c>
      <c r="OLO249" s="5">
        <f t="shared" si="163"/>
        <v>0</v>
      </c>
      <c r="OLP249" s="5">
        <f t="shared" si="163"/>
        <v>0</v>
      </c>
      <c r="OLQ249" s="5">
        <f t="shared" si="163"/>
        <v>0</v>
      </c>
      <c r="OLR249" s="5">
        <f t="shared" si="163"/>
        <v>0</v>
      </c>
      <c r="OLS249" s="5">
        <f t="shared" si="163"/>
        <v>0</v>
      </c>
      <c r="OLT249" s="5">
        <f t="shared" si="163"/>
        <v>0</v>
      </c>
      <c r="OLU249" s="5">
        <f t="shared" si="163"/>
        <v>0</v>
      </c>
      <c r="OLV249" s="5">
        <f t="shared" si="163"/>
        <v>0</v>
      </c>
      <c r="OLW249" s="5">
        <f t="shared" si="163"/>
        <v>0</v>
      </c>
      <c r="OLX249" s="5">
        <f t="shared" si="163"/>
        <v>0</v>
      </c>
      <c r="OLY249" s="5">
        <f t="shared" si="163"/>
        <v>0</v>
      </c>
      <c r="OLZ249" s="5">
        <f t="shared" si="163"/>
        <v>0</v>
      </c>
      <c r="OMA249" s="5">
        <f t="shared" si="163"/>
        <v>0</v>
      </c>
      <c r="OMB249" s="5">
        <f t="shared" si="163"/>
        <v>0</v>
      </c>
      <c r="OMC249" s="5">
        <f t="shared" si="163"/>
        <v>0</v>
      </c>
      <c r="OMD249" s="5">
        <f t="shared" si="163"/>
        <v>0</v>
      </c>
      <c r="OME249" s="5">
        <f t="shared" si="163"/>
        <v>0</v>
      </c>
      <c r="OMF249" s="5">
        <f t="shared" si="163"/>
        <v>0</v>
      </c>
      <c r="OMG249" s="5">
        <f t="shared" si="163"/>
        <v>0</v>
      </c>
      <c r="OMH249" s="5">
        <f t="shared" si="163"/>
        <v>0</v>
      </c>
      <c r="OMI249" s="5">
        <f t="shared" si="163"/>
        <v>0</v>
      </c>
      <c r="OMJ249" s="5">
        <f t="shared" si="163"/>
        <v>0</v>
      </c>
      <c r="OMK249" s="5">
        <f t="shared" si="163"/>
        <v>0</v>
      </c>
      <c r="OML249" s="5">
        <f t="shared" si="163"/>
        <v>0</v>
      </c>
      <c r="OMM249" s="5">
        <f t="shared" si="163"/>
        <v>0</v>
      </c>
      <c r="OMN249" s="5">
        <f t="shared" si="163"/>
        <v>0</v>
      </c>
      <c r="OMO249" s="5">
        <f t="shared" si="163"/>
        <v>0</v>
      </c>
      <c r="OMP249" s="5">
        <f t="shared" si="163"/>
        <v>0</v>
      </c>
      <c r="OMQ249" s="5">
        <f t="shared" si="163"/>
        <v>0</v>
      </c>
      <c r="OMR249" s="5">
        <f t="shared" si="163"/>
        <v>0</v>
      </c>
      <c r="OMS249" s="5">
        <f t="shared" si="163"/>
        <v>0</v>
      </c>
      <c r="OMT249" s="5">
        <f t="shared" si="163"/>
        <v>0</v>
      </c>
      <c r="OMU249" s="5">
        <f t="shared" si="163"/>
        <v>0</v>
      </c>
      <c r="OMV249" s="5">
        <f t="shared" si="163"/>
        <v>0</v>
      </c>
      <c r="OMW249" s="5">
        <f t="shared" si="163"/>
        <v>0</v>
      </c>
      <c r="OMX249" s="5">
        <f t="shared" si="163"/>
        <v>0</v>
      </c>
      <c r="OMY249" s="5">
        <f t="shared" si="163"/>
        <v>0</v>
      </c>
      <c r="OMZ249" s="5">
        <f t="shared" si="163"/>
        <v>0</v>
      </c>
      <c r="ONA249" s="5">
        <f t="shared" si="163"/>
        <v>0</v>
      </c>
      <c r="ONB249" s="5">
        <f t="shared" si="163"/>
        <v>0</v>
      </c>
      <c r="ONC249" s="5">
        <f t="shared" si="163"/>
        <v>0</v>
      </c>
      <c r="OND249" s="5">
        <f t="shared" si="163"/>
        <v>0</v>
      </c>
      <c r="ONE249" s="5">
        <f t="shared" si="163"/>
        <v>0</v>
      </c>
      <c r="ONF249" s="5">
        <f t="shared" si="163"/>
        <v>0</v>
      </c>
      <c r="ONG249" s="5">
        <f t="shared" si="163"/>
        <v>0</v>
      </c>
      <c r="ONH249" s="5">
        <f t="shared" si="163"/>
        <v>0</v>
      </c>
      <c r="ONI249" s="5">
        <f t="shared" si="163"/>
        <v>0</v>
      </c>
      <c r="ONJ249" s="5">
        <f t="shared" ref="ONJ249:OPU249" si="164">SUM(ONJ246:ONJ246)</f>
        <v>0</v>
      </c>
      <c r="ONK249" s="5">
        <f t="shared" si="164"/>
        <v>0</v>
      </c>
      <c r="ONL249" s="5">
        <f t="shared" si="164"/>
        <v>0</v>
      </c>
      <c r="ONM249" s="5">
        <f t="shared" si="164"/>
        <v>0</v>
      </c>
      <c r="ONN249" s="5">
        <f t="shared" si="164"/>
        <v>0</v>
      </c>
      <c r="ONO249" s="5">
        <f t="shared" si="164"/>
        <v>0</v>
      </c>
      <c r="ONP249" s="5">
        <f t="shared" si="164"/>
        <v>0</v>
      </c>
      <c r="ONQ249" s="5">
        <f t="shared" si="164"/>
        <v>0</v>
      </c>
      <c r="ONR249" s="5">
        <f t="shared" si="164"/>
        <v>0</v>
      </c>
      <c r="ONS249" s="5">
        <f t="shared" si="164"/>
        <v>0</v>
      </c>
      <c r="ONT249" s="5">
        <f t="shared" si="164"/>
        <v>0</v>
      </c>
      <c r="ONU249" s="5">
        <f t="shared" si="164"/>
        <v>0</v>
      </c>
      <c r="ONV249" s="5">
        <f t="shared" si="164"/>
        <v>0</v>
      </c>
      <c r="ONW249" s="5">
        <f t="shared" si="164"/>
        <v>0</v>
      </c>
      <c r="ONX249" s="5">
        <f t="shared" si="164"/>
        <v>0</v>
      </c>
      <c r="ONY249" s="5">
        <f t="shared" si="164"/>
        <v>0</v>
      </c>
      <c r="ONZ249" s="5">
        <f t="shared" si="164"/>
        <v>0</v>
      </c>
      <c r="OOA249" s="5">
        <f t="shared" si="164"/>
        <v>0</v>
      </c>
      <c r="OOB249" s="5">
        <f t="shared" si="164"/>
        <v>0</v>
      </c>
      <c r="OOC249" s="5">
        <f t="shared" si="164"/>
        <v>0</v>
      </c>
      <c r="OOD249" s="5">
        <f t="shared" si="164"/>
        <v>0</v>
      </c>
      <c r="OOE249" s="5">
        <f t="shared" si="164"/>
        <v>0</v>
      </c>
      <c r="OOF249" s="5">
        <f t="shared" si="164"/>
        <v>0</v>
      </c>
      <c r="OOG249" s="5">
        <f t="shared" si="164"/>
        <v>0</v>
      </c>
      <c r="OOH249" s="5">
        <f t="shared" si="164"/>
        <v>0</v>
      </c>
      <c r="OOI249" s="5">
        <f t="shared" si="164"/>
        <v>0</v>
      </c>
      <c r="OOJ249" s="5">
        <f t="shared" si="164"/>
        <v>0</v>
      </c>
      <c r="OOK249" s="5">
        <f t="shared" si="164"/>
        <v>0</v>
      </c>
      <c r="OOL249" s="5">
        <f t="shared" si="164"/>
        <v>0</v>
      </c>
      <c r="OOM249" s="5">
        <f t="shared" si="164"/>
        <v>0</v>
      </c>
      <c r="OON249" s="5">
        <f t="shared" si="164"/>
        <v>0</v>
      </c>
      <c r="OOO249" s="5">
        <f t="shared" si="164"/>
        <v>0</v>
      </c>
      <c r="OOP249" s="5">
        <f t="shared" si="164"/>
        <v>0</v>
      </c>
      <c r="OOQ249" s="5">
        <f t="shared" si="164"/>
        <v>0</v>
      </c>
      <c r="OOR249" s="5">
        <f t="shared" si="164"/>
        <v>0</v>
      </c>
      <c r="OOS249" s="5">
        <f t="shared" si="164"/>
        <v>0</v>
      </c>
      <c r="OOT249" s="5">
        <f t="shared" si="164"/>
        <v>0</v>
      </c>
      <c r="OOU249" s="5">
        <f t="shared" si="164"/>
        <v>0</v>
      </c>
      <c r="OOV249" s="5">
        <f t="shared" si="164"/>
        <v>0</v>
      </c>
      <c r="OOW249" s="5">
        <f t="shared" si="164"/>
        <v>0</v>
      </c>
      <c r="OOX249" s="5">
        <f t="shared" si="164"/>
        <v>0</v>
      </c>
      <c r="OOY249" s="5">
        <f t="shared" si="164"/>
        <v>0</v>
      </c>
      <c r="OOZ249" s="5">
        <f t="shared" si="164"/>
        <v>0</v>
      </c>
      <c r="OPA249" s="5">
        <f t="shared" si="164"/>
        <v>0</v>
      </c>
      <c r="OPB249" s="5">
        <f t="shared" si="164"/>
        <v>0</v>
      </c>
      <c r="OPC249" s="5">
        <f t="shared" si="164"/>
        <v>0</v>
      </c>
      <c r="OPD249" s="5">
        <f t="shared" si="164"/>
        <v>0</v>
      </c>
      <c r="OPE249" s="5">
        <f t="shared" si="164"/>
        <v>0</v>
      </c>
      <c r="OPF249" s="5">
        <f t="shared" si="164"/>
        <v>0</v>
      </c>
      <c r="OPG249" s="5">
        <f t="shared" si="164"/>
        <v>0</v>
      </c>
      <c r="OPH249" s="5">
        <f t="shared" si="164"/>
        <v>0</v>
      </c>
      <c r="OPI249" s="5">
        <f t="shared" si="164"/>
        <v>0</v>
      </c>
      <c r="OPJ249" s="5">
        <f t="shared" si="164"/>
        <v>0</v>
      </c>
      <c r="OPK249" s="5">
        <f t="shared" si="164"/>
        <v>0</v>
      </c>
      <c r="OPL249" s="5">
        <f t="shared" si="164"/>
        <v>0</v>
      </c>
      <c r="OPM249" s="5">
        <f t="shared" si="164"/>
        <v>0</v>
      </c>
      <c r="OPN249" s="5">
        <f t="shared" si="164"/>
        <v>0</v>
      </c>
      <c r="OPO249" s="5">
        <f t="shared" si="164"/>
        <v>0</v>
      </c>
      <c r="OPP249" s="5">
        <f t="shared" si="164"/>
        <v>0</v>
      </c>
      <c r="OPQ249" s="5">
        <f t="shared" si="164"/>
        <v>0</v>
      </c>
      <c r="OPR249" s="5">
        <f t="shared" si="164"/>
        <v>0</v>
      </c>
      <c r="OPS249" s="5">
        <f t="shared" si="164"/>
        <v>0</v>
      </c>
      <c r="OPT249" s="5">
        <f t="shared" si="164"/>
        <v>0</v>
      </c>
      <c r="OPU249" s="5">
        <f t="shared" si="164"/>
        <v>0</v>
      </c>
      <c r="OPV249" s="5">
        <f t="shared" ref="OPV249:OSG249" si="165">SUM(OPV246:OPV246)</f>
        <v>0</v>
      </c>
      <c r="OPW249" s="5">
        <f t="shared" si="165"/>
        <v>0</v>
      </c>
      <c r="OPX249" s="5">
        <f t="shared" si="165"/>
        <v>0</v>
      </c>
      <c r="OPY249" s="5">
        <f t="shared" si="165"/>
        <v>0</v>
      </c>
      <c r="OPZ249" s="5">
        <f t="shared" si="165"/>
        <v>0</v>
      </c>
      <c r="OQA249" s="5">
        <f t="shared" si="165"/>
        <v>0</v>
      </c>
      <c r="OQB249" s="5">
        <f t="shared" si="165"/>
        <v>0</v>
      </c>
      <c r="OQC249" s="5">
        <f t="shared" si="165"/>
        <v>0</v>
      </c>
      <c r="OQD249" s="5">
        <f t="shared" si="165"/>
        <v>0</v>
      </c>
      <c r="OQE249" s="5">
        <f t="shared" si="165"/>
        <v>0</v>
      </c>
      <c r="OQF249" s="5">
        <f t="shared" si="165"/>
        <v>0</v>
      </c>
      <c r="OQG249" s="5">
        <f t="shared" si="165"/>
        <v>0</v>
      </c>
      <c r="OQH249" s="5">
        <f t="shared" si="165"/>
        <v>0</v>
      </c>
      <c r="OQI249" s="5">
        <f t="shared" si="165"/>
        <v>0</v>
      </c>
      <c r="OQJ249" s="5">
        <f t="shared" si="165"/>
        <v>0</v>
      </c>
      <c r="OQK249" s="5">
        <f t="shared" si="165"/>
        <v>0</v>
      </c>
      <c r="OQL249" s="5">
        <f t="shared" si="165"/>
        <v>0</v>
      </c>
      <c r="OQM249" s="5">
        <f t="shared" si="165"/>
        <v>0</v>
      </c>
      <c r="OQN249" s="5">
        <f t="shared" si="165"/>
        <v>0</v>
      </c>
      <c r="OQO249" s="5">
        <f t="shared" si="165"/>
        <v>0</v>
      </c>
      <c r="OQP249" s="5">
        <f t="shared" si="165"/>
        <v>0</v>
      </c>
      <c r="OQQ249" s="5">
        <f t="shared" si="165"/>
        <v>0</v>
      </c>
      <c r="OQR249" s="5">
        <f t="shared" si="165"/>
        <v>0</v>
      </c>
      <c r="OQS249" s="5">
        <f t="shared" si="165"/>
        <v>0</v>
      </c>
      <c r="OQT249" s="5">
        <f t="shared" si="165"/>
        <v>0</v>
      </c>
      <c r="OQU249" s="5">
        <f t="shared" si="165"/>
        <v>0</v>
      </c>
      <c r="OQV249" s="5">
        <f t="shared" si="165"/>
        <v>0</v>
      </c>
      <c r="OQW249" s="5">
        <f t="shared" si="165"/>
        <v>0</v>
      </c>
      <c r="OQX249" s="5">
        <f t="shared" si="165"/>
        <v>0</v>
      </c>
      <c r="OQY249" s="5">
        <f t="shared" si="165"/>
        <v>0</v>
      </c>
      <c r="OQZ249" s="5">
        <f t="shared" si="165"/>
        <v>0</v>
      </c>
      <c r="ORA249" s="5">
        <f t="shared" si="165"/>
        <v>0</v>
      </c>
      <c r="ORB249" s="5">
        <f t="shared" si="165"/>
        <v>0</v>
      </c>
      <c r="ORC249" s="5">
        <f t="shared" si="165"/>
        <v>0</v>
      </c>
      <c r="ORD249" s="5">
        <f t="shared" si="165"/>
        <v>0</v>
      </c>
      <c r="ORE249" s="5">
        <f t="shared" si="165"/>
        <v>0</v>
      </c>
      <c r="ORF249" s="5">
        <f t="shared" si="165"/>
        <v>0</v>
      </c>
      <c r="ORG249" s="5">
        <f t="shared" si="165"/>
        <v>0</v>
      </c>
      <c r="ORH249" s="5">
        <f t="shared" si="165"/>
        <v>0</v>
      </c>
      <c r="ORI249" s="5">
        <f t="shared" si="165"/>
        <v>0</v>
      </c>
      <c r="ORJ249" s="5">
        <f t="shared" si="165"/>
        <v>0</v>
      </c>
      <c r="ORK249" s="5">
        <f t="shared" si="165"/>
        <v>0</v>
      </c>
      <c r="ORL249" s="5">
        <f t="shared" si="165"/>
        <v>0</v>
      </c>
      <c r="ORM249" s="5">
        <f t="shared" si="165"/>
        <v>0</v>
      </c>
      <c r="ORN249" s="5">
        <f t="shared" si="165"/>
        <v>0</v>
      </c>
      <c r="ORO249" s="5">
        <f t="shared" si="165"/>
        <v>0</v>
      </c>
      <c r="ORP249" s="5">
        <f t="shared" si="165"/>
        <v>0</v>
      </c>
      <c r="ORQ249" s="5">
        <f t="shared" si="165"/>
        <v>0</v>
      </c>
      <c r="ORR249" s="5">
        <f t="shared" si="165"/>
        <v>0</v>
      </c>
      <c r="ORS249" s="5">
        <f t="shared" si="165"/>
        <v>0</v>
      </c>
      <c r="ORT249" s="5">
        <f t="shared" si="165"/>
        <v>0</v>
      </c>
      <c r="ORU249" s="5">
        <f t="shared" si="165"/>
        <v>0</v>
      </c>
      <c r="ORV249" s="5">
        <f t="shared" si="165"/>
        <v>0</v>
      </c>
      <c r="ORW249" s="5">
        <f t="shared" si="165"/>
        <v>0</v>
      </c>
      <c r="ORX249" s="5">
        <f t="shared" si="165"/>
        <v>0</v>
      </c>
      <c r="ORY249" s="5">
        <f t="shared" si="165"/>
        <v>0</v>
      </c>
      <c r="ORZ249" s="5">
        <f t="shared" si="165"/>
        <v>0</v>
      </c>
      <c r="OSA249" s="5">
        <f t="shared" si="165"/>
        <v>0</v>
      </c>
      <c r="OSB249" s="5">
        <f t="shared" si="165"/>
        <v>0</v>
      </c>
      <c r="OSC249" s="5">
        <f t="shared" si="165"/>
        <v>0</v>
      </c>
      <c r="OSD249" s="5">
        <f t="shared" si="165"/>
        <v>0</v>
      </c>
      <c r="OSE249" s="5">
        <f t="shared" si="165"/>
        <v>0</v>
      </c>
      <c r="OSF249" s="5">
        <f t="shared" si="165"/>
        <v>0</v>
      </c>
      <c r="OSG249" s="5">
        <f t="shared" si="165"/>
        <v>0</v>
      </c>
      <c r="OSH249" s="5">
        <f t="shared" ref="OSH249:OUS249" si="166">SUM(OSH246:OSH246)</f>
        <v>0</v>
      </c>
      <c r="OSI249" s="5">
        <f t="shared" si="166"/>
        <v>0</v>
      </c>
      <c r="OSJ249" s="5">
        <f t="shared" si="166"/>
        <v>0</v>
      </c>
      <c r="OSK249" s="5">
        <f t="shared" si="166"/>
        <v>0</v>
      </c>
      <c r="OSL249" s="5">
        <f t="shared" si="166"/>
        <v>0</v>
      </c>
      <c r="OSM249" s="5">
        <f t="shared" si="166"/>
        <v>0</v>
      </c>
      <c r="OSN249" s="5">
        <f t="shared" si="166"/>
        <v>0</v>
      </c>
      <c r="OSO249" s="5">
        <f t="shared" si="166"/>
        <v>0</v>
      </c>
      <c r="OSP249" s="5">
        <f t="shared" si="166"/>
        <v>0</v>
      </c>
      <c r="OSQ249" s="5">
        <f t="shared" si="166"/>
        <v>0</v>
      </c>
      <c r="OSR249" s="5">
        <f t="shared" si="166"/>
        <v>0</v>
      </c>
      <c r="OSS249" s="5">
        <f t="shared" si="166"/>
        <v>0</v>
      </c>
      <c r="OST249" s="5">
        <f t="shared" si="166"/>
        <v>0</v>
      </c>
      <c r="OSU249" s="5">
        <f t="shared" si="166"/>
        <v>0</v>
      </c>
      <c r="OSV249" s="5">
        <f t="shared" si="166"/>
        <v>0</v>
      </c>
      <c r="OSW249" s="5">
        <f t="shared" si="166"/>
        <v>0</v>
      </c>
      <c r="OSX249" s="5">
        <f t="shared" si="166"/>
        <v>0</v>
      </c>
      <c r="OSY249" s="5">
        <f t="shared" si="166"/>
        <v>0</v>
      </c>
      <c r="OSZ249" s="5">
        <f t="shared" si="166"/>
        <v>0</v>
      </c>
      <c r="OTA249" s="5">
        <f t="shared" si="166"/>
        <v>0</v>
      </c>
      <c r="OTB249" s="5">
        <f t="shared" si="166"/>
        <v>0</v>
      </c>
      <c r="OTC249" s="5">
        <f t="shared" si="166"/>
        <v>0</v>
      </c>
      <c r="OTD249" s="5">
        <f t="shared" si="166"/>
        <v>0</v>
      </c>
      <c r="OTE249" s="5">
        <f t="shared" si="166"/>
        <v>0</v>
      </c>
      <c r="OTF249" s="5">
        <f t="shared" si="166"/>
        <v>0</v>
      </c>
      <c r="OTG249" s="5">
        <f t="shared" si="166"/>
        <v>0</v>
      </c>
      <c r="OTH249" s="5">
        <f t="shared" si="166"/>
        <v>0</v>
      </c>
      <c r="OTI249" s="5">
        <f t="shared" si="166"/>
        <v>0</v>
      </c>
      <c r="OTJ249" s="5">
        <f t="shared" si="166"/>
        <v>0</v>
      </c>
      <c r="OTK249" s="5">
        <f t="shared" si="166"/>
        <v>0</v>
      </c>
      <c r="OTL249" s="5">
        <f t="shared" si="166"/>
        <v>0</v>
      </c>
      <c r="OTM249" s="5">
        <f t="shared" si="166"/>
        <v>0</v>
      </c>
      <c r="OTN249" s="5">
        <f t="shared" si="166"/>
        <v>0</v>
      </c>
      <c r="OTO249" s="5">
        <f t="shared" si="166"/>
        <v>0</v>
      </c>
      <c r="OTP249" s="5">
        <f t="shared" si="166"/>
        <v>0</v>
      </c>
      <c r="OTQ249" s="5">
        <f t="shared" si="166"/>
        <v>0</v>
      </c>
      <c r="OTR249" s="5">
        <f t="shared" si="166"/>
        <v>0</v>
      </c>
      <c r="OTS249" s="5">
        <f t="shared" si="166"/>
        <v>0</v>
      </c>
      <c r="OTT249" s="5">
        <f t="shared" si="166"/>
        <v>0</v>
      </c>
      <c r="OTU249" s="5">
        <f t="shared" si="166"/>
        <v>0</v>
      </c>
      <c r="OTV249" s="5">
        <f t="shared" si="166"/>
        <v>0</v>
      </c>
      <c r="OTW249" s="5">
        <f t="shared" si="166"/>
        <v>0</v>
      </c>
      <c r="OTX249" s="5">
        <f t="shared" si="166"/>
        <v>0</v>
      </c>
      <c r="OTY249" s="5">
        <f t="shared" si="166"/>
        <v>0</v>
      </c>
      <c r="OTZ249" s="5">
        <f t="shared" si="166"/>
        <v>0</v>
      </c>
      <c r="OUA249" s="5">
        <f t="shared" si="166"/>
        <v>0</v>
      </c>
      <c r="OUB249" s="5">
        <f t="shared" si="166"/>
        <v>0</v>
      </c>
      <c r="OUC249" s="5">
        <f t="shared" si="166"/>
        <v>0</v>
      </c>
      <c r="OUD249" s="5">
        <f t="shared" si="166"/>
        <v>0</v>
      </c>
      <c r="OUE249" s="5">
        <f t="shared" si="166"/>
        <v>0</v>
      </c>
      <c r="OUF249" s="5">
        <f t="shared" si="166"/>
        <v>0</v>
      </c>
      <c r="OUG249" s="5">
        <f t="shared" si="166"/>
        <v>0</v>
      </c>
      <c r="OUH249" s="5">
        <f t="shared" si="166"/>
        <v>0</v>
      </c>
      <c r="OUI249" s="5">
        <f t="shared" si="166"/>
        <v>0</v>
      </c>
      <c r="OUJ249" s="5">
        <f t="shared" si="166"/>
        <v>0</v>
      </c>
      <c r="OUK249" s="5">
        <f t="shared" si="166"/>
        <v>0</v>
      </c>
      <c r="OUL249" s="5">
        <f t="shared" si="166"/>
        <v>0</v>
      </c>
      <c r="OUM249" s="5">
        <f t="shared" si="166"/>
        <v>0</v>
      </c>
      <c r="OUN249" s="5">
        <f t="shared" si="166"/>
        <v>0</v>
      </c>
      <c r="OUO249" s="5">
        <f t="shared" si="166"/>
        <v>0</v>
      </c>
      <c r="OUP249" s="5">
        <f t="shared" si="166"/>
        <v>0</v>
      </c>
      <c r="OUQ249" s="5">
        <f t="shared" si="166"/>
        <v>0</v>
      </c>
      <c r="OUR249" s="5">
        <f t="shared" si="166"/>
        <v>0</v>
      </c>
      <c r="OUS249" s="5">
        <f t="shared" si="166"/>
        <v>0</v>
      </c>
      <c r="OUT249" s="5">
        <f t="shared" ref="OUT249:OXE249" si="167">SUM(OUT246:OUT246)</f>
        <v>0</v>
      </c>
      <c r="OUU249" s="5">
        <f t="shared" si="167"/>
        <v>0</v>
      </c>
      <c r="OUV249" s="5">
        <f t="shared" si="167"/>
        <v>0</v>
      </c>
      <c r="OUW249" s="5">
        <f t="shared" si="167"/>
        <v>0</v>
      </c>
      <c r="OUX249" s="5">
        <f t="shared" si="167"/>
        <v>0</v>
      </c>
      <c r="OUY249" s="5">
        <f t="shared" si="167"/>
        <v>0</v>
      </c>
      <c r="OUZ249" s="5">
        <f t="shared" si="167"/>
        <v>0</v>
      </c>
      <c r="OVA249" s="5">
        <f t="shared" si="167"/>
        <v>0</v>
      </c>
      <c r="OVB249" s="5">
        <f t="shared" si="167"/>
        <v>0</v>
      </c>
      <c r="OVC249" s="5">
        <f t="shared" si="167"/>
        <v>0</v>
      </c>
      <c r="OVD249" s="5">
        <f t="shared" si="167"/>
        <v>0</v>
      </c>
      <c r="OVE249" s="5">
        <f t="shared" si="167"/>
        <v>0</v>
      </c>
      <c r="OVF249" s="5">
        <f t="shared" si="167"/>
        <v>0</v>
      </c>
      <c r="OVG249" s="5">
        <f t="shared" si="167"/>
        <v>0</v>
      </c>
      <c r="OVH249" s="5">
        <f t="shared" si="167"/>
        <v>0</v>
      </c>
      <c r="OVI249" s="5">
        <f t="shared" si="167"/>
        <v>0</v>
      </c>
      <c r="OVJ249" s="5">
        <f t="shared" si="167"/>
        <v>0</v>
      </c>
      <c r="OVK249" s="5">
        <f t="shared" si="167"/>
        <v>0</v>
      </c>
      <c r="OVL249" s="5">
        <f t="shared" si="167"/>
        <v>0</v>
      </c>
      <c r="OVM249" s="5">
        <f t="shared" si="167"/>
        <v>0</v>
      </c>
      <c r="OVN249" s="5">
        <f t="shared" si="167"/>
        <v>0</v>
      </c>
      <c r="OVO249" s="5">
        <f t="shared" si="167"/>
        <v>0</v>
      </c>
      <c r="OVP249" s="5">
        <f t="shared" si="167"/>
        <v>0</v>
      </c>
      <c r="OVQ249" s="5">
        <f t="shared" si="167"/>
        <v>0</v>
      </c>
      <c r="OVR249" s="5">
        <f t="shared" si="167"/>
        <v>0</v>
      </c>
      <c r="OVS249" s="5">
        <f t="shared" si="167"/>
        <v>0</v>
      </c>
      <c r="OVT249" s="5">
        <f t="shared" si="167"/>
        <v>0</v>
      </c>
      <c r="OVU249" s="5">
        <f t="shared" si="167"/>
        <v>0</v>
      </c>
      <c r="OVV249" s="5">
        <f t="shared" si="167"/>
        <v>0</v>
      </c>
      <c r="OVW249" s="5">
        <f t="shared" si="167"/>
        <v>0</v>
      </c>
      <c r="OVX249" s="5">
        <f t="shared" si="167"/>
        <v>0</v>
      </c>
      <c r="OVY249" s="5">
        <f t="shared" si="167"/>
        <v>0</v>
      </c>
      <c r="OVZ249" s="5">
        <f t="shared" si="167"/>
        <v>0</v>
      </c>
      <c r="OWA249" s="5">
        <f t="shared" si="167"/>
        <v>0</v>
      </c>
      <c r="OWB249" s="5">
        <f t="shared" si="167"/>
        <v>0</v>
      </c>
      <c r="OWC249" s="5">
        <f t="shared" si="167"/>
        <v>0</v>
      </c>
      <c r="OWD249" s="5">
        <f t="shared" si="167"/>
        <v>0</v>
      </c>
      <c r="OWE249" s="5">
        <f t="shared" si="167"/>
        <v>0</v>
      </c>
      <c r="OWF249" s="5">
        <f t="shared" si="167"/>
        <v>0</v>
      </c>
      <c r="OWG249" s="5">
        <f t="shared" si="167"/>
        <v>0</v>
      </c>
      <c r="OWH249" s="5">
        <f t="shared" si="167"/>
        <v>0</v>
      </c>
      <c r="OWI249" s="5">
        <f t="shared" si="167"/>
        <v>0</v>
      </c>
      <c r="OWJ249" s="5">
        <f t="shared" si="167"/>
        <v>0</v>
      </c>
      <c r="OWK249" s="5">
        <f t="shared" si="167"/>
        <v>0</v>
      </c>
      <c r="OWL249" s="5">
        <f t="shared" si="167"/>
        <v>0</v>
      </c>
      <c r="OWM249" s="5">
        <f t="shared" si="167"/>
        <v>0</v>
      </c>
      <c r="OWN249" s="5">
        <f t="shared" si="167"/>
        <v>0</v>
      </c>
      <c r="OWO249" s="5">
        <f t="shared" si="167"/>
        <v>0</v>
      </c>
      <c r="OWP249" s="5">
        <f t="shared" si="167"/>
        <v>0</v>
      </c>
      <c r="OWQ249" s="5">
        <f t="shared" si="167"/>
        <v>0</v>
      </c>
      <c r="OWR249" s="5">
        <f t="shared" si="167"/>
        <v>0</v>
      </c>
      <c r="OWS249" s="5">
        <f t="shared" si="167"/>
        <v>0</v>
      </c>
      <c r="OWT249" s="5">
        <f t="shared" si="167"/>
        <v>0</v>
      </c>
      <c r="OWU249" s="5">
        <f t="shared" si="167"/>
        <v>0</v>
      </c>
      <c r="OWV249" s="5">
        <f t="shared" si="167"/>
        <v>0</v>
      </c>
      <c r="OWW249" s="5">
        <f t="shared" si="167"/>
        <v>0</v>
      </c>
      <c r="OWX249" s="5">
        <f t="shared" si="167"/>
        <v>0</v>
      </c>
      <c r="OWY249" s="5">
        <f t="shared" si="167"/>
        <v>0</v>
      </c>
      <c r="OWZ249" s="5">
        <f t="shared" si="167"/>
        <v>0</v>
      </c>
      <c r="OXA249" s="5">
        <f t="shared" si="167"/>
        <v>0</v>
      </c>
      <c r="OXB249" s="5">
        <f t="shared" si="167"/>
        <v>0</v>
      </c>
      <c r="OXC249" s="5">
        <f t="shared" si="167"/>
        <v>0</v>
      </c>
      <c r="OXD249" s="5">
        <f t="shared" si="167"/>
        <v>0</v>
      </c>
      <c r="OXE249" s="5">
        <f t="shared" si="167"/>
        <v>0</v>
      </c>
      <c r="OXF249" s="5">
        <f t="shared" ref="OXF249:OZQ249" si="168">SUM(OXF246:OXF246)</f>
        <v>0</v>
      </c>
      <c r="OXG249" s="5">
        <f t="shared" si="168"/>
        <v>0</v>
      </c>
      <c r="OXH249" s="5">
        <f t="shared" si="168"/>
        <v>0</v>
      </c>
      <c r="OXI249" s="5">
        <f t="shared" si="168"/>
        <v>0</v>
      </c>
      <c r="OXJ249" s="5">
        <f t="shared" si="168"/>
        <v>0</v>
      </c>
      <c r="OXK249" s="5">
        <f t="shared" si="168"/>
        <v>0</v>
      </c>
      <c r="OXL249" s="5">
        <f t="shared" si="168"/>
        <v>0</v>
      </c>
      <c r="OXM249" s="5">
        <f t="shared" si="168"/>
        <v>0</v>
      </c>
      <c r="OXN249" s="5">
        <f t="shared" si="168"/>
        <v>0</v>
      </c>
      <c r="OXO249" s="5">
        <f t="shared" si="168"/>
        <v>0</v>
      </c>
      <c r="OXP249" s="5">
        <f t="shared" si="168"/>
        <v>0</v>
      </c>
      <c r="OXQ249" s="5">
        <f t="shared" si="168"/>
        <v>0</v>
      </c>
      <c r="OXR249" s="5">
        <f t="shared" si="168"/>
        <v>0</v>
      </c>
      <c r="OXS249" s="5">
        <f t="shared" si="168"/>
        <v>0</v>
      </c>
      <c r="OXT249" s="5">
        <f t="shared" si="168"/>
        <v>0</v>
      </c>
      <c r="OXU249" s="5">
        <f t="shared" si="168"/>
        <v>0</v>
      </c>
      <c r="OXV249" s="5">
        <f t="shared" si="168"/>
        <v>0</v>
      </c>
      <c r="OXW249" s="5">
        <f t="shared" si="168"/>
        <v>0</v>
      </c>
      <c r="OXX249" s="5">
        <f t="shared" si="168"/>
        <v>0</v>
      </c>
      <c r="OXY249" s="5">
        <f t="shared" si="168"/>
        <v>0</v>
      </c>
      <c r="OXZ249" s="5">
        <f t="shared" si="168"/>
        <v>0</v>
      </c>
      <c r="OYA249" s="5">
        <f t="shared" si="168"/>
        <v>0</v>
      </c>
      <c r="OYB249" s="5">
        <f t="shared" si="168"/>
        <v>0</v>
      </c>
      <c r="OYC249" s="5">
        <f t="shared" si="168"/>
        <v>0</v>
      </c>
      <c r="OYD249" s="5">
        <f t="shared" si="168"/>
        <v>0</v>
      </c>
      <c r="OYE249" s="5">
        <f t="shared" si="168"/>
        <v>0</v>
      </c>
      <c r="OYF249" s="5">
        <f t="shared" si="168"/>
        <v>0</v>
      </c>
      <c r="OYG249" s="5">
        <f t="shared" si="168"/>
        <v>0</v>
      </c>
      <c r="OYH249" s="5">
        <f t="shared" si="168"/>
        <v>0</v>
      </c>
      <c r="OYI249" s="5">
        <f t="shared" si="168"/>
        <v>0</v>
      </c>
      <c r="OYJ249" s="5">
        <f t="shared" si="168"/>
        <v>0</v>
      </c>
      <c r="OYK249" s="5">
        <f t="shared" si="168"/>
        <v>0</v>
      </c>
      <c r="OYL249" s="5">
        <f t="shared" si="168"/>
        <v>0</v>
      </c>
      <c r="OYM249" s="5">
        <f t="shared" si="168"/>
        <v>0</v>
      </c>
      <c r="OYN249" s="5">
        <f t="shared" si="168"/>
        <v>0</v>
      </c>
      <c r="OYO249" s="5">
        <f t="shared" si="168"/>
        <v>0</v>
      </c>
      <c r="OYP249" s="5">
        <f t="shared" si="168"/>
        <v>0</v>
      </c>
      <c r="OYQ249" s="5">
        <f t="shared" si="168"/>
        <v>0</v>
      </c>
      <c r="OYR249" s="5">
        <f t="shared" si="168"/>
        <v>0</v>
      </c>
      <c r="OYS249" s="5">
        <f t="shared" si="168"/>
        <v>0</v>
      </c>
      <c r="OYT249" s="5">
        <f t="shared" si="168"/>
        <v>0</v>
      </c>
      <c r="OYU249" s="5">
        <f t="shared" si="168"/>
        <v>0</v>
      </c>
      <c r="OYV249" s="5">
        <f t="shared" si="168"/>
        <v>0</v>
      </c>
      <c r="OYW249" s="5">
        <f t="shared" si="168"/>
        <v>0</v>
      </c>
      <c r="OYX249" s="5">
        <f t="shared" si="168"/>
        <v>0</v>
      </c>
      <c r="OYY249" s="5">
        <f t="shared" si="168"/>
        <v>0</v>
      </c>
      <c r="OYZ249" s="5">
        <f t="shared" si="168"/>
        <v>0</v>
      </c>
      <c r="OZA249" s="5">
        <f t="shared" si="168"/>
        <v>0</v>
      </c>
      <c r="OZB249" s="5">
        <f t="shared" si="168"/>
        <v>0</v>
      </c>
      <c r="OZC249" s="5">
        <f t="shared" si="168"/>
        <v>0</v>
      </c>
      <c r="OZD249" s="5">
        <f t="shared" si="168"/>
        <v>0</v>
      </c>
      <c r="OZE249" s="5">
        <f t="shared" si="168"/>
        <v>0</v>
      </c>
      <c r="OZF249" s="5">
        <f t="shared" si="168"/>
        <v>0</v>
      </c>
      <c r="OZG249" s="5">
        <f t="shared" si="168"/>
        <v>0</v>
      </c>
      <c r="OZH249" s="5">
        <f t="shared" si="168"/>
        <v>0</v>
      </c>
      <c r="OZI249" s="5">
        <f t="shared" si="168"/>
        <v>0</v>
      </c>
      <c r="OZJ249" s="5">
        <f t="shared" si="168"/>
        <v>0</v>
      </c>
      <c r="OZK249" s="5">
        <f t="shared" si="168"/>
        <v>0</v>
      </c>
      <c r="OZL249" s="5">
        <f t="shared" si="168"/>
        <v>0</v>
      </c>
      <c r="OZM249" s="5">
        <f t="shared" si="168"/>
        <v>0</v>
      </c>
      <c r="OZN249" s="5">
        <f t="shared" si="168"/>
        <v>0</v>
      </c>
      <c r="OZO249" s="5">
        <f t="shared" si="168"/>
        <v>0</v>
      </c>
      <c r="OZP249" s="5">
        <f t="shared" si="168"/>
        <v>0</v>
      </c>
      <c r="OZQ249" s="5">
        <f t="shared" si="168"/>
        <v>0</v>
      </c>
      <c r="OZR249" s="5">
        <f t="shared" ref="OZR249:PCC249" si="169">SUM(OZR246:OZR246)</f>
        <v>0</v>
      </c>
      <c r="OZS249" s="5">
        <f t="shared" si="169"/>
        <v>0</v>
      </c>
      <c r="OZT249" s="5">
        <f t="shared" si="169"/>
        <v>0</v>
      </c>
      <c r="OZU249" s="5">
        <f t="shared" si="169"/>
        <v>0</v>
      </c>
      <c r="OZV249" s="5">
        <f t="shared" si="169"/>
        <v>0</v>
      </c>
      <c r="OZW249" s="5">
        <f t="shared" si="169"/>
        <v>0</v>
      </c>
      <c r="OZX249" s="5">
        <f t="shared" si="169"/>
        <v>0</v>
      </c>
      <c r="OZY249" s="5">
        <f t="shared" si="169"/>
        <v>0</v>
      </c>
      <c r="OZZ249" s="5">
        <f t="shared" si="169"/>
        <v>0</v>
      </c>
      <c r="PAA249" s="5">
        <f t="shared" si="169"/>
        <v>0</v>
      </c>
      <c r="PAB249" s="5">
        <f t="shared" si="169"/>
        <v>0</v>
      </c>
      <c r="PAC249" s="5">
        <f t="shared" si="169"/>
        <v>0</v>
      </c>
      <c r="PAD249" s="5">
        <f t="shared" si="169"/>
        <v>0</v>
      </c>
      <c r="PAE249" s="5">
        <f t="shared" si="169"/>
        <v>0</v>
      </c>
      <c r="PAF249" s="5">
        <f t="shared" si="169"/>
        <v>0</v>
      </c>
      <c r="PAG249" s="5">
        <f t="shared" si="169"/>
        <v>0</v>
      </c>
      <c r="PAH249" s="5">
        <f t="shared" si="169"/>
        <v>0</v>
      </c>
      <c r="PAI249" s="5">
        <f t="shared" si="169"/>
        <v>0</v>
      </c>
      <c r="PAJ249" s="5">
        <f t="shared" si="169"/>
        <v>0</v>
      </c>
      <c r="PAK249" s="5">
        <f t="shared" si="169"/>
        <v>0</v>
      </c>
      <c r="PAL249" s="5">
        <f t="shared" si="169"/>
        <v>0</v>
      </c>
      <c r="PAM249" s="5">
        <f t="shared" si="169"/>
        <v>0</v>
      </c>
      <c r="PAN249" s="5">
        <f t="shared" si="169"/>
        <v>0</v>
      </c>
      <c r="PAO249" s="5">
        <f t="shared" si="169"/>
        <v>0</v>
      </c>
      <c r="PAP249" s="5">
        <f t="shared" si="169"/>
        <v>0</v>
      </c>
      <c r="PAQ249" s="5">
        <f t="shared" si="169"/>
        <v>0</v>
      </c>
      <c r="PAR249" s="5">
        <f t="shared" si="169"/>
        <v>0</v>
      </c>
      <c r="PAS249" s="5">
        <f t="shared" si="169"/>
        <v>0</v>
      </c>
      <c r="PAT249" s="5">
        <f t="shared" si="169"/>
        <v>0</v>
      </c>
      <c r="PAU249" s="5">
        <f t="shared" si="169"/>
        <v>0</v>
      </c>
      <c r="PAV249" s="5">
        <f t="shared" si="169"/>
        <v>0</v>
      </c>
      <c r="PAW249" s="5">
        <f t="shared" si="169"/>
        <v>0</v>
      </c>
      <c r="PAX249" s="5">
        <f t="shared" si="169"/>
        <v>0</v>
      </c>
      <c r="PAY249" s="5">
        <f t="shared" si="169"/>
        <v>0</v>
      </c>
      <c r="PAZ249" s="5">
        <f t="shared" si="169"/>
        <v>0</v>
      </c>
      <c r="PBA249" s="5">
        <f t="shared" si="169"/>
        <v>0</v>
      </c>
      <c r="PBB249" s="5">
        <f t="shared" si="169"/>
        <v>0</v>
      </c>
      <c r="PBC249" s="5">
        <f t="shared" si="169"/>
        <v>0</v>
      </c>
      <c r="PBD249" s="5">
        <f t="shared" si="169"/>
        <v>0</v>
      </c>
      <c r="PBE249" s="5">
        <f t="shared" si="169"/>
        <v>0</v>
      </c>
      <c r="PBF249" s="5">
        <f t="shared" si="169"/>
        <v>0</v>
      </c>
      <c r="PBG249" s="5">
        <f t="shared" si="169"/>
        <v>0</v>
      </c>
      <c r="PBH249" s="5">
        <f t="shared" si="169"/>
        <v>0</v>
      </c>
      <c r="PBI249" s="5">
        <f t="shared" si="169"/>
        <v>0</v>
      </c>
      <c r="PBJ249" s="5">
        <f t="shared" si="169"/>
        <v>0</v>
      </c>
      <c r="PBK249" s="5">
        <f t="shared" si="169"/>
        <v>0</v>
      </c>
      <c r="PBL249" s="5">
        <f t="shared" si="169"/>
        <v>0</v>
      </c>
      <c r="PBM249" s="5">
        <f t="shared" si="169"/>
        <v>0</v>
      </c>
      <c r="PBN249" s="5">
        <f t="shared" si="169"/>
        <v>0</v>
      </c>
      <c r="PBO249" s="5">
        <f t="shared" si="169"/>
        <v>0</v>
      </c>
      <c r="PBP249" s="5">
        <f t="shared" si="169"/>
        <v>0</v>
      </c>
      <c r="PBQ249" s="5">
        <f t="shared" si="169"/>
        <v>0</v>
      </c>
      <c r="PBR249" s="5">
        <f t="shared" si="169"/>
        <v>0</v>
      </c>
      <c r="PBS249" s="5">
        <f t="shared" si="169"/>
        <v>0</v>
      </c>
      <c r="PBT249" s="5">
        <f t="shared" si="169"/>
        <v>0</v>
      </c>
      <c r="PBU249" s="5">
        <f t="shared" si="169"/>
        <v>0</v>
      </c>
      <c r="PBV249" s="5">
        <f t="shared" si="169"/>
        <v>0</v>
      </c>
      <c r="PBW249" s="5">
        <f t="shared" si="169"/>
        <v>0</v>
      </c>
      <c r="PBX249" s="5">
        <f t="shared" si="169"/>
        <v>0</v>
      </c>
      <c r="PBY249" s="5">
        <f t="shared" si="169"/>
        <v>0</v>
      </c>
      <c r="PBZ249" s="5">
        <f t="shared" si="169"/>
        <v>0</v>
      </c>
      <c r="PCA249" s="5">
        <f t="shared" si="169"/>
        <v>0</v>
      </c>
      <c r="PCB249" s="5">
        <f t="shared" si="169"/>
        <v>0</v>
      </c>
      <c r="PCC249" s="5">
        <f t="shared" si="169"/>
        <v>0</v>
      </c>
      <c r="PCD249" s="5">
        <f t="shared" ref="PCD249:PEO249" si="170">SUM(PCD246:PCD246)</f>
        <v>0</v>
      </c>
      <c r="PCE249" s="5">
        <f t="shared" si="170"/>
        <v>0</v>
      </c>
      <c r="PCF249" s="5">
        <f t="shared" si="170"/>
        <v>0</v>
      </c>
      <c r="PCG249" s="5">
        <f t="shared" si="170"/>
        <v>0</v>
      </c>
      <c r="PCH249" s="5">
        <f t="shared" si="170"/>
        <v>0</v>
      </c>
      <c r="PCI249" s="5">
        <f t="shared" si="170"/>
        <v>0</v>
      </c>
      <c r="PCJ249" s="5">
        <f t="shared" si="170"/>
        <v>0</v>
      </c>
      <c r="PCK249" s="5">
        <f t="shared" si="170"/>
        <v>0</v>
      </c>
      <c r="PCL249" s="5">
        <f t="shared" si="170"/>
        <v>0</v>
      </c>
      <c r="PCM249" s="5">
        <f t="shared" si="170"/>
        <v>0</v>
      </c>
      <c r="PCN249" s="5">
        <f t="shared" si="170"/>
        <v>0</v>
      </c>
      <c r="PCO249" s="5">
        <f t="shared" si="170"/>
        <v>0</v>
      </c>
      <c r="PCP249" s="5">
        <f t="shared" si="170"/>
        <v>0</v>
      </c>
      <c r="PCQ249" s="5">
        <f t="shared" si="170"/>
        <v>0</v>
      </c>
      <c r="PCR249" s="5">
        <f t="shared" si="170"/>
        <v>0</v>
      </c>
      <c r="PCS249" s="5">
        <f t="shared" si="170"/>
        <v>0</v>
      </c>
      <c r="PCT249" s="5">
        <f t="shared" si="170"/>
        <v>0</v>
      </c>
      <c r="PCU249" s="5">
        <f t="shared" si="170"/>
        <v>0</v>
      </c>
      <c r="PCV249" s="5">
        <f t="shared" si="170"/>
        <v>0</v>
      </c>
      <c r="PCW249" s="5">
        <f t="shared" si="170"/>
        <v>0</v>
      </c>
      <c r="PCX249" s="5">
        <f t="shared" si="170"/>
        <v>0</v>
      </c>
      <c r="PCY249" s="5">
        <f t="shared" si="170"/>
        <v>0</v>
      </c>
      <c r="PCZ249" s="5">
        <f t="shared" si="170"/>
        <v>0</v>
      </c>
      <c r="PDA249" s="5">
        <f t="shared" si="170"/>
        <v>0</v>
      </c>
      <c r="PDB249" s="5">
        <f t="shared" si="170"/>
        <v>0</v>
      </c>
      <c r="PDC249" s="5">
        <f t="shared" si="170"/>
        <v>0</v>
      </c>
      <c r="PDD249" s="5">
        <f t="shared" si="170"/>
        <v>0</v>
      </c>
      <c r="PDE249" s="5">
        <f t="shared" si="170"/>
        <v>0</v>
      </c>
      <c r="PDF249" s="5">
        <f t="shared" si="170"/>
        <v>0</v>
      </c>
      <c r="PDG249" s="5">
        <f t="shared" si="170"/>
        <v>0</v>
      </c>
      <c r="PDH249" s="5">
        <f t="shared" si="170"/>
        <v>0</v>
      </c>
      <c r="PDI249" s="5">
        <f t="shared" si="170"/>
        <v>0</v>
      </c>
      <c r="PDJ249" s="5">
        <f t="shared" si="170"/>
        <v>0</v>
      </c>
      <c r="PDK249" s="5">
        <f t="shared" si="170"/>
        <v>0</v>
      </c>
      <c r="PDL249" s="5">
        <f t="shared" si="170"/>
        <v>0</v>
      </c>
      <c r="PDM249" s="5">
        <f t="shared" si="170"/>
        <v>0</v>
      </c>
      <c r="PDN249" s="5">
        <f t="shared" si="170"/>
        <v>0</v>
      </c>
      <c r="PDO249" s="5">
        <f t="shared" si="170"/>
        <v>0</v>
      </c>
      <c r="PDP249" s="5">
        <f t="shared" si="170"/>
        <v>0</v>
      </c>
      <c r="PDQ249" s="5">
        <f t="shared" si="170"/>
        <v>0</v>
      </c>
      <c r="PDR249" s="5">
        <f t="shared" si="170"/>
        <v>0</v>
      </c>
      <c r="PDS249" s="5">
        <f t="shared" si="170"/>
        <v>0</v>
      </c>
      <c r="PDT249" s="5">
        <f t="shared" si="170"/>
        <v>0</v>
      </c>
      <c r="PDU249" s="5">
        <f t="shared" si="170"/>
        <v>0</v>
      </c>
      <c r="PDV249" s="5">
        <f t="shared" si="170"/>
        <v>0</v>
      </c>
      <c r="PDW249" s="5">
        <f t="shared" si="170"/>
        <v>0</v>
      </c>
      <c r="PDX249" s="5">
        <f t="shared" si="170"/>
        <v>0</v>
      </c>
      <c r="PDY249" s="5">
        <f t="shared" si="170"/>
        <v>0</v>
      </c>
      <c r="PDZ249" s="5">
        <f t="shared" si="170"/>
        <v>0</v>
      </c>
      <c r="PEA249" s="5">
        <f t="shared" si="170"/>
        <v>0</v>
      </c>
      <c r="PEB249" s="5">
        <f t="shared" si="170"/>
        <v>0</v>
      </c>
      <c r="PEC249" s="5">
        <f t="shared" si="170"/>
        <v>0</v>
      </c>
      <c r="PED249" s="5">
        <f t="shared" si="170"/>
        <v>0</v>
      </c>
      <c r="PEE249" s="5">
        <f t="shared" si="170"/>
        <v>0</v>
      </c>
      <c r="PEF249" s="5">
        <f t="shared" si="170"/>
        <v>0</v>
      </c>
      <c r="PEG249" s="5">
        <f t="shared" si="170"/>
        <v>0</v>
      </c>
      <c r="PEH249" s="5">
        <f t="shared" si="170"/>
        <v>0</v>
      </c>
      <c r="PEI249" s="5">
        <f t="shared" si="170"/>
        <v>0</v>
      </c>
      <c r="PEJ249" s="5">
        <f t="shared" si="170"/>
        <v>0</v>
      </c>
      <c r="PEK249" s="5">
        <f t="shared" si="170"/>
        <v>0</v>
      </c>
      <c r="PEL249" s="5">
        <f t="shared" si="170"/>
        <v>0</v>
      </c>
      <c r="PEM249" s="5">
        <f t="shared" si="170"/>
        <v>0</v>
      </c>
      <c r="PEN249" s="5">
        <f t="shared" si="170"/>
        <v>0</v>
      </c>
      <c r="PEO249" s="5">
        <f t="shared" si="170"/>
        <v>0</v>
      </c>
      <c r="PEP249" s="5">
        <f t="shared" ref="PEP249:PHA249" si="171">SUM(PEP246:PEP246)</f>
        <v>0</v>
      </c>
      <c r="PEQ249" s="5">
        <f t="shared" si="171"/>
        <v>0</v>
      </c>
      <c r="PER249" s="5">
        <f t="shared" si="171"/>
        <v>0</v>
      </c>
      <c r="PES249" s="5">
        <f t="shared" si="171"/>
        <v>0</v>
      </c>
      <c r="PET249" s="5">
        <f t="shared" si="171"/>
        <v>0</v>
      </c>
      <c r="PEU249" s="5">
        <f t="shared" si="171"/>
        <v>0</v>
      </c>
      <c r="PEV249" s="5">
        <f t="shared" si="171"/>
        <v>0</v>
      </c>
      <c r="PEW249" s="5">
        <f t="shared" si="171"/>
        <v>0</v>
      </c>
      <c r="PEX249" s="5">
        <f t="shared" si="171"/>
        <v>0</v>
      </c>
      <c r="PEY249" s="5">
        <f t="shared" si="171"/>
        <v>0</v>
      </c>
      <c r="PEZ249" s="5">
        <f t="shared" si="171"/>
        <v>0</v>
      </c>
      <c r="PFA249" s="5">
        <f t="shared" si="171"/>
        <v>0</v>
      </c>
      <c r="PFB249" s="5">
        <f t="shared" si="171"/>
        <v>0</v>
      </c>
      <c r="PFC249" s="5">
        <f t="shared" si="171"/>
        <v>0</v>
      </c>
      <c r="PFD249" s="5">
        <f t="shared" si="171"/>
        <v>0</v>
      </c>
      <c r="PFE249" s="5">
        <f t="shared" si="171"/>
        <v>0</v>
      </c>
      <c r="PFF249" s="5">
        <f t="shared" si="171"/>
        <v>0</v>
      </c>
      <c r="PFG249" s="5">
        <f t="shared" si="171"/>
        <v>0</v>
      </c>
      <c r="PFH249" s="5">
        <f t="shared" si="171"/>
        <v>0</v>
      </c>
      <c r="PFI249" s="5">
        <f t="shared" si="171"/>
        <v>0</v>
      </c>
      <c r="PFJ249" s="5">
        <f t="shared" si="171"/>
        <v>0</v>
      </c>
      <c r="PFK249" s="5">
        <f t="shared" si="171"/>
        <v>0</v>
      </c>
      <c r="PFL249" s="5">
        <f t="shared" si="171"/>
        <v>0</v>
      </c>
      <c r="PFM249" s="5">
        <f t="shared" si="171"/>
        <v>0</v>
      </c>
      <c r="PFN249" s="5">
        <f t="shared" si="171"/>
        <v>0</v>
      </c>
      <c r="PFO249" s="5">
        <f t="shared" si="171"/>
        <v>0</v>
      </c>
      <c r="PFP249" s="5">
        <f t="shared" si="171"/>
        <v>0</v>
      </c>
      <c r="PFQ249" s="5">
        <f t="shared" si="171"/>
        <v>0</v>
      </c>
      <c r="PFR249" s="5">
        <f t="shared" si="171"/>
        <v>0</v>
      </c>
      <c r="PFS249" s="5">
        <f t="shared" si="171"/>
        <v>0</v>
      </c>
      <c r="PFT249" s="5">
        <f t="shared" si="171"/>
        <v>0</v>
      </c>
      <c r="PFU249" s="5">
        <f t="shared" si="171"/>
        <v>0</v>
      </c>
      <c r="PFV249" s="5">
        <f t="shared" si="171"/>
        <v>0</v>
      </c>
      <c r="PFW249" s="5">
        <f t="shared" si="171"/>
        <v>0</v>
      </c>
      <c r="PFX249" s="5">
        <f t="shared" si="171"/>
        <v>0</v>
      </c>
      <c r="PFY249" s="5">
        <f t="shared" si="171"/>
        <v>0</v>
      </c>
      <c r="PFZ249" s="5">
        <f t="shared" si="171"/>
        <v>0</v>
      </c>
      <c r="PGA249" s="5">
        <f t="shared" si="171"/>
        <v>0</v>
      </c>
      <c r="PGB249" s="5">
        <f t="shared" si="171"/>
        <v>0</v>
      </c>
      <c r="PGC249" s="5">
        <f t="shared" si="171"/>
        <v>0</v>
      </c>
      <c r="PGD249" s="5">
        <f t="shared" si="171"/>
        <v>0</v>
      </c>
      <c r="PGE249" s="5">
        <f t="shared" si="171"/>
        <v>0</v>
      </c>
      <c r="PGF249" s="5">
        <f t="shared" si="171"/>
        <v>0</v>
      </c>
      <c r="PGG249" s="5">
        <f t="shared" si="171"/>
        <v>0</v>
      </c>
      <c r="PGH249" s="5">
        <f t="shared" si="171"/>
        <v>0</v>
      </c>
      <c r="PGI249" s="5">
        <f t="shared" si="171"/>
        <v>0</v>
      </c>
      <c r="PGJ249" s="5">
        <f t="shared" si="171"/>
        <v>0</v>
      </c>
      <c r="PGK249" s="5">
        <f t="shared" si="171"/>
        <v>0</v>
      </c>
      <c r="PGL249" s="5">
        <f t="shared" si="171"/>
        <v>0</v>
      </c>
      <c r="PGM249" s="5">
        <f t="shared" si="171"/>
        <v>0</v>
      </c>
      <c r="PGN249" s="5">
        <f t="shared" si="171"/>
        <v>0</v>
      </c>
      <c r="PGO249" s="5">
        <f t="shared" si="171"/>
        <v>0</v>
      </c>
      <c r="PGP249" s="5">
        <f t="shared" si="171"/>
        <v>0</v>
      </c>
      <c r="PGQ249" s="5">
        <f t="shared" si="171"/>
        <v>0</v>
      </c>
      <c r="PGR249" s="5">
        <f t="shared" si="171"/>
        <v>0</v>
      </c>
      <c r="PGS249" s="5">
        <f t="shared" si="171"/>
        <v>0</v>
      </c>
      <c r="PGT249" s="5">
        <f t="shared" si="171"/>
        <v>0</v>
      </c>
      <c r="PGU249" s="5">
        <f t="shared" si="171"/>
        <v>0</v>
      </c>
      <c r="PGV249" s="5">
        <f t="shared" si="171"/>
        <v>0</v>
      </c>
      <c r="PGW249" s="5">
        <f t="shared" si="171"/>
        <v>0</v>
      </c>
      <c r="PGX249" s="5">
        <f t="shared" si="171"/>
        <v>0</v>
      </c>
      <c r="PGY249" s="5">
        <f t="shared" si="171"/>
        <v>0</v>
      </c>
      <c r="PGZ249" s="5">
        <f t="shared" si="171"/>
        <v>0</v>
      </c>
      <c r="PHA249" s="5">
        <f t="shared" si="171"/>
        <v>0</v>
      </c>
      <c r="PHB249" s="5">
        <f t="shared" ref="PHB249:PJM249" si="172">SUM(PHB246:PHB246)</f>
        <v>0</v>
      </c>
      <c r="PHC249" s="5">
        <f t="shared" si="172"/>
        <v>0</v>
      </c>
      <c r="PHD249" s="5">
        <f t="shared" si="172"/>
        <v>0</v>
      </c>
      <c r="PHE249" s="5">
        <f t="shared" si="172"/>
        <v>0</v>
      </c>
      <c r="PHF249" s="5">
        <f t="shared" si="172"/>
        <v>0</v>
      </c>
      <c r="PHG249" s="5">
        <f t="shared" si="172"/>
        <v>0</v>
      </c>
      <c r="PHH249" s="5">
        <f t="shared" si="172"/>
        <v>0</v>
      </c>
      <c r="PHI249" s="5">
        <f t="shared" si="172"/>
        <v>0</v>
      </c>
      <c r="PHJ249" s="5">
        <f t="shared" si="172"/>
        <v>0</v>
      </c>
      <c r="PHK249" s="5">
        <f t="shared" si="172"/>
        <v>0</v>
      </c>
      <c r="PHL249" s="5">
        <f t="shared" si="172"/>
        <v>0</v>
      </c>
      <c r="PHM249" s="5">
        <f t="shared" si="172"/>
        <v>0</v>
      </c>
      <c r="PHN249" s="5">
        <f t="shared" si="172"/>
        <v>0</v>
      </c>
      <c r="PHO249" s="5">
        <f t="shared" si="172"/>
        <v>0</v>
      </c>
      <c r="PHP249" s="5">
        <f t="shared" si="172"/>
        <v>0</v>
      </c>
      <c r="PHQ249" s="5">
        <f t="shared" si="172"/>
        <v>0</v>
      </c>
      <c r="PHR249" s="5">
        <f t="shared" si="172"/>
        <v>0</v>
      </c>
      <c r="PHS249" s="5">
        <f t="shared" si="172"/>
        <v>0</v>
      </c>
      <c r="PHT249" s="5">
        <f t="shared" si="172"/>
        <v>0</v>
      </c>
      <c r="PHU249" s="5">
        <f t="shared" si="172"/>
        <v>0</v>
      </c>
      <c r="PHV249" s="5">
        <f t="shared" si="172"/>
        <v>0</v>
      </c>
      <c r="PHW249" s="5">
        <f t="shared" si="172"/>
        <v>0</v>
      </c>
      <c r="PHX249" s="5">
        <f t="shared" si="172"/>
        <v>0</v>
      </c>
      <c r="PHY249" s="5">
        <f t="shared" si="172"/>
        <v>0</v>
      </c>
      <c r="PHZ249" s="5">
        <f t="shared" si="172"/>
        <v>0</v>
      </c>
      <c r="PIA249" s="5">
        <f t="shared" si="172"/>
        <v>0</v>
      </c>
      <c r="PIB249" s="5">
        <f t="shared" si="172"/>
        <v>0</v>
      </c>
      <c r="PIC249" s="5">
        <f t="shared" si="172"/>
        <v>0</v>
      </c>
      <c r="PID249" s="5">
        <f t="shared" si="172"/>
        <v>0</v>
      </c>
      <c r="PIE249" s="5">
        <f t="shared" si="172"/>
        <v>0</v>
      </c>
      <c r="PIF249" s="5">
        <f t="shared" si="172"/>
        <v>0</v>
      </c>
      <c r="PIG249" s="5">
        <f t="shared" si="172"/>
        <v>0</v>
      </c>
      <c r="PIH249" s="5">
        <f t="shared" si="172"/>
        <v>0</v>
      </c>
      <c r="PII249" s="5">
        <f t="shared" si="172"/>
        <v>0</v>
      </c>
      <c r="PIJ249" s="5">
        <f t="shared" si="172"/>
        <v>0</v>
      </c>
      <c r="PIK249" s="5">
        <f t="shared" si="172"/>
        <v>0</v>
      </c>
      <c r="PIL249" s="5">
        <f t="shared" si="172"/>
        <v>0</v>
      </c>
      <c r="PIM249" s="5">
        <f t="shared" si="172"/>
        <v>0</v>
      </c>
      <c r="PIN249" s="5">
        <f t="shared" si="172"/>
        <v>0</v>
      </c>
      <c r="PIO249" s="5">
        <f t="shared" si="172"/>
        <v>0</v>
      </c>
      <c r="PIP249" s="5">
        <f t="shared" si="172"/>
        <v>0</v>
      </c>
      <c r="PIQ249" s="5">
        <f t="shared" si="172"/>
        <v>0</v>
      </c>
      <c r="PIR249" s="5">
        <f t="shared" si="172"/>
        <v>0</v>
      </c>
      <c r="PIS249" s="5">
        <f t="shared" si="172"/>
        <v>0</v>
      </c>
      <c r="PIT249" s="5">
        <f t="shared" si="172"/>
        <v>0</v>
      </c>
      <c r="PIU249" s="5">
        <f t="shared" si="172"/>
        <v>0</v>
      </c>
      <c r="PIV249" s="5">
        <f t="shared" si="172"/>
        <v>0</v>
      </c>
      <c r="PIW249" s="5">
        <f t="shared" si="172"/>
        <v>0</v>
      </c>
      <c r="PIX249" s="5">
        <f t="shared" si="172"/>
        <v>0</v>
      </c>
      <c r="PIY249" s="5">
        <f t="shared" si="172"/>
        <v>0</v>
      </c>
      <c r="PIZ249" s="5">
        <f t="shared" si="172"/>
        <v>0</v>
      </c>
      <c r="PJA249" s="5">
        <f t="shared" si="172"/>
        <v>0</v>
      </c>
      <c r="PJB249" s="5">
        <f t="shared" si="172"/>
        <v>0</v>
      </c>
      <c r="PJC249" s="5">
        <f t="shared" si="172"/>
        <v>0</v>
      </c>
      <c r="PJD249" s="5">
        <f t="shared" si="172"/>
        <v>0</v>
      </c>
      <c r="PJE249" s="5">
        <f t="shared" si="172"/>
        <v>0</v>
      </c>
      <c r="PJF249" s="5">
        <f t="shared" si="172"/>
        <v>0</v>
      </c>
      <c r="PJG249" s="5">
        <f t="shared" si="172"/>
        <v>0</v>
      </c>
      <c r="PJH249" s="5">
        <f t="shared" si="172"/>
        <v>0</v>
      </c>
      <c r="PJI249" s="5">
        <f t="shared" si="172"/>
        <v>0</v>
      </c>
      <c r="PJJ249" s="5">
        <f t="shared" si="172"/>
        <v>0</v>
      </c>
      <c r="PJK249" s="5">
        <f t="shared" si="172"/>
        <v>0</v>
      </c>
      <c r="PJL249" s="5">
        <f t="shared" si="172"/>
        <v>0</v>
      </c>
      <c r="PJM249" s="5">
        <f t="shared" si="172"/>
        <v>0</v>
      </c>
      <c r="PJN249" s="5">
        <f t="shared" ref="PJN249:PLY249" si="173">SUM(PJN246:PJN246)</f>
        <v>0</v>
      </c>
      <c r="PJO249" s="5">
        <f t="shared" si="173"/>
        <v>0</v>
      </c>
      <c r="PJP249" s="5">
        <f t="shared" si="173"/>
        <v>0</v>
      </c>
      <c r="PJQ249" s="5">
        <f t="shared" si="173"/>
        <v>0</v>
      </c>
      <c r="PJR249" s="5">
        <f t="shared" si="173"/>
        <v>0</v>
      </c>
      <c r="PJS249" s="5">
        <f t="shared" si="173"/>
        <v>0</v>
      </c>
      <c r="PJT249" s="5">
        <f t="shared" si="173"/>
        <v>0</v>
      </c>
      <c r="PJU249" s="5">
        <f t="shared" si="173"/>
        <v>0</v>
      </c>
      <c r="PJV249" s="5">
        <f t="shared" si="173"/>
        <v>0</v>
      </c>
      <c r="PJW249" s="5">
        <f t="shared" si="173"/>
        <v>0</v>
      </c>
      <c r="PJX249" s="5">
        <f t="shared" si="173"/>
        <v>0</v>
      </c>
      <c r="PJY249" s="5">
        <f t="shared" si="173"/>
        <v>0</v>
      </c>
      <c r="PJZ249" s="5">
        <f t="shared" si="173"/>
        <v>0</v>
      </c>
      <c r="PKA249" s="5">
        <f t="shared" si="173"/>
        <v>0</v>
      </c>
      <c r="PKB249" s="5">
        <f t="shared" si="173"/>
        <v>0</v>
      </c>
      <c r="PKC249" s="5">
        <f t="shared" si="173"/>
        <v>0</v>
      </c>
      <c r="PKD249" s="5">
        <f t="shared" si="173"/>
        <v>0</v>
      </c>
      <c r="PKE249" s="5">
        <f t="shared" si="173"/>
        <v>0</v>
      </c>
      <c r="PKF249" s="5">
        <f t="shared" si="173"/>
        <v>0</v>
      </c>
      <c r="PKG249" s="5">
        <f t="shared" si="173"/>
        <v>0</v>
      </c>
      <c r="PKH249" s="5">
        <f t="shared" si="173"/>
        <v>0</v>
      </c>
      <c r="PKI249" s="5">
        <f t="shared" si="173"/>
        <v>0</v>
      </c>
      <c r="PKJ249" s="5">
        <f t="shared" si="173"/>
        <v>0</v>
      </c>
      <c r="PKK249" s="5">
        <f t="shared" si="173"/>
        <v>0</v>
      </c>
      <c r="PKL249" s="5">
        <f t="shared" si="173"/>
        <v>0</v>
      </c>
      <c r="PKM249" s="5">
        <f t="shared" si="173"/>
        <v>0</v>
      </c>
      <c r="PKN249" s="5">
        <f t="shared" si="173"/>
        <v>0</v>
      </c>
      <c r="PKO249" s="5">
        <f t="shared" si="173"/>
        <v>0</v>
      </c>
      <c r="PKP249" s="5">
        <f t="shared" si="173"/>
        <v>0</v>
      </c>
      <c r="PKQ249" s="5">
        <f t="shared" si="173"/>
        <v>0</v>
      </c>
      <c r="PKR249" s="5">
        <f t="shared" si="173"/>
        <v>0</v>
      </c>
      <c r="PKS249" s="5">
        <f t="shared" si="173"/>
        <v>0</v>
      </c>
      <c r="PKT249" s="5">
        <f t="shared" si="173"/>
        <v>0</v>
      </c>
      <c r="PKU249" s="5">
        <f t="shared" si="173"/>
        <v>0</v>
      </c>
      <c r="PKV249" s="5">
        <f t="shared" si="173"/>
        <v>0</v>
      </c>
      <c r="PKW249" s="5">
        <f t="shared" si="173"/>
        <v>0</v>
      </c>
      <c r="PKX249" s="5">
        <f t="shared" si="173"/>
        <v>0</v>
      </c>
      <c r="PKY249" s="5">
        <f t="shared" si="173"/>
        <v>0</v>
      </c>
      <c r="PKZ249" s="5">
        <f t="shared" si="173"/>
        <v>0</v>
      </c>
      <c r="PLA249" s="5">
        <f t="shared" si="173"/>
        <v>0</v>
      </c>
      <c r="PLB249" s="5">
        <f t="shared" si="173"/>
        <v>0</v>
      </c>
      <c r="PLC249" s="5">
        <f t="shared" si="173"/>
        <v>0</v>
      </c>
      <c r="PLD249" s="5">
        <f t="shared" si="173"/>
        <v>0</v>
      </c>
      <c r="PLE249" s="5">
        <f t="shared" si="173"/>
        <v>0</v>
      </c>
      <c r="PLF249" s="5">
        <f t="shared" si="173"/>
        <v>0</v>
      </c>
      <c r="PLG249" s="5">
        <f t="shared" si="173"/>
        <v>0</v>
      </c>
      <c r="PLH249" s="5">
        <f t="shared" si="173"/>
        <v>0</v>
      </c>
      <c r="PLI249" s="5">
        <f t="shared" si="173"/>
        <v>0</v>
      </c>
      <c r="PLJ249" s="5">
        <f t="shared" si="173"/>
        <v>0</v>
      </c>
      <c r="PLK249" s="5">
        <f t="shared" si="173"/>
        <v>0</v>
      </c>
      <c r="PLL249" s="5">
        <f t="shared" si="173"/>
        <v>0</v>
      </c>
      <c r="PLM249" s="5">
        <f t="shared" si="173"/>
        <v>0</v>
      </c>
      <c r="PLN249" s="5">
        <f t="shared" si="173"/>
        <v>0</v>
      </c>
      <c r="PLO249" s="5">
        <f t="shared" si="173"/>
        <v>0</v>
      </c>
      <c r="PLP249" s="5">
        <f t="shared" si="173"/>
        <v>0</v>
      </c>
      <c r="PLQ249" s="5">
        <f t="shared" si="173"/>
        <v>0</v>
      </c>
      <c r="PLR249" s="5">
        <f t="shared" si="173"/>
        <v>0</v>
      </c>
      <c r="PLS249" s="5">
        <f t="shared" si="173"/>
        <v>0</v>
      </c>
      <c r="PLT249" s="5">
        <f t="shared" si="173"/>
        <v>0</v>
      </c>
      <c r="PLU249" s="5">
        <f t="shared" si="173"/>
        <v>0</v>
      </c>
      <c r="PLV249" s="5">
        <f t="shared" si="173"/>
        <v>0</v>
      </c>
      <c r="PLW249" s="5">
        <f t="shared" si="173"/>
        <v>0</v>
      </c>
      <c r="PLX249" s="5">
        <f t="shared" si="173"/>
        <v>0</v>
      </c>
      <c r="PLY249" s="5">
        <f t="shared" si="173"/>
        <v>0</v>
      </c>
      <c r="PLZ249" s="5">
        <f t="shared" ref="PLZ249:POK249" si="174">SUM(PLZ246:PLZ246)</f>
        <v>0</v>
      </c>
      <c r="PMA249" s="5">
        <f t="shared" si="174"/>
        <v>0</v>
      </c>
      <c r="PMB249" s="5">
        <f t="shared" si="174"/>
        <v>0</v>
      </c>
      <c r="PMC249" s="5">
        <f t="shared" si="174"/>
        <v>0</v>
      </c>
      <c r="PMD249" s="5">
        <f t="shared" si="174"/>
        <v>0</v>
      </c>
      <c r="PME249" s="5">
        <f t="shared" si="174"/>
        <v>0</v>
      </c>
      <c r="PMF249" s="5">
        <f t="shared" si="174"/>
        <v>0</v>
      </c>
      <c r="PMG249" s="5">
        <f t="shared" si="174"/>
        <v>0</v>
      </c>
      <c r="PMH249" s="5">
        <f t="shared" si="174"/>
        <v>0</v>
      </c>
      <c r="PMI249" s="5">
        <f t="shared" si="174"/>
        <v>0</v>
      </c>
      <c r="PMJ249" s="5">
        <f t="shared" si="174"/>
        <v>0</v>
      </c>
      <c r="PMK249" s="5">
        <f t="shared" si="174"/>
        <v>0</v>
      </c>
      <c r="PML249" s="5">
        <f t="shared" si="174"/>
        <v>0</v>
      </c>
      <c r="PMM249" s="5">
        <f t="shared" si="174"/>
        <v>0</v>
      </c>
      <c r="PMN249" s="5">
        <f t="shared" si="174"/>
        <v>0</v>
      </c>
      <c r="PMO249" s="5">
        <f t="shared" si="174"/>
        <v>0</v>
      </c>
      <c r="PMP249" s="5">
        <f t="shared" si="174"/>
        <v>0</v>
      </c>
      <c r="PMQ249" s="5">
        <f t="shared" si="174"/>
        <v>0</v>
      </c>
      <c r="PMR249" s="5">
        <f t="shared" si="174"/>
        <v>0</v>
      </c>
      <c r="PMS249" s="5">
        <f t="shared" si="174"/>
        <v>0</v>
      </c>
      <c r="PMT249" s="5">
        <f t="shared" si="174"/>
        <v>0</v>
      </c>
      <c r="PMU249" s="5">
        <f t="shared" si="174"/>
        <v>0</v>
      </c>
      <c r="PMV249" s="5">
        <f t="shared" si="174"/>
        <v>0</v>
      </c>
      <c r="PMW249" s="5">
        <f t="shared" si="174"/>
        <v>0</v>
      </c>
      <c r="PMX249" s="5">
        <f t="shared" si="174"/>
        <v>0</v>
      </c>
      <c r="PMY249" s="5">
        <f t="shared" si="174"/>
        <v>0</v>
      </c>
      <c r="PMZ249" s="5">
        <f t="shared" si="174"/>
        <v>0</v>
      </c>
      <c r="PNA249" s="5">
        <f t="shared" si="174"/>
        <v>0</v>
      </c>
      <c r="PNB249" s="5">
        <f t="shared" si="174"/>
        <v>0</v>
      </c>
      <c r="PNC249" s="5">
        <f t="shared" si="174"/>
        <v>0</v>
      </c>
      <c r="PND249" s="5">
        <f t="shared" si="174"/>
        <v>0</v>
      </c>
      <c r="PNE249" s="5">
        <f t="shared" si="174"/>
        <v>0</v>
      </c>
      <c r="PNF249" s="5">
        <f t="shared" si="174"/>
        <v>0</v>
      </c>
      <c r="PNG249" s="5">
        <f t="shared" si="174"/>
        <v>0</v>
      </c>
      <c r="PNH249" s="5">
        <f t="shared" si="174"/>
        <v>0</v>
      </c>
      <c r="PNI249" s="5">
        <f t="shared" si="174"/>
        <v>0</v>
      </c>
      <c r="PNJ249" s="5">
        <f t="shared" si="174"/>
        <v>0</v>
      </c>
      <c r="PNK249" s="5">
        <f t="shared" si="174"/>
        <v>0</v>
      </c>
      <c r="PNL249" s="5">
        <f t="shared" si="174"/>
        <v>0</v>
      </c>
      <c r="PNM249" s="5">
        <f t="shared" si="174"/>
        <v>0</v>
      </c>
      <c r="PNN249" s="5">
        <f t="shared" si="174"/>
        <v>0</v>
      </c>
      <c r="PNO249" s="5">
        <f t="shared" si="174"/>
        <v>0</v>
      </c>
      <c r="PNP249" s="5">
        <f t="shared" si="174"/>
        <v>0</v>
      </c>
      <c r="PNQ249" s="5">
        <f t="shared" si="174"/>
        <v>0</v>
      </c>
      <c r="PNR249" s="5">
        <f t="shared" si="174"/>
        <v>0</v>
      </c>
      <c r="PNS249" s="5">
        <f t="shared" si="174"/>
        <v>0</v>
      </c>
      <c r="PNT249" s="5">
        <f t="shared" si="174"/>
        <v>0</v>
      </c>
      <c r="PNU249" s="5">
        <f t="shared" si="174"/>
        <v>0</v>
      </c>
      <c r="PNV249" s="5">
        <f t="shared" si="174"/>
        <v>0</v>
      </c>
      <c r="PNW249" s="5">
        <f t="shared" si="174"/>
        <v>0</v>
      </c>
      <c r="PNX249" s="5">
        <f t="shared" si="174"/>
        <v>0</v>
      </c>
      <c r="PNY249" s="5">
        <f t="shared" si="174"/>
        <v>0</v>
      </c>
      <c r="PNZ249" s="5">
        <f t="shared" si="174"/>
        <v>0</v>
      </c>
      <c r="POA249" s="5">
        <f t="shared" si="174"/>
        <v>0</v>
      </c>
      <c r="POB249" s="5">
        <f t="shared" si="174"/>
        <v>0</v>
      </c>
      <c r="POC249" s="5">
        <f t="shared" si="174"/>
        <v>0</v>
      </c>
      <c r="POD249" s="5">
        <f t="shared" si="174"/>
        <v>0</v>
      </c>
      <c r="POE249" s="5">
        <f t="shared" si="174"/>
        <v>0</v>
      </c>
      <c r="POF249" s="5">
        <f t="shared" si="174"/>
        <v>0</v>
      </c>
      <c r="POG249" s="5">
        <f t="shared" si="174"/>
        <v>0</v>
      </c>
      <c r="POH249" s="5">
        <f t="shared" si="174"/>
        <v>0</v>
      </c>
      <c r="POI249" s="5">
        <f t="shared" si="174"/>
        <v>0</v>
      </c>
      <c r="POJ249" s="5">
        <f t="shared" si="174"/>
        <v>0</v>
      </c>
      <c r="POK249" s="5">
        <f t="shared" si="174"/>
        <v>0</v>
      </c>
      <c r="POL249" s="5">
        <f t="shared" ref="POL249:PQW249" si="175">SUM(POL246:POL246)</f>
        <v>0</v>
      </c>
      <c r="POM249" s="5">
        <f t="shared" si="175"/>
        <v>0</v>
      </c>
      <c r="PON249" s="5">
        <f t="shared" si="175"/>
        <v>0</v>
      </c>
      <c r="POO249" s="5">
        <f t="shared" si="175"/>
        <v>0</v>
      </c>
      <c r="POP249" s="5">
        <f t="shared" si="175"/>
        <v>0</v>
      </c>
      <c r="POQ249" s="5">
        <f t="shared" si="175"/>
        <v>0</v>
      </c>
      <c r="POR249" s="5">
        <f t="shared" si="175"/>
        <v>0</v>
      </c>
      <c r="POS249" s="5">
        <f t="shared" si="175"/>
        <v>0</v>
      </c>
      <c r="POT249" s="5">
        <f t="shared" si="175"/>
        <v>0</v>
      </c>
      <c r="POU249" s="5">
        <f t="shared" si="175"/>
        <v>0</v>
      </c>
      <c r="POV249" s="5">
        <f t="shared" si="175"/>
        <v>0</v>
      </c>
      <c r="POW249" s="5">
        <f t="shared" si="175"/>
        <v>0</v>
      </c>
      <c r="POX249" s="5">
        <f t="shared" si="175"/>
        <v>0</v>
      </c>
      <c r="POY249" s="5">
        <f t="shared" si="175"/>
        <v>0</v>
      </c>
      <c r="POZ249" s="5">
        <f t="shared" si="175"/>
        <v>0</v>
      </c>
      <c r="PPA249" s="5">
        <f t="shared" si="175"/>
        <v>0</v>
      </c>
      <c r="PPB249" s="5">
        <f t="shared" si="175"/>
        <v>0</v>
      </c>
      <c r="PPC249" s="5">
        <f t="shared" si="175"/>
        <v>0</v>
      </c>
      <c r="PPD249" s="5">
        <f t="shared" si="175"/>
        <v>0</v>
      </c>
      <c r="PPE249" s="5">
        <f t="shared" si="175"/>
        <v>0</v>
      </c>
      <c r="PPF249" s="5">
        <f t="shared" si="175"/>
        <v>0</v>
      </c>
      <c r="PPG249" s="5">
        <f t="shared" si="175"/>
        <v>0</v>
      </c>
      <c r="PPH249" s="5">
        <f t="shared" si="175"/>
        <v>0</v>
      </c>
      <c r="PPI249" s="5">
        <f t="shared" si="175"/>
        <v>0</v>
      </c>
      <c r="PPJ249" s="5">
        <f t="shared" si="175"/>
        <v>0</v>
      </c>
      <c r="PPK249" s="5">
        <f t="shared" si="175"/>
        <v>0</v>
      </c>
      <c r="PPL249" s="5">
        <f t="shared" si="175"/>
        <v>0</v>
      </c>
      <c r="PPM249" s="5">
        <f t="shared" si="175"/>
        <v>0</v>
      </c>
      <c r="PPN249" s="5">
        <f t="shared" si="175"/>
        <v>0</v>
      </c>
      <c r="PPO249" s="5">
        <f t="shared" si="175"/>
        <v>0</v>
      </c>
      <c r="PPP249" s="5">
        <f t="shared" si="175"/>
        <v>0</v>
      </c>
      <c r="PPQ249" s="5">
        <f t="shared" si="175"/>
        <v>0</v>
      </c>
      <c r="PPR249" s="5">
        <f t="shared" si="175"/>
        <v>0</v>
      </c>
      <c r="PPS249" s="5">
        <f t="shared" si="175"/>
        <v>0</v>
      </c>
      <c r="PPT249" s="5">
        <f t="shared" si="175"/>
        <v>0</v>
      </c>
      <c r="PPU249" s="5">
        <f t="shared" si="175"/>
        <v>0</v>
      </c>
      <c r="PPV249" s="5">
        <f t="shared" si="175"/>
        <v>0</v>
      </c>
      <c r="PPW249" s="5">
        <f t="shared" si="175"/>
        <v>0</v>
      </c>
      <c r="PPX249" s="5">
        <f t="shared" si="175"/>
        <v>0</v>
      </c>
      <c r="PPY249" s="5">
        <f t="shared" si="175"/>
        <v>0</v>
      </c>
      <c r="PPZ249" s="5">
        <f t="shared" si="175"/>
        <v>0</v>
      </c>
      <c r="PQA249" s="5">
        <f t="shared" si="175"/>
        <v>0</v>
      </c>
      <c r="PQB249" s="5">
        <f t="shared" si="175"/>
        <v>0</v>
      </c>
      <c r="PQC249" s="5">
        <f t="shared" si="175"/>
        <v>0</v>
      </c>
      <c r="PQD249" s="5">
        <f t="shared" si="175"/>
        <v>0</v>
      </c>
      <c r="PQE249" s="5">
        <f t="shared" si="175"/>
        <v>0</v>
      </c>
      <c r="PQF249" s="5">
        <f t="shared" si="175"/>
        <v>0</v>
      </c>
      <c r="PQG249" s="5">
        <f t="shared" si="175"/>
        <v>0</v>
      </c>
      <c r="PQH249" s="5">
        <f t="shared" si="175"/>
        <v>0</v>
      </c>
      <c r="PQI249" s="5">
        <f t="shared" si="175"/>
        <v>0</v>
      </c>
      <c r="PQJ249" s="5">
        <f t="shared" si="175"/>
        <v>0</v>
      </c>
      <c r="PQK249" s="5">
        <f t="shared" si="175"/>
        <v>0</v>
      </c>
      <c r="PQL249" s="5">
        <f t="shared" si="175"/>
        <v>0</v>
      </c>
      <c r="PQM249" s="5">
        <f t="shared" si="175"/>
        <v>0</v>
      </c>
      <c r="PQN249" s="5">
        <f t="shared" si="175"/>
        <v>0</v>
      </c>
      <c r="PQO249" s="5">
        <f t="shared" si="175"/>
        <v>0</v>
      </c>
      <c r="PQP249" s="5">
        <f t="shared" si="175"/>
        <v>0</v>
      </c>
      <c r="PQQ249" s="5">
        <f t="shared" si="175"/>
        <v>0</v>
      </c>
      <c r="PQR249" s="5">
        <f t="shared" si="175"/>
        <v>0</v>
      </c>
      <c r="PQS249" s="5">
        <f t="shared" si="175"/>
        <v>0</v>
      </c>
      <c r="PQT249" s="5">
        <f t="shared" si="175"/>
        <v>0</v>
      </c>
      <c r="PQU249" s="5">
        <f t="shared" si="175"/>
        <v>0</v>
      </c>
      <c r="PQV249" s="5">
        <f t="shared" si="175"/>
        <v>0</v>
      </c>
      <c r="PQW249" s="5">
        <f t="shared" si="175"/>
        <v>0</v>
      </c>
      <c r="PQX249" s="5">
        <f t="shared" ref="PQX249:PTI249" si="176">SUM(PQX246:PQX246)</f>
        <v>0</v>
      </c>
      <c r="PQY249" s="5">
        <f t="shared" si="176"/>
        <v>0</v>
      </c>
      <c r="PQZ249" s="5">
        <f t="shared" si="176"/>
        <v>0</v>
      </c>
      <c r="PRA249" s="5">
        <f t="shared" si="176"/>
        <v>0</v>
      </c>
      <c r="PRB249" s="5">
        <f t="shared" si="176"/>
        <v>0</v>
      </c>
      <c r="PRC249" s="5">
        <f t="shared" si="176"/>
        <v>0</v>
      </c>
      <c r="PRD249" s="5">
        <f t="shared" si="176"/>
        <v>0</v>
      </c>
      <c r="PRE249" s="5">
        <f t="shared" si="176"/>
        <v>0</v>
      </c>
      <c r="PRF249" s="5">
        <f t="shared" si="176"/>
        <v>0</v>
      </c>
      <c r="PRG249" s="5">
        <f t="shared" si="176"/>
        <v>0</v>
      </c>
      <c r="PRH249" s="5">
        <f t="shared" si="176"/>
        <v>0</v>
      </c>
      <c r="PRI249" s="5">
        <f t="shared" si="176"/>
        <v>0</v>
      </c>
      <c r="PRJ249" s="5">
        <f t="shared" si="176"/>
        <v>0</v>
      </c>
      <c r="PRK249" s="5">
        <f t="shared" si="176"/>
        <v>0</v>
      </c>
      <c r="PRL249" s="5">
        <f t="shared" si="176"/>
        <v>0</v>
      </c>
      <c r="PRM249" s="5">
        <f t="shared" si="176"/>
        <v>0</v>
      </c>
      <c r="PRN249" s="5">
        <f t="shared" si="176"/>
        <v>0</v>
      </c>
      <c r="PRO249" s="5">
        <f t="shared" si="176"/>
        <v>0</v>
      </c>
      <c r="PRP249" s="5">
        <f t="shared" si="176"/>
        <v>0</v>
      </c>
      <c r="PRQ249" s="5">
        <f t="shared" si="176"/>
        <v>0</v>
      </c>
      <c r="PRR249" s="5">
        <f t="shared" si="176"/>
        <v>0</v>
      </c>
      <c r="PRS249" s="5">
        <f t="shared" si="176"/>
        <v>0</v>
      </c>
      <c r="PRT249" s="5">
        <f t="shared" si="176"/>
        <v>0</v>
      </c>
      <c r="PRU249" s="5">
        <f t="shared" si="176"/>
        <v>0</v>
      </c>
      <c r="PRV249" s="5">
        <f t="shared" si="176"/>
        <v>0</v>
      </c>
      <c r="PRW249" s="5">
        <f t="shared" si="176"/>
        <v>0</v>
      </c>
      <c r="PRX249" s="5">
        <f t="shared" si="176"/>
        <v>0</v>
      </c>
      <c r="PRY249" s="5">
        <f t="shared" si="176"/>
        <v>0</v>
      </c>
      <c r="PRZ249" s="5">
        <f t="shared" si="176"/>
        <v>0</v>
      </c>
      <c r="PSA249" s="5">
        <f t="shared" si="176"/>
        <v>0</v>
      </c>
      <c r="PSB249" s="5">
        <f t="shared" si="176"/>
        <v>0</v>
      </c>
      <c r="PSC249" s="5">
        <f t="shared" si="176"/>
        <v>0</v>
      </c>
      <c r="PSD249" s="5">
        <f t="shared" si="176"/>
        <v>0</v>
      </c>
      <c r="PSE249" s="5">
        <f t="shared" si="176"/>
        <v>0</v>
      </c>
      <c r="PSF249" s="5">
        <f t="shared" si="176"/>
        <v>0</v>
      </c>
      <c r="PSG249" s="5">
        <f t="shared" si="176"/>
        <v>0</v>
      </c>
      <c r="PSH249" s="5">
        <f t="shared" si="176"/>
        <v>0</v>
      </c>
      <c r="PSI249" s="5">
        <f t="shared" si="176"/>
        <v>0</v>
      </c>
      <c r="PSJ249" s="5">
        <f t="shared" si="176"/>
        <v>0</v>
      </c>
      <c r="PSK249" s="5">
        <f t="shared" si="176"/>
        <v>0</v>
      </c>
      <c r="PSL249" s="5">
        <f t="shared" si="176"/>
        <v>0</v>
      </c>
      <c r="PSM249" s="5">
        <f t="shared" si="176"/>
        <v>0</v>
      </c>
      <c r="PSN249" s="5">
        <f t="shared" si="176"/>
        <v>0</v>
      </c>
      <c r="PSO249" s="5">
        <f t="shared" si="176"/>
        <v>0</v>
      </c>
      <c r="PSP249" s="5">
        <f t="shared" si="176"/>
        <v>0</v>
      </c>
      <c r="PSQ249" s="5">
        <f t="shared" si="176"/>
        <v>0</v>
      </c>
      <c r="PSR249" s="5">
        <f t="shared" si="176"/>
        <v>0</v>
      </c>
      <c r="PSS249" s="5">
        <f t="shared" si="176"/>
        <v>0</v>
      </c>
      <c r="PST249" s="5">
        <f t="shared" si="176"/>
        <v>0</v>
      </c>
      <c r="PSU249" s="5">
        <f t="shared" si="176"/>
        <v>0</v>
      </c>
      <c r="PSV249" s="5">
        <f t="shared" si="176"/>
        <v>0</v>
      </c>
      <c r="PSW249" s="5">
        <f t="shared" si="176"/>
        <v>0</v>
      </c>
      <c r="PSX249" s="5">
        <f t="shared" si="176"/>
        <v>0</v>
      </c>
      <c r="PSY249" s="5">
        <f t="shared" si="176"/>
        <v>0</v>
      </c>
      <c r="PSZ249" s="5">
        <f t="shared" si="176"/>
        <v>0</v>
      </c>
      <c r="PTA249" s="5">
        <f t="shared" si="176"/>
        <v>0</v>
      </c>
      <c r="PTB249" s="5">
        <f t="shared" si="176"/>
        <v>0</v>
      </c>
      <c r="PTC249" s="5">
        <f t="shared" si="176"/>
        <v>0</v>
      </c>
      <c r="PTD249" s="5">
        <f t="shared" si="176"/>
        <v>0</v>
      </c>
      <c r="PTE249" s="5">
        <f t="shared" si="176"/>
        <v>0</v>
      </c>
      <c r="PTF249" s="5">
        <f t="shared" si="176"/>
        <v>0</v>
      </c>
      <c r="PTG249" s="5">
        <f t="shared" si="176"/>
        <v>0</v>
      </c>
      <c r="PTH249" s="5">
        <f t="shared" si="176"/>
        <v>0</v>
      </c>
      <c r="PTI249" s="5">
        <f t="shared" si="176"/>
        <v>0</v>
      </c>
      <c r="PTJ249" s="5">
        <f t="shared" ref="PTJ249:PVU249" si="177">SUM(PTJ246:PTJ246)</f>
        <v>0</v>
      </c>
      <c r="PTK249" s="5">
        <f t="shared" si="177"/>
        <v>0</v>
      </c>
      <c r="PTL249" s="5">
        <f t="shared" si="177"/>
        <v>0</v>
      </c>
      <c r="PTM249" s="5">
        <f t="shared" si="177"/>
        <v>0</v>
      </c>
      <c r="PTN249" s="5">
        <f t="shared" si="177"/>
        <v>0</v>
      </c>
      <c r="PTO249" s="5">
        <f t="shared" si="177"/>
        <v>0</v>
      </c>
      <c r="PTP249" s="5">
        <f t="shared" si="177"/>
        <v>0</v>
      </c>
      <c r="PTQ249" s="5">
        <f t="shared" si="177"/>
        <v>0</v>
      </c>
      <c r="PTR249" s="5">
        <f t="shared" si="177"/>
        <v>0</v>
      </c>
      <c r="PTS249" s="5">
        <f t="shared" si="177"/>
        <v>0</v>
      </c>
      <c r="PTT249" s="5">
        <f t="shared" si="177"/>
        <v>0</v>
      </c>
      <c r="PTU249" s="5">
        <f t="shared" si="177"/>
        <v>0</v>
      </c>
      <c r="PTV249" s="5">
        <f t="shared" si="177"/>
        <v>0</v>
      </c>
      <c r="PTW249" s="5">
        <f t="shared" si="177"/>
        <v>0</v>
      </c>
      <c r="PTX249" s="5">
        <f t="shared" si="177"/>
        <v>0</v>
      </c>
      <c r="PTY249" s="5">
        <f t="shared" si="177"/>
        <v>0</v>
      </c>
      <c r="PTZ249" s="5">
        <f t="shared" si="177"/>
        <v>0</v>
      </c>
      <c r="PUA249" s="5">
        <f t="shared" si="177"/>
        <v>0</v>
      </c>
      <c r="PUB249" s="5">
        <f t="shared" si="177"/>
        <v>0</v>
      </c>
      <c r="PUC249" s="5">
        <f t="shared" si="177"/>
        <v>0</v>
      </c>
      <c r="PUD249" s="5">
        <f t="shared" si="177"/>
        <v>0</v>
      </c>
      <c r="PUE249" s="5">
        <f t="shared" si="177"/>
        <v>0</v>
      </c>
      <c r="PUF249" s="5">
        <f t="shared" si="177"/>
        <v>0</v>
      </c>
      <c r="PUG249" s="5">
        <f t="shared" si="177"/>
        <v>0</v>
      </c>
      <c r="PUH249" s="5">
        <f t="shared" si="177"/>
        <v>0</v>
      </c>
      <c r="PUI249" s="5">
        <f t="shared" si="177"/>
        <v>0</v>
      </c>
      <c r="PUJ249" s="5">
        <f t="shared" si="177"/>
        <v>0</v>
      </c>
      <c r="PUK249" s="5">
        <f t="shared" si="177"/>
        <v>0</v>
      </c>
      <c r="PUL249" s="5">
        <f t="shared" si="177"/>
        <v>0</v>
      </c>
      <c r="PUM249" s="5">
        <f t="shared" si="177"/>
        <v>0</v>
      </c>
      <c r="PUN249" s="5">
        <f t="shared" si="177"/>
        <v>0</v>
      </c>
      <c r="PUO249" s="5">
        <f t="shared" si="177"/>
        <v>0</v>
      </c>
      <c r="PUP249" s="5">
        <f t="shared" si="177"/>
        <v>0</v>
      </c>
      <c r="PUQ249" s="5">
        <f t="shared" si="177"/>
        <v>0</v>
      </c>
      <c r="PUR249" s="5">
        <f t="shared" si="177"/>
        <v>0</v>
      </c>
      <c r="PUS249" s="5">
        <f t="shared" si="177"/>
        <v>0</v>
      </c>
      <c r="PUT249" s="5">
        <f t="shared" si="177"/>
        <v>0</v>
      </c>
      <c r="PUU249" s="5">
        <f t="shared" si="177"/>
        <v>0</v>
      </c>
      <c r="PUV249" s="5">
        <f t="shared" si="177"/>
        <v>0</v>
      </c>
      <c r="PUW249" s="5">
        <f t="shared" si="177"/>
        <v>0</v>
      </c>
      <c r="PUX249" s="5">
        <f t="shared" si="177"/>
        <v>0</v>
      </c>
      <c r="PUY249" s="5">
        <f t="shared" si="177"/>
        <v>0</v>
      </c>
      <c r="PUZ249" s="5">
        <f t="shared" si="177"/>
        <v>0</v>
      </c>
      <c r="PVA249" s="5">
        <f t="shared" si="177"/>
        <v>0</v>
      </c>
      <c r="PVB249" s="5">
        <f t="shared" si="177"/>
        <v>0</v>
      </c>
      <c r="PVC249" s="5">
        <f t="shared" si="177"/>
        <v>0</v>
      </c>
      <c r="PVD249" s="5">
        <f t="shared" si="177"/>
        <v>0</v>
      </c>
      <c r="PVE249" s="5">
        <f t="shared" si="177"/>
        <v>0</v>
      </c>
      <c r="PVF249" s="5">
        <f t="shared" si="177"/>
        <v>0</v>
      </c>
      <c r="PVG249" s="5">
        <f t="shared" si="177"/>
        <v>0</v>
      </c>
      <c r="PVH249" s="5">
        <f t="shared" si="177"/>
        <v>0</v>
      </c>
      <c r="PVI249" s="5">
        <f t="shared" si="177"/>
        <v>0</v>
      </c>
      <c r="PVJ249" s="5">
        <f t="shared" si="177"/>
        <v>0</v>
      </c>
      <c r="PVK249" s="5">
        <f t="shared" si="177"/>
        <v>0</v>
      </c>
      <c r="PVL249" s="5">
        <f t="shared" si="177"/>
        <v>0</v>
      </c>
      <c r="PVM249" s="5">
        <f t="shared" si="177"/>
        <v>0</v>
      </c>
      <c r="PVN249" s="5">
        <f t="shared" si="177"/>
        <v>0</v>
      </c>
      <c r="PVO249" s="5">
        <f t="shared" si="177"/>
        <v>0</v>
      </c>
      <c r="PVP249" s="5">
        <f t="shared" si="177"/>
        <v>0</v>
      </c>
      <c r="PVQ249" s="5">
        <f t="shared" si="177"/>
        <v>0</v>
      </c>
      <c r="PVR249" s="5">
        <f t="shared" si="177"/>
        <v>0</v>
      </c>
      <c r="PVS249" s="5">
        <f t="shared" si="177"/>
        <v>0</v>
      </c>
      <c r="PVT249" s="5">
        <f t="shared" si="177"/>
        <v>0</v>
      </c>
      <c r="PVU249" s="5">
        <f t="shared" si="177"/>
        <v>0</v>
      </c>
      <c r="PVV249" s="5">
        <f t="shared" ref="PVV249:PYG249" si="178">SUM(PVV246:PVV246)</f>
        <v>0</v>
      </c>
      <c r="PVW249" s="5">
        <f t="shared" si="178"/>
        <v>0</v>
      </c>
      <c r="PVX249" s="5">
        <f t="shared" si="178"/>
        <v>0</v>
      </c>
      <c r="PVY249" s="5">
        <f t="shared" si="178"/>
        <v>0</v>
      </c>
      <c r="PVZ249" s="5">
        <f t="shared" si="178"/>
        <v>0</v>
      </c>
      <c r="PWA249" s="5">
        <f t="shared" si="178"/>
        <v>0</v>
      </c>
      <c r="PWB249" s="5">
        <f t="shared" si="178"/>
        <v>0</v>
      </c>
      <c r="PWC249" s="5">
        <f t="shared" si="178"/>
        <v>0</v>
      </c>
      <c r="PWD249" s="5">
        <f t="shared" si="178"/>
        <v>0</v>
      </c>
      <c r="PWE249" s="5">
        <f t="shared" si="178"/>
        <v>0</v>
      </c>
      <c r="PWF249" s="5">
        <f t="shared" si="178"/>
        <v>0</v>
      </c>
      <c r="PWG249" s="5">
        <f t="shared" si="178"/>
        <v>0</v>
      </c>
      <c r="PWH249" s="5">
        <f t="shared" si="178"/>
        <v>0</v>
      </c>
      <c r="PWI249" s="5">
        <f t="shared" si="178"/>
        <v>0</v>
      </c>
      <c r="PWJ249" s="5">
        <f t="shared" si="178"/>
        <v>0</v>
      </c>
      <c r="PWK249" s="5">
        <f t="shared" si="178"/>
        <v>0</v>
      </c>
      <c r="PWL249" s="5">
        <f t="shared" si="178"/>
        <v>0</v>
      </c>
      <c r="PWM249" s="5">
        <f t="shared" si="178"/>
        <v>0</v>
      </c>
      <c r="PWN249" s="5">
        <f t="shared" si="178"/>
        <v>0</v>
      </c>
      <c r="PWO249" s="5">
        <f t="shared" si="178"/>
        <v>0</v>
      </c>
      <c r="PWP249" s="5">
        <f t="shared" si="178"/>
        <v>0</v>
      </c>
      <c r="PWQ249" s="5">
        <f t="shared" si="178"/>
        <v>0</v>
      </c>
      <c r="PWR249" s="5">
        <f t="shared" si="178"/>
        <v>0</v>
      </c>
      <c r="PWS249" s="5">
        <f t="shared" si="178"/>
        <v>0</v>
      </c>
      <c r="PWT249" s="5">
        <f t="shared" si="178"/>
        <v>0</v>
      </c>
      <c r="PWU249" s="5">
        <f t="shared" si="178"/>
        <v>0</v>
      </c>
      <c r="PWV249" s="5">
        <f t="shared" si="178"/>
        <v>0</v>
      </c>
      <c r="PWW249" s="5">
        <f t="shared" si="178"/>
        <v>0</v>
      </c>
      <c r="PWX249" s="5">
        <f t="shared" si="178"/>
        <v>0</v>
      </c>
      <c r="PWY249" s="5">
        <f t="shared" si="178"/>
        <v>0</v>
      </c>
      <c r="PWZ249" s="5">
        <f t="shared" si="178"/>
        <v>0</v>
      </c>
      <c r="PXA249" s="5">
        <f t="shared" si="178"/>
        <v>0</v>
      </c>
      <c r="PXB249" s="5">
        <f t="shared" si="178"/>
        <v>0</v>
      </c>
      <c r="PXC249" s="5">
        <f t="shared" si="178"/>
        <v>0</v>
      </c>
      <c r="PXD249" s="5">
        <f t="shared" si="178"/>
        <v>0</v>
      </c>
      <c r="PXE249" s="5">
        <f t="shared" si="178"/>
        <v>0</v>
      </c>
      <c r="PXF249" s="5">
        <f t="shared" si="178"/>
        <v>0</v>
      </c>
      <c r="PXG249" s="5">
        <f t="shared" si="178"/>
        <v>0</v>
      </c>
      <c r="PXH249" s="5">
        <f t="shared" si="178"/>
        <v>0</v>
      </c>
      <c r="PXI249" s="5">
        <f t="shared" si="178"/>
        <v>0</v>
      </c>
      <c r="PXJ249" s="5">
        <f t="shared" si="178"/>
        <v>0</v>
      </c>
      <c r="PXK249" s="5">
        <f t="shared" si="178"/>
        <v>0</v>
      </c>
      <c r="PXL249" s="5">
        <f t="shared" si="178"/>
        <v>0</v>
      </c>
      <c r="PXM249" s="5">
        <f t="shared" si="178"/>
        <v>0</v>
      </c>
      <c r="PXN249" s="5">
        <f t="shared" si="178"/>
        <v>0</v>
      </c>
      <c r="PXO249" s="5">
        <f t="shared" si="178"/>
        <v>0</v>
      </c>
      <c r="PXP249" s="5">
        <f t="shared" si="178"/>
        <v>0</v>
      </c>
      <c r="PXQ249" s="5">
        <f t="shared" si="178"/>
        <v>0</v>
      </c>
      <c r="PXR249" s="5">
        <f t="shared" si="178"/>
        <v>0</v>
      </c>
      <c r="PXS249" s="5">
        <f t="shared" si="178"/>
        <v>0</v>
      </c>
      <c r="PXT249" s="5">
        <f t="shared" si="178"/>
        <v>0</v>
      </c>
      <c r="PXU249" s="5">
        <f t="shared" si="178"/>
        <v>0</v>
      </c>
      <c r="PXV249" s="5">
        <f t="shared" si="178"/>
        <v>0</v>
      </c>
      <c r="PXW249" s="5">
        <f t="shared" si="178"/>
        <v>0</v>
      </c>
      <c r="PXX249" s="5">
        <f t="shared" si="178"/>
        <v>0</v>
      </c>
      <c r="PXY249" s="5">
        <f t="shared" si="178"/>
        <v>0</v>
      </c>
      <c r="PXZ249" s="5">
        <f t="shared" si="178"/>
        <v>0</v>
      </c>
      <c r="PYA249" s="5">
        <f t="shared" si="178"/>
        <v>0</v>
      </c>
      <c r="PYB249" s="5">
        <f t="shared" si="178"/>
        <v>0</v>
      </c>
      <c r="PYC249" s="5">
        <f t="shared" si="178"/>
        <v>0</v>
      </c>
      <c r="PYD249" s="5">
        <f t="shared" si="178"/>
        <v>0</v>
      </c>
      <c r="PYE249" s="5">
        <f t="shared" si="178"/>
        <v>0</v>
      </c>
      <c r="PYF249" s="5">
        <f t="shared" si="178"/>
        <v>0</v>
      </c>
      <c r="PYG249" s="5">
        <f t="shared" si="178"/>
        <v>0</v>
      </c>
      <c r="PYH249" s="5">
        <f t="shared" ref="PYH249:QAS249" si="179">SUM(PYH246:PYH246)</f>
        <v>0</v>
      </c>
      <c r="PYI249" s="5">
        <f t="shared" si="179"/>
        <v>0</v>
      </c>
      <c r="PYJ249" s="5">
        <f t="shared" si="179"/>
        <v>0</v>
      </c>
      <c r="PYK249" s="5">
        <f t="shared" si="179"/>
        <v>0</v>
      </c>
      <c r="PYL249" s="5">
        <f t="shared" si="179"/>
        <v>0</v>
      </c>
      <c r="PYM249" s="5">
        <f t="shared" si="179"/>
        <v>0</v>
      </c>
      <c r="PYN249" s="5">
        <f t="shared" si="179"/>
        <v>0</v>
      </c>
      <c r="PYO249" s="5">
        <f t="shared" si="179"/>
        <v>0</v>
      </c>
      <c r="PYP249" s="5">
        <f t="shared" si="179"/>
        <v>0</v>
      </c>
      <c r="PYQ249" s="5">
        <f t="shared" si="179"/>
        <v>0</v>
      </c>
      <c r="PYR249" s="5">
        <f t="shared" si="179"/>
        <v>0</v>
      </c>
      <c r="PYS249" s="5">
        <f t="shared" si="179"/>
        <v>0</v>
      </c>
      <c r="PYT249" s="5">
        <f t="shared" si="179"/>
        <v>0</v>
      </c>
      <c r="PYU249" s="5">
        <f t="shared" si="179"/>
        <v>0</v>
      </c>
      <c r="PYV249" s="5">
        <f t="shared" si="179"/>
        <v>0</v>
      </c>
      <c r="PYW249" s="5">
        <f t="shared" si="179"/>
        <v>0</v>
      </c>
      <c r="PYX249" s="5">
        <f t="shared" si="179"/>
        <v>0</v>
      </c>
      <c r="PYY249" s="5">
        <f t="shared" si="179"/>
        <v>0</v>
      </c>
      <c r="PYZ249" s="5">
        <f t="shared" si="179"/>
        <v>0</v>
      </c>
      <c r="PZA249" s="5">
        <f t="shared" si="179"/>
        <v>0</v>
      </c>
      <c r="PZB249" s="5">
        <f t="shared" si="179"/>
        <v>0</v>
      </c>
      <c r="PZC249" s="5">
        <f t="shared" si="179"/>
        <v>0</v>
      </c>
      <c r="PZD249" s="5">
        <f t="shared" si="179"/>
        <v>0</v>
      </c>
      <c r="PZE249" s="5">
        <f t="shared" si="179"/>
        <v>0</v>
      </c>
      <c r="PZF249" s="5">
        <f t="shared" si="179"/>
        <v>0</v>
      </c>
      <c r="PZG249" s="5">
        <f t="shared" si="179"/>
        <v>0</v>
      </c>
      <c r="PZH249" s="5">
        <f t="shared" si="179"/>
        <v>0</v>
      </c>
      <c r="PZI249" s="5">
        <f t="shared" si="179"/>
        <v>0</v>
      </c>
      <c r="PZJ249" s="5">
        <f t="shared" si="179"/>
        <v>0</v>
      </c>
      <c r="PZK249" s="5">
        <f t="shared" si="179"/>
        <v>0</v>
      </c>
      <c r="PZL249" s="5">
        <f t="shared" si="179"/>
        <v>0</v>
      </c>
      <c r="PZM249" s="5">
        <f t="shared" si="179"/>
        <v>0</v>
      </c>
      <c r="PZN249" s="5">
        <f t="shared" si="179"/>
        <v>0</v>
      </c>
      <c r="PZO249" s="5">
        <f t="shared" si="179"/>
        <v>0</v>
      </c>
      <c r="PZP249" s="5">
        <f t="shared" si="179"/>
        <v>0</v>
      </c>
      <c r="PZQ249" s="5">
        <f t="shared" si="179"/>
        <v>0</v>
      </c>
      <c r="PZR249" s="5">
        <f t="shared" si="179"/>
        <v>0</v>
      </c>
      <c r="PZS249" s="5">
        <f t="shared" si="179"/>
        <v>0</v>
      </c>
      <c r="PZT249" s="5">
        <f t="shared" si="179"/>
        <v>0</v>
      </c>
      <c r="PZU249" s="5">
        <f t="shared" si="179"/>
        <v>0</v>
      </c>
      <c r="PZV249" s="5">
        <f t="shared" si="179"/>
        <v>0</v>
      </c>
      <c r="PZW249" s="5">
        <f t="shared" si="179"/>
        <v>0</v>
      </c>
      <c r="PZX249" s="5">
        <f t="shared" si="179"/>
        <v>0</v>
      </c>
      <c r="PZY249" s="5">
        <f t="shared" si="179"/>
        <v>0</v>
      </c>
      <c r="PZZ249" s="5">
        <f t="shared" si="179"/>
        <v>0</v>
      </c>
      <c r="QAA249" s="5">
        <f t="shared" si="179"/>
        <v>0</v>
      </c>
      <c r="QAB249" s="5">
        <f t="shared" si="179"/>
        <v>0</v>
      </c>
      <c r="QAC249" s="5">
        <f t="shared" si="179"/>
        <v>0</v>
      </c>
      <c r="QAD249" s="5">
        <f t="shared" si="179"/>
        <v>0</v>
      </c>
      <c r="QAE249" s="5">
        <f t="shared" si="179"/>
        <v>0</v>
      </c>
      <c r="QAF249" s="5">
        <f t="shared" si="179"/>
        <v>0</v>
      </c>
      <c r="QAG249" s="5">
        <f t="shared" si="179"/>
        <v>0</v>
      </c>
      <c r="QAH249" s="5">
        <f t="shared" si="179"/>
        <v>0</v>
      </c>
      <c r="QAI249" s="5">
        <f t="shared" si="179"/>
        <v>0</v>
      </c>
      <c r="QAJ249" s="5">
        <f t="shared" si="179"/>
        <v>0</v>
      </c>
      <c r="QAK249" s="5">
        <f t="shared" si="179"/>
        <v>0</v>
      </c>
      <c r="QAL249" s="5">
        <f t="shared" si="179"/>
        <v>0</v>
      </c>
      <c r="QAM249" s="5">
        <f t="shared" si="179"/>
        <v>0</v>
      </c>
      <c r="QAN249" s="5">
        <f t="shared" si="179"/>
        <v>0</v>
      </c>
      <c r="QAO249" s="5">
        <f t="shared" si="179"/>
        <v>0</v>
      </c>
      <c r="QAP249" s="5">
        <f t="shared" si="179"/>
        <v>0</v>
      </c>
      <c r="QAQ249" s="5">
        <f t="shared" si="179"/>
        <v>0</v>
      </c>
      <c r="QAR249" s="5">
        <f t="shared" si="179"/>
        <v>0</v>
      </c>
      <c r="QAS249" s="5">
        <f t="shared" si="179"/>
        <v>0</v>
      </c>
      <c r="QAT249" s="5">
        <f t="shared" ref="QAT249:QDE249" si="180">SUM(QAT246:QAT246)</f>
        <v>0</v>
      </c>
      <c r="QAU249" s="5">
        <f t="shared" si="180"/>
        <v>0</v>
      </c>
      <c r="QAV249" s="5">
        <f t="shared" si="180"/>
        <v>0</v>
      </c>
      <c r="QAW249" s="5">
        <f t="shared" si="180"/>
        <v>0</v>
      </c>
      <c r="QAX249" s="5">
        <f t="shared" si="180"/>
        <v>0</v>
      </c>
      <c r="QAY249" s="5">
        <f t="shared" si="180"/>
        <v>0</v>
      </c>
      <c r="QAZ249" s="5">
        <f t="shared" si="180"/>
        <v>0</v>
      </c>
      <c r="QBA249" s="5">
        <f t="shared" si="180"/>
        <v>0</v>
      </c>
      <c r="QBB249" s="5">
        <f t="shared" si="180"/>
        <v>0</v>
      </c>
      <c r="QBC249" s="5">
        <f t="shared" si="180"/>
        <v>0</v>
      </c>
      <c r="QBD249" s="5">
        <f t="shared" si="180"/>
        <v>0</v>
      </c>
      <c r="QBE249" s="5">
        <f t="shared" si="180"/>
        <v>0</v>
      </c>
      <c r="QBF249" s="5">
        <f t="shared" si="180"/>
        <v>0</v>
      </c>
      <c r="QBG249" s="5">
        <f t="shared" si="180"/>
        <v>0</v>
      </c>
      <c r="QBH249" s="5">
        <f t="shared" si="180"/>
        <v>0</v>
      </c>
      <c r="QBI249" s="5">
        <f t="shared" si="180"/>
        <v>0</v>
      </c>
      <c r="QBJ249" s="5">
        <f t="shared" si="180"/>
        <v>0</v>
      </c>
      <c r="QBK249" s="5">
        <f t="shared" si="180"/>
        <v>0</v>
      </c>
      <c r="QBL249" s="5">
        <f t="shared" si="180"/>
        <v>0</v>
      </c>
      <c r="QBM249" s="5">
        <f t="shared" si="180"/>
        <v>0</v>
      </c>
      <c r="QBN249" s="5">
        <f t="shared" si="180"/>
        <v>0</v>
      </c>
      <c r="QBO249" s="5">
        <f t="shared" si="180"/>
        <v>0</v>
      </c>
      <c r="QBP249" s="5">
        <f t="shared" si="180"/>
        <v>0</v>
      </c>
      <c r="QBQ249" s="5">
        <f t="shared" si="180"/>
        <v>0</v>
      </c>
      <c r="QBR249" s="5">
        <f t="shared" si="180"/>
        <v>0</v>
      </c>
      <c r="QBS249" s="5">
        <f t="shared" si="180"/>
        <v>0</v>
      </c>
      <c r="QBT249" s="5">
        <f t="shared" si="180"/>
        <v>0</v>
      </c>
      <c r="QBU249" s="5">
        <f t="shared" si="180"/>
        <v>0</v>
      </c>
      <c r="QBV249" s="5">
        <f t="shared" si="180"/>
        <v>0</v>
      </c>
      <c r="QBW249" s="5">
        <f t="shared" si="180"/>
        <v>0</v>
      </c>
      <c r="QBX249" s="5">
        <f t="shared" si="180"/>
        <v>0</v>
      </c>
      <c r="QBY249" s="5">
        <f t="shared" si="180"/>
        <v>0</v>
      </c>
      <c r="QBZ249" s="5">
        <f t="shared" si="180"/>
        <v>0</v>
      </c>
      <c r="QCA249" s="5">
        <f t="shared" si="180"/>
        <v>0</v>
      </c>
      <c r="QCB249" s="5">
        <f t="shared" si="180"/>
        <v>0</v>
      </c>
      <c r="QCC249" s="5">
        <f t="shared" si="180"/>
        <v>0</v>
      </c>
      <c r="QCD249" s="5">
        <f t="shared" si="180"/>
        <v>0</v>
      </c>
      <c r="QCE249" s="5">
        <f t="shared" si="180"/>
        <v>0</v>
      </c>
      <c r="QCF249" s="5">
        <f t="shared" si="180"/>
        <v>0</v>
      </c>
      <c r="QCG249" s="5">
        <f t="shared" si="180"/>
        <v>0</v>
      </c>
      <c r="QCH249" s="5">
        <f t="shared" si="180"/>
        <v>0</v>
      </c>
      <c r="QCI249" s="5">
        <f t="shared" si="180"/>
        <v>0</v>
      </c>
      <c r="QCJ249" s="5">
        <f t="shared" si="180"/>
        <v>0</v>
      </c>
      <c r="QCK249" s="5">
        <f t="shared" si="180"/>
        <v>0</v>
      </c>
      <c r="QCL249" s="5">
        <f t="shared" si="180"/>
        <v>0</v>
      </c>
      <c r="QCM249" s="5">
        <f t="shared" si="180"/>
        <v>0</v>
      </c>
      <c r="QCN249" s="5">
        <f t="shared" si="180"/>
        <v>0</v>
      </c>
      <c r="QCO249" s="5">
        <f t="shared" si="180"/>
        <v>0</v>
      </c>
      <c r="QCP249" s="5">
        <f t="shared" si="180"/>
        <v>0</v>
      </c>
      <c r="QCQ249" s="5">
        <f t="shared" si="180"/>
        <v>0</v>
      </c>
      <c r="QCR249" s="5">
        <f t="shared" si="180"/>
        <v>0</v>
      </c>
      <c r="QCS249" s="5">
        <f t="shared" si="180"/>
        <v>0</v>
      </c>
      <c r="QCT249" s="5">
        <f t="shared" si="180"/>
        <v>0</v>
      </c>
      <c r="QCU249" s="5">
        <f t="shared" si="180"/>
        <v>0</v>
      </c>
      <c r="QCV249" s="5">
        <f t="shared" si="180"/>
        <v>0</v>
      </c>
      <c r="QCW249" s="5">
        <f t="shared" si="180"/>
        <v>0</v>
      </c>
      <c r="QCX249" s="5">
        <f t="shared" si="180"/>
        <v>0</v>
      </c>
      <c r="QCY249" s="5">
        <f t="shared" si="180"/>
        <v>0</v>
      </c>
      <c r="QCZ249" s="5">
        <f t="shared" si="180"/>
        <v>0</v>
      </c>
      <c r="QDA249" s="5">
        <f t="shared" si="180"/>
        <v>0</v>
      </c>
      <c r="QDB249" s="5">
        <f t="shared" si="180"/>
        <v>0</v>
      </c>
      <c r="QDC249" s="5">
        <f t="shared" si="180"/>
        <v>0</v>
      </c>
      <c r="QDD249" s="5">
        <f t="shared" si="180"/>
        <v>0</v>
      </c>
      <c r="QDE249" s="5">
        <f t="shared" si="180"/>
        <v>0</v>
      </c>
      <c r="QDF249" s="5">
        <f t="shared" ref="QDF249:QFQ249" si="181">SUM(QDF246:QDF246)</f>
        <v>0</v>
      </c>
      <c r="QDG249" s="5">
        <f t="shared" si="181"/>
        <v>0</v>
      </c>
      <c r="QDH249" s="5">
        <f t="shared" si="181"/>
        <v>0</v>
      </c>
      <c r="QDI249" s="5">
        <f t="shared" si="181"/>
        <v>0</v>
      </c>
      <c r="QDJ249" s="5">
        <f t="shared" si="181"/>
        <v>0</v>
      </c>
      <c r="QDK249" s="5">
        <f t="shared" si="181"/>
        <v>0</v>
      </c>
      <c r="QDL249" s="5">
        <f t="shared" si="181"/>
        <v>0</v>
      </c>
      <c r="QDM249" s="5">
        <f t="shared" si="181"/>
        <v>0</v>
      </c>
      <c r="QDN249" s="5">
        <f t="shared" si="181"/>
        <v>0</v>
      </c>
      <c r="QDO249" s="5">
        <f t="shared" si="181"/>
        <v>0</v>
      </c>
      <c r="QDP249" s="5">
        <f t="shared" si="181"/>
        <v>0</v>
      </c>
      <c r="QDQ249" s="5">
        <f t="shared" si="181"/>
        <v>0</v>
      </c>
      <c r="QDR249" s="5">
        <f t="shared" si="181"/>
        <v>0</v>
      </c>
      <c r="QDS249" s="5">
        <f t="shared" si="181"/>
        <v>0</v>
      </c>
      <c r="QDT249" s="5">
        <f t="shared" si="181"/>
        <v>0</v>
      </c>
      <c r="QDU249" s="5">
        <f t="shared" si="181"/>
        <v>0</v>
      </c>
      <c r="QDV249" s="5">
        <f t="shared" si="181"/>
        <v>0</v>
      </c>
      <c r="QDW249" s="5">
        <f t="shared" si="181"/>
        <v>0</v>
      </c>
      <c r="QDX249" s="5">
        <f t="shared" si="181"/>
        <v>0</v>
      </c>
      <c r="QDY249" s="5">
        <f t="shared" si="181"/>
        <v>0</v>
      </c>
      <c r="QDZ249" s="5">
        <f t="shared" si="181"/>
        <v>0</v>
      </c>
      <c r="QEA249" s="5">
        <f t="shared" si="181"/>
        <v>0</v>
      </c>
      <c r="QEB249" s="5">
        <f t="shared" si="181"/>
        <v>0</v>
      </c>
      <c r="QEC249" s="5">
        <f t="shared" si="181"/>
        <v>0</v>
      </c>
      <c r="QED249" s="5">
        <f t="shared" si="181"/>
        <v>0</v>
      </c>
      <c r="QEE249" s="5">
        <f t="shared" si="181"/>
        <v>0</v>
      </c>
      <c r="QEF249" s="5">
        <f t="shared" si="181"/>
        <v>0</v>
      </c>
      <c r="QEG249" s="5">
        <f t="shared" si="181"/>
        <v>0</v>
      </c>
      <c r="QEH249" s="5">
        <f t="shared" si="181"/>
        <v>0</v>
      </c>
      <c r="QEI249" s="5">
        <f t="shared" si="181"/>
        <v>0</v>
      </c>
      <c r="QEJ249" s="5">
        <f t="shared" si="181"/>
        <v>0</v>
      </c>
      <c r="QEK249" s="5">
        <f t="shared" si="181"/>
        <v>0</v>
      </c>
      <c r="QEL249" s="5">
        <f t="shared" si="181"/>
        <v>0</v>
      </c>
      <c r="QEM249" s="5">
        <f t="shared" si="181"/>
        <v>0</v>
      </c>
      <c r="QEN249" s="5">
        <f t="shared" si="181"/>
        <v>0</v>
      </c>
      <c r="QEO249" s="5">
        <f t="shared" si="181"/>
        <v>0</v>
      </c>
      <c r="QEP249" s="5">
        <f t="shared" si="181"/>
        <v>0</v>
      </c>
      <c r="QEQ249" s="5">
        <f t="shared" si="181"/>
        <v>0</v>
      </c>
      <c r="QER249" s="5">
        <f t="shared" si="181"/>
        <v>0</v>
      </c>
      <c r="QES249" s="5">
        <f t="shared" si="181"/>
        <v>0</v>
      </c>
      <c r="QET249" s="5">
        <f t="shared" si="181"/>
        <v>0</v>
      </c>
      <c r="QEU249" s="5">
        <f t="shared" si="181"/>
        <v>0</v>
      </c>
      <c r="QEV249" s="5">
        <f t="shared" si="181"/>
        <v>0</v>
      </c>
      <c r="QEW249" s="5">
        <f t="shared" si="181"/>
        <v>0</v>
      </c>
      <c r="QEX249" s="5">
        <f t="shared" si="181"/>
        <v>0</v>
      </c>
      <c r="QEY249" s="5">
        <f t="shared" si="181"/>
        <v>0</v>
      </c>
      <c r="QEZ249" s="5">
        <f t="shared" si="181"/>
        <v>0</v>
      </c>
      <c r="QFA249" s="5">
        <f t="shared" si="181"/>
        <v>0</v>
      </c>
      <c r="QFB249" s="5">
        <f t="shared" si="181"/>
        <v>0</v>
      </c>
      <c r="QFC249" s="5">
        <f t="shared" si="181"/>
        <v>0</v>
      </c>
      <c r="QFD249" s="5">
        <f t="shared" si="181"/>
        <v>0</v>
      </c>
      <c r="QFE249" s="5">
        <f t="shared" si="181"/>
        <v>0</v>
      </c>
      <c r="QFF249" s="5">
        <f t="shared" si="181"/>
        <v>0</v>
      </c>
      <c r="QFG249" s="5">
        <f t="shared" si="181"/>
        <v>0</v>
      </c>
      <c r="QFH249" s="5">
        <f t="shared" si="181"/>
        <v>0</v>
      </c>
      <c r="QFI249" s="5">
        <f t="shared" si="181"/>
        <v>0</v>
      </c>
      <c r="QFJ249" s="5">
        <f t="shared" si="181"/>
        <v>0</v>
      </c>
      <c r="QFK249" s="5">
        <f t="shared" si="181"/>
        <v>0</v>
      </c>
      <c r="QFL249" s="5">
        <f t="shared" si="181"/>
        <v>0</v>
      </c>
      <c r="QFM249" s="5">
        <f t="shared" si="181"/>
        <v>0</v>
      </c>
      <c r="QFN249" s="5">
        <f t="shared" si="181"/>
        <v>0</v>
      </c>
      <c r="QFO249" s="5">
        <f t="shared" si="181"/>
        <v>0</v>
      </c>
      <c r="QFP249" s="5">
        <f t="shared" si="181"/>
        <v>0</v>
      </c>
      <c r="QFQ249" s="5">
        <f t="shared" si="181"/>
        <v>0</v>
      </c>
      <c r="QFR249" s="5">
        <f t="shared" ref="QFR249:QIC249" si="182">SUM(QFR246:QFR246)</f>
        <v>0</v>
      </c>
      <c r="QFS249" s="5">
        <f t="shared" si="182"/>
        <v>0</v>
      </c>
      <c r="QFT249" s="5">
        <f t="shared" si="182"/>
        <v>0</v>
      </c>
      <c r="QFU249" s="5">
        <f t="shared" si="182"/>
        <v>0</v>
      </c>
      <c r="QFV249" s="5">
        <f t="shared" si="182"/>
        <v>0</v>
      </c>
      <c r="QFW249" s="5">
        <f t="shared" si="182"/>
        <v>0</v>
      </c>
      <c r="QFX249" s="5">
        <f t="shared" si="182"/>
        <v>0</v>
      </c>
      <c r="QFY249" s="5">
        <f t="shared" si="182"/>
        <v>0</v>
      </c>
      <c r="QFZ249" s="5">
        <f t="shared" si="182"/>
        <v>0</v>
      </c>
      <c r="QGA249" s="5">
        <f t="shared" si="182"/>
        <v>0</v>
      </c>
      <c r="QGB249" s="5">
        <f t="shared" si="182"/>
        <v>0</v>
      </c>
      <c r="QGC249" s="5">
        <f t="shared" si="182"/>
        <v>0</v>
      </c>
      <c r="QGD249" s="5">
        <f t="shared" si="182"/>
        <v>0</v>
      </c>
      <c r="QGE249" s="5">
        <f t="shared" si="182"/>
        <v>0</v>
      </c>
      <c r="QGF249" s="5">
        <f t="shared" si="182"/>
        <v>0</v>
      </c>
      <c r="QGG249" s="5">
        <f t="shared" si="182"/>
        <v>0</v>
      </c>
      <c r="QGH249" s="5">
        <f t="shared" si="182"/>
        <v>0</v>
      </c>
      <c r="QGI249" s="5">
        <f t="shared" si="182"/>
        <v>0</v>
      </c>
      <c r="QGJ249" s="5">
        <f t="shared" si="182"/>
        <v>0</v>
      </c>
      <c r="QGK249" s="5">
        <f t="shared" si="182"/>
        <v>0</v>
      </c>
      <c r="QGL249" s="5">
        <f t="shared" si="182"/>
        <v>0</v>
      </c>
      <c r="QGM249" s="5">
        <f t="shared" si="182"/>
        <v>0</v>
      </c>
      <c r="QGN249" s="5">
        <f t="shared" si="182"/>
        <v>0</v>
      </c>
      <c r="QGO249" s="5">
        <f t="shared" si="182"/>
        <v>0</v>
      </c>
      <c r="QGP249" s="5">
        <f t="shared" si="182"/>
        <v>0</v>
      </c>
      <c r="QGQ249" s="5">
        <f t="shared" si="182"/>
        <v>0</v>
      </c>
      <c r="QGR249" s="5">
        <f t="shared" si="182"/>
        <v>0</v>
      </c>
      <c r="QGS249" s="5">
        <f t="shared" si="182"/>
        <v>0</v>
      </c>
      <c r="QGT249" s="5">
        <f t="shared" si="182"/>
        <v>0</v>
      </c>
      <c r="QGU249" s="5">
        <f t="shared" si="182"/>
        <v>0</v>
      </c>
      <c r="QGV249" s="5">
        <f t="shared" si="182"/>
        <v>0</v>
      </c>
      <c r="QGW249" s="5">
        <f t="shared" si="182"/>
        <v>0</v>
      </c>
      <c r="QGX249" s="5">
        <f t="shared" si="182"/>
        <v>0</v>
      </c>
      <c r="QGY249" s="5">
        <f t="shared" si="182"/>
        <v>0</v>
      </c>
      <c r="QGZ249" s="5">
        <f t="shared" si="182"/>
        <v>0</v>
      </c>
      <c r="QHA249" s="5">
        <f t="shared" si="182"/>
        <v>0</v>
      </c>
      <c r="QHB249" s="5">
        <f t="shared" si="182"/>
        <v>0</v>
      </c>
      <c r="QHC249" s="5">
        <f t="shared" si="182"/>
        <v>0</v>
      </c>
      <c r="QHD249" s="5">
        <f t="shared" si="182"/>
        <v>0</v>
      </c>
      <c r="QHE249" s="5">
        <f t="shared" si="182"/>
        <v>0</v>
      </c>
      <c r="QHF249" s="5">
        <f t="shared" si="182"/>
        <v>0</v>
      </c>
      <c r="QHG249" s="5">
        <f t="shared" si="182"/>
        <v>0</v>
      </c>
      <c r="QHH249" s="5">
        <f t="shared" si="182"/>
        <v>0</v>
      </c>
      <c r="QHI249" s="5">
        <f t="shared" si="182"/>
        <v>0</v>
      </c>
      <c r="QHJ249" s="5">
        <f t="shared" si="182"/>
        <v>0</v>
      </c>
      <c r="QHK249" s="5">
        <f t="shared" si="182"/>
        <v>0</v>
      </c>
      <c r="QHL249" s="5">
        <f t="shared" si="182"/>
        <v>0</v>
      </c>
      <c r="QHM249" s="5">
        <f t="shared" si="182"/>
        <v>0</v>
      </c>
      <c r="QHN249" s="5">
        <f t="shared" si="182"/>
        <v>0</v>
      </c>
      <c r="QHO249" s="5">
        <f t="shared" si="182"/>
        <v>0</v>
      </c>
      <c r="QHP249" s="5">
        <f t="shared" si="182"/>
        <v>0</v>
      </c>
      <c r="QHQ249" s="5">
        <f t="shared" si="182"/>
        <v>0</v>
      </c>
      <c r="QHR249" s="5">
        <f t="shared" si="182"/>
        <v>0</v>
      </c>
      <c r="QHS249" s="5">
        <f t="shared" si="182"/>
        <v>0</v>
      </c>
      <c r="QHT249" s="5">
        <f t="shared" si="182"/>
        <v>0</v>
      </c>
      <c r="QHU249" s="5">
        <f t="shared" si="182"/>
        <v>0</v>
      </c>
      <c r="QHV249" s="5">
        <f t="shared" si="182"/>
        <v>0</v>
      </c>
      <c r="QHW249" s="5">
        <f t="shared" si="182"/>
        <v>0</v>
      </c>
      <c r="QHX249" s="5">
        <f t="shared" si="182"/>
        <v>0</v>
      </c>
      <c r="QHY249" s="5">
        <f t="shared" si="182"/>
        <v>0</v>
      </c>
      <c r="QHZ249" s="5">
        <f t="shared" si="182"/>
        <v>0</v>
      </c>
      <c r="QIA249" s="5">
        <f t="shared" si="182"/>
        <v>0</v>
      </c>
      <c r="QIB249" s="5">
        <f t="shared" si="182"/>
        <v>0</v>
      </c>
      <c r="QIC249" s="5">
        <f t="shared" si="182"/>
        <v>0</v>
      </c>
      <c r="QID249" s="5">
        <f t="shared" ref="QID249:QKO249" si="183">SUM(QID246:QID246)</f>
        <v>0</v>
      </c>
      <c r="QIE249" s="5">
        <f t="shared" si="183"/>
        <v>0</v>
      </c>
      <c r="QIF249" s="5">
        <f t="shared" si="183"/>
        <v>0</v>
      </c>
      <c r="QIG249" s="5">
        <f t="shared" si="183"/>
        <v>0</v>
      </c>
      <c r="QIH249" s="5">
        <f t="shared" si="183"/>
        <v>0</v>
      </c>
      <c r="QII249" s="5">
        <f t="shared" si="183"/>
        <v>0</v>
      </c>
      <c r="QIJ249" s="5">
        <f t="shared" si="183"/>
        <v>0</v>
      </c>
      <c r="QIK249" s="5">
        <f t="shared" si="183"/>
        <v>0</v>
      </c>
      <c r="QIL249" s="5">
        <f t="shared" si="183"/>
        <v>0</v>
      </c>
      <c r="QIM249" s="5">
        <f t="shared" si="183"/>
        <v>0</v>
      </c>
      <c r="QIN249" s="5">
        <f t="shared" si="183"/>
        <v>0</v>
      </c>
      <c r="QIO249" s="5">
        <f t="shared" si="183"/>
        <v>0</v>
      </c>
      <c r="QIP249" s="5">
        <f t="shared" si="183"/>
        <v>0</v>
      </c>
      <c r="QIQ249" s="5">
        <f t="shared" si="183"/>
        <v>0</v>
      </c>
      <c r="QIR249" s="5">
        <f t="shared" si="183"/>
        <v>0</v>
      </c>
      <c r="QIS249" s="5">
        <f t="shared" si="183"/>
        <v>0</v>
      </c>
      <c r="QIT249" s="5">
        <f t="shared" si="183"/>
        <v>0</v>
      </c>
      <c r="QIU249" s="5">
        <f t="shared" si="183"/>
        <v>0</v>
      </c>
      <c r="QIV249" s="5">
        <f t="shared" si="183"/>
        <v>0</v>
      </c>
      <c r="QIW249" s="5">
        <f t="shared" si="183"/>
        <v>0</v>
      </c>
      <c r="QIX249" s="5">
        <f t="shared" si="183"/>
        <v>0</v>
      </c>
      <c r="QIY249" s="5">
        <f t="shared" si="183"/>
        <v>0</v>
      </c>
      <c r="QIZ249" s="5">
        <f t="shared" si="183"/>
        <v>0</v>
      </c>
      <c r="QJA249" s="5">
        <f t="shared" si="183"/>
        <v>0</v>
      </c>
      <c r="QJB249" s="5">
        <f t="shared" si="183"/>
        <v>0</v>
      </c>
      <c r="QJC249" s="5">
        <f t="shared" si="183"/>
        <v>0</v>
      </c>
      <c r="QJD249" s="5">
        <f t="shared" si="183"/>
        <v>0</v>
      </c>
      <c r="QJE249" s="5">
        <f t="shared" si="183"/>
        <v>0</v>
      </c>
      <c r="QJF249" s="5">
        <f t="shared" si="183"/>
        <v>0</v>
      </c>
      <c r="QJG249" s="5">
        <f t="shared" si="183"/>
        <v>0</v>
      </c>
      <c r="QJH249" s="5">
        <f t="shared" si="183"/>
        <v>0</v>
      </c>
      <c r="QJI249" s="5">
        <f t="shared" si="183"/>
        <v>0</v>
      </c>
      <c r="QJJ249" s="5">
        <f t="shared" si="183"/>
        <v>0</v>
      </c>
      <c r="QJK249" s="5">
        <f t="shared" si="183"/>
        <v>0</v>
      </c>
      <c r="QJL249" s="5">
        <f t="shared" si="183"/>
        <v>0</v>
      </c>
      <c r="QJM249" s="5">
        <f t="shared" si="183"/>
        <v>0</v>
      </c>
      <c r="QJN249" s="5">
        <f t="shared" si="183"/>
        <v>0</v>
      </c>
      <c r="QJO249" s="5">
        <f t="shared" si="183"/>
        <v>0</v>
      </c>
      <c r="QJP249" s="5">
        <f t="shared" si="183"/>
        <v>0</v>
      </c>
      <c r="QJQ249" s="5">
        <f t="shared" si="183"/>
        <v>0</v>
      </c>
      <c r="QJR249" s="5">
        <f t="shared" si="183"/>
        <v>0</v>
      </c>
      <c r="QJS249" s="5">
        <f t="shared" si="183"/>
        <v>0</v>
      </c>
      <c r="QJT249" s="5">
        <f t="shared" si="183"/>
        <v>0</v>
      </c>
      <c r="QJU249" s="5">
        <f t="shared" si="183"/>
        <v>0</v>
      </c>
      <c r="QJV249" s="5">
        <f t="shared" si="183"/>
        <v>0</v>
      </c>
      <c r="QJW249" s="5">
        <f t="shared" si="183"/>
        <v>0</v>
      </c>
      <c r="QJX249" s="5">
        <f t="shared" si="183"/>
        <v>0</v>
      </c>
      <c r="QJY249" s="5">
        <f t="shared" si="183"/>
        <v>0</v>
      </c>
      <c r="QJZ249" s="5">
        <f t="shared" si="183"/>
        <v>0</v>
      </c>
      <c r="QKA249" s="5">
        <f t="shared" si="183"/>
        <v>0</v>
      </c>
      <c r="QKB249" s="5">
        <f t="shared" si="183"/>
        <v>0</v>
      </c>
      <c r="QKC249" s="5">
        <f t="shared" si="183"/>
        <v>0</v>
      </c>
      <c r="QKD249" s="5">
        <f t="shared" si="183"/>
        <v>0</v>
      </c>
      <c r="QKE249" s="5">
        <f t="shared" si="183"/>
        <v>0</v>
      </c>
      <c r="QKF249" s="5">
        <f t="shared" si="183"/>
        <v>0</v>
      </c>
      <c r="QKG249" s="5">
        <f t="shared" si="183"/>
        <v>0</v>
      </c>
      <c r="QKH249" s="5">
        <f t="shared" si="183"/>
        <v>0</v>
      </c>
      <c r="QKI249" s="5">
        <f t="shared" si="183"/>
        <v>0</v>
      </c>
      <c r="QKJ249" s="5">
        <f t="shared" si="183"/>
        <v>0</v>
      </c>
      <c r="QKK249" s="5">
        <f t="shared" si="183"/>
        <v>0</v>
      </c>
      <c r="QKL249" s="5">
        <f t="shared" si="183"/>
        <v>0</v>
      </c>
      <c r="QKM249" s="5">
        <f t="shared" si="183"/>
        <v>0</v>
      </c>
      <c r="QKN249" s="5">
        <f t="shared" si="183"/>
        <v>0</v>
      </c>
      <c r="QKO249" s="5">
        <f t="shared" si="183"/>
        <v>0</v>
      </c>
      <c r="QKP249" s="5">
        <f t="shared" ref="QKP249:QNA249" si="184">SUM(QKP246:QKP246)</f>
        <v>0</v>
      </c>
      <c r="QKQ249" s="5">
        <f t="shared" si="184"/>
        <v>0</v>
      </c>
      <c r="QKR249" s="5">
        <f t="shared" si="184"/>
        <v>0</v>
      </c>
      <c r="QKS249" s="5">
        <f t="shared" si="184"/>
        <v>0</v>
      </c>
      <c r="QKT249" s="5">
        <f t="shared" si="184"/>
        <v>0</v>
      </c>
      <c r="QKU249" s="5">
        <f t="shared" si="184"/>
        <v>0</v>
      </c>
      <c r="QKV249" s="5">
        <f t="shared" si="184"/>
        <v>0</v>
      </c>
      <c r="QKW249" s="5">
        <f t="shared" si="184"/>
        <v>0</v>
      </c>
      <c r="QKX249" s="5">
        <f t="shared" si="184"/>
        <v>0</v>
      </c>
      <c r="QKY249" s="5">
        <f t="shared" si="184"/>
        <v>0</v>
      </c>
      <c r="QKZ249" s="5">
        <f t="shared" si="184"/>
        <v>0</v>
      </c>
      <c r="QLA249" s="5">
        <f t="shared" si="184"/>
        <v>0</v>
      </c>
      <c r="QLB249" s="5">
        <f t="shared" si="184"/>
        <v>0</v>
      </c>
      <c r="QLC249" s="5">
        <f t="shared" si="184"/>
        <v>0</v>
      </c>
      <c r="QLD249" s="5">
        <f t="shared" si="184"/>
        <v>0</v>
      </c>
      <c r="QLE249" s="5">
        <f t="shared" si="184"/>
        <v>0</v>
      </c>
      <c r="QLF249" s="5">
        <f t="shared" si="184"/>
        <v>0</v>
      </c>
      <c r="QLG249" s="5">
        <f t="shared" si="184"/>
        <v>0</v>
      </c>
      <c r="QLH249" s="5">
        <f t="shared" si="184"/>
        <v>0</v>
      </c>
      <c r="QLI249" s="5">
        <f t="shared" si="184"/>
        <v>0</v>
      </c>
      <c r="QLJ249" s="5">
        <f t="shared" si="184"/>
        <v>0</v>
      </c>
      <c r="QLK249" s="5">
        <f t="shared" si="184"/>
        <v>0</v>
      </c>
      <c r="QLL249" s="5">
        <f t="shared" si="184"/>
        <v>0</v>
      </c>
      <c r="QLM249" s="5">
        <f t="shared" si="184"/>
        <v>0</v>
      </c>
      <c r="QLN249" s="5">
        <f t="shared" si="184"/>
        <v>0</v>
      </c>
      <c r="QLO249" s="5">
        <f t="shared" si="184"/>
        <v>0</v>
      </c>
      <c r="QLP249" s="5">
        <f t="shared" si="184"/>
        <v>0</v>
      </c>
      <c r="QLQ249" s="5">
        <f t="shared" si="184"/>
        <v>0</v>
      </c>
      <c r="QLR249" s="5">
        <f t="shared" si="184"/>
        <v>0</v>
      </c>
      <c r="QLS249" s="5">
        <f t="shared" si="184"/>
        <v>0</v>
      </c>
      <c r="QLT249" s="5">
        <f t="shared" si="184"/>
        <v>0</v>
      </c>
      <c r="QLU249" s="5">
        <f t="shared" si="184"/>
        <v>0</v>
      </c>
      <c r="QLV249" s="5">
        <f t="shared" si="184"/>
        <v>0</v>
      </c>
      <c r="QLW249" s="5">
        <f t="shared" si="184"/>
        <v>0</v>
      </c>
      <c r="QLX249" s="5">
        <f t="shared" si="184"/>
        <v>0</v>
      </c>
      <c r="QLY249" s="5">
        <f t="shared" si="184"/>
        <v>0</v>
      </c>
      <c r="QLZ249" s="5">
        <f t="shared" si="184"/>
        <v>0</v>
      </c>
      <c r="QMA249" s="5">
        <f t="shared" si="184"/>
        <v>0</v>
      </c>
      <c r="QMB249" s="5">
        <f t="shared" si="184"/>
        <v>0</v>
      </c>
      <c r="QMC249" s="5">
        <f t="shared" si="184"/>
        <v>0</v>
      </c>
      <c r="QMD249" s="5">
        <f t="shared" si="184"/>
        <v>0</v>
      </c>
      <c r="QME249" s="5">
        <f t="shared" si="184"/>
        <v>0</v>
      </c>
      <c r="QMF249" s="5">
        <f t="shared" si="184"/>
        <v>0</v>
      </c>
      <c r="QMG249" s="5">
        <f t="shared" si="184"/>
        <v>0</v>
      </c>
      <c r="QMH249" s="5">
        <f t="shared" si="184"/>
        <v>0</v>
      </c>
      <c r="QMI249" s="5">
        <f t="shared" si="184"/>
        <v>0</v>
      </c>
      <c r="QMJ249" s="5">
        <f t="shared" si="184"/>
        <v>0</v>
      </c>
      <c r="QMK249" s="5">
        <f t="shared" si="184"/>
        <v>0</v>
      </c>
      <c r="QML249" s="5">
        <f t="shared" si="184"/>
        <v>0</v>
      </c>
      <c r="QMM249" s="5">
        <f t="shared" si="184"/>
        <v>0</v>
      </c>
      <c r="QMN249" s="5">
        <f t="shared" si="184"/>
        <v>0</v>
      </c>
      <c r="QMO249" s="5">
        <f t="shared" si="184"/>
        <v>0</v>
      </c>
      <c r="QMP249" s="5">
        <f t="shared" si="184"/>
        <v>0</v>
      </c>
      <c r="QMQ249" s="5">
        <f t="shared" si="184"/>
        <v>0</v>
      </c>
      <c r="QMR249" s="5">
        <f t="shared" si="184"/>
        <v>0</v>
      </c>
      <c r="QMS249" s="5">
        <f t="shared" si="184"/>
        <v>0</v>
      </c>
      <c r="QMT249" s="5">
        <f t="shared" si="184"/>
        <v>0</v>
      </c>
      <c r="QMU249" s="5">
        <f t="shared" si="184"/>
        <v>0</v>
      </c>
      <c r="QMV249" s="5">
        <f t="shared" si="184"/>
        <v>0</v>
      </c>
      <c r="QMW249" s="5">
        <f t="shared" si="184"/>
        <v>0</v>
      </c>
      <c r="QMX249" s="5">
        <f t="shared" si="184"/>
        <v>0</v>
      </c>
      <c r="QMY249" s="5">
        <f t="shared" si="184"/>
        <v>0</v>
      </c>
      <c r="QMZ249" s="5">
        <f t="shared" si="184"/>
        <v>0</v>
      </c>
      <c r="QNA249" s="5">
        <f t="shared" si="184"/>
        <v>0</v>
      </c>
      <c r="QNB249" s="5">
        <f t="shared" ref="QNB249:QPM249" si="185">SUM(QNB246:QNB246)</f>
        <v>0</v>
      </c>
      <c r="QNC249" s="5">
        <f t="shared" si="185"/>
        <v>0</v>
      </c>
      <c r="QND249" s="5">
        <f t="shared" si="185"/>
        <v>0</v>
      </c>
      <c r="QNE249" s="5">
        <f t="shared" si="185"/>
        <v>0</v>
      </c>
      <c r="QNF249" s="5">
        <f t="shared" si="185"/>
        <v>0</v>
      </c>
      <c r="QNG249" s="5">
        <f t="shared" si="185"/>
        <v>0</v>
      </c>
      <c r="QNH249" s="5">
        <f t="shared" si="185"/>
        <v>0</v>
      </c>
      <c r="QNI249" s="5">
        <f t="shared" si="185"/>
        <v>0</v>
      </c>
      <c r="QNJ249" s="5">
        <f t="shared" si="185"/>
        <v>0</v>
      </c>
      <c r="QNK249" s="5">
        <f t="shared" si="185"/>
        <v>0</v>
      </c>
      <c r="QNL249" s="5">
        <f t="shared" si="185"/>
        <v>0</v>
      </c>
      <c r="QNM249" s="5">
        <f t="shared" si="185"/>
        <v>0</v>
      </c>
      <c r="QNN249" s="5">
        <f t="shared" si="185"/>
        <v>0</v>
      </c>
      <c r="QNO249" s="5">
        <f t="shared" si="185"/>
        <v>0</v>
      </c>
      <c r="QNP249" s="5">
        <f t="shared" si="185"/>
        <v>0</v>
      </c>
      <c r="QNQ249" s="5">
        <f t="shared" si="185"/>
        <v>0</v>
      </c>
      <c r="QNR249" s="5">
        <f t="shared" si="185"/>
        <v>0</v>
      </c>
      <c r="QNS249" s="5">
        <f t="shared" si="185"/>
        <v>0</v>
      </c>
      <c r="QNT249" s="5">
        <f t="shared" si="185"/>
        <v>0</v>
      </c>
      <c r="QNU249" s="5">
        <f t="shared" si="185"/>
        <v>0</v>
      </c>
      <c r="QNV249" s="5">
        <f t="shared" si="185"/>
        <v>0</v>
      </c>
      <c r="QNW249" s="5">
        <f t="shared" si="185"/>
        <v>0</v>
      </c>
      <c r="QNX249" s="5">
        <f t="shared" si="185"/>
        <v>0</v>
      </c>
      <c r="QNY249" s="5">
        <f t="shared" si="185"/>
        <v>0</v>
      </c>
      <c r="QNZ249" s="5">
        <f t="shared" si="185"/>
        <v>0</v>
      </c>
      <c r="QOA249" s="5">
        <f t="shared" si="185"/>
        <v>0</v>
      </c>
      <c r="QOB249" s="5">
        <f t="shared" si="185"/>
        <v>0</v>
      </c>
      <c r="QOC249" s="5">
        <f t="shared" si="185"/>
        <v>0</v>
      </c>
      <c r="QOD249" s="5">
        <f t="shared" si="185"/>
        <v>0</v>
      </c>
      <c r="QOE249" s="5">
        <f t="shared" si="185"/>
        <v>0</v>
      </c>
      <c r="QOF249" s="5">
        <f t="shared" si="185"/>
        <v>0</v>
      </c>
      <c r="QOG249" s="5">
        <f t="shared" si="185"/>
        <v>0</v>
      </c>
      <c r="QOH249" s="5">
        <f t="shared" si="185"/>
        <v>0</v>
      </c>
      <c r="QOI249" s="5">
        <f t="shared" si="185"/>
        <v>0</v>
      </c>
      <c r="QOJ249" s="5">
        <f t="shared" si="185"/>
        <v>0</v>
      </c>
      <c r="QOK249" s="5">
        <f t="shared" si="185"/>
        <v>0</v>
      </c>
      <c r="QOL249" s="5">
        <f t="shared" si="185"/>
        <v>0</v>
      </c>
      <c r="QOM249" s="5">
        <f t="shared" si="185"/>
        <v>0</v>
      </c>
      <c r="QON249" s="5">
        <f t="shared" si="185"/>
        <v>0</v>
      </c>
      <c r="QOO249" s="5">
        <f t="shared" si="185"/>
        <v>0</v>
      </c>
      <c r="QOP249" s="5">
        <f t="shared" si="185"/>
        <v>0</v>
      </c>
      <c r="QOQ249" s="5">
        <f t="shared" si="185"/>
        <v>0</v>
      </c>
      <c r="QOR249" s="5">
        <f t="shared" si="185"/>
        <v>0</v>
      </c>
      <c r="QOS249" s="5">
        <f t="shared" si="185"/>
        <v>0</v>
      </c>
      <c r="QOT249" s="5">
        <f t="shared" si="185"/>
        <v>0</v>
      </c>
      <c r="QOU249" s="5">
        <f t="shared" si="185"/>
        <v>0</v>
      </c>
      <c r="QOV249" s="5">
        <f t="shared" si="185"/>
        <v>0</v>
      </c>
      <c r="QOW249" s="5">
        <f t="shared" si="185"/>
        <v>0</v>
      </c>
      <c r="QOX249" s="5">
        <f t="shared" si="185"/>
        <v>0</v>
      </c>
      <c r="QOY249" s="5">
        <f t="shared" si="185"/>
        <v>0</v>
      </c>
      <c r="QOZ249" s="5">
        <f t="shared" si="185"/>
        <v>0</v>
      </c>
      <c r="QPA249" s="5">
        <f t="shared" si="185"/>
        <v>0</v>
      </c>
      <c r="QPB249" s="5">
        <f t="shared" si="185"/>
        <v>0</v>
      </c>
      <c r="QPC249" s="5">
        <f t="shared" si="185"/>
        <v>0</v>
      </c>
      <c r="QPD249" s="5">
        <f t="shared" si="185"/>
        <v>0</v>
      </c>
      <c r="QPE249" s="5">
        <f t="shared" si="185"/>
        <v>0</v>
      </c>
      <c r="QPF249" s="5">
        <f t="shared" si="185"/>
        <v>0</v>
      </c>
      <c r="QPG249" s="5">
        <f t="shared" si="185"/>
        <v>0</v>
      </c>
      <c r="QPH249" s="5">
        <f t="shared" si="185"/>
        <v>0</v>
      </c>
      <c r="QPI249" s="5">
        <f t="shared" si="185"/>
        <v>0</v>
      </c>
      <c r="QPJ249" s="5">
        <f t="shared" si="185"/>
        <v>0</v>
      </c>
      <c r="QPK249" s="5">
        <f t="shared" si="185"/>
        <v>0</v>
      </c>
      <c r="QPL249" s="5">
        <f t="shared" si="185"/>
        <v>0</v>
      </c>
      <c r="QPM249" s="5">
        <f t="shared" si="185"/>
        <v>0</v>
      </c>
      <c r="QPN249" s="5">
        <f t="shared" ref="QPN249:QRY249" si="186">SUM(QPN246:QPN246)</f>
        <v>0</v>
      </c>
      <c r="QPO249" s="5">
        <f t="shared" si="186"/>
        <v>0</v>
      </c>
      <c r="QPP249" s="5">
        <f t="shared" si="186"/>
        <v>0</v>
      </c>
      <c r="QPQ249" s="5">
        <f t="shared" si="186"/>
        <v>0</v>
      </c>
      <c r="QPR249" s="5">
        <f t="shared" si="186"/>
        <v>0</v>
      </c>
      <c r="QPS249" s="5">
        <f t="shared" si="186"/>
        <v>0</v>
      </c>
      <c r="QPT249" s="5">
        <f t="shared" si="186"/>
        <v>0</v>
      </c>
      <c r="QPU249" s="5">
        <f t="shared" si="186"/>
        <v>0</v>
      </c>
      <c r="QPV249" s="5">
        <f t="shared" si="186"/>
        <v>0</v>
      </c>
      <c r="QPW249" s="5">
        <f t="shared" si="186"/>
        <v>0</v>
      </c>
      <c r="QPX249" s="5">
        <f t="shared" si="186"/>
        <v>0</v>
      </c>
      <c r="QPY249" s="5">
        <f t="shared" si="186"/>
        <v>0</v>
      </c>
      <c r="QPZ249" s="5">
        <f t="shared" si="186"/>
        <v>0</v>
      </c>
      <c r="QQA249" s="5">
        <f t="shared" si="186"/>
        <v>0</v>
      </c>
      <c r="QQB249" s="5">
        <f t="shared" si="186"/>
        <v>0</v>
      </c>
      <c r="QQC249" s="5">
        <f t="shared" si="186"/>
        <v>0</v>
      </c>
      <c r="QQD249" s="5">
        <f t="shared" si="186"/>
        <v>0</v>
      </c>
      <c r="QQE249" s="5">
        <f t="shared" si="186"/>
        <v>0</v>
      </c>
      <c r="QQF249" s="5">
        <f t="shared" si="186"/>
        <v>0</v>
      </c>
      <c r="QQG249" s="5">
        <f t="shared" si="186"/>
        <v>0</v>
      </c>
      <c r="QQH249" s="5">
        <f t="shared" si="186"/>
        <v>0</v>
      </c>
      <c r="QQI249" s="5">
        <f t="shared" si="186"/>
        <v>0</v>
      </c>
      <c r="QQJ249" s="5">
        <f t="shared" si="186"/>
        <v>0</v>
      </c>
      <c r="QQK249" s="5">
        <f t="shared" si="186"/>
        <v>0</v>
      </c>
      <c r="QQL249" s="5">
        <f t="shared" si="186"/>
        <v>0</v>
      </c>
      <c r="QQM249" s="5">
        <f t="shared" si="186"/>
        <v>0</v>
      </c>
      <c r="QQN249" s="5">
        <f t="shared" si="186"/>
        <v>0</v>
      </c>
      <c r="QQO249" s="5">
        <f t="shared" si="186"/>
        <v>0</v>
      </c>
      <c r="QQP249" s="5">
        <f t="shared" si="186"/>
        <v>0</v>
      </c>
      <c r="QQQ249" s="5">
        <f t="shared" si="186"/>
        <v>0</v>
      </c>
      <c r="QQR249" s="5">
        <f t="shared" si="186"/>
        <v>0</v>
      </c>
      <c r="QQS249" s="5">
        <f t="shared" si="186"/>
        <v>0</v>
      </c>
      <c r="QQT249" s="5">
        <f t="shared" si="186"/>
        <v>0</v>
      </c>
      <c r="QQU249" s="5">
        <f t="shared" si="186"/>
        <v>0</v>
      </c>
      <c r="QQV249" s="5">
        <f t="shared" si="186"/>
        <v>0</v>
      </c>
      <c r="QQW249" s="5">
        <f t="shared" si="186"/>
        <v>0</v>
      </c>
      <c r="QQX249" s="5">
        <f t="shared" si="186"/>
        <v>0</v>
      </c>
      <c r="QQY249" s="5">
        <f t="shared" si="186"/>
        <v>0</v>
      </c>
      <c r="QQZ249" s="5">
        <f t="shared" si="186"/>
        <v>0</v>
      </c>
      <c r="QRA249" s="5">
        <f t="shared" si="186"/>
        <v>0</v>
      </c>
      <c r="QRB249" s="5">
        <f t="shared" si="186"/>
        <v>0</v>
      </c>
      <c r="QRC249" s="5">
        <f t="shared" si="186"/>
        <v>0</v>
      </c>
      <c r="QRD249" s="5">
        <f t="shared" si="186"/>
        <v>0</v>
      </c>
      <c r="QRE249" s="5">
        <f t="shared" si="186"/>
        <v>0</v>
      </c>
      <c r="QRF249" s="5">
        <f t="shared" si="186"/>
        <v>0</v>
      </c>
      <c r="QRG249" s="5">
        <f t="shared" si="186"/>
        <v>0</v>
      </c>
      <c r="QRH249" s="5">
        <f t="shared" si="186"/>
        <v>0</v>
      </c>
      <c r="QRI249" s="5">
        <f t="shared" si="186"/>
        <v>0</v>
      </c>
      <c r="QRJ249" s="5">
        <f t="shared" si="186"/>
        <v>0</v>
      </c>
      <c r="QRK249" s="5">
        <f t="shared" si="186"/>
        <v>0</v>
      </c>
      <c r="QRL249" s="5">
        <f t="shared" si="186"/>
        <v>0</v>
      </c>
      <c r="QRM249" s="5">
        <f t="shared" si="186"/>
        <v>0</v>
      </c>
      <c r="QRN249" s="5">
        <f t="shared" si="186"/>
        <v>0</v>
      </c>
      <c r="QRO249" s="5">
        <f t="shared" si="186"/>
        <v>0</v>
      </c>
      <c r="QRP249" s="5">
        <f t="shared" si="186"/>
        <v>0</v>
      </c>
      <c r="QRQ249" s="5">
        <f t="shared" si="186"/>
        <v>0</v>
      </c>
      <c r="QRR249" s="5">
        <f t="shared" si="186"/>
        <v>0</v>
      </c>
      <c r="QRS249" s="5">
        <f t="shared" si="186"/>
        <v>0</v>
      </c>
      <c r="QRT249" s="5">
        <f t="shared" si="186"/>
        <v>0</v>
      </c>
      <c r="QRU249" s="5">
        <f t="shared" si="186"/>
        <v>0</v>
      </c>
      <c r="QRV249" s="5">
        <f t="shared" si="186"/>
        <v>0</v>
      </c>
      <c r="QRW249" s="5">
        <f t="shared" si="186"/>
        <v>0</v>
      </c>
      <c r="QRX249" s="5">
        <f t="shared" si="186"/>
        <v>0</v>
      </c>
      <c r="QRY249" s="5">
        <f t="shared" si="186"/>
        <v>0</v>
      </c>
      <c r="QRZ249" s="5">
        <f t="shared" ref="QRZ249:QUK249" si="187">SUM(QRZ246:QRZ246)</f>
        <v>0</v>
      </c>
      <c r="QSA249" s="5">
        <f t="shared" si="187"/>
        <v>0</v>
      </c>
      <c r="QSB249" s="5">
        <f t="shared" si="187"/>
        <v>0</v>
      </c>
      <c r="QSC249" s="5">
        <f t="shared" si="187"/>
        <v>0</v>
      </c>
      <c r="QSD249" s="5">
        <f t="shared" si="187"/>
        <v>0</v>
      </c>
      <c r="QSE249" s="5">
        <f t="shared" si="187"/>
        <v>0</v>
      </c>
      <c r="QSF249" s="5">
        <f t="shared" si="187"/>
        <v>0</v>
      </c>
      <c r="QSG249" s="5">
        <f t="shared" si="187"/>
        <v>0</v>
      </c>
      <c r="QSH249" s="5">
        <f t="shared" si="187"/>
        <v>0</v>
      </c>
      <c r="QSI249" s="5">
        <f t="shared" si="187"/>
        <v>0</v>
      </c>
      <c r="QSJ249" s="5">
        <f t="shared" si="187"/>
        <v>0</v>
      </c>
      <c r="QSK249" s="5">
        <f t="shared" si="187"/>
        <v>0</v>
      </c>
      <c r="QSL249" s="5">
        <f t="shared" si="187"/>
        <v>0</v>
      </c>
      <c r="QSM249" s="5">
        <f t="shared" si="187"/>
        <v>0</v>
      </c>
      <c r="QSN249" s="5">
        <f t="shared" si="187"/>
        <v>0</v>
      </c>
      <c r="QSO249" s="5">
        <f t="shared" si="187"/>
        <v>0</v>
      </c>
      <c r="QSP249" s="5">
        <f t="shared" si="187"/>
        <v>0</v>
      </c>
      <c r="QSQ249" s="5">
        <f t="shared" si="187"/>
        <v>0</v>
      </c>
      <c r="QSR249" s="5">
        <f t="shared" si="187"/>
        <v>0</v>
      </c>
      <c r="QSS249" s="5">
        <f t="shared" si="187"/>
        <v>0</v>
      </c>
      <c r="QST249" s="5">
        <f t="shared" si="187"/>
        <v>0</v>
      </c>
      <c r="QSU249" s="5">
        <f t="shared" si="187"/>
        <v>0</v>
      </c>
      <c r="QSV249" s="5">
        <f t="shared" si="187"/>
        <v>0</v>
      </c>
      <c r="QSW249" s="5">
        <f t="shared" si="187"/>
        <v>0</v>
      </c>
      <c r="QSX249" s="5">
        <f t="shared" si="187"/>
        <v>0</v>
      </c>
      <c r="QSY249" s="5">
        <f t="shared" si="187"/>
        <v>0</v>
      </c>
      <c r="QSZ249" s="5">
        <f t="shared" si="187"/>
        <v>0</v>
      </c>
      <c r="QTA249" s="5">
        <f t="shared" si="187"/>
        <v>0</v>
      </c>
      <c r="QTB249" s="5">
        <f t="shared" si="187"/>
        <v>0</v>
      </c>
      <c r="QTC249" s="5">
        <f t="shared" si="187"/>
        <v>0</v>
      </c>
      <c r="QTD249" s="5">
        <f t="shared" si="187"/>
        <v>0</v>
      </c>
      <c r="QTE249" s="5">
        <f t="shared" si="187"/>
        <v>0</v>
      </c>
      <c r="QTF249" s="5">
        <f t="shared" si="187"/>
        <v>0</v>
      </c>
      <c r="QTG249" s="5">
        <f t="shared" si="187"/>
        <v>0</v>
      </c>
      <c r="QTH249" s="5">
        <f t="shared" si="187"/>
        <v>0</v>
      </c>
      <c r="QTI249" s="5">
        <f t="shared" si="187"/>
        <v>0</v>
      </c>
      <c r="QTJ249" s="5">
        <f t="shared" si="187"/>
        <v>0</v>
      </c>
      <c r="QTK249" s="5">
        <f t="shared" si="187"/>
        <v>0</v>
      </c>
      <c r="QTL249" s="5">
        <f t="shared" si="187"/>
        <v>0</v>
      </c>
      <c r="QTM249" s="5">
        <f t="shared" si="187"/>
        <v>0</v>
      </c>
      <c r="QTN249" s="5">
        <f t="shared" si="187"/>
        <v>0</v>
      </c>
      <c r="QTO249" s="5">
        <f t="shared" si="187"/>
        <v>0</v>
      </c>
      <c r="QTP249" s="5">
        <f t="shared" si="187"/>
        <v>0</v>
      </c>
      <c r="QTQ249" s="5">
        <f t="shared" si="187"/>
        <v>0</v>
      </c>
      <c r="QTR249" s="5">
        <f t="shared" si="187"/>
        <v>0</v>
      </c>
      <c r="QTS249" s="5">
        <f t="shared" si="187"/>
        <v>0</v>
      </c>
      <c r="QTT249" s="5">
        <f t="shared" si="187"/>
        <v>0</v>
      </c>
      <c r="QTU249" s="5">
        <f t="shared" si="187"/>
        <v>0</v>
      </c>
      <c r="QTV249" s="5">
        <f t="shared" si="187"/>
        <v>0</v>
      </c>
      <c r="QTW249" s="5">
        <f t="shared" si="187"/>
        <v>0</v>
      </c>
      <c r="QTX249" s="5">
        <f t="shared" si="187"/>
        <v>0</v>
      </c>
      <c r="QTY249" s="5">
        <f t="shared" si="187"/>
        <v>0</v>
      </c>
      <c r="QTZ249" s="5">
        <f t="shared" si="187"/>
        <v>0</v>
      </c>
      <c r="QUA249" s="5">
        <f t="shared" si="187"/>
        <v>0</v>
      </c>
      <c r="QUB249" s="5">
        <f t="shared" si="187"/>
        <v>0</v>
      </c>
      <c r="QUC249" s="5">
        <f t="shared" si="187"/>
        <v>0</v>
      </c>
      <c r="QUD249" s="5">
        <f t="shared" si="187"/>
        <v>0</v>
      </c>
      <c r="QUE249" s="5">
        <f t="shared" si="187"/>
        <v>0</v>
      </c>
      <c r="QUF249" s="5">
        <f t="shared" si="187"/>
        <v>0</v>
      </c>
      <c r="QUG249" s="5">
        <f t="shared" si="187"/>
        <v>0</v>
      </c>
      <c r="QUH249" s="5">
        <f t="shared" si="187"/>
        <v>0</v>
      </c>
      <c r="QUI249" s="5">
        <f t="shared" si="187"/>
        <v>0</v>
      </c>
      <c r="QUJ249" s="5">
        <f t="shared" si="187"/>
        <v>0</v>
      </c>
      <c r="QUK249" s="5">
        <f t="shared" si="187"/>
        <v>0</v>
      </c>
      <c r="QUL249" s="5">
        <f t="shared" ref="QUL249:QWW249" si="188">SUM(QUL246:QUL246)</f>
        <v>0</v>
      </c>
      <c r="QUM249" s="5">
        <f t="shared" si="188"/>
        <v>0</v>
      </c>
      <c r="QUN249" s="5">
        <f t="shared" si="188"/>
        <v>0</v>
      </c>
      <c r="QUO249" s="5">
        <f t="shared" si="188"/>
        <v>0</v>
      </c>
      <c r="QUP249" s="5">
        <f t="shared" si="188"/>
        <v>0</v>
      </c>
      <c r="QUQ249" s="5">
        <f t="shared" si="188"/>
        <v>0</v>
      </c>
      <c r="QUR249" s="5">
        <f t="shared" si="188"/>
        <v>0</v>
      </c>
      <c r="QUS249" s="5">
        <f t="shared" si="188"/>
        <v>0</v>
      </c>
      <c r="QUT249" s="5">
        <f t="shared" si="188"/>
        <v>0</v>
      </c>
      <c r="QUU249" s="5">
        <f t="shared" si="188"/>
        <v>0</v>
      </c>
      <c r="QUV249" s="5">
        <f t="shared" si="188"/>
        <v>0</v>
      </c>
      <c r="QUW249" s="5">
        <f t="shared" si="188"/>
        <v>0</v>
      </c>
      <c r="QUX249" s="5">
        <f t="shared" si="188"/>
        <v>0</v>
      </c>
      <c r="QUY249" s="5">
        <f t="shared" si="188"/>
        <v>0</v>
      </c>
      <c r="QUZ249" s="5">
        <f t="shared" si="188"/>
        <v>0</v>
      </c>
      <c r="QVA249" s="5">
        <f t="shared" si="188"/>
        <v>0</v>
      </c>
      <c r="QVB249" s="5">
        <f t="shared" si="188"/>
        <v>0</v>
      </c>
      <c r="QVC249" s="5">
        <f t="shared" si="188"/>
        <v>0</v>
      </c>
      <c r="QVD249" s="5">
        <f t="shared" si="188"/>
        <v>0</v>
      </c>
      <c r="QVE249" s="5">
        <f t="shared" si="188"/>
        <v>0</v>
      </c>
      <c r="QVF249" s="5">
        <f t="shared" si="188"/>
        <v>0</v>
      </c>
      <c r="QVG249" s="5">
        <f t="shared" si="188"/>
        <v>0</v>
      </c>
      <c r="QVH249" s="5">
        <f t="shared" si="188"/>
        <v>0</v>
      </c>
      <c r="QVI249" s="5">
        <f t="shared" si="188"/>
        <v>0</v>
      </c>
      <c r="QVJ249" s="5">
        <f t="shared" si="188"/>
        <v>0</v>
      </c>
      <c r="QVK249" s="5">
        <f t="shared" si="188"/>
        <v>0</v>
      </c>
      <c r="QVL249" s="5">
        <f t="shared" si="188"/>
        <v>0</v>
      </c>
      <c r="QVM249" s="5">
        <f t="shared" si="188"/>
        <v>0</v>
      </c>
      <c r="QVN249" s="5">
        <f t="shared" si="188"/>
        <v>0</v>
      </c>
      <c r="QVO249" s="5">
        <f t="shared" si="188"/>
        <v>0</v>
      </c>
      <c r="QVP249" s="5">
        <f t="shared" si="188"/>
        <v>0</v>
      </c>
      <c r="QVQ249" s="5">
        <f t="shared" si="188"/>
        <v>0</v>
      </c>
      <c r="QVR249" s="5">
        <f t="shared" si="188"/>
        <v>0</v>
      </c>
      <c r="QVS249" s="5">
        <f t="shared" si="188"/>
        <v>0</v>
      </c>
      <c r="QVT249" s="5">
        <f t="shared" si="188"/>
        <v>0</v>
      </c>
      <c r="QVU249" s="5">
        <f t="shared" si="188"/>
        <v>0</v>
      </c>
      <c r="QVV249" s="5">
        <f t="shared" si="188"/>
        <v>0</v>
      </c>
      <c r="QVW249" s="5">
        <f t="shared" si="188"/>
        <v>0</v>
      </c>
      <c r="QVX249" s="5">
        <f t="shared" si="188"/>
        <v>0</v>
      </c>
      <c r="QVY249" s="5">
        <f t="shared" si="188"/>
        <v>0</v>
      </c>
      <c r="QVZ249" s="5">
        <f t="shared" si="188"/>
        <v>0</v>
      </c>
      <c r="QWA249" s="5">
        <f t="shared" si="188"/>
        <v>0</v>
      </c>
      <c r="QWB249" s="5">
        <f t="shared" si="188"/>
        <v>0</v>
      </c>
      <c r="QWC249" s="5">
        <f t="shared" si="188"/>
        <v>0</v>
      </c>
      <c r="QWD249" s="5">
        <f t="shared" si="188"/>
        <v>0</v>
      </c>
      <c r="QWE249" s="5">
        <f t="shared" si="188"/>
        <v>0</v>
      </c>
      <c r="QWF249" s="5">
        <f t="shared" si="188"/>
        <v>0</v>
      </c>
      <c r="QWG249" s="5">
        <f t="shared" si="188"/>
        <v>0</v>
      </c>
      <c r="QWH249" s="5">
        <f t="shared" si="188"/>
        <v>0</v>
      </c>
      <c r="QWI249" s="5">
        <f t="shared" si="188"/>
        <v>0</v>
      </c>
      <c r="QWJ249" s="5">
        <f t="shared" si="188"/>
        <v>0</v>
      </c>
      <c r="QWK249" s="5">
        <f t="shared" si="188"/>
        <v>0</v>
      </c>
      <c r="QWL249" s="5">
        <f t="shared" si="188"/>
        <v>0</v>
      </c>
      <c r="QWM249" s="5">
        <f t="shared" si="188"/>
        <v>0</v>
      </c>
      <c r="QWN249" s="5">
        <f t="shared" si="188"/>
        <v>0</v>
      </c>
      <c r="QWO249" s="5">
        <f t="shared" si="188"/>
        <v>0</v>
      </c>
      <c r="QWP249" s="5">
        <f t="shared" si="188"/>
        <v>0</v>
      </c>
      <c r="QWQ249" s="5">
        <f t="shared" si="188"/>
        <v>0</v>
      </c>
      <c r="QWR249" s="5">
        <f t="shared" si="188"/>
        <v>0</v>
      </c>
      <c r="QWS249" s="5">
        <f t="shared" si="188"/>
        <v>0</v>
      </c>
      <c r="QWT249" s="5">
        <f t="shared" si="188"/>
        <v>0</v>
      </c>
      <c r="QWU249" s="5">
        <f t="shared" si="188"/>
        <v>0</v>
      </c>
      <c r="QWV249" s="5">
        <f t="shared" si="188"/>
        <v>0</v>
      </c>
      <c r="QWW249" s="5">
        <f t="shared" si="188"/>
        <v>0</v>
      </c>
      <c r="QWX249" s="5">
        <f t="shared" ref="QWX249:QZI249" si="189">SUM(QWX246:QWX246)</f>
        <v>0</v>
      </c>
      <c r="QWY249" s="5">
        <f t="shared" si="189"/>
        <v>0</v>
      </c>
      <c r="QWZ249" s="5">
        <f t="shared" si="189"/>
        <v>0</v>
      </c>
      <c r="QXA249" s="5">
        <f t="shared" si="189"/>
        <v>0</v>
      </c>
      <c r="QXB249" s="5">
        <f t="shared" si="189"/>
        <v>0</v>
      </c>
      <c r="QXC249" s="5">
        <f t="shared" si="189"/>
        <v>0</v>
      </c>
      <c r="QXD249" s="5">
        <f t="shared" si="189"/>
        <v>0</v>
      </c>
      <c r="QXE249" s="5">
        <f t="shared" si="189"/>
        <v>0</v>
      </c>
      <c r="QXF249" s="5">
        <f t="shared" si="189"/>
        <v>0</v>
      </c>
      <c r="QXG249" s="5">
        <f t="shared" si="189"/>
        <v>0</v>
      </c>
      <c r="QXH249" s="5">
        <f t="shared" si="189"/>
        <v>0</v>
      </c>
      <c r="QXI249" s="5">
        <f t="shared" si="189"/>
        <v>0</v>
      </c>
      <c r="QXJ249" s="5">
        <f t="shared" si="189"/>
        <v>0</v>
      </c>
      <c r="QXK249" s="5">
        <f t="shared" si="189"/>
        <v>0</v>
      </c>
      <c r="QXL249" s="5">
        <f t="shared" si="189"/>
        <v>0</v>
      </c>
      <c r="QXM249" s="5">
        <f t="shared" si="189"/>
        <v>0</v>
      </c>
      <c r="QXN249" s="5">
        <f t="shared" si="189"/>
        <v>0</v>
      </c>
      <c r="QXO249" s="5">
        <f t="shared" si="189"/>
        <v>0</v>
      </c>
      <c r="QXP249" s="5">
        <f t="shared" si="189"/>
        <v>0</v>
      </c>
      <c r="QXQ249" s="5">
        <f t="shared" si="189"/>
        <v>0</v>
      </c>
      <c r="QXR249" s="5">
        <f t="shared" si="189"/>
        <v>0</v>
      </c>
      <c r="QXS249" s="5">
        <f t="shared" si="189"/>
        <v>0</v>
      </c>
      <c r="QXT249" s="5">
        <f t="shared" si="189"/>
        <v>0</v>
      </c>
      <c r="QXU249" s="5">
        <f t="shared" si="189"/>
        <v>0</v>
      </c>
      <c r="QXV249" s="5">
        <f t="shared" si="189"/>
        <v>0</v>
      </c>
      <c r="QXW249" s="5">
        <f t="shared" si="189"/>
        <v>0</v>
      </c>
      <c r="QXX249" s="5">
        <f t="shared" si="189"/>
        <v>0</v>
      </c>
      <c r="QXY249" s="5">
        <f t="shared" si="189"/>
        <v>0</v>
      </c>
      <c r="QXZ249" s="5">
        <f t="shared" si="189"/>
        <v>0</v>
      </c>
      <c r="QYA249" s="5">
        <f t="shared" si="189"/>
        <v>0</v>
      </c>
      <c r="QYB249" s="5">
        <f t="shared" si="189"/>
        <v>0</v>
      </c>
      <c r="QYC249" s="5">
        <f t="shared" si="189"/>
        <v>0</v>
      </c>
      <c r="QYD249" s="5">
        <f t="shared" si="189"/>
        <v>0</v>
      </c>
      <c r="QYE249" s="5">
        <f t="shared" si="189"/>
        <v>0</v>
      </c>
      <c r="QYF249" s="5">
        <f t="shared" si="189"/>
        <v>0</v>
      </c>
      <c r="QYG249" s="5">
        <f t="shared" si="189"/>
        <v>0</v>
      </c>
      <c r="QYH249" s="5">
        <f t="shared" si="189"/>
        <v>0</v>
      </c>
      <c r="QYI249" s="5">
        <f t="shared" si="189"/>
        <v>0</v>
      </c>
      <c r="QYJ249" s="5">
        <f t="shared" si="189"/>
        <v>0</v>
      </c>
      <c r="QYK249" s="5">
        <f t="shared" si="189"/>
        <v>0</v>
      </c>
      <c r="QYL249" s="5">
        <f t="shared" si="189"/>
        <v>0</v>
      </c>
      <c r="QYM249" s="5">
        <f t="shared" si="189"/>
        <v>0</v>
      </c>
      <c r="QYN249" s="5">
        <f t="shared" si="189"/>
        <v>0</v>
      </c>
      <c r="QYO249" s="5">
        <f t="shared" si="189"/>
        <v>0</v>
      </c>
      <c r="QYP249" s="5">
        <f t="shared" si="189"/>
        <v>0</v>
      </c>
      <c r="QYQ249" s="5">
        <f t="shared" si="189"/>
        <v>0</v>
      </c>
      <c r="QYR249" s="5">
        <f t="shared" si="189"/>
        <v>0</v>
      </c>
      <c r="QYS249" s="5">
        <f t="shared" si="189"/>
        <v>0</v>
      </c>
      <c r="QYT249" s="5">
        <f t="shared" si="189"/>
        <v>0</v>
      </c>
      <c r="QYU249" s="5">
        <f t="shared" si="189"/>
        <v>0</v>
      </c>
      <c r="QYV249" s="5">
        <f t="shared" si="189"/>
        <v>0</v>
      </c>
      <c r="QYW249" s="5">
        <f t="shared" si="189"/>
        <v>0</v>
      </c>
      <c r="QYX249" s="5">
        <f t="shared" si="189"/>
        <v>0</v>
      </c>
      <c r="QYY249" s="5">
        <f t="shared" si="189"/>
        <v>0</v>
      </c>
      <c r="QYZ249" s="5">
        <f t="shared" si="189"/>
        <v>0</v>
      </c>
      <c r="QZA249" s="5">
        <f t="shared" si="189"/>
        <v>0</v>
      </c>
      <c r="QZB249" s="5">
        <f t="shared" si="189"/>
        <v>0</v>
      </c>
      <c r="QZC249" s="5">
        <f t="shared" si="189"/>
        <v>0</v>
      </c>
      <c r="QZD249" s="5">
        <f t="shared" si="189"/>
        <v>0</v>
      </c>
      <c r="QZE249" s="5">
        <f t="shared" si="189"/>
        <v>0</v>
      </c>
      <c r="QZF249" s="5">
        <f t="shared" si="189"/>
        <v>0</v>
      </c>
      <c r="QZG249" s="5">
        <f t="shared" si="189"/>
        <v>0</v>
      </c>
      <c r="QZH249" s="5">
        <f t="shared" si="189"/>
        <v>0</v>
      </c>
      <c r="QZI249" s="5">
        <f t="shared" si="189"/>
        <v>0</v>
      </c>
      <c r="QZJ249" s="5">
        <f t="shared" ref="QZJ249:RBU249" si="190">SUM(QZJ246:QZJ246)</f>
        <v>0</v>
      </c>
      <c r="QZK249" s="5">
        <f t="shared" si="190"/>
        <v>0</v>
      </c>
      <c r="QZL249" s="5">
        <f t="shared" si="190"/>
        <v>0</v>
      </c>
      <c r="QZM249" s="5">
        <f t="shared" si="190"/>
        <v>0</v>
      </c>
      <c r="QZN249" s="5">
        <f t="shared" si="190"/>
        <v>0</v>
      </c>
      <c r="QZO249" s="5">
        <f t="shared" si="190"/>
        <v>0</v>
      </c>
      <c r="QZP249" s="5">
        <f t="shared" si="190"/>
        <v>0</v>
      </c>
      <c r="QZQ249" s="5">
        <f t="shared" si="190"/>
        <v>0</v>
      </c>
      <c r="QZR249" s="5">
        <f t="shared" si="190"/>
        <v>0</v>
      </c>
      <c r="QZS249" s="5">
        <f t="shared" si="190"/>
        <v>0</v>
      </c>
      <c r="QZT249" s="5">
        <f t="shared" si="190"/>
        <v>0</v>
      </c>
      <c r="QZU249" s="5">
        <f t="shared" si="190"/>
        <v>0</v>
      </c>
      <c r="QZV249" s="5">
        <f t="shared" si="190"/>
        <v>0</v>
      </c>
      <c r="QZW249" s="5">
        <f t="shared" si="190"/>
        <v>0</v>
      </c>
      <c r="QZX249" s="5">
        <f t="shared" si="190"/>
        <v>0</v>
      </c>
      <c r="QZY249" s="5">
        <f t="shared" si="190"/>
        <v>0</v>
      </c>
      <c r="QZZ249" s="5">
        <f t="shared" si="190"/>
        <v>0</v>
      </c>
      <c r="RAA249" s="5">
        <f t="shared" si="190"/>
        <v>0</v>
      </c>
      <c r="RAB249" s="5">
        <f t="shared" si="190"/>
        <v>0</v>
      </c>
      <c r="RAC249" s="5">
        <f t="shared" si="190"/>
        <v>0</v>
      </c>
      <c r="RAD249" s="5">
        <f t="shared" si="190"/>
        <v>0</v>
      </c>
      <c r="RAE249" s="5">
        <f t="shared" si="190"/>
        <v>0</v>
      </c>
      <c r="RAF249" s="5">
        <f t="shared" si="190"/>
        <v>0</v>
      </c>
      <c r="RAG249" s="5">
        <f t="shared" si="190"/>
        <v>0</v>
      </c>
      <c r="RAH249" s="5">
        <f t="shared" si="190"/>
        <v>0</v>
      </c>
      <c r="RAI249" s="5">
        <f t="shared" si="190"/>
        <v>0</v>
      </c>
      <c r="RAJ249" s="5">
        <f t="shared" si="190"/>
        <v>0</v>
      </c>
      <c r="RAK249" s="5">
        <f t="shared" si="190"/>
        <v>0</v>
      </c>
      <c r="RAL249" s="5">
        <f t="shared" si="190"/>
        <v>0</v>
      </c>
      <c r="RAM249" s="5">
        <f t="shared" si="190"/>
        <v>0</v>
      </c>
      <c r="RAN249" s="5">
        <f t="shared" si="190"/>
        <v>0</v>
      </c>
      <c r="RAO249" s="5">
        <f t="shared" si="190"/>
        <v>0</v>
      </c>
      <c r="RAP249" s="5">
        <f t="shared" si="190"/>
        <v>0</v>
      </c>
      <c r="RAQ249" s="5">
        <f t="shared" si="190"/>
        <v>0</v>
      </c>
      <c r="RAR249" s="5">
        <f t="shared" si="190"/>
        <v>0</v>
      </c>
      <c r="RAS249" s="5">
        <f t="shared" si="190"/>
        <v>0</v>
      </c>
      <c r="RAT249" s="5">
        <f t="shared" si="190"/>
        <v>0</v>
      </c>
      <c r="RAU249" s="5">
        <f t="shared" si="190"/>
        <v>0</v>
      </c>
      <c r="RAV249" s="5">
        <f t="shared" si="190"/>
        <v>0</v>
      </c>
      <c r="RAW249" s="5">
        <f t="shared" si="190"/>
        <v>0</v>
      </c>
      <c r="RAX249" s="5">
        <f t="shared" si="190"/>
        <v>0</v>
      </c>
      <c r="RAY249" s="5">
        <f t="shared" si="190"/>
        <v>0</v>
      </c>
      <c r="RAZ249" s="5">
        <f t="shared" si="190"/>
        <v>0</v>
      </c>
      <c r="RBA249" s="5">
        <f t="shared" si="190"/>
        <v>0</v>
      </c>
      <c r="RBB249" s="5">
        <f t="shared" si="190"/>
        <v>0</v>
      </c>
      <c r="RBC249" s="5">
        <f t="shared" si="190"/>
        <v>0</v>
      </c>
      <c r="RBD249" s="5">
        <f t="shared" si="190"/>
        <v>0</v>
      </c>
      <c r="RBE249" s="5">
        <f t="shared" si="190"/>
        <v>0</v>
      </c>
      <c r="RBF249" s="5">
        <f t="shared" si="190"/>
        <v>0</v>
      </c>
      <c r="RBG249" s="5">
        <f t="shared" si="190"/>
        <v>0</v>
      </c>
      <c r="RBH249" s="5">
        <f t="shared" si="190"/>
        <v>0</v>
      </c>
      <c r="RBI249" s="5">
        <f t="shared" si="190"/>
        <v>0</v>
      </c>
      <c r="RBJ249" s="5">
        <f t="shared" si="190"/>
        <v>0</v>
      </c>
      <c r="RBK249" s="5">
        <f t="shared" si="190"/>
        <v>0</v>
      </c>
      <c r="RBL249" s="5">
        <f t="shared" si="190"/>
        <v>0</v>
      </c>
      <c r="RBM249" s="5">
        <f t="shared" si="190"/>
        <v>0</v>
      </c>
      <c r="RBN249" s="5">
        <f t="shared" si="190"/>
        <v>0</v>
      </c>
      <c r="RBO249" s="5">
        <f t="shared" si="190"/>
        <v>0</v>
      </c>
      <c r="RBP249" s="5">
        <f t="shared" si="190"/>
        <v>0</v>
      </c>
      <c r="RBQ249" s="5">
        <f t="shared" si="190"/>
        <v>0</v>
      </c>
      <c r="RBR249" s="5">
        <f t="shared" si="190"/>
        <v>0</v>
      </c>
      <c r="RBS249" s="5">
        <f t="shared" si="190"/>
        <v>0</v>
      </c>
      <c r="RBT249" s="5">
        <f t="shared" si="190"/>
        <v>0</v>
      </c>
      <c r="RBU249" s="5">
        <f t="shared" si="190"/>
        <v>0</v>
      </c>
      <c r="RBV249" s="5">
        <f t="shared" ref="RBV249:REG249" si="191">SUM(RBV246:RBV246)</f>
        <v>0</v>
      </c>
      <c r="RBW249" s="5">
        <f t="shared" si="191"/>
        <v>0</v>
      </c>
      <c r="RBX249" s="5">
        <f t="shared" si="191"/>
        <v>0</v>
      </c>
      <c r="RBY249" s="5">
        <f t="shared" si="191"/>
        <v>0</v>
      </c>
      <c r="RBZ249" s="5">
        <f t="shared" si="191"/>
        <v>0</v>
      </c>
      <c r="RCA249" s="5">
        <f t="shared" si="191"/>
        <v>0</v>
      </c>
      <c r="RCB249" s="5">
        <f t="shared" si="191"/>
        <v>0</v>
      </c>
      <c r="RCC249" s="5">
        <f t="shared" si="191"/>
        <v>0</v>
      </c>
      <c r="RCD249" s="5">
        <f t="shared" si="191"/>
        <v>0</v>
      </c>
      <c r="RCE249" s="5">
        <f t="shared" si="191"/>
        <v>0</v>
      </c>
      <c r="RCF249" s="5">
        <f t="shared" si="191"/>
        <v>0</v>
      </c>
      <c r="RCG249" s="5">
        <f t="shared" si="191"/>
        <v>0</v>
      </c>
      <c r="RCH249" s="5">
        <f t="shared" si="191"/>
        <v>0</v>
      </c>
      <c r="RCI249" s="5">
        <f t="shared" si="191"/>
        <v>0</v>
      </c>
      <c r="RCJ249" s="5">
        <f t="shared" si="191"/>
        <v>0</v>
      </c>
      <c r="RCK249" s="5">
        <f t="shared" si="191"/>
        <v>0</v>
      </c>
      <c r="RCL249" s="5">
        <f t="shared" si="191"/>
        <v>0</v>
      </c>
      <c r="RCM249" s="5">
        <f t="shared" si="191"/>
        <v>0</v>
      </c>
      <c r="RCN249" s="5">
        <f t="shared" si="191"/>
        <v>0</v>
      </c>
      <c r="RCO249" s="5">
        <f t="shared" si="191"/>
        <v>0</v>
      </c>
      <c r="RCP249" s="5">
        <f t="shared" si="191"/>
        <v>0</v>
      </c>
      <c r="RCQ249" s="5">
        <f t="shared" si="191"/>
        <v>0</v>
      </c>
      <c r="RCR249" s="5">
        <f t="shared" si="191"/>
        <v>0</v>
      </c>
      <c r="RCS249" s="5">
        <f t="shared" si="191"/>
        <v>0</v>
      </c>
      <c r="RCT249" s="5">
        <f t="shared" si="191"/>
        <v>0</v>
      </c>
      <c r="RCU249" s="5">
        <f t="shared" si="191"/>
        <v>0</v>
      </c>
      <c r="RCV249" s="5">
        <f t="shared" si="191"/>
        <v>0</v>
      </c>
      <c r="RCW249" s="5">
        <f t="shared" si="191"/>
        <v>0</v>
      </c>
      <c r="RCX249" s="5">
        <f t="shared" si="191"/>
        <v>0</v>
      </c>
      <c r="RCY249" s="5">
        <f t="shared" si="191"/>
        <v>0</v>
      </c>
      <c r="RCZ249" s="5">
        <f t="shared" si="191"/>
        <v>0</v>
      </c>
      <c r="RDA249" s="5">
        <f t="shared" si="191"/>
        <v>0</v>
      </c>
      <c r="RDB249" s="5">
        <f t="shared" si="191"/>
        <v>0</v>
      </c>
      <c r="RDC249" s="5">
        <f t="shared" si="191"/>
        <v>0</v>
      </c>
      <c r="RDD249" s="5">
        <f t="shared" si="191"/>
        <v>0</v>
      </c>
      <c r="RDE249" s="5">
        <f t="shared" si="191"/>
        <v>0</v>
      </c>
      <c r="RDF249" s="5">
        <f t="shared" si="191"/>
        <v>0</v>
      </c>
      <c r="RDG249" s="5">
        <f t="shared" si="191"/>
        <v>0</v>
      </c>
      <c r="RDH249" s="5">
        <f t="shared" si="191"/>
        <v>0</v>
      </c>
      <c r="RDI249" s="5">
        <f t="shared" si="191"/>
        <v>0</v>
      </c>
      <c r="RDJ249" s="5">
        <f t="shared" si="191"/>
        <v>0</v>
      </c>
      <c r="RDK249" s="5">
        <f t="shared" si="191"/>
        <v>0</v>
      </c>
      <c r="RDL249" s="5">
        <f t="shared" si="191"/>
        <v>0</v>
      </c>
      <c r="RDM249" s="5">
        <f t="shared" si="191"/>
        <v>0</v>
      </c>
      <c r="RDN249" s="5">
        <f t="shared" si="191"/>
        <v>0</v>
      </c>
      <c r="RDO249" s="5">
        <f t="shared" si="191"/>
        <v>0</v>
      </c>
      <c r="RDP249" s="5">
        <f t="shared" si="191"/>
        <v>0</v>
      </c>
      <c r="RDQ249" s="5">
        <f t="shared" si="191"/>
        <v>0</v>
      </c>
      <c r="RDR249" s="5">
        <f t="shared" si="191"/>
        <v>0</v>
      </c>
      <c r="RDS249" s="5">
        <f t="shared" si="191"/>
        <v>0</v>
      </c>
      <c r="RDT249" s="5">
        <f t="shared" si="191"/>
        <v>0</v>
      </c>
      <c r="RDU249" s="5">
        <f t="shared" si="191"/>
        <v>0</v>
      </c>
      <c r="RDV249" s="5">
        <f t="shared" si="191"/>
        <v>0</v>
      </c>
      <c r="RDW249" s="5">
        <f t="shared" si="191"/>
        <v>0</v>
      </c>
      <c r="RDX249" s="5">
        <f t="shared" si="191"/>
        <v>0</v>
      </c>
      <c r="RDY249" s="5">
        <f t="shared" si="191"/>
        <v>0</v>
      </c>
      <c r="RDZ249" s="5">
        <f t="shared" si="191"/>
        <v>0</v>
      </c>
      <c r="REA249" s="5">
        <f t="shared" si="191"/>
        <v>0</v>
      </c>
      <c r="REB249" s="5">
        <f t="shared" si="191"/>
        <v>0</v>
      </c>
      <c r="REC249" s="5">
        <f t="shared" si="191"/>
        <v>0</v>
      </c>
      <c r="RED249" s="5">
        <f t="shared" si="191"/>
        <v>0</v>
      </c>
      <c r="REE249" s="5">
        <f t="shared" si="191"/>
        <v>0</v>
      </c>
      <c r="REF249" s="5">
        <f t="shared" si="191"/>
        <v>0</v>
      </c>
      <c r="REG249" s="5">
        <f t="shared" si="191"/>
        <v>0</v>
      </c>
      <c r="REH249" s="5">
        <f t="shared" ref="REH249:RGS249" si="192">SUM(REH246:REH246)</f>
        <v>0</v>
      </c>
      <c r="REI249" s="5">
        <f t="shared" si="192"/>
        <v>0</v>
      </c>
      <c r="REJ249" s="5">
        <f t="shared" si="192"/>
        <v>0</v>
      </c>
      <c r="REK249" s="5">
        <f t="shared" si="192"/>
        <v>0</v>
      </c>
      <c r="REL249" s="5">
        <f t="shared" si="192"/>
        <v>0</v>
      </c>
      <c r="REM249" s="5">
        <f t="shared" si="192"/>
        <v>0</v>
      </c>
      <c r="REN249" s="5">
        <f t="shared" si="192"/>
        <v>0</v>
      </c>
      <c r="REO249" s="5">
        <f t="shared" si="192"/>
        <v>0</v>
      </c>
      <c r="REP249" s="5">
        <f t="shared" si="192"/>
        <v>0</v>
      </c>
      <c r="REQ249" s="5">
        <f t="shared" si="192"/>
        <v>0</v>
      </c>
      <c r="RER249" s="5">
        <f t="shared" si="192"/>
        <v>0</v>
      </c>
      <c r="RES249" s="5">
        <f t="shared" si="192"/>
        <v>0</v>
      </c>
      <c r="RET249" s="5">
        <f t="shared" si="192"/>
        <v>0</v>
      </c>
      <c r="REU249" s="5">
        <f t="shared" si="192"/>
        <v>0</v>
      </c>
      <c r="REV249" s="5">
        <f t="shared" si="192"/>
        <v>0</v>
      </c>
      <c r="REW249" s="5">
        <f t="shared" si="192"/>
        <v>0</v>
      </c>
      <c r="REX249" s="5">
        <f t="shared" si="192"/>
        <v>0</v>
      </c>
      <c r="REY249" s="5">
        <f t="shared" si="192"/>
        <v>0</v>
      </c>
      <c r="REZ249" s="5">
        <f t="shared" si="192"/>
        <v>0</v>
      </c>
      <c r="RFA249" s="5">
        <f t="shared" si="192"/>
        <v>0</v>
      </c>
      <c r="RFB249" s="5">
        <f t="shared" si="192"/>
        <v>0</v>
      </c>
      <c r="RFC249" s="5">
        <f t="shared" si="192"/>
        <v>0</v>
      </c>
      <c r="RFD249" s="5">
        <f t="shared" si="192"/>
        <v>0</v>
      </c>
      <c r="RFE249" s="5">
        <f t="shared" si="192"/>
        <v>0</v>
      </c>
      <c r="RFF249" s="5">
        <f t="shared" si="192"/>
        <v>0</v>
      </c>
      <c r="RFG249" s="5">
        <f t="shared" si="192"/>
        <v>0</v>
      </c>
      <c r="RFH249" s="5">
        <f t="shared" si="192"/>
        <v>0</v>
      </c>
      <c r="RFI249" s="5">
        <f t="shared" si="192"/>
        <v>0</v>
      </c>
      <c r="RFJ249" s="5">
        <f t="shared" si="192"/>
        <v>0</v>
      </c>
      <c r="RFK249" s="5">
        <f t="shared" si="192"/>
        <v>0</v>
      </c>
      <c r="RFL249" s="5">
        <f t="shared" si="192"/>
        <v>0</v>
      </c>
      <c r="RFM249" s="5">
        <f t="shared" si="192"/>
        <v>0</v>
      </c>
      <c r="RFN249" s="5">
        <f t="shared" si="192"/>
        <v>0</v>
      </c>
      <c r="RFO249" s="5">
        <f t="shared" si="192"/>
        <v>0</v>
      </c>
      <c r="RFP249" s="5">
        <f t="shared" si="192"/>
        <v>0</v>
      </c>
      <c r="RFQ249" s="5">
        <f t="shared" si="192"/>
        <v>0</v>
      </c>
      <c r="RFR249" s="5">
        <f t="shared" si="192"/>
        <v>0</v>
      </c>
      <c r="RFS249" s="5">
        <f t="shared" si="192"/>
        <v>0</v>
      </c>
      <c r="RFT249" s="5">
        <f t="shared" si="192"/>
        <v>0</v>
      </c>
      <c r="RFU249" s="5">
        <f t="shared" si="192"/>
        <v>0</v>
      </c>
      <c r="RFV249" s="5">
        <f t="shared" si="192"/>
        <v>0</v>
      </c>
      <c r="RFW249" s="5">
        <f t="shared" si="192"/>
        <v>0</v>
      </c>
      <c r="RFX249" s="5">
        <f t="shared" si="192"/>
        <v>0</v>
      </c>
      <c r="RFY249" s="5">
        <f t="shared" si="192"/>
        <v>0</v>
      </c>
      <c r="RFZ249" s="5">
        <f t="shared" si="192"/>
        <v>0</v>
      </c>
      <c r="RGA249" s="5">
        <f t="shared" si="192"/>
        <v>0</v>
      </c>
      <c r="RGB249" s="5">
        <f t="shared" si="192"/>
        <v>0</v>
      </c>
      <c r="RGC249" s="5">
        <f t="shared" si="192"/>
        <v>0</v>
      </c>
      <c r="RGD249" s="5">
        <f t="shared" si="192"/>
        <v>0</v>
      </c>
      <c r="RGE249" s="5">
        <f t="shared" si="192"/>
        <v>0</v>
      </c>
      <c r="RGF249" s="5">
        <f t="shared" si="192"/>
        <v>0</v>
      </c>
      <c r="RGG249" s="5">
        <f t="shared" si="192"/>
        <v>0</v>
      </c>
      <c r="RGH249" s="5">
        <f t="shared" si="192"/>
        <v>0</v>
      </c>
      <c r="RGI249" s="5">
        <f t="shared" si="192"/>
        <v>0</v>
      </c>
      <c r="RGJ249" s="5">
        <f t="shared" si="192"/>
        <v>0</v>
      </c>
      <c r="RGK249" s="5">
        <f t="shared" si="192"/>
        <v>0</v>
      </c>
      <c r="RGL249" s="5">
        <f t="shared" si="192"/>
        <v>0</v>
      </c>
      <c r="RGM249" s="5">
        <f t="shared" si="192"/>
        <v>0</v>
      </c>
      <c r="RGN249" s="5">
        <f t="shared" si="192"/>
        <v>0</v>
      </c>
      <c r="RGO249" s="5">
        <f t="shared" si="192"/>
        <v>0</v>
      </c>
      <c r="RGP249" s="5">
        <f t="shared" si="192"/>
        <v>0</v>
      </c>
      <c r="RGQ249" s="5">
        <f t="shared" si="192"/>
        <v>0</v>
      </c>
      <c r="RGR249" s="5">
        <f t="shared" si="192"/>
        <v>0</v>
      </c>
      <c r="RGS249" s="5">
        <f t="shared" si="192"/>
        <v>0</v>
      </c>
      <c r="RGT249" s="5">
        <f t="shared" ref="RGT249:RJE249" si="193">SUM(RGT246:RGT246)</f>
        <v>0</v>
      </c>
      <c r="RGU249" s="5">
        <f t="shared" si="193"/>
        <v>0</v>
      </c>
      <c r="RGV249" s="5">
        <f t="shared" si="193"/>
        <v>0</v>
      </c>
      <c r="RGW249" s="5">
        <f t="shared" si="193"/>
        <v>0</v>
      </c>
      <c r="RGX249" s="5">
        <f t="shared" si="193"/>
        <v>0</v>
      </c>
      <c r="RGY249" s="5">
        <f t="shared" si="193"/>
        <v>0</v>
      </c>
      <c r="RGZ249" s="5">
        <f t="shared" si="193"/>
        <v>0</v>
      </c>
      <c r="RHA249" s="5">
        <f t="shared" si="193"/>
        <v>0</v>
      </c>
      <c r="RHB249" s="5">
        <f t="shared" si="193"/>
        <v>0</v>
      </c>
      <c r="RHC249" s="5">
        <f t="shared" si="193"/>
        <v>0</v>
      </c>
      <c r="RHD249" s="5">
        <f t="shared" si="193"/>
        <v>0</v>
      </c>
      <c r="RHE249" s="5">
        <f t="shared" si="193"/>
        <v>0</v>
      </c>
      <c r="RHF249" s="5">
        <f t="shared" si="193"/>
        <v>0</v>
      </c>
      <c r="RHG249" s="5">
        <f t="shared" si="193"/>
        <v>0</v>
      </c>
      <c r="RHH249" s="5">
        <f t="shared" si="193"/>
        <v>0</v>
      </c>
      <c r="RHI249" s="5">
        <f t="shared" si="193"/>
        <v>0</v>
      </c>
      <c r="RHJ249" s="5">
        <f t="shared" si="193"/>
        <v>0</v>
      </c>
      <c r="RHK249" s="5">
        <f t="shared" si="193"/>
        <v>0</v>
      </c>
      <c r="RHL249" s="5">
        <f t="shared" si="193"/>
        <v>0</v>
      </c>
      <c r="RHM249" s="5">
        <f t="shared" si="193"/>
        <v>0</v>
      </c>
      <c r="RHN249" s="5">
        <f t="shared" si="193"/>
        <v>0</v>
      </c>
      <c r="RHO249" s="5">
        <f t="shared" si="193"/>
        <v>0</v>
      </c>
      <c r="RHP249" s="5">
        <f t="shared" si="193"/>
        <v>0</v>
      </c>
      <c r="RHQ249" s="5">
        <f t="shared" si="193"/>
        <v>0</v>
      </c>
      <c r="RHR249" s="5">
        <f t="shared" si="193"/>
        <v>0</v>
      </c>
      <c r="RHS249" s="5">
        <f t="shared" si="193"/>
        <v>0</v>
      </c>
      <c r="RHT249" s="5">
        <f t="shared" si="193"/>
        <v>0</v>
      </c>
      <c r="RHU249" s="5">
        <f t="shared" si="193"/>
        <v>0</v>
      </c>
      <c r="RHV249" s="5">
        <f t="shared" si="193"/>
        <v>0</v>
      </c>
      <c r="RHW249" s="5">
        <f t="shared" si="193"/>
        <v>0</v>
      </c>
      <c r="RHX249" s="5">
        <f t="shared" si="193"/>
        <v>0</v>
      </c>
      <c r="RHY249" s="5">
        <f t="shared" si="193"/>
        <v>0</v>
      </c>
      <c r="RHZ249" s="5">
        <f t="shared" si="193"/>
        <v>0</v>
      </c>
      <c r="RIA249" s="5">
        <f t="shared" si="193"/>
        <v>0</v>
      </c>
      <c r="RIB249" s="5">
        <f t="shared" si="193"/>
        <v>0</v>
      </c>
      <c r="RIC249" s="5">
        <f t="shared" si="193"/>
        <v>0</v>
      </c>
      <c r="RID249" s="5">
        <f t="shared" si="193"/>
        <v>0</v>
      </c>
      <c r="RIE249" s="5">
        <f t="shared" si="193"/>
        <v>0</v>
      </c>
      <c r="RIF249" s="5">
        <f t="shared" si="193"/>
        <v>0</v>
      </c>
      <c r="RIG249" s="5">
        <f t="shared" si="193"/>
        <v>0</v>
      </c>
      <c r="RIH249" s="5">
        <f t="shared" si="193"/>
        <v>0</v>
      </c>
      <c r="RII249" s="5">
        <f t="shared" si="193"/>
        <v>0</v>
      </c>
      <c r="RIJ249" s="5">
        <f t="shared" si="193"/>
        <v>0</v>
      </c>
      <c r="RIK249" s="5">
        <f t="shared" si="193"/>
        <v>0</v>
      </c>
      <c r="RIL249" s="5">
        <f t="shared" si="193"/>
        <v>0</v>
      </c>
      <c r="RIM249" s="5">
        <f t="shared" si="193"/>
        <v>0</v>
      </c>
      <c r="RIN249" s="5">
        <f t="shared" si="193"/>
        <v>0</v>
      </c>
      <c r="RIO249" s="5">
        <f t="shared" si="193"/>
        <v>0</v>
      </c>
      <c r="RIP249" s="5">
        <f t="shared" si="193"/>
        <v>0</v>
      </c>
      <c r="RIQ249" s="5">
        <f t="shared" si="193"/>
        <v>0</v>
      </c>
      <c r="RIR249" s="5">
        <f t="shared" si="193"/>
        <v>0</v>
      </c>
      <c r="RIS249" s="5">
        <f t="shared" si="193"/>
        <v>0</v>
      </c>
      <c r="RIT249" s="5">
        <f t="shared" si="193"/>
        <v>0</v>
      </c>
      <c r="RIU249" s="5">
        <f t="shared" si="193"/>
        <v>0</v>
      </c>
      <c r="RIV249" s="5">
        <f t="shared" si="193"/>
        <v>0</v>
      </c>
      <c r="RIW249" s="5">
        <f t="shared" si="193"/>
        <v>0</v>
      </c>
      <c r="RIX249" s="5">
        <f t="shared" si="193"/>
        <v>0</v>
      </c>
      <c r="RIY249" s="5">
        <f t="shared" si="193"/>
        <v>0</v>
      </c>
      <c r="RIZ249" s="5">
        <f t="shared" si="193"/>
        <v>0</v>
      </c>
      <c r="RJA249" s="5">
        <f t="shared" si="193"/>
        <v>0</v>
      </c>
      <c r="RJB249" s="5">
        <f t="shared" si="193"/>
        <v>0</v>
      </c>
      <c r="RJC249" s="5">
        <f t="shared" si="193"/>
        <v>0</v>
      </c>
      <c r="RJD249" s="5">
        <f t="shared" si="193"/>
        <v>0</v>
      </c>
      <c r="RJE249" s="5">
        <f t="shared" si="193"/>
        <v>0</v>
      </c>
      <c r="RJF249" s="5">
        <f t="shared" ref="RJF249:RLQ249" si="194">SUM(RJF246:RJF246)</f>
        <v>0</v>
      </c>
      <c r="RJG249" s="5">
        <f t="shared" si="194"/>
        <v>0</v>
      </c>
      <c r="RJH249" s="5">
        <f t="shared" si="194"/>
        <v>0</v>
      </c>
      <c r="RJI249" s="5">
        <f t="shared" si="194"/>
        <v>0</v>
      </c>
      <c r="RJJ249" s="5">
        <f t="shared" si="194"/>
        <v>0</v>
      </c>
      <c r="RJK249" s="5">
        <f t="shared" si="194"/>
        <v>0</v>
      </c>
      <c r="RJL249" s="5">
        <f t="shared" si="194"/>
        <v>0</v>
      </c>
      <c r="RJM249" s="5">
        <f t="shared" si="194"/>
        <v>0</v>
      </c>
      <c r="RJN249" s="5">
        <f t="shared" si="194"/>
        <v>0</v>
      </c>
      <c r="RJO249" s="5">
        <f t="shared" si="194"/>
        <v>0</v>
      </c>
      <c r="RJP249" s="5">
        <f t="shared" si="194"/>
        <v>0</v>
      </c>
      <c r="RJQ249" s="5">
        <f t="shared" si="194"/>
        <v>0</v>
      </c>
      <c r="RJR249" s="5">
        <f t="shared" si="194"/>
        <v>0</v>
      </c>
      <c r="RJS249" s="5">
        <f t="shared" si="194"/>
        <v>0</v>
      </c>
      <c r="RJT249" s="5">
        <f t="shared" si="194"/>
        <v>0</v>
      </c>
      <c r="RJU249" s="5">
        <f t="shared" si="194"/>
        <v>0</v>
      </c>
      <c r="RJV249" s="5">
        <f t="shared" si="194"/>
        <v>0</v>
      </c>
      <c r="RJW249" s="5">
        <f t="shared" si="194"/>
        <v>0</v>
      </c>
      <c r="RJX249" s="5">
        <f t="shared" si="194"/>
        <v>0</v>
      </c>
      <c r="RJY249" s="5">
        <f t="shared" si="194"/>
        <v>0</v>
      </c>
      <c r="RJZ249" s="5">
        <f t="shared" si="194"/>
        <v>0</v>
      </c>
      <c r="RKA249" s="5">
        <f t="shared" si="194"/>
        <v>0</v>
      </c>
      <c r="RKB249" s="5">
        <f t="shared" si="194"/>
        <v>0</v>
      </c>
      <c r="RKC249" s="5">
        <f t="shared" si="194"/>
        <v>0</v>
      </c>
      <c r="RKD249" s="5">
        <f t="shared" si="194"/>
        <v>0</v>
      </c>
      <c r="RKE249" s="5">
        <f t="shared" si="194"/>
        <v>0</v>
      </c>
      <c r="RKF249" s="5">
        <f t="shared" si="194"/>
        <v>0</v>
      </c>
      <c r="RKG249" s="5">
        <f t="shared" si="194"/>
        <v>0</v>
      </c>
      <c r="RKH249" s="5">
        <f t="shared" si="194"/>
        <v>0</v>
      </c>
      <c r="RKI249" s="5">
        <f t="shared" si="194"/>
        <v>0</v>
      </c>
      <c r="RKJ249" s="5">
        <f t="shared" si="194"/>
        <v>0</v>
      </c>
      <c r="RKK249" s="5">
        <f t="shared" si="194"/>
        <v>0</v>
      </c>
      <c r="RKL249" s="5">
        <f t="shared" si="194"/>
        <v>0</v>
      </c>
      <c r="RKM249" s="5">
        <f t="shared" si="194"/>
        <v>0</v>
      </c>
      <c r="RKN249" s="5">
        <f t="shared" si="194"/>
        <v>0</v>
      </c>
      <c r="RKO249" s="5">
        <f t="shared" si="194"/>
        <v>0</v>
      </c>
      <c r="RKP249" s="5">
        <f t="shared" si="194"/>
        <v>0</v>
      </c>
      <c r="RKQ249" s="5">
        <f t="shared" si="194"/>
        <v>0</v>
      </c>
      <c r="RKR249" s="5">
        <f t="shared" si="194"/>
        <v>0</v>
      </c>
      <c r="RKS249" s="5">
        <f t="shared" si="194"/>
        <v>0</v>
      </c>
      <c r="RKT249" s="5">
        <f t="shared" si="194"/>
        <v>0</v>
      </c>
      <c r="RKU249" s="5">
        <f t="shared" si="194"/>
        <v>0</v>
      </c>
      <c r="RKV249" s="5">
        <f t="shared" si="194"/>
        <v>0</v>
      </c>
      <c r="RKW249" s="5">
        <f t="shared" si="194"/>
        <v>0</v>
      </c>
      <c r="RKX249" s="5">
        <f t="shared" si="194"/>
        <v>0</v>
      </c>
      <c r="RKY249" s="5">
        <f t="shared" si="194"/>
        <v>0</v>
      </c>
      <c r="RKZ249" s="5">
        <f t="shared" si="194"/>
        <v>0</v>
      </c>
      <c r="RLA249" s="5">
        <f t="shared" si="194"/>
        <v>0</v>
      </c>
      <c r="RLB249" s="5">
        <f t="shared" si="194"/>
        <v>0</v>
      </c>
      <c r="RLC249" s="5">
        <f t="shared" si="194"/>
        <v>0</v>
      </c>
      <c r="RLD249" s="5">
        <f t="shared" si="194"/>
        <v>0</v>
      </c>
      <c r="RLE249" s="5">
        <f t="shared" si="194"/>
        <v>0</v>
      </c>
      <c r="RLF249" s="5">
        <f t="shared" si="194"/>
        <v>0</v>
      </c>
      <c r="RLG249" s="5">
        <f t="shared" si="194"/>
        <v>0</v>
      </c>
      <c r="RLH249" s="5">
        <f t="shared" si="194"/>
        <v>0</v>
      </c>
      <c r="RLI249" s="5">
        <f t="shared" si="194"/>
        <v>0</v>
      </c>
      <c r="RLJ249" s="5">
        <f t="shared" si="194"/>
        <v>0</v>
      </c>
      <c r="RLK249" s="5">
        <f t="shared" si="194"/>
        <v>0</v>
      </c>
      <c r="RLL249" s="5">
        <f t="shared" si="194"/>
        <v>0</v>
      </c>
      <c r="RLM249" s="5">
        <f t="shared" si="194"/>
        <v>0</v>
      </c>
      <c r="RLN249" s="5">
        <f t="shared" si="194"/>
        <v>0</v>
      </c>
      <c r="RLO249" s="5">
        <f t="shared" si="194"/>
        <v>0</v>
      </c>
      <c r="RLP249" s="5">
        <f t="shared" si="194"/>
        <v>0</v>
      </c>
      <c r="RLQ249" s="5">
        <f t="shared" si="194"/>
        <v>0</v>
      </c>
      <c r="RLR249" s="5">
        <f t="shared" ref="RLR249:ROC249" si="195">SUM(RLR246:RLR246)</f>
        <v>0</v>
      </c>
      <c r="RLS249" s="5">
        <f t="shared" si="195"/>
        <v>0</v>
      </c>
      <c r="RLT249" s="5">
        <f t="shared" si="195"/>
        <v>0</v>
      </c>
      <c r="RLU249" s="5">
        <f t="shared" si="195"/>
        <v>0</v>
      </c>
      <c r="RLV249" s="5">
        <f t="shared" si="195"/>
        <v>0</v>
      </c>
      <c r="RLW249" s="5">
        <f t="shared" si="195"/>
        <v>0</v>
      </c>
      <c r="RLX249" s="5">
        <f t="shared" si="195"/>
        <v>0</v>
      </c>
      <c r="RLY249" s="5">
        <f t="shared" si="195"/>
        <v>0</v>
      </c>
      <c r="RLZ249" s="5">
        <f t="shared" si="195"/>
        <v>0</v>
      </c>
      <c r="RMA249" s="5">
        <f t="shared" si="195"/>
        <v>0</v>
      </c>
      <c r="RMB249" s="5">
        <f t="shared" si="195"/>
        <v>0</v>
      </c>
      <c r="RMC249" s="5">
        <f t="shared" si="195"/>
        <v>0</v>
      </c>
      <c r="RMD249" s="5">
        <f t="shared" si="195"/>
        <v>0</v>
      </c>
      <c r="RME249" s="5">
        <f t="shared" si="195"/>
        <v>0</v>
      </c>
      <c r="RMF249" s="5">
        <f t="shared" si="195"/>
        <v>0</v>
      </c>
      <c r="RMG249" s="5">
        <f t="shared" si="195"/>
        <v>0</v>
      </c>
      <c r="RMH249" s="5">
        <f t="shared" si="195"/>
        <v>0</v>
      </c>
      <c r="RMI249" s="5">
        <f t="shared" si="195"/>
        <v>0</v>
      </c>
      <c r="RMJ249" s="5">
        <f t="shared" si="195"/>
        <v>0</v>
      </c>
      <c r="RMK249" s="5">
        <f t="shared" si="195"/>
        <v>0</v>
      </c>
      <c r="RML249" s="5">
        <f t="shared" si="195"/>
        <v>0</v>
      </c>
      <c r="RMM249" s="5">
        <f t="shared" si="195"/>
        <v>0</v>
      </c>
      <c r="RMN249" s="5">
        <f t="shared" si="195"/>
        <v>0</v>
      </c>
      <c r="RMO249" s="5">
        <f t="shared" si="195"/>
        <v>0</v>
      </c>
      <c r="RMP249" s="5">
        <f t="shared" si="195"/>
        <v>0</v>
      </c>
      <c r="RMQ249" s="5">
        <f t="shared" si="195"/>
        <v>0</v>
      </c>
      <c r="RMR249" s="5">
        <f t="shared" si="195"/>
        <v>0</v>
      </c>
      <c r="RMS249" s="5">
        <f t="shared" si="195"/>
        <v>0</v>
      </c>
      <c r="RMT249" s="5">
        <f t="shared" si="195"/>
        <v>0</v>
      </c>
      <c r="RMU249" s="5">
        <f t="shared" si="195"/>
        <v>0</v>
      </c>
      <c r="RMV249" s="5">
        <f t="shared" si="195"/>
        <v>0</v>
      </c>
      <c r="RMW249" s="5">
        <f t="shared" si="195"/>
        <v>0</v>
      </c>
      <c r="RMX249" s="5">
        <f t="shared" si="195"/>
        <v>0</v>
      </c>
      <c r="RMY249" s="5">
        <f t="shared" si="195"/>
        <v>0</v>
      </c>
      <c r="RMZ249" s="5">
        <f t="shared" si="195"/>
        <v>0</v>
      </c>
      <c r="RNA249" s="5">
        <f t="shared" si="195"/>
        <v>0</v>
      </c>
      <c r="RNB249" s="5">
        <f t="shared" si="195"/>
        <v>0</v>
      </c>
      <c r="RNC249" s="5">
        <f t="shared" si="195"/>
        <v>0</v>
      </c>
      <c r="RND249" s="5">
        <f t="shared" si="195"/>
        <v>0</v>
      </c>
      <c r="RNE249" s="5">
        <f t="shared" si="195"/>
        <v>0</v>
      </c>
      <c r="RNF249" s="5">
        <f t="shared" si="195"/>
        <v>0</v>
      </c>
      <c r="RNG249" s="5">
        <f t="shared" si="195"/>
        <v>0</v>
      </c>
      <c r="RNH249" s="5">
        <f t="shared" si="195"/>
        <v>0</v>
      </c>
      <c r="RNI249" s="5">
        <f t="shared" si="195"/>
        <v>0</v>
      </c>
      <c r="RNJ249" s="5">
        <f t="shared" si="195"/>
        <v>0</v>
      </c>
      <c r="RNK249" s="5">
        <f t="shared" si="195"/>
        <v>0</v>
      </c>
      <c r="RNL249" s="5">
        <f t="shared" si="195"/>
        <v>0</v>
      </c>
      <c r="RNM249" s="5">
        <f t="shared" si="195"/>
        <v>0</v>
      </c>
      <c r="RNN249" s="5">
        <f t="shared" si="195"/>
        <v>0</v>
      </c>
      <c r="RNO249" s="5">
        <f t="shared" si="195"/>
        <v>0</v>
      </c>
      <c r="RNP249" s="5">
        <f t="shared" si="195"/>
        <v>0</v>
      </c>
      <c r="RNQ249" s="5">
        <f t="shared" si="195"/>
        <v>0</v>
      </c>
      <c r="RNR249" s="5">
        <f t="shared" si="195"/>
        <v>0</v>
      </c>
      <c r="RNS249" s="5">
        <f t="shared" si="195"/>
        <v>0</v>
      </c>
      <c r="RNT249" s="5">
        <f t="shared" si="195"/>
        <v>0</v>
      </c>
      <c r="RNU249" s="5">
        <f t="shared" si="195"/>
        <v>0</v>
      </c>
      <c r="RNV249" s="5">
        <f t="shared" si="195"/>
        <v>0</v>
      </c>
      <c r="RNW249" s="5">
        <f t="shared" si="195"/>
        <v>0</v>
      </c>
      <c r="RNX249" s="5">
        <f t="shared" si="195"/>
        <v>0</v>
      </c>
      <c r="RNY249" s="5">
        <f t="shared" si="195"/>
        <v>0</v>
      </c>
      <c r="RNZ249" s="5">
        <f t="shared" si="195"/>
        <v>0</v>
      </c>
      <c r="ROA249" s="5">
        <f t="shared" si="195"/>
        <v>0</v>
      </c>
      <c r="ROB249" s="5">
        <f t="shared" si="195"/>
        <v>0</v>
      </c>
      <c r="ROC249" s="5">
        <f t="shared" si="195"/>
        <v>0</v>
      </c>
      <c r="ROD249" s="5">
        <f t="shared" ref="ROD249:RQO249" si="196">SUM(ROD246:ROD246)</f>
        <v>0</v>
      </c>
      <c r="ROE249" s="5">
        <f t="shared" si="196"/>
        <v>0</v>
      </c>
      <c r="ROF249" s="5">
        <f t="shared" si="196"/>
        <v>0</v>
      </c>
      <c r="ROG249" s="5">
        <f t="shared" si="196"/>
        <v>0</v>
      </c>
      <c r="ROH249" s="5">
        <f t="shared" si="196"/>
        <v>0</v>
      </c>
      <c r="ROI249" s="5">
        <f t="shared" si="196"/>
        <v>0</v>
      </c>
      <c r="ROJ249" s="5">
        <f t="shared" si="196"/>
        <v>0</v>
      </c>
      <c r="ROK249" s="5">
        <f t="shared" si="196"/>
        <v>0</v>
      </c>
      <c r="ROL249" s="5">
        <f t="shared" si="196"/>
        <v>0</v>
      </c>
      <c r="ROM249" s="5">
        <f t="shared" si="196"/>
        <v>0</v>
      </c>
      <c r="RON249" s="5">
        <f t="shared" si="196"/>
        <v>0</v>
      </c>
      <c r="ROO249" s="5">
        <f t="shared" si="196"/>
        <v>0</v>
      </c>
      <c r="ROP249" s="5">
        <f t="shared" si="196"/>
        <v>0</v>
      </c>
      <c r="ROQ249" s="5">
        <f t="shared" si="196"/>
        <v>0</v>
      </c>
      <c r="ROR249" s="5">
        <f t="shared" si="196"/>
        <v>0</v>
      </c>
      <c r="ROS249" s="5">
        <f t="shared" si="196"/>
        <v>0</v>
      </c>
      <c r="ROT249" s="5">
        <f t="shared" si="196"/>
        <v>0</v>
      </c>
      <c r="ROU249" s="5">
        <f t="shared" si="196"/>
        <v>0</v>
      </c>
      <c r="ROV249" s="5">
        <f t="shared" si="196"/>
        <v>0</v>
      </c>
      <c r="ROW249" s="5">
        <f t="shared" si="196"/>
        <v>0</v>
      </c>
      <c r="ROX249" s="5">
        <f t="shared" si="196"/>
        <v>0</v>
      </c>
      <c r="ROY249" s="5">
        <f t="shared" si="196"/>
        <v>0</v>
      </c>
      <c r="ROZ249" s="5">
        <f t="shared" si="196"/>
        <v>0</v>
      </c>
      <c r="RPA249" s="5">
        <f t="shared" si="196"/>
        <v>0</v>
      </c>
      <c r="RPB249" s="5">
        <f t="shared" si="196"/>
        <v>0</v>
      </c>
      <c r="RPC249" s="5">
        <f t="shared" si="196"/>
        <v>0</v>
      </c>
      <c r="RPD249" s="5">
        <f t="shared" si="196"/>
        <v>0</v>
      </c>
      <c r="RPE249" s="5">
        <f t="shared" si="196"/>
        <v>0</v>
      </c>
      <c r="RPF249" s="5">
        <f t="shared" si="196"/>
        <v>0</v>
      </c>
      <c r="RPG249" s="5">
        <f t="shared" si="196"/>
        <v>0</v>
      </c>
      <c r="RPH249" s="5">
        <f t="shared" si="196"/>
        <v>0</v>
      </c>
      <c r="RPI249" s="5">
        <f t="shared" si="196"/>
        <v>0</v>
      </c>
      <c r="RPJ249" s="5">
        <f t="shared" si="196"/>
        <v>0</v>
      </c>
      <c r="RPK249" s="5">
        <f t="shared" si="196"/>
        <v>0</v>
      </c>
      <c r="RPL249" s="5">
        <f t="shared" si="196"/>
        <v>0</v>
      </c>
      <c r="RPM249" s="5">
        <f t="shared" si="196"/>
        <v>0</v>
      </c>
      <c r="RPN249" s="5">
        <f t="shared" si="196"/>
        <v>0</v>
      </c>
      <c r="RPO249" s="5">
        <f t="shared" si="196"/>
        <v>0</v>
      </c>
      <c r="RPP249" s="5">
        <f t="shared" si="196"/>
        <v>0</v>
      </c>
      <c r="RPQ249" s="5">
        <f t="shared" si="196"/>
        <v>0</v>
      </c>
      <c r="RPR249" s="5">
        <f t="shared" si="196"/>
        <v>0</v>
      </c>
      <c r="RPS249" s="5">
        <f t="shared" si="196"/>
        <v>0</v>
      </c>
      <c r="RPT249" s="5">
        <f t="shared" si="196"/>
        <v>0</v>
      </c>
      <c r="RPU249" s="5">
        <f t="shared" si="196"/>
        <v>0</v>
      </c>
      <c r="RPV249" s="5">
        <f t="shared" si="196"/>
        <v>0</v>
      </c>
      <c r="RPW249" s="5">
        <f t="shared" si="196"/>
        <v>0</v>
      </c>
      <c r="RPX249" s="5">
        <f t="shared" si="196"/>
        <v>0</v>
      </c>
      <c r="RPY249" s="5">
        <f t="shared" si="196"/>
        <v>0</v>
      </c>
      <c r="RPZ249" s="5">
        <f t="shared" si="196"/>
        <v>0</v>
      </c>
      <c r="RQA249" s="5">
        <f t="shared" si="196"/>
        <v>0</v>
      </c>
      <c r="RQB249" s="5">
        <f t="shared" si="196"/>
        <v>0</v>
      </c>
      <c r="RQC249" s="5">
        <f t="shared" si="196"/>
        <v>0</v>
      </c>
      <c r="RQD249" s="5">
        <f t="shared" si="196"/>
        <v>0</v>
      </c>
      <c r="RQE249" s="5">
        <f t="shared" si="196"/>
        <v>0</v>
      </c>
      <c r="RQF249" s="5">
        <f t="shared" si="196"/>
        <v>0</v>
      </c>
      <c r="RQG249" s="5">
        <f t="shared" si="196"/>
        <v>0</v>
      </c>
      <c r="RQH249" s="5">
        <f t="shared" si="196"/>
        <v>0</v>
      </c>
      <c r="RQI249" s="5">
        <f t="shared" si="196"/>
        <v>0</v>
      </c>
      <c r="RQJ249" s="5">
        <f t="shared" si="196"/>
        <v>0</v>
      </c>
      <c r="RQK249" s="5">
        <f t="shared" si="196"/>
        <v>0</v>
      </c>
      <c r="RQL249" s="5">
        <f t="shared" si="196"/>
        <v>0</v>
      </c>
      <c r="RQM249" s="5">
        <f t="shared" si="196"/>
        <v>0</v>
      </c>
      <c r="RQN249" s="5">
        <f t="shared" si="196"/>
        <v>0</v>
      </c>
      <c r="RQO249" s="5">
        <f t="shared" si="196"/>
        <v>0</v>
      </c>
      <c r="RQP249" s="5">
        <f t="shared" ref="RQP249:RTA249" si="197">SUM(RQP246:RQP246)</f>
        <v>0</v>
      </c>
      <c r="RQQ249" s="5">
        <f t="shared" si="197"/>
        <v>0</v>
      </c>
      <c r="RQR249" s="5">
        <f t="shared" si="197"/>
        <v>0</v>
      </c>
      <c r="RQS249" s="5">
        <f t="shared" si="197"/>
        <v>0</v>
      </c>
      <c r="RQT249" s="5">
        <f t="shared" si="197"/>
        <v>0</v>
      </c>
      <c r="RQU249" s="5">
        <f t="shared" si="197"/>
        <v>0</v>
      </c>
      <c r="RQV249" s="5">
        <f t="shared" si="197"/>
        <v>0</v>
      </c>
      <c r="RQW249" s="5">
        <f t="shared" si="197"/>
        <v>0</v>
      </c>
      <c r="RQX249" s="5">
        <f t="shared" si="197"/>
        <v>0</v>
      </c>
      <c r="RQY249" s="5">
        <f t="shared" si="197"/>
        <v>0</v>
      </c>
      <c r="RQZ249" s="5">
        <f t="shared" si="197"/>
        <v>0</v>
      </c>
      <c r="RRA249" s="5">
        <f t="shared" si="197"/>
        <v>0</v>
      </c>
      <c r="RRB249" s="5">
        <f t="shared" si="197"/>
        <v>0</v>
      </c>
      <c r="RRC249" s="5">
        <f t="shared" si="197"/>
        <v>0</v>
      </c>
      <c r="RRD249" s="5">
        <f t="shared" si="197"/>
        <v>0</v>
      </c>
      <c r="RRE249" s="5">
        <f t="shared" si="197"/>
        <v>0</v>
      </c>
      <c r="RRF249" s="5">
        <f t="shared" si="197"/>
        <v>0</v>
      </c>
      <c r="RRG249" s="5">
        <f t="shared" si="197"/>
        <v>0</v>
      </c>
      <c r="RRH249" s="5">
        <f t="shared" si="197"/>
        <v>0</v>
      </c>
      <c r="RRI249" s="5">
        <f t="shared" si="197"/>
        <v>0</v>
      </c>
      <c r="RRJ249" s="5">
        <f t="shared" si="197"/>
        <v>0</v>
      </c>
      <c r="RRK249" s="5">
        <f t="shared" si="197"/>
        <v>0</v>
      </c>
      <c r="RRL249" s="5">
        <f t="shared" si="197"/>
        <v>0</v>
      </c>
      <c r="RRM249" s="5">
        <f t="shared" si="197"/>
        <v>0</v>
      </c>
      <c r="RRN249" s="5">
        <f t="shared" si="197"/>
        <v>0</v>
      </c>
      <c r="RRO249" s="5">
        <f t="shared" si="197"/>
        <v>0</v>
      </c>
      <c r="RRP249" s="5">
        <f t="shared" si="197"/>
        <v>0</v>
      </c>
      <c r="RRQ249" s="5">
        <f t="shared" si="197"/>
        <v>0</v>
      </c>
      <c r="RRR249" s="5">
        <f t="shared" si="197"/>
        <v>0</v>
      </c>
      <c r="RRS249" s="5">
        <f t="shared" si="197"/>
        <v>0</v>
      </c>
      <c r="RRT249" s="5">
        <f t="shared" si="197"/>
        <v>0</v>
      </c>
      <c r="RRU249" s="5">
        <f t="shared" si="197"/>
        <v>0</v>
      </c>
      <c r="RRV249" s="5">
        <f t="shared" si="197"/>
        <v>0</v>
      </c>
      <c r="RRW249" s="5">
        <f t="shared" si="197"/>
        <v>0</v>
      </c>
      <c r="RRX249" s="5">
        <f t="shared" si="197"/>
        <v>0</v>
      </c>
      <c r="RRY249" s="5">
        <f t="shared" si="197"/>
        <v>0</v>
      </c>
      <c r="RRZ249" s="5">
        <f t="shared" si="197"/>
        <v>0</v>
      </c>
      <c r="RSA249" s="5">
        <f t="shared" si="197"/>
        <v>0</v>
      </c>
      <c r="RSB249" s="5">
        <f t="shared" si="197"/>
        <v>0</v>
      </c>
      <c r="RSC249" s="5">
        <f t="shared" si="197"/>
        <v>0</v>
      </c>
      <c r="RSD249" s="5">
        <f t="shared" si="197"/>
        <v>0</v>
      </c>
      <c r="RSE249" s="5">
        <f t="shared" si="197"/>
        <v>0</v>
      </c>
      <c r="RSF249" s="5">
        <f t="shared" si="197"/>
        <v>0</v>
      </c>
      <c r="RSG249" s="5">
        <f t="shared" si="197"/>
        <v>0</v>
      </c>
      <c r="RSH249" s="5">
        <f t="shared" si="197"/>
        <v>0</v>
      </c>
      <c r="RSI249" s="5">
        <f t="shared" si="197"/>
        <v>0</v>
      </c>
      <c r="RSJ249" s="5">
        <f t="shared" si="197"/>
        <v>0</v>
      </c>
      <c r="RSK249" s="5">
        <f t="shared" si="197"/>
        <v>0</v>
      </c>
      <c r="RSL249" s="5">
        <f t="shared" si="197"/>
        <v>0</v>
      </c>
      <c r="RSM249" s="5">
        <f t="shared" si="197"/>
        <v>0</v>
      </c>
      <c r="RSN249" s="5">
        <f t="shared" si="197"/>
        <v>0</v>
      </c>
      <c r="RSO249" s="5">
        <f t="shared" si="197"/>
        <v>0</v>
      </c>
      <c r="RSP249" s="5">
        <f t="shared" si="197"/>
        <v>0</v>
      </c>
      <c r="RSQ249" s="5">
        <f t="shared" si="197"/>
        <v>0</v>
      </c>
      <c r="RSR249" s="5">
        <f t="shared" si="197"/>
        <v>0</v>
      </c>
      <c r="RSS249" s="5">
        <f t="shared" si="197"/>
        <v>0</v>
      </c>
      <c r="RST249" s="5">
        <f t="shared" si="197"/>
        <v>0</v>
      </c>
      <c r="RSU249" s="5">
        <f t="shared" si="197"/>
        <v>0</v>
      </c>
      <c r="RSV249" s="5">
        <f t="shared" si="197"/>
        <v>0</v>
      </c>
      <c r="RSW249" s="5">
        <f t="shared" si="197"/>
        <v>0</v>
      </c>
      <c r="RSX249" s="5">
        <f t="shared" si="197"/>
        <v>0</v>
      </c>
      <c r="RSY249" s="5">
        <f t="shared" si="197"/>
        <v>0</v>
      </c>
      <c r="RSZ249" s="5">
        <f t="shared" si="197"/>
        <v>0</v>
      </c>
      <c r="RTA249" s="5">
        <f t="shared" si="197"/>
        <v>0</v>
      </c>
      <c r="RTB249" s="5">
        <f t="shared" ref="RTB249:RVM249" si="198">SUM(RTB246:RTB246)</f>
        <v>0</v>
      </c>
      <c r="RTC249" s="5">
        <f t="shared" si="198"/>
        <v>0</v>
      </c>
      <c r="RTD249" s="5">
        <f t="shared" si="198"/>
        <v>0</v>
      </c>
      <c r="RTE249" s="5">
        <f t="shared" si="198"/>
        <v>0</v>
      </c>
      <c r="RTF249" s="5">
        <f t="shared" si="198"/>
        <v>0</v>
      </c>
      <c r="RTG249" s="5">
        <f t="shared" si="198"/>
        <v>0</v>
      </c>
      <c r="RTH249" s="5">
        <f t="shared" si="198"/>
        <v>0</v>
      </c>
      <c r="RTI249" s="5">
        <f t="shared" si="198"/>
        <v>0</v>
      </c>
      <c r="RTJ249" s="5">
        <f t="shared" si="198"/>
        <v>0</v>
      </c>
      <c r="RTK249" s="5">
        <f t="shared" si="198"/>
        <v>0</v>
      </c>
      <c r="RTL249" s="5">
        <f t="shared" si="198"/>
        <v>0</v>
      </c>
      <c r="RTM249" s="5">
        <f t="shared" si="198"/>
        <v>0</v>
      </c>
      <c r="RTN249" s="5">
        <f t="shared" si="198"/>
        <v>0</v>
      </c>
      <c r="RTO249" s="5">
        <f t="shared" si="198"/>
        <v>0</v>
      </c>
      <c r="RTP249" s="5">
        <f t="shared" si="198"/>
        <v>0</v>
      </c>
      <c r="RTQ249" s="5">
        <f t="shared" si="198"/>
        <v>0</v>
      </c>
      <c r="RTR249" s="5">
        <f t="shared" si="198"/>
        <v>0</v>
      </c>
      <c r="RTS249" s="5">
        <f t="shared" si="198"/>
        <v>0</v>
      </c>
      <c r="RTT249" s="5">
        <f t="shared" si="198"/>
        <v>0</v>
      </c>
      <c r="RTU249" s="5">
        <f t="shared" si="198"/>
        <v>0</v>
      </c>
      <c r="RTV249" s="5">
        <f t="shared" si="198"/>
        <v>0</v>
      </c>
      <c r="RTW249" s="5">
        <f t="shared" si="198"/>
        <v>0</v>
      </c>
      <c r="RTX249" s="5">
        <f t="shared" si="198"/>
        <v>0</v>
      </c>
      <c r="RTY249" s="5">
        <f t="shared" si="198"/>
        <v>0</v>
      </c>
      <c r="RTZ249" s="5">
        <f t="shared" si="198"/>
        <v>0</v>
      </c>
      <c r="RUA249" s="5">
        <f t="shared" si="198"/>
        <v>0</v>
      </c>
      <c r="RUB249" s="5">
        <f t="shared" si="198"/>
        <v>0</v>
      </c>
      <c r="RUC249" s="5">
        <f t="shared" si="198"/>
        <v>0</v>
      </c>
      <c r="RUD249" s="5">
        <f t="shared" si="198"/>
        <v>0</v>
      </c>
      <c r="RUE249" s="5">
        <f t="shared" si="198"/>
        <v>0</v>
      </c>
      <c r="RUF249" s="5">
        <f t="shared" si="198"/>
        <v>0</v>
      </c>
      <c r="RUG249" s="5">
        <f t="shared" si="198"/>
        <v>0</v>
      </c>
      <c r="RUH249" s="5">
        <f t="shared" si="198"/>
        <v>0</v>
      </c>
      <c r="RUI249" s="5">
        <f t="shared" si="198"/>
        <v>0</v>
      </c>
      <c r="RUJ249" s="5">
        <f t="shared" si="198"/>
        <v>0</v>
      </c>
      <c r="RUK249" s="5">
        <f t="shared" si="198"/>
        <v>0</v>
      </c>
      <c r="RUL249" s="5">
        <f t="shared" si="198"/>
        <v>0</v>
      </c>
      <c r="RUM249" s="5">
        <f t="shared" si="198"/>
        <v>0</v>
      </c>
      <c r="RUN249" s="5">
        <f t="shared" si="198"/>
        <v>0</v>
      </c>
      <c r="RUO249" s="5">
        <f t="shared" si="198"/>
        <v>0</v>
      </c>
      <c r="RUP249" s="5">
        <f t="shared" si="198"/>
        <v>0</v>
      </c>
      <c r="RUQ249" s="5">
        <f t="shared" si="198"/>
        <v>0</v>
      </c>
      <c r="RUR249" s="5">
        <f t="shared" si="198"/>
        <v>0</v>
      </c>
      <c r="RUS249" s="5">
        <f t="shared" si="198"/>
        <v>0</v>
      </c>
      <c r="RUT249" s="5">
        <f t="shared" si="198"/>
        <v>0</v>
      </c>
      <c r="RUU249" s="5">
        <f t="shared" si="198"/>
        <v>0</v>
      </c>
      <c r="RUV249" s="5">
        <f t="shared" si="198"/>
        <v>0</v>
      </c>
      <c r="RUW249" s="5">
        <f t="shared" si="198"/>
        <v>0</v>
      </c>
      <c r="RUX249" s="5">
        <f t="shared" si="198"/>
        <v>0</v>
      </c>
      <c r="RUY249" s="5">
        <f t="shared" si="198"/>
        <v>0</v>
      </c>
      <c r="RUZ249" s="5">
        <f t="shared" si="198"/>
        <v>0</v>
      </c>
      <c r="RVA249" s="5">
        <f t="shared" si="198"/>
        <v>0</v>
      </c>
      <c r="RVB249" s="5">
        <f t="shared" si="198"/>
        <v>0</v>
      </c>
      <c r="RVC249" s="5">
        <f t="shared" si="198"/>
        <v>0</v>
      </c>
      <c r="RVD249" s="5">
        <f t="shared" si="198"/>
        <v>0</v>
      </c>
      <c r="RVE249" s="5">
        <f t="shared" si="198"/>
        <v>0</v>
      </c>
      <c r="RVF249" s="5">
        <f t="shared" si="198"/>
        <v>0</v>
      </c>
      <c r="RVG249" s="5">
        <f t="shared" si="198"/>
        <v>0</v>
      </c>
      <c r="RVH249" s="5">
        <f t="shared" si="198"/>
        <v>0</v>
      </c>
      <c r="RVI249" s="5">
        <f t="shared" si="198"/>
        <v>0</v>
      </c>
      <c r="RVJ249" s="5">
        <f t="shared" si="198"/>
        <v>0</v>
      </c>
      <c r="RVK249" s="5">
        <f t="shared" si="198"/>
        <v>0</v>
      </c>
      <c r="RVL249" s="5">
        <f t="shared" si="198"/>
        <v>0</v>
      </c>
      <c r="RVM249" s="5">
        <f t="shared" si="198"/>
        <v>0</v>
      </c>
      <c r="RVN249" s="5">
        <f t="shared" ref="RVN249:RXY249" si="199">SUM(RVN246:RVN246)</f>
        <v>0</v>
      </c>
      <c r="RVO249" s="5">
        <f t="shared" si="199"/>
        <v>0</v>
      </c>
      <c r="RVP249" s="5">
        <f t="shared" si="199"/>
        <v>0</v>
      </c>
      <c r="RVQ249" s="5">
        <f t="shared" si="199"/>
        <v>0</v>
      </c>
      <c r="RVR249" s="5">
        <f t="shared" si="199"/>
        <v>0</v>
      </c>
      <c r="RVS249" s="5">
        <f t="shared" si="199"/>
        <v>0</v>
      </c>
      <c r="RVT249" s="5">
        <f t="shared" si="199"/>
        <v>0</v>
      </c>
      <c r="RVU249" s="5">
        <f t="shared" si="199"/>
        <v>0</v>
      </c>
      <c r="RVV249" s="5">
        <f t="shared" si="199"/>
        <v>0</v>
      </c>
      <c r="RVW249" s="5">
        <f t="shared" si="199"/>
        <v>0</v>
      </c>
      <c r="RVX249" s="5">
        <f t="shared" si="199"/>
        <v>0</v>
      </c>
      <c r="RVY249" s="5">
        <f t="shared" si="199"/>
        <v>0</v>
      </c>
      <c r="RVZ249" s="5">
        <f t="shared" si="199"/>
        <v>0</v>
      </c>
      <c r="RWA249" s="5">
        <f t="shared" si="199"/>
        <v>0</v>
      </c>
      <c r="RWB249" s="5">
        <f t="shared" si="199"/>
        <v>0</v>
      </c>
      <c r="RWC249" s="5">
        <f t="shared" si="199"/>
        <v>0</v>
      </c>
      <c r="RWD249" s="5">
        <f t="shared" si="199"/>
        <v>0</v>
      </c>
      <c r="RWE249" s="5">
        <f t="shared" si="199"/>
        <v>0</v>
      </c>
      <c r="RWF249" s="5">
        <f t="shared" si="199"/>
        <v>0</v>
      </c>
      <c r="RWG249" s="5">
        <f t="shared" si="199"/>
        <v>0</v>
      </c>
      <c r="RWH249" s="5">
        <f t="shared" si="199"/>
        <v>0</v>
      </c>
      <c r="RWI249" s="5">
        <f t="shared" si="199"/>
        <v>0</v>
      </c>
      <c r="RWJ249" s="5">
        <f t="shared" si="199"/>
        <v>0</v>
      </c>
      <c r="RWK249" s="5">
        <f t="shared" si="199"/>
        <v>0</v>
      </c>
      <c r="RWL249" s="5">
        <f t="shared" si="199"/>
        <v>0</v>
      </c>
      <c r="RWM249" s="5">
        <f t="shared" si="199"/>
        <v>0</v>
      </c>
      <c r="RWN249" s="5">
        <f t="shared" si="199"/>
        <v>0</v>
      </c>
      <c r="RWO249" s="5">
        <f t="shared" si="199"/>
        <v>0</v>
      </c>
      <c r="RWP249" s="5">
        <f t="shared" si="199"/>
        <v>0</v>
      </c>
      <c r="RWQ249" s="5">
        <f t="shared" si="199"/>
        <v>0</v>
      </c>
      <c r="RWR249" s="5">
        <f t="shared" si="199"/>
        <v>0</v>
      </c>
      <c r="RWS249" s="5">
        <f t="shared" si="199"/>
        <v>0</v>
      </c>
      <c r="RWT249" s="5">
        <f t="shared" si="199"/>
        <v>0</v>
      </c>
      <c r="RWU249" s="5">
        <f t="shared" si="199"/>
        <v>0</v>
      </c>
      <c r="RWV249" s="5">
        <f t="shared" si="199"/>
        <v>0</v>
      </c>
      <c r="RWW249" s="5">
        <f t="shared" si="199"/>
        <v>0</v>
      </c>
      <c r="RWX249" s="5">
        <f t="shared" si="199"/>
        <v>0</v>
      </c>
      <c r="RWY249" s="5">
        <f t="shared" si="199"/>
        <v>0</v>
      </c>
      <c r="RWZ249" s="5">
        <f t="shared" si="199"/>
        <v>0</v>
      </c>
      <c r="RXA249" s="5">
        <f t="shared" si="199"/>
        <v>0</v>
      </c>
      <c r="RXB249" s="5">
        <f t="shared" si="199"/>
        <v>0</v>
      </c>
      <c r="RXC249" s="5">
        <f t="shared" si="199"/>
        <v>0</v>
      </c>
      <c r="RXD249" s="5">
        <f t="shared" si="199"/>
        <v>0</v>
      </c>
      <c r="RXE249" s="5">
        <f t="shared" si="199"/>
        <v>0</v>
      </c>
      <c r="RXF249" s="5">
        <f t="shared" si="199"/>
        <v>0</v>
      </c>
      <c r="RXG249" s="5">
        <f t="shared" si="199"/>
        <v>0</v>
      </c>
      <c r="RXH249" s="5">
        <f t="shared" si="199"/>
        <v>0</v>
      </c>
      <c r="RXI249" s="5">
        <f t="shared" si="199"/>
        <v>0</v>
      </c>
      <c r="RXJ249" s="5">
        <f t="shared" si="199"/>
        <v>0</v>
      </c>
      <c r="RXK249" s="5">
        <f t="shared" si="199"/>
        <v>0</v>
      </c>
      <c r="RXL249" s="5">
        <f t="shared" si="199"/>
        <v>0</v>
      </c>
      <c r="RXM249" s="5">
        <f t="shared" si="199"/>
        <v>0</v>
      </c>
      <c r="RXN249" s="5">
        <f t="shared" si="199"/>
        <v>0</v>
      </c>
      <c r="RXO249" s="5">
        <f t="shared" si="199"/>
        <v>0</v>
      </c>
      <c r="RXP249" s="5">
        <f t="shared" si="199"/>
        <v>0</v>
      </c>
      <c r="RXQ249" s="5">
        <f t="shared" si="199"/>
        <v>0</v>
      </c>
      <c r="RXR249" s="5">
        <f t="shared" si="199"/>
        <v>0</v>
      </c>
      <c r="RXS249" s="5">
        <f t="shared" si="199"/>
        <v>0</v>
      </c>
      <c r="RXT249" s="5">
        <f t="shared" si="199"/>
        <v>0</v>
      </c>
      <c r="RXU249" s="5">
        <f t="shared" si="199"/>
        <v>0</v>
      </c>
      <c r="RXV249" s="5">
        <f t="shared" si="199"/>
        <v>0</v>
      </c>
      <c r="RXW249" s="5">
        <f t="shared" si="199"/>
        <v>0</v>
      </c>
      <c r="RXX249" s="5">
        <f t="shared" si="199"/>
        <v>0</v>
      </c>
      <c r="RXY249" s="5">
        <f t="shared" si="199"/>
        <v>0</v>
      </c>
      <c r="RXZ249" s="5">
        <f t="shared" ref="RXZ249:SAK249" si="200">SUM(RXZ246:RXZ246)</f>
        <v>0</v>
      </c>
      <c r="RYA249" s="5">
        <f t="shared" si="200"/>
        <v>0</v>
      </c>
      <c r="RYB249" s="5">
        <f t="shared" si="200"/>
        <v>0</v>
      </c>
      <c r="RYC249" s="5">
        <f t="shared" si="200"/>
        <v>0</v>
      </c>
      <c r="RYD249" s="5">
        <f t="shared" si="200"/>
        <v>0</v>
      </c>
      <c r="RYE249" s="5">
        <f t="shared" si="200"/>
        <v>0</v>
      </c>
      <c r="RYF249" s="5">
        <f t="shared" si="200"/>
        <v>0</v>
      </c>
      <c r="RYG249" s="5">
        <f t="shared" si="200"/>
        <v>0</v>
      </c>
      <c r="RYH249" s="5">
        <f t="shared" si="200"/>
        <v>0</v>
      </c>
      <c r="RYI249" s="5">
        <f t="shared" si="200"/>
        <v>0</v>
      </c>
      <c r="RYJ249" s="5">
        <f t="shared" si="200"/>
        <v>0</v>
      </c>
      <c r="RYK249" s="5">
        <f t="shared" si="200"/>
        <v>0</v>
      </c>
      <c r="RYL249" s="5">
        <f t="shared" si="200"/>
        <v>0</v>
      </c>
      <c r="RYM249" s="5">
        <f t="shared" si="200"/>
        <v>0</v>
      </c>
      <c r="RYN249" s="5">
        <f t="shared" si="200"/>
        <v>0</v>
      </c>
      <c r="RYO249" s="5">
        <f t="shared" si="200"/>
        <v>0</v>
      </c>
      <c r="RYP249" s="5">
        <f t="shared" si="200"/>
        <v>0</v>
      </c>
      <c r="RYQ249" s="5">
        <f t="shared" si="200"/>
        <v>0</v>
      </c>
      <c r="RYR249" s="5">
        <f t="shared" si="200"/>
        <v>0</v>
      </c>
      <c r="RYS249" s="5">
        <f t="shared" si="200"/>
        <v>0</v>
      </c>
      <c r="RYT249" s="5">
        <f t="shared" si="200"/>
        <v>0</v>
      </c>
      <c r="RYU249" s="5">
        <f t="shared" si="200"/>
        <v>0</v>
      </c>
      <c r="RYV249" s="5">
        <f t="shared" si="200"/>
        <v>0</v>
      </c>
      <c r="RYW249" s="5">
        <f t="shared" si="200"/>
        <v>0</v>
      </c>
      <c r="RYX249" s="5">
        <f t="shared" si="200"/>
        <v>0</v>
      </c>
      <c r="RYY249" s="5">
        <f t="shared" si="200"/>
        <v>0</v>
      </c>
      <c r="RYZ249" s="5">
        <f t="shared" si="200"/>
        <v>0</v>
      </c>
      <c r="RZA249" s="5">
        <f t="shared" si="200"/>
        <v>0</v>
      </c>
      <c r="RZB249" s="5">
        <f t="shared" si="200"/>
        <v>0</v>
      </c>
      <c r="RZC249" s="5">
        <f t="shared" si="200"/>
        <v>0</v>
      </c>
      <c r="RZD249" s="5">
        <f t="shared" si="200"/>
        <v>0</v>
      </c>
      <c r="RZE249" s="5">
        <f t="shared" si="200"/>
        <v>0</v>
      </c>
      <c r="RZF249" s="5">
        <f t="shared" si="200"/>
        <v>0</v>
      </c>
      <c r="RZG249" s="5">
        <f t="shared" si="200"/>
        <v>0</v>
      </c>
      <c r="RZH249" s="5">
        <f t="shared" si="200"/>
        <v>0</v>
      </c>
      <c r="RZI249" s="5">
        <f t="shared" si="200"/>
        <v>0</v>
      </c>
      <c r="RZJ249" s="5">
        <f t="shared" si="200"/>
        <v>0</v>
      </c>
      <c r="RZK249" s="5">
        <f t="shared" si="200"/>
        <v>0</v>
      </c>
      <c r="RZL249" s="5">
        <f t="shared" si="200"/>
        <v>0</v>
      </c>
      <c r="RZM249" s="5">
        <f t="shared" si="200"/>
        <v>0</v>
      </c>
      <c r="RZN249" s="5">
        <f t="shared" si="200"/>
        <v>0</v>
      </c>
      <c r="RZO249" s="5">
        <f t="shared" si="200"/>
        <v>0</v>
      </c>
      <c r="RZP249" s="5">
        <f t="shared" si="200"/>
        <v>0</v>
      </c>
      <c r="RZQ249" s="5">
        <f t="shared" si="200"/>
        <v>0</v>
      </c>
      <c r="RZR249" s="5">
        <f t="shared" si="200"/>
        <v>0</v>
      </c>
      <c r="RZS249" s="5">
        <f t="shared" si="200"/>
        <v>0</v>
      </c>
      <c r="RZT249" s="5">
        <f t="shared" si="200"/>
        <v>0</v>
      </c>
      <c r="RZU249" s="5">
        <f t="shared" si="200"/>
        <v>0</v>
      </c>
      <c r="RZV249" s="5">
        <f t="shared" si="200"/>
        <v>0</v>
      </c>
      <c r="RZW249" s="5">
        <f t="shared" si="200"/>
        <v>0</v>
      </c>
      <c r="RZX249" s="5">
        <f t="shared" si="200"/>
        <v>0</v>
      </c>
      <c r="RZY249" s="5">
        <f t="shared" si="200"/>
        <v>0</v>
      </c>
      <c r="RZZ249" s="5">
        <f t="shared" si="200"/>
        <v>0</v>
      </c>
      <c r="SAA249" s="5">
        <f t="shared" si="200"/>
        <v>0</v>
      </c>
      <c r="SAB249" s="5">
        <f t="shared" si="200"/>
        <v>0</v>
      </c>
      <c r="SAC249" s="5">
        <f t="shared" si="200"/>
        <v>0</v>
      </c>
      <c r="SAD249" s="5">
        <f t="shared" si="200"/>
        <v>0</v>
      </c>
      <c r="SAE249" s="5">
        <f t="shared" si="200"/>
        <v>0</v>
      </c>
      <c r="SAF249" s="5">
        <f t="shared" si="200"/>
        <v>0</v>
      </c>
      <c r="SAG249" s="5">
        <f t="shared" si="200"/>
        <v>0</v>
      </c>
      <c r="SAH249" s="5">
        <f t="shared" si="200"/>
        <v>0</v>
      </c>
      <c r="SAI249" s="5">
        <f t="shared" si="200"/>
        <v>0</v>
      </c>
      <c r="SAJ249" s="5">
        <f t="shared" si="200"/>
        <v>0</v>
      </c>
      <c r="SAK249" s="5">
        <f t="shared" si="200"/>
        <v>0</v>
      </c>
      <c r="SAL249" s="5">
        <f t="shared" ref="SAL249:SCW249" si="201">SUM(SAL246:SAL246)</f>
        <v>0</v>
      </c>
      <c r="SAM249" s="5">
        <f t="shared" si="201"/>
        <v>0</v>
      </c>
      <c r="SAN249" s="5">
        <f t="shared" si="201"/>
        <v>0</v>
      </c>
      <c r="SAO249" s="5">
        <f t="shared" si="201"/>
        <v>0</v>
      </c>
      <c r="SAP249" s="5">
        <f t="shared" si="201"/>
        <v>0</v>
      </c>
      <c r="SAQ249" s="5">
        <f t="shared" si="201"/>
        <v>0</v>
      </c>
      <c r="SAR249" s="5">
        <f t="shared" si="201"/>
        <v>0</v>
      </c>
      <c r="SAS249" s="5">
        <f t="shared" si="201"/>
        <v>0</v>
      </c>
      <c r="SAT249" s="5">
        <f t="shared" si="201"/>
        <v>0</v>
      </c>
      <c r="SAU249" s="5">
        <f t="shared" si="201"/>
        <v>0</v>
      </c>
      <c r="SAV249" s="5">
        <f t="shared" si="201"/>
        <v>0</v>
      </c>
      <c r="SAW249" s="5">
        <f t="shared" si="201"/>
        <v>0</v>
      </c>
      <c r="SAX249" s="5">
        <f t="shared" si="201"/>
        <v>0</v>
      </c>
      <c r="SAY249" s="5">
        <f t="shared" si="201"/>
        <v>0</v>
      </c>
      <c r="SAZ249" s="5">
        <f t="shared" si="201"/>
        <v>0</v>
      </c>
      <c r="SBA249" s="5">
        <f t="shared" si="201"/>
        <v>0</v>
      </c>
      <c r="SBB249" s="5">
        <f t="shared" si="201"/>
        <v>0</v>
      </c>
      <c r="SBC249" s="5">
        <f t="shared" si="201"/>
        <v>0</v>
      </c>
      <c r="SBD249" s="5">
        <f t="shared" si="201"/>
        <v>0</v>
      </c>
      <c r="SBE249" s="5">
        <f t="shared" si="201"/>
        <v>0</v>
      </c>
      <c r="SBF249" s="5">
        <f t="shared" si="201"/>
        <v>0</v>
      </c>
      <c r="SBG249" s="5">
        <f t="shared" si="201"/>
        <v>0</v>
      </c>
      <c r="SBH249" s="5">
        <f t="shared" si="201"/>
        <v>0</v>
      </c>
      <c r="SBI249" s="5">
        <f t="shared" si="201"/>
        <v>0</v>
      </c>
      <c r="SBJ249" s="5">
        <f t="shared" si="201"/>
        <v>0</v>
      </c>
      <c r="SBK249" s="5">
        <f t="shared" si="201"/>
        <v>0</v>
      </c>
      <c r="SBL249" s="5">
        <f t="shared" si="201"/>
        <v>0</v>
      </c>
      <c r="SBM249" s="5">
        <f t="shared" si="201"/>
        <v>0</v>
      </c>
      <c r="SBN249" s="5">
        <f t="shared" si="201"/>
        <v>0</v>
      </c>
      <c r="SBO249" s="5">
        <f t="shared" si="201"/>
        <v>0</v>
      </c>
      <c r="SBP249" s="5">
        <f t="shared" si="201"/>
        <v>0</v>
      </c>
      <c r="SBQ249" s="5">
        <f t="shared" si="201"/>
        <v>0</v>
      </c>
      <c r="SBR249" s="5">
        <f t="shared" si="201"/>
        <v>0</v>
      </c>
      <c r="SBS249" s="5">
        <f t="shared" si="201"/>
        <v>0</v>
      </c>
      <c r="SBT249" s="5">
        <f t="shared" si="201"/>
        <v>0</v>
      </c>
      <c r="SBU249" s="5">
        <f t="shared" si="201"/>
        <v>0</v>
      </c>
      <c r="SBV249" s="5">
        <f t="shared" si="201"/>
        <v>0</v>
      </c>
      <c r="SBW249" s="5">
        <f t="shared" si="201"/>
        <v>0</v>
      </c>
      <c r="SBX249" s="5">
        <f t="shared" si="201"/>
        <v>0</v>
      </c>
      <c r="SBY249" s="5">
        <f t="shared" si="201"/>
        <v>0</v>
      </c>
      <c r="SBZ249" s="5">
        <f t="shared" si="201"/>
        <v>0</v>
      </c>
      <c r="SCA249" s="5">
        <f t="shared" si="201"/>
        <v>0</v>
      </c>
      <c r="SCB249" s="5">
        <f t="shared" si="201"/>
        <v>0</v>
      </c>
      <c r="SCC249" s="5">
        <f t="shared" si="201"/>
        <v>0</v>
      </c>
      <c r="SCD249" s="5">
        <f t="shared" si="201"/>
        <v>0</v>
      </c>
      <c r="SCE249" s="5">
        <f t="shared" si="201"/>
        <v>0</v>
      </c>
      <c r="SCF249" s="5">
        <f t="shared" si="201"/>
        <v>0</v>
      </c>
      <c r="SCG249" s="5">
        <f t="shared" si="201"/>
        <v>0</v>
      </c>
      <c r="SCH249" s="5">
        <f t="shared" si="201"/>
        <v>0</v>
      </c>
      <c r="SCI249" s="5">
        <f t="shared" si="201"/>
        <v>0</v>
      </c>
      <c r="SCJ249" s="5">
        <f t="shared" si="201"/>
        <v>0</v>
      </c>
      <c r="SCK249" s="5">
        <f t="shared" si="201"/>
        <v>0</v>
      </c>
      <c r="SCL249" s="5">
        <f t="shared" si="201"/>
        <v>0</v>
      </c>
      <c r="SCM249" s="5">
        <f t="shared" si="201"/>
        <v>0</v>
      </c>
      <c r="SCN249" s="5">
        <f t="shared" si="201"/>
        <v>0</v>
      </c>
      <c r="SCO249" s="5">
        <f t="shared" si="201"/>
        <v>0</v>
      </c>
      <c r="SCP249" s="5">
        <f t="shared" si="201"/>
        <v>0</v>
      </c>
      <c r="SCQ249" s="5">
        <f t="shared" si="201"/>
        <v>0</v>
      </c>
      <c r="SCR249" s="5">
        <f t="shared" si="201"/>
        <v>0</v>
      </c>
      <c r="SCS249" s="5">
        <f t="shared" si="201"/>
        <v>0</v>
      </c>
      <c r="SCT249" s="5">
        <f t="shared" si="201"/>
        <v>0</v>
      </c>
      <c r="SCU249" s="5">
        <f t="shared" si="201"/>
        <v>0</v>
      </c>
      <c r="SCV249" s="5">
        <f t="shared" si="201"/>
        <v>0</v>
      </c>
      <c r="SCW249" s="5">
        <f t="shared" si="201"/>
        <v>0</v>
      </c>
      <c r="SCX249" s="5">
        <f t="shared" ref="SCX249:SFI249" si="202">SUM(SCX246:SCX246)</f>
        <v>0</v>
      </c>
      <c r="SCY249" s="5">
        <f t="shared" si="202"/>
        <v>0</v>
      </c>
      <c r="SCZ249" s="5">
        <f t="shared" si="202"/>
        <v>0</v>
      </c>
      <c r="SDA249" s="5">
        <f t="shared" si="202"/>
        <v>0</v>
      </c>
      <c r="SDB249" s="5">
        <f t="shared" si="202"/>
        <v>0</v>
      </c>
      <c r="SDC249" s="5">
        <f t="shared" si="202"/>
        <v>0</v>
      </c>
      <c r="SDD249" s="5">
        <f t="shared" si="202"/>
        <v>0</v>
      </c>
      <c r="SDE249" s="5">
        <f t="shared" si="202"/>
        <v>0</v>
      </c>
      <c r="SDF249" s="5">
        <f t="shared" si="202"/>
        <v>0</v>
      </c>
      <c r="SDG249" s="5">
        <f t="shared" si="202"/>
        <v>0</v>
      </c>
      <c r="SDH249" s="5">
        <f t="shared" si="202"/>
        <v>0</v>
      </c>
      <c r="SDI249" s="5">
        <f t="shared" si="202"/>
        <v>0</v>
      </c>
      <c r="SDJ249" s="5">
        <f t="shared" si="202"/>
        <v>0</v>
      </c>
      <c r="SDK249" s="5">
        <f t="shared" si="202"/>
        <v>0</v>
      </c>
      <c r="SDL249" s="5">
        <f t="shared" si="202"/>
        <v>0</v>
      </c>
      <c r="SDM249" s="5">
        <f t="shared" si="202"/>
        <v>0</v>
      </c>
      <c r="SDN249" s="5">
        <f t="shared" si="202"/>
        <v>0</v>
      </c>
      <c r="SDO249" s="5">
        <f t="shared" si="202"/>
        <v>0</v>
      </c>
      <c r="SDP249" s="5">
        <f t="shared" si="202"/>
        <v>0</v>
      </c>
      <c r="SDQ249" s="5">
        <f t="shared" si="202"/>
        <v>0</v>
      </c>
      <c r="SDR249" s="5">
        <f t="shared" si="202"/>
        <v>0</v>
      </c>
      <c r="SDS249" s="5">
        <f t="shared" si="202"/>
        <v>0</v>
      </c>
      <c r="SDT249" s="5">
        <f t="shared" si="202"/>
        <v>0</v>
      </c>
      <c r="SDU249" s="5">
        <f t="shared" si="202"/>
        <v>0</v>
      </c>
      <c r="SDV249" s="5">
        <f t="shared" si="202"/>
        <v>0</v>
      </c>
      <c r="SDW249" s="5">
        <f t="shared" si="202"/>
        <v>0</v>
      </c>
      <c r="SDX249" s="5">
        <f t="shared" si="202"/>
        <v>0</v>
      </c>
      <c r="SDY249" s="5">
        <f t="shared" si="202"/>
        <v>0</v>
      </c>
      <c r="SDZ249" s="5">
        <f t="shared" si="202"/>
        <v>0</v>
      </c>
      <c r="SEA249" s="5">
        <f t="shared" si="202"/>
        <v>0</v>
      </c>
      <c r="SEB249" s="5">
        <f t="shared" si="202"/>
        <v>0</v>
      </c>
      <c r="SEC249" s="5">
        <f t="shared" si="202"/>
        <v>0</v>
      </c>
      <c r="SED249" s="5">
        <f t="shared" si="202"/>
        <v>0</v>
      </c>
      <c r="SEE249" s="5">
        <f t="shared" si="202"/>
        <v>0</v>
      </c>
      <c r="SEF249" s="5">
        <f t="shared" si="202"/>
        <v>0</v>
      </c>
      <c r="SEG249" s="5">
        <f t="shared" si="202"/>
        <v>0</v>
      </c>
      <c r="SEH249" s="5">
        <f t="shared" si="202"/>
        <v>0</v>
      </c>
      <c r="SEI249" s="5">
        <f t="shared" si="202"/>
        <v>0</v>
      </c>
      <c r="SEJ249" s="5">
        <f t="shared" si="202"/>
        <v>0</v>
      </c>
      <c r="SEK249" s="5">
        <f t="shared" si="202"/>
        <v>0</v>
      </c>
      <c r="SEL249" s="5">
        <f t="shared" si="202"/>
        <v>0</v>
      </c>
      <c r="SEM249" s="5">
        <f t="shared" si="202"/>
        <v>0</v>
      </c>
      <c r="SEN249" s="5">
        <f t="shared" si="202"/>
        <v>0</v>
      </c>
      <c r="SEO249" s="5">
        <f t="shared" si="202"/>
        <v>0</v>
      </c>
      <c r="SEP249" s="5">
        <f t="shared" si="202"/>
        <v>0</v>
      </c>
      <c r="SEQ249" s="5">
        <f t="shared" si="202"/>
        <v>0</v>
      </c>
      <c r="SER249" s="5">
        <f t="shared" si="202"/>
        <v>0</v>
      </c>
      <c r="SES249" s="5">
        <f t="shared" si="202"/>
        <v>0</v>
      </c>
      <c r="SET249" s="5">
        <f t="shared" si="202"/>
        <v>0</v>
      </c>
      <c r="SEU249" s="5">
        <f t="shared" si="202"/>
        <v>0</v>
      </c>
      <c r="SEV249" s="5">
        <f t="shared" si="202"/>
        <v>0</v>
      </c>
      <c r="SEW249" s="5">
        <f t="shared" si="202"/>
        <v>0</v>
      </c>
      <c r="SEX249" s="5">
        <f t="shared" si="202"/>
        <v>0</v>
      </c>
      <c r="SEY249" s="5">
        <f t="shared" si="202"/>
        <v>0</v>
      </c>
      <c r="SEZ249" s="5">
        <f t="shared" si="202"/>
        <v>0</v>
      </c>
      <c r="SFA249" s="5">
        <f t="shared" si="202"/>
        <v>0</v>
      </c>
      <c r="SFB249" s="5">
        <f t="shared" si="202"/>
        <v>0</v>
      </c>
      <c r="SFC249" s="5">
        <f t="shared" si="202"/>
        <v>0</v>
      </c>
      <c r="SFD249" s="5">
        <f t="shared" si="202"/>
        <v>0</v>
      </c>
      <c r="SFE249" s="5">
        <f t="shared" si="202"/>
        <v>0</v>
      </c>
      <c r="SFF249" s="5">
        <f t="shared" si="202"/>
        <v>0</v>
      </c>
      <c r="SFG249" s="5">
        <f t="shared" si="202"/>
        <v>0</v>
      </c>
      <c r="SFH249" s="5">
        <f t="shared" si="202"/>
        <v>0</v>
      </c>
      <c r="SFI249" s="5">
        <f t="shared" si="202"/>
        <v>0</v>
      </c>
      <c r="SFJ249" s="5">
        <f t="shared" ref="SFJ249:SHU249" si="203">SUM(SFJ246:SFJ246)</f>
        <v>0</v>
      </c>
      <c r="SFK249" s="5">
        <f t="shared" si="203"/>
        <v>0</v>
      </c>
      <c r="SFL249" s="5">
        <f t="shared" si="203"/>
        <v>0</v>
      </c>
      <c r="SFM249" s="5">
        <f t="shared" si="203"/>
        <v>0</v>
      </c>
      <c r="SFN249" s="5">
        <f t="shared" si="203"/>
        <v>0</v>
      </c>
      <c r="SFO249" s="5">
        <f t="shared" si="203"/>
        <v>0</v>
      </c>
      <c r="SFP249" s="5">
        <f t="shared" si="203"/>
        <v>0</v>
      </c>
      <c r="SFQ249" s="5">
        <f t="shared" si="203"/>
        <v>0</v>
      </c>
      <c r="SFR249" s="5">
        <f t="shared" si="203"/>
        <v>0</v>
      </c>
      <c r="SFS249" s="5">
        <f t="shared" si="203"/>
        <v>0</v>
      </c>
      <c r="SFT249" s="5">
        <f t="shared" si="203"/>
        <v>0</v>
      </c>
      <c r="SFU249" s="5">
        <f t="shared" si="203"/>
        <v>0</v>
      </c>
      <c r="SFV249" s="5">
        <f t="shared" si="203"/>
        <v>0</v>
      </c>
      <c r="SFW249" s="5">
        <f t="shared" si="203"/>
        <v>0</v>
      </c>
      <c r="SFX249" s="5">
        <f t="shared" si="203"/>
        <v>0</v>
      </c>
      <c r="SFY249" s="5">
        <f t="shared" si="203"/>
        <v>0</v>
      </c>
      <c r="SFZ249" s="5">
        <f t="shared" si="203"/>
        <v>0</v>
      </c>
      <c r="SGA249" s="5">
        <f t="shared" si="203"/>
        <v>0</v>
      </c>
      <c r="SGB249" s="5">
        <f t="shared" si="203"/>
        <v>0</v>
      </c>
      <c r="SGC249" s="5">
        <f t="shared" si="203"/>
        <v>0</v>
      </c>
      <c r="SGD249" s="5">
        <f t="shared" si="203"/>
        <v>0</v>
      </c>
      <c r="SGE249" s="5">
        <f t="shared" si="203"/>
        <v>0</v>
      </c>
      <c r="SGF249" s="5">
        <f t="shared" si="203"/>
        <v>0</v>
      </c>
      <c r="SGG249" s="5">
        <f t="shared" si="203"/>
        <v>0</v>
      </c>
      <c r="SGH249" s="5">
        <f t="shared" si="203"/>
        <v>0</v>
      </c>
      <c r="SGI249" s="5">
        <f t="shared" si="203"/>
        <v>0</v>
      </c>
      <c r="SGJ249" s="5">
        <f t="shared" si="203"/>
        <v>0</v>
      </c>
      <c r="SGK249" s="5">
        <f t="shared" si="203"/>
        <v>0</v>
      </c>
      <c r="SGL249" s="5">
        <f t="shared" si="203"/>
        <v>0</v>
      </c>
      <c r="SGM249" s="5">
        <f t="shared" si="203"/>
        <v>0</v>
      </c>
      <c r="SGN249" s="5">
        <f t="shared" si="203"/>
        <v>0</v>
      </c>
      <c r="SGO249" s="5">
        <f t="shared" si="203"/>
        <v>0</v>
      </c>
      <c r="SGP249" s="5">
        <f t="shared" si="203"/>
        <v>0</v>
      </c>
      <c r="SGQ249" s="5">
        <f t="shared" si="203"/>
        <v>0</v>
      </c>
      <c r="SGR249" s="5">
        <f t="shared" si="203"/>
        <v>0</v>
      </c>
      <c r="SGS249" s="5">
        <f t="shared" si="203"/>
        <v>0</v>
      </c>
      <c r="SGT249" s="5">
        <f t="shared" si="203"/>
        <v>0</v>
      </c>
      <c r="SGU249" s="5">
        <f t="shared" si="203"/>
        <v>0</v>
      </c>
      <c r="SGV249" s="5">
        <f t="shared" si="203"/>
        <v>0</v>
      </c>
      <c r="SGW249" s="5">
        <f t="shared" si="203"/>
        <v>0</v>
      </c>
      <c r="SGX249" s="5">
        <f t="shared" si="203"/>
        <v>0</v>
      </c>
      <c r="SGY249" s="5">
        <f t="shared" si="203"/>
        <v>0</v>
      </c>
      <c r="SGZ249" s="5">
        <f t="shared" si="203"/>
        <v>0</v>
      </c>
      <c r="SHA249" s="5">
        <f t="shared" si="203"/>
        <v>0</v>
      </c>
      <c r="SHB249" s="5">
        <f t="shared" si="203"/>
        <v>0</v>
      </c>
      <c r="SHC249" s="5">
        <f t="shared" si="203"/>
        <v>0</v>
      </c>
      <c r="SHD249" s="5">
        <f t="shared" si="203"/>
        <v>0</v>
      </c>
      <c r="SHE249" s="5">
        <f t="shared" si="203"/>
        <v>0</v>
      </c>
      <c r="SHF249" s="5">
        <f t="shared" si="203"/>
        <v>0</v>
      </c>
      <c r="SHG249" s="5">
        <f t="shared" si="203"/>
        <v>0</v>
      </c>
      <c r="SHH249" s="5">
        <f t="shared" si="203"/>
        <v>0</v>
      </c>
      <c r="SHI249" s="5">
        <f t="shared" si="203"/>
        <v>0</v>
      </c>
      <c r="SHJ249" s="5">
        <f t="shared" si="203"/>
        <v>0</v>
      </c>
      <c r="SHK249" s="5">
        <f t="shared" si="203"/>
        <v>0</v>
      </c>
      <c r="SHL249" s="5">
        <f t="shared" si="203"/>
        <v>0</v>
      </c>
      <c r="SHM249" s="5">
        <f t="shared" si="203"/>
        <v>0</v>
      </c>
      <c r="SHN249" s="5">
        <f t="shared" si="203"/>
        <v>0</v>
      </c>
      <c r="SHO249" s="5">
        <f t="shared" si="203"/>
        <v>0</v>
      </c>
      <c r="SHP249" s="5">
        <f t="shared" si="203"/>
        <v>0</v>
      </c>
      <c r="SHQ249" s="5">
        <f t="shared" si="203"/>
        <v>0</v>
      </c>
      <c r="SHR249" s="5">
        <f t="shared" si="203"/>
        <v>0</v>
      </c>
      <c r="SHS249" s="5">
        <f t="shared" si="203"/>
        <v>0</v>
      </c>
      <c r="SHT249" s="5">
        <f t="shared" si="203"/>
        <v>0</v>
      </c>
      <c r="SHU249" s="5">
        <f t="shared" si="203"/>
        <v>0</v>
      </c>
      <c r="SHV249" s="5">
        <f t="shared" ref="SHV249:SKG249" si="204">SUM(SHV246:SHV246)</f>
        <v>0</v>
      </c>
      <c r="SHW249" s="5">
        <f t="shared" si="204"/>
        <v>0</v>
      </c>
      <c r="SHX249" s="5">
        <f t="shared" si="204"/>
        <v>0</v>
      </c>
      <c r="SHY249" s="5">
        <f t="shared" si="204"/>
        <v>0</v>
      </c>
      <c r="SHZ249" s="5">
        <f t="shared" si="204"/>
        <v>0</v>
      </c>
      <c r="SIA249" s="5">
        <f t="shared" si="204"/>
        <v>0</v>
      </c>
      <c r="SIB249" s="5">
        <f t="shared" si="204"/>
        <v>0</v>
      </c>
      <c r="SIC249" s="5">
        <f t="shared" si="204"/>
        <v>0</v>
      </c>
      <c r="SID249" s="5">
        <f t="shared" si="204"/>
        <v>0</v>
      </c>
      <c r="SIE249" s="5">
        <f t="shared" si="204"/>
        <v>0</v>
      </c>
      <c r="SIF249" s="5">
        <f t="shared" si="204"/>
        <v>0</v>
      </c>
      <c r="SIG249" s="5">
        <f t="shared" si="204"/>
        <v>0</v>
      </c>
      <c r="SIH249" s="5">
        <f t="shared" si="204"/>
        <v>0</v>
      </c>
      <c r="SII249" s="5">
        <f t="shared" si="204"/>
        <v>0</v>
      </c>
      <c r="SIJ249" s="5">
        <f t="shared" si="204"/>
        <v>0</v>
      </c>
      <c r="SIK249" s="5">
        <f t="shared" si="204"/>
        <v>0</v>
      </c>
      <c r="SIL249" s="5">
        <f t="shared" si="204"/>
        <v>0</v>
      </c>
      <c r="SIM249" s="5">
        <f t="shared" si="204"/>
        <v>0</v>
      </c>
      <c r="SIN249" s="5">
        <f t="shared" si="204"/>
        <v>0</v>
      </c>
      <c r="SIO249" s="5">
        <f t="shared" si="204"/>
        <v>0</v>
      </c>
      <c r="SIP249" s="5">
        <f t="shared" si="204"/>
        <v>0</v>
      </c>
      <c r="SIQ249" s="5">
        <f t="shared" si="204"/>
        <v>0</v>
      </c>
      <c r="SIR249" s="5">
        <f t="shared" si="204"/>
        <v>0</v>
      </c>
      <c r="SIS249" s="5">
        <f t="shared" si="204"/>
        <v>0</v>
      </c>
      <c r="SIT249" s="5">
        <f t="shared" si="204"/>
        <v>0</v>
      </c>
      <c r="SIU249" s="5">
        <f t="shared" si="204"/>
        <v>0</v>
      </c>
      <c r="SIV249" s="5">
        <f t="shared" si="204"/>
        <v>0</v>
      </c>
      <c r="SIW249" s="5">
        <f t="shared" si="204"/>
        <v>0</v>
      </c>
      <c r="SIX249" s="5">
        <f t="shared" si="204"/>
        <v>0</v>
      </c>
      <c r="SIY249" s="5">
        <f t="shared" si="204"/>
        <v>0</v>
      </c>
      <c r="SIZ249" s="5">
        <f t="shared" si="204"/>
        <v>0</v>
      </c>
      <c r="SJA249" s="5">
        <f t="shared" si="204"/>
        <v>0</v>
      </c>
      <c r="SJB249" s="5">
        <f t="shared" si="204"/>
        <v>0</v>
      </c>
      <c r="SJC249" s="5">
        <f t="shared" si="204"/>
        <v>0</v>
      </c>
      <c r="SJD249" s="5">
        <f t="shared" si="204"/>
        <v>0</v>
      </c>
      <c r="SJE249" s="5">
        <f t="shared" si="204"/>
        <v>0</v>
      </c>
      <c r="SJF249" s="5">
        <f t="shared" si="204"/>
        <v>0</v>
      </c>
      <c r="SJG249" s="5">
        <f t="shared" si="204"/>
        <v>0</v>
      </c>
      <c r="SJH249" s="5">
        <f t="shared" si="204"/>
        <v>0</v>
      </c>
      <c r="SJI249" s="5">
        <f t="shared" si="204"/>
        <v>0</v>
      </c>
      <c r="SJJ249" s="5">
        <f t="shared" si="204"/>
        <v>0</v>
      </c>
      <c r="SJK249" s="5">
        <f t="shared" si="204"/>
        <v>0</v>
      </c>
      <c r="SJL249" s="5">
        <f t="shared" si="204"/>
        <v>0</v>
      </c>
      <c r="SJM249" s="5">
        <f t="shared" si="204"/>
        <v>0</v>
      </c>
      <c r="SJN249" s="5">
        <f t="shared" si="204"/>
        <v>0</v>
      </c>
      <c r="SJO249" s="5">
        <f t="shared" si="204"/>
        <v>0</v>
      </c>
      <c r="SJP249" s="5">
        <f t="shared" si="204"/>
        <v>0</v>
      </c>
      <c r="SJQ249" s="5">
        <f t="shared" si="204"/>
        <v>0</v>
      </c>
      <c r="SJR249" s="5">
        <f t="shared" si="204"/>
        <v>0</v>
      </c>
      <c r="SJS249" s="5">
        <f t="shared" si="204"/>
        <v>0</v>
      </c>
      <c r="SJT249" s="5">
        <f t="shared" si="204"/>
        <v>0</v>
      </c>
      <c r="SJU249" s="5">
        <f t="shared" si="204"/>
        <v>0</v>
      </c>
      <c r="SJV249" s="5">
        <f t="shared" si="204"/>
        <v>0</v>
      </c>
      <c r="SJW249" s="5">
        <f t="shared" si="204"/>
        <v>0</v>
      </c>
      <c r="SJX249" s="5">
        <f t="shared" si="204"/>
        <v>0</v>
      </c>
      <c r="SJY249" s="5">
        <f t="shared" si="204"/>
        <v>0</v>
      </c>
      <c r="SJZ249" s="5">
        <f t="shared" si="204"/>
        <v>0</v>
      </c>
      <c r="SKA249" s="5">
        <f t="shared" si="204"/>
        <v>0</v>
      </c>
      <c r="SKB249" s="5">
        <f t="shared" si="204"/>
        <v>0</v>
      </c>
      <c r="SKC249" s="5">
        <f t="shared" si="204"/>
        <v>0</v>
      </c>
      <c r="SKD249" s="5">
        <f t="shared" si="204"/>
        <v>0</v>
      </c>
      <c r="SKE249" s="5">
        <f t="shared" si="204"/>
        <v>0</v>
      </c>
      <c r="SKF249" s="5">
        <f t="shared" si="204"/>
        <v>0</v>
      </c>
      <c r="SKG249" s="5">
        <f t="shared" si="204"/>
        <v>0</v>
      </c>
      <c r="SKH249" s="5">
        <f t="shared" ref="SKH249:SMS249" si="205">SUM(SKH246:SKH246)</f>
        <v>0</v>
      </c>
      <c r="SKI249" s="5">
        <f t="shared" si="205"/>
        <v>0</v>
      </c>
      <c r="SKJ249" s="5">
        <f t="shared" si="205"/>
        <v>0</v>
      </c>
      <c r="SKK249" s="5">
        <f t="shared" si="205"/>
        <v>0</v>
      </c>
      <c r="SKL249" s="5">
        <f t="shared" si="205"/>
        <v>0</v>
      </c>
      <c r="SKM249" s="5">
        <f t="shared" si="205"/>
        <v>0</v>
      </c>
      <c r="SKN249" s="5">
        <f t="shared" si="205"/>
        <v>0</v>
      </c>
      <c r="SKO249" s="5">
        <f t="shared" si="205"/>
        <v>0</v>
      </c>
      <c r="SKP249" s="5">
        <f t="shared" si="205"/>
        <v>0</v>
      </c>
      <c r="SKQ249" s="5">
        <f t="shared" si="205"/>
        <v>0</v>
      </c>
      <c r="SKR249" s="5">
        <f t="shared" si="205"/>
        <v>0</v>
      </c>
      <c r="SKS249" s="5">
        <f t="shared" si="205"/>
        <v>0</v>
      </c>
      <c r="SKT249" s="5">
        <f t="shared" si="205"/>
        <v>0</v>
      </c>
      <c r="SKU249" s="5">
        <f t="shared" si="205"/>
        <v>0</v>
      </c>
      <c r="SKV249" s="5">
        <f t="shared" si="205"/>
        <v>0</v>
      </c>
      <c r="SKW249" s="5">
        <f t="shared" si="205"/>
        <v>0</v>
      </c>
      <c r="SKX249" s="5">
        <f t="shared" si="205"/>
        <v>0</v>
      </c>
      <c r="SKY249" s="5">
        <f t="shared" si="205"/>
        <v>0</v>
      </c>
      <c r="SKZ249" s="5">
        <f t="shared" si="205"/>
        <v>0</v>
      </c>
      <c r="SLA249" s="5">
        <f t="shared" si="205"/>
        <v>0</v>
      </c>
      <c r="SLB249" s="5">
        <f t="shared" si="205"/>
        <v>0</v>
      </c>
      <c r="SLC249" s="5">
        <f t="shared" si="205"/>
        <v>0</v>
      </c>
      <c r="SLD249" s="5">
        <f t="shared" si="205"/>
        <v>0</v>
      </c>
      <c r="SLE249" s="5">
        <f t="shared" si="205"/>
        <v>0</v>
      </c>
      <c r="SLF249" s="5">
        <f t="shared" si="205"/>
        <v>0</v>
      </c>
      <c r="SLG249" s="5">
        <f t="shared" si="205"/>
        <v>0</v>
      </c>
      <c r="SLH249" s="5">
        <f t="shared" si="205"/>
        <v>0</v>
      </c>
      <c r="SLI249" s="5">
        <f t="shared" si="205"/>
        <v>0</v>
      </c>
      <c r="SLJ249" s="5">
        <f t="shared" si="205"/>
        <v>0</v>
      </c>
      <c r="SLK249" s="5">
        <f t="shared" si="205"/>
        <v>0</v>
      </c>
      <c r="SLL249" s="5">
        <f t="shared" si="205"/>
        <v>0</v>
      </c>
      <c r="SLM249" s="5">
        <f t="shared" si="205"/>
        <v>0</v>
      </c>
      <c r="SLN249" s="5">
        <f t="shared" si="205"/>
        <v>0</v>
      </c>
      <c r="SLO249" s="5">
        <f t="shared" si="205"/>
        <v>0</v>
      </c>
      <c r="SLP249" s="5">
        <f t="shared" si="205"/>
        <v>0</v>
      </c>
      <c r="SLQ249" s="5">
        <f t="shared" si="205"/>
        <v>0</v>
      </c>
      <c r="SLR249" s="5">
        <f t="shared" si="205"/>
        <v>0</v>
      </c>
      <c r="SLS249" s="5">
        <f t="shared" si="205"/>
        <v>0</v>
      </c>
      <c r="SLT249" s="5">
        <f t="shared" si="205"/>
        <v>0</v>
      </c>
      <c r="SLU249" s="5">
        <f t="shared" si="205"/>
        <v>0</v>
      </c>
      <c r="SLV249" s="5">
        <f t="shared" si="205"/>
        <v>0</v>
      </c>
      <c r="SLW249" s="5">
        <f t="shared" si="205"/>
        <v>0</v>
      </c>
      <c r="SLX249" s="5">
        <f t="shared" si="205"/>
        <v>0</v>
      </c>
      <c r="SLY249" s="5">
        <f t="shared" si="205"/>
        <v>0</v>
      </c>
      <c r="SLZ249" s="5">
        <f t="shared" si="205"/>
        <v>0</v>
      </c>
      <c r="SMA249" s="5">
        <f t="shared" si="205"/>
        <v>0</v>
      </c>
      <c r="SMB249" s="5">
        <f t="shared" si="205"/>
        <v>0</v>
      </c>
      <c r="SMC249" s="5">
        <f t="shared" si="205"/>
        <v>0</v>
      </c>
      <c r="SMD249" s="5">
        <f t="shared" si="205"/>
        <v>0</v>
      </c>
      <c r="SME249" s="5">
        <f t="shared" si="205"/>
        <v>0</v>
      </c>
      <c r="SMF249" s="5">
        <f t="shared" si="205"/>
        <v>0</v>
      </c>
      <c r="SMG249" s="5">
        <f t="shared" si="205"/>
        <v>0</v>
      </c>
      <c r="SMH249" s="5">
        <f t="shared" si="205"/>
        <v>0</v>
      </c>
      <c r="SMI249" s="5">
        <f t="shared" si="205"/>
        <v>0</v>
      </c>
      <c r="SMJ249" s="5">
        <f t="shared" si="205"/>
        <v>0</v>
      </c>
      <c r="SMK249" s="5">
        <f t="shared" si="205"/>
        <v>0</v>
      </c>
      <c r="SML249" s="5">
        <f t="shared" si="205"/>
        <v>0</v>
      </c>
      <c r="SMM249" s="5">
        <f t="shared" si="205"/>
        <v>0</v>
      </c>
      <c r="SMN249" s="5">
        <f t="shared" si="205"/>
        <v>0</v>
      </c>
      <c r="SMO249" s="5">
        <f t="shared" si="205"/>
        <v>0</v>
      </c>
      <c r="SMP249" s="5">
        <f t="shared" si="205"/>
        <v>0</v>
      </c>
      <c r="SMQ249" s="5">
        <f t="shared" si="205"/>
        <v>0</v>
      </c>
      <c r="SMR249" s="5">
        <f t="shared" si="205"/>
        <v>0</v>
      </c>
      <c r="SMS249" s="5">
        <f t="shared" si="205"/>
        <v>0</v>
      </c>
      <c r="SMT249" s="5">
        <f t="shared" ref="SMT249:SPE249" si="206">SUM(SMT246:SMT246)</f>
        <v>0</v>
      </c>
      <c r="SMU249" s="5">
        <f t="shared" si="206"/>
        <v>0</v>
      </c>
      <c r="SMV249" s="5">
        <f t="shared" si="206"/>
        <v>0</v>
      </c>
      <c r="SMW249" s="5">
        <f t="shared" si="206"/>
        <v>0</v>
      </c>
      <c r="SMX249" s="5">
        <f t="shared" si="206"/>
        <v>0</v>
      </c>
      <c r="SMY249" s="5">
        <f t="shared" si="206"/>
        <v>0</v>
      </c>
      <c r="SMZ249" s="5">
        <f t="shared" si="206"/>
        <v>0</v>
      </c>
      <c r="SNA249" s="5">
        <f t="shared" si="206"/>
        <v>0</v>
      </c>
      <c r="SNB249" s="5">
        <f t="shared" si="206"/>
        <v>0</v>
      </c>
      <c r="SNC249" s="5">
        <f t="shared" si="206"/>
        <v>0</v>
      </c>
      <c r="SND249" s="5">
        <f t="shared" si="206"/>
        <v>0</v>
      </c>
      <c r="SNE249" s="5">
        <f t="shared" si="206"/>
        <v>0</v>
      </c>
      <c r="SNF249" s="5">
        <f t="shared" si="206"/>
        <v>0</v>
      </c>
      <c r="SNG249" s="5">
        <f t="shared" si="206"/>
        <v>0</v>
      </c>
      <c r="SNH249" s="5">
        <f t="shared" si="206"/>
        <v>0</v>
      </c>
      <c r="SNI249" s="5">
        <f t="shared" si="206"/>
        <v>0</v>
      </c>
      <c r="SNJ249" s="5">
        <f t="shared" si="206"/>
        <v>0</v>
      </c>
      <c r="SNK249" s="5">
        <f t="shared" si="206"/>
        <v>0</v>
      </c>
      <c r="SNL249" s="5">
        <f t="shared" si="206"/>
        <v>0</v>
      </c>
      <c r="SNM249" s="5">
        <f t="shared" si="206"/>
        <v>0</v>
      </c>
      <c r="SNN249" s="5">
        <f t="shared" si="206"/>
        <v>0</v>
      </c>
      <c r="SNO249" s="5">
        <f t="shared" si="206"/>
        <v>0</v>
      </c>
      <c r="SNP249" s="5">
        <f t="shared" si="206"/>
        <v>0</v>
      </c>
      <c r="SNQ249" s="5">
        <f t="shared" si="206"/>
        <v>0</v>
      </c>
      <c r="SNR249" s="5">
        <f t="shared" si="206"/>
        <v>0</v>
      </c>
      <c r="SNS249" s="5">
        <f t="shared" si="206"/>
        <v>0</v>
      </c>
      <c r="SNT249" s="5">
        <f t="shared" si="206"/>
        <v>0</v>
      </c>
      <c r="SNU249" s="5">
        <f t="shared" si="206"/>
        <v>0</v>
      </c>
      <c r="SNV249" s="5">
        <f t="shared" si="206"/>
        <v>0</v>
      </c>
      <c r="SNW249" s="5">
        <f t="shared" si="206"/>
        <v>0</v>
      </c>
      <c r="SNX249" s="5">
        <f t="shared" si="206"/>
        <v>0</v>
      </c>
      <c r="SNY249" s="5">
        <f t="shared" si="206"/>
        <v>0</v>
      </c>
      <c r="SNZ249" s="5">
        <f t="shared" si="206"/>
        <v>0</v>
      </c>
      <c r="SOA249" s="5">
        <f t="shared" si="206"/>
        <v>0</v>
      </c>
      <c r="SOB249" s="5">
        <f t="shared" si="206"/>
        <v>0</v>
      </c>
      <c r="SOC249" s="5">
        <f t="shared" si="206"/>
        <v>0</v>
      </c>
      <c r="SOD249" s="5">
        <f t="shared" si="206"/>
        <v>0</v>
      </c>
      <c r="SOE249" s="5">
        <f t="shared" si="206"/>
        <v>0</v>
      </c>
      <c r="SOF249" s="5">
        <f t="shared" si="206"/>
        <v>0</v>
      </c>
      <c r="SOG249" s="5">
        <f t="shared" si="206"/>
        <v>0</v>
      </c>
      <c r="SOH249" s="5">
        <f t="shared" si="206"/>
        <v>0</v>
      </c>
      <c r="SOI249" s="5">
        <f t="shared" si="206"/>
        <v>0</v>
      </c>
      <c r="SOJ249" s="5">
        <f t="shared" si="206"/>
        <v>0</v>
      </c>
      <c r="SOK249" s="5">
        <f t="shared" si="206"/>
        <v>0</v>
      </c>
      <c r="SOL249" s="5">
        <f t="shared" si="206"/>
        <v>0</v>
      </c>
      <c r="SOM249" s="5">
        <f t="shared" si="206"/>
        <v>0</v>
      </c>
      <c r="SON249" s="5">
        <f t="shared" si="206"/>
        <v>0</v>
      </c>
      <c r="SOO249" s="5">
        <f t="shared" si="206"/>
        <v>0</v>
      </c>
      <c r="SOP249" s="5">
        <f t="shared" si="206"/>
        <v>0</v>
      </c>
      <c r="SOQ249" s="5">
        <f t="shared" si="206"/>
        <v>0</v>
      </c>
      <c r="SOR249" s="5">
        <f t="shared" si="206"/>
        <v>0</v>
      </c>
      <c r="SOS249" s="5">
        <f t="shared" si="206"/>
        <v>0</v>
      </c>
      <c r="SOT249" s="5">
        <f t="shared" si="206"/>
        <v>0</v>
      </c>
      <c r="SOU249" s="5">
        <f t="shared" si="206"/>
        <v>0</v>
      </c>
      <c r="SOV249" s="5">
        <f t="shared" si="206"/>
        <v>0</v>
      </c>
      <c r="SOW249" s="5">
        <f t="shared" si="206"/>
        <v>0</v>
      </c>
      <c r="SOX249" s="5">
        <f t="shared" si="206"/>
        <v>0</v>
      </c>
      <c r="SOY249" s="5">
        <f t="shared" si="206"/>
        <v>0</v>
      </c>
      <c r="SOZ249" s="5">
        <f t="shared" si="206"/>
        <v>0</v>
      </c>
      <c r="SPA249" s="5">
        <f t="shared" si="206"/>
        <v>0</v>
      </c>
      <c r="SPB249" s="5">
        <f t="shared" si="206"/>
        <v>0</v>
      </c>
      <c r="SPC249" s="5">
        <f t="shared" si="206"/>
        <v>0</v>
      </c>
      <c r="SPD249" s="5">
        <f t="shared" si="206"/>
        <v>0</v>
      </c>
      <c r="SPE249" s="5">
        <f t="shared" si="206"/>
        <v>0</v>
      </c>
      <c r="SPF249" s="5">
        <f t="shared" ref="SPF249:SRQ249" si="207">SUM(SPF246:SPF246)</f>
        <v>0</v>
      </c>
      <c r="SPG249" s="5">
        <f t="shared" si="207"/>
        <v>0</v>
      </c>
      <c r="SPH249" s="5">
        <f t="shared" si="207"/>
        <v>0</v>
      </c>
      <c r="SPI249" s="5">
        <f t="shared" si="207"/>
        <v>0</v>
      </c>
      <c r="SPJ249" s="5">
        <f t="shared" si="207"/>
        <v>0</v>
      </c>
      <c r="SPK249" s="5">
        <f t="shared" si="207"/>
        <v>0</v>
      </c>
      <c r="SPL249" s="5">
        <f t="shared" si="207"/>
        <v>0</v>
      </c>
      <c r="SPM249" s="5">
        <f t="shared" si="207"/>
        <v>0</v>
      </c>
      <c r="SPN249" s="5">
        <f t="shared" si="207"/>
        <v>0</v>
      </c>
      <c r="SPO249" s="5">
        <f t="shared" si="207"/>
        <v>0</v>
      </c>
      <c r="SPP249" s="5">
        <f t="shared" si="207"/>
        <v>0</v>
      </c>
      <c r="SPQ249" s="5">
        <f t="shared" si="207"/>
        <v>0</v>
      </c>
      <c r="SPR249" s="5">
        <f t="shared" si="207"/>
        <v>0</v>
      </c>
      <c r="SPS249" s="5">
        <f t="shared" si="207"/>
        <v>0</v>
      </c>
      <c r="SPT249" s="5">
        <f t="shared" si="207"/>
        <v>0</v>
      </c>
      <c r="SPU249" s="5">
        <f t="shared" si="207"/>
        <v>0</v>
      </c>
      <c r="SPV249" s="5">
        <f t="shared" si="207"/>
        <v>0</v>
      </c>
      <c r="SPW249" s="5">
        <f t="shared" si="207"/>
        <v>0</v>
      </c>
      <c r="SPX249" s="5">
        <f t="shared" si="207"/>
        <v>0</v>
      </c>
      <c r="SPY249" s="5">
        <f t="shared" si="207"/>
        <v>0</v>
      </c>
      <c r="SPZ249" s="5">
        <f t="shared" si="207"/>
        <v>0</v>
      </c>
      <c r="SQA249" s="5">
        <f t="shared" si="207"/>
        <v>0</v>
      </c>
      <c r="SQB249" s="5">
        <f t="shared" si="207"/>
        <v>0</v>
      </c>
      <c r="SQC249" s="5">
        <f t="shared" si="207"/>
        <v>0</v>
      </c>
      <c r="SQD249" s="5">
        <f t="shared" si="207"/>
        <v>0</v>
      </c>
      <c r="SQE249" s="5">
        <f t="shared" si="207"/>
        <v>0</v>
      </c>
      <c r="SQF249" s="5">
        <f t="shared" si="207"/>
        <v>0</v>
      </c>
      <c r="SQG249" s="5">
        <f t="shared" si="207"/>
        <v>0</v>
      </c>
      <c r="SQH249" s="5">
        <f t="shared" si="207"/>
        <v>0</v>
      </c>
      <c r="SQI249" s="5">
        <f t="shared" si="207"/>
        <v>0</v>
      </c>
      <c r="SQJ249" s="5">
        <f t="shared" si="207"/>
        <v>0</v>
      </c>
      <c r="SQK249" s="5">
        <f t="shared" si="207"/>
        <v>0</v>
      </c>
      <c r="SQL249" s="5">
        <f t="shared" si="207"/>
        <v>0</v>
      </c>
      <c r="SQM249" s="5">
        <f t="shared" si="207"/>
        <v>0</v>
      </c>
      <c r="SQN249" s="5">
        <f t="shared" si="207"/>
        <v>0</v>
      </c>
      <c r="SQO249" s="5">
        <f t="shared" si="207"/>
        <v>0</v>
      </c>
      <c r="SQP249" s="5">
        <f t="shared" si="207"/>
        <v>0</v>
      </c>
      <c r="SQQ249" s="5">
        <f t="shared" si="207"/>
        <v>0</v>
      </c>
      <c r="SQR249" s="5">
        <f t="shared" si="207"/>
        <v>0</v>
      </c>
      <c r="SQS249" s="5">
        <f t="shared" si="207"/>
        <v>0</v>
      </c>
      <c r="SQT249" s="5">
        <f t="shared" si="207"/>
        <v>0</v>
      </c>
      <c r="SQU249" s="5">
        <f t="shared" si="207"/>
        <v>0</v>
      </c>
      <c r="SQV249" s="5">
        <f t="shared" si="207"/>
        <v>0</v>
      </c>
      <c r="SQW249" s="5">
        <f t="shared" si="207"/>
        <v>0</v>
      </c>
      <c r="SQX249" s="5">
        <f t="shared" si="207"/>
        <v>0</v>
      </c>
      <c r="SQY249" s="5">
        <f t="shared" si="207"/>
        <v>0</v>
      </c>
      <c r="SQZ249" s="5">
        <f t="shared" si="207"/>
        <v>0</v>
      </c>
      <c r="SRA249" s="5">
        <f t="shared" si="207"/>
        <v>0</v>
      </c>
      <c r="SRB249" s="5">
        <f t="shared" si="207"/>
        <v>0</v>
      </c>
      <c r="SRC249" s="5">
        <f t="shared" si="207"/>
        <v>0</v>
      </c>
      <c r="SRD249" s="5">
        <f t="shared" si="207"/>
        <v>0</v>
      </c>
      <c r="SRE249" s="5">
        <f t="shared" si="207"/>
        <v>0</v>
      </c>
      <c r="SRF249" s="5">
        <f t="shared" si="207"/>
        <v>0</v>
      </c>
      <c r="SRG249" s="5">
        <f t="shared" si="207"/>
        <v>0</v>
      </c>
      <c r="SRH249" s="5">
        <f t="shared" si="207"/>
        <v>0</v>
      </c>
      <c r="SRI249" s="5">
        <f t="shared" si="207"/>
        <v>0</v>
      </c>
      <c r="SRJ249" s="5">
        <f t="shared" si="207"/>
        <v>0</v>
      </c>
      <c r="SRK249" s="5">
        <f t="shared" si="207"/>
        <v>0</v>
      </c>
      <c r="SRL249" s="5">
        <f t="shared" si="207"/>
        <v>0</v>
      </c>
      <c r="SRM249" s="5">
        <f t="shared" si="207"/>
        <v>0</v>
      </c>
      <c r="SRN249" s="5">
        <f t="shared" si="207"/>
        <v>0</v>
      </c>
      <c r="SRO249" s="5">
        <f t="shared" si="207"/>
        <v>0</v>
      </c>
      <c r="SRP249" s="5">
        <f t="shared" si="207"/>
        <v>0</v>
      </c>
      <c r="SRQ249" s="5">
        <f t="shared" si="207"/>
        <v>0</v>
      </c>
      <c r="SRR249" s="5">
        <f t="shared" ref="SRR249:SUC249" si="208">SUM(SRR246:SRR246)</f>
        <v>0</v>
      </c>
      <c r="SRS249" s="5">
        <f t="shared" si="208"/>
        <v>0</v>
      </c>
      <c r="SRT249" s="5">
        <f t="shared" si="208"/>
        <v>0</v>
      </c>
      <c r="SRU249" s="5">
        <f t="shared" si="208"/>
        <v>0</v>
      </c>
      <c r="SRV249" s="5">
        <f t="shared" si="208"/>
        <v>0</v>
      </c>
      <c r="SRW249" s="5">
        <f t="shared" si="208"/>
        <v>0</v>
      </c>
      <c r="SRX249" s="5">
        <f t="shared" si="208"/>
        <v>0</v>
      </c>
      <c r="SRY249" s="5">
        <f t="shared" si="208"/>
        <v>0</v>
      </c>
      <c r="SRZ249" s="5">
        <f t="shared" si="208"/>
        <v>0</v>
      </c>
      <c r="SSA249" s="5">
        <f t="shared" si="208"/>
        <v>0</v>
      </c>
      <c r="SSB249" s="5">
        <f t="shared" si="208"/>
        <v>0</v>
      </c>
      <c r="SSC249" s="5">
        <f t="shared" si="208"/>
        <v>0</v>
      </c>
      <c r="SSD249" s="5">
        <f t="shared" si="208"/>
        <v>0</v>
      </c>
      <c r="SSE249" s="5">
        <f t="shared" si="208"/>
        <v>0</v>
      </c>
      <c r="SSF249" s="5">
        <f t="shared" si="208"/>
        <v>0</v>
      </c>
      <c r="SSG249" s="5">
        <f t="shared" si="208"/>
        <v>0</v>
      </c>
      <c r="SSH249" s="5">
        <f t="shared" si="208"/>
        <v>0</v>
      </c>
      <c r="SSI249" s="5">
        <f t="shared" si="208"/>
        <v>0</v>
      </c>
      <c r="SSJ249" s="5">
        <f t="shared" si="208"/>
        <v>0</v>
      </c>
      <c r="SSK249" s="5">
        <f t="shared" si="208"/>
        <v>0</v>
      </c>
      <c r="SSL249" s="5">
        <f t="shared" si="208"/>
        <v>0</v>
      </c>
      <c r="SSM249" s="5">
        <f t="shared" si="208"/>
        <v>0</v>
      </c>
      <c r="SSN249" s="5">
        <f t="shared" si="208"/>
        <v>0</v>
      </c>
      <c r="SSO249" s="5">
        <f t="shared" si="208"/>
        <v>0</v>
      </c>
      <c r="SSP249" s="5">
        <f t="shared" si="208"/>
        <v>0</v>
      </c>
      <c r="SSQ249" s="5">
        <f t="shared" si="208"/>
        <v>0</v>
      </c>
      <c r="SSR249" s="5">
        <f t="shared" si="208"/>
        <v>0</v>
      </c>
      <c r="SSS249" s="5">
        <f t="shared" si="208"/>
        <v>0</v>
      </c>
      <c r="SST249" s="5">
        <f t="shared" si="208"/>
        <v>0</v>
      </c>
      <c r="SSU249" s="5">
        <f t="shared" si="208"/>
        <v>0</v>
      </c>
      <c r="SSV249" s="5">
        <f t="shared" si="208"/>
        <v>0</v>
      </c>
      <c r="SSW249" s="5">
        <f t="shared" si="208"/>
        <v>0</v>
      </c>
      <c r="SSX249" s="5">
        <f t="shared" si="208"/>
        <v>0</v>
      </c>
      <c r="SSY249" s="5">
        <f t="shared" si="208"/>
        <v>0</v>
      </c>
      <c r="SSZ249" s="5">
        <f t="shared" si="208"/>
        <v>0</v>
      </c>
      <c r="STA249" s="5">
        <f t="shared" si="208"/>
        <v>0</v>
      </c>
      <c r="STB249" s="5">
        <f t="shared" si="208"/>
        <v>0</v>
      </c>
      <c r="STC249" s="5">
        <f t="shared" si="208"/>
        <v>0</v>
      </c>
      <c r="STD249" s="5">
        <f t="shared" si="208"/>
        <v>0</v>
      </c>
      <c r="STE249" s="5">
        <f t="shared" si="208"/>
        <v>0</v>
      </c>
      <c r="STF249" s="5">
        <f t="shared" si="208"/>
        <v>0</v>
      </c>
      <c r="STG249" s="5">
        <f t="shared" si="208"/>
        <v>0</v>
      </c>
      <c r="STH249" s="5">
        <f t="shared" si="208"/>
        <v>0</v>
      </c>
      <c r="STI249" s="5">
        <f t="shared" si="208"/>
        <v>0</v>
      </c>
      <c r="STJ249" s="5">
        <f t="shared" si="208"/>
        <v>0</v>
      </c>
      <c r="STK249" s="5">
        <f t="shared" si="208"/>
        <v>0</v>
      </c>
      <c r="STL249" s="5">
        <f t="shared" si="208"/>
        <v>0</v>
      </c>
      <c r="STM249" s="5">
        <f t="shared" si="208"/>
        <v>0</v>
      </c>
      <c r="STN249" s="5">
        <f t="shared" si="208"/>
        <v>0</v>
      </c>
      <c r="STO249" s="5">
        <f t="shared" si="208"/>
        <v>0</v>
      </c>
      <c r="STP249" s="5">
        <f t="shared" si="208"/>
        <v>0</v>
      </c>
      <c r="STQ249" s="5">
        <f t="shared" si="208"/>
        <v>0</v>
      </c>
      <c r="STR249" s="5">
        <f t="shared" si="208"/>
        <v>0</v>
      </c>
      <c r="STS249" s="5">
        <f t="shared" si="208"/>
        <v>0</v>
      </c>
      <c r="STT249" s="5">
        <f t="shared" si="208"/>
        <v>0</v>
      </c>
      <c r="STU249" s="5">
        <f t="shared" si="208"/>
        <v>0</v>
      </c>
      <c r="STV249" s="5">
        <f t="shared" si="208"/>
        <v>0</v>
      </c>
      <c r="STW249" s="5">
        <f t="shared" si="208"/>
        <v>0</v>
      </c>
      <c r="STX249" s="5">
        <f t="shared" si="208"/>
        <v>0</v>
      </c>
      <c r="STY249" s="5">
        <f t="shared" si="208"/>
        <v>0</v>
      </c>
      <c r="STZ249" s="5">
        <f t="shared" si="208"/>
        <v>0</v>
      </c>
      <c r="SUA249" s="5">
        <f t="shared" si="208"/>
        <v>0</v>
      </c>
      <c r="SUB249" s="5">
        <f t="shared" si="208"/>
        <v>0</v>
      </c>
      <c r="SUC249" s="5">
        <f t="shared" si="208"/>
        <v>0</v>
      </c>
      <c r="SUD249" s="5">
        <f t="shared" ref="SUD249:SWO249" si="209">SUM(SUD246:SUD246)</f>
        <v>0</v>
      </c>
      <c r="SUE249" s="5">
        <f t="shared" si="209"/>
        <v>0</v>
      </c>
      <c r="SUF249" s="5">
        <f t="shared" si="209"/>
        <v>0</v>
      </c>
      <c r="SUG249" s="5">
        <f t="shared" si="209"/>
        <v>0</v>
      </c>
      <c r="SUH249" s="5">
        <f t="shared" si="209"/>
        <v>0</v>
      </c>
      <c r="SUI249" s="5">
        <f t="shared" si="209"/>
        <v>0</v>
      </c>
      <c r="SUJ249" s="5">
        <f t="shared" si="209"/>
        <v>0</v>
      </c>
      <c r="SUK249" s="5">
        <f t="shared" si="209"/>
        <v>0</v>
      </c>
      <c r="SUL249" s="5">
        <f t="shared" si="209"/>
        <v>0</v>
      </c>
      <c r="SUM249" s="5">
        <f t="shared" si="209"/>
        <v>0</v>
      </c>
      <c r="SUN249" s="5">
        <f t="shared" si="209"/>
        <v>0</v>
      </c>
      <c r="SUO249" s="5">
        <f t="shared" si="209"/>
        <v>0</v>
      </c>
      <c r="SUP249" s="5">
        <f t="shared" si="209"/>
        <v>0</v>
      </c>
      <c r="SUQ249" s="5">
        <f t="shared" si="209"/>
        <v>0</v>
      </c>
      <c r="SUR249" s="5">
        <f t="shared" si="209"/>
        <v>0</v>
      </c>
      <c r="SUS249" s="5">
        <f t="shared" si="209"/>
        <v>0</v>
      </c>
      <c r="SUT249" s="5">
        <f t="shared" si="209"/>
        <v>0</v>
      </c>
      <c r="SUU249" s="5">
        <f t="shared" si="209"/>
        <v>0</v>
      </c>
      <c r="SUV249" s="5">
        <f t="shared" si="209"/>
        <v>0</v>
      </c>
      <c r="SUW249" s="5">
        <f t="shared" si="209"/>
        <v>0</v>
      </c>
      <c r="SUX249" s="5">
        <f t="shared" si="209"/>
        <v>0</v>
      </c>
      <c r="SUY249" s="5">
        <f t="shared" si="209"/>
        <v>0</v>
      </c>
      <c r="SUZ249" s="5">
        <f t="shared" si="209"/>
        <v>0</v>
      </c>
      <c r="SVA249" s="5">
        <f t="shared" si="209"/>
        <v>0</v>
      </c>
      <c r="SVB249" s="5">
        <f t="shared" si="209"/>
        <v>0</v>
      </c>
      <c r="SVC249" s="5">
        <f t="shared" si="209"/>
        <v>0</v>
      </c>
      <c r="SVD249" s="5">
        <f t="shared" si="209"/>
        <v>0</v>
      </c>
      <c r="SVE249" s="5">
        <f t="shared" si="209"/>
        <v>0</v>
      </c>
      <c r="SVF249" s="5">
        <f t="shared" si="209"/>
        <v>0</v>
      </c>
      <c r="SVG249" s="5">
        <f t="shared" si="209"/>
        <v>0</v>
      </c>
      <c r="SVH249" s="5">
        <f t="shared" si="209"/>
        <v>0</v>
      </c>
      <c r="SVI249" s="5">
        <f t="shared" si="209"/>
        <v>0</v>
      </c>
      <c r="SVJ249" s="5">
        <f t="shared" si="209"/>
        <v>0</v>
      </c>
      <c r="SVK249" s="5">
        <f t="shared" si="209"/>
        <v>0</v>
      </c>
      <c r="SVL249" s="5">
        <f t="shared" si="209"/>
        <v>0</v>
      </c>
      <c r="SVM249" s="5">
        <f t="shared" si="209"/>
        <v>0</v>
      </c>
      <c r="SVN249" s="5">
        <f t="shared" si="209"/>
        <v>0</v>
      </c>
      <c r="SVO249" s="5">
        <f t="shared" si="209"/>
        <v>0</v>
      </c>
      <c r="SVP249" s="5">
        <f t="shared" si="209"/>
        <v>0</v>
      </c>
      <c r="SVQ249" s="5">
        <f t="shared" si="209"/>
        <v>0</v>
      </c>
      <c r="SVR249" s="5">
        <f t="shared" si="209"/>
        <v>0</v>
      </c>
      <c r="SVS249" s="5">
        <f t="shared" si="209"/>
        <v>0</v>
      </c>
      <c r="SVT249" s="5">
        <f t="shared" si="209"/>
        <v>0</v>
      </c>
      <c r="SVU249" s="5">
        <f t="shared" si="209"/>
        <v>0</v>
      </c>
      <c r="SVV249" s="5">
        <f t="shared" si="209"/>
        <v>0</v>
      </c>
      <c r="SVW249" s="5">
        <f t="shared" si="209"/>
        <v>0</v>
      </c>
      <c r="SVX249" s="5">
        <f t="shared" si="209"/>
        <v>0</v>
      </c>
      <c r="SVY249" s="5">
        <f t="shared" si="209"/>
        <v>0</v>
      </c>
      <c r="SVZ249" s="5">
        <f t="shared" si="209"/>
        <v>0</v>
      </c>
      <c r="SWA249" s="5">
        <f t="shared" si="209"/>
        <v>0</v>
      </c>
      <c r="SWB249" s="5">
        <f t="shared" si="209"/>
        <v>0</v>
      </c>
      <c r="SWC249" s="5">
        <f t="shared" si="209"/>
        <v>0</v>
      </c>
      <c r="SWD249" s="5">
        <f t="shared" si="209"/>
        <v>0</v>
      </c>
      <c r="SWE249" s="5">
        <f t="shared" si="209"/>
        <v>0</v>
      </c>
      <c r="SWF249" s="5">
        <f t="shared" si="209"/>
        <v>0</v>
      </c>
      <c r="SWG249" s="5">
        <f t="shared" si="209"/>
        <v>0</v>
      </c>
      <c r="SWH249" s="5">
        <f t="shared" si="209"/>
        <v>0</v>
      </c>
      <c r="SWI249" s="5">
        <f t="shared" si="209"/>
        <v>0</v>
      </c>
      <c r="SWJ249" s="5">
        <f t="shared" si="209"/>
        <v>0</v>
      </c>
      <c r="SWK249" s="5">
        <f t="shared" si="209"/>
        <v>0</v>
      </c>
      <c r="SWL249" s="5">
        <f t="shared" si="209"/>
        <v>0</v>
      </c>
      <c r="SWM249" s="5">
        <f t="shared" si="209"/>
        <v>0</v>
      </c>
      <c r="SWN249" s="5">
        <f t="shared" si="209"/>
        <v>0</v>
      </c>
      <c r="SWO249" s="5">
        <f t="shared" si="209"/>
        <v>0</v>
      </c>
      <c r="SWP249" s="5">
        <f t="shared" ref="SWP249:SZA249" si="210">SUM(SWP246:SWP246)</f>
        <v>0</v>
      </c>
      <c r="SWQ249" s="5">
        <f t="shared" si="210"/>
        <v>0</v>
      </c>
      <c r="SWR249" s="5">
        <f t="shared" si="210"/>
        <v>0</v>
      </c>
      <c r="SWS249" s="5">
        <f t="shared" si="210"/>
        <v>0</v>
      </c>
      <c r="SWT249" s="5">
        <f t="shared" si="210"/>
        <v>0</v>
      </c>
      <c r="SWU249" s="5">
        <f t="shared" si="210"/>
        <v>0</v>
      </c>
      <c r="SWV249" s="5">
        <f t="shared" si="210"/>
        <v>0</v>
      </c>
      <c r="SWW249" s="5">
        <f t="shared" si="210"/>
        <v>0</v>
      </c>
      <c r="SWX249" s="5">
        <f t="shared" si="210"/>
        <v>0</v>
      </c>
      <c r="SWY249" s="5">
        <f t="shared" si="210"/>
        <v>0</v>
      </c>
      <c r="SWZ249" s="5">
        <f t="shared" si="210"/>
        <v>0</v>
      </c>
      <c r="SXA249" s="5">
        <f t="shared" si="210"/>
        <v>0</v>
      </c>
      <c r="SXB249" s="5">
        <f t="shared" si="210"/>
        <v>0</v>
      </c>
      <c r="SXC249" s="5">
        <f t="shared" si="210"/>
        <v>0</v>
      </c>
      <c r="SXD249" s="5">
        <f t="shared" si="210"/>
        <v>0</v>
      </c>
      <c r="SXE249" s="5">
        <f t="shared" si="210"/>
        <v>0</v>
      </c>
      <c r="SXF249" s="5">
        <f t="shared" si="210"/>
        <v>0</v>
      </c>
      <c r="SXG249" s="5">
        <f t="shared" si="210"/>
        <v>0</v>
      </c>
      <c r="SXH249" s="5">
        <f t="shared" si="210"/>
        <v>0</v>
      </c>
      <c r="SXI249" s="5">
        <f t="shared" si="210"/>
        <v>0</v>
      </c>
      <c r="SXJ249" s="5">
        <f t="shared" si="210"/>
        <v>0</v>
      </c>
      <c r="SXK249" s="5">
        <f t="shared" si="210"/>
        <v>0</v>
      </c>
      <c r="SXL249" s="5">
        <f t="shared" si="210"/>
        <v>0</v>
      </c>
      <c r="SXM249" s="5">
        <f t="shared" si="210"/>
        <v>0</v>
      </c>
      <c r="SXN249" s="5">
        <f t="shared" si="210"/>
        <v>0</v>
      </c>
      <c r="SXO249" s="5">
        <f t="shared" si="210"/>
        <v>0</v>
      </c>
      <c r="SXP249" s="5">
        <f t="shared" si="210"/>
        <v>0</v>
      </c>
      <c r="SXQ249" s="5">
        <f t="shared" si="210"/>
        <v>0</v>
      </c>
      <c r="SXR249" s="5">
        <f t="shared" si="210"/>
        <v>0</v>
      </c>
      <c r="SXS249" s="5">
        <f t="shared" si="210"/>
        <v>0</v>
      </c>
      <c r="SXT249" s="5">
        <f t="shared" si="210"/>
        <v>0</v>
      </c>
      <c r="SXU249" s="5">
        <f t="shared" si="210"/>
        <v>0</v>
      </c>
      <c r="SXV249" s="5">
        <f t="shared" si="210"/>
        <v>0</v>
      </c>
      <c r="SXW249" s="5">
        <f t="shared" si="210"/>
        <v>0</v>
      </c>
      <c r="SXX249" s="5">
        <f t="shared" si="210"/>
        <v>0</v>
      </c>
      <c r="SXY249" s="5">
        <f t="shared" si="210"/>
        <v>0</v>
      </c>
      <c r="SXZ249" s="5">
        <f t="shared" si="210"/>
        <v>0</v>
      </c>
      <c r="SYA249" s="5">
        <f t="shared" si="210"/>
        <v>0</v>
      </c>
      <c r="SYB249" s="5">
        <f t="shared" si="210"/>
        <v>0</v>
      </c>
      <c r="SYC249" s="5">
        <f t="shared" si="210"/>
        <v>0</v>
      </c>
      <c r="SYD249" s="5">
        <f t="shared" si="210"/>
        <v>0</v>
      </c>
      <c r="SYE249" s="5">
        <f t="shared" si="210"/>
        <v>0</v>
      </c>
      <c r="SYF249" s="5">
        <f t="shared" si="210"/>
        <v>0</v>
      </c>
      <c r="SYG249" s="5">
        <f t="shared" si="210"/>
        <v>0</v>
      </c>
      <c r="SYH249" s="5">
        <f t="shared" si="210"/>
        <v>0</v>
      </c>
      <c r="SYI249" s="5">
        <f t="shared" si="210"/>
        <v>0</v>
      </c>
      <c r="SYJ249" s="5">
        <f t="shared" si="210"/>
        <v>0</v>
      </c>
      <c r="SYK249" s="5">
        <f t="shared" si="210"/>
        <v>0</v>
      </c>
      <c r="SYL249" s="5">
        <f t="shared" si="210"/>
        <v>0</v>
      </c>
      <c r="SYM249" s="5">
        <f t="shared" si="210"/>
        <v>0</v>
      </c>
      <c r="SYN249" s="5">
        <f t="shared" si="210"/>
        <v>0</v>
      </c>
      <c r="SYO249" s="5">
        <f t="shared" si="210"/>
        <v>0</v>
      </c>
      <c r="SYP249" s="5">
        <f t="shared" si="210"/>
        <v>0</v>
      </c>
      <c r="SYQ249" s="5">
        <f t="shared" si="210"/>
        <v>0</v>
      </c>
      <c r="SYR249" s="5">
        <f t="shared" si="210"/>
        <v>0</v>
      </c>
      <c r="SYS249" s="5">
        <f t="shared" si="210"/>
        <v>0</v>
      </c>
      <c r="SYT249" s="5">
        <f t="shared" si="210"/>
        <v>0</v>
      </c>
      <c r="SYU249" s="5">
        <f t="shared" si="210"/>
        <v>0</v>
      </c>
      <c r="SYV249" s="5">
        <f t="shared" si="210"/>
        <v>0</v>
      </c>
      <c r="SYW249" s="5">
        <f t="shared" si="210"/>
        <v>0</v>
      </c>
      <c r="SYX249" s="5">
        <f t="shared" si="210"/>
        <v>0</v>
      </c>
      <c r="SYY249" s="5">
        <f t="shared" si="210"/>
        <v>0</v>
      </c>
      <c r="SYZ249" s="5">
        <f t="shared" si="210"/>
        <v>0</v>
      </c>
      <c r="SZA249" s="5">
        <f t="shared" si="210"/>
        <v>0</v>
      </c>
      <c r="SZB249" s="5">
        <f t="shared" ref="SZB249:TBM249" si="211">SUM(SZB246:SZB246)</f>
        <v>0</v>
      </c>
      <c r="SZC249" s="5">
        <f t="shared" si="211"/>
        <v>0</v>
      </c>
      <c r="SZD249" s="5">
        <f t="shared" si="211"/>
        <v>0</v>
      </c>
      <c r="SZE249" s="5">
        <f t="shared" si="211"/>
        <v>0</v>
      </c>
      <c r="SZF249" s="5">
        <f t="shared" si="211"/>
        <v>0</v>
      </c>
      <c r="SZG249" s="5">
        <f t="shared" si="211"/>
        <v>0</v>
      </c>
      <c r="SZH249" s="5">
        <f t="shared" si="211"/>
        <v>0</v>
      </c>
      <c r="SZI249" s="5">
        <f t="shared" si="211"/>
        <v>0</v>
      </c>
      <c r="SZJ249" s="5">
        <f t="shared" si="211"/>
        <v>0</v>
      </c>
      <c r="SZK249" s="5">
        <f t="shared" si="211"/>
        <v>0</v>
      </c>
      <c r="SZL249" s="5">
        <f t="shared" si="211"/>
        <v>0</v>
      </c>
      <c r="SZM249" s="5">
        <f t="shared" si="211"/>
        <v>0</v>
      </c>
      <c r="SZN249" s="5">
        <f t="shared" si="211"/>
        <v>0</v>
      </c>
      <c r="SZO249" s="5">
        <f t="shared" si="211"/>
        <v>0</v>
      </c>
      <c r="SZP249" s="5">
        <f t="shared" si="211"/>
        <v>0</v>
      </c>
      <c r="SZQ249" s="5">
        <f t="shared" si="211"/>
        <v>0</v>
      </c>
      <c r="SZR249" s="5">
        <f t="shared" si="211"/>
        <v>0</v>
      </c>
      <c r="SZS249" s="5">
        <f t="shared" si="211"/>
        <v>0</v>
      </c>
      <c r="SZT249" s="5">
        <f t="shared" si="211"/>
        <v>0</v>
      </c>
      <c r="SZU249" s="5">
        <f t="shared" si="211"/>
        <v>0</v>
      </c>
      <c r="SZV249" s="5">
        <f t="shared" si="211"/>
        <v>0</v>
      </c>
      <c r="SZW249" s="5">
        <f t="shared" si="211"/>
        <v>0</v>
      </c>
      <c r="SZX249" s="5">
        <f t="shared" si="211"/>
        <v>0</v>
      </c>
      <c r="SZY249" s="5">
        <f t="shared" si="211"/>
        <v>0</v>
      </c>
      <c r="SZZ249" s="5">
        <f t="shared" si="211"/>
        <v>0</v>
      </c>
      <c r="TAA249" s="5">
        <f t="shared" si="211"/>
        <v>0</v>
      </c>
      <c r="TAB249" s="5">
        <f t="shared" si="211"/>
        <v>0</v>
      </c>
      <c r="TAC249" s="5">
        <f t="shared" si="211"/>
        <v>0</v>
      </c>
      <c r="TAD249" s="5">
        <f t="shared" si="211"/>
        <v>0</v>
      </c>
      <c r="TAE249" s="5">
        <f t="shared" si="211"/>
        <v>0</v>
      </c>
      <c r="TAF249" s="5">
        <f t="shared" si="211"/>
        <v>0</v>
      </c>
      <c r="TAG249" s="5">
        <f t="shared" si="211"/>
        <v>0</v>
      </c>
      <c r="TAH249" s="5">
        <f t="shared" si="211"/>
        <v>0</v>
      </c>
      <c r="TAI249" s="5">
        <f t="shared" si="211"/>
        <v>0</v>
      </c>
      <c r="TAJ249" s="5">
        <f t="shared" si="211"/>
        <v>0</v>
      </c>
      <c r="TAK249" s="5">
        <f t="shared" si="211"/>
        <v>0</v>
      </c>
      <c r="TAL249" s="5">
        <f t="shared" si="211"/>
        <v>0</v>
      </c>
      <c r="TAM249" s="5">
        <f t="shared" si="211"/>
        <v>0</v>
      </c>
      <c r="TAN249" s="5">
        <f t="shared" si="211"/>
        <v>0</v>
      </c>
      <c r="TAO249" s="5">
        <f t="shared" si="211"/>
        <v>0</v>
      </c>
      <c r="TAP249" s="5">
        <f t="shared" si="211"/>
        <v>0</v>
      </c>
      <c r="TAQ249" s="5">
        <f t="shared" si="211"/>
        <v>0</v>
      </c>
      <c r="TAR249" s="5">
        <f t="shared" si="211"/>
        <v>0</v>
      </c>
      <c r="TAS249" s="5">
        <f t="shared" si="211"/>
        <v>0</v>
      </c>
      <c r="TAT249" s="5">
        <f t="shared" si="211"/>
        <v>0</v>
      </c>
      <c r="TAU249" s="5">
        <f t="shared" si="211"/>
        <v>0</v>
      </c>
      <c r="TAV249" s="5">
        <f t="shared" si="211"/>
        <v>0</v>
      </c>
      <c r="TAW249" s="5">
        <f t="shared" si="211"/>
        <v>0</v>
      </c>
      <c r="TAX249" s="5">
        <f t="shared" si="211"/>
        <v>0</v>
      </c>
      <c r="TAY249" s="5">
        <f t="shared" si="211"/>
        <v>0</v>
      </c>
      <c r="TAZ249" s="5">
        <f t="shared" si="211"/>
        <v>0</v>
      </c>
      <c r="TBA249" s="5">
        <f t="shared" si="211"/>
        <v>0</v>
      </c>
      <c r="TBB249" s="5">
        <f t="shared" si="211"/>
        <v>0</v>
      </c>
      <c r="TBC249" s="5">
        <f t="shared" si="211"/>
        <v>0</v>
      </c>
      <c r="TBD249" s="5">
        <f t="shared" si="211"/>
        <v>0</v>
      </c>
      <c r="TBE249" s="5">
        <f t="shared" si="211"/>
        <v>0</v>
      </c>
      <c r="TBF249" s="5">
        <f t="shared" si="211"/>
        <v>0</v>
      </c>
      <c r="TBG249" s="5">
        <f t="shared" si="211"/>
        <v>0</v>
      </c>
      <c r="TBH249" s="5">
        <f t="shared" si="211"/>
        <v>0</v>
      </c>
      <c r="TBI249" s="5">
        <f t="shared" si="211"/>
        <v>0</v>
      </c>
      <c r="TBJ249" s="5">
        <f t="shared" si="211"/>
        <v>0</v>
      </c>
      <c r="TBK249" s="5">
        <f t="shared" si="211"/>
        <v>0</v>
      </c>
      <c r="TBL249" s="5">
        <f t="shared" si="211"/>
        <v>0</v>
      </c>
      <c r="TBM249" s="5">
        <f t="shared" si="211"/>
        <v>0</v>
      </c>
      <c r="TBN249" s="5">
        <f t="shared" ref="TBN249:TDY249" si="212">SUM(TBN246:TBN246)</f>
        <v>0</v>
      </c>
      <c r="TBO249" s="5">
        <f t="shared" si="212"/>
        <v>0</v>
      </c>
      <c r="TBP249" s="5">
        <f t="shared" si="212"/>
        <v>0</v>
      </c>
      <c r="TBQ249" s="5">
        <f t="shared" si="212"/>
        <v>0</v>
      </c>
      <c r="TBR249" s="5">
        <f t="shared" si="212"/>
        <v>0</v>
      </c>
      <c r="TBS249" s="5">
        <f t="shared" si="212"/>
        <v>0</v>
      </c>
      <c r="TBT249" s="5">
        <f t="shared" si="212"/>
        <v>0</v>
      </c>
      <c r="TBU249" s="5">
        <f t="shared" si="212"/>
        <v>0</v>
      </c>
      <c r="TBV249" s="5">
        <f t="shared" si="212"/>
        <v>0</v>
      </c>
      <c r="TBW249" s="5">
        <f t="shared" si="212"/>
        <v>0</v>
      </c>
      <c r="TBX249" s="5">
        <f t="shared" si="212"/>
        <v>0</v>
      </c>
      <c r="TBY249" s="5">
        <f t="shared" si="212"/>
        <v>0</v>
      </c>
      <c r="TBZ249" s="5">
        <f t="shared" si="212"/>
        <v>0</v>
      </c>
      <c r="TCA249" s="5">
        <f t="shared" si="212"/>
        <v>0</v>
      </c>
      <c r="TCB249" s="5">
        <f t="shared" si="212"/>
        <v>0</v>
      </c>
      <c r="TCC249" s="5">
        <f t="shared" si="212"/>
        <v>0</v>
      </c>
      <c r="TCD249" s="5">
        <f t="shared" si="212"/>
        <v>0</v>
      </c>
      <c r="TCE249" s="5">
        <f t="shared" si="212"/>
        <v>0</v>
      </c>
      <c r="TCF249" s="5">
        <f t="shared" si="212"/>
        <v>0</v>
      </c>
      <c r="TCG249" s="5">
        <f t="shared" si="212"/>
        <v>0</v>
      </c>
      <c r="TCH249" s="5">
        <f t="shared" si="212"/>
        <v>0</v>
      </c>
      <c r="TCI249" s="5">
        <f t="shared" si="212"/>
        <v>0</v>
      </c>
      <c r="TCJ249" s="5">
        <f t="shared" si="212"/>
        <v>0</v>
      </c>
      <c r="TCK249" s="5">
        <f t="shared" si="212"/>
        <v>0</v>
      </c>
      <c r="TCL249" s="5">
        <f t="shared" si="212"/>
        <v>0</v>
      </c>
      <c r="TCM249" s="5">
        <f t="shared" si="212"/>
        <v>0</v>
      </c>
      <c r="TCN249" s="5">
        <f t="shared" si="212"/>
        <v>0</v>
      </c>
      <c r="TCO249" s="5">
        <f t="shared" si="212"/>
        <v>0</v>
      </c>
      <c r="TCP249" s="5">
        <f t="shared" si="212"/>
        <v>0</v>
      </c>
      <c r="TCQ249" s="5">
        <f t="shared" si="212"/>
        <v>0</v>
      </c>
      <c r="TCR249" s="5">
        <f t="shared" si="212"/>
        <v>0</v>
      </c>
      <c r="TCS249" s="5">
        <f t="shared" si="212"/>
        <v>0</v>
      </c>
      <c r="TCT249" s="5">
        <f t="shared" si="212"/>
        <v>0</v>
      </c>
      <c r="TCU249" s="5">
        <f t="shared" si="212"/>
        <v>0</v>
      </c>
      <c r="TCV249" s="5">
        <f t="shared" si="212"/>
        <v>0</v>
      </c>
      <c r="TCW249" s="5">
        <f t="shared" si="212"/>
        <v>0</v>
      </c>
      <c r="TCX249" s="5">
        <f t="shared" si="212"/>
        <v>0</v>
      </c>
      <c r="TCY249" s="5">
        <f t="shared" si="212"/>
        <v>0</v>
      </c>
      <c r="TCZ249" s="5">
        <f t="shared" si="212"/>
        <v>0</v>
      </c>
      <c r="TDA249" s="5">
        <f t="shared" si="212"/>
        <v>0</v>
      </c>
      <c r="TDB249" s="5">
        <f t="shared" si="212"/>
        <v>0</v>
      </c>
      <c r="TDC249" s="5">
        <f t="shared" si="212"/>
        <v>0</v>
      </c>
      <c r="TDD249" s="5">
        <f t="shared" si="212"/>
        <v>0</v>
      </c>
      <c r="TDE249" s="5">
        <f t="shared" si="212"/>
        <v>0</v>
      </c>
      <c r="TDF249" s="5">
        <f t="shared" si="212"/>
        <v>0</v>
      </c>
      <c r="TDG249" s="5">
        <f t="shared" si="212"/>
        <v>0</v>
      </c>
      <c r="TDH249" s="5">
        <f t="shared" si="212"/>
        <v>0</v>
      </c>
      <c r="TDI249" s="5">
        <f t="shared" si="212"/>
        <v>0</v>
      </c>
      <c r="TDJ249" s="5">
        <f t="shared" si="212"/>
        <v>0</v>
      </c>
      <c r="TDK249" s="5">
        <f t="shared" si="212"/>
        <v>0</v>
      </c>
      <c r="TDL249" s="5">
        <f t="shared" si="212"/>
        <v>0</v>
      </c>
      <c r="TDM249" s="5">
        <f t="shared" si="212"/>
        <v>0</v>
      </c>
      <c r="TDN249" s="5">
        <f t="shared" si="212"/>
        <v>0</v>
      </c>
      <c r="TDO249" s="5">
        <f t="shared" si="212"/>
        <v>0</v>
      </c>
      <c r="TDP249" s="5">
        <f t="shared" si="212"/>
        <v>0</v>
      </c>
      <c r="TDQ249" s="5">
        <f t="shared" si="212"/>
        <v>0</v>
      </c>
      <c r="TDR249" s="5">
        <f t="shared" si="212"/>
        <v>0</v>
      </c>
      <c r="TDS249" s="5">
        <f t="shared" si="212"/>
        <v>0</v>
      </c>
      <c r="TDT249" s="5">
        <f t="shared" si="212"/>
        <v>0</v>
      </c>
      <c r="TDU249" s="5">
        <f t="shared" si="212"/>
        <v>0</v>
      </c>
      <c r="TDV249" s="5">
        <f t="shared" si="212"/>
        <v>0</v>
      </c>
      <c r="TDW249" s="5">
        <f t="shared" si="212"/>
        <v>0</v>
      </c>
      <c r="TDX249" s="5">
        <f t="shared" si="212"/>
        <v>0</v>
      </c>
      <c r="TDY249" s="5">
        <f t="shared" si="212"/>
        <v>0</v>
      </c>
      <c r="TDZ249" s="5">
        <f t="shared" ref="TDZ249:TGK249" si="213">SUM(TDZ246:TDZ246)</f>
        <v>0</v>
      </c>
      <c r="TEA249" s="5">
        <f t="shared" si="213"/>
        <v>0</v>
      </c>
      <c r="TEB249" s="5">
        <f t="shared" si="213"/>
        <v>0</v>
      </c>
      <c r="TEC249" s="5">
        <f t="shared" si="213"/>
        <v>0</v>
      </c>
      <c r="TED249" s="5">
        <f t="shared" si="213"/>
        <v>0</v>
      </c>
      <c r="TEE249" s="5">
        <f t="shared" si="213"/>
        <v>0</v>
      </c>
      <c r="TEF249" s="5">
        <f t="shared" si="213"/>
        <v>0</v>
      </c>
      <c r="TEG249" s="5">
        <f t="shared" si="213"/>
        <v>0</v>
      </c>
      <c r="TEH249" s="5">
        <f t="shared" si="213"/>
        <v>0</v>
      </c>
      <c r="TEI249" s="5">
        <f t="shared" si="213"/>
        <v>0</v>
      </c>
      <c r="TEJ249" s="5">
        <f t="shared" si="213"/>
        <v>0</v>
      </c>
      <c r="TEK249" s="5">
        <f t="shared" si="213"/>
        <v>0</v>
      </c>
      <c r="TEL249" s="5">
        <f t="shared" si="213"/>
        <v>0</v>
      </c>
      <c r="TEM249" s="5">
        <f t="shared" si="213"/>
        <v>0</v>
      </c>
      <c r="TEN249" s="5">
        <f t="shared" si="213"/>
        <v>0</v>
      </c>
      <c r="TEO249" s="5">
        <f t="shared" si="213"/>
        <v>0</v>
      </c>
      <c r="TEP249" s="5">
        <f t="shared" si="213"/>
        <v>0</v>
      </c>
      <c r="TEQ249" s="5">
        <f t="shared" si="213"/>
        <v>0</v>
      </c>
      <c r="TER249" s="5">
        <f t="shared" si="213"/>
        <v>0</v>
      </c>
      <c r="TES249" s="5">
        <f t="shared" si="213"/>
        <v>0</v>
      </c>
      <c r="TET249" s="5">
        <f t="shared" si="213"/>
        <v>0</v>
      </c>
      <c r="TEU249" s="5">
        <f t="shared" si="213"/>
        <v>0</v>
      </c>
      <c r="TEV249" s="5">
        <f t="shared" si="213"/>
        <v>0</v>
      </c>
      <c r="TEW249" s="5">
        <f t="shared" si="213"/>
        <v>0</v>
      </c>
      <c r="TEX249" s="5">
        <f t="shared" si="213"/>
        <v>0</v>
      </c>
      <c r="TEY249" s="5">
        <f t="shared" si="213"/>
        <v>0</v>
      </c>
      <c r="TEZ249" s="5">
        <f t="shared" si="213"/>
        <v>0</v>
      </c>
      <c r="TFA249" s="5">
        <f t="shared" si="213"/>
        <v>0</v>
      </c>
      <c r="TFB249" s="5">
        <f t="shared" si="213"/>
        <v>0</v>
      </c>
      <c r="TFC249" s="5">
        <f t="shared" si="213"/>
        <v>0</v>
      </c>
      <c r="TFD249" s="5">
        <f t="shared" si="213"/>
        <v>0</v>
      </c>
      <c r="TFE249" s="5">
        <f t="shared" si="213"/>
        <v>0</v>
      </c>
      <c r="TFF249" s="5">
        <f t="shared" si="213"/>
        <v>0</v>
      </c>
      <c r="TFG249" s="5">
        <f t="shared" si="213"/>
        <v>0</v>
      </c>
      <c r="TFH249" s="5">
        <f t="shared" si="213"/>
        <v>0</v>
      </c>
      <c r="TFI249" s="5">
        <f t="shared" si="213"/>
        <v>0</v>
      </c>
      <c r="TFJ249" s="5">
        <f t="shared" si="213"/>
        <v>0</v>
      </c>
      <c r="TFK249" s="5">
        <f t="shared" si="213"/>
        <v>0</v>
      </c>
      <c r="TFL249" s="5">
        <f t="shared" si="213"/>
        <v>0</v>
      </c>
      <c r="TFM249" s="5">
        <f t="shared" si="213"/>
        <v>0</v>
      </c>
      <c r="TFN249" s="5">
        <f t="shared" si="213"/>
        <v>0</v>
      </c>
      <c r="TFO249" s="5">
        <f t="shared" si="213"/>
        <v>0</v>
      </c>
      <c r="TFP249" s="5">
        <f t="shared" si="213"/>
        <v>0</v>
      </c>
      <c r="TFQ249" s="5">
        <f t="shared" si="213"/>
        <v>0</v>
      </c>
      <c r="TFR249" s="5">
        <f t="shared" si="213"/>
        <v>0</v>
      </c>
      <c r="TFS249" s="5">
        <f t="shared" si="213"/>
        <v>0</v>
      </c>
      <c r="TFT249" s="5">
        <f t="shared" si="213"/>
        <v>0</v>
      </c>
      <c r="TFU249" s="5">
        <f t="shared" si="213"/>
        <v>0</v>
      </c>
      <c r="TFV249" s="5">
        <f t="shared" si="213"/>
        <v>0</v>
      </c>
      <c r="TFW249" s="5">
        <f t="shared" si="213"/>
        <v>0</v>
      </c>
      <c r="TFX249" s="5">
        <f t="shared" si="213"/>
        <v>0</v>
      </c>
      <c r="TFY249" s="5">
        <f t="shared" si="213"/>
        <v>0</v>
      </c>
      <c r="TFZ249" s="5">
        <f t="shared" si="213"/>
        <v>0</v>
      </c>
      <c r="TGA249" s="5">
        <f t="shared" si="213"/>
        <v>0</v>
      </c>
      <c r="TGB249" s="5">
        <f t="shared" si="213"/>
        <v>0</v>
      </c>
      <c r="TGC249" s="5">
        <f t="shared" si="213"/>
        <v>0</v>
      </c>
      <c r="TGD249" s="5">
        <f t="shared" si="213"/>
        <v>0</v>
      </c>
      <c r="TGE249" s="5">
        <f t="shared" si="213"/>
        <v>0</v>
      </c>
      <c r="TGF249" s="5">
        <f t="shared" si="213"/>
        <v>0</v>
      </c>
      <c r="TGG249" s="5">
        <f t="shared" si="213"/>
        <v>0</v>
      </c>
      <c r="TGH249" s="5">
        <f t="shared" si="213"/>
        <v>0</v>
      </c>
      <c r="TGI249" s="5">
        <f t="shared" si="213"/>
        <v>0</v>
      </c>
      <c r="TGJ249" s="5">
        <f t="shared" si="213"/>
        <v>0</v>
      </c>
      <c r="TGK249" s="5">
        <f t="shared" si="213"/>
        <v>0</v>
      </c>
      <c r="TGL249" s="5">
        <f t="shared" ref="TGL249:TIW249" si="214">SUM(TGL246:TGL246)</f>
        <v>0</v>
      </c>
      <c r="TGM249" s="5">
        <f t="shared" si="214"/>
        <v>0</v>
      </c>
      <c r="TGN249" s="5">
        <f t="shared" si="214"/>
        <v>0</v>
      </c>
      <c r="TGO249" s="5">
        <f t="shared" si="214"/>
        <v>0</v>
      </c>
      <c r="TGP249" s="5">
        <f t="shared" si="214"/>
        <v>0</v>
      </c>
      <c r="TGQ249" s="5">
        <f t="shared" si="214"/>
        <v>0</v>
      </c>
      <c r="TGR249" s="5">
        <f t="shared" si="214"/>
        <v>0</v>
      </c>
      <c r="TGS249" s="5">
        <f t="shared" si="214"/>
        <v>0</v>
      </c>
      <c r="TGT249" s="5">
        <f t="shared" si="214"/>
        <v>0</v>
      </c>
      <c r="TGU249" s="5">
        <f t="shared" si="214"/>
        <v>0</v>
      </c>
      <c r="TGV249" s="5">
        <f t="shared" si="214"/>
        <v>0</v>
      </c>
      <c r="TGW249" s="5">
        <f t="shared" si="214"/>
        <v>0</v>
      </c>
      <c r="TGX249" s="5">
        <f t="shared" si="214"/>
        <v>0</v>
      </c>
      <c r="TGY249" s="5">
        <f t="shared" si="214"/>
        <v>0</v>
      </c>
      <c r="TGZ249" s="5">
        <f t="shared" si="214"/>
        <v>0</v>
      </c>
      <c r="THA249" s="5">
        <f t="shared" si="214"/>
        <v>0</v>
      </c>
      <c r="THB249" s="5">
        <f t="shared" si="214"/>
        <v>0</v>
      </c>
      <c r="THC249" s="5">
        <f t="shared" si="214"/>
        <v>0</v>
      </c>
      <c r="THD249" s="5">
        <f t="shared" si="214"/>
        <v>0</v>
      </c>
      <c r="THE249" s="5">
        <f t="shared" si="214"/>
        <v>0</v>
      </c>
      <c r="THF249" s="5">
        <f t="shared" si="214"/>
        <v>0</v>
      </c>
      <c r="THG249" s="5">
        <f t="shared" si="214"/>
        <v>0</v>
      </c>
      <c r="THH249" s="5">
        <f t="shared" si="214"/>
        <v>0</v>
      </c>
      <c r="THI249" s="5">
        <f t="shared" si="214"/>
        <v>0</v>
      </c>
      <c r="THJ249" s="5">
        <f t="shared" si="214"/>
        <v>0</v>
      </c>
      <c r="THK249" s="5">
        <f t="shared" si="214"/>
        <v>0</v>
      </c>
      <c r="THL249" s="5">
        <f t="shared" si="214"/>
        <v>0</v>
      </c>
      <c r="THM249" s="5">
        <f t="shared" si="214"/>
        <v>0</v>
      </c>
      <c r="THN249" s="5">
        <f t="shared" si="214"/>
        <v>0</v>
      </c>
      <c r="THO249" s="5">
        <f t="shared" si="214"/>
        <v>0</v>
      </c>
      <c r="THP249" s="5">
        <f t="shared" si="214"/>
        <v>0</v>
      </c>
      <c r="THQ249" s="5">
        <f t="shared" si="214"/>
        <v>0</v>
      </c>
      <c r="THR249" s="5">
        <f t="shared" si="214"/>
        <v>0</v>
      </c>
      <c r="THS249" s="5">
        <f t="shared" si="214"/>
        <v>0</v>
      </c>
      <c r="THT249" s="5">
        <f t="shared" si="214"/>
        <v>0</v>
      </c>
      <c r="THU249" s="5">
        <f t="shared" si="214"/>
        <v>0</v>
      </c>
      <c r="THV249" s="5">
        <f t="shared" si="214"/>
        <v>0</v>
      </c>
      <c r="THW249" s="5">
        <f t="shared" si="214"/>
        <v>0</v>
      </c>
      <c r="THX249" s="5">
        <f t="shared" si="214"/>
        <v>0</v>
      </c>
      <c r="THY249" s="5">
        <f t="shared" si="214"/>
        <v>0</v>
      </c>
      <c r="THZ249" s="5">
        <f t="shared" si="214"/>
        <v>0</v>
      </c>
      <c r="TIA249" s="5">
        <f t="shared" si="214"/>
        <v>0</v>
      </c>
      <c r="TIB249" s="5">
        <f t="shared" si="214"/>
        <v>0</v>
      </c>
      <c r="TIC249" s="5">
        <f t="shared" si="214"/>
        <v>0</v>
      </c>
      <c r="TID249" s="5">
        <f t="shared" si="214"/>
        <v>0</v>
      </c>
      <c r="TIE249" s="5">
        <f t="shared" si="214"/>
        <v>0</v>
      </c>
      <c r="TIF249" s="5">
        <f t="shared" si="214"/>
        <v>0</v>
      </c>
      <c r="TIG249" s="5">
        <f t="shared" si="214"/>
        <v>0</v>
      </c>
      <c r="TIH249" s="5">
        <f t="shared" si="214"/>
        <v>0</v>
      </c>
      <c r="TII249" s="5">
        <f t="shared" si="214"/>
        <v>0</v>
      </c>
      <c r="TIJ249" s="5">
        <f t="shared" si="214"/>
        <v>0</v>
      </c>
      <c r="TIK249" s="5">
        <f t="shared" si="214"/>
        <v>0</v>
      </c>
      <c r="TIL249" s="5">
        <f t="shared" si="214"/>
        <v>0</v>
      </c>
      <c r="TIM249" s="5">
        <f t="shared" si="214"/>
        <v>0</v>
      </c>
      <c r="TIN249" s="5">
        <f t="shared" si="214"/>
        <v>0</v>
      </c>
      <c r="TIO249" s="5">
        <f t="shared" si="214"/>
        <v>0</v>
      </c>
      <c r="TIP249" s="5">
        <f t="shared" si="214"/>
        <v>0</v>
      </c>
      <c r="TIQ249" s="5">
        <f t="shared" si="214"/>
        <v>0</v>
      </c>
      <c r="TIR249" s="5">
        <f t="shared" si="214"/>
        <v>0</v>
      </c>
      <c r="TIS249" s="5">
        <f t="shared" si="214"/>
        <v>0</v>
      </c>
      <c r="TIT249" s="5">
        <f t="shared" si="214"/>
        <v>0</v>
      </c>
      <c r="TIU249" s="5">
        <f t="shared" si="214"/>
        <v>0</v>
      </c>
      <c r="TIV249" s="5">
        <f t="shared" si="214"/>
        <v>0</v>
      </c>
      <c r="TIW249" s="5">
        <f t="shared" si="214"/>
        <v>0</v>
      </c>
      <c r="TIX249" s="5">
        <f t="shared" ref="TIX249:TLI249" si="215">SUM(TIX246:TIX246)</f>
        <v>0</v>
      </c>
      <c r="TIY249" s="5">
        <f t="shared" si="215"/>
        <v>0</v>
      </c>
      <c r="TIZ249" s="5">
        <f t="shared" si="215"/>
        <v>0</v>
      </c>
      <c r="TJA249" s="5">
        <f t="shared" si="215"/>
        <v>0</v>
      </c>
      <c r="TJB249" s="5">
        <f t="shared" si="215"/>
        <v>0</v>
      </c>
      <c r="TJC249" s="5">
        <f t="shared" si="215"/>
        <v>0</v>
      </c>
      <c r="TJD249" s="5">
        <f t="shared" si="215"/>
        <v>0</v>
      </c>
      <c r="TJE249" s="5">
        <f t="shared" si="215"/>
        <v>0</v>
      </c>
      <c r="TJF249" s="5">
        <f t="shared" si="215"/>
        <v>0</v>
      </c>
      <c r="TJG249" s="5">
        <f t="shared" si="215"/>
        <v>0</v>
      </c>
      <c r="TJH249" s="5">
        <f t="shared" si="215"/>
        <v>0</v>
      </c>
      <c r="TJI249" s="5">
        <f t="shared" si="215"/>
        <v>0</v>
      </c>
      <c r="TJJ249" s="5">
        <f t="shared" si="215"/>
        <v>0</v>
      </c>
      <c r="TJK249" s="5">
        <f t="shared" si="215"/>
        <v>0</v>
      </c>
      <c r="TJL249" s="5">
        <f t="shared" si="215"/>
        <v>0</v>
      </c>
      <c r="TJM249" s="5">
        <f t="shared" si="215"/>
        <v>0</v>
      </c>
      <c r="TJN249" s="5">
        <f t="shared" si="215"/>
        <v>0</v>
      </c>
      <c r="TJO249" s="5">
        <f t="shared" si="215"/>
        <v>0</v>
      </c>
      <c r="TJP249" s="5">
        <f t="shared" si="215"/>
        <v>0</v>
      </c>
      <c r="TJQ249" s="5">
        <f t="shared" si="215"/>
        <v>0</v>
      </c>
      <c r="TJR249" s="5">
        <f t="shared" si="215"/>
        <v>0</v>
      </c>
      <c r="TJS249" s="5">
        <f t="shared" si="215"/>
        <v>0</v>
      </c>
      <c r="TJT249" s="5">
        <f t="shared" si="215"/>
        <v>0</v>
      </c>
      <c r="TJU249" s="5">
        <f t="shared" si="215"/>
        <v>0</v>
      </c>
      <c r="TJV249" s="5">
        <f t="shared" si="215"/>
        <v>0</v>
      </c>
      <c r="TJW249" s="5">
        <f t="shared" si="215"/>
        <v>0</v>
      </c>
      <c r="TJX249" s="5">
        <f t="shared" si="215"/>
        <v>0</v>
      </c>
      <c r="TJY249" s="5">
        <f t="shared" si="215"/>
        <v>0</v>
      </c>
      <c r="TJZ249" s="5">
        <f t="shared" si="215"/>
        <v>0</v>
      </c>
      <c r="TKA249" s="5">
        <f t="shared" si="215"/>
        <v>0</v>
      </c>
      <c r="TKB249" s="5">
        <f t="shared" si="215"/>
        <v>0</v>
      </c>
      <c r="TKC249" s="5">
        <f t="shared" si="215"/>
        <v>0</v>
      </c>
      <c r="TKD249" s="5">
        <f t="shared" si="215"/>
        <v>0</v>
      </c>
      <c r="TKE249" s="5">
        <f t="shared" si="215"/>
        <v>0</v>
      </c>
      <c r="TKF249" s="5">
        <f t="shared" si="215"/>
        <v>0</v>
      </c>
      <c r="TKG249" s="5">
        <f t="shared" si="215"/>
        <v>0</v>
      </c>
      <c r="TKH249" s="5">
        <f t="shared" si="215"/>
        <v>0</v>
      </c>
      <c r="TKI249" s="5">
        <f t="shared" si="215"/>
        <v>0</v>
      </c>
      <c r="TKJ249" s="5">
        <f t="shared" si="215"/>
        <v>0</v>
      </c>
      <c r="TKK249" s="5">
        <f t="shared" si="215"/>
        <v>0</v>
      </c>
      <c r="TKL249" s="5">
        <f t="shared" si="215"/>
        <v>0</v>
      </c>
      <c r="TKM249" s="5">
        <f t="shared" si="215"/>
        <v>0</v>
      </c>
      <c r="TKN249" s="5">
        <f t="shared" si="215"/>
        <v>0</v>
      </c>
      <c r="TKO249" s="5">
        <f t="shared" si="215"/>
        <v>0</v>
      </c>
      <c r="TKP249" s="5">
        <f t="shared" si="215"/>
        <v>0</v>
      </c>
      <c r="TKQ249" s="5">
        <f t="shared" si="215"/>
        <v>0</v>
      </c>
      <c r="TKR249" s="5">
        <f t="shared" si="215"/>
        <v>0</v>
      </c>
      <c r="TKS249" s="5">
        <f t="shared" si="215"/>
        <v>0</v>
      </c>
      <c r="TKT249" s="5">
        <f t="shared" si="215"/>
        <v>0</v>
      </c>
      <c r="TKU249" s="5">
        <f t="shared" si="215"/>
        <v>0</v>
      </c>
      <c r="TKV249" s="5">
        <f t="shared" si="215"/>
        <v>0</v>
      </c>
      <c r="TKW249" s="5">
        <f t="shared" si="215"/>
        <v>0</v>
      </c>
      <c r="TKX249" s="5">
        <f t="shared" si="215"/>
        <v>0</v>
      </c>
      <c r="TKY249" s="5">
        <f t="shared" si="215"/>
        <v>0</v>
      </c>
      <c r="TKZ249" s="5">
        <f t="shared" si="215"/>
        <v>0</v>
      </c>
      <c r="TLA249" s="5">
        <f t="shared" si="215"/>
        <v>0</v>
      </c>
      <c r="TLB249" s="5">
        <f t="shared" si="215"/>
        <v>0</v>
      </c>
      <c r="TLC249" s="5">
        <f t="shared" si="215"/>
        <v>0</v>
      </c>
      <c r="TLD249" s="5">
        <f t="shared" si="215"/>
        <v>0</v>
      </c>
      <c r="TLE249" s="5">
        <f t="shared" si="215"/>
        <v>0</v>
      </c>
      <c r="TLF249" s="5">
        <f t="shared" si="215"/>
        <v>0</v>
      </c>
      <c r="TLG249" s="5">
        <f t="shared" si="215"/>
        <v>0</v>
      </c>
      <c r="TLH249" s="5">
        <f t="shared" si="215"/>
        <v>0</v>
      </c>
      <c r="TLI249" s="5">
        <f t="shared" si="215"/>
        <v>0</v>
      </c>
      <c r="TLJ249" s="5">
        <f t="shared" ref="TLJ249:TNU249" si="216">SUM(TLJ246:TLJ246)</f>
        <v>0</v>
      </c>
      <c r="TLK249" s="5">
        <f t="shared" si="216"/>
        <v>0</v>
      </c>
      <c r="TLL249" s="5">
        <f t="shared" si="216"/>
        <v>0</v>
      </c>
      <c r="TLM249" s="5">
        <f t="shared" si="216"/>
        <v>0</v>
      </c>
      <c r="TLN249" s="5">
        <f t="shared" si="216"/>
        <v>0</v>
      </c>
      <c r="TLO249" s="5">
        <f t="shared" si="216"/>
        <v>0</v>
      </c>
      <c r="TLP249" s="5">
        <f t="shared" si="216"/>
        <v>0</v>
      </c>
      <c r="TLQ249" s="5">
        <f t="shared" si="216"/>
        <v>0</v>
      </c>
      <c r="TLR249" s="5">
        <f t="shared" si="216"/>
        <v>0</v>
      </c>
      <c r="TLS249" s="5">
        <f t="shared" si="216"/>
        <v>0</v>
      </c>
      <c r="TLT249" s="5">
        <f t="shared" si="216"/>
        <v>0</v>
      </c>
      <c r="TLU249" s="5">
        <f t="shared" si="216"/>
        <v>0</v>
      </c>
      <c r="TLV249" s="5">
        <f t="shared" si="216"/>
        <v>0</v>
      </c>
      <c r="TLW249" s="5">
        <f t="shared" si="216"/>
        <v>0</v>
      </c>
      <c r="TLX249" s="5">
        <f t="shared" si="216"/>
        <v>0</v>
      </c>
      <c r="TLY249" s="5">
        <f t="shared" si="216"/>
        <v>0</v>
      </c>
      <c r="TLZ249" s="5">
        <f t="shared" si="216"/>
        <v>0</v>
      </c>
      <c r="TMA249" s="5">
        <f t="shared" si="216"/>
        <v>0</v>
      </c>
      <c r="TMB249" s="5">
        <f t="shared" si="216"/>
        <v>0</v>
      </c>
      <c r="TMC249" s="5">
        <f t="shared" si="216"/>
        <v>0</v>
      </c>
      <c r="TMD249" s="5">
        <f t="shared" si="216"/>
        <v>0</v>
      </c>
      <c r="TME249" s="5">
        <f t="shared" si="216"/>
        <v>0</v>
      </c>
      <c r="TMF249" s="5">
        <f t="shared" si="216"/>
        <v>0</v>
      </c>
      <c r="TMG249" s="5">
        <f t="shared" si="216"/>
        <v>0</v>
      </c>
      <c r="TMH249" s="5">
        <f t="shared" si="216"/>
        <v>0</v>
      </c>
      <c r="TMI249" s="5">
        <f t="shared" si="216"/>
        <v>0</v>
      </c>
      <c r="TMJ249" s="5">
        <f t="shared" si="216"/>
        <v>0</v>
      </c>
      <c r="TMK249" s="5">
        <f t="shared" si="216"/>
        <v>0</v>
      </c>
      <c r="TML249" s="5">
        <f t="shared" si="216"/>
        <v>0</v>
      </c>
      <c r="TMM249" s="5">
        <f t="shared" si="216"/>
        <v>0</v>
      </c>
      <c r="TMN249" s="5">
        <f t="shared" si="216"/>
        <v>0</v>
      </c>
      <c r="TMO249" s="5">
        <f t="shared" si="216"/>
        <v>0</v>
      </c>
      <c r="TMP249" s="5">
        <f t="shared" si="216"/>
        <v>0</v>
      </c>
      <c r="TMQ249" s="5">
        <f t="shared" si="216"/>
        <v>0</v>
      </c>
      <c r="TMR249" s="5">
        <f t="shared" si="216"/>
        <v>0</v>
      </c>
      <c r="TMS249" s="5">
        <f t="shared" si="216"/>
        <v>0</v>
      </c>
      <c r="TMT249" s="5">
        <f t="shared" si="216"/>
        <v>0</v>
      </c>
      <c r="TMU249" s="5">
        <f t="shared" si="216"/>
        <v>0</v>
      </c>
      <c r="TMV249" s="5">
        <f t="shared" si="216"/>
        <v>0</v>
      </c>
      <c r="TMW249" s="5">
        <f t="shared" si="216"/>
        <v>0</v>
      </c>
      <c r="TMX249" s="5">
        <f t="shared" si="216"/>
        <v>0</v>
      </c>
      <c r="TMY249" s="5">
        <f t="shared" si="216"/>
        <v>0</v>
      </c>
      <c r="TMZ249" s="5">
        <f t="shared" si="216"/>
        <v>0</v>
      </c>
      <c r="TNA249" s="5">
        <f t="shared" si="216"/>
        <v>0</v>
      </c>
      <c r="TNB249" s="5">
        <f t="shared" si="216"/>
        <v>0</v>
      </c>
      <c r="TNC249" s="5">
        <f t="shared" si="216"/>
        <v>0</v>
      </c>
      <c r="TND249" s="5">
        <f t="shared" si="216"/>
        <v>0</v>
      </c>
      <c r="TNE249" s="5">
        <f t="shared" si="216"/>
        <v>0</v>
      </c>
      <c r="TNF249" s="5">
        <f t="shared" si="216"/>
        <v>0</v>
      </c>
      <c r="TNG249" s="5">
        <f t="shared" si="216"/>
        <v>0</v>
      </c>
      <c r="TNH249" s="5">
        <f t="shared" si="216"/>
        <v>0</v>
      </c>
      <c r="TNI249" s="5">
        <f t="shared" si="216"/>
        <v>0</v>
      </c>
      <c r="TNJ249" s="5">
        <f t="shared" si="216"/>
        <v>0</v>
      </c>
      <c r="TNK249" s="5">
        <f t="shared" si="216"/>
        <v>0</v>
      </c>
      <c r="TNL249" s="5">
        <f t="shared" si="216"/>
        <v>0</v>
      </c>
      <c r="TNM249" s="5">
        <f t="shared" si="216"/>
        <v>0</v>
      </c>
      <c r="TNN249" s="5">
        <f t="shared" si="216"/>
        <v>0</v>
      </c>
      <c r="TNO249" s="5">
        <f t="shared" si="216"/>
        <v>0</v>
      </c>
      <c r="TNP249" s="5">
        <f t="shared" si="216"/>
        <v>0</v>
      </c>
      <c r="TNQ249" s="5">
        <f t="shared" si="216"/>
        <v>0</v>
      </c>
      <c r="TNR249" s="5">
        <f t="shared" si="216"/>
        <v>0</v>
      </c>
      <c r="TNS249" s="5">
        <f t="shared" si="216"/>
        <v>0</v>
      </c>
      <c r="TNT249" s="5">
        <f t="shared" si="216"/>
        <v>0</v>
      </c>
      <c r="TNU249" s="5">
        <f t="shared" si="216"/>
        <v>0</v>
      </c>
      <c r="TNV249" s="5">
        <f t="shared" ref="TNV249:TQG249" si="217">SUM(TNV246:TNV246)</f>
        <v>0</v>
      </c>
      <c r="TNW249" s="5">
        <f t="shared" si="217"/>
        <v>0</v>
      </c>
      <c r="TNX249" s="5">
        <f t="shared" si="217"/>
        <v>0</v>
      </c>
      <c r="TNY249" s="5">
        <f t="shared" si="217"/>
        <v>0</v>
      </c>
      <c r="TNZ249" s="5">
        <f t="shared" si="217"/>
        <v>0</v>
      </c>
      <c r="TOA249" s="5">
        <f t="shared" si="217"/>
        <v>0</v>
      </c>
      <c r="TOB249" s="5">
        <f t="shared" si="217"/>
        <v>0</v>
      </c>
      <c r="TOC249" s="5">
        <f t="shared" si="217"/>
        <v>0</v>
      </c>
      <c r="TOD249" s="5">
        <f t="shared" si="217"/>
        <v>0</v>
      </c>
      <c r="TOE249" s="5">
        <f t="shared" si="217"/>
        <v>0</v>
      </c>
      <c r="TOF249" s="5">
        <f t="shared" si="217"/>
        <v>0</v>
      </c>
      <c r="TOG249" s="5">
        <f t="shared" si="217"/>
        <v>0</v>
      </c>
      <c r="TOH249" s="5">
        <f t="shared" si="217"/>
        <v>0</v>
      </c>
      <c r="TOI249" s="5">
        <f t="shared" si="217"/>
        <v>0</v>
      </c>
      <c r="TOJ249" s="5">
        <f t="shared" si="217"/>
        <v>0</v>
      </c>
      <c r="TOK249" s="5">
        <f t="shared" si="217"/>
        <v>0</v>
      </c>
      <c r="TOL249" s="5">
        <f t="shared" si="217"/>
        <v>0</v>
      </c>
      <c r="TOM249" s="5">
        <f t="shared" si="217"/>
        <v>0</v>
      </c>
      <c r="TON249" s="5">
        <f t="shared" si="217"/>
        <v>0</v>
      </c>
      <c r="TOO249" s="5">
        <f t="shared" si="217"/>
        <v>0</v>
      </c>
      <c r="TOP249" s="5">
        <f t="shared" si="217"/>
        <v>0</v>
      </c>
      <c r="TOQ249" s="5">
        <f t="shared" si="217"/>
        <v>0</v>
      </c>
      <c r="TOR249" s="5">
        <f t="shared" si="217"/>
        <v>0</v>
      </c>
      <c r="TOS249" s="5">
        <f t="shared" si="217"/>
        <v>0</v>
      </c>
      <c r="TOT249" s="5">
        <f t="shared" si="217"/>
        <v>0</v>
      </c>
      <c r="TOU249" s="5">
        <f t="shared" si="217"/>
        <v>0</v>
      </c>
      <c r="TOV249" s="5">
        <f t="shared" si="217"/>
        <v>0</v>
      </c>
      <c r="TOW249" s="5">
        <f t="shared" si="217"/>
        <v>0</v>
      </c>
      <c r="TOX249" s="5">
        <f t="shared" si="217"/>
        <v>0</v>
      </c>
      <c r="TOY249" s="5">
        <f t="shared" si="217"/>
        <v>0</v>
      </c>
      <c r="TOZ249" s="5">
        <f t="shared" si="217"/>
        <v>0</v>
      </c>
      <c r="TPA249" s="5">
        <f t="shared" si="217"/>
        <v>0</v>
      </c>
      <c r="TPB249" s="5">
        <f t="shared" si="217"/>
        <v>0</v>
      </c>
      <c r="TPC249" s="5">
        <f t="shared" si="217"/>
        <v>0</v>
      </c>
      <c r="TPD249" s="5">
        <f t="shared" si="217"/>
        <v>0</v>
      </c>
      <c r="TPE249" s="5">
        <f t="shared" si="217"/>
        <v>0</v>
      </c>
      <c r="TPF249" s="5">
        <f t="shared" si="217"/>
        <v>0</v>
      </c>
      <c r="TPG249" s="5">
        <f t="shared" si="217"/>
        <v>0</v>
      </c>
      <c r="TPH249" s="5">
        <f t="shared" si="217"/>
        <v>0</v>
      </c>
      <c r="TPI249" s="5">
        <f t="shared" si="217"/>
        <v>0</v>
      </c>
      <c r="TPJ249" s="5">
        <f t="shared" si="217"/>
        <v>0</v>
      </c>
      <c r="TPK249" s="5">
        <f t="shared" si="217"/>
        <v>0</v>
      </c>
      <c r="TPL249" s="5">
        <f t="shared" si="217"/>
        <v>0</v>
      </c>
      <c r="TPM249" s="5">
        <f t="shared" si="217"/>
        <v>0</v>
      </c>
      <c r="TPN249" s="5">
        <f t="shared" si="217"/>
        <v>0</v>
      </c>
      <c r="TPO249" s="5">
        <f t="shared" si="217"/>
        <v>0</v>
      </c>
      <c r="TPP249" s="5">
        <f t="shared" si="217"/>
        <v>0</v>
      </c>
      <c r="TPQ249" s="5">
        <f t="shared" si="217"/>
        <v>0</v>
      </c>
      <c r="TPR249" s="5">
        <f t="shared" si="217"/>
        <v>0</v>
      </c>
      <c r="TPS249" s="5">
        <f t="shared" si="217"/>
        <v>0</v>
      </c>
      <c r="TPT249" s="5">
        <f t="shared" si="217"/>
        <v>0</v>
      </c>
      <c r="TPU249" s="5">
        <f t="shared" si="217"/>
        <v>0</v>
      </c>
      <c r="TPV249" s="5">
        <f t="shared" si="217"/>
        <v>0</v>
      </c>
      <c r="TPW249" s="5">
        <f t="shared" si="217"/>
        <v>0</v>
      </c>
      <c r="TPX249" s="5">
        <f t="shared" si="217"/>
        <v>0</v>
      </c>
      <c r="TPY249" s="5">
        <f t="shared" si="217"/>
        <v>0</v>
      </c>
      <c r="TPZ249" s="5">
        <f t="shared" si="217"/>
        <v>0</v>
      </c>
      <c r="TQA249" s="5">
        <f t="shared" si="217"/>
        <v>0</v>
      </c>
      <c r="TQB249" s="5">
        <f t="shared" si="217"/>
        <v>0</v>
      </c>
      <c r="TQC249" s="5">
        <f t="shared" si="217"/>
        <v>0</v>
      </c>
      <c r="TQD249" s="5">
        <f t="shared" si="217"/>
        <v>0</v>
      </c>
      <c r="TQE249" s="5">
        <f t="shared" si="217"/>
        <v>0</v>
      </c>
      <c r="TQF249" s="5">
        <f t="shared" si="217"/>
        <v>0</v>
      </c>
      <c r="TQG249" s="5">
        <f t="shared" si="217"/>
        <v>0</v>
      </c>
      <c r="TQH249" s="5">
        <f t="shared" ref="TQH249:TSS249" si="218">SUM(TQH246:TQH246)</f>
        <v>0</v>
      </c>
      <c r="TQI249" s="5">
        <f t="shared" si="218"/>
        <v>0</v>
      </c>
      <c r="TQJ249" s="5">
        <f t="shared" si="218"/>
        <v>0</v>
      </c>
      <c r="TQK249" s="5">
        <f t="shared" si="218"/>
        <v>0</v>
      </c>
      <c r="TQL249" s="5">
        <f t="shared" si="218"/>
        <v>0</v>
      </c>
      <c r="TQM249" s="5">
        <f t="shared" si="218"/>
        <v>0</v>
      </c>
      <c r="TQN249" s="5">
        <f t="shared" si="218"/>
        <v>0</v>
      </c>
      <c r="TQO249" s="5">
        <f t="shared" si="218"/>
        <v>0</v>
      </c>
      <c r="TQP249" s="5">
        <f t="shared" si="218"/>
        <v>0</v>
      </c>
      <c r="TQQ249" s="5">
        <f t="shared" si="218"/>
        <v>0</v>
      </c>
      <c r="TQR249" s="5">
        <f t="shared" si="218"/>
        <v>0</v>
      </c>
      <c r="TQS249" s="5">
        <f t="shared" si="218"/>
        <v>0</v>
      </c>
      <c r="TQT249" s="5">
        <f t="shared" si="218"/>
        <v>0</v>
      </c>
      <c r="TQU249" s="5">
        <f t="shared" si="218"/>
        <v>0</v>
      </c>
      <c r="TQV249" s="5">
        <f t="shared" si="218"/>
        <v>0</v>
      </c>
      <c r="TQW249" s="5">
        <f t="shared" si="218"/>
        <v>0</v>
      </c>
      <c r="TQX249" s="5">
        <f t="shared" si="218"/>
        <v>0</v>
      </c>
      <c r="TQY249" s="5">
        <f t="shared" si="218"/>
        <v>0</v>
      </c>
      <c r="TQZ249" s="5">
        <f t="shared" si="218"/>
        <v>0</v>
      </c>
      <c r="TRA249" s="5">
        <f t="shared" si="218"/>
        <v>0</v>
      </c>
      <c r="TRB249" s="5">
        <f t="shared" si="218"/>
        <v>0</v>
      </c>
      <c r="TRC249" s="5">
        <f t="shared" si="218"/>
        <v>0</v>
      </c>
      <c r="TRD249" s="5">
        <f t="shared" si="218"/>
        <v>0</v>
      </c>
      <c r="TRE249" s="5">
        <f t="shared" si="218"/>
        <v>0</v>
      </c>
      <c r="TRF249" s="5">
        <f t="shared" si="218"/>
        <v>0</v>
      </c>
      <c r="TRG249" s="5">
        <f t="shared" si="218"/>
        <v>0</v>
      </c>
      <c r="TRH249" s="5">
        <f t="shared" si="218"/>
        <v>0</v>
      </c>
      <c r="TRI249" s="5">
        <f t="shared" si="218"/>
        <v>0</v>
      </c>
      <c r="TRJ249" s="5">
        <f t="shared" si="218"/>
        <v>0</v>
      </c>
      <c r="TRK249" s="5">
        <f t="shared" si="218"/>
        <v>0</v>
      </c>
      <c r="TRL249" s="5">
        <f t="shared" si="218"/>
        <v>0</v>
      </c>
      <c r="TRM249" s="5">
        <f t="shared" si="218"/>
        <v>0</v>
      </c>
      <c r="TRN249" s="5">
        <f t="shared" si="218"/>
        <v>0</v>
      </c>
      <c r="TRO249" s="5">
        <f t="shared" si="218"/>
        <v>0</v>
      </c>
      <c r="TRP249" s="5">
        <f t="shared" si="218"/>
        <v>0</v>
      </c>
      <c r="TRQ249" s="5">
        <f t="shared" si="218"/>
        <v>0</v>
      </c>
      <c r="TRR249" s="5">
        <f t="shared" si="218"/>
        <v>0</v>
      </c>
      <c r="TRS249" s="5">
        <f t="shared" si="218"/>
        <v>0</v>
      </c>
      <c r="TRT249" s="5">
        <f t="shared" si="218"/>
        <v>0</v>
      </c>
      <c r="TRU249" s="5">
        <f t="shared" si="218"/>
        <v>0</v>
      </c>
      <c r="TRV249" s="5">
        <f t="shared" si="218"/>
        <v>0</v>
      </c>
      <c r="TRW249" s="5">
        <f t="shared" si="218"/>
        <v>0</v>
      </c>
      <c r="TRX249" s="5">
        <f t="shared" si="218"/>
        <v>0</v>
      </c>
      <c r="TRY249" s="5">
        <f t="shared" si="218"/>
        <v>0</v>
      </c>
      <c r="TRZ249" s="5">
        <f t="shared" si="218"/>
        <v>0</v>
      </c>
      <c r="TSA249" s="5">
        <f t="shared" si="218"/>
        <v>0</v>
      </c>
      <c r="TSB249" s="5">
        <f t="shared" si="218"/>
        <v>0</v>
      </c>
      <c r="TSC249" s="5">
        <f t="shared" si="218"/>
        <v>0</v>
      </c>
      <c r="TSD249" s="5">
        <f t="shared" si="218"/>
        <v>0</v>
      </c>
      <c r="TSE249" s="5">
        <f t="shared" si="218"/>
        <v>0</v>
      </c>
      <c r="TSF249" s="5">
        <f t="shared" si="218"/>
        <v>0</v>
      </c>
      <c r="TSG249" s="5">
        <f t="shared" si="218"/>
        <v>0</v>
      </c>
      <c r="TSH249" s="5">
        <f t="shared" si="218"/>
        <v>0</v>
      </c>
      <c r="TSI249" s="5">
        <f t="shared" si="218"/>
        <v>0</v>
      </c>
      <c r="TSJ249" s="5">
        <f t="shared" si="218"/>
        <v>0</v>
      </c>
      <c r="TSK249" s="5">
        <f t="shared" si="218"/>
        <v>0</v>
      </c>
      <c r="TSL249" s="5">
        <f t="shared" si="218"/>
        <v>0</v>
      </c>
      <c r="TSM249" s="5">
        <f t="shared" si="218"/>
        <v>0</v>
      </c>
      <c r="TSN249" s="5">
        <f t="shared" si="218"/>
        <v>0</v>
      </c>
      <c r="TSO249" s="5">
        <f t="shared" si="218"/>
        <v>0</v>
      </c>
      <c r="TSP249" s="5">
        <f t="shared" si="218"/>
        <v>0</v>
      </c>
      <c r="TSQ249" s="5">
        <f t="shared" si="218"/>
        <v>0</v>
      </c>
      <c r="TSR249" s="5">
        <f t="shared" si="218"/>
        <v>0</v>
      </c>
      <c r="TSS249" s="5">
        <f t="shared" si="218"/>
        <v>0</v>
      </c>
      <c r="TST249" s="5">
        <f t="shared" ref="TST249:TVE249" si="219">SUM(TST246:TST246)</f>
        <v>0</v>
      </c>
      <c r="TSU249" s="5">
        <f t="shared" si="219"/>
        <v>0</v>
      </c>
      <c r="TSV249" s="5">
        <f t="shared" si="219"/>
        <v>0</v>
      </c>
      <c r="TSW249" s="5">
        <f t="shared" si="219"/>
        <v>0</v>
      </c>
      <c r="TSX249" s="5">
        <f t="shared" si="219"/>
        <v>0</v>
      </c>
      <c r="TSY249" s="5">
        <f t="shared" si="219"/>
        <v>0</v>
      </c>
      <c r="TSZ249" s="5">
        <f t="shared" si="219"/>
        <v>0</v>
      </c>
      <c r="TTA249" s="5">
        <f t="shared" si="219"/>
        <v>0</v>
      </c>
      <c r="TTB249" s="5">
        <f t="shared" si="219"/>
        <v>0</v>
      </c>
      <c r="TTC249" s="5">
        <f t="shared" si="219"/>
        <v>0</v>
      </c>
      <c r="TTD249" s="5">
        <f t="shared" si="219"/>
        <v>0</v>
      </c>
      <c r="TTE249" s="5">
        <f t="shared" si="219"/>
        <v>0</v>
      </c>
      <c r="TTF249" s="5">
        <f t="shared" si="219"/>
        <v>0</v>
      </c>
      <c r="TTG249" s="5">
        <f t="shared" si="219"/>
        <v>0</v>
      </c>
      <c r="TTH249" s="5">
        <f t="shared" si="219"/>
        <v>0</v>
      </c>
      <c r="TTI249" s="5">
        <f t="shared" si="219"/>
        <v>0</v>
      </c>
      <c r="TTJ249" s="5">
        <f t="shared" si="219"/>
        <v>0</v>
      </c>
      <c r="TTK249" s="5">
        <f t="shared" si="219"/>
        <v>0</v>
      </c>
      <c r="TTL249" s="5">
        <f t="shared" si="219"/>
        <v>0</v>
      </c>
      <c r="TTM249" s="5">
        <f t="shared" si="219"/>
        <v>0</v>
      </c>
      <c r="TTN249" s="5">
        <f t="shared" si="219"/>
        <v>0</v>
      </c>
      <c r="TTO249" s="5">
        <f t="shared" si="219"/>
        <v>0</v>
      </c>
      <c r="TTP249" s="5">
        <f t="shared" si="219"/>
        <v>0</v>
      </c>
      <c r="TTQ249" s="5">
        <f t="shared" si="219"/>
        <v>0</v>
      </c>
      <c r="TTR249" s="5">
        <f t="shared" si="219"/>
        <v>0</v>
      </c>
      <c r="TTS249" s="5">
        <f t="shared" si="219"/>
        <v>0</v>
      </c>
      <c r="TTT249" s="5">
        <f t="shared" si="219"/>
        <v>0</v>
      </c>
      <c r="TTU249" s="5">
        <f t="shared" si="219"/>
        <v>0</v>
      </c>
      <c r="TTV249" s="5">
        <f t="shared" si="219"/>
        <v>0</v>
      </c>
      <c r="TTW249" s="5">
        <f t="shared" si="219"/>
        <v>0</v>
      </c>
      <c r="TTX249" s="5">
        <f t="shared" si="219"/>
        <v>0</v>
      </c>
      <c r="TTY249" s="5">
        <f t="shared" si="219"/>
        <v>0</v>
      </c>
      <c r="TTZ249" s="5">
        <f t="shared" si="219"/>
        <v>0</v>
      </c>
      <c r="TUA249" s="5">
        <f t="shared" si="219"/>
        <v>0</v>
      </c>
      <c r="TUB249" s="5">
        <f t="shared" si="219"/>
        <v>0</v>
      </c>
      <c r="TUC249" s="5">
        <f t="shared" si="219"/>
        <v>0</v>
      </c>
      <c r="TUD249" s="5">
        <f t="shared" si="219"/>
        <v>0</v>
      </c>
      <c r="TUE249" s="5">
        <f t="shared" si="219"/>
        <v>0</v>
      </c>
      <c r="TUF249" s="5">
        <f t="shared" si="219"/>
        <v>0</v>
      </c>
      <c r="TUG249" s="5">
        <f t="shared" si="219"/>
        <v>0</v>
      </c>
      <c r="TUH249" s="5">
        <f t="shared" si="219"/>
        <v>0</v>
      </c>
      <c r="TUI249" s="5">
        <f t="shared" si="219"/>
        <v>0</v>
      </c>
      <c r="TUJ249" s="5">
        <f t="shared" si="219"/>
        <v>0</v>
      </c>
      <c r="TUK249" s="5">
        <f t="shared" si="219"/>
        <v>0</v>
      </c>
      <c r="TUL249" s="5">
        <f t="shared" si="219"/>
        <v>0</v>
      </c>
      <c r="TUM249" s="5">
        <f t="shared" si="219"/>
        <v>0</v>
      </c>
      <c r="TUN249" s="5">
        <f t="shared" si="219"/>
        <v>0</v>
      </c>
      <c r="TUO249" s="5">
        <f t="shared" si="219"/>
        <v>0</v>
      </c>
      <c r="TUP249" s="5">
        <f t="shared" si="219"/>
        <v>0</v>
      </c>
      <c r="TUQ249" s="5">
        <f t="shared" si="219"/>
        <v>0</v>
      </c>
      <c r="TUR249" s="5">
        <f t="shared" si="219"/>
        <v>0</v>
      </c>
      <c r="TUS249" s="5">
        <f t="shared" si="219"/>
        <v>0</v>
      </c>
      <c r="TUT249" s="5">
        <f t="shared" si="219"/>
        <v>0</v>
      </c>
      <c r="TUU249" s="5">
        <f t="shared" si="219"/>
        <v>0</v>
      </c>
      <c r="TUV249" s="5">
        <f t="shared" si="219"/>
        <v>0</v>
      </c>
      <c r="TUW249" s="5">
        <f t="shared" si="219"/>
        <v>0</v>
      </c>
      <c r="TUX249" s="5">
        <f t="shared" si="219"/>
        <v>0</v>
      </c>
      <c r="TUY249" s="5">
        <f t="shared" si="219"/>
        <v>0</v>
      </c>
      <c r="TUZ249" s="5">
        <f t="shared" si="219"/>
        <v>0</v>
      </c>
      <c r="TVA249" s="5">
        <f t="shared" si="219"/>
        <v>0</v>
      </c>
      <c r="TVB249" s="5">
        <f t="shared" si="219"/>
        <v>0</v>
      </c>
      <c r="TVC249" s="5">
        <f t="shared" si="219"/>
        <v>0</v>
      </c>
      <c r="TVD249" s="5">
        <f t="shared" si="219"/>
        <v>0</v>
      </c>
      <c r="TVE249" s="5">
        <f t="shared" si="219"/>
        <v>0</v>
      </c>
      <c r="TVF249" s="5">
        <f t="shared" ref="TVF249:TXQ249" si="220">SUM(TVF246:TVF246)</f>
        <v>0</v>
      </c>
      <c r="TVG249" s="5">
        <f t="shared" si="220"/>
        <v>0</v>
      </c>
      <c r="TVH249" s="5">
        <f t="shared" si="220"/>
        <v>0</v>
      </c>
      <c r="TVI249" s="5">
        <f t="shared" si="220"/>
        <v>0</v>
      </c>
      <c r="TVJ249" s="5">
        <f t="shared" si="220"/>
        <v>0</v>
      </c>
      <c r="TVK249" s="5">
        <f t="shared" si="220"/>
        <v>0</v>
      </c>
      <c r="TVL249" s="5">
        <f t="shared" si="220"/>
        <v>0</v>
      </c>
      <c r="TVM249" s="5">
        <f t="shared" si="220"/>
        <v>0</v>
      </c>
      <c r="TVN249" s="5">
        <f t="shared" si="220"/>
        <v>0</v>
      </c>
      <c r="TVO249" s="5">
        <f t="shared" si="220"/>
        <v>0</v>
      </c>
      <c r="TVP249" s="5">
        <f t="shared" si="220"/>
        <v>0</v>
      </c>
      <c r="TVQ249" s="5">
        <f t="shared" si="220"/>
        <v>0</v>
      </c>
      <c r="TVR249" s="5">
        <f t="shared" si="220"/>
        <v>0</v>
      </c>
      <c r="TVS249" s="5">
        <f t="shared" si="220"/>
        <v>0</v>
      </c>
      <c r="TVT249" s="5">
        <f t="shared" si="220"/>
        <v>0</v>
      </c>
      <c r="TVU249" s="5">
        <f t="shared" si="220"/>
        <v>0</v>
      </c>
      <c r="TVV249" s="5">
        <f t="shared" si="220"/>
        <v>0</v>
      </c>
      <c r="TVW249" s="5">
        <f t="shared" si="220"/>
        <v>0</v>
      </c>
      <c r="TVX249" s="5">
        <f t="shared" si="220"/>
        <v>0</v>
      </c>
      <c r="TVY249" s="5">
        <f t="shared" si="220"/>
        <v>0</v>
      </c>
      <c r="TVZ249" s="5">
        <f t="shared" si="220"/>
        <v>0</v>
      </c>
      <c r="TWA249" s="5">
        <f t="shared" si="220"/>
        <v>0</v>
      </c>
      <c r="TWB249" s="5">
        <f t="shared" si="220"/>
        <v>0</v>
      </c>
      <c r="TWC249" s="5">
        <f t="shared" si="220"/>
        <v>0</v>
      </c>
      <c r="TWD249" s="5">
        <f t="shared" si="220"/>
        <v>0</v>
      </c>
      <c r="TWE249" s="5">
        <f t="shared" si="220"/>
        <v>0</v>
      </c>
      <c r="TWF249" s="5">
        <f t="shared" si="220"/>
        <v>0</v>
      </c>
      <c r="TWG249" s="5">
        <f t="shared" si="220"/>
        <v>0</v>
      </c>
      <c r="TWH249" s="5">
        <f t="shared" si="220"/>
        <v>0</v>
      </c>
      <c r="TWI249" s="5">
        <f t="shared" si="220"/>
        <v>0</v>
      </c>
      <c r="TWJ249" s="5">
        <f t="shared" si="220"/>
        <v>0</v>
      </c>
      <c r="TWK249" s="5">
        <f t="shared" si="220"/>
        <v>0</v>
      </c>
      <c r="TWL249" s="5">
        <f t="shared" si="220"/>
        <v>0</v>
      </c>
      <c r="TWM249" s="5">
        <f t="shared" si="220"/>
        <v>0</v>
      </c>
      <c r="TWN249" s="5">
        <f t="shared" si="220"/>
        <v>0</v>
      </c>
      <c r="TWO249" s="5">
        <f t="shared" si="220"/>
        <v>0</v>
      </c>
      <c r="TWP249" s="5">
        <f t="shared" si="220"/>
        <v>0</v>
      </c>
      <c r="TWQ249" s="5">
        <f t="shared" si="220"/>
        <v>0</v>
      </c>
      <c r="TWR249" s="5">
        <f t="shared" si="220"/>
        <v>0</v>
      </c>
      <c r="TWS249" s="5">
        <f t="shared" si="220"/>
        <v>0</v>
      </c>
      <c r="TWT249" s="5">
        <f t="shared" si="220"/>
        <v>0</v>
      </c>
      <c r="TWU249" s="5">
        <f t="shared" si="220"/>
        <v>0</v>
      </c>
      <c r="TWV249" s="5">
        <f t="shared" si="220"/>
        <v>0</v>
      </c>
      <c r="TWW249" s="5">
        <f t="shared" si="220"/>
        <v>0</v>
      </c>
      <c r="TWX249" s="5">
        <f t="shared" si="220"/>
        <v>0</v>
      </c>
      <c r="TWY249" s="5">
        <f t="shared" si="220"/>
        <v>0</v>
      </c>
      <c r="TWZ249" s="5">
        <f t="shared" si="220"/>
        <v>0</v>
      </c>
      <c r="TXA249" s="5">
        <f t="shared" si="220"/>
        <v>0</v>
      </c>
      <c r="TXB249" s="5">
        <f t="shared" si="220"/>
        <v>0</v>
      </c>
      <c r="TXC249" s="5">
        <f t="shared" si="220"/>
        <v>0</v>
      </c>
      <c r="TXD249" s="5">
        <f t="shared" si="220"/>
        <v>0</v>
      </c>
      <c r="TXE249" s="5">
        <f t="shared" si="220"/>
        <v>0</v>
      </c>
      <c r="TXF249" s="5">
        <f t="shared" si="220"/>
        <v>0</v>
      </c>
      <c r="TXG249" s="5">
        <f t="shared" si="220"/>
        <v>0</v>
      </c>
      <c r="TXH249" s="5">
        <f t="shared" si="220"/>
        <v>0</v>
      </c>
      <c r="TXI249" s="5">
        <f t="shared" si="220"/>
        <v>0</v>
      </c>
      <c r="TXJ249" s="5">
        <f t="shared" si="220"/>
        <v>0</v>
      </c>
      <c r="TXK249" s="5">
        <f t="shared" si="220"/>
        <v>0</v>
      </c>
      <c r="TXL249" s="5">
        <f t="shared" si="220"/>
        <v>0</v>
      </c>
      <c r="TXM249" s="5">
        <f t="shared" si="220"/>
        <v>0</v>
      </c>
      <c r="TXN249" s="5">
        <f t="shared" si="220"/>
        <v>0</v>
      </c>
      <c r="TXO249" s="5">
        <f t="shared" si="220"/>
        <v>0</v>
      </c>
      <c r="TXP249" s="5">
        <f t="shared" si="220"/>
        <v>0</v>
      </c>
      <c r="TXQ249" s="5">
        <f t="shared" si="220"/>
        <v>0</v>
      </c>
      <c r="TXR249" s="5">
        <f t="shared" ref="TXR249:UAC249" si="221">SUM(TXR246:TXR246)</f>
        <v>0</v>
      </c>
      <c r="TXS249" s="5">
        <f t="shared" si="221"/>
        <v>0</v>
      </c>
      <c r="TXT249" s="5">
        <f t="shared" si="221"/>
        <v>0</v>
      </c>
      <c r="TXU249" s="5">
        <f t="shared" si="221"/>
        <v>0</v>
      </c>
      <c r="TXV249" s="5">
        <f t="shared" si="221"/>
        <v>0</v>
      </c>
      <c r="TXW249" s="5">
        <f t="shared" si="221"/>
        <v>0</v>
      </c>
      <c r="TXX249" s="5">
        <f t="shared" si="221"/>
        <v>0</v>
      </c>
      <c r="TXY249" s="5">
        <f t="shared" si="221"/>
        <v>0</v>
      </c>
      <c r="TXZ249" s="5">
        <f t="shared" si="221"/>
        <v>0</v>
      </c>
      <c r="TYA249" s="5">
        <f t="shared" si="221"/>
        <v>0</v>
      </c>
      <c r="TYB249" s="5">
        <f t="shared" si="221"/>
        <v>0</v>
      </c>
      <c r="TYC249" s="5">
        <f t="shared" si="221"/>
        <v>0</v>
      </c>
      <c r="TYD249" s="5">
        <f t="shared" si="221"/>
        <v>0</v>
      </c>
      <c r="TYE249" s="5">
        <f t="shared" si="221"/>
        <v>0</v>
      </c>
      <c r="TYF249" s="5">
        <f t="shared" si="221"/>
        <v>0</v>
      </c>
      <c r="TYG249" s="5">
        <f t="shared" si="221"/>
        <v>0</v>
      </c>
      <c r="TYH249" s="5">
        <f t="shared" si="221"/>
        <v>0</v>
      </c>
      <c r="TYI249" s="5">
        <f t="shared" si="221"/>
        <v>0</v>
      </c>
      <c r="TYJ249" s="5">
        <f t="shared" si="221"/>
        <v>0</v>
      </c>
      <c r="TYK249" s="5">
        <f t="shared" si="221"/>
        <v>0</v>
      </c>
      <c r="TYL249" s="5">
        <f t="shared" si="221"/>
        <v>0</v>
      </c>
      <c r="TYM249" s="5">
        <f t="shared" si="221"/>
        <v>0</v>
      </c>
      <c r="TYN249" s="5">
        <f t="shared" si="221"/>
        <v>0</v>
      </c>
      <c r="TYO249" s="5">
        <f t="shared" si="221"/>
        <v>0</v>
      </c>
      <c r="TYP249" s="5">
        <f t="shared" si="221"/>
        <v>0</v>
      </c>
      <c r="TYQ249" s="5">
        <f t="shared" si="221"/>
        <v>0</v>
      </c>
      <c r="TYR249" s="5">
        <f t="shared" si="221"/>
        <v>0</v>
      </c>
      <c r="TYS249" s="5">
        <f t="shared" si="221"/>
        <v>0</v>
      </c>
      <c r="TYT249" s="5">
        <f t="shared" si="221"/>
        <v>0</v>
      </c>
      <c r="TYU249" s="5">
        <f t="shared" si="221"/>
        <v>0</v>
      </c>
      <c r="TYV249" s="5">
        <f t="shared" si="221"/>
        <v>0</v>
      </c>
      <c r="TYW249" s="5">
        <f t="shared" si="221"/>
        <v>0</v>
      </c>
      <c r="TYX249" s="5">
        <f t="shared" si="221"/>
        <v>0</v>
      </c>
      <c r="TYY249" s="5">
        <f t="shared" si="221"/>
        <v>0</v>
      </c>
      <c r="TYZ249" s="5">
        <f t="shared" si="221"/>
        <v>0</v>
      </c>
      <c r="TZA249" s="5">
        <f t="shared" si="221"/>
        <v>0</v>
      </c>
      <c r="TZB249" s="5">
        <f t="shared" si="221"/>
        <v>0</v>
      </c>
      <c r="TZC249" s="5">
        <f t="shared" si="221"/>
        <v>0</v>
      </c>
      <c r="TZD249" s="5">
        <f t="shared" si="221"/>
        <v>0</v>
      </c>
      <c r="TZE249" s="5">
        <f t="shared" si="221"/>
        <v>0</v>
      </c>
      <c r="TZF249" s="5">
        <f t="shared" si="221"/>
        <v>0</v>
      </c>
      <c r="TZG249" s="5">
        <f t="shared" si="221"/>
        <v>0</v>
      </c>
      <c r="TZH249" s="5">
        <f t="shared" si="221"/>
        <v>0</v>
      </c>
      <c r="TZI249" s="5">
        <f t="shared" si="221"/>
        <v>0</v>
      </c>
      <c r="TZJ249" s="5">
        <f t="shared" si="221"/>
        <v>0</v>
      </c>
      <c r="TZK249" s="5">
        <f t="shared" si="221"/>
        <v>0</v>
      </c>
      <c r="TZL249" s="5">
        <f t="shared" si="221"/>
        <v>0</v>
      </c>
      <c r="TZM249" s="5">
        <f t="shared" si="221"/>
        <v>0</v>
      </c>
      <c r="TZN249" s="5">
        <f t="shared" si="221"/>
        <v>0</v>
      </c>
      <c r="TZO249" s="5">
        <f t="shared" si="221"/>
        <v>0</v>
      </c>
      <c r="TZP249" s="5">
        <f t="shared" si="221"/>
        <v>0</v>
      </c>
      <c r="TZQ249" s="5">
        <f t="shared" si="221"/>
        <v>0</v>
      </c>
      <c r="TZR249" s="5">
        <f t="shared" si="221"/>
        <v>0</v>
      </c>
      <c r="TZS249" s="5">
        <f t="shared" si="221"/>
        <v>0</v>
      </c>
      <c r="TZT249" s="5">
        <f t="shared" si="221"/>
        <v>0</v>
      </c>
      <c r="TZU249" s="5">
        <f t="shared" si="221"/>
        <v>0</v>
      </c>
      <c r="TZV249" s="5">
        <f t="shared" si="221"/>
        <v>0</v>
      </c>
      <c r="TZW249" s="5">
        <f t="shared" si="221"/>
        <v>0</v>
      </c>
      <c r="TZX249" s="5">
        <f t="shared" si="221"/>
        <v>0</v>
      </c>
      <c r="TZY249" s="5">
        <f t="shared" si="221"/>
        <v>0</v>
      </c>
      <c r="TZZ249" s="5">
        <f t="shared" si="221"/>
        <v>0</v>
      </c>
      <c r="UAA249" s="5">
        <f t="shared" si="221"/>
        <v>0</v>
      </c>
      <c r="UAB249" s="5">
        <f t="shared" si="221"/>
        <v>0</v>
      </c>
      <c r="UAC249" s="5">
        <f t="shared" si="221"/>
        <v>0</v>
      </c>
      <c r="UAD249" s="5">
        <f t="shared" ref="UAD249:UCO249" si="222">SUM(UAD246:UAD246)</f>
        <v>0</v>
      </c>
      <c r="UAE249" s="5">
        <f t="shared" si="222"/>
        <v>0</v>
      </c>
      <c r="UAF249" s="5">
        <f t="shared" si="222"/>
        <v>0</v>
      </c>
      <c r="UAG249" s="5">
        <f t="shared" si="222"/>
        <v>0</v>
      </c>
      <c r="UAH249" s="5">
        <f t="shared" si="222"/>
        <v>0</v>
      </c>
      <c r="UAI249" s="5">
        <f t="shared" si="222"/>
        <v>0</v>
      </c>
      <c r="UAJ249" s="5">
        <f t="shared" si="222"/>
        <v>0</v>
      </c>
      <c r="UAK249" s="5">
        <f t="shared" si="222"/>
        <v>0</v>
      </c>
      <c r="UAL249" s="5">
        <f t="shared" si="222"/>
        <v>0</v>
      </c>
      <c r="UAM249" s="5">
        <f t="shared" si="222"/>
        <v>0</v>
      </c>
      <c r="UAN249" s="5">
        <f t="shared" si="222"/>
        <v>0</v>
      </c>
      <c r="UAO249" s="5">
        <f t="shared" si="222"/>
        <v>0</v>
      </c>
      <c r="UAP249" s="5">
        <f t="shared" si="222"/>
        <v>0</v>
      </c>
      <c r="UAQ249" s="5">
        <f t="shared" si="222"/>
        <v>0</v>
      </c>
      <c r="UAR249" s="5">
        <f t="shared" si="222"/>
        <v>0</v>
      </c>
      <c r="UAS249" s="5">
        <f t="shared" si="222"/>
        <v>0</v>
      </c>
      <c r="UAT249" s="5">
        <f t="shared" si="222"/>
        <v>0</v>
      </c>
      <c r="UAU249" s="5">
        <f t="shared" si="222"/>
        <v>0</v>
      </c>
      <c r="UAV249" s="5">
        <f t="shared" si="222"/>
        <v>0</v>
      </c>
      <c r="UAW249" s="5">
        <f t="shared" si="222"/>
        <v>0</v>
      </c>
      <c r="UAX249" s="5">
        <f t="shared" si="222"/>
        <v>0</v>
      </c>
      <c r="UAY249" s="5">
        <f t="shared" si="222"/>
        <v>0</v>
      </c>
      <c r="UAZ249" s="5">
        <f t="shared" si="222"/>
        <v>0</v>
      </c>
      <c r="UBA249" s="5">
        <f t="shared" si="222"/>
        <v>0</v>
      </c>
      <c r="UBB249" s="5">
        <f t="shared" si="222"/>
        <v>0</v>
      </c>
      <c r="UBC249" s="5">
        <f t="shared" si="222"/>
        <v>0</v>
      </c>
      <c r="UBD249" s="5">
        <f t="shared" si="222"/>
        <v>0</v>
      </c>
      <c r="UBE249" s="5">
        <f t="shared" si="222"/>
        <v>0</v>
      </c>
      <c r="UBF249" s="5">
        <f t="shared" si="222"/>
        <v>0</v>
      </c>
      <c r="UBG249" s="5">
        <f t="shared" si="222"/>
        <v>0</v>
      </c>
      <c r="UBH249" s="5">
        <f t="shared" si="222"/>
        <v>0</v>
      </c>
      <c r="UBI249" s="5">
        <f t="shared" si="222"/>
        <v>0</v>
      </c>
      <c r="UBJ249" s="5">
        <f t="shared" si="222"/>
        <v>0</v>
      </c>
      <c r="UBK249" s="5">
        <f t="shared" si="222"/>
        <v>0</v>
      </c>
      <c r="UBL249" s="5">
        <f t="shared" si="222"/>
        <v>0</v>
      </c>
      <c r="UBM249" s="5">
        <f t="shared" si="222"/>
        <v>0</v>
      </c>
      <c r="UBN249" s="5">
        <f t="shared" si="222"/>
        <v>0</v>
      </c>
      <c r="UBO249" s="5">
        <f t="shared" si="222"/>
        <v>0</v>
      </c>
      <c r="UBP249" s="5">
        <f t="shared" si="222"/>
        <v>0</v>
      </c>
      <c r="UBQ249" s="5">
        <f t="shared" si="222"/>
        <v>0</v>
      </c>
      <c r="UBR249" s="5">
        <f t="shared" si="222"/>
        <v>0</v>
      </c>
      <c r="UBS249" s="5">
        <f t="shared" si="222"/>
        <v>0</v>
      </c>
      <c r="UBT249" s="5">
        <f t="shared" si="222"/>
        <v>0</v>
      </c>
      <c r="UBU249" s="5">
        <f t="shared" si="222"/>
        <v>0</v>
      </c>
      <c r="UBV249" s="5">
        <f t="shared" si="222"/>
        <v>0</v>
      </c>
      <c r="UBW249" s="5">
        <f t="shared" si="222"/>
        <v>0</v>
      </c>
      <c r="UBX249" s="5">
        <f t="shared" si="222"/>
        <v>0</v>
      </c>
      <c r="UBY249" s="5">
        <f t="shared" si="222"/>
        <v>0</v>
      </c>
      <c r="UBZ249" s="5">
        <f t="shared" si="222"/>
        <v>0</v>
      </c>
      <c r="UCA249" s="5">
        <f t="shared" si="222"/>
        <v>0</v>
      </c>
      <c r="UCB249" s="5">
        <f t="shared" si="222"/>
        <v>0</v>
      </c>
      <c r="UCC249" s="5">
        <f t="shared" si="222"/>
        <v>0</v>
      </c>
      <c r="UCD249" s="5">
        <f t="shared" si="222"/>
        <v>0</v>
      </c>
      <c r="UCE249" s="5">
        <f t="shared" si="222"/>
        <v>0</v>
      </c>
      <c r="UCF249" s="5">
        <f t="shared" si="222"/>
        <v>0</v>
      </c>
      <c r="UCG249" s="5">
        <f t="shared" si="222"/>
        <v>0</v>
      </c>
      <c r="UCH249" s="5">
        <f t="shared" si="222"/>
        <v>0</v>
      </c>
      <c r="UCI249" s="5">
        <f t="shared" si="222"/>
        <v>0</v>
      </c>
      <c r="UCJ249" s="5">
        <f t="shared" si="222"/>
        <v>0</v>
      </c>
      <c r="UCK249" s="5">
        <f t="shared" si="222"/>
        <v>0</v>
      </c>
      <c r="UCL249" s="5">
        <f t="shared" si="222"/>
        <v>0</v>
      </c>
      <c r="UCM249" s="5">
        <f t="shared" si="222"/>
        <v>0</v>
      </c>
      <c r="UCN249" s="5">
        <f t="shared" si="222"/>
        <v>0</v>
      </c>
      <c r="UCO249" s="5">
        <f t="shared" si="222"/>
        <v>0</v>
      </c>
      <c r="UCP249" s="5">
        <f t="shared" ref="UCP249:UFA249" si="223">SUM(UCP246:UCP246)</f>
        <v>0</v>
      </c>
      <c r="UCQ249" s="5">
        <f t="shared" si="223"/>
        <v>0</v>
      </c>
      <c r="UCR249" s="5">
        <f t="shared" si="223"/>
        <v>0</v>
      </c>
      <c r="UCS249" s="5">
        <f t="shared" si="223"/>
        <v>0</v>
      </c>
      <c r="UCT249" s="5">
        <f t="shared" si="223"/>
        <v>0</v>
      </c>
      <c r="UCU249" s="5">
        <f t="shared" si="223"/>
        <v>0</v>
      </c>
      <c r="UCV249" s="5">
        <f t="shared" si="223"/>
        <v>0</v>
      </c>
      <c r="UCW249" s="5">
        <f t="shared" si="223"/>
        <v>0</v>
      </c>
      <c r="UCX249" s="5">
        <f t="shared" si="223"/>
        <v>0</v>
      </c>
      <c r="UCY249" s="5">
        <f t="shared" si="223"/>
        <v>0</v>
      </c>
      <c r="UCZ249" s="5">
        <f t="shared" si="223"/>
        <v>0</v>
      </c>
      <c r="UDA249" s="5">
        <f t="shared" si="223"/>
        <v>0</v>
      </c>
      <c r="UDB249" s="5">
        <f t="shared" si="223"/>
        <v>0</v>
      </c>
      <c r="UDC249" s="5">
        <f t="shared" si="223"/>
        <v>0</v>
      </c>
      <c r="UDD249" s="5">
        <f t="shared" si="223"/>
        <v>0</v>
      </c>
      <c r="UDE249" s="5">
        <f t="shared" si="223"/>
        <v>0</v>
      </c>
      <c r="UDF249" s="5">
        <f t="shared" si="223"/>
        <v>0</v>
      </c>
      <c r="UDG249" s="5">
        <f t="shared" si="223"/>
        <v>0</v>
      </c>
      <c r="UDH249" s="5">
        <f t="shared" si="223"/>
        <v>0</v>
      </c>
      <c r="UDI249" s="5">
        <f t="shared" si="223"/>
        <v>0</v>
      </c>
      <c r="UDJ249" s="5">
        <f t="shared" si="223"/>
        <v>0</v>
      </c>
      <c r="UDK249" s="5">
        <f t="shared" si="223"/>
        <v>0</v>
      </c>
      <c r="UDL249" s="5">
        <f t="shared" si="223"/>
        <v>0</v>
      </c>
      <c r="UDM249" s="5">
        <f t="shared" si="223"/>
        <v>0</v>
      </c>
      <c r="UDN249" s="5">
        <f t="shared" si="223"/>
        <v>0</v>
      </c>
      <c r="UDO249" s="5">
        <f t="shared" si="223"/>
        <v>0</v>
      </c>
      <c r="UDP249" s="5">
        <f t="shared" si="223"/>
        <v>0</v>
      </c>
      <c r="UDQ249" s="5">
        <f t="shared" si="223"/>
        <v>0</v>
      </c>
      <c r="UDR249" s="5">
        <f t="shared" si="223"/>
        <v>0</v>
      </c>
      <c r="UDS249" s="5">
        <f t="shared" si="223"/>
        <v>0</v>
      </c>
      <c r="UDT249" s="5">
        <f t="shared" si="223"/>
        <v>0</v>
      </c>
      <c r="UDU249" s="5">
        <f t="shared" si="223"/>
        <v>0</v>
      </c>
      <c r="UDV249" s="5">
        <f t="shared" si="223"/>
        <v>0</v>
      </c>
      <c r="UDW249" s="5">
        <f t="shared" si="223"/>
        <v>0</v>
      </c>
      <c r="UDX249" s="5">
        <f t="shared" si="223"/>
        <v>0</v>
      </c>
      <c r="UDY249" s="5">
        <f t="shared" si="223"/>
        <v>0</v>
      </c>
      <c r="UDZ249" s="5">
        <f t="shared" si="223"/>
        <v>0</v>
      </c>
      <c r="UEA249" s="5">
        <f t="shared" si="223"/>
        <v>0</v>
      </c>
      <c r="UEB249" s="5">
        <f t="shared" si="223"/>
        <v>0</v>
      </c>
      <c r="UEC249" s="5">
        <f t="shared" si="223"/>
        <v>0</v>
      </c>
      <c r="UED249" s="5">
        <f t="shared" si="223"/>
        <v>0</v>
      </c>
      <c r="UEE249" s="5">
        <f t="shared" si="223"/>
        <v>0</v>
      </c>
      <c r="UEF249" s="5">
        <f t="shared" si="223"/>
        <v>0</v>
      </c>
      <c r="UEG249" s="5">
        <f t="shared" si="223"/>
        <v>0</v>
      </c>
      <c r="UEH249" s="5">
        <f t="shared" si="223"/>
        <v>0</v>
      </c>
      <c r="UEI249" s="5">
        <f t="shared" si="223"/>
        <v>0</v>
      </c>
      <c r="UEJ249" s="5">
        <f t="shared" si="223"/>
        <v>0</v>
      </c>
      <c r="UEK249" s="5">
        <f t="shared" si="223"/>
        <v>0</v>
      </c>
      <c r="UEL249" s="5">
        <f t="shared" si="223"/>
        <v>0</v>
      </c>
      <c r="UEM249" s="5">
        <f t="shared" si="223"/>
        <v>0</v>
      </c>
      <c r="UEN249" s="5">
        <f t="shared" si="223"/>
        <v>0</v>
      </c>
      <c r="UEO249" s="5">
        <f t="shared" si="223"/>
        <v>0</v>
      </c>
      <c r="UEP249" s="5">
        <f t="shared" si="223"/>
        <v>0</v>
      </c>
      <c r="UEQ249" s="5">
        <f t="shared" si="223"/>
        <v>0</v>
      </c>
      <c r="UER249" s="5">
        <f t="shared" si="223"/>
        <v>0</v>
      </c>
      <c r="UES249" s="5">
        <f t="shared" si="223"/>
        <v>0</v>
      </c>
      <c r="UET249" s="5">
        <f t="shared" si="223"/>
        <v>0</v>
      </c>
      <c r="UEU249" s="5">
        <f t="shared" si="223"/>
        <v>0</v>
      </c>
      <c r="UEV249" s="5">
        <f t="shared" si="223"/>
        <v>0</v>
      </c>
      <c r="UEW249" s="5">
        <f t="shared" si="223"/>
        <v>0</v>
      </c>
      <c r="UEX249" s="5">
        <f t="shared" si="223"/>
        <v>0</v>
      </c>
      <c r="UEY249" s="5">
        <f t="shared" si="223"/>
        <v>0</v>
      </c>
      <c r="UEZ249" s="5">
        <f t="shared" si="223"/>
        <v>0</v>
      </c>
      <c r="UFA249" s="5">
        <f t="shared" si="223"/>
        <v>0</v>
      </c>
      <c r="UFB249" s="5">
        <f t="shared" ref="UFB249:UHM249" si="224">SUM(UFB246:UFB246)</f>
        <v>0</v>
      </c>
      <c r="UFC249" s="5">
        <f t="shared" si="224"/>
        <v>0</v>
      </c>
      <c r="UFD249" s="5">
        <f t="shared" si="224"/>
        <v>0</v>
      </c>
      <c r="UFE249" s="5">
        <f t="shared" si="224"/>
        <v>0</v>
      </c>
      <c r="UFF249" s="5">
        <f t="shared" si="224"/>
        <v>0</v>
      </c>
      <c r="UFG249" s="5">
        <f t="shared" si="224"/>
        <v>0</v>
      </c>
      <c r="UFH249" s="5">
        <f t="shared" si="224"/>
        <v>0</v>
      </c>
      <c r="UFI249" s="5">
        <f t="shared" si="224"/>
        <v>0</v>
      </c>
      <c r="UFJ249" s="5">
        <f t="shared" si="224"/>
        <v>0</v>
      </c>
      <c r="UFK249" s="5">
        <f t="shared" si="224"/>
        <v>0</v>
      </c>
      <c r="UFL249" s="5">
        <f t="shared" si="224"/>
        <v>0</v>
      </c>
      <c r="UFM249" s="5">
        <f t="shared" si="224"/>
        <v>0</v>
      </c>
      <c r="UFN249" s="5">
        <f t="shared" si="224"/>
        <v>0</v>
      </c>
      <c r="UFO249" s="5">
        <f t="shared" si="224"/>
        <v>0</v>
      </c>
      <c r="UFP249" s="5">
        <f t="shared" si="224"/>
        <v>0</v>
      </c>
      <c r="UFQ249" s="5">
        <f t="shared" si="224"/>
        <v>0</v>
      </c>
      <c r="UFR249" s="5">
        <f t="shared" si="224"/>
        <v>0</v>
      </c>
      <c r="UFS249" s="5">
        <f t="shared" si="224"/>
        <v>0</v>
      </c>
      <c r="UFT249" s="5">
        <f t="shared" si="224"/>
        <v>0</v>
      </c>
      <c r="UFU249" s="5">
        <f t="shared" si="224"/>
        <v>0</v>
      </c>
      <c r="UFV249" s="5">
        <f t="shared" si="224"/>
        <v>0</v>
      </c>
      <c r="UFW249" s="5">
        <f t="shared" si="224"/>
        <v>0</v>
      </c>
      <c r="UFX249" s="5">
        <f t="shared" si="224"/>
        <v>0</v>
      </c>
      <c r="UFY249" s="5">
        <f t="shared" si="224"/>
        <v>0</v>
      </c>
      <c r="UFZ249" s="5">
        <f t="shared" si="224"/>
        <v>0</v>
      </c>
      <c r="UGA249" s="5">
        <f t="shared" si="224"/>
        <v>0</v>
      </c>
      <c r="UGB249" s="5">
        <f t="shared" si="224"/>
        <v>0</v>
      </c>
      <c r="UGC249" s="5">
        <f t="shared" si="224"/>
        <v>0</v>
      </c>
      <c r="UGD249" s="5">
        <f t="shared" si="224"/>
        <v>0</v>
      </c>
      <c r="UGE249" s="5">
        <f t="shared" si="224"/>
        <v>0</v>
      </c>
      <c r="UGF249" s="5">
        <f t="shared" si="224"/>
        <v>0</v>
      </c>
      <c r="UGG249" s="5">
        <f t="shared" si="224"/>
        <v>0</v>
      </c>
      <c r="UGH249" s="5">
        <f t="shared" si="224"/>
        <v>0</v>
      </c>
      <c r="UGI249" s="5">
        <f t="shared" si="224"/>
        <v>0</v>
      </c>
      <c r="UGJ249" s="5">
        <f t="shared" si="224"/>
        <v>0</v>
      </c>
      <c r="UGK249" s="5">
        <f t="shared" si="224"/>
        <v>0</v>
      </c>
      <c r="UGL249" s="5">
        <f t="shared" si="224"/>
        <v>0</v>
      </c>
      <c r="UGM249" s="5">
        <f t="shared" si="224"/>
        <v>0</v>
      </c>
      <c r="UGN249" s="5">
        <f t="shared" si="224"/>
        <v>0</v>
      </c>
      <c r="UGO249" s="5">
        <f t="shared" si="224"/>
        <v>0</v>
      </c>
      <c r="UGP249" s="5">
        <f t="shared" si="224"/>
        <v>0</v>
      </c>
      <c r="UGQ249" s="5">
        <f t="shared" si="224"/>
        <v>0</v>
      </c>
      <c r="UGR249" s="5">
        <f t="shared" si="224"/>
        <v>0</v>
      </c>
      <c r="UGS249" s="5">
        <f t="shared" si="224"/>
        <v>0</v>
      </c>
      <c r="UGT249" s="5">
        <f t="shared" si="224"/>
        <v>0</v>
      </c>
      <c r="UGU249" s="5">
        <f t="shared" si="224"/>
        <v>0</v>
      </c>
      <c r="UGV249" s="5">
        <f t="shared" si="224"/>
        <v>0</v>
      </c>
      <c r="UGW249" s="5">
        <f t="shared" si="224"/>
        <v>0</v>
      </c>
      <c r="UGX249" s="5">
        <f t="shared" si="224"/>
        <v>0</v>
      </c>
      <c r="UGY249" s="5">
        <f t="shared" si="224"/>
        <v>0</v>
      </c>
      <c r="UGZ249" s="5">
        <f t="shared" si="224"/>
        <v>0</v>
      </c>
      <c r="UHA249" s="5">
        <f t="shared" si="224"/>
        <v>0</v>
      </c>
      <c r="UHB249" s="5">
        <f t="shared" si="224"/>
        <v>0</v>
      </c>
      <c r="UHC249" s="5">
        <f t="shared" si="224"/>
        <v>0</v>
      </c>
      <c r="UHD249" s="5">
        <f t="shared" si="224"/>
        <v>0</v>
      </c>
      <c r="UHE249" s="5">
        <f t="shared" si="224"/>
        <v>0</v>
      </c>
      <c r="UHF249" s="5">
        <f t="shared" si="224"/>
        <v>0</v>
      </c>
      <c r="UHG249" s="5">
        <f t="shared" si="224"/>
        <v>0</v>
      </c>
      <c r="UHH249" s="5">
        <f t="shared" si="224"/>
        <v>0</v>
      </c>
      <c r="UHI249" s="5">
        <f t="shared" si="224"/>
        <v>0</v>
      </c>
      <c r="UHJ249" s="5">
        <f t="shared" si="224"/>
        <v>0</v>
      </c>
      <c r="UHK249" s="5">
        <f t="shared" si="224"/>
        <v>0</v>
      </c>
      <c r="UHL249" s="5">
        <f t="shared" si="224"/>
        <v>0</v>
      </c>
      <c r="UHM249" s="5">
        <f t="shared" si="224"/>
        <v>0</v>
      </c>
      <c r="UHN249" s="5">
        <f t="shared" ref="UHN249:UJY249" si="225">SUM(UHN246:UHN246)</f>
        <v>0</v>
      </c>
      <c r="UHO249" s="5">
        <f t="shared" si="225"/>
        <v>0</v>
      </c>
      <c r="UHP249" s="5">
        <f t="shared" si="225"/>
        <v>0</v>
      </c>
      <c r="UHQ249" s="5">
        <f t="shared" si="225"/>
        <v>0</v>
      </c>
      <c r="UHR249" s="5">
        <f t="shared" si="225"/>
        <v>0</v>
      </c>
      <c r="UHS249" s="5">
        <f t="shared" si="225"/>
        <v>0</v>
      </c>
      <c r="UHT249" s="5">
        <f t="shared" si="225"/>
        <v>0</v>
      </c>
      <c r="UHU249" s="5">
        <f t="shared" si="225"/>
        <v>0</v>
      </c>
      <c r="UHV249" s="5">
        <f t="shared" si="225"/>
        <v>0</v>
      </c>
      <c r="UHW249" s="5">
        <f t="shared" si="225"/>
        <v>0</v>
      </c>
      <c r="UHX249" s="5">
        <f t="shared" si="225"/>
        <v>0</v>
      </c>
      <c r="UHY249" s="5">
        <f t="shared" si="225"/>
        <v>0</v>
      </c>
      <c r="UHZ249" s="5">
        <f t="shared" si="225"/>
        <v>0</v>
      </c>
      <c r="UIA249" s="5">
        <f t="shared" si="225"/>
        <v>0</v>
      </c>
      <c r="UIB249" s="5">
        <f t="shared" si="225"/>
        <v>0</v>
      </c>
      <c r="UIC249" s="5">
        <f t="shared" si="225"/>
        <v>0</v>
      </c>
      <c r="UID249" s="5">
        <f t="shared" si="225"/>
        <v>0</v>
      </c>
      <c r="UIE249" s="5">
        <f t="shared" si="225"/>
        <v>0</v>
      </c>
      <c r="UIF249" s="5">
        <f t="shared" si="225"/>
        <v>0</v>
      </c>
      <c r="UIG249" s="5">
        <f t="shared" si="225"/>
        <v>0</v>
      </c>
      <c r="UIH249" s="5">
        <f t="shared" si="225"/>
        <v>0</v>
      </c>
      <c r="UII249" s="5">
        <f t="shared" si="225"/>
        <v>0</v>
      </c>
      <c r="UIJ249" s="5">
        <f t="shared" si="225"/>
        <v>0</v>
      </c>
      <c r="UIK249" s="5">
        <f t="shared" si="225"/>
        <v>0</v>
      </c>
      <c r="UIL249" s="5">
        <f t="shared" si="225"/>
        <v>0</v>
      </c>
      <c r="UIM249" s="5">
        <f t="shared" si="225"/>
        <v>0</v>
      </c>
      <c r="UIN249" s="5">
        <f t="shared" si="225"/>
        <v>0</v>
      </c>
      <c r="UIO249" s="5">
        <f t="shared" si="225"/>
        <v>0</v>
      </c>
      <c r="UIP249" s="5">
        <f t="shared" si="225"/>
        <v>0</v>
      </c>
      <c r="UIQ249" s="5">
        <f t="shared" si="225"/>
        <v>0</v>
      </c>
      <c r="UIR249" s="5">
        <f t="shared" si="225"/>
        <v>0</v>
      </c>
      <c r="UIS249" s="5">
        <f t="shared" si="225"/>
        <v>0</v>
      </c>
      <c r="UIT249" s="5">
        <f t="shared" si="225"/>
        <v>0</v>
      </c>
      <c r="UIU249" s="5">
        <f t="shared" si="225"/>
        <v>0</v>
      </c>
      <c r="UIV249" s="5">
        <f t="shared" si="225"/>
        <v>0</v>
      </c>
      <c r="UIW249" s="5">
        <f t="shared" si="225"/>
        <v>0</v>
      </c>
      <c r="UIX249" s="5">
        <f t="shared" si="225"/>
        <v>0</v>
      </c>
      <c r="UIY249" s="5">
        <f t="shared" si="225"/>
        <v>0</v>
      </c>
      <c r="UIZ249" s="5">
        <f t="shared" si="225"/>
        <v>0</v>
      </c>
      <c r="UJA249" s="5">
        <f t="shared" si="225"/>
        <v>0</v>
      </c>
      <c r="UJB249" s="5">
        <f t="shared" si="225"/>
        <v>0</v>
      </c>
      <c r="UJC249" s="5">
        <f t="shared" si="225"/>
        <v>0</v>
      </c>
      <c r="UJD249" s="5">
        <f t="shared" si="225"/>
        <v>0</v>
      </c>
      <c r="UJE249" s="5">
        <f t="shared" si="225"/>
        <v>0</v>
      </c>
      <c r="UJF249" s="5">
        <f t="shared" si="225"/>
        <v>0</v>
      </c>
      <c r="UJG249" s="5">
        <f t="shared" si="225"/>
        <v>0</v>
      </c>
      <c r="UJH249" s="5">
        <f t="shared" si="225"/>
        <v>0</v>
      </c>
      <c r="UJI249" s="5">
        <f t="shared" si="225"/>
        <v>0</v>
      </c>
      <c r="UJJ249" s="5">
        <f t="shared" si="225"/>
        <v>0</v>
      </c>
      <c r="UJK249" s="5">
        <f t="shared" si="225"/>
        <v>0</v>
      </c>
      <c r="UJL249" s="5">
        <f t="shared" si="225"/>
        <v>0</v>
      </c>
      <c r="UJM249" s="5">
        <f t="shared" si="225"/>
        <v>0</v>
      </c>
      <c r="UJN249" s="5">
        <f t="shared" si="225"/>
        <v>0</v>
      </c>
      <c r="UJO249" s="5">
        <f t="shared" si="225"/>
        <v>0</v>
      </c>
      <c r="UJP249" s="5">
        <f t="shared" si="225"/>
        <v>0</v>
      </c>
      <c r="UJQ249" s="5">
        <f t="shared" si="225"/>
        <v>0</v>
      </c>
      <c r="UJR249" s="5">
        <f t="shared" si="225"/>
        <v>0</v>
      </c>
      <c r="UJS249" s="5">
        <f t="shared" si="225"/>
        <v>0</v>
      </c>
      <c r="UJT249" s="5">
        <f t="shared" si="225"/>
        <v>0</v>
      </c>
      <c r="UJU249" s="5">
        <f t="shared" si="225"/>
        <v>0</v>
      </c>
      <c r="UJV249" s="5">
        <f t="shared" si="225"/>
        <v>0</v>
      </c>
      <c r="UJW249" s="5">
        <f t="shared" si="225"/>
        <v>0</v>
      </c>
      <c r="UJX249" s="5">
        <f t="shared" si="225"/>
        <v>0</v>
      </c>
      <c r="UJY249" s="5">
        <f t="shared" si="225"/>
        <v>0</v>
      </c>
      <c r="UJZ249" s="5">
        <f t="shared" ref="UJZ249:UMK249" si="226">SUM(UJZ246:UJZ246)</f>
        <v>0</v>
      </c>
      <c r="UKA249" s="5">
        <f t="shared" si="226"/>
        <v>0</v>
      </c>
      <c r="UKB249" s="5">
        <f t="shared" si="226"/>
        <v>0</v>
      </c>
      <c r="UKC249" s="5">
        <f t="shared" si="226"/>
        <v>0</v>
      </c>
      <c r="UKD249" s="5">
        <f t="shared" si="226"/>
        <v>0</v>
      </c>
      <c r="UKE249" s="5">
        <f t="shared" si="226"/>
        <v>0</v>
      </c>
      <c r="UKF249" s="5">
        <f t="shared" si="226"/>
        <v>0</v>
      </c>
      <c r="UKG249" s="5">
        <f t="shared" si="226"/>
        <v>0</v>
      </c>
      <c r="UKH249" s="5">
        <f t="shared" si="226"/>
        <v>0</v>
      </c>
      <c r="UKI249" s="5">
        <f t="shared" si="226"/>
        <v>0</v>
      </c>
      <c r="UKJ249" s="5">
        <f t="shared" si="226"/>
        <v>0</v>
      </c>
      <c r="UKK249" s="5">
        <f t="shared" si="226"/>
        <v>0</v>
      </c>
      <c r="UKL249" s="5">
        <f t="shared" si="226"/>
        <v>0</v>
      </c>
      <c r="UKM249" s="5">
        <f t="shared" si="226"/>
        <v>0</v>
      </c>
      <c r="UKN249" s="5">
        <f t="shared" si="226"/>
        <v>0</v>
      </c>
      <c r="UKO249" s="5">
        <f t="shared" si="226"/>
        <v>0</v>
      </c>
      <c r="UKP249" s="5">
        <f t="shared" si="226"/>
        <v>0</v>
      </c>
      <c r="UKQ249" s="5">
        <f t="shared" si="226"/>
        <v>0</v>
      </c>
      <c r="UKR249" s="5">
        <f t="shared" si="226"/>
        <v>0</v>
      </c>
      <c r="UKS249" s="5">
        <f t="shared" si="226"/>
        <v>0</v>
      </c>
      <c r="UKT249" s="5">
        <f t="shared" si="226"/>
        <v>0</v>
      </c>
      <c r="UKU249" s="5">
        <f t="shared" si="226"/>
        <v>0</v>
      </c>
      <c r="UKV249" s="5">
        <f t="shared" si="226"/>
        <v>0</v>
      </c>
      <c r="UKW249" s="5">
        <f t="shared" si="226"/>
        <v>0</v>
      </c>
      <c r="UKX249" s="5">
        <f t="shared" si="226"/>
        <v>0</v>
      </c>
      <c r="UKY249" s="5">
        <f t="shared" si="226"/>
        <v>0</v>
      </c>
      <c r="UKZ249" s="5">
        <f t="shared" si="226"/>
        <v>0</v>
      </c>
      <c r="ULA249" s="5">
        <f t="shared" si="226"/>
        <v>0</v>
      </c>
      <c r="ULB249" s="5">
        <f t="shared" si="226"/>
        <v>0</v>
      </c>
      <c r="ULC249" s="5">
        <f t="shared" si="226"/>
        <v>0</v>
      </c>
      <c r="ULD249" s="5">
        <f t="shared" si="226"/>
        <v>0</v>
      </c>
      <c r="ULE249" s="5">
        <f t="shared" si="226"/>
        <v>0</v>
      </c>
      <c r="ULF249" s="5">
        <f t="shared" si="226"/>
        <v>0</v>
      </c>
      <c r="ULG249" s="5">
        <f t="shared" si="226"/>
        <v>0</v>
      </c>
      <c r="ULH249" s="5">
        <f t="shared" si="226"/>
        <v>0</v>
      </c>
      <c r="ULI249" s="5">
        <f t="shared" si="226"/>
        <v>0</v>
      </c>
      <c r="ULJ249" s="5">
        <f t="shared" si="226"/>
        <v>0</v>
      </c>
      <c r="ULK249" s="5">
        <f t="shared" si="226"/>
        <v>0</v>
      </c>
      <c r="ULL249" s="5">
        <f t="shared" si="226"/>
        <v>0</v>
      </c>
      <c r="ULM249" s="5">
        <f t="shared" si="226"/>
        <v>0</v>
      </c>
      <c r="ULN249" s="5">
        <f t="shared" si="226"/>
        <v>0</v>
      </c>
      <c r="ULO249" s="5">
        <f t="shared" si="226"/>
        <v>0</v>
      </c>
      <c r="ULP249" s="5">
        <f t="shared" si="226"/>
        <v>0</v>
      </c>
      <c r="ULQ249" s="5">
        <f t="shared" si="226"/>
        <v>0</v>
      </c>
      <c r="ULR249" s="5">
        <f t="shared" si="226"/>
        <v>0</v>
      </c>
      <c r="ULS249" s="5">
        <f t="shared" si="226"/>
        <v>0</v>
      </c>
      <c r="ULT249" s="5">
        <f t="shared" si="226"/>
        <v>0</v>
      </c>
      <c r="ULU249" s="5">
        <f t="shared" si="226"/>
        <v>0</v>
      </c>
      <c r="ULV249" s="5">
        <f t="shared" si="226"/>
        <v>0</v>
      </c>
      <c r="ULW249" s="5">
        <f t="shared" si="226"/>
        <v>0</v>
      </c>
      <c r="ULX249" s="5">
        <f t="shared" si="226"/>
        <v>0</v>
      </c>
      <c r="ULY249" s="5">
        <f t="shared" si="226"/>
        <v>0</v>
      </c>
      <c r="ULZ249" s="5">
        <f t="shared" si="226"/>
        <v>0</v>
      </c>
      <c r="UMA249" s="5">
        <f t="shared" si="226"/>
        <v>0</v>
      </c>
      <c r="UMB249" s="5">
        <f t="shared" si="226"/>
        <v>0</v>
      </c>
      <c r="UMC249" s="5">
        <f t="shared" si="226"/>
        <v>0</v>
      </c>
      <c r="UMD249" s="5">
        <f t="shared" si="226"/>
        <v>0</v>
      </c>
      <c r="UME249" s="5">
        <f t="shared" si="226"/>
        <v>0</v>
      </c>
      <c r="UMF249" s="5">
        <f t="shared" si="226"/>
        <v>0</v>
      </c>
      <c r="UMG249" s="5">
        <f t="shared" si="226"/>
        <v>0</v>
      </c>
      <c r="UMH249" s="5">
        <f t="shared" si="226"/>
        <v>0</v>
      </c>
      <c r="UMI249" s="5">
        <f t="shared" si="226"/>
        <v>0</v>
      </c>
      <c r="UMJ249" s="5">
        <f t="shared" si="226"/>
        <v>0</v>
      </c>
      <c r="UMK249" s="5">
        <f t="shared" si="226"/>
        <v>0</v>
      </c>
      <c r="UML249" s="5">
        <f t="shared" ref="UML249:UOW249" si="227">SUM(UML246:UML246)</f>
        <v>0</v>
      </c>
      <c r="UMM249" s="5">
        <f t="shared" si="227"/>
        <v>0</v>
      </c>
      <c r="UMN249" s="5">
        <f t="shared" si="227"/>
        <v>0</v>
      </c>
      <c r="UMO249" s="5">
        <f t="shared" si="227"/>
        <v>0</v>
      </c>
      <c r="UMP249" s="5">
        <f t="shared" si="227"/>
        <v>0</v>
      </c>
      <c r="UMQ249" s="5">
        <f t="shared" si="227"/>
        <v>0</v>
      </c>
      <c r="UMR249" s="5">
        <f t="shared" si="227"/>
        <v>0</v>
      </c>
      <c r="UMS249" s="5">
        <f t="shared" si="227"/>
        <v>0</v>
      </c>
      <c r="UMT249" s="5">
        <f t="shared" si="227"/>
        <v>0</v>
      </c>
      <c r="UMU249" s="5">
        <f t="shared" si="227"/>
        <v>0</v>
      </c>
      <c r="UMV249" s="5">
        <f t="shared" si="227"/>
        <v>0</v>
      </c>
      <c r="UMW249" s="5">
        <f t="shared" si="227"/>
        <v>0</v>
      </c>
      <c r="UMX249" s="5">
        <f t="shared" si="227"/>
        <v>0</v>
      </c>
      <c r="UMY249" s="5">
        <f t="shared" si="227"/>
        <v>0</v>
      </c>
      <c r="UMZ249" s="5">
        <f t="shared" si="227"/>
        <v>0</v>
      </c>
      <c r="UNA249" s="5">
        <f t="shared" si="227"/>
        <v>0</v>
      </c>
      <c r="UNB249" s="5">
        <f t="shared" si="227"/>
        <v>0</v>
      </c>
      <c r="UNC249" s="5">
        <f t="shared" si="227"/>
        <v>0</v>
      </c>
      <c r="UND249" s="5">
        <f t="shared" si="227"/>
        <v>0</v>
      </c>
      <c r="UNE249" s="5">
        <f t="shared" si="227"/>
        <v>0</v>
      </c>
      <c r="UNF249" s="5">
        <f t="shared" si="227"/>
        <v>0</v>
      </c>
      <c r="UNG249" s="5">
        <f t="shared" si="227"/>
        <v>0</v>
      </c>
      <c r="UNH249" s="5">
        <f t="shared" si="227"/>
        <v>0</v>
      </c>
      <c r="UNI249" s="5">
        <f t="shared" si="227"/>
        <v>0</v>
      </c>
      <c r="UNJ249" s="5">
        <f t="shared" si="227"/>
        <v>0</v>
      </c>
      <c r="UNK249" s="5">
        <f t="shared" si="227"/>
        <v>0</v>
      </c>
      <c r="UNL249" s="5">
        <f t="shared" si="227"/>
        <v>0</v>
      </c>
      <c r="UNM249" s="5">
        <f t="shared" si="227"/>
        <v>0</v>
      </c>
      <c r="UNN249" s="5">
        <f t="shared" si="227"/>
        <v>0</v>
      </c>
      <c r="UNO249" s="5">
        <f t="shared" si="227"/>
        <v>0</v>
      </c>
      <c r="UNP249" s="5">
        <f t="shared" si="227"/>
        <v>0</v>
      </c>
      <c r="UNQ249" s="5">
        <f t="shared" si="227"/>
        <v>0</v>
      </c>
      <c r="UNR249" s="5">
        <f t="shared" si="227"/>
        <v>0</v>
      </c>
      <c r="UNS249" s="5">
        <f t="shared" si="227"/>
        <v>0</v>
      </c>
      <c r="UNT249" s="5">
        <f t="shared" si="227"/>
        <v>0</v>
      </c>
      <c r="UNU249" s="5">
        <f t="shared" si="227"/>
        <v>0</v>
      </c>
      <c r="UNV249" s="5">
        <f t="shared" si="227"/>
        <v>0</v>
      </c>
      <c r="UNW249" s="5">
        <f t="shared" si="227"/>
        <v>0</v>
      </c>
      <c r="UNX249" s="5">
        <f t="shared" si="227"/>
        <v>0</v>
      </c>
      <c r="UNY249" s="5">
        <f t="shared" si="227"/>
        <v>0</v>
      </c>
      <c r="UNZ249" s="5">
        <f t="shared" si="227"/>
        <v>0</v>
      </c>
      <c r="UOA249" s="5">
        <f t="shared" si="227"/>
        <v>0</v>
      </c>
      <c r="UOB249" s="5">
        <f t="shared" si="227"/>
        <v>0</v>
      </c>
      <c r="UOC249" s="5">
        <f t="shared" si="227"/>
        <v>0</v>
      </c>
      <c r="UOD249" s="5">
        <f t="shared" si="227"/>
        <v>0</v>
      </c>
      <c r="UOE249" s="5">
        <f t="shared" si="227"/>
        <v>0</v>
      </c>
      <c r="UOF249" s="5">
        <f t="shared" si="227"/>
        <v>0</v>
      </c>
      <c r="UOG249" s="5">
        <f t="shared" si="227"/>
        <v>0</v>
      </c>
      <c r="UOH249" s="5">
        <f t="shared" si="227"/>
        <v>0</v>
      </c>
      <c r="UOI249" s="5">
        <f t="shared" si="227"/>
        <v>0</v>
      </c>
      <c r="UOJ249" s="5">
        <f t="shared" si="227"/>
        <v>0</v>
      </c>
      <c r="UOK249" s="5">
        <f t="shared" si="227"/>
        <v>0</v>
      </c>
      <c r="UOL249" s="5">
        <f t="shared" si="227"/>
        <v>0</v>
      </c>
      <c r="UOM249" s="5">
        <f t="shared" si="227"/>
        <v>0</v>
      </c>
      <c r="UON249" s="5">
        <f t="shared" si="227"/>
        <v>0</v>
      </c>
      <c r="UOO249" s="5">
        <f t="shared" si="227"/>
        <v>0</v>
      </c>
      <c r="UOP249" s="5">
        <f t="shared" si="227"/>
        <v>0</v>
      </c>
      <c r="UOQ249" s="5">
        <f t="shared" si="227"/>
        <v>0</v>
      </c>
      <c r="UOR249" s="5">
        <f t="shared" si="227"/>
        <v>0</v>
      </c>
      <c r="UOS249" s="5">
        <f t="shared" si="227"/>
        <v>0</v>
      </c>
      <c r="UOT249" s="5">
        <f t="shared" si="227"/>
        <v>0</v>
      </c>
      <c r="UOU249" s="5">
        <f t="shared" si="227"/>
        <v>0</v>
      </c>
      <c r="UOV249" s="5">
        <f t="shared" si="227"/>
        <v>0</v>
      </c>
      <c r="UOW249" s="5">
        <f t="shared" si="227"/>
        <v>0</v>
      </c>
      <c r="UOX249" s="5">
        <f t="shared" ref="UOX249:URI249" si="228">SUM(UOX246:UOX246)</f>
        <v>0</v>
      </c>
      <c r="UOY249" s="5">
        <f t="shared" si="228"/>
        <v>0</v>
      </c>
      <c r="UOZ249" s="5">
        <f t="shared" si="228"/>
        <v>0</v>
      </c>
      <c r="UPA249" s="5">
        <f t="shared" si="228"/>
        <v>0</v>
      </c>
      <c r="UPB249" s="5">
        <f t="shared" si="228"/>
        <v>0</v>
      </c>
      <c r="UPC249" s="5">
        <f t="shared" si="228"/>
        <v>0</v>
      </c>
      <c r="UPD249" s="5">
        <f t="shared" si="228"/>
        <v>0</v>
      </c>
      <c r="UPE249" s="5">
        <f t="shared" si="228"/>
        <v>0</v>
      </c>
      <c r="UPF249" s="5">
        <f t="shared" si="228"/>
        <v>0</v>
      </c>
      <c r="UPG249" s="5">
        <f t="shared" si="228"/>
        <v>0</v>
      </c>
      <c r="UPH249" s="5">
        <f t="shared" si="228"/>
        <v>0</v>
      </c>
      <c r="UPI249" s="5">
        <f t="shared" si="228"/>
        <v>0</v>
      </c>
      <c r="UPJ249" s="5">
        <f t="shared" si="228"/>
        <v>0</v>
      </c>
      <c r="UPK249" s="5">
        <f t="shared" si="228"/>
        <v>0</v>
      </c>
      <c r="UPL249" s="5">
        <f t="shared" si="228"/>
        <v>0</v>
      </c>
      <c r="UPM249" s="5">
        <f t="shared" si="228"/>
        <v>0</v>
      </c>
      <c r="UPN249" s="5">
        <f t="shared" si="228"/>
        <v>0</v>
      </c>
      <c r="UPO249" s="5">
        <f t="shared" si="228"/>
        <v>0</v>
      </c>
      <c r="UPP249" s="5">
        <f t="shared" si="228"/>
        <v>0</v>
      </c>
      <c r="UPQ249" s="5">
        <f t="shared" si="228"/>
        <v>0</v>
      </c>
      <c r="UPR249" s="5">
        <f t="shared" si="228"/>
        <v>0</v>
      </c>
      <c r="UPS249" s="5">
        <f t="shared" si="228"/>
        <v>0</v>
      </c>
      <c r="UPT249" s="5">
        <f t="shared" si="228"/>
        <v>0</v>
      </c>
      <c r="UPU249" s="5">
        <f t="shared" si="228"/>
        <v>0</v>
      </c>
      <c r="UPV249" s="5">
        <f t="shared" si="228"/>
        <v>0</v>
      </c>
      <c r="UPW249" s="5">
        <f t="shared" si="228"/>
        <v>0</v>
      </c>
      <c r="UPX249" s="5">
        <f t="shared" si="228"/>
        <v>0</v>
      </c>
      <c r="UPY249" s="5">
        <f t="shared" si="228"/>
        <v>0</v>
      </c>
      <c r="UPZ249" s="5">
        <f t="shared" si="228"/>
        <v>0</v>
      </c>
      <c r="UQA249" s="5">
        <f t="shared" si="228"/>
        <v>0</v>
      </c>
      <c r="UQB249" s="5">
        <f t="shared" si="228"/>
        <v>0</v>
      </c>
      <c r="UQC249" s="5">
        <f t="shared" si="228"/>
        <v>0</v>
      </c>
      <c r="UQD249" s="5">
        <f t="shared" si="228"/>
        <v>0</v>
      </c>
      <c r="UQE249" s="5">
        <f t="shared" si="228"/>
        <v>0</v>
      </c>
      <c r="UQF249" s="5">
        <f t="shared" si="228"/>
        <v>0</v>
      </c>
      <c r="UQG249" s="5">
        <f t="shared" si="228"/>
        <v>0</v>
      </c>
      <c r="UQH249" s="5">
        <f t="shared" si="228"/>
        <v>0</v>
      </c>
      <c r="UQI249" s="5">
        <f t="shared" si="228"/>
        <v>0</v>
      </c>
      <c r="UQJ249" s="5">
        <f t="shared" si="228"/>
        <v>0</v>
      </c>
      <c r="UQK249" s="5">
        <f t="shared" si="228"/>
        <v>0</v>
      </c>
      <c r="UQL249" s="5">
        <f t="shared" si="228"/>
        <v>0</v>
      </c>
      <c r="UQM249" s="5">
        <f t="shared" si="228"/>
        <v>0</v>
      </c>
      <c r="UQN249" s="5">
        <f t="shared" si="228"/>
        <v>0</v>
      </c>
      <c r="UQO249" s="5">
        <f t="shared" si="228"/>
        <v>0</v>
      </c>
      <c r="UQP249" s="5">
        <f t="shared" si="228"/>
        <v>0</v>
      </c>
      <c r="UQQ249" s="5">
        <f t="shared" si="228"/>
        <v>0</v>
      </c>
      <c r="UQR249" s="5">
        <f t="shared" si="228"/>
        <v>0</v>
      </c>
      <c r="UQS249" s="5">
        <f t="shared" si="228"/>
        <v>0</v>
      </c>
      <c r="UQT249" s="5">
        <f t="shared" si="228"/>
        <v>0</v>
      </c>
      <c r="UQU249" s="5">
        <f t="shared" si="228"/>
        <v>0</v>
      </c>
      <c r="UQV249" s="5">
        <f t="shared" si="228"/>
        <v>0</v>
      </c>
      <c r="UQW249" s="5">
        <f t="shared" si="228"/>
        <v>0</v>
      </c>
      <c r="UQX249" s="5">
        <f t="shared" si="228"/>
        <v>0</v>
      </c>
      <c r="UQY249" s="5">
        <f t="shared" si="228"/>
        <v>0</v>
      </c>
      <c r="UQZ249" s="5">
        <f t="shared" si="228"/>
        <v>0</v>
      </c>
      <c r="URA249" s="5">
        <f t="shared" si="228"/>
        <v>0</v>
      </c>
      <c r="URB249" s="5">
        <f t="shared" si="228"/>
        <v>0</v>
      </c>
      <c r="URC249" s="5">
        <f t="shared" si="228"/>
        <v>0</v>
      </c>
      <c r="URD249" s="5">
        <f t="shared" si="228"/>
        <v>0</v>
      </c>
      <c r="URE249" s="5">
        <f t="shared" si="228"/>
        <v>0</v>
      </c>
      <c r="URF249" s="5">
        <f t="shared" si="228"/>
        <v>0</v>
      </c>
      <c r="URG249" s="5">
        <f t="shared" si="228"/>
        <v>0</v>
      </c>
      <c r="URH249" s="5">
        <f t="shared" si="228"/>
        <v>0</v>
      </c>
      <c r="URI249" s="5">
        <f t="shared" si="228"/>
        <v>0</v>
      </c>
      <c r="URJ249" s="5">
        <f t="shared" ref="URJ249:UTU249" si="229">SUM(URJ246:URJ246)</f>
        <v>0</v>
      </c>
      <c r="URK249" s="5">
        <f t="shared" si="229"/>
        <v>0</v>
      </c>
      <c r="URL249" s="5">
        <f t="shared" si="229"/>
        <v>0</v>
      </c>
      <c r="URM249" s="5">
        <f t="shared" si="229"/>
        <v>0</v>
      </c>
      <c r="URN249" s="5">
        <f t="shared" si="229"/>
        <v>0</v>
      </c>
      <c r="URO249" s="5">
        <f t="shared" si="229"/>
        <v>0</v>
      </c>
      <c r="URP249" s="5">
        <f t="shared" si="229"/>
        <v>0</v>
      </c>
      <c r="URQ249" s="5">
        <f t="shared" si="229"/>
        <v>0</v>
      </c>
      <c r="URR249" s="5">
        <f t="shared" si="229"/>
        <v>0</v>
      </c>
      <c r="URS249" s="5">
        <f t="shared" si="229"/>
        <v>0</v>
      </c>
      <c r="URT249" s="5">
        <f t="shared" si="229"/>
        <v>0</v>
      </c>
      <c r="URU249" s="5">
        <f t="shared" si="229"/>
        <v>0</v>
      </c>
      <c r="URV249" s="5">
        <f t="shared" si="229"/>
        <v>0</v>
      </c>
      <c r="URW249" s="5">
        <f t="shared" si="229"/>
        <v>0</v>
      </c>
      <c r="URX249" s="5">
        <f t="shared" si="229"/>
        <v>0</v>
      </c>
      <c r="URY249" s="5">
        <f t="shared" si="229"/>
        <v>0</v>
      </c>
      <c r="URZ249" s="5">
        <f t="shared" si="229"/>
        <v>0</v>
      </c>
      <c r="USA249" s="5">
        <f t="shared" si="229"/>
        <v>0</v>
      </c>
      <c r="USB249" s="5">
        <f t="shared" si="229"/>
        <v>0</v>
      </c>
      <c r="USC249" s="5">
        <f t="shared" si="229"/>
        <v>0</v>
      </c>
      <c r="USD249" s="5">
        <f t="shared" si="229"/>
        <v>0</v>
      </c>
      <c r="USE249" s="5">
        <f t="shared" si="229"/>
        <v>0</v>
      </c>
      <c r="USF249" s="5">
        <f t="shared" si="229"/>
        <v>0</v>
      </c>
      <c r="USG249" s="5">
        <f t="shared" si="229"/>
        <v>0</v>
      </c>
      <c r="USH249" s="5">
        <f t="shared" si="229"/>
        <v>0</v>
      </c>
      <c r="USI249" s="5">
        <f t="shared" si="229"/>
        <v>0</v>
      </c>
      <c r="USJ249" s="5">
        <f t="shared" si="229"/>
        <v>0</v>
      </c>
      <c r="USK249" s="5">
        <f t="shared" si="229"/>
        <v>0</v>
      </c>
      <c r="USL249" s="5">
        <f t="shared" si="229"/>
        <v>0</v>
      </c>
      <c r="USM249" s="5">
        <f t="shared" si="229"/>
        <v>0</v>
      </c>
      <c r="USN249" s="5">
        <f t="shared" si="229"/>
        <v>0</v>
      </c>
      <c r="USO249" s="5">
        <f t="shared" si="229"/>
        <v>0</v>
      </c>
      <c r="USP249" s="5">
        <f t="shared" si="229"/>
        <v>0</v>
      </c>
      <c r="USQ249" s="5">
        <f t="shared" si="229"/>
        <v>0</v>
      </c>
      <c r="USR249" s="5">
        <f t="shared" si="229"/>
        <v>0</v>
      </c>
      <c r="USS249" s="5">
        <f t="shared" si="229"/>
        <v>0</v>
      </c>
      <c r="UST249" s="5">
        <f t="shared" si="229"/>
        <v>0</v>
      </c>
      <c r="USU249" s="5">
        <f t="shared" si="229"/>
        <v>0</v>
      </c>
      <c r="USV249" s="5">
        <f t="shared" si="229"/>
        <v>0</v>
      </c>
      <c r="USW249" s="5">
        <f t="shared" si="229"/>
        <v>0</v>
      </c>
      <c r="USX249" s="5">
        <f t="shared" si="229"/>
        <v>0</v>
      </c>
      <c r="USY249" s="5">
        <f t="shared" si="229"/>
        <v>0</v>
      </c>
      <c r="USZ249" s="5">
        <f t="shared" si="229"/>
        <v>0</v>
      </c>
      <c r="UTA249" s="5">
        <f t="shared" si="229"/>
        <v>0</v>
      </c>
      <c r="UTB249" s="5">
        <f t="shared" si="229"/>
        <v>0</v>
      </c>
      <c r="UTC249" s="5">
        <f t="shared" si="229"/>
        <v>0</v>
      </c>
      <c r="UTD249" s="5">
        <f t="shared" si="229"/>
        <v>0</v>
      </c>
      <c r="UTE249" s="5">
        <f t="shared" si="229"/>
        <v>0</v>
      </c>
      <c r="UTF249" s="5">
        <f t="shared" si="229"/>
        <v>0</v>
      </c>
      <c r="UTG249" s="5">
        <f t="shared" si="229"/>
        <v>0</v>
      </c>
      <c r="UTH249" s="5">
        <f t="shared" si="229"/>
        <v>0</v>
      </c>
      <c r="UTI249" s="5">
        <f t="shared" si="229"/>
        <v>0</v>
      </c>
      <c r="UTJ249" s="5">
        <f t="shared" si="229"/>
        <v>0</v>
      </c>
      <c r="UTK249" s="5">
        <f t="shared" si="229"/>
        <v>0</v>
      </c>
      <c r="UTL249" s="5">
        <f t="shared" si="229"/>
        <v>0</v>
      </c>
      <c r="UTM249" s="5">
        <f t="shared" si="229"/>
        <v>0</v>
      </c>
      <c r="UTN249" s="5">
        <f t="shared" si="229"/>
        <v>0</v>
      </c>
      <c r="UTO249" s="5">
        <f t="shared" si="229"/>
        <v>0</v>
      </c>
      <c r="UTP249" s="5">
        <f t="shared" si="229"/>
        <v>0</v>
      </c>
      <c r="UTQ249" s="5">
        <f t="shared" si="229"/>
        <v>0</v>
      </c>
      <c r="UTR249" s="5">
        <f t="shared" si="229"/>
        <v>0</v>
      </c>
      <c r="UTS249" s="5">
        <f t="shared" si="229"/>
        <v>0</v>
      </c>
      <c r="UTT249" s="5">
        <f t="shared" si="229"/>
        <v>0</v>
      </c>
      <c r="UTU249" s="5">
        <f t="shared" si="229"/>
        <v>0</v>
      </c>
      <c r="UTV249" s="5">
        <f t="shared" ref="UTV249:UWG249" si="230">SUM(UTV246:UTV246)</f>
        <v>0</v>
      </c>
      <c r="UTW249" s="5">
        <f t="shared" si="230"/>
        <v>0</v>
      </c>
      <c r="UTX249" s="5">
        <f t="shared" si="230"/>
        <v>0</v>
      </c>
      <c r="UTY249" s="5">
        <f t="shared" si="230"/>
        <v>0</v>
      </c>
      <c r="UTZ249" s="5">
        <f t="shared" si="230"/>
        <v>0</v>
      </c>
      <c r="UUA249" s="5">
        <f t="shared" si="230"/>
        <v>0</v>
      </c>
      <c r="UUB249" s="5">
        <f t="shared" si="230"/>
        <v>0</v>
      </c>
      <c r="UUC249" s="5">
        <f t="shared" si="230"/>
        <v>0</v>
      </c>
      <c r="UUD249" s="5">
        <f t="shared" si="230"/>
        <v>0</v>
      </c>
      <c r="UUE249" s="5">
        <f t="shared" si="230"/>
        <v>0</v>
      </c>
      <c r="UUF249" s="5">
        <f t="shared" si="230"/>
        <v>0</v>
      </c>
      <c r="UUG249" s="5">
        <f t="shared" si="230"/>
        <v>0</v>
      </c>
      <c r="UUH249" s="5">
        <f t="shared" si="230"/>
        <v>0</v>
      </c>
      <c r="UUI249" s="5">
        <f t="shared" si="230"/>
        <v>0</v>
      </c>
      <c r="UUJ249" s="5">
        <f t="shared" si="230"/>
        <v>0</v>
      </c>
      <c r="UUK249" s="5">
        <f t="shared" si="230"/>
        <v>0</v>
      </c>
      <c r="UUL249" s="5">
        <f t="shared" si="230"/>
        <v>0</v>
      </c>
      <c r="UUM249" s="5">
        <f t="shared" si="230"/>
        <v>0</v>
      </c>
      <c r="UUN249" s="5">
        <f t="shared" si="230"/>
        <v>0</v>
      </c>
      <c r="UUO249" s="5">
        <f t="shared" si="230"/>
        <v>0</v>
      </c>
      <c r="UUP249" s="5">
        <f t="shared" si="230"/>
        <v>0</v>
      </c>
      <c r="UUQ249" s="5">
        <f t="shared" si="230"/>
        <v>0</v>
      </c>
      <c r="UUR249" s="5">
        <f t="shared" si="230"/>
        <v>0</v>
      </c>
      <c r="UUS249" s="5">
        <f t="shared" si="230"/>
        <v>0</v>
      </c>
      <c r="UUT249" s="5">
        <f t="shared" si="230"/>
        <v>0</v>
      </c>
      <c r="UUU249" s="5">
        <f t="shared" si="230"/>
        <v>0</v>
      </c>
      <c r="UUV249" s="5">
        <f t="shared" si="230"/>
        <v>0</v>
      </c>
      <c r="UUW249" s="5">
        <f t="shared" si="230"/>
        <v>0</v>
      </c>
      <c r="UUX249" s="5">
        <f t="shared" si="230"/>
        <v>0</v>
      </c>
      <c r="UUY249" s="5">
        <f t="shared" si="230"/>
        <v>0</v>
      </c>
      <c r="UUZ249" s="5">
        <f t="shared" si="230"/>
        <v>0</v>
      </c>
      <c r="UVA249" s="5">
        <f t="shared" si="230"/>
        <v>0</v>
      </c>
      <c r="UVB249" s="5">
        <f t="shared" si="230"/>
        <v>0</v>
      </c>
      <c r="UVC249" s="5">
        <f t="shared" si="230"/>
        <v>0</v>
      </c>
      <c r="UVD249" s="5">
        <f t="shared" si="230"/>
        <v>0</v>
      </c>
      <c r="UVE249" s="5">
        <f t="shared" si="230"/>
        <v>0</v>
      </c>
      <c r="UVF249" s="5">
        <f t="shared" si="230"/>
        <v>0</v>
      </c>
      <c r="UVG249" s="5">
        <f t="shared" si="230"/>
        <v>0</v>
      </c>
      <c r="UVH249" s="5">
        <f t="shared" si="230"/>
        <v>0</v>
      </c>
      <c r="UVI249" s="5">
        <f t="shared" si="230"/>
        <v>0</v>
      </c>
      <c r="UVJ249" s="5">
        <f t="shared" si="230"/>
        <v>0</v>
      </c>
      <c r="UVK249" s="5">
        <f t="shared" si="230"/>
        <v>0</v>
      </c>
      <c r="UVL249" s="5">
        <f t="shared" si="230"/>
        <v>0</v>
      </c>
      <c r="UVM249" s="5">
        <f t="shared" si="230"/>
        <v>0</v>
      </c>
      <c r="UVN249" s="5">
        <f t="shared" si="230"/>
        <v>0</v>
      </c>
      <c r="UVO249" s="5">
        <f t="shared" si="230"/>
        <v>0</v>
      </c>
      <c r="UVP249" s="5">
        <f t="shared" si="230"/>
        <v>0</v>
      </c>
      <c r="UVQ249" s="5">
        <f t="shared" si="230"/>
        <v>0</v>
      </c>
      <c r="UVR249" s="5">
        <f t="shared" si="230"/>
        <v>0</v>
      </c>
      <c r="UVS249" s="5">
        <f t="shared" si="230"/>
        <v>0</v>
      </c>
      <c r="UVT249" s="5">
        <f t="shared" si="230"/>
        <v>0</v>
      </c>
      <c r="UVU249" s="5">
        <f t="shared" si="230"/>
        <v>0</v>
      </c>
      <c r="UVV249" s="5">
        <f t="shared" si="230"/>
        <v>0</v>
      </c>
      <c r="UVW249" s="5">
        <f t="shared" si="230"/>
        <v>0</v>
      </c>
      <c r="UVX249" s="5">
        <f t="shared" si="230"/>
        <v>0</v>
      </c>
      <c r="UVY249" s="5">
        <f t="shared" si="230"/>
        <v>0</v>
      </c>
      <c r="UVZ249" s="5">
        <f t="shared" si="230"/>
        <v>0</v>
      </c>
      <c r="UWA249" s="5">
        <f t="shared" si="230"/>
        <v>0</v>
      </c>
      <c r="UWB249" s="5">
        <f t="shared" si="230"/>
        <v>0</v>
      </c>
      <c r="UWC249" s="5">
        <f t="shared" si="230"/>
        <v>0</v>
      </c>
      <c r="UWD249" s="5">
        <f t="shared" si="230"/>
        <v>0</v>
      </c>
      <c r="UWE249" s="5">
        <f t="shared" si="230"/>
        <v>0</v>
      </c>
      <c r="UWF249" s="5">
        <f t="shared" si="230"/>
        <v>0</v>
      </c>
      <c r="UWG249" s="5">
        <f t="shared" si="230"/>
        <v>0</v>
      </c>
      <c r="UWH249" s="5">
        <f t="shared" ref="UWH249:UYS249" si="231">SUM(UWH246:UWH246)</f>
        <v>0</v>
      </c>
      <c r="UWI249" s="5">
        <f t="shared" si="231"/>
        <v>0</v>
      </c>
      <c r="UWJ249" s="5">
        <f t="shared" si="231"/>
        <v>0</v>
      </c>
      <c r="UWK249" s="5">
        <f t="shared" si="231"/>
        <v>0</v>
      </c>
      <c r="UWL249" s="5">
        <f t="shared" si="231"/>
        <v>0</v>
      </c>
      <c r="UWM249" s="5">
        <f t="shared" si="231"/>
        <v>0</v>
      </c>
      <c r="UWN249" s="5">
        <f t="shared" si="231"/>
        <v>0</v>
      </c>
      <c r="UWO249" s="5">
        <f t="shared" si="231"/>
        <v>0</v>
      </c>
      <c r="UWP249" s="5">
        <f t="shared" si="231"/>
        <v>0</v>
      </c>
      <c r="UWQ249" s="5">
        <f t="shared" si="231"/>
        <v>0</v>
      </c>
      <c r="UWR249" s="5">
        <f t="shared" si="231"/>
        <v>0</v>
      </c>
      <c r="UWS249" s="5">
        <f t="shared" si="231"/>
        <v>0</v>
      </c>
      <c r="UWT249" s="5">
        <f t="shared" si="231"/>
        <v>0</v>
      </c>
      <c r="UWU249" s="5">
        <f t="shared" si="231"/>
        <v>0</v>
      </c>
      <c r="UWV249" s="5">
        <f t="shared" si="231"/>
        <v>0</v>
      </c>
      <c r="UWW249" s="5">
        <f t="shared" si="231"/>
        <v>0</v>
      </c>
      <c r="UWX249" s="5">
        <f t="shared" si="231"/>
        <v>0</v>
      </c>
      <c r="UWY249" s="5">
        <f t="shared" si="231"/>
        <v>0</v>
      </c>
      <c r="UWZ249" s="5">
        <f t="shared" si="231"/>
        <v>0</v>
      </c>
      <c r="UXA249" s="5">
        <f t="shared" si="231"/>
        <v>0</v>
      </c>
      <c r="UXB249" s="5">
        <f t="shared" si="231"/>
        <v>0</v>
      </c>
      <c r="UXC249" s="5">
        <f t="shared" si="231"/>
        <v>0</v>
      </c>
      <c r="UXD249" s="5">
        <f t="shared" si="231"/>
        <v>0</v>
      </c>
      <c r="UXE249" s="5">
        <f t="shared" si="231"/>
        <v>0</v>
      </c>
      <c r="UXF249" s="5">
        <f t="shared" si="231"/>
        <v>0</v>
      </c>
      <c r="UXG249" s="5">
        <f t="shared" si="231"/>
        <v>0</v>
      </c>
      <c r="UXH249" s="5">
        <f t="shared" si="231"/>
        <v>0</v>
      </c>
      <c r="UXI249" s="5">
        <f t="shared" si="231"/>
        <v>0</v>
      </c>
      <c r="UXJ249" s="5">
        <f t="shared" si="231"/>
        <v>0</v>
      </c>
      <c r="UXK249" s="5">
        <f t="shared" si="231"/>
        <v>0</v>
      </c>
      <c r="UXL249" s="5">
        <f t="shared" si="231"/>
        <v>0</v>
      </c>
      <c r="UXM249" s="5">
        <f t="shared" si="231"/>
        <v>0</v>
      </c>
      <c r="UXN249" s="5">
        <f t="shared" si="231"/>
        <v>0</v>
      </c>
      <c r="UXO249" s="5">
        <f t="shared" si="231"/>
        <v>0</v>
      </c>
      <c r="UXP249" s="5">
        <f t="shared" si="231"/>
        <v>0</v>
      </c>
      <c r="UXQ249" s="5">
        <f t="shared" si="231"/>
        <v>0</v>
      </c>
      <c r="UXR249" s="5">
        <f t="shared" si="231"/>
        <v>0</v>
      </c>
      <c r="UXS249" s="5">
        <f t="shared" si="231"/>
        <v>0</v>
      </c>
      <c r="UXT249" s="5">
        <f t="shared" si="231"/>
        <v>0</v>
      </c>
      <c r="UXU249" s="5">
        <f t="shared" si="231"/>
        <v>0</v>
      </c>
      <c r="UXV249" s="5">
        <f t="shared" si="231"/>
        <v>0</v>
      </c>
      <c r="UXW249" s="5">
        <f t="shared" si="231"/>
        <v>0</v>
      </c>
      <c r="UXX249" s="5">
        <f t="shared" si="231"/>
        <v>0</v>
      </c>
      <c r="UXY249" s="5">
        <f t="shared" si="231"/>
        <v>0</v>
      </c>
      <c r="UXZ249" s="5">
        <f t="shared" si="231"/>
        <v>0</v>
      </c>
      <c r="UYA249" s="5">
        <f t="shared" si="231"/>
        <v>0</v>
      </c>
      <c r="UYB249" s="5">
        <f t="shared" si="231"/>
        <v>0</v>
      </c>
      <c r="UYC249" s="5">
        <f t="shared" si="231"/>
        <v>0</v>
      </c>
      <c r="UYD249" s="5">
        <f t="shared" si="231"/>
        <v>0</v>
      </c>
      <c r="UYE249" s="5">
        <f t="shared" si="231"/>
        <v>0</v>
      </c>
      <c r="UYF249" s="5">
        <f t="shared" si="231"/>
        <v>0</v>
      </c>
      <c r="UYG249" s="5">
        <f t="shared" si="231"/>
        <v>0</v>
      </c>
      <c r="UYH249" s="5">
        <f t="shared" si="231"/>
        <v>0</v>
      </c>
      <c r="UYI249" s="5">
        <f t="shared" si="231"/>
        <v>0</v>
      </c>
      <c r="UYJ249" s="5">
        <f t="shared" si="231"/>
        <v>0</v>
      </c>
      <c r="UYK249" s="5">
        <f t="shared" si="231"/>
        <v>0</v>
      </c>
      <c r="UYL249" s="5">
        <f t="shared" si="231"/>
        <v>0</v>
      </c>
      <c r="UYM249" s="5">
        <f t="shared" si="231"/>
        <v>0</v>
      </c>
      <c r="UYN249" s="5">
        <f t="shared" si="231"/>
        <v>0</v>
      </c>
      <c r="UYO249" s="5">
        <f t="shared" si="231"/>
        <v>0</v>
      </c>
      <c r="UYP249" s="5">
        <f t="shared" si="231"/>
        <v>0</v>
      </c>
      <c r="UYQ249" s="5">
        <f t="shared" si="231"/>
        <v>0</v>
      </c>
      <c r="UYR249" s="5">
        <f t="shared" si="231"/>
        <v>0</v>
      </c>
      <c r="UYS249" s="5">
        <f t="shared" si="231"/>
        <v>0</v>
      </c>
      <c r="UYT249" s="5">
        <f t="shared" ref="UYT249:VBE249" si="232">SUM(UYT246:UYT246)</f>
        <v>0</v>
      </c>
      <c r="UYU249" s="5">
        <f t="shared" si="232"/>
        <v>0</v>
      </c>
      <c r="UYV249" s="5">
        <f t="shared" si="232"/>
        <v>0</v>
      </c>
      <c r="UYW249" s="5">
        <f t="shared" si="232"/>
        <v>0</v>
      </c>
      <c r="UYX249" s="5">
        <f t="shared" si="232"/>
        <v>0</v>
      </c>
      <c r="UYY249" s="5">
        <f t="shared" si="232"/>
        <v>0</v>
      </c>
      <c r="UYZ249" s="5">
        <f t="shared" si="232"/>
        <v>0</v>
      </c>
      <c r="UZA249" s="5">
        <f t="shared" si="232"/>
        <v>0</v>
      </c>
      <c r="UZB249" s="5">
        <f t="shared" si="232"/>
        <v>0</v>
      </c>
      <c r="UZC249" s="5">
        <f t="shared" si="232"/>
        <v>0</v>
      </c>
      <c r="UZD249" s="5">
        <f t="shared" si="232"/>
        <v>0</v>
      </c>
      <c r="UZE249" s="5">
        <f t="shared" si="232"/>
        <v>0</v>
      </c>
      <c r="UZF249" s="5">
        <f t="shared" si="232"/>
        <v>0</v>
      </c>
      <c r="UZG249" s="5">
        <f t="shared" si="232"/>
        <v>0</v>
      </c>
      <c r="UZH249" s="5">
        <f t="shared" si="232"/>
        <v>0</v>
      </c>
      <c r="UZI249" s="5">
        <f t="shared" si="232"/>
        <v>0</v>
      </c>
      <c r="UZJ249" s="5">
        <f t="shared" si="232"/>
        <v>0</v>
      </c>
      <c r="UZK249" s="5">
        <f t="shared" si="232"/>
        <v>0</v>
      </c>
      <c r="UZL249" s="5">
        <f t="shared" si="232"/>
        <v>0</v>
      </c>
      <c r="UZM249" s="5">
        <f t="shared" si="232"/>
        <v>0</v>
      </c>
      <c r="UZN249" s="5">
        <f t="shared" si="232"/>
        <v>0</v>
      </c>
      <c r="UZO249" s="5">
        <f t="shared" si="232"/>
        <v>0</v>
      </c>
      <c r="UZP249" s="5">
        <f t="shared" si="232"/>
        <v>0</v>
      </c>
      <c r="UZQ249" s="5">
        <f t="shared" si="232"/>
        <v>0</v>
      </c>
      <c r="UZR249" s="5">
        <f t="shared" si="232"/>
        <v>0</v>
      </c>
      <c r="UZS249" s="5">
        <f t="shared" si="232"/>
        <v>0</v>
      </c>
      <c r="UZT249" s="5">
        <f t="shared" si="232"/>
        <v>0</v>
      </c>
      <c r="UZU249" s="5">
        <f t="shared" si="232"/>
        <v>0</v>
      </c>
      <c r="UZV249" s="5">
        <f t="shared" si="232"/>
        <v>0</v>
      </c>
      <c r="UZW249" s="5">
        <f t="shared" si="232"/>
        <v>0</v>
      </c>
      <c r="UZX249" s="5">
        <f t="shared" si="232"/>
        <v>0</v>
      </c>
      <c r="UZY249" s="5">
        <f t="shared" si="232"/>
        <v>0</v>
      </c>
      <c r="UZZ249" s="5">
        <f t="shared" si="232"/>
        <v>0</v>
      </c>
      <c r="VAA249" s="5">
        <f t="shared" si="232"/>
        <v>0</v>
      </c>
      <c r="VAB249" s="5">
        <f t="shared" si="232"/>
        <v>0</v>
      </c>
      <c r="VAC249" s="5">
        <f t="shared" si="232"/>
        <v>0</v>
      </c>
      <c r="VAD249" s="5">
        <f t="shared" si="232"/>
        <v>0</v>
      </c>
      <c r="VAE249" s="5">
        <f t="shared" si="232"/>
        <v>0</v>
      </c>
      <c r="VAF249" s="5">
        <f t="shared" si="232"/>
        <v>0</v>
      </c>
      <c r="VAG249" s="5">
        <f t="shared" si="232"/>
        <v>0</v>
      </c>
      <c r="VAH249" s="5">
        <f t="shared" si="232"/>
        <v>0</v>
      </c>
      <c r="VAI249" s="5">
        <f t="shared" si="232"/>
        <v>0</v>
      </c>
      <c r="VAJ249" s="5">
        <f t="shared" si="232"/>
        <v>0</v>
      </c>
      <c r="VAK249" s="5">
        <f t="shared" si="232"/>
        <v>0</v>
      </c>
      <c r="VAL249" s="5">
        <f t="shared" si="232"/>
        <v>0</v>
      </c>
      <c r="VAM249" s="5">
        <f t="shared" si="232"/>
        <v>0</v>
      </c>
      <c r="VAN249" s="5">
        <f t="shared" si="232"/>
        <v>0</v>
      </c>
      <c r="VAO249" s="5">
        <f t="shared" si="232"/>
        <v>0</v>
      </c>
      <c r="VAP249" s="5">
        <f t="shared" si="232"/>
        <v>0</v>
      </c>
      <c r="VAQ249" s="5">
        <f t="shared" si="232"/>
        <v>0</v>
      </c>
      <c r="VAR249" s="5">
        <f t="shared" si="232"/>
        <v>0</v>
      </c>
      <c r="VAS249" s="5">
        <f t="shared" si="232"/>
        <v>0</v>
      </c>
      <c r="VAT249" s="5">
        <f t="shared" si="232"/>
        <v>0</v>
      </c>
      <c r="VAU249" s="5">
        <f t="shared" si="232"/>
        <v>0</v>
      </c>
      <c r="VAV249" s="5">
        <f t="shared" si="232"/>
        <v>0</v>
      </c>
      <c r="VAW249" s="5">
        <f t="shared" si="232"/>
        <v>0</v>
      </c>
      <c r="VAX249" s="5">
        <f t="shared" si="232"/>
        <v>0</v>
      </c>
      <c r="VAY249" s="5">
        <f t="shared" si="232"/>
        <v>0</v>
      </c>
      <c r="VAZ249" s="5">
        <f t="shared" si="232"/>
        <v>0</v>
      </c>
      <c r="VBA249" s="5">
        <f t="shared" si="232"/>
        <v>0</v>
      </c>
      <c r="VBB249" s="5">
        <f t="shared" si="232"/>
        <v>0</v>
      </c>
      <c r="VBC249" s="5">
        <f t="shared" si="232"/>
        <v>0</v>
      </c>
      <c r="VBD249" s="5">
        <f t="shared" si="232"/>
        <v>0</v>
      </c>
      <c r="VBE249" s="5">
        <f t="shared" si="232"/>
        <v>0</v>
      </c>
      <c r="VBF249" s="5">
        <f t="shared" ref="VBF249:VDQ249" si="233">SUM(VBF246:VBF246)</f>
        <v>0</v>
      </c>
      <c r="VBG249" s="5">
        <f t="shared" si="233"/>
        <v>0</v>
      </c>
      <c r="VBH249" s="5">
        <f t="shared" si="233"/>
        <v>0</v>
      </c>
      <c r="VBI249" s="5">
        <f t="shared" si="233"/>
        <v>0</v>
      </c>
      <c r="VBJ249" s="5">
        <f t="shared" si="233"/>
        <v>0</v>
      </c>
      <c r="VBK249" s="5">
        <f t="shared" si="233"/>
        <v>0</v>
      </c>
      <c r="VBL249" s="5">
        <f t="shared" si="233"/>
        <v>0</v>
      </c>
      <c r="VBM249" s="5">
        <f t="shared" si="233"/>
        <v>0</v>
      </c>
      <c r="VBN249" s="5">
        <f t="shared" si="233"/>
        <v>0</v>
      </c>
      <c r="VBO249" s="5">
        <f t="shared" si="233"/>
        <v>0</v>
      </c>
      <c r="VBP249" s="5">
        <f t="shared" si="233"/>
        <v>0</v>
      </c>
      <c r="VBQ249" s="5">
        <f t="shared" si="233"/>
        <v>0</v>
      </c>
      <c r="VBR249" s="5">
        <f t="shared" si="233"/>
        <v>0</v>
      </c>
      <c r="VBS249" s="5">
        <f t="shared" si="233"/>
        <v>0</v>
      </c>
      <c r="VBT249" s="5">
        <f t="shared" si="233"/>
        <v>0</v>
      </c>
      <c r="VBU249" s="5">
        <f t="shared" si="233"/>
        <v>0</v>
      </c>
      <c r="VBV249" s="5">
        <f t="shared" si="233"/>
        <v>0</v>
      </c>
      <c r="VBW249" s="5">
        <f t="shared" si="233"/>
        <v>0</v>
      </c>
      <c r="VBX249" s="5">
        <f t="shared" si="233"/>
        <v>0</v>
      </c>
      <c r="VBY249" s="5">
        <f t="shared" si="233"/>
        <v>0</v>
      </c>
      <c r="VBZ249" s="5">
        <f t="shared" si="233"/>
        <v>0</v>
      </c>
      <c r="VCA249" s="5">
        <f t="shared" si="233"/>
        <v>0</v>
      </c>
      <c r="VCB249" s="5">
        <f t="shared" si="233"/>
        <v>0</v>
      </c>
      <c r="VCC249" s="5">
        <f t="shared" si="233"/>
        <v>0</v>
      </c>
      <c r="VCD249" s="5">
        <f t="shared" si="233"/>
        <v>0</v>
      </c>
      <c r="VCE249" s="5">
        <f t="shared" si="233"/>
        <v>0</v>
      </c>
      <c r="VCF249" s="5">
        <f t="shared" si="233"/>
        <v>0</v>
      </c>
      <c r="VCG249" s="5">
        <f t="shared" si="233"/>
        <v>0</v>
      </c>
      <c r="VCH249" s="5">
        <f t="shared" si="233"/>
        <v>0</v>
      </c>
      <c r="VCI249" s="5">
        <f t="shared" si="233"/>
        <v>0</v>
      </c>
      <c r="VCJ249" s="5">
        <f t="shared" si="233"/>
        <v>0</v>
      </c>
      <c r="VCK249" s="5">
        <f t="shared" si="233"/>
        <v>0</v>
      </c>
      <c r="VCL249" s="5">
        <f t="shared" si="233"/>
        <v>0</v>
      </c>
      <c r="VCM249" s="5">
        <f t="shared" si="233"/>
        <v>0</v>
      </c>
      <c r="VCN249" s="5">
        <f t="shared" si="233"/>
        <v>0</v>
      </c>
      <c r="VCO249" s="5">
        <f t="shared" si="233"/>
        <v>0</v>
      </c>
      <c r="VCP249" s="5">
        <f t="shared" si="233"/>
        <v>0</v>
      </c>
      <c r="VCQ249" s="5">
        <f t="shared" si="233"/>
        <v>0</v>
      </c>
      <c r="VCR249" s="5">
        <f t="shared" si="233"/>
        <v>0</v>
      </c>
      <c r="VCS249" s="5">
        <f t="shared" si="233"/>
        <v>0</v>
      </c>
      <c r="VCT249" s="5">
        <f t="shared" si="233"/>
        <v>0</v>
      </c>
      <c r="VCU249" s="5">
        <f t="shared" si="233"/>
        <v>0</v>
      </c>
      <c r="VCV249" s="5">
        <f t="shared" si="233"/>
        <v>0</v>
      </c>
      <c r="VCW249" s="5">
        <f t="shared" si="233"/>
        <v>0</v>
      </c>
      <c r="VCX249" s="5">
        <f t="shared" si="233"/>
        <v>0</v>
      </c>
      <c r="VCY249" s="5">
        <f t="shared" si="233"/>
        <v>0</v>
      </c>
      <c r="VCZ249" s="5">
        <f t="shared" si="233"/>
        <v>0</v>
      </c>
      <c r="VDA249" s="5">
        <f t="shared" si="233"/>
        <v>0</v>
      </c>
      <c r="VDB249" s="5">
        <f t="shared" si="233"/>
        <v>0</v>
      </c>
      <c r="VDC249" s="5">
        <f t="shared" si="233"/>
        <v>0</v>
      </c>
      <c r="VDD249" s="5">
        <f t="shared" si="233"/>
        <v>0</v>
      </c>
      <c r="VDE249" s="5">
        <f t="shared" si="233"/>
        <v>0</v>
      </c>
      <c r="VDF249" s="5">
        <f t="shared" si="233"/>
        <v>0</v>
      </c>
      <c r="VDG249" s="5">
        <f t="shared" si="233"/>
        <v>0</v>
      </c>
      <c r="VDH249" s="5">
        <f t="shared" si="233"/>
        <v>0</v>
      </c>
      <c r="VDI249" s="5">
        <f t="shared" si="233"/>
        <v>0</v>
      </c>
      <c r="VDJ249" s="5">
        <f t="shared" si="233"/>
        <v>0</v>
      </c>
      <c r="VDK249" s="5">
        <f t="shared" si="233"/>
        <v>0</v>
      </c>
      <c r="VDL249" s="5">
        <f t="shared" si="233"/>
        <v>0</v>
      </c>
      <c r="VDM249" s="5">
        <f t="shared" si="233"/>
        <v>0</v>
      </c>
      <c r="VDN249" s="5">
        <f t="shared" si="233"/>
        <v>0</v>
      </c>
      <c r="VDO249" s="5">
        <f t="shared" si="233"/>
        <v>0</v>
      </c>
      <c r="VDP249" s="5">
        <f t="shared" si="233"/>
        <v>0</v>
      </c>
      <c r="VDQ249" s="5">
        <f t="shared" si="233"/>
        <v>0</v>
      </c>
      <c r="VDR249" s="5">
        <f t="shared" ref="VDR249:VGC249" si="234">SUM(VDR246:VDR246)</f>
        <v>0</v>
      </c>
      <c r="VDS249" s="5">
        <f t="shared" si="234"/>
        <v>0</v>
      </c>
      <c r="VDT249" s="5">
        <f t="shared" si="234"/>
        <v>0</v>
      </c>
      <c r="VDU249" s="5">
        <f t="shared" si="234"/>
        <v>0</v>
      </c>
      <c r="VDV249" s="5">
        <f t="shared" si="234"/>
        <v>0</v>
      </c>
      <c r="VDW249" s="5">
        <f t="shared" si="234"/>
        <v>0</v>
      </c>
      <c r="VDX249" s="5">
        <f t="shared" si="234"/>
        <v>0</v>
      </c>
      <c r="VDY249" s="5">
        <f t="shared" si="234"/>
        <v>0</v>
      </c>
      <c r="VDZ249" s="5">
        <f t="shared" si="234"/>
        <v>0</v>
      </c>
      <c r="VEA249" s="5">
        <f t="shared" si="234"/>
        <v>0</v>
      </c>
      <c r="VEB249" s="5">
        <f t="shared" si="234"/>
        <v>0</v>
      </c>
      <c r="VEC249" s="5">
        <f t="shared" si="234"/>
        <v>0</v>
      </c>
      <c r="VED249" s="5">
        <f t="shared" si="234"/>
        <v>0</v>
      </c>
      <c r="VEE249" s="5">
        <f t="shared" si="234"/>
        <v>0</v>
      </c>
      <c r="VEF249" s="5">
        <f t="shared" si="234"/>
        <v>0</v>
      </c>
      <c r="VEG249" s="5">
        <f t="shared" si="234"/>
        <v>0</v>
      </c>
      <c r="VEH249" s="5">
        <f t="shared" si="234"/>
        <v>0</v>
      </c>
      <c r="VEI249" s="5">
        <f t="shared" si="234"/>
        <v>0</v>
      </c>
      <c r="VEJ249" s="5">
        <f t="shared" si="234"/>
        <v>0</v>
      </c>
      <c r="VEK249" s="5">
        <f t="shared" si="234"/>
        <v>0</v>
      </c>
      <c r="VEL249" s="5">
        <f t="shared" si="234"/>
        <v>0</v>
      </c>
      <c r="VEM249" s="5">
        <f t="shared" si="234"/>
        <v>0</v>
      </c>
      <c r="VEN249" s="5">
        <f t="shared" si="234"/>
        <v>0</v>
      </c>
      <c r="VEO249" s="5">
        <f t="shared" si="234"/>
        <v>0</v>
      </c>
      <c r="VEP249" s="5">
        <f t="shared" si="234"/>
        <v>0</v>
      </c>
      <c r="VEQ249" s="5">
        <f t="shared" si="234"/>
        <v>0</v>
      </c>
      <c r="VER249" s="5">
        <f t="shared" si="234"/>
        <v>0</v>
      </c>
      <c r="VES249" s="5">
        <f t="shared" si="234"/>
        <v>0</v>
      </c>
      <c r="VET249" s="5">
        <f t="shared" si="234"/>
        <v>0</v>
      </c>
      <c r="VEU249" s="5">
        <f t="shared" si="234"/>
        <v>0</v>
      </c>
      <c r="VEV249" s="5">
        <f t="shared" si="234"/>
        <v>0</v>
      </c>
      <c r="VEW249" s="5">
        <f t="shared" si="234"/>
        <v>0</v>
      </c>
      <c r="VEX249" s="5">
        <f t="shared" si="234"/>
        <v>0</v>
      </c>
      <c r="VEY249" s="5">
        <f t="shared" si="234"/>
        <v>0</v>
      </c>
      <c r="VEZ249" s="5">
        <f t="shared" si="234"/>
        <v>0</v>
      </c>
      <c r="VFA249" s="5">
        <f t="shared" si="234"/>
        <v>0</v>
      </c>
      <c r="VFB249" s="5">
        <f t="shared" si="234"/>
        <v>0</v>
      </c>
      <c r="VFC249" s="5">
        <f t="shared" si="234"/>
        <v>0</v>
      </c>
      <c r="VFD249" s="5">
        <f t="shared" si="234"/>
        <v>0</v>
      </c>
      <c r="VFE249" s="5">
        <f t="shared" si="234"/>
        <v>0</v>
      </c>
      <c r="VFF249" s="5">
        <f t="shared" si="234"/>
        <v>0</v>
      </c>
      <c r="VFG249" s="5">
        <f t="shared" si="234"/>
        <v>0</v>
      </c>
      <c r="VFH249" s="5">
        <f t="shared" si="234"/>
        <v>0</v>
      </c>
      <c r="VFI249" s="5">
        <f t="shared" si="234"/>
        <v>0</v>
      </c>
      <c r="VFJ249" s="5">
        <f t="shared" si="234"/>
        <v>0</v>
      </c>
      <c r="VFK249" s="5">
        <f t="shared" si="234"/>
        <v>0</v>
      </c>
      <c r="VFL249" s="5">
        <f t="shared" si="234"/>
        <v>0</v>
      </c>
      <c r="VFM249" s="5">
        <f t="shared" si="234"/>
        <v>0</v>
      </c>
      <c r="VFN249" s="5">
        <f t="shared" si="234"/>
        <v>0</v>
      </c>
      <c r="VFO249" s="5">
        <f t="shared" si="234"/>
        <v>0</v>
      </c>
      <c r="VFP249" s="5">
        <f t="shared" si="234"/>
        <v>0</v>
      </c>
      <c r="VFQ249" s="5">
        <f t="shared" si="234"/>
        <v>0</v>
      </c>
      <c r="VFR249" s="5">
        <f t="shared" si="234"/>
        <v>0</v>
      </c>
      <c r="VFS249" s="5">
        <f t="shared" si="234"/>
        <v>0</v>
      </c>
      <c r="VFT249" s="5">
        <f t="shared" si="234"/>
        <v>0</v>
      </c>
      <c r="VFU249" s="5">
        <f t="shared" si="234"/>
        <v>0</v>
      </c>
      <c r="VFV249" s="5">
        <f t="shared" si="234"/>
        <v>0</v>
      </c>
      <c r="VFW249" s="5">
        <f t="shared" si="234"/>
        <v>0</v>
      </c>
      <c r="VFX249" s="5">
        <f t="shared" si="234"/>
        <v>0</v>
      </c>
      <c r="VFY249" s="5">
        <f t="shared" si="234"/>
        <v>0</v>
      </c>
      <c r="VFZ249" s="5">
        <f t="shared" si="234"/>
        <v>0</v>
      </c>
      <c r="VGA249" s="5">
        <f t="shared" si="234"/>
        <v>0</v>
      </c>
      <c r="VGB249" s="5">
        <f t="shared" si="234"/>
        <v>0</v>
      </c>
      <c r="VGC249" s="5">
        <f t="shared" si="234"/>
        <v>0</v>
      </c>
      <c r="VGD249" s="5">
        <f t="shared" ref="VGD249:VIO249" si="235">SUM(VGD246:VGD246)</f>
        <v>0</v>
      </c>
      <c r="VGE249" s="5">
        <f t="shared" si="235"/>
        <v>0</v>
      </c>
      <c r="VGF249" s="5">
        <f t="shared" si="235"/>
        <v>0</v>
      </c>
      <c r="VGG249" s="5">
        <f t="shared" si="235"/>
        <v>0</v>
      </c>
      <c r="VGH249" s="5">
        <f t="shared" si="235"/>
        <v>0</v>
      </c>
      <c r="VGI249" s="5">
        <f t="shared" si="235"/>
        <v>0</v>
      </c>
      <c r="VGJ249" s="5">
        <f t="shared" si="235"/>
        <v>0</v>
      </c>
      <c r="VGK249" s="5">
        <f t="shared" si="235"/>
        <v>0</v>
      </c>
      <c r="VGL249" s="5">
        <f t="shared" si="235"/>
        <v>0</v>
      </c>
      <c r="VGM249" s="5">
        <f t="shared" si="235"/>
        <v>0</v>
      </c>
      <c r="VGN249" s="5">
        <f t="shared" si="235"/>
        <v>0</v>
      </c>
      <c r="VGO249" s="5">
        <f t="shared" si="235"/>
        <v>0</v>
      </c>
      <c r="VGP249" s="5">
        <f t="shared" si="235"/>
        <v>0</v>
      </c>
      <c r="VGQ249" s="5">
        <f t="shared" si="235"/>
        <v>0</v>
      </c>
      <c r="VGR249" s="5">
        <f t="shared" si="235"/>
        <v>0</v>
      </c>
      <c r="VGS249" s="5">
        <f t="shared" si="235"/>
        <v>0</v>
      </c>
      <c r="VGT249" s="5">
        <f t="shared" si="235"/>
        <v>0</v>
      </c>
      <c r="VGU249" s="5">
        <f t="shared" si="235"/>
        <v>0</v>
      </c>
      <c r="VGV249" s="5">
        <f t="shared" si="235"/>
        <v>0</v>
      </c>
      <c r="VGW249" s="5">
        <f t="shared" si="235"/>
        <v>0</v>
      </c>
      <c r="VGX249" s="5">
        <f t="shared" si="235"/>
        <v>0</v>
      </c>
      <c r="VGY249" s="5">
        <f t="shared" si="235"/>
        <v>0</v>
      </c>
      <c r="VGZ249" s="5">
        <f t="shared" si="235"/>
        <v>0</v>
      </c>
      <c r="VHA249" s="5">
        <f t="shared" si="235"/>
        <v>0</v>
      </c>
      <c r="VHB249" s="5">
        <f t="shared" si="235"/>
        <v>0</v>
      </c>
      <c r="VHC249" s="5">
        <f t="shared" si="235"/>
        <v>0</v>
      </c>
      <c r="VHD249" s="5">
        <f t="shared" si="235"/>
        <v>0</v>
      </c>
      <c r="VHE249" s="5">
        <f t="shared" si="235"/>
        <v>0</v>
      </c>
      <c r="VHF249" s="5">
        <f t="shared" si="235"/>
        <v>0</v>
      </c>
      <c r="VHG249" s="5">
        <f t="shared" si="235"/>
        <v>0</v>
      </c>
      <c r="VHH249" s="5">
        <f t="shared" si="235"/>
        <v>0</v>
      </c>
      <c r="VHI249" s="5">
        <f t="shared" si="235"/>
        <v>0</v>
      </c>
      <c r="VHJ249" s="5">
        <f t="shared" si="235"/>
        <v>0</v>
      </c>
      <c r="VHK249" s="5">
        <f t="shared" si="235"/>
        <v>0</v>
      </c>
      <c r="VHL249" s="5">
        <f t="shared" si="235"/>
        <v>0</v>
      </c>
      <c r="VHM249" s="5">
        <f t="shared" si="235"/>
        <v>0</v>
      </c>
      <c r="VHN249" s="5">
        <f t="shared" si="235"/>
        <v>0</v>
      </c>
      <c r="VHO249" s="5">
        <f t="shared" si="235"/>
        <v>0</v>
      </c>
      <c r="VHP249" s="5">
        <f t="shared" si="235"/>
        <v>0</v>
      </c>
      <c r="VHQ249" s="5">
        <f t="shared" si="235"/>
        <v>0</v>
      </c>
      <c r="VHR249" s="5">
        <f t="shared" si="235"/>
        <v>0</v>
      </c>
      <c r="VHS249" s="5">
        <f t="shared" si="235"/>
        <v>0</v>
      </c>
      <c r="VHT249" s="5">
        <f t="shared" si="235"/>
        <v>0</v>
      </c>
      <c r="VHU249" s="5">
        <f t="shared" si="235"/>
        <v>0</v>
      </c>
      <c r="VHV249" s="5">
        <f t="shared" si="235"/>
        <v>0</v>
      </c>
      <c r="VHW249" s="5">
        <f t="shared" si="235"/>
        <v>0</v>
      </c>
      <c r="VHX249" s="5">
        <f t="shared" si="235"/>
        <v>0</v>
      </c>
      <c r="VHY249" s="5">
        <f t="shared" si="235"/>
        <v>0</v>
      </c>
      <c r="VHZ249" s="5">
        <f t="shared" si="235"/>
        <v>0</v>
      </c>
      <c r="VIA249" s="5">
        <f t="shared" si="235"/>
        <v>0</v>
      </c>
      <c r="VIB249" s="5">
        <f t="shared" si="235"/>
        <v>0</v>
      </c>
      <c r="VIC249" s="5">
        <f t="shared" si="235"/>
        <v>0</v>
      </c>
      <c r="VID249" s="5">
        <f t="shared" si="235"/>
        <v>0</v>
      </c>
      <c r="VIE249" s="5">
        <f t="shared" si="235"/>
        <v>0</v>
      </c>
      <c r="VIF249" s="5">
        <f t="shared" si="235"/>
        <v>0</v>
      </c>
      <c r="VIG249" s="5">
        <f t="shared" si="235"/>
        <v>0</v>
      </c>
      <c r="VIH249" s="5">
        <f t="shared" si="235"/>
        <v>0</v>
      </c>
      <c r="VII249" s="5">
        <f t="shared" si="235"/>
        <v>0</v>
      </c>
      <c r="VIJ249" s="5">
        <f t="shared" si="235"/>
        <v>0</v>
      </c>
      <c r="VIK249" s="5">
        <f t="shared" si="235"/>
        <v>0</v>
      </c>
      <c r="VIL249" s="5">
        <f t="shared" si="235"/>
        <v>0</v>
      </c>
      <c r="VIM249" s="5">
        <f t="shared" si="235"/>
        <v>0</v>
      </c>
      <c r="VIN249" s="5">
        <f t="shared" si="235"/>
        <v>0</v>
      </c>
      <c r="VIO249" s="5">
        <f t="shared" si="235"/>
        <v>0</v>
      </c>
      <c r="VIP249" s="5">
        <f t="shared" ref="VIP249:VLA249" si="236">SUM(VIP246:VIP246)</f>
        <v>0</v>
      </c>
      <c r="VIQ249" s="5">
        <f t="shared" si="236"/>
        <v>0</v>
      </c>
      <c r="VIR249" s="5">
        <f t="shared" si="236"/>
        <v>0</v>
      </c>
      <c r="VIS249" s="5">
        <f t="shared" si="236"/>
        <v>0</v>
      </c>
      <c r="VIT249" s="5">
        <f t="shared" si="236"/>
        <v>0</v>
      </c>
      <c r="VIU249" s="5">
        <f t="shared" si="236"/>
        <v>0</v>
      </c>
      <c r="VIV249" s="5">
        <f t="shared" si="236"/>
        <v>0</v>
      </c>
      <c r="VIW249" s="5">
        <f t="shared" si="236"/>
        <v>0</v>
      </c>
      <c r="VIX249" s="5">
        <f t="shared" si="236"/>
        <v>0</v>
      </c>
      <c r="VIY249" s="5">
        <f t="shared" si="236"/>
        <v>0</v>
      </c>
      <c r="VIZ249" s="5">
        <f t="shared" si="236"/>
        <v>0</v>
      </c>
      <c r="VJA249" s="5">
        <f t="shared" si="236"/>
        <v>0</v>
      </c>
      <c r="VJB249" s="5">
        <f t="shared" si="236"/>
        <v>0</v>
      </c>
      <c r="VJC249" s="5">
        <f t="shared" si="236"/>
        <v>0</v>
      </c>
      <c r="VJD249" s="5">
        <f t="shared" si="236"/>
        <v>0</v>
      </c>
      <c r="VJE249" s="5">
        <f t="shared" si="236"/>
        <v>0</v>
      </c>
      <c r="VJF249" s="5">
        <f t="shared" si="236"/>
        <v>0</v>
      </c>
      <c r="VJG249" s="5">
        <f t="shared" si="236"/>
        <v>0</v>
      </c>
      <c r="VJH249" s="5">
        <f t="shared" si="236"/>
        <v>0</v>
      </c>
      <c r="VJI249" s="5">
        <f t="shared" si="236"/>
        <v>0</v>
      </c>
      <c r="VJJ249" s="5">
        <f t="shared" si="236"/>
        <v>0</v>
      </c>
      <c r="VJK249" s="5">
        <f t="shared" si="236"/>
        <v>0</v>
      </c>
      <c r="VJL249" s="5">
        <f t="shared" si="236"/>
        <v>0</v>
      </c>
      <c r="VJM249" s="5">
        <f t="shared" si="236"/>
        <v>0</v>
      </c>
      <c r="VJN249" s="5">
        <f t="shared" si="236"/>
        <v>0</v>
      </c>
      <c r="VJO249" s="5">
        <f t="shared" si="236"/>
        <v>0</v>
      </c>
      <c r="VJP249" s="5">
        <f t="shared" si="236"/>
        <v>0</v>
      </c>
      <c r="VJQ249" s="5">
        <f t="shared" si="236"/>
        <v>0</v>
      </c>
      <c r="VJR249" s="5">
        <f t="shared" si="236"/>
        <v>0</v>
      </c>
      <c r="VJS249" s="5">
        <f t="shared" si="236"/>
        <v>0</v>
      </c>
      <c r="VJT249" s="5">
        <f t="shared" si="236"/>
        <v>0</v>
      </c>
      <c r="VJU249" s="5">
        <f t="shared" si="236"/>
        <v>0</v>
      </c>
      <c r="VJV249" s="5">
        <f t="shared" si="236"/>
        <v>0</v>
      </c>
      <c r="VJW249" s="5">
        <f t="shared" si="236"/>
        <v>0</v>
      </c>
      <c r="VJX249" s="5">
        <f t="shared" si="236"/>
        <v>0</v>
      </c>
      <c r="VJY249" s="5">
        <f t="shared" si="236"/>
        <v>0</v>
      </c>
      <c r="VJZ249" s="5">
        <f t="shared" si="236"/>
        <v>0</v>
      </c>
      <c r="VKA249" s="5">
        <f t="shared" si="236"/>
        <v>0</v>
      </c>
      <c r="VKB249" s="5">
        <f t="shared" si="236"/>
        <v>0</v>
      </c>
      <c r="VKC249" s="5">
        <f t="shared" si="236"/>
        <v>0</v>
      </c>
      <c r="VKD249" s="5">
        <f t="shared" si="236"/>
        <v>0</v>
      </c>
      <c r="VKE249" s="5">
        <f t="shared" si="236"/>
        <v>0</v>
      </c>
      <c r="VKF249" s="5">
        <f t="shared" si="236"/>
        <v>0</v>
      </c>
      <c r="VKG249" s="5">
        <f t="shared" si="236"/>
        <v>0</v>
      </c>
      <c r="VKH249" s="5">
        <f t="shared" si="236"/>
        <v>0</v>
      </c>
      <c r="VKI249" s="5">
        <f t="shared" si="236"/>
        <v>0</v>
      </c>
      <c r="VKJ249" s="5">
        <f t="shared" si="236"/>
        <v>0</v>
      </c>
      <c r="VKK249" s="5">
        <f t="shared" si="236"/>
        <v>0</v>
      </c>
      <c r="VKL249" s="5">
        <f t="shared" si="236"/>
        <v>0</v>
      </c>
      <c r="VKM249" s="5">
        <f t="shared" si="236"/>
        <v>0</v>
      </c>
      <c r="VKN249" s="5">
        <f t="shared" si="236"/>
        <v>0</v>
      </c>
      <c r="VKO249" s="5">
        <f t="shared" si="236"/>
        <v>0</v>
      </c>
      <c r="VKP249" s="5">
        <f t="shared" si="236"/>
        <v>0</v>
      </c>
      <c r="VKQ249" s="5">
        <f t="shared" si="236"/>
        <v>0</v>
      </c>
      <c r="VKR249" s="5">
        <f t="shared" si="236"/>
        <v>0</v>
      </c>
      <c r="VKS249" s="5">
        <f t="shared" si="236"/>
        <v>0</v>
      </c>
      <c r="VKT249" s="5">
        <f t="shared" si="236"/>
        <v>0</v>
      </c>
      <c r="VKU249" s="5">
        <f t="shared" si="236"/>
        <v>0</v>
      </c>
      <c r="VKV249" s="5">
        <f t="shared" si="236"/>
        <v>0</v>
      </c>
      <c r="VKW249" s="5">
        <f t="shared" si="236"/>
        <v>0</v>
      </c>
      <c r="VKX249" s="5">
        <f t="shared" si="236"/>
        <v>0</v>
      </c>
      <c r="VKY249" s="5">
        <f t="shared" si="236"/>
        <v>0</v>
      </c>
      <c r="VKZ249" s="5">
        <f t="shared" si="236"/>
        <v>0</v>
      </c>
      <c r="VLA249" s="5">
        <f t="shared" si="236"/>
        <v>0</v>
      </c>
      <c r="VLB249" s="5">
        <f t="shared" ref="VLB249:VNM249" si="237">SUM(VLB246:VLB246)</f>
        <v>0</v>
      </c>
      <c r="VLC249" s="5">
        <f t="shared" si="237"/>
        <v>0</v>
      </c>
      <c r="VLD249" s="5">
        <f t="shared" si="237"/>
        <v>0</v>
      </c>
      <c r="VLE249" s="5">
        <f t="shared" si="237"/>
        <v>0</v>
      </c>
      <c r="VLF249" s="5">
        <f t="shared" si="237"/>
        <v>0</v>
      </c>
      <c r="VLG249" s="5">
        <f t="shared" si="237"/>
        <v>0</v>
      </c>
      <c r="VLH249" s="5">
        <f t="shared" si="237"/>
        <v>0</v>
      </c>
      <c r="VLI249" s="5">
        <f t="shared" si="237"/>
        <v>0</v>
      </c>
      <c r="VLJ249" s="5">
        <f t="shared" si="237"/>
        <v>0</v>
      </c>
      <c r="VLK249" s="5">
        <f t="shared" si="237"/>
        <v>0</v>
      </c>
      <c r="VLL249" s="5">
        <f t="shared" si="237"/>
        <v>0</v>
      </c>
      <c r="VLM249" s="5">
        <f t="shared" si="237"/>
        <v>0</v>
      </c>
      <c r="VLN249" s="5">
        <f t="shared" si="237"/>
        <v>0</v>
      </c>
      <c r="VLO249" s="5">
        <f t="shared" si="237"/>
        <v>0</v>
      </c>
      <c r="VLP249" s="5">
        <f t="shared" si="237"/>
        <v>0</v>
      </c>
      <c r="VLQ249" s="5">
        <f t="shared" si="237"/>
        <v>0</v>
      </c>
      <c r="VLR249" s="5">
        <f t="shared" si="237"/>
        <v>0</v>
      </c>
      <c r="VLS249" s="5">
        <f t="shared" si="237"/>
        <v>0</v>
      </c>
      <c r="VLT249" s="5">
        <f t="shared" si="237"/>
        <v>0</v>
      </c>
      <c r="VLU249" s="5">
        <f t="shared" si="237"/>
        <v>0</v>
      </c>
      <c r="VLV249" s="5">
        <f t="shared" si="237"/>
        <v>0</v>
      </c>
      <c r="VLW249" s="5">
        <f t="shared" si="237"/>
        <v>0</v>
      </c>
      <c r="VLX249" s="5">
        <f t="shared" si="237"/>
        <v>0</v>
      </c>
      <c r="VLY249" s="5">
        <f t="shared" si="237"/>
        <v>0</v>
      </c>
      <c r="VLZ249" s="5">
        <f t="shared" si="237"/>
        <v>0</v>
      </c>
      <c r="VMA249" s="5">
        <f t="shared" si="237"/>
        <v>0</v>
      </c>
      <c r="VMB249" s="5">
        <f t="shared" si="237"/>
        <v>0</v>
      </c>
      <c r="VMC249" s="5">
        <f t="shared" si="237"/>
        <v>0</v>
      </c>
      <c r="VMD249" s="5">
        <f t="shared" si="237"/>
        <v>0</v>
      </c>
      <c r="VME249" s="5">
        <f t="shared" si="237"/>
        <v>0</v>
      </c>
      <c r="VMF249" s="5">
        <f t="shared" si="237"/>
        <v>0</v>
      </c>
      <c r="VMG249" s="5">
        <f t="shared" si="237"/>
        <v>0</v>
      </c>
      <c r="VMH249" s="5">
        <f t="shared" si="237"/>
        <v>0</v>
      </c>
      <c r="VMI249" s="5">
        <f t="shared" si="237"/>
        <v>0</v>
      </c>
      <c r="VMJ249" s="5">
        <f t="shared" si="237"/>
        <v>0</v>
      </c>
      <c r="VMK249" s="5">
        <f t="shared" si="237"/>
        <v>0</v>
      </c>
      <c r="VML249" s="5">
        <f t="shared" si="237"/>
        <v>0</v>
      </c>
      <c r="VMM249" s="5">
        <f t="shared" si="237"/>
        <v>0</v>
      </c>
      <c r="VMN249" s="5">
        <f t="shared" si="237"/>
        <v>0</v>
      </c>
      <c r="VMO249" s="5">
        <f t="shared" si="237"/>
        <v>0</v>
      </c>
      <c r="VMP249" s="5">
        <f t="shared" si="237"/>
        <v>0</v>
      </c>
      <c r="VMQ249" s="5">
        <f t="shared" si="237"/>
        <v>0</v>
      </c>
      <c r="VMR249" s="5">
        <f t="shared" si="237"/>
        <v>0</v>
      </c>
      <c r="VMS249" s="5">
        <f t="shared" si="237"/>
        <v>0</v>
      </c>
      <c r="VMT249" s="5">
        <f t="shared" si="237"/>
        <v>0</v>
      </c>
      <c r="VMU249" s="5">
        <f t="shared" si="237"/>
        <v>0</v>
      </c>
      <c r="VMV249" s="5">
        <f t="shared" si="237"/>
        <v>0</v>
      </c>
      <c r="VMW249" s="5">
        <f t="shared" si="237"/>
        <v>0</v>
      </c>
      <c r="VMX249" s="5">
        <f t="shared" si="237"/>
        <v>0</v>
      </c>
      <c r="VMY249" s="5">
        <f t="shared" si="237"/>
        <v>0</v>
      </c>
      <c r="VMZ249" s="5">
        <f t="shared" si="237"/>
        <v>0</v>
      </c>
      <c r="VNA249" s="5">
        <f t="shared" si="237"/>
        <v>0</v>
      </c>
      <c r="VNB249" s="5">
        <f t="shared" si="237"/>
        <v>0</v>
      </c>
      <c r="VNC249" s="5">
        <f t="shared" si="237"/>
        <v>0</v>
      </c>
      <c r="VND249" s="5">
        <f t="shared" si="237"/>
        <v>0</v>
      </c>
      <c r="VNE249" s="5">
        <f t="shared" si="237"/>
        <v>0</v>
      </c>
      <c r="VNF249" s="5">
        <f t="shared" si="237"/>
        <v>0</v>
      </c>
      <c r="VNG249" s="5">
        <f t="shared" si="237"/>
        <v>0</v>
      </c>
      <c r="VNH249" s="5">
        <f t="shared" si="237"/>
        <v>0</v>
      </c>
      <c r="VNI249" s="5">
        <f t="shared" si="237"/>
        <v>0</v>
      </c>
      <c r="VNJ249" s="5">
        <f t="shared" si="237"/>
        <v>0</v>
      </c>
      <c r="VNK249" s="5">
        <f t="shared" si="237"/>
        <v>0</v>
      </c>
      <c r="VNL249" s="5">
        <f t="shared" si="237"/>
        <v>0</v>
      </c>
      <c r="VNM249" s="5">
        <f t="shared" si="237"/>
        <v>0</v>
      </c>
      <c r="VNN249" s="5">
        <f t="shared" ref="VNN249:VPY249" si="238">SUM(VNN246:VNN246)</f>
        <v>0</v>
      </c>
      <c r="VNO249" s="5">
        <f t="shared" si="238"/>
        <v>0</v>
      </c>
      <c r="VNP249" s="5">
        <f t="shared" si="238"/>
        <v>0</v>
      </c>
      <c r="VNQ249" s="5">
        <f t="shared" si="238"/>
        <v>0</v>
      </c>
      <c r="VNR249" s="5">
        <f t="shared" si="238"/>
        <v>0</v>
      </c>
      <c r="VNS249" s="5">
        <f t="shared" si="238"/>
        <v>0</v>
      </c>
      <c r="VNT249" s="5">
        <f t="shared" si="238"/>
        <v>0</v>
      </c>
      <c r="VNU249" s="5">
        <f t="shared" si="238"/>
        <v>0</v>
      </c>
      <c r="VNV249" s="5">
        <f t="shared" si="238"/>
        <v>0</v>
      </c>
      <c r="VNW249" s="5">
        <f t="shared" si="238"/>
        <v>0</v>
      </c>
      <c r="VNX249" s="5">
        <f t="shared" si="238"/>
        <v>0</v>
      </c>
      <c r="VNY249" s="5">
        <f t="shared" si="238"/>
        <v>0</v>
      </c>
      <c r="VNZ249" s="5">
        <f t="shared" si="238"/>
        <v>0</v>
      </c>
      <c r="VOA249" s="5">
        <f t="shared" si="238"/>
        <v>0</v>
      </c>
      <c r="VOB249" s="5">
        <f t="shared" si="238"/>
        <v>0</v>
      </c>
      <c r="VOC249" s="5">
        <f t="shared" si="238"/>
        <v>0</v>
      </c>
      <c r="VOD249" s="5">
        <f t="shared" si="238"/>
        <v>0</v>
      </c>
      <c r="VOE249" s="5">
        <f t="shared" si="238"/>
        <v>0</v>
      </c>
      <c r="VOF249" s="5">
        <f t="shared" si="238"/>
        <v>0</v>
      </c>
      <c r="VOG249" s="5">
        <f t="shared" si="238"/>
        <v>0</v>
      </c>
      <c r="VOH249" s="5">
        <f t="shared" si="238"/>
        <v>0</v>
      </c>
      <c r="VOI249" s="5">
        <f t="shared" si="238"/>
        <v>0</v>
      </c>
      <c r="VOJ249" s="5">
        <f t="shared" si="238"/>
        <v>0</v>
      </c>
      <c r="VOK249" s="5">
        <f t="shared" si="238"/>
        <v>0</v>
      </c>
      <c r="VOL249" s="5">
        <f t="shared" si="238"/>
        <v>0</v>
      </c>
      <c r="VOM249" s="5">
        <f t="shared" si="238"/>
        <v>0</v>
      </c>
      <c r="VON249" s="5">
        <f t="shared" si="238"/>
        <v>0</v>
      </c>
      <c r="VOO249" s="5">
        <f t="shared" si="238"/>
        <v>0</v>
      </c>
      <c r="VOP249" s="5">
        <f t="shared" si="238"/>
        <v>0</v>
      </c>
      <c r="VOQ249" s="5">
        <f t="shared" si="238"/>
        <v>0</v>
      </c>
      <c r="VOR249" s="5">
        <f t="shared" si="238"/>
        <v>0</v>
      </c>
      <c r="VOS249" s="5">
        <f t="shared" si="238"/>
        <v>0</v>
      </c>
      <c r="VOT249" s="5">
        <f t="shared" si="238"/>
        <v>0</v>
      </c>
      <c r="VOU249" s="5">
        <f t="shared" si="238"/>
        <v>0</v>
      </c>
      <c r="VOV249" s="5">
        <f t="shared" si="238"/>
        <v>0</v>
      </c>
      <c r="VOW249" s="5">
        <f t="shared" si="238"/>
        <v>0</v>
      </c>
      <c r="VOX249" s="5">
        <f t="shared" si="238"/>
        <v>0</v>
      </c>
      <c r="VOY249" s="5">
        <f t="shared" si="238"/>
        <v>0</v>
      </c>
      <c r="VOZ249" s="5">
        <f t="shared" si="238"/>
        <v>0</v>
      </c>
      <c r="VPA249" s="5">
        <f t="shared" si="238"/>
        <v>0</v>
      </c>
      <c r="VPB249" s="5">
        <f t="shared" si="238"/>
        <v>0</v>
      </c>
      <c r="VPC249" s="5">
        <f t="shared" si="238"/>
        <v>0</v>
      </c>
      <c r="VPD249" s="5">
        <f t="shared" si="238"/>
        <v>0</v>
      </c>
      <c r="VPE249" s="5">
        <f t="shared" si="238"/>
        <v>0</v>
      </c>
      <c r="VPF249" s="5">
        <f t="shared" si="238"/>
        <v>0</v>
      </c>
      <c r="VPG249" s="5">
        <f t="shared" si="238"/>
        <v>0</v>
      </c>
      <c r="VPH249" s="5">
        <f t="shared" si="238"/>
        <v>0</v>
      </c>
      <c r="VPI249" s="5">
        <f t="shared" si="238"/>
        <v>0</v>
      </c>
      <c r="VPJ249" s="5">
        <f t="shared" si="238"/>
        <v>0</v>
      </c>
      <c r="VPK249" s="5">
        <f t="shared" si="238"/>
        <v>0</v>
      </c>
      <c r="VPL249" s="5">
        <f t="shared" si="238"/>
        <v>0</v>
      </c>
      <c r="VPM249" s="5">
        <f t="shared" si="238"/>
        <v>0</v>
      </c>
      <c r="VPN249" s="5">
        <f t="shared" si="238"/>
        <v>0</v>
      </c>
      <c r="VPO249" s="5">
        <f t="shared" si="238"/>
        <v>0</v>
      </c>
      <c r="VPP249" s="5">
        <f t="shared" si="238"/>
        <v>0</v>
      </c>
      <c r="VPQ249" s="5">
        <f t="shared" si="238"/>
        <v>0</v>
      </c>
      <c r="VPR249" s="5">
        <f t="shared" si="238"/>
        <v>0</v>
      </c>
      <c r="VPS249" s="5">
        <f t="shared" si="238"/>
        <v>0</v>
      </c>
      <c r="VPT249" s="5">
        <f t="shared" si="238"/>
        <v>0</v>
      </c>
      <c r="VPU249" s="5">
        <f t="shared" si="238"/>
        <v>0</v>
      </c>
      <c r="VPV249" s="5">
        <f t="shared" si="238"/>
        <v>0</v>
      </c>
      <c r="VPW249" s="5">
        <f t="shared" si="238"/>
        <v>0</v>
      </c>
      <c r="VPX249" s="5">
        <f t="shared" si="238"/>
        <v>0</v>
      </c>
      <c r="VPY249" s="5">
        <f t="shared" si="238"/>
        <v>0</v>
      </c>
      <c r="VPZ249" s="5">
        <f t="shared" ref="VPZ249:VSK249" si="239">SUM(VPZ246:VPZ246)</f>
        <v>0</v>
      </c>
      <c r="VQA249" s="5">
        <f t="shared" si="239"/>
        <v>0</v>
      </c>
      <c r="VQB249" s="5">
        <f t="shared" si="239"/>
        <v>0</v>
      </c>
      <c r="VQC249" s="5">
        <f t="shared" si="239"/>
        <v>0</v>
      </c>
      <c r="VQD249" s="5">
        <f t="shared" si="239"/>
        <v>0</v>
      </c>
      <c r="VQE249" s="5">
        <f t="shared" si="239"/>
        <v>0</v>
      </c>
      <c r="VQF249" s="5">
        <f t="shared" si="239"/>
        <v>0</v>
      </c>
      <c r="VQG249" s="5">
        <f t="shared" si="239"/>
        <v>0</v>
      </c>
      <c r="VQH249" s="5">
        <f t="shared" si="239"/>
        <v>0</v>
      </c>
      <c r="VQI249" s="5">
        <f t="shared" si="239"/>
        <v>0</v>
      </c>
      <c r="VQJ249" s="5">
        <f t="shared" si="239"/>
        <v>0</v>
      </c>
      <c r="VQK249" s="5">
        <f t="shared" si="239"/>
        <v>0</v>
      </c>
      <c r="VQL249" s="5">
        <f t="shared" si="239"/>
        <v>0</v>
      </c>
      <c r="VQM249" s="5">
        <f t="shared" si="239"/>
        <v>0</v>
      </c>
      <c r="VQN249" s="5">
        <f t="shared" si="239"/>
        <v>0</v>
      </c>
      <c r="VQO249" s="5">
        <f t="shared" si="239"/>
        <v>0</v>
      </c>
      <c r="VQP249" s="5">
        <f t="shared" si="239"/>
        <v>0</v>
      </c>
      <c r="VQQ249" s="5">
        <f t="shared" si="239"/>
        <v>0</v>
      </c>
      <c r="VQR249" s="5">
        <f t="shared" si="239"/>
        <v>0</v>
      </c>
      <c r="VQS249" s="5">
        <f t="shared" si="239"/>
        <v>0</v>
      </c>
      <c r="VQT249" s="5">
        <f t="shared" si="239"/>
        <v>0</v>
      </c>
      <c r="VQU249" s="5">
        <f t="shared" si="239"/>
        <v>0</v>
      </c>
      <c r="VQV249" s="5">
        <f t="shared" si="239"/>
        <v>0</v>
      </c>
      <c r="VQW249" s="5">
        <f t="shared" si="239"/>
        <v>0</v>
      </c>
      <c r="VQX249" s="5">
        <f t="shared" si="239"/>
        <v>0</v>
      </c>
      <c r="VQY249" s="5">
        <f t="shared" si="239"/>
        <v>0</v>
      </c>
      <c r="VQZ249" s="5">
        <f t="shared" si="239"/>
        <v>0</v>
      </c>
      <c r="VRA249" s="5">
        <f t="shared" si="239"/>
        <v>0</v>
      </c>
      <c r="VRB249" s="5">
        <f t="shared" si="239"/>
        <v>0</v>
      </c>
      <c r="VRC249" s="5">
        <f t="shared" si="239"/>
        <v>0</v>
      </c>
      <c r="VRD249" s="5">
        <f t="shared" si="239"/>
        <v>0</v>
      </c>
      <c r="VRE249" s="5">
        <f t="shared" si="239"/>
        <v>0</v>
      </c>
      <c r="VRF249" s="5">
        <f t="shared" si="239"/>
        <v>0</v>
      </c>
      <c r="VRG249" s="5">
        <f t="shared" si="239"/>
        <v>0</v>
      </c>
      <c r="VRH249" s="5">
        <f t="shared" si="239"/>
        <v>0</v>
      </c>
      <c r="VRI249" s="5">
        <f t="shared" si="239"/>
        <v>0</v>
      </c>
      <c r="VRJ249" s="5">
        <f t="shared" si="239"/>
        <v>0</v>
      </c>
      <c r="VRK249" s="5">
        <f t="shared" si="239"/>
        <v>0</v>
      </c>
      <c r="VRL249" s="5">
        <f t="shared" si="239"/>
        <v>0</v>
      </c>
      <c r="VRM249" s="5">
        <f t="shared" si="239"/>
        <v>0</v>
      </c>
      <c r="VRN249" s="5">
        <f t="shared" si="239"/>
        <v>0</v>
      </c>
      <c r="VRO249" s="5">
        <f t="shared" si="239"/>
        <v>0</v>
      </c>
      <c r="VRP249" s="5">
        <f t="shared" si="239"/>
        <v>0</v>
      </c>
      <c r="VRQ249" s="5">
        <f t="shared" si="239"/>
        <v>0</v>
      </c>
      <c r="VRR249" s="5">
        <f t="shared" si="239"/>
        <v>0</v>
      </c>
      <c r="VRS249" s="5">
        <f t="shared" si="239"/>
        <v>0</v>
      </c>
      <c r="VRT249" s="5">
        <f t="shared" si="239"/>
        <v>0</v>
      </c>
      <c r="VRU249" s="5">
        <f t="shared" si="239"/>
        <v>0</v>
      </c>
      <c r="VRV249" s="5">
        <f t="shared" si="239"/>
        <v>0</v>
      </c>
      <c r="VRW249" s="5">
        <f t="shared" si="239"/>
        <v>0</v>
      </c>
      <c r="VRX249" s="5">
        <f t="shared" si="239"/>
        <v>0</v>
      </c>
      <c r="VRY249" s="5">
        <f t="shared" si="239"/>
        <v>0</v>
      </c>
      <c r="VRZ249" s="5">
        <f t="shared" si="239"/>
        <v>0</v>
      </c>
      <c r="VSA249" s="5">
        <f t="shared" si="239"/>
        <v>0</v>
      </c>
      <c r="VSB249" s="5">
        <f t="shared" si="239"/>
        <v>0</v>
      </c>
      <c r="VSC249" s="5">
        <f t="shared" si="239"/>
        <v>0</v>
      </c>
      <c r="VSD249" s="5">
        <f t="shared" si="239"/>
        <v>0</v>
      </c>
      <c r="VSE249" s="5">
        <f t="shared" si="239"/>
        <v>0</v>
      </c>
      <c r="VSF249" s="5">
        <f t="shared" si="239"/>
        <v>0</v>
      </c>
      <c r="VSG249" s="5">
        <f t="shared" si="239"/>
        <v>0</v>
      </c>
      <c r="VSH249" s="5">
        <f t="shared" si="239"/>
        <v>0</v>
      </c>
      <c r="VSI249" s="5">
        <f t="shared" si="239"/>
        <v>0</v>
      </c>
      <c r="VSJ249" s="5">
        <f t="shared" si="239"/>
        <v>0</v>
      </c>
      <c r="VSK249" s="5">
        <f t="shared" si="239"/>
        <v>0</v>
      </c>
      <c r="VSL249" s="5">
        <f t="shared" ref="VSL249:VUW249" si="240">SUM(VSL246:VSL246)</f>
        <v>0</v>
      </c>
      <c r="VSM249" s="5">
        <f t="shared" si="240"/>
        <v>0</v>
      </c>
      <c r="VSN249" s="5">
        <f t="shared" si="240"/>
        <v>0</v>
      </c>
      <c r="VSO249" s="5">
        <f t="shared" si="240"/>
        <v>0</v>
      </c>
      <c r="VSP249" s="5">
        <f t="shared" si="240"/>
        <v>0</v>
      </c>
      <c r="VSQ249" s="5">
        <f t="shared" si="240"/>
        <v>0</v>
      </c>
      <c r="VSR249" s="5">
        <f t="shared" si="240"/>
        <v>0</v>
      </c>
      <c r="VSS249" s="5">
        <f t="shared" si="240"/>
        <v>0</v>
      </c>
      <c r="VST249" s="5">
        <f t="shared" si="240"/>
        <v>0</v>
      </c>
      <c r="VSU249" s="5">
        <f t="shared" si="240"/>
        <v>0</v>
      </c>
      <c r="VSV249" s="5">
        <f t="shared" si="240"/>
        <v>0</v>
      </c>
      <c r="VSW249" s="5">
        <f t="shared" si="240"/>
        <v>0</v>
      </c>
      <c r="VSX249" s="5">
        <f t="shared" si="240"/>
        <v>0</v>
      </c>
      <c r="VSY249" s="5">
        <f t="shared" si="240"/>
        <v>0</v>
      </c>
      <c r="VSZ249" s="5">
        <f t="shared" si="240"/>
        <v>0</v>
      </c>
      <c r="VTA249" s="5">
        <f t="shared" si="240"/>
        <v>0</v>
      </c>
      <c r="VTB249" s="5">
        <f t="shared" si="240"/>
        <v>0</v>
      </c>
      <c r="VTC249" s="5">
        <f t="shared" si="240"/>
        <v>0</v>
      </c>
      <c r="VTD249" s="5">
        <f t="shared" si="240"/>
        <v>0</v>
      </c>
      <c r="VTE249" s="5">
        <f t="shared" si="240"/>
        <v>0</v>
      </c>
      <c r="VTF249" s="5">
        <f t="shared" si="240"/>
        <v>0</v>
      </c>
      <c r="VTG249" s="5">
        <f t="shared" si="240"/>
        <v>0</v>
      </c>
      <c r="VTH249" s="5">
        <f t="shared" si="240"/>
        <v>0</v>
      </c>
      <c r="VTI249" s="5">
        <f t="shared" si="240"/>
        <v>0</v>
      </c>
      <c r="VTJ249" s="5">
        <f t="shared" si="240"/>
        <v>0</v>
      </c>
      <c r="VTK249" s="5">
        <f t="shared" si="240"/>
        <v>0</v>
      </c>
      <c r="VTL249" s="5">
        <f t="shared" si="240"/>
        <v>0</v>
      </c>
      <c r="VTM249" s="5">
        <f t="shared" si="240"/>
        <v>0</v>
      </c>
      <c r="VTN249" s="5">
        <f t="shared" si="240"/>
        <v>0</v>
      </c>
      <c r="VTO249" s="5">
        <f t="shared" si="240"/>
        <v>0</v>
      </c>
      <c r="VTP249" s="5">
        <f t="shared" si="240"/>
        <v>0</v>
      </c>
      <c r="VTQ249" s="5">
        <f t="shared" si="240"/>
        <v>0</v>
      </c>
      <c r="VTR249" s="5">
        <f t="shared" si="240"/>
        <v>0</v>
      </c>
      <c r="VTS249" s="5">
        <f t="shared" si="240"/>
        <v>0</v>
      </c>
      <c r="VTT249" s="5">
        <f t="shared" si="240"/>
        <v>0</v>
      </c>
      <c r="VTU249" s="5">
        <f t="shared" si="240"/>
        <v>0</v>
      </c>
      <c r="VTV249" s="5">
        <f t="shared" si="240"/>
        <v>0</v>
      </c>
      <c r="VTW249" s="5">
        <f t="shared" si="240"/>
        <v>0</v>
      </c>
      <c r="VTX249" s="5">
        <f t="shared" si="240"/>
        <v>0</v>
      </c>
      <c r="VTY249" s="5">
        <f t="shared" si="240"/>
        <v>0</v>
      </c>
      <c r="VTZ249" s="5">
        <f t="shared" si="240"/>
        <v>0</v>
      </c>
      <c r="VUA249" s="5">
        <f t="shared" si="240"/>
        <v>0</v>
      </c>
      <c r="VUB249" s="5">
        <f t="shared" si="240"/>
        <v>0</v>
      </c>
      <c r="VUC249" s="5">
        <f t="shared" si="240"/>
        <v>0</v>
      </c>
      <c r="VUD249" s="5">
        <f t="shared" si="240"/>
        <v>0</v>
      </c>
      <c r="VUE249" s="5">
        <f t="shared" si="240"/>
        <v>0</v>
      </c>
      <c r="VUF249" s="5">
        <f t="shared" si="240"/>
        <v>0</v>
      </c>
      <c r="VUG249" s="5">
        <f t="shared" si="240"/>
        <v>0</v>
      </c>
      <c r="VUH249" s="5">
        <f t="shared" si="240"/>
        <v>0</v>
      </c>
      <c r="VUI249" s="5">
        <f t="shared" si="240"/>
        <v>0</v>
      </c>
      <c r="VUJ249" s="5">
        <f t="shared" si="240"/>
        <v>0</v>
      </c>
      <c r="VUK249" s="5">
        <f t="shared" si="240"/>
        <v>0</v>
      </c>
      <c r="VUL249" s="5">
        <f t="shared" si="240"/>
        <v>0</v>
      </c>
      <c r="VUM249" s="5">
        <f t="shared" si="240"/>
        <v>0</v>
      </c>
      <c r="VUN249" s="5">
        <f t="shared" si="240"/>
        <v>0</v>
      </c>
      <c r="VUO249" s="5">
        <f t="shared" si="240"/>
        <v>0</v>
      </c>
      <c r="VUP249" s="5">
        <f t="shared" si="240"/>
        <v>0</v>
      </c>
      <c r="VUQ249" s="5">
        <f t="shared" si="240"/>
        <v>0</v>
      </c>
      <c r="VUR249" s="5">
        <f t="shared" si="240"/>
        <v>0</v>
      </c>
      <c r="VUS249" s="5">
        <f t="shared" si="240"/>
        <v>0</v>
      </c>
      <c r="VUT249" s="5">
        <f t="shared" si="240"/>
        <v>0</v>
      </c>
      <c r="VUU249" s="5">
        <f t="shared" si="240"/>
        <v>0</v>
      </c>
      <c r="VUV249" s="5">
        <f t="shared" si="240"/>
        <v>0</v>
      </c>
      <c r="VUW249" s="5">
        <f t="shared" si="240"/>
        <v>0</v>
      </c>
      <c r="VUX249" s="5">
        <f t="shared" ref="VUX249:VXI249" si="241">SUM(VUX246:VUX246)</f>
        <v>0</v>
      </c>
      <c r="VUY249" s="5">
        <f t="shared" si="241"/>
        <v>0</v>
      </c>
      <c r="VUZ249" s="5">
        <f t="shared" si="241"/>
        <v>0</v>
      </c>
      <c r="VVA249" s="5">
        <f t="shared" si="241"/>
        <v>0</v>
      </c>
      <c r="VVB249" s="5">
        <f t="shared" si="241"/>
        <v>0</v>
      </c>
      <c r="VVC249" s="5">
        <f t="shared" si="241"/>
        <v>0</v>
      </c>
      <c r="VVD249" s="5">
        <f t="shared" si="241"/>
        <v>0</v>
      </c>
      <c r="VVE249" s="5">
        <f t="shared" si="241"/>
        <v>0</v>
      </c>
      <c r="VVF249" s="5">
        <f t="shared" si="241"/>
        <v>0</v>
      </c>
      <c r="VVG249" s="5">
        <f t="shared" si="241"/>
        <v>0</v>
      </c>
      <c r="VVH249" s="5">
        <f t="shared" si="241"/>
        <v>0</v>
      </c>
      <c r="VVI249" s="5">
        <f t="shared" si="241"/>
        <v>0</v>
      </c>
      <c r="VVJ249" s="5">
        <f t="shared" si="241"/>
        <v>0</v>
      </c>
      <c r="VVK249" s="5">
        <f t="shared" si="241"/>
        <v>0</v>
      </c>
      <c r="VVL249" s="5">
        <f t="shared" si="241"/>
        <v>0</v>
      </c>
      <c r="VVM249" s="5">
        <f t="shared" si="241"/>
        <v>0</v>
      </c>
      <c r="VVN249" s="5">
        <f t="shared" si="241"/>
        <v>0</v>
      </c>
      <c r="VVO249" s="5">
        <f t="shared" si="241"/>
        <v>0</v>
      </c>
      <c r="VVP249" s="5">
        <f t="shared" si="241"/>
        <v>0</v>
      </c>
      <c r="VVQ249" s="5">
        <f t="shared" si="241"/>
        <v>0</v>
      </c>
      <c r="VVR249" s="5">
        <f t="shared" si="241"/>
        <v>0</v>
      </c>
      <c r="VVS249" s="5">
        <f t="shared" si="241"/>
        <v>0</v>
      </c>
      <c r="VVT249" s="5">
        <f t="shared" si="241"/>
        <v>0</v>
      </c>
      <c r="VVU249" s="5">
        <f t="shared" si="241"/>
        <v>0</v>
      </c>
      <c r="VVV249" s="5">
        <f t="shared" si="241"/>
        <v>0</v>
      </c>
      <c r="VVW249" s="5">
        <f t="shared" si="241"/>
        <v>0</v>
      </c>
      <c r="VVX249" s="5">
        <f t="shared" si="241"/>
        <v>0</v>
      </c>
      <c r="VVY249" s="5">
        <f t="shared" si="241"/>
        <v>0</v>
      </c>
      <c r="VVZ249" s="5">
        <f t="shared" si="241"/>
        <v>0</v>
      </c>
      <c r="VWA249" s="5">
        <f t="shared" si="241"/>
        <v>0</v>
      </c>
      <c r="VWB249" s="5">
        <f t="shared" si="241"/>
        <v>0</v>
      </c>
      <c r="VWC249" s="5">
        <f t="shared" si="241"/>
        <v>0</v>
      </c>
      <c r="VWD249" s="5">
        <f t="shared" si="241"/>
        <v>0</v>
      </c>
      <c r="VWE249" s="5">
        <f t="shared" si="241"/>
        <v>0</v>
      </c>
      <c r="VWF249" s="5">
        <f t="shared" si="241"/>
        <v>0</v>
      </c>
      <c r="VWG249" s="5">
        <f t="shared" si="241"/>
        <v>0</v>
      </c>
      <c r="VWH249" s="5">
        <f t="shared" si="241"/>
        <v>0</v>
      </c>
      <c r="VWI249" s="5">
        <f t="shared" si="241"/>
        <v>0</v>
      </c>
      <c r="VWJ249" s="5">
        <f t="shared" si="241"/>
        <v>0</v>
      </c>
      <c r="VWK249" s="5">
        <f t="shared" si="241"/>
        <v>0</v>
      </c>
      <c r="VWL249" s="5">
        <f t="shared" si="241"/>
        <v>0</v>
      </c>
      <c r="VWM249" s="5">
        <f t="shared" si="241"/>
        <v>0</v>
      </c>
      <c r="VWN249" s="5">
        <f t="shared" si="241"/>
        <v>0</v>
      </c>
      <c r="VWO249" s="5">
        <f t="shared" si="241"/>
        <v>0</v>
      </c>
      <c r="VWP249" s="5">
        <f t="shared" si="241"/>
        <v>0</v>
      </c>
      <c r="VWQ249" s="5">
        <f t="shared" si="241"/>
        <v>0</v>
      </c>
      <c r="VWR249" s="5">
        <f t="shared" si="241"/>
        <v>0</v>
      </c>
      <c r="VWS249" s="5">
        <f t="shared" si="241"/>
        <v>0</v>
      </c>
      <c r="VWT249" s="5">
        <f t="shared" si="241"/>
        <v>0</v>
      </c>
      <c r="VWU249" s="5">
        <f t="shared" si="241"/>
        <v>0</v>
      </c>
      <c r="VWV249" s="5">
        <f t="shared" si="241"/>
        <v>0</v>
      </c>
      <c r="VWW249" s="5">
        <f t="shared" si="241"/>
        <v>0</v>
      </c>
      <c r="VWX249" s="5">
        <f t="shared" si="241"/>
        <v>0</v>
      </c>
      <c r="VWY249" s="5">
        <f t="shared" si="241"/>
        <v>0</v>
      </c>
      <c r="VWZ249" s="5">
        <f t="shared" si="241"/>
        <v>0</v>
      </c>
      <c r="VXA249" s="5">
        <f t="shared" si="241"/>
        <v>0</v>
      </c>
      <c r="VXB249" s="5">
        <f t="shared" si="241"/>
        <v>0</v>
      </c>
      <c r="VXC249" s="5">
        <f t="shared" si="241"/>
        <v>0</v>
      </c>
      <c r="VXD249" s="5">
        <f t="shared" si="241"/>
        <v>0</v>
      </c>
      <c r="VXE249" s="5">
        <f t="shared" si="241"/>
        <v>0</v>
      </c>
      <c r="VXF249" s="5">
        <f t="shared" si="241"/>
        <v>0</v>
      </c>
      <c r="VXG249" s="5">
        <f t="shared" si="241"/>
        <v>0</v>
      </c>
      <c r="VXH249" s="5">
        <f t="shared" si="241"/>
        <v>0</v>
      </c>
      <c r="VXI249" s="5">
        <f t="shared" si="241"/>
        <v>0</v>
      </c>
      <c r="VXJ249" s="5">
        <f t="shared" ref="VXJ249:VZU249" si="242">SUM(VXJ246:VXJ246)</f>
        <v>0</v>
      </c>
      <c r="VXK249" s="5">
        <f t="shared" si="242"/>
        <v>0</v>
      </c>
      <c r="VXL249" s="5">
        <f t="shared" si="242"/>
        <v>0</v>
      </c>
      <c r="VXM249" s="5">
        <f t="shared" si="242"/>
        <v>0</v>
      </c>
      <c r="VXN249" s="5">
        <f t="shared" si="242"/>
        <v>0</v>
      </c>
      <c r="VXO249" s="5">
        <f t="shared" si="242"/>
        <v>0</v>
      </c>
      <c r="VXP249" s="5">
        <f t="shared" si="242"/>
        <v>0</v>
      </c>
      <c r="VXQ249" s="5">
        <f t="shared" si="242"/>
        <v>0</v>
      </c>
      <c r="VXR249" s="5">
        <f t="shared" si="242"/>
        <v>0</v>
      </c>
      <c r="VXS249" s="5">
        <f t="shared" si="242"/>
        <v>0</v>
      </c>
      <c r="VXT249" s="5">
        <f t="shared" si="242"/>
        <v>0</v>
      </c>
      <c r="VXU249" s="5">
        <f t="shared" si="242"/>
        <v>0</v>
      </c>
      <c r="VXV249" s="5">
        <f t="shared" si="242"/>
        <v>0</v>
      </c>
      <c r="VXW249" s="5">
        <f t="shared" si="242"/>
        <v>0</v>
      </c>
      <c r="VXX249" s="5">
        <f t="shared" si="242"/>
        <v>0</v>
      </c>
      <c r="VXY249" s="5">
        <f t="shared" si="242"/>
        <v>0</v>
      </c>
      <c r="VXZ249" s="5">
        <f t="shared" si="242"/>
        <v>0</v>
      </c>
      <c r="VYA249" s="5">
        <f t="shared" si="242"/>
        <v>0</v>
      </c>
      <c r="VYB249" s="5">
        <f t="shared" si="242"/>
        <v>0</v>
      </c>
      <c r="VYC249" s="5">
        <f t="shared" si="242"/>
        <v>0</v>
      </c>
      <c r="VYD249" s="5">
        <f t="shared" si="242"/>
        <v>0</v>
      </c>
      <c r="VYE249" s="5">
        <f t="shared" si="242"/>
        <v>0</v>
      </c>
      <c r="VYF249" s="5">
        <f t="shared" si="242"/>
        <v>0</v>
      </c>
      <c r="VYG249" s="5">
        <f t="shared" si="242"/>
        <v>0</v>
      </c>
      <c r="VYH249" s="5">
        <f t="shared" si="242"/>
        <v>0</v>
      </c>
      <c r="VYI249" s="5">
        <f t="shared" si="242"/>
        <v>0</v>
      </c>
      <c r="VYJ249" s="5">
        <f t="shared" si="242"/>
        <v>0</v>
      </c>
      <c r="VYK249" s="5">
        <f t="shared" si="242"/>
        <v>0</v>
      </c>
      <c r="VYL249" s="5">
        <f t="shared" si="242"/>
        <v>0</v>
      </c>
      <c r="VYM249" s="5">
        <f t="shared" si="242"/>
        <v>0</v>
      </c>
      <c r="VYN249" s="5">
        <f t="shared" si="242"/>
        <v>0</v>
      </c>
      <c r="VYO249" s="5">
        <f t="shared" si="242"/>
        <v>0</v>
      </c>
      <c r="VYP249" s="5">
        <f t="shared" si="242"/>
        <v>0</v>
      </c>
      <c r="VYQ249" s="5">
        <f t="shared" si="242"/>
        <v>0</v>
      </c>
      <c r="VYR249" s="5">
        <f t="shared" si="242"/>
        <v>0</v>
      </c>
      <c r="VYS249" s="5">
        <f t="shared" si="242"/>
        <v>0</v>
      </c>
      <c r="VYT249" s="5">
        <f t="shared" si="242"/>
        <v>0</v>
      </c>
      <c r="VYU249" s="5">
        <f t="shared" si="242"/>
        <v>0</v>
      </c>
      <c r="VYV249" s="5">
        <f t="shared" si="242"/>
        <v>0</v>
      </c>
      <c r="VYW249" s="5">
        <f t="shared" si="242"/>
        <v>0</v>
      </c>
      <c r="VYX249" s="5">
        <f t="shared" si="242"/>
        <v>0</v>
      </c>
      <c r="VYY249" s="5">
        <f t="shared" si="242"/>
        <v>0</v>
      </c>
      <c r="VYZ249" s="5">
        <f t="shared" si="242"/>
        <v>0</v>
      </c>
      <c r="VZA249" s="5">
        <f t="shared" si="242"/>
        <v>0</v>
      </c>
      <c r="VZB249" s="5">
        <f t="shared" si="242"/>
        <v>0</v>
      </c>
      <c r="VZC249" s="5">
        <f t="shared" si="242"/>
        <v>0</v>
      </c>
      <c r="VZD249" s="5">
        <f t="shared" si="242"/>
        <v>0</v>
      </c>
      <c r="VZE249" s="5">
        <f t="shared" si="242"/>
        <v>0</v>
      </c>
      <c r="VZF249" s="5">
        <f t="shared" si="242"/>
        <v>0</v>
      </c>
      <c r="VZG249" s="5">
        <f t="shared" si="242"/>
        <v>0</v>
      </c>
      <c r="VZH249" s="5">
        <f t="shared" si="242"/>
        <v>0</v>
      </c>
      <c r="VZI249" s="5">
        <f t="shared" si="242"/>
        <v>0</v>
      </c>
      <c r="VZJ249" s="5">
        <f t="shared" si="242"/>
        <v>0</v>
      </c>
      <c r="VZK249" s="5">
        <f t="shared" si="242"/>
        <v>0</v>
      </c>
      <c r="VZL249" s="5">
        <f t="shared" si="242"/>
        <v>0</v>
      </c>
      <c r="VZM249" s="5">
        <f t="shared" si="242"/>
        <v>0</v>
      </c>
      <c r="VZN249" s="5">
        <f t="shared" si="242"/>
        <v>0</v>
      </c>
      <c r="VZO249" s="5">
        <f t="shared" si="242"/>
        <v>0</v>
      </c>
      <c r="VZP249" s="5">
        <f t="shared" si="242"/>
        <v>0</v>
      </c>
      <c r="VZQ249" s="5">
        <f t="shared" si="242"/>
        <v>0</v>
      </c>
      <c r="VZR249" s="5">
        <f t="shared" si="242"/>
        <v>0</v>
      </c>
      <c r="VZS249" s="5">
        <f t="shared" si="242"/>
        <v>0</v>
      </c>
      <c r="VZT249" s="5">
        <f t="shared" si="242"/>
        <v>0</v>
      </c>
      <c r="VZU249" s="5">
        <f t="shared" si="242"/>
        <v>0</v>
      </c>
      <c r="VZV249" s="5">
        <f t="shared" ref="VZV249:WCG249" si="243">SUM(VZV246:VZV246)</f>
        <v>0</v>
      </c>
      <c r="VZW249" s="5">
        <f t="shared" si="243"/>
        <v>0</v>
      </c>
      <c r="VZX249" s="5">
        <f t="shared" si="243"/>
        <v>0</v>
      </c>
      <c r="VZY249" s="5">
        <f t="shared" si="243"/>
        <v>0</v>
      </c>
      <c r="VZZ249" s="5">
        <f t="shared" si="243"/>
        <v>0</v>
      </c>
      <c r="WAA249" s="5">
        <f t="shared" si="243"/>
        <v>0</v>
      </c>
      <c r="WAB249" s="5">
        <f t="shared" si="243"/>
        <v>0</v>
      </c>
      <c r="WAC249" s="5">
        <f t="shared" si="243"/>
        <v>0</v>
      </c>
      <c r="WAD249" s="5">
        <f t="shared" si="243"/>
        <v>0</v>
      </c>
      <c r="WAE249" s="5">
        <f t="shared" si="243"/>
        <v>0</v>
      </c>
      <c r="WAF249" s="5">
        <f t="shared" si="243"/>
        <v>0</v>
      </c>
      <c r="WAG249" s="5">
        <f t="shared" si="243"/>
        <v>0</v>
      </c>
      <c r="WAH249" s="5">
        <f t="shared" si="243"/>
        <v>0</v>
      </c>
      <c r="WAI249" s="5">
        <f t="shared" si="243"/>
        <v>0</v>
      </c>
      <c r="WAJ249" s="5">
        <f t="shared" si="243"/>
        <v>0</v>
      </c>
      <c r="WAK249" s="5">
        <f t="shared" si="243"/>
        <v>0</v>
      </c>
      <c r="WAL249" s="5">
        <f t="shared" si="243"/>
        <v>0</v>
      </c>
      <c r="WAM249" s="5">
        <f t="shared" si="243"/>
        <v>0</v>
      </c>
      <c r="WAN249" s="5">
        <f t="shared" si="243"/>
        <v>0</v>
      </c>
      <c r="WAO249" s="5">
        <f t="shared" si="243"/>
        <v>0</v>
      </c>
      <c r="WAP249" s="5">
        <f t="shared" si="243"/>
        <v>0</v>
      </c>
      <c r="WAQ249" s="5">
        <f t="shared" si="243"/>
        <v>0</v>
      </c>
      <c r="WAR249" s="5">
        <f t="shared" si="243"/>
        <v>0</v>
      </c>
      <c r="WAS249" s="5">
        <f t="shared" si="243"/>
        <v>0</v>
      </c>
      <c r="WAT249" s="5">
        <f t="shared" si="243"/>
        <v>0</v>
      </c>
      <c r="WAU249" s="5">
        <f t="shared" si="243"/>
        <v>0</v>
      </c>
      <c r="WAV249" s="5">
        <f t="shared" si="243"/>
        <v>0</v>
      </c>
      <c r="WAW249" s="5">
        <f t="shared" si="243"/>
        <v>0</v>
      </c>
      <c r="WAX249" s="5">
        <f t="shared" si="243"/>
        <v>0</v>
      </c>
      <c r="WAY249" s="5">
        <f t="shared" si="243"/>
        <v>0</v>
      </c>
      <c r="WAZ249" s="5">
        <f t="shared" si="243"/>
        <v>0</v>
      </c>
      <c r="WBA249" s="5">
        <f t="shared" si="243"/>
        <v>0</v>
      </c>
      <c r="WBB249" s="5">
        <f t="shared" si="243"/>
        <v>0</v>
      </c>
      <c r="WBC249" s="5">
        <f t="shared" si="243"/>
        <v>0</v>
      </c>
      <c r="WBD249" s="5">
        <f t="shared" si="243"/>
        <v>0</v>
      </c>
      <c r="WBE249" s="5">
        <f t="shared" si="243"/>
        <v>0</v>
      </c>
      <c r="WBF249" s="5">
        <f t="shared" si="243"/>
        <v>0</v>
      </c>
      <c r="WBG249" s="5">
        <f t="shared" si="243"/>
        <v>0</v>
      </c>
      <c r="WBH249" s="5">
        <f t="shared" si="243"/>
        <v>0</v>
      </c>
      <c r="WBI249" s="5">
        <f t="shared" si="243"/>
        <v>0</v>
      </c>
      <c r="WBJ249" s="5">
        <f t="shared" si="243"/>
        <v>0</v>
      </c>
      <c r="WBK249" s="5">
        <f t="shared" si="243"/>
        <v>0</v>
      </c>
      <c r="WBL249" s="5">
        <f t="shared" si="243"/>
        <v>0</v>
      </c>
      <c r="WBM249" s="5">
        <f t="shared" si="243"/>
        <v>0</v>
      </c>
      <c r="WBN249" s="5">
        <f t="shared" si="243"/>
        <v>0</v>
      </c>
      <c r="WBO249" s="5">
        <f t="shared" si="243"/>
        <v>0</v>
      </c>
      <c r="WBP249" s="5">
        <f t="shared" si="243"/>
        <v>0</v>
      </c>
      <c r="WBQ249" s="5">
        <f t="shared" si="243"/>
        <v>0</v>
      </c>
      <c r="WBR249" s="5">
        <f t="shared" si="243"/>
        <v>0</v>
      </c>
      <c r="WBS249" s="5">
        <f t="shared" si="243"/>
        <v>0</v>
      </c>
      <c r="WBT249" s="5">
        <f t="shared" si="243"/>
        <v>0</v>
      </c>
      <c r="WBU249" s="5">
        <f t="shared" si="243"/>
        <v>0</v>
      </c>
      <c r="WBV249" s="5">
        <f t="shared" si="243"/>
        <v>0</v>
      </c>
      <c r="WBW249" s="5">
        <f t="shared" si="243"/>
        <v>0</v>
      </c>
      <c r="WBX249" s="5">
        <f t="shared" si="243"/>
        <v>0</v>
      </c>
      <c r="WBY249" s="5">
        <f t="shared" si="243"/>
        <v>0</v>
      </c>
      <c r="WBZ249" s="5">
        <f t="shared" si="243"/>
        <v>0</v>
      </c>
      <c r="WCA249" s="5">
        <f t="shared" si="243"/>
        <v>0</v>
      </c>
      <c r="WCB249" s="5">
        <f t="shared" si="243"/>
        <v>0</v>
      </c>
      <c r="WCC249" s="5">
        <f t="shared" si="243"/>
        <v>0</v>
      </c>
      <c r="WCD249" s="5">
        <f t="shared" si="243"/>
        <v>0</v>
      </c>
      <c r="WCE249" s="5">
        <f t="shared" si="243"/>
        <v>0</v>
      </c>
      <c r="WCF249" s="5">
        <f t="shared" si="243"/>
        <v>0</v>
      </c>
      <c r="WCG249" s="5">
        <f t="shared" si="243"/>
        <v>0</v>
      </c>
      <c r="WCH249" s="5">
        <f t="shared" ref="WCH249:WES249" si="244">SUM(WCH246:WCH246)</f>
        <v>0</v>
      </c>
      <c r="WCI249" s="5">
        <f t="shared" si="244"/>
        <v>0</v>
      </c>
      <c r="WCJ249" s="5">
        <f t="shared" si="244"/>
        <v>0</v>
      </c>
      <c r="WCK249" s="5">
        <f t="shared" si="244"/>
        <v>0</v>
      </c>
      <c r="WCL249" s="5">
        <f t="shared" si="244"/>
        <v>0</v>
      </c>
      <c r="WCM249" s="5">
        <f t="shared" si="244"/>
        <v>0</v>
      </c>
      <c r="WCN249" s="5">
        <f t="shared" si="244"/>
        <v>0</v>
      </c>
      <c r="WCO249" s="5">
        <f t="shared" si="244"/>
        <v>0</v>
      </c>
      <c r="WCP249" s="5">
        <f t="shared" si="244"/>
        <v>0</v>
      </c>
      <c r="WCQ249" s="5">
        <f t="shared" si="244"/>
        <v>0</v>
      </c>
      <c r="WCR249" s="5">
        <f t="shared" si="244"/>
        <v>0</v>
      </c>
      <c r="WCS249" s="5">
        <f t="shared" si="244"/>
        <v>0</v>
      </c>
      <c r="WCT249" s="5">
        <f t="shared" si="244"/>
        <v>0</v>
      </c>
      <c r="WCU249" s="5">
        <f t="shared" si="244"/>
        <v>0</v>
      </c>
      <c r="WCV249" s="5">
        <f t="shared" si="244"/>
        <v>0</v>
      </c>
      <c r="WCW249" s="5">
        <f t="shared" si="244"/>
        <v>0</v>
      </c>
      <c r="WCX249" s="5">
        <f t="shared" si="244"/>
        <v>0</v>
      </c>
      <c r="WCY249" s="5">
        <f t="shared" si="244"/>
        <v>0</v>
      </c>
      <c r="WCZ249" s="5">
        <f t="shared" si="244"/>
        <v>0</v>
      </c>
      <c r="WDA249" s="5">
        <f t="shared" si="244"/>
        <v>0</v>
      </c>
      <c r="WDB249" s="5">
        <f t="shared" si="244"/>
        <v>0</v>
      </c>
      <c r="WDC249" s="5">
        <f t="shared" si="244"/>
        <v>0</v>
      </c>
      <c r="WDD249" s="5">
        <f t="shared" si="244"/>
        <v>0</v>
      </c>
      <c r="WDE249" s="5">
        <f t="shared" si="244"/>
        <v>0</v>
      </c>
      <c r="WDF249" s="5">
        <f t="shared" si="244"/>
        <v>0</v>
      </c>
      <c r="WDG249" s="5">
        <f t="shared" si="244"/>
        <v>0</v>
      </c>
      <c r="WDH249" s="5">
        <f t="shared" si="244"/>
        <v>0</v>
      </c>
      <c r="WDI249" s="5">
        <f t="shared" si="244"/>
        <v>0</v>
      </c>
      <c r="WDJ249" s="5">
        <f t="shared" si="244"/>
        <v>0</v>
      </c>
      <c r="WDK249" s="5">
        <f t="shared" si="244"/>
        <v>0</v>
      </c>
      <c r="WDL249" s="5">
        <f t="shared" si="244"/>
        <v>0</v>
      </c>
      <c r="WDM249" s="5">
        <f t="shared" si="244"/>
        <v>0</v>
      </c>
      <c r="WDN249" s="5">
        <f t="shared" si="244"/>
        <v>0</v>
      </c>
      <c r="WDO249" s="5">
        <f t="shared" si="244"/>
        <v>0</v>
      </c>
      <c r="WDP249" s="5">
        <f t="shared" si="244"/>
        <v>0</v>
      </c>
      <c r="WDQ249" s="5">
        <f t="shared" si="244"/>
        <v>0</v>
      </c>
      <c r="WDR249" s="5">
        <f t="shared" si="244"/>
        <v>0</v>
      </c>
      <c r="WDS249" s="5">
        <f t="shared" si="244"/>
        <v>0</v>
      </c>
      <c r="WDT249" s="5">
        <f t="shared" si="244"/>
        <v>0</v>
      </c>
      <c r="WDU249" s="5">
        <f t="shared" si="244"/>
        <v>0</v>
      </c>
      <c r="WDV249" s="5">
        <f t="shared" si="244"/>
        <v>0</v>
      </c>
      <c r="WDW249" s="5">
        <f t="shared" si="244"/>
        <v>0</v>
      </c>
      <c r="WDX249" s="5">
        <f t="shared" si="244"/>
        <v>0</v>
      </c>
      <c r="WDY249" s="5">
        <f t="shared" si="244"/>
        <v>0</v>
      </c>
      <c r="WDZ249" s="5">
        <f t="shared" si="244"/>
        <v>0</v>
      </c>
      <c r="WEA249" s="5">
        <f t="shared" si="244"/>
        <v>0</v>
      </c>
      <c r="WEB249" s="5">
        <f t="shared" si="244"/>
        <v>0</v>
      </c>
      <c r="WEC249" s="5">
        <f t="shared" si="244"/>
        <v>0</v>
      </c>
      <c r="WED249" s="5">
        <f t="shared" si="244"/>
        <v>0</v>
      </c>
      <c r="WEE249" s="5">
        <f t="shared" si="244"/>
        <v>0</v>
      </c>
      <c r="WEF249" s="5">
        <f t="shared" si="244"/>
        <v>0</v>
      </c>
      <c r="WEG249" s="5">
        <f t="shared" si="244"/>
        <v>0</v>
      </c>
      <c r="WEH249" s="5">
        <f t="shared" si="244"/>
        <v>0</v>
      </c>
      <c r="WEI249" s="5">
        <f t="shared" si="244"/>
        <v>0</v>
      </c>
      <c r="WEJ249" s="5">
        <f t="shared" si="244"/>
        <v>0</v>
      </c>
      <c r="WEK249" s="5">
        <f t="shared" si="244"/>
        <v>0</v>
      </c>
      <c r="WEL249" s="5">
        <f t="shared" si="244"/>
        <v>0</v>
      </c>
      <c r="WEM249" s="5">
        <f t="shared" si="244"/>
        <v>0</v>
      </c>
      <c r="WEN249" s="5">
        <f t="shared" si="244"/>
        <v>0</v>
      </c>
      <c r="WEO249" s="5">
        <f t="shared" si="244"/>
        <v>0</v>
      </c>
      <c r="WEP249" s="5">
        <f t="shared" si="244"/>
        <v>0</v>
      </c>
      <c r="WEQ249" s="5">
        <f t="shared" si="244"/>
        <v>0</v>
      </c>
      <c r="WER249" s="5">
        <f t="shared" si="244"/>
        <v>0</v>
      </c>
      <c r="WES249" s="5">
        <f t="shared" si="244"/>
        <v>0</v>
      </c>
      <c r="WET249" s="5">
        <f t="shared" ref="WET249:WHE249" si="245">SUM(WET246:WET246)</f>
        <v>0</v>
      </c>
      <c r="WEU249" s="5">
        <f t="shared" si="245"/>
        <v>0</v>
      </c>
      <c r="WEV249" s="5">
        <f t="shared" si="245"/>
        <v>0</v>
      </c>
      <c r="WEW249" s="5">
        <f t="shared" si="245"/>
        <v>0</v>
      </c>
      <c r="WEX249" s="5">
        <f t="shared" si="245"/>
        <v>0</v>
      </c>
      <c r="WEY249" s="5">
        <f t="shared" si="245"/>
        <v>0</v>
      </c>
      <c r="WEZ249" s="5">
        <f t="shared" si="245"/>
        <v>0</v>
      </c>
      <c r="WFA249" s="5">
        <f t="shared" si="245"/>
        <v>0</v>
      </c>
      <c r="WFB249" s="5">
        <f t="shared" si="245"/>
        <v>0</v>
      </c>
      <c r="WFC249" s="5">
        <f t="shared" si="245"/>
        <v>0</v>
      </c>
      <c r="WFD249" s="5">
        <f t="shared" si="245"/>
        <v>0</v>
      </c>
      <c r="WFE249" s="5">
        <f t="shared" si="245"/>
        <v>0</v>
      </c>
      <c r="WFF249" s="5">
        <f t="shared" si="245"/>
        <v>0</v>
      </c>
      <c r="WFG249" s="5">
        <f t="shared" si="245"/>
        <v>0</v>
      </c>
      <c r="WFH249" s="5">
        <f t="shared" si="245"/>
        <v>0</v>
      </c>
      <c r="WFI249" s="5">
        <f t="shared" si="245"/>
        <v>0</v>
      </c>
      <c r="WFJ249" s="5">
        <f t="shared" si="245"/>
        <v>0</v>
      </c>
      <c r="WFK249" s="5">
        <f t="shared" si="245"/>
        <v>0</v>
      </c>
      <c r="WFL249" s="5">
        <f t="shared" si="245"/>
        <v>0</v>
      </c>
      <c r="WFM249" s="5">
        <f t="shared" si="245"/>
        <v>0</v>
      </c>
      <c r="WFN249" s="5">
        <f t="shared" si="245"/>
        <v>0</v>
      </c>
      <c r="WFO249" s="5">
        <f t="shared" si="245"/>
        <v>0</v>
      </c>
      <c r="WFP249" s="5">
        <f t="shared" si="245"/>
        <v>0</v>
      </c>
      <c r="WFQ249" s="5">
        <f t="shared" si="245"/>
        <v>0</v>
      </c>
      <c r="WFR249" s="5">
        <f t="shared" si="245"/>
        <v>0</v>
      </c>
      <c r="WFS249" s="5">
        <f t="shared" si="245"/>
        <v>0</v>
      </c>
      <c r="WFT249" s="5">
        <f t="shared" si="245"/>
        <v>0</v>
      </c>
      <c r="WFU249" s="5">
        <f t="shared" si="245"/>
        <v>0</v>
      </c>
      <c r="WFV249" s="5">
        <f t="shared" si="245"/>
        <v>0</v>
      </c>
      <c r="WFW249" s="5">
        <f t="shared" si="245"/>
        <v>0</v>
      </c>
      <c r="WFX249" s="5">
        <f t="shared" si="245"/>
        <v>0</v>
      </c>
      <c r="WFY249" s="5">
        <f t="shared" si="245"/>
        <v>0</v>
      </c>
      <c r="WFZ249" s="5">
        <f t="shared" si="245"/>
        <v>0</v>
      </c>
      <c r="WGA249" s="5">
        <f t="shared" si="245"/>
        <v>0</v>
      </c>
      <c r="WGB249" s="5">
        <f t="shared" si="245"/>
        <v>0</v>
      </c>
      <c r="WGC249" s="5">
        <f t="shared" si="245"/>
        <v>0</v>
      </c>
      <c r="WGD249" s="5">
        <f t="shared" si="245"/>
        <v>0</v>
      </c>
      <c r="WGE249" s="5">
        <f t="shared" si="245"/>
        <v>0</v>
      </c>
      <c r="WGF249" s="5">
        <f t="shared" si="245"/>
        <v>0</v>
      </c>
      <c r="WGG249" s="5">
        <f t="shared" si="245"/>
        <v>0</v>
      </c>
      <c r="WGH249" s="5">
        <f t="shared" si="245"/>
        <v>0</v>
      </c>
      <c r="WGI249" s="5">
        <f t="shared" si="245"/>
        <v>0</v>
      </c>
      <c r="WGJ249" s="5">
        <f t="shared" si="245"/>
        <v>0</v>
      </c>
      <c r="WGK249" s="5">
        <f t="shared" si="245"/>
        <v>0</v>
      </c>
      <c r="WGL249" s="5">
        <f t="shared" si="245"/>
        <v>0</v>
      </c>
      <c r="WGM249" s="5">
        <f t="shared" si="245"/>
        <v>0</v>
      </c>
      <c r="WGN249" s="5">
        <f t="shared" si="245"/>
        <v>0</v>
      </c>
      <c r="WGO249" s="5">
        <f t="shared" si="245"/>
        <v>0</v>
      </c>
      <c r="WGP249" s="5">
        <f t="shared" si="245"/>
        <v>0</v>
      </c>
      <c r="WGQ249" s="5">
        <f t="shared" si="245"/>
        <v>0</v>
      </c>
      <c r="WGR249" s="5">
        <f t="shared" si="245"/>
        <v>0</v>
      </c>
      <c r="WGS249" s="5">
        <f t="shared" si="245"/>
        <v>0</v>
      </c>
      <c r="WGT249" s="5">
        <f t="shared" si="245"/>
        <v>0</v>
      </c>
      <c r="WGU249" s="5">
        <f t="shared" si="245"/>
        <v>0</v>
      </c>
      <c r="WGV249" s="5">
        <f t="shared" si="245"/>
        <v>0</v>
      </c>
      <c r="WGW249" s="5">
        <f t="shared" si="245"/>
        <v>0</v>
      </c>
      <c r="WGX249" s="5">
        <f t="shared" si="245"/>
        <v>0</v>
      </c>
      <c r="WGY249" s="5">
        <f t="shared" si="245"/>
        <v>0</v>
      </c>
      <c r="WGZ249" s="5">
        <f t="shared" si="245"/>
        <v>0</v>
      </c>
      <c r="WHA249" s="5">
        <f t="shared" si="245"/>
        <v>0</v>
      </c>
      <c r="WHB249" s="5">
        <f t="shared" si="245"/>
        <v>0</v>
      </c>
      <c r="WHC249" s="5">
        <f t="shared" si="245"/>
        <v>0</v>
      </c>
      <c r="WHD249" s="5">
        <f t="shared" si="245"/>
        <v>0</v>
      </c>
      <c r="WHE249" s="5">
        <f t="shared" si="245"/>
        <v>0</v>
      </c>
      <c r="WHF249" s="5">
        <f t="shared" ref="WHF249:WJQ249" si="246">SUM(WHF246:WHF246)</f>
        <v>0</v>
      </c>
      <c r="WHG249" s="5">
        <f t="shared" si="246"/>
        <v>0</v>
      </c>
      <c r="WHH249" s="5">
        <f t="shared" si="246"/>
        <v>0</v>
      </c>
      <c r="WHI249" s="5">
        <f t="shared" si="246"/>
        <v>0</v>
      </c>
      <c r="WHJ249" s="5">
        <f t="shared" si="246"/>
        <v>0</v>
      </c>
      <c r="WHK249" s="5">
        <f t="shared" si="246"/>
        <v>0</v>
      </c>
      <c r="WHL249" s="5">
        <f t="shared" si="246"/>
        <v>0</v>
      </c>
      <c r="WHM249" s="5">
        <f t="shared" si="246"/>
        <v>0</v>
      </c>
      <c r="WHN249" s="5">
        <f t="shared" si="246"/>
        <v>0</v>
      </c>
      <c r="WHO249" s="5">
        <f t="shared" si="246"/>
        <v>0</v>
      </c>
      <c r="WHP249" s="5">
        <f t="shared" si="246"/>
        <v>0</v>
      </c>
      <c r="WHQ249" s="5">
        <f t="shared" si="246"/>
        <v>0</v>
      </c>
      <c r="WHR249" s="5">
        <f t="shared" si="246"/>
        <v>0</v>
      </c>
      <c r="WHS249" s="5">
        <f t="shared" si="246"/>
        <v>0</v>
      </c>
      <c r="WHT249" s="5">
        <f t="shared" si="246"/>
        <v>0</v>
      </c>
      <c r="WHU249" s="5">
        <f t="shared" si="246"/>
        <v>0</v>
      </c>
      <c r="WHV249" s="5">
        <f t="shared" si="246"/>
        <v>0</v>
      </c>
      <c r="WHW249" s="5">
        <f t="shared" si="246"/>
        <v>0</v>
      </c>
      <c r="WHX249" s="5">
        <f t="shared" si="246"/>
        <v>0</v>
      </c>
      <c r="WHY249" s="5">
        <f t="shared" si="246"/>
        <v>0</v>
      </c>
      <c r="WHZ249" s="5">
        <f t="shared" si="246"/>
        <v>0</v>
      </c>
      <c r="WIA249" s="5">
        <f t="shared" si="246"/>
        <v>0</v>
      </c>
      <c r="WIB249" s="5">
        <f t="shared" si="246"/>
        <v>0</v>
      </c>
      <c r="WIC249" s="5">
        <f t="shared" si="246"/>
        <v>0</v>
      </c>
      <c r="WID249" s="5">
        <f t="shared" si="246"/>
        <v>0</v>
      </c>
      <c r="WIE249" s="5">
        <f t="shared" si="246"/>
        <v>0</v>
      </c>
      <c r="WIF249" s="5">
        <f t="shared" si="246"/>
        <v>0</v>
      </c>
      <c r="WIG249" s="5">
        <f t="shared" si="246"/>
        <v>0</v>
      </c>
      <c r="WIH249" s="5">
        <f t="shared" si="246"/>
        <v>0</v>
      </c>
      <c r="WII249" s="5">
        <f t="shared" si="246"/>
        <v>0</v>
      </c>
      <c r="WIJ249" s="5">
        <f t="shared" si="246"/>
        <v>0</v>
      </c>
      <c r="WIK249" s="5">
        <f t="shared" si="246"/>
        <v>0</v>
      </c>
      <c r="WIL249" s="5">
        <f t="shared" si="246"/>
        <v>0</v>
      </c>
      <c r="WIM249" s="5">
        <f t="shared" si="246"/>
        <v>0</v>
      </c>
      <c r="WIN249" s="5">
        <f t="shared" si="246"/>
        <v>0</v>
      </c>
      <c r="WIO249" s="5">
        <f t="shared" si="246"/>
        <v>0</v>
      </c>
      <c r="WIP249" s="5">
        <f t="shared" si="246"/>
        <v>0</v>
      </c>
      <c r="WIQ249" s="5">
        <f t="shared" si="246"/>
        <v>0</v>
      </c>
      <c r="WIR249" s="5">
        <f t="shared" si="246"/>
        <v>0</v>
      </c>
      <c r="WIS249" s="5">
        <f t="shared" si="246"/>
        <v>0</v>
      </c>
      <c r="WIT249" s="5">
        <f t="shared" si="246"/>
        <v>0</v>
      </c>
      <c r="WIU249" s="5">
        <f t="shared" si="246"/>
        <v>0</v>
      </c>
      <c r="WIV249" s="5">
        <f t="shared" si="246"/>
        <v>0</v>
      </c>
      <c r="WIW249" s="5">
        <f t="shared" si="246"/>
        <v>0</v>
      </c>
      <c r="WIX249" s="5">
        <f t="shared" si="246"/>
        <v>0</v>
      </c>
      <c r="WIY249" s="5">
        <f t="shared" si="246"/>
        <v>0</v>
      </c>
      <c r="WIZ249" s="5">
        <f t="shared" si="246"/>
        <v>0</v>
      </c>
      <c r="WJA249" s="5">
        <f t="shared" si="246"/>
        <v>0</v>
      </c>
      <c r="WJB249" s="5">
        <f t="shared" si="246"/>
        <v>0</v>
      </c>
      <c r="WJC249" s="5">
        <f t="shared" si="246"/>
        <v>0</v>
      </c>
      <c r="WJD249" s="5">
        <f t="shared" si="246"/>
        <v>0</v>
      </c>
      <c r="WJE249" s="5">
        <f t="shared" si="246"/>
        <v>0</v>
      </c>
      <c r="WJF249" s="5">
        <f t="shared" si="246"/>
        <v>0</v>
      </c>
      <c r="WJG249" s="5">
        <f t="shared" si="246"/>
        <v>0</v>
      </c>
      <c r="WJH249" s="5">
        <f t="shared" si="246"/>
        <v>0</v>
      </c>
      <c r="WJI249" s="5">
        <f t="shared" si="246"/>
        <v>0</v>
      </c>
      <c r="WJJ249" s="5">
        <f t="shared" si="246"/>
        <v>0</v>
      </c>
      <c r="WJK249" s="5">
        <f t="shared" si="246"/>
        <v>0</v>
      </c>
      <c r="WJL249" s="5">
        <f t="shared" si="246"/>
        <v>0</v>
      </c>
      <c r="WJM249" s="5">
        <f t="shared" si="246"/>
        <v>0</v>
      </c>
      <c r="WJN249" s="5">
        <f t="shared" si="246"/>
        <v>0</v>
      </c>
      <c r="WJO249" s="5">
        <f t="shared" si="246"/>
        <v>0</v>
      </c>
      <c r="WJP249" s="5">
        <f t="shared" si="246"/>
        <v>0</v>
      </c>
      <c r="WJQ249" s="5">
        <f t="shared" si="246"/>
        <v>0</v>
      </c>
      <c r="WJR249" s="5">
        <f t="shared" ref="WJR249:WMC249" si="247">SUM(WJR246:WJR246)</f>
        <v>0</v>
      </c>
      <c r="WJS249" s="5">
        <f t="shared" si="247"/>
        <v>0</v>
      </c>
      <c r="WJT249" s="5">
        <f t="shared" si="247"/>
        <v>0</v>
      </c>
      <c r="WJU249" s="5">
        <f t="shared" si="247"/>
        <v>0</v>
      </c>
      <c r="WJV249" s="5">
        <f t="shared" si="247"/>
        <v>0</v>
      </c>
      <c r="WJW249" s="5">
        <f t="shared" si="247"/>
        <v>0</v>
      </c>
      <c r="WJX249" s="5">
        <f t="shared" si="247"/>
        <v>0</v>
      </c>
      <c r="WJY249" s="5">
        <f t="shared" si="247"/>
        <v>0</v>
      </c>
      <c r="WJZ249" s="5">
        <f t="shared" si="247"/>
        <v>0</v>
      </c>
      <c r="WKA249" s="5">
        <f t="shared" si="247"/>
        <v>0</v>
      </c>
      <c r="WKB249" s="5">
        <f t="shared" si="247"/>
        <v>0</v>
      </c>
      <c r="WKC249" s="5">
        <f t="shared" si="247"/>
        <v>0</v>
      </c>
      <c r="WKD249" s="5">
        <f t="shared" si="247"/>
        <v>0</v>
      </c>
      <c r="WKE249" s="5">
        <f t="shared" si="247"/>
        <v>0</v>
      </c>
      <c r="WKF249" s="5">
        <f t="shared" si="247"/>
        <v>0</v>
      </c>
      <c r="WKG249" s="5">
        <f t="shared" si="247"/>
        <v>0</v>
      </c>
      <c r="WKH249" s="5">
        <f t="shared" si="247"/>
        <v>0</v>
      </c>
      <c r="WKI249" s="5">
        <f t="shared" si="247"/>
        <v>0</v>
      </c>
      <c r="WKJ249" s="5">
        <f t="shared" si="247"/>
        <v>0</v>
      </c>
      <c r="WKK249" s="5">
        <f t="shared" si="247"/>
        <v>0</v>
      </c>
      <c r="WKL249" s="5">
        <f t="shared" si="247"/>
        <v>0</v>
      </c>
      <c r="WKM249" s="5">
        <f t="shared" si="247"/>
        <v>0</v>
      </c>
      <c r="WKN249" s="5">
        <f t="shared" si="247"/>
        <v>0</v>
      </c>
      <c r="WKO249" s="5">
        <f t="shared" si="247"/>
        <v>0</v>
      </c>
      <c r="WKP249" s="5">
        <f t="shared" si="247"/>
        <v>0</v>
      </c>
      <c r="WKQ249" s="5">
        <f t="shared" si="247"/>
        <v>0</v>
      </c>
      <c r="WKR249" s="5">
        <f t="shared" si="247"/>
        <v>0</v>
      </c>
      <c r="WKS249" s="5">
        <f t="shared" si="247"/>
        <v>0</v>
      </c>
      <c r="WKT249" s="5">
        <f t="shared" si="247"/>
        <v>0</v>
      </c>
      <c r="WKU249" s="5">
        <f t="shared" si="247"/>
        <v>0</v>
      </c>
      <c r="WKV249" s="5">
        <f t="shared" si="247"/>
        <v>0</v>
      </c>
      <c r="WKW249" s="5">
        <f t="shared" si="247"/>
        <v>0</v>
      </c>
      <c r="WKX249" s="5">
        <f t="shared" si="247"/>
        <v>0</v>
      </c>
      <c r="WKY249" s="5">
        <f t="shared" si="247"/>
        <v>0</v>
      </c>
      <c r="WKZ249" s="5">
        <f t="shared" si="247"/>
        <v>0</v>
      </c>
      <c r="WLA249" s="5">
        <f t="shared" si="247"/>
        <v>0</v>
      </c>
      <c r="WLB249" s="5">
        <f t="shared" si="247"/>
        <v>0</v>
      </c>
      <c r="WLC249" s="5">
        <f t="shared" si="247"/>
        <v>0</v>
      </c>
      <c r="WLD249" s="5">
        <f t="shared" si="247"/>
        <v>0</v>
      </c>
      <c r="WLE249" s="5">
        <f t="shared" si="247"/>
        <v>0</v>
      </c>
      <c r="WLF249" s="5">
        <f t="shared" si="247"/>
        <v>0</v>
      </c>
      <c r="WLG249" s="5">
        <f t="shared" si="247"/>
        <v>0</v>
      </c>
      <c r="WLH249" s="5">
        <f t="shared" si="247"/>
        <v>0</v>
      </c>
      <c r="WLI249" s="5">
        <f t="shared" si="247"/>
        <v>0</v>
      </c>
      <c r="WLJ249" s="5">
        <f t="shared" si="247"/>
        <v>0</v>
      </c>
      <c r="WLK249" s="5">
        <f t="shared" si="247"/>
        <v>0</v>
      </c>
      <c r="WLL249" s="5">
        <f t="shared" si="247"/>
        <v>0</v>
      </c>
      <c r="WLM249" s="5">
        <f t="shared" si="247"/>
        <v>0</v>
      </c>
      <c r="WLN249" s="5">
        <f t="shared" si="247"/>
        <v>0</v>
      </c>
      <c r="WLO249" s="5">
        <f t="shared" si="247"/>
        <v>0</v>
      </c>
      <c r="WLP249" s="5">
        <f t="shared" si="247"/>
        <v>0</v>
      </c>
      <c r="WLQ249" s="5">
        <f t="shared" si="247"/>
        <v>0</v>
      </c>
      <c r="WLR249" s="5">
        <f t="shared" si="247"/>
        <v>0</v>
      </c>
      <c r="WLS249" s="5">
        <f t="shared" si="247"/>
        <v>0</v>
      </c>
      <c r="WLT249" s="5">
        <f t="shared" si="247"/>
        <v>0</v>
      </c>
      <c r="WLU249" s="5">
        <f t="shared" si="247"/>
        <v>0</v>
      </c>
      <c r="WLV249" s="5">
        <f t="shared" si="247"/>
        <v>0</v>
      </c>
      <c r="WLW249" s="5">
        <f t="shared" si="247"/>
        <v>0</v>
      </c>
      <c r="WLX249" s="5">
        <f t="shared" si="247"/>
        <v>0</v>
      </c>
      <c r="WLY249" s="5">
        <f t="shared" si="247"/>
        <v>0</v>
      </c>
      <c r="WLZ249" s="5">
        <f t="shared" si="247"/>
        <v>0</v>
      </c>
      <c r="WMA249" s="5">
        <f t="shared" si="247"/>
        <v>0</v>
      </c>
      <c r="WMB249" s="5">
        <f t="shared" si="247"/>
        <v>0</v>
      </c>
      <c r="WMC249" s="5">
        <f t="shared" si="247"/>
        <v>0</v>
      </c>
      <c r="WMD249" s="5">
        <f t="shared" ref="WMD249:WOO249" si="248">SUM(WMD246:WMD246)</f>
        <v>0</v>
      </c>
      <c r="WME249" s="5">
        <f t="shared" si="248"/>
        <v>0</v>
      </c>
      <c r="WMF249" s="5">
        <f t="shared" si="248"/>
        <v>0</v>
      </c>
      <c r="WMG249" s="5">
        <f t="shared" si="248"/>
        <v>0</v>
      </c>
      <c r="WMH249" s="5">
        <f t="shared" si="248"/>
        <v>0</v>
      </c>
      <c r="WMI249" s="5">
        <f t="shared" si="248"/>
        <v>0</v>
      </c>
      <c r="WMJ249" s="5">
        <f t="shared" si="248"/>
        <v>0</v>
      </c>
      <c r="WMK249" s="5">
        <f t="shared" si="248"/>
        <v>0</v>
      </c>
      <c r="WML249" s="5">
        <f t="shared" si="248"/>
        <v>0</v>
      </c>
      <c r="WMM249" s="5">
        <f t="shared" si="248"/>
        <v>0</v>
      </c>
      <c r="WMN249" s="5">
        <f t="shared" si="248"/>
        <v>0</v>
      </c>
      <c r="WMO249" s="5">
        <f t="shared" si="248"/>
        <v>0</v>
      </c>
      <c r="WMP249" s="5">
        <f t="shared" si="248"/>
        <v>0</v>
      </c>
      <c r="WMQ249" s="5">
        <f t="shared" si="248"/>
        <v>0</v>
      </c>
      <c r="WMR249" s="5">
        <f t="shared" si="248"/>
        <v>0</v>
      </c>
      <c r="WMS249" s="5">
        <f t="shared" si="248"/>
        <v>0</v>
      </c>
      <c r="WMT249" s="5">
        <f t="shared" si="248"/>
        <v>0</v>
      </c>
      <c r="WMU249" s="5">
        <f t="shared" si="248"/>
        <v>0</v>
      </c>
      <c r="WMV249" s="5">
        <f t="shared" si="248"/>
        <v>0</v>
      </c>
      <c r="WMW249" s="5">
        <f t="shared" si="248"/>
        <v>0</v>
      </c>
      <c r="WMX249" s="5">
        <f t="shared" si="248"/>
        <v>0</v>
      </c>
      <c r="WMY249" s="5">
        <f t="shared" si="248"/>
        <v>0</v>
      </c>
      <c r="WMZ249" s="5">
        <f t="shared" si="248"/>
        <v>0</v>
      </c>
      <c r="WNA249" s="5">
        <f t="shared" si="248"/>
        <v>0</v>
      </c>
      <c r="WNB249" s="5">
        <f t="shared" si="248"/>
        <v>0</v>
      </c>
      <c r="WNC249" s="5">
        <f t="shared" si="248"/>
        <v>0</v>
      </c>
      <c r="WND249" s="5">
        <f t="shared" si="248"/>
        <v>0</v>
      </c>
      <c r="WNE249" s="5">
        <f t="shared" si="248"/>
        <v>0</v>
      </c>
      <c r="WNF249" s="5">
        <f t="shared" si="248"/>
        <v>0</v>
      </c>
      <c r="WNG249" s="5">
        <f t="shared" si="248"/>
        <v>0</v>
      </c>
      <c r="WNH249" s="5">
        <f t="shared" si="248"/>
        <v>0</v>
      </c>
      <c r="WNI249" s="5">
        <f t="shared" si="248"/>
        <v>0</v>
      </c>
      <c r="WNJ249" s="5">
        <f t="shared" si="248"/>
        <v>0</v>
      </c>
      <c r="WNK249" s="5">
        <f t="shared" si="248"/>
        <v>0</v>
      </c>
      <c r="WNL249" s="5">
        <f t="shared" si="248"/>
        <v>0</v>
      </c>
      <c r="WNM249" s="5">
        <f t="shared" si="248"/>
        <v>0</v>
      </c>
      <c r="WNN249" s="5">
        <f t="shared" si="248"/>
        <v>0</v>
      </c>
      <c r="WNO249" s="5">
        <f t="shared" si="248"/>
        <v>0</v>
      </c>
      <c r="WNP249" s="5">
        <f t="shared" si="248"/>
        <v>0</v>
      </c>
      <c r="WNQ249" s="5">
        <f t="shared" si="248"/>
        <v>0</v>
      </c>
      <c r="WNR249" s="5">
        <f t="shared" si="248"/>
        <v>0</v>
      </c>
      <c r="WNS249" s="5">
        <f t="shared" si="248"/>
        <v>0</v>
      </c>
      <c r="WNT249" s="5">
        <f t="shared" si="248"/>
        <v>0</v>
      </c>
      <c r="WNU249" s="5">
        <f t="shared" si="248"/>
        <v>0</v>
      </c>
      <c r="WNV249" s="5">
        <f t="shared" si="248"/>
        <v>0</v>
      </c>
      <c r="WNW249" s="5">
        <f t="shared" si="248"/>
        <v>0</v>
      </c>
      <c r="WNX249" s="5">
        <f t="shared" si="248"/>
        <v>0</v>
      </c>
      <c r="WNY249" s="5">
        <f t="shared" si="248"/>
        <v>0</v>
      </c>
      <c r="WNZ249" s="5">
        <f t="shared" si="248"/>
        <v>0</v>
      </c>
      <c r="WOA249" s="5">
        <f t="shared" si="248"/>
        <v>0</v>
      </c>
      <c r="WOB249" s="5">
        <f t="shared" si="248"/>
        <v>0</v>
      </c>
      <c r="WOC249" s="5">
        <f t="shared" si="248"/>
        <v>0</v>
      </c>
      <c r="WOD249" s="5">
        <f t="shared" si="248"/>
        <v>0</v>
      </c>
      <c r="WOE249" s="5">
        <f t="shared" si="248"/>
        <v>0</v>
      </c>
      <c r="WOF249" s="5">
        <f t="shared" si="248"/>
        <v>0</v>
      </c>
      <c r="WOG249" s="5">
        <f t="shared" si="248"/>
        <v>0</v>
      </c>
      <c r="WOH249" s="5">
        <f t="shared" si="248"/>
        <v>0</v>
      </c>
      <c r="WOI249" s="5">
        <f t="shared" si="248"/>
        <v>0</v>
      </c>
      <c r="WOJ249" s="5">
        <f t="shared" si="248"/>
        <v>0</v>
      </c>
      <c r="WOK249" s="5">
        <f t="shared" si="248"/>
        <v>0</v>
      </c>
      <c r="WOL249" s="5">
        <f t="shared" si="248"/>
        <v>0</v>
      </c>
      <c r="WOM249" s="5">
        <f t="shared" si="248"/>
        <v>0</v>
      </c>
      <c r="WON249" s="5">
        <f t="shared" si="248"/>
        <v>0</v>
      </c>
      <c r="WOO249" s="5">
        <f t="shared" si="248"/>
        <v>0</v>
      </c>
      <c r="WOP249" s="5">
        <f t="shared" ref="WOP249:WRA249" si="249">SUM(WOP246:WOP246)</f>
        <v>0</v>
      </c>
      <c r="WOQ249" s="5">
        <f t="shared" si="249"/>
        <v>0</v>
      </c>
      <c r="WOR249" s="5">
        <f t="shared" si="249"/>
        <v>0</v>
      </c>
      <c r="WOS249" s="5">
        <f t="shared" si="249"/>
        <v>0</v>
      </c>
      <c r="WOT249" s="5">
        <f t="shared" si="249"/>
        <v>0</v>
      </c>
      <c r="WOU249" s="5">
        <f t="shared" si="249"/>
        <v>0</v>
      </c>
      <c r="WOV249" s="5">
        <f t="shared" si="249"/>
        <v>0</v>
      </c>
      <c r="WOW249" s="5">
        <f t="shared" si="249"/>
        <v>0</v>
      </c>
      <c r="WOX249" s="5">
        <f t="shared" si="249"/>
        <v>0</v>
      </c>
      <c r="WOY249" s="5">
        <f t="shared" si="249"/>
        <v>0</v>
      </c>
      <c r="WOZ249" s="5">
        <f t="shared" si="249"/>
        <v>0</v>
      </c>
      <c r="WPA249" s="5">
        <f t="shared" si="249"/>
        <v>0</v>
      </c>
      <c r="WPB249" s="5">
        <f t="shared" si="249"/>
        <v>0</v>
      </c>
      <c r="WPC249" s="5">
        <f t="shared" si="249"/>
        <v>0</v>
      </c>
      <c r="WPD249" s="5">
        <f t="shared" si="249"/>
        <v>0</v>
      </c>
      <c r="WPE249" s="5">
        <f t="shared" si="249"/>
        <v>0</v>
      </c>
      <c r="WPF249" s="5">
        <f t="shared" si="249"/>
        <v>0</v>
      </c>
      <c r="WPG249" s="5">
        <f t="shared" si="249"/>
        <v>0</v>
      </c>
      <c r="WPH249" s="5">
        <f t="shared" si="249"/>
        <v>0</v>
      </c>
      <c r="WPI249" s="5">
        <f t="shared" si="249"/>
        <v>0</v>
      </c>
      <c r="WPJ249" s="5">
        <f t="shared" si="249"/>
        <v>0</v>
      </c>
      <c r="WPK249" s="5">
        <f t="shared" si="249"/>
        <v>0</v>
      </c>
      <c r="WPL249" s="5">
        <f t="shared" si="249"/>
        <v>0</v>
      </c>
      <c r="WPM249" s="5">
        <f t="shared" si="249"/>
        <v>0</v>
      </c>
      <c r="WPN249" s="5">
        <f t="shared" si="249"/>
        <v>0</v>
      </c>
      <c r="WPO249" s="5">
        <f t="shared" si="249"/>
        <v>0</v>
      </c>
      <c r="WPP249" s="5">
        <f t="shared" si="249"/>
        <v>0</v>
      </c>
      <c r="WPQ249" s="5">
        <f t="shared" si="249"/>
        <v>0</v>
      </c>
      <c r="WPR249" s="5">
        <f t="shared" si="249"/>
        <v>0</v>
      </c>
      <c r="WPS249" s="5">
        <f t="shared" si="249"/>
        <v>0</v>
      </c>
      <c r="WPT249" s="5">
        <f t="shared" si="249"/>
        <v>0</v>
      </c>
      <c r="WPU249" s="5">
        <f t="shared" si="249"/>
        <v>0</v>
      </c>
      <c r="WPV249" s="5">
        <f t="shared" si="249"/>
        <v>0</v>
      </c>
      <c r="WPW249" s="5">
        <f t="shared" si="249"/>
        <v>0</v>
      </c>
      <c r="WPX249" s="5">
        <f t="shared" si="249"/>
        <v>0</v>
      </c>
      <c r="WPY249" s="5">
        <f t="shared" si="249"/>
        <v>0</v>
      </c>
      <c r="WPZ249" s="5">
        <f t="shared" si="249"/>
        <v>0</v>
      </c>
      <c r="WQA249" s="5">
        <f t="shared" si="249"/>
        <v>0</v>
      </c>
      <c r="WQB249" s="5">
        <f t="shared" si="249"/>
        <v>0</v>
      </c>
      <c r="WQC249" s="5">
        <f t="shared" si="249"/>
        <v>0</v>
      </c>
      <c r="WQD249" s="5">
        <f t="shared" si="249"/>
        <v>0</v>
      </c>
      <c r="WQE249" s="5">
        <f t="shared" si="249"/>
        <v>0</v>
      </c>
      <c r="WQF249" s="5">
        <f t="shared" si="249"/>
        <v>0</v>
      </c>
      <c r="WQG249" s="5">
        <f t="shared" si="249"/>
        <v>0</v>
      </c>
      <c r="WQH249" s="5">
        <f t="shared" si="249"/>
        <v>0</v>
      </c>
      <c r="WQI249" s="5">
        <f t="shared" si="249"/>
        <v>0</v>
      </c>
      <c r="WQJ249" s="5">
        <f t="shared" si="249"/>
        <v>0</v>
      </c>
      <c r="WQK249" s="5">
        <f t="shared" si="249"/>
        <v>0</v>
      </c>
      <c r="WQL249" s="5">
        <f t="shared" si="249"/>
        <v>0</v>
      </c>
      <c r="WQM249" s="5">
        <f t="shared" si="249"/>
        <v>0</v>
      </c>
      <c r="WQN249" s="5">
        <f t="shared" si="249"/>
        <v>0</v>
      </c>
      <c r="WQO249" s="5">
        <f t="shared" si="249"/>
        <v>0</v>
      </c>
      <c r="WQP249" s="5">
        <f t="shared" si="249"/>
        <v>0</v>
      </c>
      <c r="WQQ249" s="5">
        <f t="shared" si="249"/>
        <v>0</v>
      </c>
      <c r="WQR249" s="5">
        <f t="shared" si="249"/>
        <v>0</v>
      </c>
      <c r="WQS249" s="5">
        <f t="shared" si="249"/>
        <v>0</v>
      </c>
      <c r="WQT249" s="5">
        <f t="shared" si="249"/>
        <v>0</v>
      </c>
      <c r="WQU249" s="5">
        <f t="shared" si="249"/>
        <v>0</v>
      </c>
      <c r="WQV249" s="5">
        <f t="shared" si="249"/>
        <v>0</v>
      </c>
      <c r="WQW249" s="5">
        <f t="shared" si="249"/>
        <v>0</v>
      </c>
      <c r="WQX249" s="5">
        <f t="shared" si="249"/>
        <v>0</v>
      </c>
      <c r="WQY249" s="5">
        <f t="shared" si="249"/>
        <v>0</v>
      </c>
      <c r="WQZ249" s="5">
        <f t="shared" si="249"/>
        <v>0</v>
      </c>
      <c r="WRA249" s="5">
        <f t="shared" si="249"/>
        <v>0</v>
      </c>
      <c r="WRB249" s="5">
        <f t="shared" ref="WRB249:WTM249" si="250">SUM(WRB246:WRB246)</f>
        <v>0</v>
      </c>
      <c r="WRC249" s="5">
        <f t="shared" si="250"/>
        <v>0</v>
      </c>
      <c r="WRD249" s="5">
        <f t="shared" si="250"/>
        <v>0</v>
      </c>
      <c r="WRE249" s="5">
        <f t="shared" si="250"/>
        <v>0</v>
      </c>
      <c r="WRF249" s="5">
        <f t="shared" si="250"/>
        <v>0</v>
      </c>
      <c r="WRG249" s="5">
        <f t="shared" si="250"/>
        <v>0</v>
      </c>
      <c r="WRH249" s="5">
        <f t="shared" si="250"/>
        <v>0</v>
      </c>
      <c r="WRI249" s="5">
        <f t="shared" si="250"/>
        <v>0</v>
      </c>
      <c r="WRJ249" s="5">
        <f t="shared" si="250"/>
        <v>0</v>
      </c>
      <c r="WRK249" s="5">
        <f t="shared" si="250"/>
        <v>0</v>
      </c>
      <c r="WRL249" s="5">
        <f t="shared" si="250"/>
        <v>0</v>
      </c>
      <c r="WRM249" s="5">
        <f t="shared" si="250"/>
        <v>0</v>
      </c>
      <c r="WRN249" s="5">
        <f t="shared" si="250"/>
        <v>0</v>
      </c>
      <c r="WRO249" s="5">
        <f t="shared" si="250"/>
        <v>0</v>
      </c>
      <c r="WRP249" s="5">
        <f t="shared" si="250"/>
        <v>0</v>
      </c>
      <c r="WRQ249" s="5">
        <f t="shared" si="250"/>
        <v>0</v>
      </c>
      <c r="WRR249" s="5">
        <f t="shared" si="250"/>
        <v>0</v>
      </c>
      <c r="WRS249" s="5">
        <f t="shared" si="250"/>
        <v>0</v>
      </c>
      <c r="WRT249" s="5">
        <f t="shared" si="250"/>
        <v>0</v>
      </c>
      <c r="WRU249" s="5">
        <f t="shared" si="250"/>
        <v>0</v>
      </c>
      <c r="WRV249" s="5">
        <f t="shared" si="250"/>
        <v>0</v>
      </c>
      <c r="WRW249" s="5">
        <f t="shared" si="250"/>
        <v>0</v>
      </c>
      <c r="WRX249" s="5">
        <f t="shared" si="250"/>
        <v>0</v>
      </c>
      <c r="WRY249" s="5">
        <f t="shared" si="250"/>
        <v>0</v>
      </c>
      <c r="WRZ249" s="5">
        <f t="shared" si="250"/>
        <v>0</v>
      </c>
      <c r="WSA249" s="5">
        <f t="shared" si="250"/>
        <v>0</v>
      </c>
      <c r="WSB249" s="5">
        <f t="shared" si="250"/>
        <v>0</v>
      </c>
      <c r="WSC249" s="5">
        <f t="shared" si="250"/>
        <v>0</v>
      </c>
      <c r="WSD249" s="5">
        <f t="shared" si="250"/>
        <v>0</v>
      </c>
      <c r="WSE249" s="5">
        <f t="shared" si="250"/>
        <v>0</v>
      </c>
      <c r="WSF249" s="5">
        <f t="shared" si="250"/>
        <v>0</v>
      </c>
      <c r="WSG249" s="5">
        <f t="shared" si="250"/>
        <v>0</v>
      </c>
      <c r="WSH249" s="5">
        <f t="shared" si="250"/>
        <v>0</v>
      </c>
      <c r="WSI249" s="5">
        <f t="shared" si="250"/>
        <v>0</v>
      </c>
      <c r="WSJ249" s="5">
        <f t="shared" si="250"/>
        <v>0</v>
      </c>
      <c r="WSK249" s="5">
        <f t="shared" si="250"/>
        <v>0</v>
      </c>
      <c r="WSL249" s="5">
        <f t="shared" si="250"/>
        <v>0</v>
      </c>
      <c r="WSM249" s="5">
        <f t="shared" si="250"/>
        <v>0</v>
      </c>
      <c r="WSN249" s="5">
        <f t="shared" si="250"/>
        <v>0</v>
      </c>
      <c r="WSO249" s="5">
        <f t="shared" si="250"/>
        <v>0</v>
      </c>
      <c r="WSP249" s="5">
        <f t="shared" si="250"/>
        <v>0</v>
      </c>
      <c r="WSQ249" s="5">
        <f t="shared" si="250"/>
        <v>0</v>
      </c>
      <c r="WSR249" s="5">
        <f t="shared" si="250"/>
        <v>0</v>
      </c>
      <c r="WSS249" s="5">
        <f t="shared" si="250"/>
        <v>0</v>
      </c>
      <c r="WST249" s="5">
        <f t="shared" si="250"/>
        <v>0</v>
      </c>
      <c r="WSU249" s="5">
        <f t="shared" si="250"/>
        <v>0</v>
      </c>
      <c r="WSV249" s="5">
        <f t="shared" si="250"/>
        <v>0</v>
      </c>
      <c r="WSW249" s="5">
        <f t="shared" si="250"/>
        <v>0</v>
      </c>
      <c r="WSX249" s="5">
        <f t="shared" si="250"/>
        <v>0</v>
      </c>
      <c r="WSY249" s="5">
        <f t="shared" si="250"/>
        <v>0</v>
      </c>
      <c r="WSZ249" s="5">
        <f t="shared" si="250"/>
        <v>0</v>
      </c>
      <c r="WTA249" s="5">
        <f t="shared" si="250"/>
        <v>0</v>
      </c>
      <c r="WTB249" s="5">
        <f t="shared" si="250"/>
        <v>0</v>
      </c>
      <c r="WTC249" s="5">
        <f t="shared" si="250"/>
        <v>0</v>
      </c>
      <c r="WTD249" s="5">
        <f t="shared" si="250"/>
        <v>0</v>
      </c>
      <c r="WTE249" s="5">
        <f t="shared" si="250"/>
        <v>0</v>
      </c>
      <c r="WTF249" s="5">
        <f t="shared" si="250"/>
        <v>0</v>
      </c>
      <c r="WTG249" s="5">
        <f t="shared" si="250"/>
        <v>0</v>
      </c>
      <c r="WTH249" s="5">
        <f t="shared" si="250"/>
        <v>0</v>
      </c>
      <c r="WTI249" s="5">
        <f t="shared" si="250"/>
        <v>0</v>
      </c>
      <c r="WTJ249" s="5">
        <f t="shared" si="250"/>
        <v>0</v>
      </c>
      <c r="WTK249" s="5">
        <f t="shared" si="250"/>
        <v>0</v>
      </c>
      <c r="WTL249" s="5">
        <f t="shared" si="250"/>
        <v>0</v>
      </c>
      <c r="WTM249" s="5">
        <f t="shared" si="250"/>
        <v>0</v>
      </c>
      <c r="WTN249" s="5">
        <f t="shared" ref="WTN249:WVY249" si="251">SUM(WTN246:WTN246)</f>
        <v>0</v>
      </c>
      <c r="WTO249" s="5">
        <f t="shared" si="251"/>
        <v>0</v>
      </c>
      <c r="WTP249" s="5">
        <f t="shared" si="251"/>
        <v>0</v>
      </c>
      <c r="WTQ249" s="5">
        <f t="shared" si="251"/>
        <v>0</v>
      </c>
      <c r="WTR249" s="5">
        <f t="shared" si="251"/>
        <v>0</v>
      </c>
      <c r="WTS249" s="5">
        <f t="shared" si="251"/>
        <v>0</v>
      </c>
      <c r="WTT249" s="5">
        <f t="shared" si="251"/>
        <v>0</v>
      </c>
      <c r="WTU249" s="5">
        <f t="shared" si="251"/>
        <v>0</v>
      </c>
      <c r="WTV249" s="5">
        <f t="shared" si="251"/>
        <v>0</v>
      </c>
      <c r="WTW249" s="5">
        <f t="shared" si="251"/>
        <v>0</v>
      </c>
      <c r="WTX249" s="5">
        <f t="shared" si="251"/>
        <v>0</v>
      </c>
      <c r="WTY249" s="5">
        <f t="shared" si="251"/>
        <v>0</v>
      </c>
      <c r="WTZ249" s="5">
        <f t="shared" si="251"/>
        <v>0</v>
      </c>
      <c r="WUA249" s="5">
        <f t="shared" si="251"/>
        <v>0</v>
      </c>
      <c r="WUB249" s="5">
        <f t="shared" si="251"/>
        <v>0</v>
      </c>
      <c r="WUC249" s="5">
        <f t="shared" si="251"/>
        <v>0</v>
      </c>
      <c r="WUD249" s="5">
        <f t="shared" si="251"/>
        <v>0</v>
      </c>
      <c r="WUE249" s="5">
        <f t="shared" si="251"/>
        <v>0</v>
      </c>
      <c r="WUF249" s="5">
        <f t="shared" si="251"/>
        <v>0</v>
      </c>
      <c r="WUG249" s="5">
        <f t="shared" si="251"/>
        <v>0</v>
      </c>
      <c r="WUH249" s="5">
        <f t="shared" si="251"/>
        <v>0</v>
      </c>
      <c r="WUI249" s="5">
        <f t="shared" si="251"/>
        <v>0</v>
      </c>
      <c r="WUJ249" s="5">
        <f t="shared" si="251"/>
        <v>0</v>
      </c>
      <c r="WUK249" s="5">
        <f t="shared" si="251"/>
        <v>0</v>
      </c>
      <c r="WUL249" s="5">
        <f t="shared" si="251"/>
        <v>0</v>
      </c>
      <c r="WUM249" s="5">
        <f t="shared" si="251"/>
        <v>0</v>
      </c>
      <c r="WUN249" s="5">
        <f t="shared" si="251"/>
        <v>0</v>
      </c>
      <c r="WUO249" s="5">
        <f t="shared" si="251"/>
        <v>0</v>
      </c>
      <c r="WUP249" s="5">
        <f t="shared" si="251"/>
        <v>0</v>
      </c>
      <c r="WUQ249" s="5">
        <f t="shared" si="251"/>
        <v>0</v>
      </c>
      <c r="WUR249" s="5">
        <f t="shared" si="251"/>
        <v>0</v>
      </c>
      <c r="WUS249" s="5">
        <f t="shared" si="251"/>
        <v>0</v>
      </c>
      <c r="WUT249" s="5">
        <f t="shared" si="251"/>
        <v>0</v>
      </c>
      <c r="WUU249" s="5">
        <f t="shared" si="251"/>
        <v>0</v>
      </c>
      <c r="WUV249" s="5">
        <f t="shared" si="251"/>
        <v>0</v>
      </c>
      <c r="WUW249" s="5">
        <f t="shared" si="251"/>
        <v>0</v>
      </c>
      <c r="WUX249" s="5">
        <f t="shared" si="251"/>
        <v>0</v>
      </c>
      <c r="WUY249" s="5">
        <f t="shared" si="251"/>
        <v>0</v>
      </c>
      <c r="WUZ249" s="5">
        <f t="shared" si="251"/>
        <v>0</v>
      </c>
      <c r="WVA249" s="5">
        <f t="shared" si="251"/>
        <v>0</v>
      </c>
      <c r="WVB249" s="5">
        <f t="shared" si="251"/>
        <v>0</v>
      </c>
      <c r="WVC249" s="5">
        <f t="shared" si="251"/>
        <v>0</v>
      </c>
      <c r="WVD249" s="5">
        <f t="shared" si="251"/>
        <v>0</v>
      </c>
      <c r="WVE249" s="5">
        <f t="shared" si="251"/>
        <v>0</v>
      </c>
      <c r="WVF249" s="5">
        <f t="shared" si="251"/>
        <v>0</v>
      </c>
      <c r="WVG249" s="5">
        <f t="shared" si="251"/>
        <v>0</v>
      </c>
      <c r="WVH249" s="5">
        <f t="shared" si="251"/>
        <v>0</v>
      </c>
      <c r="WVI249" s="5">
        <f t="shared" si="251"/>
        <v>0</v>
      </c>
      <c r="WVJ249" s="5">
        <f t="shared" si="251"/>
        <v>0</v>
      </c>
      <c r="WVK249" s="5">
        <f t="shared" si="251"/>
        <v>0</v>
      </c>
      <c r="WVL249" s="5">
        <f t="shared" si="251"/>
        <v>0</v>
      </c>
      <c r="WVM249" s="5">
        <f t="shared" si="251"/>
        <v>0</v>
      </c>
      <c r="WVN249" s="5">
        <f t="shared" si="251"/>
        <v>0</v>
      </c>
      <c r="WVO249" s="5">
        <f t="shared" si="251"/>
        <v>0</v>
      </c>
      <c r="WVP249" s="5">
        <f t="shared" si="251"/>
        <v>0</v>
      </c>
      <c r="WVQ249" s="5">
        <f t="shared" si="251"/>
        <v>0</v>
      </c>
      <c r="WVR249" s="5">
        <f t="shared" si="251"/>
        <v>0</v>
      </c>
      <c r="WVS249" s="5">
        <f t="shared" si="251"/>
        <v>0</v>
      </c>
      <c r="WVT249" s="5">
        <f t="shared" si="251"/>
        <v>0</v>
      </c>
      <c r="WVU249" s="5">
        <f t="shared" si="251"/>
        <v>0</v>
      </c>
      <c r="WVV249" s="5">
        <f t="shared" si="251"/>
        <v>0</v>
      </c>
      <c r="WVW249" s="5">
        <f t="shared" si="251"/>
        <v>0</v>
      </c>
      <c r="WVX249" s="5">
        <f t="shared" si="251"/>
        <v>0</v>
      </c>
      <c r="WVY249" s="5">
        <f t="shared" si="251"/>
        <v>0</v>
      </c>
      <c r="WVZ249" s="5">
        <f t="shared" ref="WVZ249:WYK249" si="252">SUM(WVZ246:WVZ246)</f>
        <v>0</v>
      </c>
      <c r="WWA249" s="5">
        <f t="shared" si="252"/>
        <v>0</v>
      </c>
      <c r="WWB249" s="5">
        <f t="shared" si="252"/>
        <v>0</v>
      </c>
      <c r="WWC249" s="5">
        <f t="shared" si="252"/>
        <v>0</v>
      </c>
      <c r="WWD249" s="5">
        <f t="shared" si="252"/>
        <v>0</v>
      </c>
      <c r="WWE249" s="5">
        <f t="shared" si="252"/>
        <v>0</v>
      </c>
      <c r="WWF249" s="5">
        <f t="shared" si="252"/>
        <v>0</v>
      </c>
      <c r="WWG249" s="5">
        <f t="shared" si="252"/>
        <v>0</v>
      </c>
      <c r="WWH249" s="5">
        <f t="shared" si="252"/>
        <v>0</v>
      </c>
      <c r="WWI249" s="5">
        <f t="shared" si="252"/>
        <v>0</v>
      </c>
      <c r="WWJ249" s="5">
        <f t="shared" si="252"/>
        <v>0</v>
      </c>
      <c r="WWK249" s="5">
        <f t="shared" si="252"/>
        <v>0</v>
      </c>
      <c r="WWL249" s="5">
        <f t="shared" si="252"/>
        <v>0</v>
      </c>
      <c r="WWM249" s="5">
        <f t="shared" si="252"/>
        <v>0</v>
      </c>
      <c r="WWN249" s="5">
        <f t="shared" si="252"/>
        <v>0</v>
      </c>
      <c r="WWO249" s="5">
        <f t="shared" si="252"/>
        <v>0</v>
      </c>
      <c r="WWP249" s="5">
        <f t="shared" si="252"/>
        <v>0</v>
      </c>
      <c r="WWQ249" s="5">
        <f t="shared" si="252"/>
        <v>0</v>
      </c>
      <c r="WWR249" s="5">
        <f t="shared" si="252"/>
        <v>0</v>
      </c>
      <c r="WWS249" s="5">
        <f t="shared" si="252"/>
        <v>0</v>
      </c>
      <c r="WWT249" s="5">
        <f t="shared" si="252"/>
        <v>0</v>
      </c>
      <c r="WWU249" s="5">
        <f t="shared" si="252"/>
        <v>0</v>
      </c>
      <c r="WWV249" s="5">
        <f t="shared" si="252"/>
        <v>0</v>
      </c>
      <c r="WWW249" s="5">
        <f t="shared" si="252"/>
        <v>0</v>
      </c>
      <c r="WWX249" s="5">
        <f t="shared" si="252"/>
        <v>0</v>
      </c>
      <c r="WWY249" s="5">
        <f t="shared" si="252"/>
        <v>0</v>
      </c>
      <c r="WWZ249" s="5">
        <f t="shared" si="252"/>
        <v>0</v>
      </c>
      <c r="WXA249" s="5">
        <f t="shared" si="252"/>
        <v>0</v>
      </c>
      <c r="WXB249" s="5">
        <f t="shared" si="252"/>
        <v>0</v>
      </c>
      <c r="WXC249" s="5">
        <f t="shared" si="252"/>
        <v>0</v>
      </c>
      <c r="WXD249" s="5">
        <f t="shared" si="252"/>
        <v>0</v>
      </c>
      <c r="WXE249" s="5">
        <f t="shared" si="252"/>
        <v>0</v>
      </c>
      <c r="WXF249" s="5">
        <f t="shared" si="252"/>
        <v>0</v>
      </c>
      <c r="WXG249" s="5">
        <f t="shared" si="252"/>
        <v>0</v>
      </c>
      <c r="WXH249" s="5">
        <f t="shared" si="252"/>
        <v>0</v>
      </c>
      <c r="WXI249" s="5">
        <f t="shared" si="252"/>
        <v>0</v>
      </c>
      <c r="WXJ249" s="5">
        <f t="shared" si="252"/>
        <v>0</v>
      </c>
      <c r="WXK249" s="5">
        <f t="shared" si="252"/>
        <v>0</v>
      </c>
      <c r="WXL249" s="5">
        <f t="shared" si="252"/>
        <v>0</v>
      </c>
      <c r="WXM249" s="5">
        <f t="shared" si="252"/>
        <v>0</v>
      </c>
      <c r="WXN249" s="5">
        <f t="shared" si="252"/>
        <v>0</v>
      </c>
      <c r="WXO249" s="5">
        <f t="shared" si="252"/>
        <v>0</v>
      </c>
      <c r="WXP249" s="5">
        <f t="shared" si="252"/>
        <v>0</v>
      </c>
      <c r="WXQ249" s="5">
        <f t="shared" si="252"/>
        <v>0</v>
      </c>
      <c r="WXR249" s="5">
        <f t="shared" si="252"/>
        <v>0</v>
      </c>
      <c r="WXS249" s="5">
        <f t="shared" si="252"/>
        <v>0</v>
      </c>
      <c r="WXT249" s="5">
        <f t="shared" si="252"/>
        <v>0</v>
      </c>
      <c r="WXU249" s="5">
        <f t="shared" si="252"/>
        <v>0</v>
      </c>
      <c r="WXV249" s="5">
        <f t="shared" si="252"/>
        <v>0</v>
      </c>
      <c r="WXW249" s="5">
        <f t="shared" si="252"/>
        <v>0</v>
      </c>
      <c r="WXX249" s="5">
        <f t="shared" si="252"/>
        <v>0</v>
      </c>
      <c r="WXY249" s="5">
        <f t="shared" si="252"/>
        <v>0</v>
      </c>
      <c r="WXZ249" s="5">
        <f t="shared" si="252"/>
        <v>0</v>
      </c>
      <c r="WYA249" s="5">
        <f t="shared" si="252"/>
        <v>0</v>
      </c>
      <c r="WYB249" s="5">
        <f t="shared" si="252"/>
        <v>0</v>
      </c>
      <c r="WYC249" s="5">
        <f t="shared" si="252"/>
        <v>0</v>
      </c>
      <c r="WYD249" s="5">
        <f t="shared" si="252"/>
        <v>0</v>
      </c>
      <c r="WYE249" s="5">
        <f t="shared" si="252"/>
        <v>0</v>
      </c>
      <c r="WYF249" s="5">
        <f t="shared" si="252"/>
        <v>0</v>
      </c>
      <c r="WYG249" s="5">
        <f t="shared" si="252"/>
        <v>0</v>
      </c>
      <c r="WYH249" s="5">
        <f t="shared" si="252"/>
        <v>0</v>
      </c>
      <c r="WYI249" s="5">
        <f t="shared" si="252"/>
        <v>0</v>
      </c>
      <c r="WYJ249" s="5">
        <f t="shared" si="252"/>
        <v>0</v>
      </c>
      <c r="WYK249" s="5">
        <f t="shared" si="252"/>
        <v>0</v>
      </c>
      <c r="WYL249" s="5">
        <f t="shared" ref="WYL249:XAW249" si="253">SUM(WYL246:WYL246)</f>
        <v>0</v>
      </c>
      <c r="WYM249" s="5">
        <f t="shared" si="253"/>
        <v>0</v>
      </c>
      <c r="WYN249" s="5">
        <f t="shared" si="253"/>
        <v>0</v>
      </c>
      <c r="WYO249" s="5">
        <f t="shared" si="253"/>
        <v>0</v>
      </c>
      <c r="WYP249" s="5">
        <f t="shared" si="253"/>
        <v>0</v>
      </c>
      <c r="WYQ249" s="5">
        <f t="shared" si="253"/>
        <v>0</v>
      </c>
      <c r="WYR249" s="5">
        <f t="shared" si="253"/>
        <v>0</v>
      </c>
      <c r="WYS249" s="5">
        <f t="shared" si="253"/>
        <v>0</v>
      </c>
      <c r="WYT249" s="5">
        <f t="shared" si="253"/>
        <v>0</v>
      </c>
      <c r="WYU249" s="5">
        <f t="shared" si="253"/>
        <v>0</v>
      </c>
      <c r="WYV249" s="5">
        <f t="shared" si="253"/>
        <v>0</v>
      </c>
      <c r="WYW249" s="5">
        <f t="shared" si="253"/>
        <v>0</v>
      </c>
      <c r="WYX249" s="5">
        <f t="shared" si="253"/>
        <v>0</v>
      </c>
      <c r="WYY249" s="5">
        <f t="shared" si="253"/>
        <v>0</v>
      </c>
      <c r="WYZ249" s="5">
        <f t="shared" si="253"/>
        <v>0</v>
      </c>
      <c r="WZA249" s="5">
        <f t="shared" si="253"/>
        <v>0</v>
      </c>
      <c r="WZB249" s="5">
        <f t="shared" si="253"/>
        <v>0</v>
      </c>
      <c r="WZC249" s="5">
        <f t="shared" si="253"/>
        <v>0</v>
      </c>
      <c r="WZD249" s="5">
        <f t="shared" si="253"/>
        <v>0</v>
      </c>
      <c r="WZE249" s="5">
        <f t="shared" si="253"/>
        <v>0</v>
      </c>
      <c r="WZF249" s="5">
        <f t="shared" si="253"/>
        <v>0</v>
      </c>
      <c r="WZG249" s="5">
        <f t="shared" si="253"/>
        <v>0</v>
      </c>
      <c r="WZH249" s="5">
        <f t="shared" si="253"/>
        <v>0</v>
      </c>
      <c r="WZI249" s="5">
        <f t="shared" si="253"/>
        <v>0</v>
      </c>
      <c r="WZJ249" s="5">
        <f t="shared" si="253"/>
        <v>0</v>
      </c>
      <c r="WZK249" s="5">
        <f t="shared" si="253"/>
        <v>0</v>
      </c>
      <c r="WZL249" s="5">
        <f t="shared" si="253"/>
        <v>0</v>
      </c>
      <c r="WZM249" s="5">
        <f t="shared" si="253"/>
        <v>0</v>
      </c>
      <c r="WZN249" s="5">
        <f t="shared" si="253"/>
        <v>0</v>
      </c>
      <c r="WZO249" s="5">
        <f t="shared" si="253"/>
        <v>0</v>
      </c>
      <c r="WZP249" s="5">
        <f t="shared" si="253"/>
        <v>0</v>
      </c>
      <c r="WZQ249" s="5">
        <f t="shared" si="253"/>
        <v>0</v>
      </c>
      <c r="WZR249" s="5">
        <f t="shared" si="253"/>
        <v>0</v>
      </c>
      <c r="WZS249" s="5">
        <f t="shared" si="253"/>
        <v>0</v>
      </c>
      <c r="WZT249" s="5">
        <f t="shared" si="253"/>
        <v>0</v>
      </c>
      <c r="WZU249" s="5">
        <f t="shared" si="253"/>
        <v>0</v>
      </c>
      <c r="WZV249" s="5">
        <f t="shared" si="253"/>
        <v>0</v>
      </c>
      <c r="WZW249" s="5">
        <f t="shared" si="253"/>
        <v>0</v>
      </c>
      <c r="WZX249" s="5">
        <f t="shared" si="253"/>
        <v>0</v>
      </c>
      <c r="WZY249" s="5">
        <f t="shared" si="253"/>
        <v>0</v>
      </c>
      <c r="WZZ249" s="5">
        <f t="shared" si="253"/>
        <v>0</v>
      </c>
      <c r="XAA249" s="5">
        <f t="shared" si="253"/>
        <v>0</v>
      </c>
      <c r="XAB249" s="5">
        <f t="shared" si="253"/>
        <v>0</v>
      </c>
      <c r="XAC249" s="5">
        <f t="shared" si="253"/>
        <v>0</v>
      </c>
      <c r="XAD249" s="5">
        <f t="shared" si="253"/>
        <v>0</v>
      </c>
      <c r="XAE249" s="5">
        <f t="shared" si="253"/>
        <v>0</v>
      </c>
      <c r="XAF249" s="5">
        <f t="shared" si="253"/>
        <v>0</v>
      </c>
      <c r="XAG249" s="5">
        <f t="shared" si="253"/>
        <v>0</v>
      </c>
      <c r="XAH249" s="5">
        <f t="shared" si="253"/>
        <v>0</v>
      </c>
      <c r="XAI249" s="5">
        <f t="shared" si="253"/>
        <v>0</v>
      </c>
      <c r="XAJ249" s="5">
        <f t="shared" si="253"/>
        <v>0</v>
      </c>
      <c r="XAK249" s="5">
        <f t="shared" si="253"/>
        <v>0</v>
      </c>
      <c r="XAL249" s="5">
        <f t="shared" si="253"/>
        <v>0</v>
      </c>
      <c r="XAM249" s="5">
        <f t="shared" si="253"/>
        <v>0</v>
      </c>
      <c r="XAN249" s="5">
        <f t="shared" si="253"/>
        <v>0</v>
      </c>
      <c r="XAO249" s="5">
        <f t="shared" si="253"/>
        <v>0</v>
      </c>
      <c r="XAP249" s="5">
        <f t="shared" si="253"/>
        <v>0</v>
      </c>
      <c r="XAQ249" s="5">
        <f t="shared" si="253"/>
        <v>0</v>
      </c>
      <c r="XAR249" s="5">
        <f t="shared" si="253"/>
        <v>0</v>
      </c>
      <c r="XAS249" s="5">
        <f t="shared" si="253"/>
        <v>0</v>
      </c>
      <c r="XAT249" s="5">
        <f t="shared" si="253"/>
        <v>0</v>
      </c>
      <c r="XAU249" s="5">
        <f t="shared" si="253"/>
        <v>0</v>
      </c>
      <c r="XAV249" s="5">
        <f t="shared" si="253"/>
        <v>0</v>
      </c>
      <c r="XAW249" s="5">
        <f t="shared" si="253"/>
        <v>0</v>
      </c>
      <c r="XAX249" s="5">
        <f t="shared" ref="XAX249:XDI249" si="254">SUM(XAX246:XAX246)</f>
        <v>0</v>
      </c>
      <c r="XAY249" s="5">
        <f t="shared" si="254"/>
        <v>0</v>
      </c>
      <c r="XAZ249" s="5">
        <f t="shared" si="254"/>
        <v>0</v>
      </c>
      <c r="XBA249" s="5">
        <f t="shared" si="254"/>
        <v>0</v>
      </c>
      <c r="XBB249" s="5">
        <f t="shared" si="254"/>
        <v>0</v>
      </c>
      <c r="XBC249" s="5">
        <f t="shared" si="254"/>
        <v>0</v>
      </c>
      <c r="XBD249" s="5">
        <f t="shared" si="254"/>
        <v>0</v>
      </c>
      <c r="XBE249" s="5">
        <f t="shared" si="254"/>
        <v>0</v>
      </c>
      <c r="XBF249" s="5">
        <f t="shared" si="254"/>
        <v>0</v>
      </c>
      <c r="XBG249" s="5">
        <f t="shared" si="254"/>
        <v>0</v>
      </c>
      <c r="XBH249" s="5">
        <f t="shared" si="254"/>
        <v>0</v>
      </c>
      <c r="XBI249" s="5">
        <f t="shared" si="254"/>
        <v>0</v>
      </c>
      <c r="XBJ249" s="5">
        <f t="shared" si="254"/>
        <v>0</v>
      </c>
      <c r="XBK249" s="5">
        <f t="shared" si="254"/>
        <v>0</v>
      </c>
      <c r="XBL249" s="5">
        <f t="shared" si="254"/>
        <v>0</v>
      </c>
      <c r="XBM249" s="5">
        <f t="shared" si="254"/>
        <v>0</v>
      </c>
      <c r="XBN249" s="5">
        <f t="shared" si="254"/>
        <v>0</v>
      </c>
      <c r="XBO249" s="5">
        <f t="shared" si="254"/>
        <v>0</v>
      </c>
      <c r="XBP249" s="5">
        <f t="shared" si="254"/>
        <v>0</v>
      </c>
      <c r="XBQ249" s="5">
        <f t="shared" si="254"/>
        <v>0</v>
      </c>
      <c r="XBR249" s="5">
        <f t="shared" si="254"/>
        <v>0</v>
      </c>
      <c r="XBS249" s="5">
        <f t="shared" si="254"/>
        <v>0</v>
      </c>
      <c r="XBT249" s="5">
        <f t="shared" si="254"/>
        <v>0</v>
      </c>
      <c r="XBU249" s="5">
        <f t="shared" si="254"/>
        <v>0</v>
      </c>
      <c r="XBV249" s="5">
        <f t="shared" si="254"/>
        <v>0</v>
      </c>
      <c r="XBW249" s="5">
        <f t="shared" si="254"/>
        <v>0</v>
      </c>
      <c r="XBX249" s="5">
        <f t="shared" si="254"/>
        <v>0</v>
      </c>
      <c r="XBY249" s="5">
        <f t="shared" si="254"/>
        <v>0</v>
      </c>
      <c r="XBZ249" s="5">
        <f t="shared" si="254"/>
        <v>0</v>
      </c>
      <c r="XCA249" s="5">
        <f t="shared" si="254"/>
        <v>0</v>
      </c>
      <c r="XCB249" s="5">
        <f t="shared" si="254"/>
        <v>0</v>
      </c>
      <c r="XCC249" s="5">
        <f t="shared" si="254"/>
        <v>0</v>
      </c>
      <c r="XCD249" s="5">
        <f t="shared" si="254"/>
        <v>0</v>
      </c>
      <c r="XCE249" s="5">
        <f t="shared" si="254"/>
        <v>0</v>
      </c>
      <c r="XCF249" s="5">
        <f t="shared" si="254"/>
        <v>0</v>
      </c>
      <c r="XCG249" s="5">
        <f t="shared" si="254"/>
        <v>0</v>
      </c>
      <c r="XCH249" s="5">
        <f t="shared" si="254"/>
        <v>0</v>
      </c>
      <c r="XCI249" s="5">
        <f t="shared" si="254"/>
        <v>0</v>
      </c>
      <c r="XCJ249" s="5">
        <f t="shared" si="254"/>
        <v>0</v>
      </c>
      <c r="XCK249" s="5">
        <f t="shared" si="254"/>
        <v>0</v>
      </c>
      <c r="XCL249" s="5">
        <f t="shared" si="254"/>
        <v>0</v>
      </c>
      <c r="XCM249" s="5">
        <f t="shared" si="254"/>
        <v>0</v>
      </c>
      <c r="XCN249" s="5">
        <f t="shared" si="254"/>
        <v>0</v>
      </c>
      <c r="XCO249" s="5">
        <f t="shared" si="254"/>
        <v>0</v>
      </c>
      <c r="XCP249" s="5">
        <f t="shared" si="254"/>
        <v>0</v>
      </c>
      <c r="XCQ249" s="5">
        <f t="shared" si="254"/>
        <v>0</v>
      </c>
      <c r="XCR249" s="5">
        <f t="shared" si="254"/>
        <v>0</v>
      </c>
      <c r="XCS249" s="5">
        <f t="shared" si="254"/>
        <v>0</v>
      </c>
      <c r="XCT249" s="5">
        <f t="shared" si="254"/>
        <v>0</v>
      </c>
      <c r="XCU249" s="5">
        <f t="shared" si="254"/>
        <v>0</v>
      </c>
      <c r="XCV249" s="5">
        <f t="shared" si="254"/>
        <v>0</v>
      </c>
      <c r="XCW249" s="5">
        <f t="shared" si="254"/>
        <v>0</v>
      </c>
      <c r="XCX249" s="5">
        <f t="shared" si="254"/>
        <v>0</v>
      </c>
      <c r="XCY249" s="5">
        <f t="shared" si="254"/>
        <v>0</v>
      </c>
      <c r="XCZ249" s="5">
        <f t="shared" si="254"/>
        <v>0</v>
      </c>
      <c r="XDA249" s="5">
        <f t="shared" si="254"/>
        <v>0</v>
      </c>
      <c r="XDB249" s="5">
        <f t="shared" si="254"/>
        <v>0</v>
      </c>
      <c r="XDC249" s="5">
        <f t="shared" si="254"/>
        <v>0</v>
      </c>
      <c r="XDD249" s="5">
        <f t="shared" si="254"/>
        <v>0</v>
      </c>
      <c r="XDE249" s="5">
        <f t="shared" si="254"/>
        <v>0</v>
      </c>
      <c r="XDF249" s="5">
        <f t="shared" si="254"/>
        <v>0</v>
      </c>
      <c r="XDG249" s="5">
        <f t="shared" si="254"/>
        <v>0</v>
      </c>
      <c r="XDH249" s="5">
        <f t="shared" si="254"/>
        <v>0</v>
      </c>
      <c r="XDI249" s="5">
        <f t="shared" si="254"/>
        <v>0</v>
      </c>
      <c r="XDJ249" s="5">
        <f t="shared" ref="XDJ249:XFD249" si="255">SUM(XDJ246:XDJ246)</f>
        <v>0</v>
      </c>
      <c r="XDK249" s="5">
        <f t="shared" si="255"/>
        <v>0</v>
      </c>
      <c r="XDL249" s="5">
        <f t="shared" si="255"/>
        <v>0</v>
      </c>
      <c r="XDM249" s="5">
        <f t="shared" si="255"/>
        <v>0</v>
      </c>
      <c r="XDN249" s="5">
        <f t="shared" si="255"/>
        <v>0</v>
      </c>
      <c r="XDO249" s="5">
        <f t="shared" si="255"/>
        <v>0</v>
      </c>
      <c r="XDP249" s="5">
        <f t="shared" si="255"/>
        <v>0</v>
      </c>
      <c r="XDQ249" s="5">
        <f t="shared" si="255"/>
        <v>0</v>
      </c>
      <c r="XDR249" s="5">
        <f t="shared" si="255"/>
        <v>0</v>
      </c>
      <c r="XDS249" s="5">
        <f t="shared" si="255"/>
        <v>0</v>
      </c>
      <c r="XDT249" s="5">
        <f t="shared" si="255"/>
        <v>0</v>
      </c>
      <c r="XDU249" s="5">
        <f t="shared" si="255"/>
        <v>0</v>
      </c>
      <c r="XDV249" s="5">
        <f t="shared" si="255"/>
        <v>0</v>
      </c>
      <c r="XDW249" s="5">
        <f t="shared" si="255"/>
        <v>0</v>
      </c>
      <c r="XDX249" s="5">
        <f t="shared" si="255"/>
        <v>0</v>
      </c>
      <c r="XDY249" s="5">
        <f t="shared" si="255"/>
        <v>0</v>
      </c>
      <c r="XDZ249" s="5">
        <f t="shared" si="255"/>
        <v>0</v>
      </c>
      <c r="XEA249" s="5">
        <f t="shared" si="255"/>
        <v>0</v>
      </c>
      <c r="XEB249" s="5">
        <f t="shared" si="255"/>
        <v>0</v>
      </c>
      <c r="XEC249" s="5">
        <f t="shared" si="255"/>
        <v>0</v>
      </c>
      <c r="XED249" s="5">
        <f t="shared" si="255"/>
        <v>0</v>
      </c>
      <c r="XEE249" s="5">
        <f t="shared" si="255"/>
        <v>0</v>
      </c>
      <c r="XEF249" s="5">
        <f t="shared" si="255"/>
        <v>0</v>
      </c>
      <c r="XEG249" s="5">
        <f t="shared" si="255"/>
        <v>0</v>
      </c>
      <c r="XEH249" s="5">
        <f t="shared" si="255"/>
        <v>0</v>
      </c>
      <c r="XEI249" s="5">
        <f t="shared" si="255"/>
        <v>0</v>
      </c>
      <c r="XEJ249" s="5">
        <f t="shared" si="255"/>
        <v>0</v>
      </c>
      <c r="XEK249" s="5">
        <f t="shared" si="255"/>
        <v>0</v>
      </c>
      <c r="XEL249" s="5">
        <f t="shared" si="255"/>
        <v>0</v>
      </c>
      <c r="XEM249" s="5">
        <f t="shared" si="255"/>
        <v>0</v>
      </c>
      <c r="XEN249" s="5">
        <f t="shared" si="255"/>
        <v>0</v>
      </c>
      <c r="XEO249" s="5">
        <f t="shared" si="255"/>
        <v>0</v>
      </c>
      <c r="XEP249" s="5">
        <f t="shared" si="255"/>
        <v>0</v>
      </c>
      <c r="XEQ249" s="5">
        <f t="shared" si="255"/>
        <v>0</v>
      </c>
      <c r="XER249" s="5">
        <f t="shared" si="255"/>
        <v>0</v>
      </c>
      <c r="XES249" s="5">
        <f t="shared" si="255"/>
        <v>0</v>
      </c>
      <c r="XET249" s="5">
        <f t="shared" si="255"/>
        <v>0</v>
      </c>
      <c r="XEU249" s="5">
        <f t="shared" si="255"/>
        <v>0</v>
      </c>
      <c r="XEV249" s="5">
        <f t="shared" si="255"/>
        <v>0</v>
      </c>
      <c r="XEW249" s="5">
        <f t="shared" si="255"/>
        <v>0</v>
      </c>
      <c r="XEX249" s="5">
        <f t="shared" si="255"/>
        <v>0</v>
      </c>
      <c r="XEY249" s="5">
        <f t="shared" si="255"/>
        <v>0</v>
      </c>
      <c r="XEZ249" s="5">
        <f t="shared" si="255"/>
        <v>0</v>
      </c>
      <c r="XFA249" s="5">
        <f t="shared" si="255"/>
        <v>0</v>
      </c>
      <c r="XFB249" s="5">
        <f t="shared" si="255"/>
        <v>0</v>
      </c>
      <c r="XFC249" s="5">
        <f t="shared" si="255"/>
        <v>0</v>
      </c>
      <c r="XFD249" s="5">
        <f t="shared" si="255"/>
        <v>0</v>
      </c>
    </row>
    <row r="250" spans="1:16384" x14ac:dyDescent="0.25">
      <c r="A250" s="313"/>
      <c r="B250" s="314"/>
      <c r="C250" s="314"/>
      <c r="D250" s="314"/>
      <c r="E250" s="315"/>
      <c r="F250" s="315"/>
      <c r="G250" s="314"/>
      <c r="H250" s="314"/>
      <c r="I250" s="314"/>
      <c r="J250" s="314"/>
      <c r="K250" s="314"/>
      <c r="L250" s="314"/>
      <c r="M250" s="314"/>
      <c r="N250" s="314"/>
      <c r="O250" s="314"/>
      <c r="P250" s="314"/>
      <c r="Q250" s="314"/>
    </row>
    <row r="251" spans="1:16384" x14ac:dyDescent="0.25">
      <c r="A251" s="530" t="s">
        <v>0</v>
      </c>
      <c r="B251" s="545" t="s">
        <v>7</v>
      </c>
      <c r="C251" s="545"/>
      <c r="D251" s="545"/>
      <c r="E251" s="545" t="s">
        <v>5</v>
      </c>
      <c r="F251" s="545"/>
      <c r="G251" s="545"/>
      <c r="H251" s="533" t="s">
        <v>25</v>
      </c>
      <c r="I251" s="534"/>
      <c r="J251" s="535"/>
      <c r="K251" s="533" t="s">
        <v>26</v>
      </c>
      <c r="L251" s="534"/>
      <c r="M251" s="535"/>
      <c r="N251" s="545" t="s">
        <v>4</v>
      </c>
      <c r="O251" s="545"/>
      <c r="P251" s="545" t="s">
        <v>6</v>
      </c>
      <c r="Q251" s="545"/>
    </row>
    <row r="252" spans="1:16384" x14ac:dyDescent="0.25">
      <c r="A252" s="531"/>
      <c r="B252" s="316" t="s">
        <v>8</v>
      </c>
      <c r="C252" s="316" t="s">
        <v>9</v>
      </c>
      <c r="D252" s="316" t="s">
        <v>13</v>
      </c>
      <c r="E252" s="317" t="s">
        <v>8</v>
      </c>
      <c r="F252" s="317" t="s">
        <v>9</v>
      </c>
      <c r="G252" s="316" t="s">
        <v>13</v>
      </c>
      <c r="H252" s="307" t="s">
        <v>8</v>
      </c>
      <c r="I252" s="307" t="s">
        <v>9</v>
      </c>
      <c r="J252" s="297"/>
      <c r="K252" s="307" t="s">
        <v>8</v>
      </c>
      <c r="L252" s="307" t="s">
        <v>9</v>
      </c>
      <c r="M252" s="307" t="s">
        <v>13</v>
      </c>
      <c r="N252" s="316" t="s">
        <v>8</v>
      </c>
      <c r="O252" s="316" t="s">
        <v>13</v>
      </c>
      <c r="P252" s="316" t="s">
        <v>8</v>
      </c>
      <c r="Q252" s="316" t="s">
        <v>13</v>
      </c>
    </row>
    <row r="253" spans="1:16384" x14ac:dyDescent="0.25">
      <c r="A253" s="308"/>
      <c r="B253" s="318"/>
      <c r="C253" s="318"/>
      <c r="D253" s="318"/>
      <c r="E253" s="319"/>
      <c r="F253" s="319"/>
      <c r="G253" s="318"/>
      <c r="H253" s="318"/>
      <c r="I253" s="320"/>
      <c r="J253" s="308"/>
      <c r="K253" s="321"/>
      <c r="L253" s="318"/>
      <c r="M253" s="318"/>
      <c r="N253" s="318"/>
      <c r="O253" s="318"/>
      <c r="P253" s="318"/>
      <c r="Q253" s="318"/>
    </row>
    <row r="254" spans="1:16384" x14ac:dyDescent="0.25">
      <c r="A254" s="285" t="s">
        <v>53</v>
      </c>
      <c r="B254" s="311">
        <f>'SODA ASH BENAR'!B36</f>
        <v>0</v>
      </c>
      <c r="C254" s="311">
        <f>'SODA ASH BENAR'!C36</f>
        <v>0</v>
      </c>
      <c r="D254" s="311">
        <f>'SODA ASH BENAR'!D36</f>
        <v>0</v>
      </c>
      <c r="E254" s="311">
        <f>'SODA ASH BENAR'!E36</f>
        <v>0</v>
      </c>
      <c r="F254" s="311">
        <f>'SODA ASH BENAR'!F36</f>
        <v>0</v>
      </c>
      <c r="G254" s="311">
        <f>'SODA ASH BENAR'!G36</f>
        <v>0</v>
      </c>
      <c r="H254" s="311">
        <f>'SODA ASH BENAR'!H36</f>
        <v>0</v>
      </c>
      <c r="I254" s="311">
        <f>'SODA ASH BENAR'!I36</f>
        <v>0</v>
      </c>
      <c r="J254" s="311">
        <f>'SODA ASH BENAR'!J36</f>
        <v>0</v>
      </c>
      <c r="K254" s="311">
        <f>'SODA ASH BENAR'!K36</f>
        <v>0</v>
      </c>
      <c r="L254" s="311">
        <f>'SODA ASH BENAR'!L36</f>
        <v>0</v>
      </c>
      <c r="M254" s="311">
        <f>'SODA ASH BENAR'!M36</f>
        <v>0</v>
      </c>
      <c r="N254" s="311">
        <f>'SODA ASH BENAR'!N36</f>
        <v>0</v>
      </c>
      <c r="O254" s="311">
        <f>'SODA ASH BENAR'!O36</f>
        <v>0</v>
      </c>
      <c r="P254" s="311">
        <f>'SODA ASH BENAR'!P36</f>
        <v>0</v>
      </c>
      <c r="Q254" s="311">
        <f>'SODA ASH BENAR'!Q36</f>
        <v>0</v>
      </c>
    </row>
    <row r="255" spans="1:16384" x14ac:dyDescent="0.25">
      <c r="A255" s="285"/>
      <c r="B255" s="311">
        <f>'SODA ASH BENAR'!B37</f>
        <v>0</v>
      </c>
      <c r="C255" s="311">
        <f>'SODA ASH BENAR'!C37</f>
        <v>0</v>
      </c>
      <c r="D255" s="311">
        <f>'SODA ASH BENAR'!D37</f>
        <v>0</v>
      </c>
      <c r="E255" s="311">
        <f>'SODA ASH BENAR'!E37</f>
        <v>0</v>
      </c>
      <c r="F255" s="311">
        <f>'SODA ASH BENAR'!F37</f>
        <v>0</v>
      </c>
      <c r="G255" s="311">
        <f>'SODA ASH BENAR'!G37</f>
        <v>0</v>
      </c>
      <c r="H255" s="311">
        <f>'SODA ASH BENAR'!H37</f>
        <v>0</v>
      </c>
      <c r="I255" s="311">
        <f>'SODA ASH BENAR'!I37</f>
        <v>0</v>
      </c>
      <c r="J255" s="311">
        <f>'SODA ASH BENAR'!J37</f>
        <v>0</v>
      </c>
      <c r="K255" s="311">
        <f>'SODA ASH BENAR'!K37</f>
        <v>0</v>
      </c>
      <c r="L255" s="311">
        <f>'SODA ASH BENAR'!L37</f>
        <v>0</v>
      </c>
      <c r="M255" s="311">
        <f>'SODA ASH BENAR'!M37</f>
        <v>0</v>
      </c>
      <c r="N255" s="311">
        <f>'SODA ASH BENAR'!N37</f>
        <v>0</v>
      </c>
      <c r="O255" s="311">
        <f>'SODA ASH BENAR'!O37</f>
        <v>0</v>
      </c>
      <c r="P255" s="311">
        <f>'SODA ASH BENAR'!P37</f>
        <v>0</v>
      </c>
      <c r="Q255" s="311">
        <f>'SODA ASH BENAR'!Q37</f>
        <v>0</v>
      </c>
    </row>
    <row r="256" spans="1:16384" x14ac:dyDescent="0.25">
      <c r="A256" s="243"/>
      <c r="B256" s="389">
        <f>'SODA ASH BENAR'!B38</f>
        <v>0</v>
      </c>
      <c r="C256" s="389">
        <f>'SODA ASH BENAR'!C38</f>
        <v>0</v>
      </c>
      <c r="D256" s="389">
        <f>'SODA ASH BENAR'!D38</f>
        <v>0</v>
      </c>
      <c r="E256" s="311">
        <f>'SODA ASH BENAR'!E38</f>
        <v>0</v>
      </c>
      <c r="F256" s="311">
        <f>'SODA ASH BENAR'!F38</f>
        <v>0</v>
      </c>
      <c r="G256" s="311">
        <f>'SODA ASH BENAR'!G38</f>
        <v>0</v>
      </c>
      <c r="H256" s="311">
        <f>'SODA ASH BENAR'!H38</f>
        <v>0</v>
      </c>
      <c r="I256" s="311">
        <f>'SODA ASH BENAR'!I38</f>
        <v>0</v>
      </c>
      <c r="J256" s="311">
        <f>'SODA ASH BENAR'!J38</f>
        <v>0</v>
      </c>
      <c r="K256" s="311">
        <f>'SODA ASH BENAR'!K38</f>
        <v>0</v>
      </c>
      <c r="L256" s="311">
        <f>'SODA ASH BENAR'!L38</f>
        <v>0</v>
      </c>
      <c r="M256" s="311">
        <f>'SODA ASH BENAR'!M38</f>
        <v>0</v>
      </c>
      <c r="N256" s="389">
        <f>'SODA ASH BENAR'!N38</f>
        <v>0</v>
      </c>
      <c r="O256" s="389">
        <f>'SODA ASH BENAR'!O38</f>
        <v>0</v>
      </c>
      <c r="P256" s="389">
        <f>'SODA ASH BENAR'!P38</f>
        <v>0</v>
      </c>
      <c r="Q256" s="389">
        <f>'SODA ASH BENAR'!Q38</f>
        <v>0</v>
      </c>
    </row>
    <row r="257" spans="1:17" x14ac:dyDescent="0.25">
      <c r="A257" s="295"/>
      <c r="B257" s="295"/>
      <c r="C257" s="295"/>
      <c r="D257" s="295"/>
      <c r="E257" s="295"/>
      <c r="F257" s="295"/>
      <c r="G257" s="295"/>
      <c r="H257" s="295"/>
      <c r="I257" s="295"/>
      <c r="J257" s="295"/>
      <c r="K257" s="295"/>
      <c r="L257" s="295"/>
      <c r="M257" s="295"/>
      <c r="N257" s="295"/>
      <c r="O257" s="295"/>
      <c r="P257" s="295"/>
      <c r="Q257" s="295"/>
    </row>
    <row r="258" spans="1:17" x14ac:dyDescent="0.25">
      <c r="A258" s="242"/>
      <c r="B258" s="242"/>
      <c r="C258" s="242"/>
      <c r="D258" s="242"/>
      <c r="E258" s="242"/>
      <c r="F258" s="242"/>
      <c r="G258" s="242"/>
      <c r="H258" s="242"/>
      <c r="I258" s="242"/>
      <c r="J258" s="242"/>
      <c r="K258" s="242"/>
      <c r="L258" s="242"/>
      <c r="M258" s="242"/>
      <c r="N258" s="242"/>
      <c r="O258" s="242"/>
      <c r="P258" s="242"/>
      <c r="Q258" s="242"/>
    </row>
    <row r="259" spans="1:17" x14ac:dyDescent="0.25">
      <c r="A259" s="537" t="s">
        <v>46</v>
      </c>
      <c r="B259" s="537"/>
      <c r="C259" s="537"/>
      <c r="D259" s="537"/>
      <c r="E259" s="537"/>
      <c r="F259" s="537"/>
      <c r="G259" s="537"/>
      <c r="H259" s="537"/>
      <c r="I259" s="537"/>
      <c r="J259" s="537"/>
      <c r="K259" s="537"/>
      <c r="L259" s="242"/>
      <c r="M259" s="242"/>
      <c r="N259" s="242"/>
      <c r="O259" s="242"/>
      <c r="P259" s="242"/>
      <c r="Q259" s="242"/>
    </row>
    <row r="260" spans="1:17" x14ac:dyDescent="0.25">
      <c r="A260" s="536" t="s">
        <v>0</v>
      </c>
      <c r="B260" s="536" t="s">
        <v>7</v>
      </c>
      <c r="C260" s="536"/>
      <c r="D260" s="536"/>
      <c r="E260" s="536" t="s">
        <v>5</v>
      </c>
      <c r="F260" s="536"/>
      <c r="G260" s="536"/>
      <c r="H260" s="536" t="s">
        <v>4</v>
      </c>
      <c r="I260" s="536"/>
      <c r="J260" s="536" t="s">
        <v>6</v>
      </c>
      <c r="K260" s="536"/>
      <c r="L260" s="242"/>
      <c r="M260" s="242"/>
      <c r="N260" s="242"/>
      <c r="O260" s="242"/>
      <c r="P260" s="242"/>
      <c r="Q260" s="242"/>
    </row>
    <row r="261" spans="1:17" x14ac:dyDescent="0.25">
      <c r="A261" s="536"/>
      <c r="B261" s="231" t="s">
        <v>8</v>
      </c>
      <c r="C261" s="231" t="s">
        <v>14</v>
      </c>
      <c r="D261" s="231" t="s">
        <v>13</v>
      </c>
      <c r="E261" s="231" t="s">
        <v>8</v>
      </c>
      <c r="F261" s="231" t="s">
        <v>14</v>
      </c>
      <c r="G261" s="231" t="s">
        <v>10</v>
      </c>
      <c r="H261" s="231" t="s">
        <v>8</v>
      </c>
      <c r="I261" s="231" t="s">
        <v>13</v>
      </c>
      <c r="J261" s="231" t="s">
        <v>8</v>
      </c>
      <c r="K261" s="231" t="s">
        <v>13</v>
      </c>
      <c r="L261" s="242"/>
      <c r="M261" s="242"/>
      <c r="N261" s="242"/>
      <c r="O261" s="242"/>
      <c r="P261" s="242"/>
      <c r="Q261" s="242"/>
    </row>
    <row r="262" spans="1:17" x14ac:dyDescent="0.25">
      <c r="A262" s="232"/>
      <c r="B262" s="233"/>
      <c r="C262" s="233"/>
      <c r="D262" s="233"/>
      <c r="E262" s="233"/>
      <c r="F262" s="233"/>
      <c r="G262" s="233"/>
      <c r="H262" s="233"/>
      <c r="I262" s="233"/>
      <c r="J262" s="233"/>
      <c r="K262" s="233"/>
      <c r="L262" s="242"/>
      <c r="M262" s="242"/>
      <c r="N262" s="242"/>
      <c r="O262" s="242"/>
      <c r="P262" s="242"/>
      <c r="Q262" s="242"/>
    </row>
    <row r="263" spans="1:17" x14ac:dyDescent="0.25">
      <c r="A263" s="243" t="s">
        <v>53</v>
      </c>
      <c r="B263" s="244">
        <f>'Soda Ash K. B'!B26</f>
        <v>0</v>
      </c>
      <c r="C263" s="244">
        <f>'Soda Ash K. B'!C26</f>
        <v>0</v>
      </c>
      <c r="D263" s="244">
        <f>'Soda Ash K. B'!D26</f>
        <v>0</v>
      </c>
      <c r="E263" s="244">
        <f>'Soda Ash K. B'!E26</f>
        <v>0</v>
      </c>
      <c r="F263" s="244">
        <f>'Soda Ash K. B'!F26</f>
        <v>0</v>
      </c>
      <c r="G263" s="244">
        <f>'Soda Ash K. B'!G26</f>
        <v>0</v>
      </c>
      <c r="H263" s="244">
        <f>'Soda Ash K. B'!H26</f>
        <v>0</v>
      </c>
      <c r="I263" s="244">
        <f>'Soda Ash K. B'!I26</f>
        <v>0</v>
      </c>
      <c r="J263" s="244">
        <f>'Soda Ash K. B'!J26</f>
        <v>0</v>
      </c>
      <c r="K263" s="244">
        <f>'Soda Ash K. B'!K26</f>
        <v>0</v>
      </c>
      <c r="L263" s="242"/>
      <c r="M263" s="242"/>
      <c r="N263" s="242"/>
      <c r="O263" s="242"/>
      <c r="P263" s="242"/>
      <c r="Q263" s="242"/>
    </row>
    <row r="264" spans="1:17" x14ac:dyDescent="0.25">
      <c r="A264" s="247"/>
      <c r="B264" s="248"/>
      <c r="C264" s="248"/>
      <c r="D264" s="249"/>
      <c r="E264" s="250"/>
      <c r="F264" s="249"/>
      <c r="G264" s="249"/>
      <c r="H264" s="248"/>
      <c r="I264" s="251"/>
      <c r="J264" s="241"/>
      <c r="K264" s="251"/>
      <c r="L264" s="242"/>
      <c r="M264" s="242"/>
      <c r="N264" s="242"/>
      <c r="O264" s="242"/>
      <c r="P264" s="242"/>
      <c r="Q264" s="242"/>
    </row>
    <row r="265" spans="1:17" x14ac:dyDescent="0.25">
      <c r="A265" s="242"/>
      <c r="B265" s="242"/>
      <c r="C265" s="242"/>
      <c r="D265" s="242"/>
      <c r="E265" s="242"/>
      <c r="F265" s="242"/>
      <c r="G265" s="242"/>
      <c r="H265" s="242"/>
      <c r="I265" s="242"/>
      <c r="J265" s="242"/>
      <c r="K265" s="242"/>
      <c r="L265" s="242"/>
      <c r="M265" s="242"/>
      <c r="N265" s="242"/>
      <c r="O265" s="242"/>
      <c r="P265" s="242"/>
      <c r="Q265" s="242"/>
    </row>
    <row r="266" spans="1:17" x14ac:dyDescent="0.25">
      <c r="A266" s="242"/>
      <c r="B266" s="242"/>
      <c r="C266" s="242"/>
      <c r="D266" s="242"/>
      <c r="E266" s="242"/>
      <c r="F266" s="242"/>
      <c r="G266" s="242"/>
      <c r="H266" s="242"/>
      <c r="I266" s="242"/>
      <c r="J266" s="242"/>
      <c r="K266" s="242"/>
      <c r="L266" s="242"/>
      <c r="M266" s="521"/>
      <c r="N266" s="521"/>
      <c r="O266" s="523"/>
      <c r="P266" s="522"/>
      <c r="Q266" s="242"/>
    </row>
    <row r="267" spans="1:17" x14ac:dyDescent="0.25">
      <c r="A267" s="537" t="s">
        <v>47</v>
      </c>
      <c r="B267" s="537"/>
      <c r="C267" s="537"/>
      <c r="D267" s="537"/>
      <c r="E267" s="537"/>
      <c r="F267" s="537"/>
      <c r="G267" s="537"/>
      <c r="H267" s="537"/>
      <c r="I267" s="537"/>
      <c r="J267" s="537"/>
      <c r="K267" s="537"/>
      <c r="L267" s="242"/>
      <c r="M267" s="521"/>
      <c r="N267" s="521"/>
      <c r="O267" s="523"/>
      <c r="P267" s="522"/>
      <c r="Q267" s="242"/>
    </row>
    <row r="268" spans="1:17" x14ac:dyDescent="0.25">
      <c r="A268" s="536" t="s">
        <v>0</v>
      </c>
      <c r="B268" s="536" t="s">
        <v>7</v>
      </c>
      <c r="C268" s="536"/>
      <c r="D268" s="536"/>
      <c r="E268" s="536" t="s">
        <v>5</v>
      </c>
      <c r="F268" s="536"/>
      <c r="G268" s="536"/>
      <c r="H268" s="536" t="s">
        <v>4</v>
      </c>
      <c r="I268" s="536"/>
      <c r="J268" s="536" t="s">
        <v>6</v>
      </c>
      <c r="K268" s="536"/>
      <c r="L268" s="242"/>
      <c r="M268" s="242"/>
      <c r="N268" s="242"/>
      <c r="O268" s="242"/>
      <c r="P268" s="242"/>
      <c r="Q268" s="242"/>
    </row>
    <row r="269" spans="1:17" x14ac:dyDescent="0.25">
      <c r="A269" s="536"/>
      <c r="B269" s="231" t="s">
        <v>8</v>
      </c>
      <c r="C269" s="231" t="s">
        <v>14</v>
      </c>
      <c r="D269" s="231" t="s">
        <v>13</v>
      </c>
      <c r="E269" s="231" t="s">
        <v>8</v>
      </c>
      <c r="F269" s="231" t="s">
        <v>14</v>
      </c>
      <c r="G269" s="231" t="s">
        <v>10</v>
      </c>
      <c r="H269" s="231" t="s">
        <v>8</v>
      </c>
      <c r="I269" s="231" t="s">
        <v>13</v>
      </c>
      <c r="J269" s="231" t="s">
        <v>8</v>
      </c>
      <c r="K269" s="231" t="s">
        <v>13</v>
      </c>
      <c r="L269" s="242"/>
      <c r="M269" s="242"/>
      <c r="N269" s="242"/>
      <c r="O269" s="242"/>
      <c r="P269" s="242"/>
      <c r="Q269" s="242"/>
    </row>
    <row r="270" spans="1:17" x14ac:dyDescent="0.25">
      <c r="A270" s="232"/>
      <c r="B270" s="233"/>
      <c r="C270" s="267"/>
      <c r="D270" s="233"/>
      <c r="E270" s="233"/>
      <c r="F270" s="233"/>
      <c r="G270" s="233"/>
      <c r="H270" s="233"/>
      <c r="I270" s="233"/>
      <c r="J270" s="233"/>
      <c r="K270" s="233"/>
      <c r="L270" s="242"/>
      <c r="M270" s="242"/>
      <c r="N270" s="242"/>
      <c r="O270" s="242"/>
      <c r="P270" s="242"/>
      <c r="Q270" s="242"/>
    </row>
    <row r="271" spans="1:17" x14ac:dyDescent="0.25">
      <c r="A271" s="243" t="s">
        <v>53</v>
      </c>
      <c r="B271" s="244">
        <f>'Soda Ash Hanau'!B21</f>
        <v>0</v>
      </c>
      <c r="C271" s="244">
        <f>'Soda Ash Hanau'!C21</f>
        <v>0</v>
      </c>
      <c r="D271" s="244">
        <f>'Soda Ash Hanau'!D21</f>
        <v>0</v>
      </c>
      <c r="E271" s="244">
        <f>'Soda Ash Hanau'!E21</f>
        <v>0</v>
      </c>
      <c r="F271" s="244">
        <f>'Soda Ash Hanau'!F21</f>
        <v>0</v>
      </c>
      <c r="G271" s="244">
        <f>'Soda Ash Hanau'!G21</f>
        <v>0</v>
      </c>
      <c r="H271" s="244">
        <f>'Soda Ash Hanau'!H21</f>
        <v>0</v>
      </c>
      <c r="I271" s="244">
        <f>'Soda Ash Hanau'!I21</f>
        <v>0</v>
      </c>
      <c r="J271" s="244">
        <f>'Soda Ash Hanau'!J21</f>
        <v>0</v>
      </c>
      <c r="K271" s="244">
        <f>'Soda Ash Hanau'!K21</f>
        <v>0</v>
      </c>
      <c r="L271" s="242"/>
      <c r="M271" s="242"/>
      <c r="N271" s="242"/>
      <c r="O271" s="242"/>
      <c r="P271" s="242"/>
      <c r="Q271" s="242"/>
    </row>
    <row r="272" spans="1:17" x14ac:dyDescent="0.25">
      <c r="A272" s="247"/>
      <c r="B272" s="346"/>
      <c r="C272" s="251"/>
      <c r="D272" s="274"/>
      <c r="E272" s="266"/>
      <c r="F272" s="251"/>
      <c r="G272" s="275"/>
      <c r="H272" s="335"/>
      <c r="I272" s="251"/>
      <c r="J272" s="241"/>
      <c r="K272" s="251"/>
      <c r="L272" s="242"/>
      <c r="M272" s="242"/>
      <c r="N272" s="242"/>
      <c r="O272" s="242"/>
      <c r="P272" s="242"/>
      <c r="Q272" s="242"/>
    </row>
    <row r="274" spans="1:17" x14ac:dyDescent="0.25">
      <c r="Q274" t="s">
        <v>39</v>
      </c>
    </row>
    <row r="276" spans="1:17" ht="21" x14ac:dyDescent="0.35">
      <c r="A276" s="520">
        <v>45901</v>
      </c>
      <c r="B276" s="520"/>
      <c r="C276" s="520"/>
      <c r="D276" s="520"/>
      <c r="E276" s="297"/>
      <c r="F276" s="297"/>
      <c r="G276" s="297"/>
      <c r="H276" s="297"/>
      <c r="I276" s="297"/>
      <c r="J276" s="297"/>
      <c r="K276" s="297"/>
      <c r="L276" s="297"/>
      <c r="M276" s="297"/>
      <c r="N276" s="297"/>
      <c r="O276" s="297"/>
      <c r="P276" s="297"/>
      <c r="Q276" s="297"/>
    </row>
    <row r="277" spans="1:17" x14ac:dyDescent="0.25">
      <c r="A277" s="297"/>
      <c r="B277" s="297"/>
      <c r="C277" s="297"/>
      <c r="D277" s="297"/>
      <c r="E277" s="297"/>
      <c r="F277" s="297"/>
      <c r="G277" s="297"/>
      <c r="H277" s="297"/>
      <c r="I277" s="297"/>
      <c r="J277" s="297"/>
      <c r="K277" s="297"/>
      <c r="L277" s="297"/>
      <c r="M277" s="297"/>
      <c r="N277" s="297"/>
      <c r="O277" s="297"/>
      <c r="P277" s="297"/>
      <c r="Q277" s="297"/>
    </row>
    <row r="278" spans="1:17" x14ac:dyDescent="0.25">
      <c r="A278" s="297"/>
      <c r="B278" s="297"/>
      <c r="C278" s="297"/>
      <c r="D278" s="297"/>
      <c r="E278" s="297"/>
      <c r="F278" s="297"/>
      <c r="G278" s="297"/>
      <c r="H278" s="297"/>
      <c r="I278" s="297"/>
      <c r="J278" s="297"/>
      <c r="K278" s="297"/>
      <c r="L278" s="297"/>
      <c r="M278" s="297"/>
      <c r="N278" s="297"/>
      <c r="O278" s="297"/>
      <c r="P278" s="297"/>
      <c r="Q278" s="297"/>
    </row>
    <row r="279" spans="1:17" x14ac:dyDescent="0.25">
      <c r="A279" s="544" t="s">
        <v>45</v>
      </c>
      <c r="B279" s="544"/>
      <c r="C279" s="544"/>
      <c r="D279" s="544"/>
      <c r="E279" s="544"/>
      <c r="F279" s="544"/>
      <c r="G279" s="544"/>
      <c r="H279" s="544"/>
      <c r="I279" s="544"/>
      <c r="J279" s="544"/>
      <c r="K279" s="544"/>
      <c r="L279" s="544"/>
      <c r="M279" s="544"/>
      <c r="N279" s="544"/>
      <c r="O279" s="544"/>
      <c r="P279" s="544"/>
      <c r="Q279" s="544"/>
    </row>
    <row r="280" spans="1:17" x14ac:dyDescent="0.25">
      <c r="A280" s="313"/>
      <c r="B280" s="314"/>
      <c r="C280" s="314"/>
      <c r="D280" s="314"/>
      <c r="E280" s="315"/>
      <c r="F280" s="315"/>
      <c r="G280" s="314"/>
      <c r="H280" s="314"/>
      <c r="I280" s="314"/>
      <c r="J280" s="314"/>
      <c r="K280" s="314"/>
      <c r="L280" s="314"/>
      <c r="M280" s="314"/>
      <c r="N280" s="314"/>
      <c r="O280" s="314"/>
      <c r="P280" s="314"/>
      <c r="Q280" s="314"/>
    </row>
    <row r="281" spans="1:17" x14ac:dyDescent="0.25">
      <c r="A281" s="530" t="s">
        <v>0</v>
      </c>
      <c r="B281" s="545" t="s">
        <v>7</v>
      </c>
      <c r="C281" s="545"/>
      <c r="D281" s="545"/>
      <c r="E281" s="545" t="s">
        <v>5</v>
      </c>
      <c r="F281" s="545"/>
      <c r="G281" s="545"/>
      <c r="H281" s="533" t="s">
        <v>25</v>
      </c>
      <c r="I281" s="534"/>
      <c r="J281" s="535"/>
      <c r="K281" s="533" t="s">
        <v>26</v>
      </c>
      <c r="L281" s="534"/>
      <c r="M281" s="535"/>
      <c r="N281" s="545" t="s">
        <v>4</v>
      </c>
      <c r="O281" s="545"/>
      <c r="P281" s="545" t="s">
        <v>6</v>
      </c>
      <c r="Q281" s="545"/>
    </row>
    <row r="282" spans="1:17" x14ac:dyDescent="0.25">
      <c r="A282" s="531"/>
      <c r="B282" s="316" t="s">
        <v>8</v>
      </c>
      <c r="C282" s="316" t="s">
        <v>9</v>
      </c>
      <c r="D282" s="316" t="s">
        <v>13</v>
      </c>
      <c r="E282" s="317" t="s">
        <v>8</v>
      </c>
      <c r="F282" s="317" t="s">
        <v>9</v>
      </c>
      <c r="G282" s="316" t="s">
        <v>13</v>
      </c>
      <c r="H282" s="307" t="s">
        <v>8</v>
      </c>
      <c r="I282" s="307" t="s">
        <v>9</v>
      </c>
      <c r="J282" s="297"/>
      <c r="K282" s="307" t="s">
        <v>8</v>
      </c>
      <c r="L282" s="307" t="s">
        <v>9</v>
      </c>
      <c r="M282" s="307" t="s">
        <v>13</v>
      </c>
      <c r="N282" s="316" t="s">
        <v>8</v>
      </c>
      <c r="O282" s="316" t="s">
        <v>13</v>
      </c>
      <c r="P282" s="316" t="s">
        <v>8</v>
      </c>
      <c r="Q282" s="316" t="s">
        <v>13</v>
      </c>
    </row>
    <row r="283" spans="1:17" x14ac:dyDescent="0.25">
      <c r="A283" s="308"/>
      <c r="B283" s="318"/>
      <c r="C283" s="318"/>
      <c r="D283" s="318"/>
      <c r="E283" s="319"/>
      <c r="F283" s="319"/>
      <c r="G283" s="318"/>
      <c r="H283" s="318"/>
      <c r="I283" s="320"/>
      <c r="J283" s="308"/>
      <c r="K283" s="321"/>
      <c r="L283" s="318"/>
      <c r="M283" s="318"/>
      <c r="N283" s="318"/>
      <c r="O283" s="318"/>
      <c r="P283" s="318"/>
      <c r="Q283" s="318"/>
    </row>
    <row r="284" spans="1:17" x14ac:dyDescent="0.25">
      <c r="A284" s="285" t="s">
        <v>94</v>
      </c>
      <c r="B284" s="311">
        <f>'SODA ASH BENAR'!B40</f>
        <v>0</v>
      </c>
      <c r="C284" s="311">
        <f>'SODA ASH BENAR'!C40</f>
        <v>0</v>
      </c>
      <c r="D284" s="311">
        <f>'SODA ASH BENAR'!D40</f>
        <v>0</v>
      </c>
      <c r="E284" s="311">
        <f>'SODA ASH BENAR'!E40</f>
        <v>0</v>
      </c>
      <c r="F284" s="311">
        <f>'SODA ASH BENAR'!F40</f>
        <v>0</v>
      </c>
      <c r="G284" s="311">
        <f>'SODA ASH BENAR'!G40</f>
        <v>0</v>
      </c>
      <c r="H284" s="311">
        <f>'SODA ASH BENAR'!H40</f>
        <v>0</v>
      </c>
      <c r="I284" s="311">
        <f>'SODA ASH BENAR'!I40</f>
        <v>0</v>
      </c>
      <c r="J284" s="311">
        <f>'SODA ASH BENAR'!J40</f>
        <v>0</v>
      </c>
      <c r="K284" s="311">
        <f>'SODA ASH BENAR'!K40</f>
        <v>0</v>
      </c>
      <c r="L284" s="311">
        <f>'SODA ASH BENAR'!L40</f>
        <v>0</v>
      </c>
      <c r="M284" s="311">
        <f>'SODA ASH BENAR'!M40</f>
        <v>0</v>
      </c>
      <c r="N284" s="311">
        <f>'SODA ASH BENAR'!N40</f>
        <v>0</v>
      </c>
      <c r="O284" s="311">
        <f>'SODA ASH BENAR'!O40</f>
        <v>0</v>
      </c>
      <c r="P284" s="311">
        <f>'SODA ASH BENAR'!P40</f>
        <v>0</v>
      </c>
      <c r="Q284" s="311">
        <f>'SODA ASH BENAR'!Q40</f>
        <v>0</v>
      </c>
    </row>
    <row r="285" spans="1:17" x14ac:dyDescent="0.25">
      <c r="A285" s="243"/>
      <c r="B285" s="236"/>
      <c r="C285" s="261"/>
      <c r="D285" s="245"/>
      <c r="E285" s="246"/>
      <c r="F285" s="246"/>
      <c r="G285" s="245"/>
      <c r="H285" s="245"/>
      <c r="I285" s="245"/>
      <c r="J285" s="245"/>
      <c r="K285" s="326"/>
      <c r="L285" s="245"/>
      <c r="M285" s="325"/>
      <c r="N285" s="246"/>
      <c r="O285" s="323"/>
      <c r="P285" s="237"/>
      <c r="Q285" s="245"/>
    </row>
    <row r="286" spans="1:17" x14ac:dyDescent="0.25">
      <c r="A286" s="243"/>
      <c r="B286" s="236"/>
      <c r="C286" s="261"/>
      <c r="D286" s="245"/>
      <c r="E286" s="246"/>
      <c r="F286" s="246"/>
      <c r="G286" s="245"/>
      <c r="H286" s="245"/>
      <c r="I286" s="245"/>
      <c r="J286" s="245"/>
      <c r="K286" s="245"/>
      <c r="L286" s="245"/>
      <c r="M286" s="245"/>
      <c r="N286" s="246"/>
      <c r="O286" s="283"/>
      <c r="P286" s="237"/>
      <c r="Q286" s="245"/>
    </row>
    <row r="287" spans="1:17" x14ac:dyDescent="0.25">
      <c r="A287" s="295"/>
      <c r="B287" s="295"/>
      <c r="C287" s="295"/>
      <c r="D287" s="295"/>
      <c r="E287" s="295"/>
      <c r="F287" s="295"/>
      <c r="G287" s="295"/>
      <c r="H287" s="295"/>
      <c r="I287" s="295"/>
      <c r="J287" s="295"/>
      <c r="K287" s="295"/>
      <c r="L287" s="295"/>
      <c r="M287" s="295"/>
      <c r="N287" s="295"/>
      <c r="O287" s="295"/>
      <c r="P287" s="295"/>
      <c r="Q287" s="295"/>
    </row>
    <row r="288" spans="1:17" x14ac:dyDescent="0.25">
      <c r="A288" s="242"/>
      <c r="B288" s="242"/>
      <c r="C288" s="242"/>
      <c r="D288" s="242"/>
      <c r="E288" s="242"/>
      <c r="F288" s="242"/>
      <c r="G288" s="242"/>
      <c r="H288" s="242"/>
      <c r="I288" s="242"/>
      <c r="J288" s="242"/>
      <c r="K288" s="242"/>
      <c r="L288" s="242"/>
      <c r="M288" s="242"/>
      <c r="N288" s="242"/>
      <c r="O288" s="242"/>
      <c r="P288" s="242"/>
      <c r="Q288" s="242"/>
    </row>
    <row r="289" spans="1:17" x14ac:dyDescent="0.25">
      <c r="A289" s="242"/>
      <c r="B289" s="242"/>
      <c r="C289" s="242"/>
      <c r="D289" s="242"/>
      <c r="E289" s="242"/>
      <c r="F289" s="242"/>
      <c r="G289" s="242"/>
      <c r="H289" s="242"/>
      <c r="I289" s="242"/>
      <c r="J289" s="242"/>
      <c r="K289" s="242"/>
      <c r="L289" s="242"/>
      <c r="M289" s="242"/>
      <c r="N289" s="242"/>
      <c r="O289" s="242"/>
      <c r="P289" s="242"/>
      <c r="Q289" s="242"/>
    </row>
    <row r="290" spans="1:17" x14ac:dyDescent="0.25">
      <c r="A290" s="537" t="s">
        <v>46</v>
      </c>
      <c r="B290" s="537"/>
      <c r="C290" s="537"/>
      <c r="D290" s="537"/>
      <c r="E290" s="537"/>
      <c r="F290" s="537"/>
      <c r="G290" s="537"/>
      <c r="H290" s="537"/>
      <c r="I290" s="537"/>
      <c r="J290" s="537"/>
      <c r="K290" s="537"/>
      <c r="L290" s="242"/>
      <c r="M290" s="242"/>
      <c r="N290" s="242"/>
      <c r="O290" s="402"/>
      <c r="P290" s="242"/>
      <c r="Q290" s="242"/>
    </row>
    <row r="291" spans="1:17" x14ac:dyDescent="0.25">
      <c r="A291" s="536" t="s">
        <v>0</v>
      </c>
      <c r="B291" s="536" t="s">
        <v>7</v>
      </c>
      <c r="C291" s="536"/>
      <c r="D291" s="536"/>
      <c r="E291" s="536" t="s">
        <v>5</v>
      </c>
      <c r="F291" s="536"/>
      <c r="G291" s="536"/>
      <c r="H291" s="536" t="s">
        <v>4</v>
      </c>
      <c r="I291" s="536"/>
      <c r="J291" s="536" t="s">
        <v>6</v>
      </c>
      <c r="K291" s="536"/>
      <c r="L291" s="242"/>
      <c r="M291" s="242"/>
      <c r="N291" s="242"/>
      <c r="O291" s="402"/>
      <c r="P291" s="242"/>
      <c r="Q291" s="242"/>
    </row>
    <row r="292" spans="1:17" x14ac:dyDescent="0.25">
      <c r="A292" s="536"/>
      <c r="B292" s="231" t="s">
        <v>8</v>
      </c>
      <c r="C292" s="231" t="s">
        <v>14</v>
      </c>
      <c r="D292" s="231" t="s">
        <v>13</v>
      </c>
      <c r="E292" s="231" t="s">
        <v>8</v>
      </c>
      <c r="F292" s="231" t="s">
        <v>14</v>
      </c>
      <c r="G292" s="231" t="s">
        <v>10</v>
      </c>
      <c r="H292" s="231" t="s">
        <v>8</v>
      </c>
      <c r="I292" s="231" t="s">
        <v>13</v>
      </c>
      <c r="J292" s="231" t="s">
        <v>8</v>
      </c>
      <c r="K292" s="231" t="s">
        <v>13</v>
      </c>
      <c r="L292" s="242"/>
      <c r="M292" s="242"/>
      <c r="N292" s="242"/>
      <c r="O292" s="242"/>
      <c r="P292" s="242"/>
      <c r="Q292" s="242"/>
    </row>
    <row r="293" spans="1:17" x14ac:dyDescent="0.25">
      <c r="A293" s="232"/>
      <c r="B293" s="233"/>
      <c r="C293" s="233"/>
      <c r="D293" s="233"/>
      <c r="E293" s="233"/>
      <c r="F293" s="233"/>
      <c r="G293" s="233"/>
      <c r="H293" s="233"/>
      <c r="I293" s="233"/>
      <c r="J293" s="233"/>
      <c r="K293" s="233"/>
      <c r="L293" s="242"/>
      <c r="M293" s="242"/>
      <c r="N293" s="242"/>
      <c r="O293" s="242"/>
      <c r="P293" s="242"/>
      <c r="Q293" s="242"/>
    </row>
    <row r="294" spans="1:17" x14ac:dyDescent="0.25">
      <c r="A294" s="243" t="s">
        <v>54</v>
      </c>
      <c r="B294" s="244">
        <f>'Soda Ash K. B'!B28</f>
        <v>0</v>
      </c>
      <c r="C294" s="244">
        <f>'Soda Ash K. B'!C28</f>
        <v>0</v>
      </c>
      <c r="D294" s="244">
        <f>'Soda Ash K. B'!D28</f>
        <v>0</v>
      </c>
      <c r="E294" s="244">
        <f>'Soda Ash K. B'!E28</f>
        <v>0</v>
      </c>
      <c r="F294" s="244">
        <f>'Soda Ash K. B'!F28</f>
        <v>0</v>
      </c>
      <c r="G294" s="244">
        <f>'Soda Ash K. B'!G28</f>
        <v>0</v>
      </c>
      <c r="H294" s="244">
        <f>'Soda Ash K. B'!H28</f>
        <v>0</v>
      </c>
      <c r="I294" s="244">
        <f>'Soda Ash K. B'!I28</f>
        <v>0</v>
      </c>
      <c r="J294" s="244">
        <f>'Soda Ash K. B'!J28</f>
        <v>0</v>
      </c>
      <c r="K294" s="244">
        <f>'Soda Ash K. B'!K28</f>
        <v>0</v>
      </c>
      <c r="L294" s="242"/>
      <c r="M294" s="242"/>
      <c r="N294" s="242"/>
      <c r="O294" s="242"/>
      <c r="P294" s="242"/>
      <c r="Q294" s="242"/>
    </row>
    <row r="295" spans="1:17" x14ac:dyDescent="0.25">
      <c r="A295" s="243"/>
      <c r="B295" s="244" t="e">
        <f>'Soda Ash K. B'!#REF!</f>
        <v>#REF!</v>
      </c>
      <c r="C295" s="244" t="e">
        <f>'Soda Ash K. B'!#REF!</f>
        <v>#REF!</v>
      </c>
      <c r="D295" s="244" t="e">
        <f>'Soda Ash K. B'!#REF!</f>
        <v>#REF!</v>
      </c>
      <c r="E295" s="244" t="e">
        <f>'Soda Ash K. B'!#REF!</f>
        <v>#REF!</v>
      </c>
      <c r="F295" s="244" t="e">
        <f>'Soda Ash K. B'!#REF!</f>
        <v>#REF!</v>
      </c>
      <c r="G295" s="244" t="e">
        <f>'Soda Ash K. B'!#REF!</f>
        <v>#REF!</v>
      </c>
      <c r="H295" s="244" t="e">
        <f>'Soda Ash K. B'!#REF!</f>
        <v>#REF!</v>
      </c>
      <c r="I295" s="244" t="e">
        <f>'Soda Ash K. B'!#REF!</f>
        <v>#REF!</v>
      </c>
      <c r="J295" s="244" t="e">
        <f>'Soda Ash K. B'!#REF!</f>
        <v>#REF!</v>
      </c>
      <c r="K295" s="244" t="e">
        <f>'Soda Ash K. B'!#REF!</f>
        <v>#REF!</v>
      </c>
      <c r="L295" s="242"/>
      <c r="M295" s="242"/>
      <c r="N295" s="242"/>
      <c r="O295" s="242"/>
      <c r="P295" s="242"/>
      <c r="Q295" s="242"/>
    </row>
    <row r="296" spans="1:17" x14ac:dyDescent="0.25">
      <c r="A296" s="243"/>
      <c r="B296" s="244" t="e">
        <f>'Soda Ash K. B'!#REF!</f>
        <v>#REF!</v>
      </c>
      <c r="C296" s="244" t="e">
        <f>'Soda Ash K. B'!#REF!</f>
        <v>#REF!</v>
      </c>
      <c r="D296" s="244" t="e">
        <f>'Soda Ash K. B'!#REF!</f>
        <v>#REF!</v>
      </c>
      <c r="E296" s="244" t="e">
        <f>'Soda Ash K. B'!#REF!</f>
        <v>#REF!</v>
      </c>
      <c r="F296" s="244" t="e">
        <f>'Soda Ash K. B'!#REF!</f>
        <v>#REF!</v>
      </c>
      <c r="G296" s="244" t="e">
        <f>'Soda Ash K. B'!#REF!</f>
        <v>#REF!</v>
      </c>
      <c r="H296" s="296" t="e">
        <f>'Soda Ash K. B'!#REF!</f>
        <v>#REF!</v>
      </c>
      <c r="I296" s="296" t="e">
        <f>'Soda Ash K. B'!#REF!</f>
        <v>#REF!</v>
      </c>
      <c r="J296" s="296" t="e">
        <f>'Soda Ash K. B'!#REF!</f>
        <v>#REF!</v>
      </c>
      <c r="K296" s="296" t="e">
        <f>'Soda Ash K. B'!#REF!</f>
        <v>#REF!</v>
      </c>
      <c r="L296" s="242"/>
      <c r="M296" s="242"/>
      <c r="N296" s="242"/>
      <c r="O296" s="242"/>
      <c r="P296" s="242"/>
      <c r="Q296" s="242"/>
    </row>
    <row r="297" spans="1:17" x14ac:dyDescent="0.25">
      <c r="A297" s="247"/>
      <c r="B297" s="248"/>
      <c r="C297" s="248"/>
      <c r="D297" s="249"/>
      <c r="E297" s="250"/>
      <c r="F297" s="249"/>
      <c r="G297" s="249"/>
      <c r="H297" s="248"/>
      <c r="I297" s="251"/>
      <c r="J297" s="241"/>
      <c r="K297" s="251"/>
      <c r="L297" s="242"/>
      <c r="M297" s="242"/>
      <c r="N297" s="242"/>
      <c r="O297" s="242"/>
      <c r="P297" s="242"/>
      <c r="Q297" s="242"/>
    </row>
    <row r="298" spans="1:17" x14ac:dyDescent="0.25">
      <c r="A298" s="242"/>
      <c r="B298" s="242"/>
      <c r="C298" s="242"/>
      <c r="D298" s="242"/>
      <c r="E298" s="242"/>
      <c r="F298" s="242"/>
      <c r="G298" s="242"/>
      <c r="H298" s="242"/>
      <c r="I298" s="242"/>
      <c r="J298" s="242"/>
      <c r="K298" s="242"/>
      <c r="L298" s="242"/>
      <c r="M298" s="242"/>
      <c r="N298" s="242"/>
      <c r="O298" s="242"/>
      <c r="P298" s="242"/>
      <c r="Q298" s="242"/>
    </row>
    <row r="299" spans="1:17" x14ac:dyDescent="0.25">
      <c r="A299" s="242"/>
      <c r="B299" s="242"/>
      <c r="C299" s="242"/>
      <c r="D299" s="242"/>
      <c r="E299" s="242"/>
      <c r="F299" s="242"/>
      <c r="G299" s="242"/>
      <c r="H299" s="242"/>
      <c r="I299" s="242"/>
      <c r="J299" s="242"/>
      <c r="K299" s="242"/>
      <c r="L299" s="242"/>
      <c r="M299" s="242"/>
      <c r="N299" s="242"/>
      <c r="O299" s="242"/>
      <c r="P299" s="242"/>
      <c r="Q299" s="242"/>
    </row>
    <row r="300" spans="1:17" x14ac:dyDescent="0.25">
      <c r="A300" s="242"/>
      <c r="B300" s="242"/>
      <c r="C300" s="242"/>
      <c r="D300" s="242"/>
      <c r="E300" s="242"/>
      <c r="F300" s="242"/>
      <c r="G300" s="242"/>
      <c r="H300" s="242"/>
      <c r="I300" s="242"/>
      <c r="J300" s="242"/>
      <c r="K300" s="242"/>
      <c r="L300" s="242"/>
      <c r="M300" s="242"/>
      <c r="N300" s="242"/>
      <c r="O300" s="242"/>
      <c r="P300" s="242"/>
      <c r="Q300" s="242"/>
    </row>
    <row r="301" spans="1:17" x14ac:dyDescent="0.25">
      <c r="A301" s="537" t="s">
        <v>47</v>
      </c>
      <c r="B301" s="537"/>
      <c r="C301" s="537"/>
      <c r="D301" s="537"/>
      <c r="E301" s="537"/>
      <c r="F301" s="537"/>
      <c r="G301" s="537"/>
      <c r="H301" s="537"/>
      <c r="I301" s="537"/>
      <c r="J301" s="537"/>
      <c r="K301" s="537"/>
      <c r="L301" s="242"/>
      <c r="M301" s="242"/>
      <c r="N301" s="242"/>
      <c r="O301" s="242"/>
      <c r="P301" s="242"/>
      <c r="Q301" s="242"/>
    </row>
    <row r="302" spans="1:17" x14ac:dyDescent="0.25">
      <c r="A302" s="536" t="s">
        <v>0</v>
      </c>
      <c r="B302" s="536" t="s">
        <v>7</v>
      </c>
      <c r="C302" s="536"/>
      <c r="D302" s="536"/>
      <c r="E302" s="536" t="s">
        <v>5</v>
      </c>
      <c r="F302" s="536"/>
      <c r="G302" s="536"/>
      <c r="H302" s="536" t="s">
        <v>4</v>
      </c>
      <c r="I302" s="536"/>
      <c r="J302" s="536" t="s">
        <v>6</v>
      </c>
      <c r="K302" s="536"/>
      <c r="L302" s="242"/>
      <c r="M302" s="242"/>
      <c r="N302" s="242"/>
      <c r="O302" s="242"/>
      <c r="P302" s="242"/>
      <c r="Q302" s="242"/>
    </row>
    <row r="303" spans="1:17" x14ac:dyDescent="0.25">
      <c r="A303" s="536"/>
      <c r="B303" s="231" t="s">
        <v>8</v>
      </c>
      <c r="C303" s="231" t="s">
        <v>14</v>
      </c>
      <c r="D303" s="231" t="s">
        <v>13</v>
      </c>
      <c r="E303" s="231" t="s">
        <v>8</v>
      </c>
      <c r="F303" s="231" t="s">
        <v>14</v>
      </c>
      <c r="G303" s="231" t="s">
        <v>10</v>
      </c>
      <c r="H303" s="231" t="s">
        <v>8</v>
      </c>
      <c r="I303" s="231" t="s">
        <v>13</v>
      </c>
      <c r="J303" s="231" t="s">
        <v>8</v>
      </c>
      <c r="K303" s="231" t="s">
        <v>13</v>
      </c>
      <c r="L303" s="242"/>
      <c r="M303" s="242"/>
      <c r="N303" s="242"/>
      <c r="O303" s="242"/>
      <c r="P303" s="242"/>
      <c r="Q303" s="242"/>
    </row>
    <row r="304" spans="1:17" x14ac:dyDescent="0.25">
      <c r="A304" s="232"/>
      <c r="B304" s="233"/>
      <c r="C304" s="267"/>
      <c r="D304" s="233"/>
      <c r="E304" s="233"/>
      <c r="F304" s="233"/>
      <c r="G304" s="233"/>
      <c r="H304" s="233"/>
      <c r="I304" s="233"/>
      <c r="J304" s="233"/>
      <c r="K304" s="233"/>
      <c r="L304" s="242"/>
      <c r="M304" s="242"/>
      <c r="N304" s="242"/>
      <c r="O304" s="242"/>
      <c r="P304" s="242"/>
      <c r="Q304" s="242"/>
    </row>
    <row r="305" spans="1:17" x14ac:dyDescent="0.25">
      <c r="A305" s="243" t="s">
        <v>54</v>
      </c>
      <c r="B305" s="244">
        <f>'Soda Ash Hanau'!B23</f>
        <v>0</v>
      </c>
      <c r="C305" s="244">
        <f>'Soda Ash Hanau'!C23</f>
        <v>0</v>
      </c>
      <c r="D305" s="244">
        <f>'Soda Ash Hanau'!D23</f>
        <v>0</v>
      </c>
      <c r="E305" s="244">
        <f>'Soda Ash Hanau'!E23</f>
        <v>0</v>
      </c>
      <c r="F305" s="244">
        <f>'Soda Ash Hanau'!F23</f>
        <v>0</v>
      </c>
      <c r="G305" s="244">
        <f>'Soda Ash Hanau'!G23</f>
        <v>0</v>
      </c>
      <c r="H305" s="244">
        <f>'Soda Ash Hanau'!H23</f>
        <v>0</v>
      </c>
      <c r="I305" s="244">
        <f>'Soda Ash Hanau'!I23</f>
        <v>0</v>
      </c>
      <c r="J305" s="244">
        <f>'Soda Ash Hanau'!J23</f>
        <v>0</v>
      </c>
      <c r="K305" s="244">
        <f>'Soda Ash Hanau'!K23</f>
        <v>0</v>
      </c>
      <c r="L305" s="242"/>
      <c r="M305" s="242"/>
      <c r="N305" s="242"/>
      <c r="O305" s="242"/>
      <c r="P305" s="242"/>
      <c r="Q305" s="242"/>
    </row>
    <row r="306" spans="1:17" x14ac:dyDescent="0.25">
      <c r="A306" s="243"/>
      <c r="B306" s="244"/>
      <c r="C306" s="245"/>
      <c r="D306" s="245"/>
      <c r="E306" s="246"/>
      <c r="F306" s="245"/>
      <c r="G306" s="328"/>
      <c r="H306" s="327"/>
      <c r="I306" s="245"/>
      <c r="J306" s="237"/>
      <c r="K306" s="245"/>
      <c r="L306" s="242"/>
      <c r="M306" s="242"/>
      <c r="N306" s="242"/>
      <c r="O306" s="242"/>
      <c r="P306" s="242"/>
      <c r="Q306" s="242"/>
    </row>
    <row r="307" spans="1:17" x14ac:dyDescent="0.25">
      <c r="A307" s="247"/>
      <c r="B307" s="346"/>
      <c r="C307" s="251"/>
      <c r="D307" s="251"/>
      <c r="E307" s="266"/>
      <c r="F307" s="334"/>
      <c r="G307" s="251">
        <f>SUM(G306:G306)</f>
        <v>0</v>
      </c>
      <c r="H307" s="335"/>
      <c r="I307" s="251"/>
      <c r="J307" s="241"/>
      <c r="K307" s="251"/>
      <c r="L307" s="242"/>
      <c r="M307" s="242"/>
      <c r="N307" s="242"/>
      <c r="O307" s="242"/>
      <c r="P307" s="242"/>
      <c r="Q307" s="242"/>
    </row>
    <row r="311" spans="1:17" ht="21" x14ac:dyDescent="0.35">
      <c r="A311" s="278" t="s">
        <v>106</v>
      </c>
      <c r="B311" s="297"/>
      <c r="C311" s="297"/>
      <c r="D311" s="297"/>
      <c r="E311" s="297"/>
      <c r="F311" s="297"/>
      <c r="G311" s="297"/>
      <c r="H311" s="297"/>
      <c r="I311" s="297"/>
      <c r="J311" s="297"/>
      <c r="K311" s="297"/>
      <c r="L311" s="297"/>
      <c r="M311" s="297"/>
      <c r="N311" s="297"/>
      <c r="O311" s="297"/>
      <c r="P311" s="297"/>
      <c r="Q311" s="297"/>
    </row>
    <row r="312" spans="1:17" x14ac:dyDescent="0.25">
      <c r="A312" s="297"/>
      <c r="B312" s="297"/>
      <c r="C312" s="297"/>
      <c r="D312" s="297"/>
      <c r="E312" s="297"/>
      <c r="F312" s="297"/>
      <c r="G312" s="297"/>
      <c r="H312" s="297"/>
      <c r="I312" s="297"/>
      <c r="J312" s="297"/>
      <c r="K312" s="297"/>
      <c r="L312" s="297"/>
      <c r="M312" s="297"/>
      <c r="N312" s="297"/>
      <c r="O312" s="297"/>
      <c r="P312" s="297"/>
      <c r="Q312" s="297"/>
    </row>
    <row r="313" spans="1:17" x14ac:dyDescent="0.25">
      <c r="A313" s="297"/>
      <c r="B313" s="297"/>
      <c r="C313" s="297"/>
      <c r="D313" s="297"/>
      <c r="E313" s="297"/>
      <c r="F313" s="297"/>
      <c r="G313" s="297"/>
      <c r="H313" s="297"/>
      <c r="I313" s="297"/>
      <c r="J313" s="297"/>
      <c r="K313" s="297"/>
      <c r="L313" s="297"/>
      <c r="M313" s="297"/>
      <c r="N313" s="297"/>
      <c r="O313" s="297"/>
      <c r="P313" s="297"/>
      <c r="Q313" s="297"/>
    </row>
    <row r="314" spans="1:17" x14ac:dyDescent="0.25">
      <c r="A314" s="544" t="s">
        <v>45</v>
      </c>
      <c r="B314" s="544"/>
      <c r="C314" s="544"/>
      <c r="D314" s="544"/>
      <c r="E314" s="544"/>
      <c r="F314" s="544"/>
      <c r="G314" s="544"/>
      <c r="H314" s="544"/>
      <c r="I314" s="544"/>
      <c r="J314" s="544"/>
      <c r="K314" s="544"/>
      <c r="L314" s="544"/>
      <c r="M314" s="544"/>
      <c r="N314" s="544"/>
      <c r="O314" s="544"/>
      <c r="P314" s="544"/>
      <c r="Q314" s="544"/>
    </row>
    <row r="315" spans="1:17" x14ac:dyDescent="0.25">
      <c r="A315" s="313"/>
      <c r="B315" s="314"/>
      <c r="C315" s="314"/>
      <c r="D315" s="314"/>
      <c r="E315" s="315"/>
      <c r="F315" s="315"/>
      <c r="G315" s="314"/>
      <c r="H315" s="314"/>
      <c r="I315" s="314"/>
      <c r="J315" s="314"/>
      <c r="K315" s="314"/>
      <c r="L315" s="314"/>
      <c r="M315" s="314"/>
      <c r="N315" s="314"/>
      <c r="O315" s="314"/>
      <c r="P315" s="314"/>
      <c r="Q315" s="314"/>
    </row>
    <row r="316" spans="1:17" x14ac:dyDescent="0.25">
      <c r="A316" s="530" t="s">
        <v>0</v>
      </c>
      <c r="B316" s="545" t="s">
        <v>7</v>
      </c>
      <c r="C316" s="545"/>
      <c r="D316" s="545"/>
      <c r="E316" s="545" t="s">
        <v>5</v>
      </c>
      <c r="F316" s="545"/>
      <c r="G316" s="545"/>
      <c r="H316" s="533" t="s">
        <v>25</v>
      </c>
      <c r="I316" s="534"/>
      <c r="J316" s="535"/>
      <c r="K316" s="533" t="s">
        <v>26</v>
      </c>
      <c r="L316" s="534"/>
      <c r="M316" s="535"/>
      <c r="N316" s="545" t="s">
        <v>4</v>
      </c>
      <c r="O316" s="545"/>
      <c r="P316" s="545" t="s">
        <v>6</v>
      </c>
      <c r="Q316" s="545"/>
    </row>
    <row r="317" spans="1:17" x14ac:dyDescent="0.25">
      <c r="A317" s="531"/>
      <c r="B317" s="316" t="s">
        <v>8</v>
      </c>
      <c r="C317" s="316" t="s">
        <v>9</v>
      </c>
      <c r="D317" s="316" t="s">
        <v>13</v>
      </c>
      <c r="E317" s="317" t="s">
        <v>8</v>
      </c>
      <c r="F317" s="317" t="s">
        <v>9</v>
      </c>
      <c r="G317" s="316" t="s">
        <v>13</v>
      </c>
      <c r="H317" s="307" t="s">
        <v>8</v>
      </c>
      <c r="I317" s="307" t="s">
        <v>9</v>
      </c>
      <c r="J317" s="307" t="s">
        <v>13</v>
      </c>
      <c r="K317" s="307" t="s">
        <v>8</v>
      </c>
      <c r="L317" s="307" t="s">
        <v>9</v>
      </c>
      <c r="M317" s="307" t="s">
        <v>13</v>
      </c>
      <c r="N317" s="316" t="s">
        <v>8</v>
      </c>
      <c r="O317" s="316" t="s">
        <v>13</v>
      </c>
      <c r="P317" s="316" t="s">
        <v>8</v>
      </c>
      <c r="Q317" s="316" t="s">
        <v>13</v>
      </c>
    </row>
    <row r="318" spans="1:17" x14ac:dyDescent="0.25">
      <c r="A318" s="308"/>
      <c r="B318" s="318"/>
      <c r="C318" s="318"/>
      <c r="D318" s="318"/>
      <c r="E318" s="319"/>
      <c r="F318" s="319"/>
      <c r="G318" s="318"/>
      <c r="H318" s="318"/>
      <c r="I318" s="320"/>
      <c r="J318" s="308"/>
      <c r="K318" s="321"/>
      <c r="L318" s="318"/>
      <c r="M318" s="318"/>
      <c r="N318" s="318"/>
      <c r="O318" s="318"/>
      <c r="P318" s="318"/>
      <c r="Q318" s="318"/>
    </row>
    <row r="319" spans="1:17" x14ac:dyDescent="0.25">
      <c r="A319" s="285" t="s">
        <v>55</v>
      </c>
      <c r="B319" s="407">
        <f>'SODA ASH BENAR'!B42</f>
        <v>0</v>
      </c>
      <c r="C319" s="407">
        <f>'SODA ASH BENAR'!C42</f>
        <v>0</v>
      </c>
      <c r="D319" s="407">
        <f>'SODA ASH BENAR'!D42</f>
        <v>0</v>
      </c>
      <c r="E319" s="407"/>
      <c r="F319" s="407"/>
      <c r="G319" s="407"/>
      <c r="H319" s="407">
        <f>'SODA ASH BENAR'!H42</f>
        <v>0</v>
      </c>
      <c r="I319" s="407">
        <f>'SODA ASH BENAR'!I42</f>
        <v>0</v>
      </c>
      <c r="J319" s="407">
        <f>'SODA ASH BENAR'!J42</f>
        <v>0</v>
      </c>
      <c r="K319" s="407">
        <f>'SODA ASH BENAR'!K42</f>
        <v>0</v>
      </c>
      <c r="L319" s="407">
        <f>'SODA ASH BENAR'!L42</f>
        <v>0</v>
      </c>
      <c r="M319" s="407">
        <f>'SODA ASH BENAR'!M42</f>
        <v>0</v>
      </c>
      <c r="N319" s="407">
        <f>'SODA ASH BENAR'!N42</f>
        <v>0</v>
      </c>
      <c r="O319" s="407">
        <f>'SODA ASH BENAR'!O42</f>
        <v>0</v>
      </c>
      <c r="P319" s="407">
        <f>'SODA ASH BENAR'!P42</f>
        <v>0</v>
      </c>
      <c r="Q319" s="407">
        <f>'SODA ASH BENAR'!Q42</f>
        <v>0</v>
      </c>
    </row>
    <row r="320" spans="1:17" x14ac:dyDescent="0.25">
      <c r="A320" s="243"/>
      <c r="B320" s="407"/>
      <c r="C320" s="407"/>
      <c r="D320" s="407"/>
      <c r="E320" s="407">
        <f>'SODA ASH BENAR'!E43</f>
        <v>0</v>
      </c>
      <c r="F320" s="407">
        <f>'SODA ASH BENAR'!F43</f>
        <v>0</v>
      </c>
      <c r="G320" s="407">
        <f>'SODA ASH BENAR'!G43</f>
        <v>0</v>
      </c>
      <c r="H320" s="407"/>
      <c r="I320" s="407"/>
      <c r="J320" s="407"/>
      <c r="K320" s="407"/>
      <c r="L320" s="407"/>
      <c r="M320" s="407"/>
      <c r="N320" s="407"/>
      <c r="O320" s="407"/>
      <c r="P320" s="407">
        <f>'SODA ASH BENAR'!P43</f>
        <v>0</v>
      </c>
      <c r="Q320" s="407">
        <f>'SODA ASH BENAR'!Q43</f>
        <v>0</v>
      </c>
    </row>
    <row r="321" spans="1:17" x14ac:dyDescent="0.25">
      <c r="A321" s="243"/>
      <c r="B321" s="407"/>
      <c r="C321" s="407"/>
      <c r="D321" s="407"/>
      <c r="E321" s="407"/>
      <c r="F321" s="407"/>
      <c r="G321" s="407"/>
      <c r="H321" s="407"/>
      <c r="I321" s="407"/>
      <c r="J321" s="407"/>
      <c r="K321" s="407"/>
      <c r="L321" s="407"/>
      <c r="M321" s="407"/>
      <c r="N321" s="407"/>
      <c r="O321" s="407"/>
      <c r="P321" s="430">
        <f>'SODA ASH BENAR'!P44</f>
        <v>0</v>
      </c>
      <c r="Q321" s="430">
        <f>'SODA ASH BENAR'!Q44</f>
        <v>0</v>
      </c>
    </row>
    <row r="322" spans="1:17" x14ac:dyDescent="0.25">
      <c r="A322" s="295"/>
      <c r="B322" s="295"/>
      <c r="C322" s="295"/>
      <c r="D322" s="295"/>
      <c r="E322" s="295"/>
      <c r="F322" s="295"/>
      <c r="G322" s="295"/>
      <c r="H322" s="295"/>
      <c r="I322" s="295"/>
      <c r="J322" s="295"/>
      <c r="K322" s="295"/>
      <c r="L322" s="295"/>
      <c r="M322" s="295"/>
      <c r="N322" s="295"/>
      <c r="O322" s="295"/>
      <c r="P322" s="295"/>
      <c r="Q322" s="295"/>
    </row>
    <row r="323" spans="1:17" x14ac:dyDescent="0.25">
      <c r="A323" s="242"/>
      <c r="B323" s="242"/>
      <c r="C323" s="242"/>
      <c r="D323" s="242"/>
      <c r="E323" s="242"/>
      <c r="F323" s="242"/>
      <c r="G323" s="242"/>
      <c r="H323" s="242"/>
      <c r="I323" s="242"/>
      <c r="J323" s="242"/>
      <c r="K323" s="242"/>
      <c r="L323" s="242"/>
      <c r="M323" s="242"/>
      <c r="N323" s="242"/>
      <c r="O323" s="242"/>
      <c r="P323" s="242"/>
      <c r="Q323" s="242"/>
    </row>
    <row r="324" spans="1:17" x14ac:dyDescent="0.25">
      <c r="A324" s="242"/>
      <c r="B324" s="242"/>
      <c r="C324" s="242"/>
      <c r="D324" s="242"/>
      <c r="E324" s="242"/>
      <c r="F324" s="242"/>
      <c r="G324" s="242"/>
      <c r="H324" s="242"/>
      <c r="I324" s="242"/>
      <c r="J324" s="242"/>
      <c r="K324" s="242"/>
      <c r="L324" s="242"/>
      <c r="M324" s="242"/>
      <c r="N324" s="242"/>
      <c r="O324" s="242"/>
      <c r="P324" s="242"/>
      <c r="Q324" s="242"/>
    </row>
    <row r="325" spans="1:17" x14ac:dyDescent="0.25">
      <c r="A325" s="537" t="s">
        <v>46</v>
      </c>
      <c r="B325" s="537"/>
      <c r="C325" s="537"/>
      <c r="D325" s="537"/>
      <c r="E325" s="537"/>
      <c r="F325" s="537"/>
      <c r="G325" s="537"/>
      <c r="H325" s="537"/>
      <c r="I325" s="537"/>
      <c r="J325" s="537"/>
      <c r="K325" s="537"/>
      <c r="L325" s="242"/>
      <c r="M325" s="242"/>
      <c r="N325" s="242"/>
      <c r="O325" s="242"/>
      <c r="P325" s="242"/>
      <c r="Q325" s="242"/>
    </row>
    <row r="326" spans="1:17" x14ac:dyDescent="0.25">
      <c r="A326" s="536" t="s">
        <v>0</v>
      </c>
      <c r="B326" s="536" t="s">
        <v>7</v>
      </c>
      <c r="C326" s="536"/>
      <c r="D326" s="536"/>
      <c r="E326" s="536" t="s">
        <v>5</v>
      </c>
      <c r="F326" s="536"/>
      <c r="G326" s="536"/>
      <c r="H326" s="536" t="s">
        <v>4</v>
      </c>
      <c r="I326" s="536"/>
      <c r="J326" s="536" t="s">
        <v>6</v>
      </c>
      <c r="K326" s="536"/>
      <c r="L326" s="242"/>
      <c r="M326" s="242"/>
      <c r="N326" s="242"/>
      <c r="O326" s="242"/>
      <c r="P326" s="242"/>
      <c r="Q326" s="242"/>
    </row>
    <row r="327" spans="1:17" x14ac:dyDescent="0.25">
      <c r="A327" s="536"/>
      <c r="B327" s="231" t="s">
        <v>8</v>
      </c>
      <c r="C327" s="231" t="s">
        <v>14</v>
      </c>
      <c r="D327" s="231" t="s">
        <v>13</v>
      </c>
      <c r="E327" s="231" t="s">
        <v>8</v>
      </c>
      <c r="F327" s="231" t="s">
        <v>14</v>
      </c>
      <c r="G327" s="231" t="s">
        <v>10</v>
      </c>
      <c r="H327" s="231" t="s">
        <v>8</v>
      </c>
      <c r="I327" s="231" t="s">
        <v>13</v>
      </c>
      <c r="J327" s="231" t="s">
        <v>8</v>
      </c>
      <c r="K327" s="231" t="s">
        <v>13</v>
      </c>
      <c r="L327" s="242"/>
      <c r="M327" s="242"/>
      <c r="N327" s="242"/>
      <c r="O327" s="242"/>
      <c r="P327" s="242"/>
      <c r="Q327" s="242"/>
    </row>
    <row r="328" spans="1:17" x14ac:dyDescent="0.25">
      <c r="A328" s="232"/>
      <c r="B328" s="233"/>
      <c r="C328" s="233"/>
      <c r="D328" s="233"/>
      <c r="E328" s="233"/>
      <c r="F328" s="233"/>
      <c r="G328" s="233"/>
      <c r="H328" s="233"/>
      <c r="I328" s="233"/>
      <c r="J328" s="233"/>
      <c r="K328" s="233"/>
      <c r="L328" s="242"/>
      <c r="M328" s="242"/>
      <c r="N328" s="242"/>
      <c r="O328" s="242"/>
      <c r="P328" s="242"/>
      <c r="Q328" s="242"/>
    </row>
    <row r="329" spans="1:17" x14ac:dyDescent="0.25">
      <c r="A329" s="243" t="s">
        <v>55</v>
      </c>
      <c r="B329" s="244">
        <f>'Soda Ash K. B'!B30</f>
        <v>0</v>
      </c>
      <c r="C329" s="244">
        <f>'Soda Ash K. B'!C30</f>
        <v>0</v>
      </c>
      <c r="D329" s="244">
        <f>'Soda Ash K. B'!D30</f>
        <v>0</v>
      </c>
      <c r="E329" s="244">
        <f>'Soda Ash K. B'!E30</f>
        <v>0</v>
      </c>
      <c r="F329" s="244">
        <f>'Soda Ash K. B'!F30</f>
        <v>0</v>
      </c>
      <c r="G329" s="244">
        <f>'Soda Ash K. B'!G30</f>
        <v>0</v>
      </c>
      <c r="H329" s="244">
        <f>'Soda Ash K. B'!H30</f>
        <v>0</v>
      </c>
      <c r="I329" s="244">
        <f>'Soda Ash K. B'!I30</f>
        <v>0</v>
      </c>
      <c r="J329" s="244">
        <f>'Soda Ash K. B'!J30</f>
        <v>0</v>
      </c>
      <c r="K329" s="244">
        <f>'Soda Ash K. B'!K30</f>
        <v>0</v>
      </c>
      <c r="L329" s="242"/>
      <c r="M329" s="242"/>
      <c r="N329" s="242"/>
      <c r="O329" s="242"/>
      <c r="P329" s="242"/>
      <c r="Q329" s="242"/>
    </row>
    <row r="330" spans="1:17" x14ac:dyDescent="0.25">
      <c r="A330" s="243"/>
      <c r="B330" s="244" t="e">
        <f>'Soda Ash K. B'!#REF!</f>
        <v>#REF!</v>
      </c>
      <c r="C330" s="244" t="e">
        <f>'Soda Ash K. B'!#REF!</f>
        <v>#REF!</v>
      </c>
      <c r="D330" s="244" t="e">
        <f>'Soda Ash K. B'!#REF!</f>
        <v>#REF!</v>
      </c>
      <c r="E330" s="244"/>
      <c r="F330" s="244"/>
      <c r="G330" s="244"/>
      <c r="H330" s="244"/>
      <c r="I330" s="244"/>
      <c r="J330" s="244"/>
      <c r="K330" s="244"/>
      <c r="L330" s="242"/>
      <c r="M330" s="242"/>
      <c r="N330" s="242"/>
      <c r="O330" s="242"/>
      <c r="P330" s="242"/>
      <c r="Q330" s="242"/>
    </row>
    <row r="331" spans="1:17" x14ac:dyDescent="0.25">
      <c r="A331" s="247"/>
      <c r="B331" s="346" t="e">
        <f>'Soda Ash K. B'!#REF!</f>
        <v>#REF!</v>
      </c>
      <c r="C331" s="346" t="e">
        <f>'Soda Ash K. B'!#REF!</f>
        <v>#REF!</v>
      </c>
      <c r="D331" s="346" t="e">
        <f>'Soda Ash K. B'!#REF!</f>
        <v>#REF!</v>
      </c>
      <c r="E331" s="346"/>
      <c r="F331" s="346"/>
      <c r="G331" s="346"/>
      <c r="H331" s="346"/>
      <c r="I331" s="346"/>
      <c r="J331" s="346"/>
      <c r="K331" s="346"/>
      <c r="L331" s="242"/>
      <c r="M331" s="242"/>
      <c r="N331" s="242"/>
      <c r="O331" s="242"/>
      <c r="P331" s="242"/>
      <c r="Q331" s="242"/>
    </row>
    <row r="332" spans="1:17" x14ac:dyDescent="0.25">
      <c r="A332" s="242"/>
      <c r="B332" s="242"/>
      <c r="C332" s="242"/>
      <c r="D332" s="242"/>
      <c r="E332" s="242"/>
      <c r="F332" s="242"/>
      <c r="G332" s="242"/>
      <c r="H332" s="242"/>
      <c r="I332" s="242"/>
      <c r="J332" s="242"/>
      <c r="K332" s="242"/>
      <c r="L332" s="242"/>
      <c r="M332" s="242"/>
      <c r="N332" s="242"/>
      <c r="O332" s="242"/>
      <c r="P332" s="242"/>
      <c r="Q332" s="242"/>
    </row>
    <row r="333" spans="1:17" x14ac:dyDescent="0.25">
      <c r="A333" s="242"/>
      <c r="B333" s="242"/>
      <c r="C333" s="242"/>
      <c r="D333" s="242"/>
      <c r="E333" s="242"/>
      <c r="F333" s="242"/>
      <c r="G333" s="242"/>
      <c r="H333" s="242"/>
      <c r="I333" s="242"/>
      <c r="J333" s="242"/>
      <c r="K333" s="242"/>
      <c r="L333" s="242"/>
      <c r="M333" s="242"/>
      <c r="N333" s="242"/>
      <c r="O333" s="242"/>
      <c r="P333" s="242"/>
      <c r="Q333" s="242"/>
    </row>
    <row r="334" spans="1:17" x14ac:dyDescent="0.25">
      <c r="A334" s="242"/>
      <c r="B334" s="242"/>
      <c r="C334" s="242"/>
      <c r="D334" s="242"/>
      <c r="E334" s="242"/>
      <c r="F334" s="242"/>
      <c r="G334" s="242"/>
      <c r="H334" s="242"/>
      <c r="I334" s="242"/>
      <c r="J334" s="242"/>
      <c r="K334" s="242"/>
      <c r="L334" s="242"/>
      <c r="M334" s="242"/>
      <c r="N334" s="242"/>
      <c r="O334" s="242"/>
      <c r="P334" s="242"/>
      <c r="Q334" s="242"/>
    </row>
    <row r="335" spans="1:17" x14ac:dyDescent="0.25">
      <c r="A335" s="537" t="s">
        <v>47</v>
      </c>
      <c r="B335" s="537"/>
      <c r="C335" s="537"/>
      <c r="D335" s="537"/>
      <c r="E335" s="537"/>
      <c r="F335" s="537"/>
      <c r="G335" s="537"/>
      <c r="H335" s="537"/>
      <c r="I335" s="537"/>
      <c r="J335" s="537"/>
      <c r="K335" s="537"/>
      <c r="L335" s="242"/>
      <c r="M335" s="242"/>
      <c r="N335" s="242"/>
      <c r="O335" s="242"/>
      <c r="P335" s="242"/>
      <c r="Q335" s="242"/>
    </row>
    <row r="336" spans="1:17" x14ac:dyDescent="0.25">
      <c r="A336" s="536" t="s">
        <v>0</v>
      </c>
      <c r="B336" s="536" t="s">
        <v>7</v>
      </c>
      <c r="C336" s="536"/>
      <c r="D336" s="536"/>
      <c r="E336" s="536" t="s">
        <v>5</v>
      </c>
      <c r="F336" s="536"/>
      <c r="G336" s="536"/>
      <c r="H336" s="536" t="s">
        <v>4</v>
      </c>
      <c r="I336" s="536"/>
      <c r="J336" s="536" t="s">
        <v>6</v>
      </c>
      <c r="K336" s="536"/>
      <c r="L336" s="242"/>
      <c r="M336" s="242"/>
      <c r="N336" s="242"/>
      <c r="O336" s="242"/>
      <c r="P336" s="242"/>
      <c r="Q336" s="242"/>
    </row>
    <row r="337" spans="1:17" x14ac:dyDescent="0.25">
      <c r="A337" s="536"/>
      <c r="B337" s="231" t="s">
        <v>8</v>
      </c>
      <c r="C337" s="231" t="s">
        <v>14</v>
      </c>
      <c r="D337" s="231" t="s">
        <v>13</v>
      </c>
      <c r="E337" s="231" t="s">
        <v>8</v>
      </c>
      <c r="F337" s="231" t="s">
        <v>14</v>
      </c>
      <c r="G337" s="231" t="s">
        <v>10</v>
      </c>
      <c r="H337" s="231" t="s">
        <v>8</v>
      </c>
      <c r="I337" s="231" t="s">
        <v>13</v>
      </c>
      <c r="J337" s="231" t="s">
        <v>8</v>
      </c>
      <c r="K337" s="231" t="s">
        <v>13</v>
      </c>
      <c r="L337" s="242"/>
      <c r="M337" s="242"/>
      <c r="N337" s="242"/>
      <c r="O337" s="242"/>
      <c r="P337" s="242"/>
      <c r="Q337" s="242"/>
    </row>
    <row r="338" spans="1:17" x14ac:dyDescent="0.25">
      <c r="A338" s="232"/>
      <c r="B338" s="233"/>
      <c r="C338" s="267"/>
      <c r="D338" s="233"/>
      <c r="E338" s="233"/>
      <c r="F338" s="233"/>
      <c r="G338" s="233"/>
      <c r="H338" s="233"/>
      <c r="I338" s="233"/>
      <c r="J338" s="233"/>
      <c r="K338" s="233"/>
      <c r="L338" s="242"/>
      <c r="M338" s="242"/>
      <c r="N338" s="242"/>
      <c r="O338" s="242"/>
      <c r="P338" s="242"/>
      <c r="Q338" s="242"/>
    </row>
    <row r="339" spans="1:17" x14ac:dyDescent="0.25">
      <c r="A339" s="243" t="s">
        <v>55</v>
      </c>
      <c r="B339" s="244">
        <f>'Soda Ash Hanau'!B25</f>
        <v>0</v>
      </c>
      <c r="C339" s="244">
        <f>'Soda Ash Hanau'!C25</f>
        <v>0</v>
      </c>
      <c r="D339" s="244">
        <f>'Soda Ash Hanau'!D25</f>
        <v>0</v>
      </c>
      <c r="E339" s="244">
        <f>'Soda Ash Hanau'!E25</f>
        <v>0</v>
      </c>
      <c r="F339" s="244">
        <f>'Soda Ash Hanau'!F25</f>
        <v>0</v>
      </c>
      <c r="G339" s="244">
        <f>'Soda Ash Hanau'!G25</f>
        <v>0</v>
      </c>
      <c r="H339" s="244">
        <f>'Soda Ash Hanau'!H25</f>
        <v>0</v>
      </c>
      <c r="I339" s="244">
        <f>'Soda Ash Hanau'!I25</f>
        <v>0</v>
      </c>
      <c r="J339" s="244">
        <f>'Soda Ash Hanau'!J25</f>
        <v>0</v>
      </c>
      <c r="K339" s="244">
        <f>'Soda Ash Hanau'!K25</f>
        <v>0</v>
      </c>
      <c r="L339" s="242"/>
      <c r="M339" s="242"/>
      <c r="N339" s="242"/>
      <c r="O339" s="242"/>
      <c r="P339" s="242"/>
      <c r="Q339" s="242"/>
    </row>
    <row r="340" spans="1:17" x14ac:dyDescent="0.25">
      <c r="A340" s="243"/>
      <c r="B340" s="244" t="e">
        <f>'Soda Ash Hanau'!#REF!</f>
        <v>#REF!</v>
      </c>
      <c r="C340" s="244" t="e">
        <f>'Soda Ash Hanau'!#REF!</f>
        <v>#REF!</v>
      </c>
      <c r="D340" s="244" t="e">
        <f>'Soda Ash Hanau'!#REF!</f>
        <v>#REF!</v>
      </c>
      <c r="E340" s="244" t="e">
        <f>'Soda Ash Hanau'!#REF!</f>
        <v>#REF!</v>
      </c>
      <c r="F340" s="244" t="e">
        <f>'Soda Ash Hanau'!#REF!</f>
        <v>#REF!</v>
      </c>
      <c r="G340" s="244" t="e">
        <f>'Soda Ash Hanau'!#REF!</f>
        <v>#REF!</v>
      </c>
      <c r="H340" s="244" t="e">
        <f>'Soda Ash Hanau'!#REF!</f>
        <v>#REF!</v>
      </c>
      <c r="I340" s="244" t="e">
        <f>'Soda Ash Hanau'!#REF!</f>
        <v>#REF!</v>
      </c>
      <c r="J340" s="244" t="e">
        <f>'Soda Ash Hanau'!#REF!</f>
        <v>#REF!</v>
      </c>
      <c r="K340" s="244" t="e">
        <f>'Soda Ash Hanau'!#REF!</f>
        <v>#REF!</v>
      </c>
      <c r="L340" s="242"/>
      <c r="M340" s="242"/>
      <c r="N340" s="242"/>
      <c r="O340" s="242"/>
      <c r="P340" s="242"/>
      <c r="Q340" s="242"/>
    </row>
    <row r="341" spans="1:17" x14ac:dyDescent="0.25">
      <c r="A341" s="247"/>
      <c r="B341" s="346" t="e">
        <f>'Soda Ash Hanau'!#REF!</f>
        <v>#REF!</v>
      </c>
      <c r="C341" s="346" t="e">
        <f>'Soda Ash Hanau'!#REF!</f>
        <v>#REF!</v>
      </c>
      <c r="D341" s="346" t="e">
        <f>'Soda Ash Hanau'!#REF!</f>
        <v>#REF!</v>
      </c>
      <c r="E341" s="346" t="e">
        <f>'Soda Ash Hanau'!#REF!</f>
        <v>#REF!</v>
      </c>
      <c r="F341" s="346" t="e">
        <f>'Soda Ash Hanau'!#REF!</f>
        <v>#REF!</v>
      </c>
      <c r="G341" s="346" t="e">
        <f>'Soda Ash Hanau'!#REF!</f>
        <v>#REF!</v>
      </c>
      <c r="H341" s="346" t="e">
        <f>'Soda Ash Hanau'!#REF!</f>
        <v>#REF!</v>
      </c>
      <c r="I341" s="346" t="e">
        <f>'Soda Ash Hanau'!#REF!</f>
        <v>#REF!</v>
      </c>
      <c r="J341" s="375" t="e">
        <f>'Soda Ash Hanau'!#REF!</f>
        <v>#REF!</v>
      </c>
      <c r="K341" s="375" t="e">
        <f>'Soda Ash Hanau'!#REF!</f>
        <v>#REF!</v>
      </c>
      <c r="L341" s="242"/>
      <c r="M341" s="242"/>
      <c r="N341" s="242"/>
      <c r="O341" s="242"/>
      <c r="P341" s="242"/>
      <c r="Q341" s="242"/>
    </row>
    <row r="346" spans="1:17" ht="21" x14ac:dyDescent="0.35">
      <c r="A346" s="520">
        <v>45962</v>
      </c>
      <c r="B346" s="520"/>
      <c r="C346" s="297"/>
      <c r="D346" s="297"/>
      <c r="E346" s="297"/>
      <c r="F346" s="297"/>
      <c r="G346" s="297"/>
      <c r="H346" s="297"/>
      <c r="I346" s="297"/>
      <c r="J346" s="297"/>
      <c r="K346" s="297"/>
      <c r="L346" s="297"/>
      <c r="M346" s="297"/>
      <c r="N346" s="297"/>
      <c r="O346" s="297"/>
      <c r="P346" s="297"/>
      <c r="Q346" s="297"/>
    </row>
    <row r="347" spans="1:17" x14ac:dyDescent="0.25">
      <c r="A347" s="297"/>
      <c r="B347" s="297"/>
      <c r="C347" s="297"/>
      <c r="D347" s="297"/>
      <c r="E347" s="297"/>
      <c r="F347" s="297"/>
      <c r="G347" s="297"/>
      <c r="H347" s="297"/>
      <c r="I347" s="297"/>
      <c r="J347" s="297"/>
      <c r="K347" s="297"/>
      <c r="L347" s="297"/>
      <c r="M347" s="297"/>
      <c r="N347" s="297"/>
      <c r="O347" s="297"/>
      <c r="P347" s="297"/>
      <c r="Q347" s="297"/>
    </row>
    <row r="348" spans="1:17" x14ac:dyDescent="0.25">
      <c r="A348" s="297"/>
      <c r="B348" s="297"/>
      <c r="C348" s="297"/>
      <c r="D348" s="297"/>
      <c r="E348" s="297"/>
      <c r="F348" s="297"/>
      <c r="G348" s="297"/>
      <c r="H348" s="297"/>
      <c r="I348" s="297"/>
      <c r="J348" s="297"/>
      <c r="K348" s="297"/>
      <c r="L348" s="297"/>
      <c r="M348" s="297"/>
      <c r="N348" s="297"/>
      <c r="O348" s="297"/>
      <c r="P348" s="297"/>
      <c r="Q348" s="297"/>
    </row>
    <row r="349" spans="1:17" x14ac:dyDescent="0.25">
      <c r="A349" s="544" t="s">
        <v>45</v>
      </c>
      <c r="B349" s="544"/>
      <c r="C349" s="544"/>
      <c r="D349" s="544"/>
      <c r="E349" s="544"/>
      <c r="F349" s="544"/>
      <c r="G349" s="544"/>
      <c r="H349" s="544"/>
      <c r="I349" s="544"/>
      <c r="J349" s="544"/>
      <c r="K349" s="544"/>
      <c r="L349" s="544"/>
      <c r="M349" s="544"/>
      <c r="N349" s="544"/>
      <c r="O349" s="544"/>
      <c r="P349" s="544"/>
      <c r="Q349" s="544"/>
    </row>
    <row r="350" spans="1:17" x14ac:dyDescent="0.25">
      <c r="A350" s="313"/>
      <c r="B350" s="314"/>
      <c r="C350" s="314"/>
      <c r="D350" s="314"/>
      <c r="E350" s="315"/>
      <c r="F350" s="315"/>
      <c r="G350" s="314"/>
      <c r="H350" s="314"/>
      <c r="I350" s="314"/>
      <c r="J350" s="314"/>
      <c r="K350" s="314"/>
      <c r="L350" s="314"/>
      <c r="M350" s="314"/>
      <c r="N350" s="314"/>
      <c r="O350" s="314"/>
      <c r="P350" s="314"/>
      <c r="Q350" s="314"/>
    </row>
    <row r="351" spans="1:17" x14ac:dyDescent="0.25">
      <c r="A351" s="530" t="s">
        <v>0</v>
      </c>
      <c r="B351" s="545" t="s">
        <v>7</v>
      </c>
      <c r="C351" s="545"/>
      <c r="D351" s="545"/>
      <c r="E351" s="545" t="s">
        <v>5</v>
      </c>
      <c r="F351" s="545"/>
      <c r="G351" s="545"/>
      <c r="H351" s="533" t="s">
        <v>25</v>
      </c>
      <c r="I351" s="534"/>
      <c r="J351" s="535"/>
      <c r="K351" s="533" t="s">
        <v>26</v>
      </c>
      <c r="L351" s="534"/>
      <c r="M351" s="535"/>
      <c r="N351" s="545" t="s">
        <v>4</v>
      </c>
      <c r="O351" s="545"/>
      <c r="P351" s="545" t="s">
        <v>6</v>
      </c>
      <c r="Q351" s="545"/>
    </row>
    <row r="352" spans="1:17" x14ac:dyDescent="0.25">
      <c r="A352" s="531"/>
      <c r="B352" s="316" t="s">
        <v>8</v>
      </c>
      <c r="C352" s="316" t="s">
        <v>9</v>
      </c>
      <c r="D352" s="316" t="s">
        <v>13</v>
      </c>
      <c r="E352" s="317" t="s">
        <v>8</v>
      </c>
      <c r="F352" s="317" t="s">
        <v>9</v>
      </c>
      <c r="G352" s="316" t="s">
        <v>13</v>
      </c>
      <c r="H352" s="307" t="s">
        <v>8</v>
      </c>
      <c r="I352" s="307" t="s">
        <v>9</v>
      </c>
      <c r="J352" s="307" t="s">
        <v>13</v>
      </c>
      <c r="K352" s="307" t="s">
        <v>8</v>
      </c>
      <c r="L352" s="307" t="s">
        <v>9</v>
      </c>
      <c r="M352" s="307" t="s">
        <v>13</v>
      </c>
      <c r="N352" s="316" t="s">
        <v>8</v>
      </c>
      <c r="O352" s="316" t="s">
        <v>13</v>
      </c>
      <c r="P352" s="316" t="s">
        <v>8</v>
      </c>
      <c r="Q352" s="316" t="s">
        <v>13</v>
      </c>
    </row>
    <row r="353" spans="1:17" x14ac:dyDescent="0.25">
      <c r="A353" s="308"/>
      <c r="B353" s="318"/>
      <c r="C353" s="318"/>
      <c r="D353" s="318"/>
      <c r="E353" s="319"/>
      <c r="F353" s="319"/>
      <c r="G353" s="318"/>
      <c r="H353" s="318"/>
      <c r="I353" s="320"/>
      <c r="J353" s="308"/>
      <c r="K353" s="321"/>
      <c r="L353" s="318"/>
      <c r="M353" s="318"/>
      <c r="N353" s="318"/>
      <c r="O353" s="318"/>
      <c r="P353" s="318"/>
      <c r="Q353" s="318"/>
    </row>
    <row r="354" spans="1:17" x14ac:dyDescent="0.25">
      <c r="A354" s="285" t="s">
        <v>56</v>
      </c>
      <c r="B354" s="311">
        <f>'SODA ASH BENAR'!B46</f>
        <v>0</v>
      </c>
      <c r="C354" s="311">
        <f>'SODA ASH BENAR'!C46</f>
        <v>0</v>
      </c>
      <c r="D354" s="311">
        <f>'SODA ASH BENAR'!D46</f>
        <v>0</v>
      </c>
      <c r="E354" s="311">
        <f>'SODA ASH BENAR'!E46</f>
        <v>0</v>
      </c>
      <c r="F354" s="311">
        <f>'SODA ASH BENAR'!F46</f>
        <v>0</v>
      </c>
      <c r="G354" s="311">
        <f>'SODA ASH BENAR'!G46</f>
        <v>0</v>
      </c>
      <c r="H354" s="311">
        <f>'SODA ASH BENAR'!H46</f>
        <v>0</v>
      </c>
      <c r="I354" s="311">
        <f>'SODA ASH BENAR'!I46</f>
        <v>0</v>
      </c>
      <c r="J354" s="311">
        <f>'SODA ASH BENAR'!J46</f>
        <v>0</v>
      </c>
      <c r="K354" s="311">
        <f>'SODA ASH BENAR'!K46</f>
        <v>0</v>
      </c>
      <c r="L354" s="311">
        <f>'SODA ASH BENAR'!L46</f>
        <v>0</v>
      </c>
      <c r="M354" s="311">
        <f>'SODA ASH BENAR'!M46</f>
        <v>0</v>
      </c>
      <c r="N354" s="311">
        <f>'SODA ASH BENAR'!N46</f>
        <v>0</v>
      </c>
      <c r="O354" s="311">
        <f>'SODA ASH BENAR'!O46</f>
        <v>0</v>
      </c>
      <c r="P354" s="311">
        <f>'SODA ASH BENAR'!P46</f>
        <v>0</v>
      </c>
      <c r="Q354" s="311">
        <f>'SODA ASH BENAR'!Q46</f>
        <v>0</v>
      </c>
    </row>
    <row r="355" spans="1:17" x14ac:dyDescent="0.25">
      <c r="A355" s="243"/>
      <c r="B355" s="311">
        <f>'SODA ASH BENAR'!B47</f>
        <v>0</v>
      </c>
      <c r="C355" s="311">
        <f>'SODA ASH BENAR'!C47</f>
        <v>0</v>
      </c>
      <c r="D355" s="311">
        <f>'SODA ASH BENAR'!D47</f>
        <v>0</v>
      </c>
      <c r="E355" s="311">
        <f>'SODA ASH BENAR'!E47</f>
        <v>0</v>
      </c>
      <c r="F355" s="311">
        <f>'SODA ASH BENAR'!F47</f>
        <v>0</v>
      </c>
      <c r="G355" s="311">
        <f>'SODA ASH BENAR'!G47</f>
        <v>0</v>
      </c>
      <c r="H355" s="311">
        <f>'SODA ASH BENAR'!H47</f>
        <v>0</v>
      </c>
      <c r="I355" s="311">
        <f>'SODA ASH BENAR'!I47</f>
        <v>0</v>
      </c>
      <c r="J355" s="311">
        <f>'SODA ASH BENAR'!J47</f>
        <v>0</v>
      </c>
      <c r="K355" s="311">
        <f>'SODA ASH BENAR'!K47</f>
        <v>0</v>
      </c>
      <c r="L355" s="311">
        <f>'SODA ASH BENAR'!L47</f>
        <v>0</v>
      </c>
      <c r="M355" s="311">
        <f>'SODA ASH BENAR'!M47</f>
        <v>0</v>
      </c>
      <c r="N355" s="311">
        <f>'SODA ASH BENAR'!N47</f>
        <v>0</v>
      </c>
      <c r="O355" s="311">
        <f>'SODA ASH BENAR'!O47</f>
        <v>0</v>
      </c>
      <c r="P355" s="311">
        <f>'SODA ASH BENAR'!P47</f>
        <v>0</v>
      </c>
      <c r="Q355" s="311">
        <f>'SODA ASH BENAR'!Q47</f>
        <v>0</v>
      </c>
    </row>
    <row r="356" spans="1:17" x14ac:dyDescent="0.25">
      <c r="A356" s="243"/>
      <c r="B356" s="412">
        <f>'SODA ASH BENAR'!B48</f>
        <v>0</v>
      </c>
      <c r="C356" s="412">
        <f>'SODA ASH BENAR'!C48</f>
        <v>0</v>
      </c>
      <c r="D356" s="412">
        <f>'SODA ASH BENAR'!D48</f>
        <v>0</v>
      </c>
      <c r="E356" s="311">
        <f>'SODA ASH BENAR'!E48</f>
        <v>0</v>
      </c>
      <c r="F356" s="311">
        <f>'SODA ASH BENAR'!F48</f>
        <v>0</v>
      </c>
      <c r="G356" s="311">
        <f>'SODA ASH BENAR'!G48</f>
        <v>0</v>
      </c>
      <c r="H356" s="412">
        <f>'SODA ASH BENAR'!H48</f>
        <v>0</v>
      </c>
      <c r="I356" s="412">
        <f>'SODA ASH BENAR'!I48</f>
        <v>0</v>
      </c>
      <c r="J356" s="412">
        <f>'SODA ASH BENAR'!J48</f>
        <v>0</v>
      </c>
      <c r="K356" s="311">
        <f>'SODA ASH BENAR'!K48</f>
        <v>0</v>
      </c>
      <c r="L356" s="311">
        <f>'SODA ASH BENAR'!L48</f>
        <v>0</v>
      </c>
      <c r="M356" s="311">
        <f>'SODA ASH BENAR'!M48</f>
        <v>0</v>
      </c>
      <c r="N356" s="311">
        <f>'SODA ASH BENAR'!N48</f>
        <v>0</v>
      </c>
      <c r="O356" s="311">
        <f>'SODA ASH BENAR'!O48</f>
        <v>0</v>
      </c>
      <c r="P356" s="412">
        <f>'SODA ASH BENAR'!P48</f>
        <v>0</v>
      </c>
      <c r="Q356" s="412">
        <f>'SODA ASH BENAR'!Q48</f>
        <v>0</v>
      </c>
    </row>
    <row r="357" spans="1:17" x14ac:dyDescent="0.25">
      <c r="A357" s="243"/>
      <c r="B357" s="236"/>
      <c r="C357" s="261"/>
      <c r="D357" s="245"/>
      <c r="E357" s="246"/>
      <c r="F357" s="246"/>
      <c r="G357" s="245"/>
      <c r="H357" s="323"/>
      <c r="I357" s="245"/>
      <c r="J357" s="245"/>
      <c r="K357" s="245"/>
      <c r="L357" s="245"/>
      <c r="M357" s="245"/>
      <c r="N357" s="266"/>
      <c r="O357" s="251"/>
      <c r="P357" s="241"/>
      <c r="Q357" s="251"/>
    </row>
    <row r="358" spans="1:17" x14ac:dyDescent="0.25">
      <c r="A358" s="295"/>
      <c r="B358" s="295"/>
      <c r="C358" s="295"/>
      <c r="D358" s="295"/>
      <c r="E358" s="295"/>
      <c r="F358" s="295"/>
      <c r="G358" s="295"/>
      <c r="H358" s="295"/>
      <c r="I358" s="295"/>
      <c r="J358" s="295"/>
      <c r="K358" s="295"/>
      <c r="L358" s="295"/>
      <c r="M358" s="295"/>
      <c r="N358" s="295"/>
      <c r="O358" s="295"/>
      <c r="P358" s="295"/>
      <c r="Q358" s="295"/>
    </row>
    <row r="359" spans="1:17" x14ac:dyDescent="0.25">
      <c r="A359" s="242"/>
      <c r="B359" s="242"/>
      <c r="C359" s="242"/>
      <c r="D359" s="242"/>
      <c r="E359" s="242"/>
      <c r="F359" s="242"/>
      <c r="G359" s="242"/>
      <c r="H359" s="242"/>
      <c r="I359" s="242"/>
      <c r="J359" s="242"/>
      <c r="K359" s="242"/>
      <c r="L359" s="242"/>
      <c r="M359" s="242"/>
      <c r="N359" s="242"/>
      <c r="O359" s="242"/>
      <c r="P359" s="242"/>
      <c r="Q359" s="242"/>
    </row>
    <row r="360" spans="1:17" x14ac:dyDescent="0.25">
      <c r="A360" s="242"/>
      <c r="B360" s="242"/>
      <c r="C360" s="242"/>
      <c r="D360" s="242"/>
      <c r="E360" s="242"/>
      <c r="F360" s="242"/>
      <c r="G360" s="242"/>
      <c r="H360" s="242"/>
      <c r="I360" s="242"/>
      <c r="J360" s="242"/>
      <c r="K360" s="242"/>
      <c r="L360" s="242"/>
      <c r="M360" s="242"/>
      <c r="N360" s="242"/>
      <c r="O360" s="242"/>
      <c r="P360" s="242"/>
      <c r="Q360" s="242"/>
    </row>
    <row r="361" spans="1:17" x14ac:dyDescent="0.25">
      <c r="A361" s="537" t="s">
        <v>46</v>
      </c>
      <c r="B361" s="537"/>
      <c r="C361" s="537"/>
      <c r="D361" s="537"/>
      <c r="E361" s="537"/>
      <c r="F361" s="537"/>
      <c r="G361" s="537"/>
      <c r="H361" s="537"/>
      <c r="I361" s="537"/>
      <c r="J361" s="537"/>
      <c r="K361" s="537"/>
      <c r="L361" s="242"/>
      <c r="M361" s="242"/>
      <c r="N361" s="242"/>
      <c r="O361" s="242"/>
      <c r="P361" s="242"/>
      <c r="Q361" s="242"/>
    </row>
    <row r="362" spans="1:17" x14ac:dyDescent="0.25">
      <c r="A362" s="536" t="s">
        <v>0</v>
      </c>
      <c r="B362" s="536" t="s">
        <v>7</v>
      </c>
      <c r="C362" s="536"/>
      <c r="D362" s="536"/>
      <c r="E362" s="536" t="s">
        <v>5</v>
      </c>
      <c r="F362" s="536"/>
      <c r="G362" s="536"/>
      <c r="H362" s="536" t="s">
        <v>4</v>
      </c>
      <c r="I362" s="536"/>
      <c r="J362" s="536" t="s">
        <v>6</v>
      </c>
      <c r="K362" s="536"/>
      <c r="L362" s="242"/>
      <c r="M362" s="242"/>
      <c r="N362" s="242"/>
      <c r="O362" s="242"/>
      <c r="P362" s="242"/>
      <c r="Q362" s="242"/>
    </row>
    <row r="363" spans="1:17" x14ac:dyDescent="0.25">
      <c r="A363" s="536"/>
      <c r="B363" s="231" t="s">
        <v>8</v>
      </c>
      <c r="C363" s="231" t="s">
        <v>14</v>
      </c>
      <c r="D363" s="231" t="s">
        <v>13</v>
      </c>
      <c r="E363" s="231" t="s">
        <v>8</v>
      </c>
      <c r="F363" s="231" t="s">
        <v>14</v>
      </c>
      <c r="G363" s="231" t="s">
        <v>10</v>
      </c>
      <c r="H363" s="231" t="s">
        <v>8</v>
      </c>
      <c r="I363" s="231" t="s">
        <v>13</v>
      </c>
      <c r="J363" s="231" t="s">
        <v>8</v>
      </c>
      <c r="K363" s="231" t="s">
        <v>13</v>
      </c>
      <c r="L363" s="242"/>
      <c r="M363" s="242"/>
      <c r="N363" s="242"/>
      <c r="O363" s="242"/>
      <c r="P363" s="242"/>
      <c r="Q363" s="242"/>
    </row>
    <row r="364" spans="1:17" x14ac:dyDescent="0.25">
      <c r="A364" s="232"/>
      <c r="B364" s="233"/>
      <c r="C364" s="233"/>
      <c r="D364" s="233"/>
      <c r="E364" s="233"/>
      <c r="F364" s="233"/>
      <c r="G364" s="233"/>
      <c r="H364" s="233"/>
      <c r="I364" s="233"/>
      <c r="J364" s="233"/>
      <c r="K364" s="233"/>
      <c r="L364" s="242"/>
      <c r="M364" s="242"/>
      <c r="N364" s="242"/>
      <c r="O364" s="242"/>
      <c r="P364" s="242"/>
      <c r="Q364" s="242"/>
    </row>
    <row r="365" spans="1:17" x14ac:dyDescent="0.25">
      <c r="A365" s="243" t="s">
        <v>56</v>
      </c>
      <c r="B365" s="244">
        <f>'Soda Ash K. B'!B32</f>
        <v>0</v>
      </c>
      <c r="C365" s="244">
        <f>'Soda Ash K. B'!C32</f>
        <v>0</v>
      </c>
      <c r="D365" s="244">
        <f>'Soda Ash K. B'!D32</f>
        <v>0</v>
      </c>
      <c r="E365" s="244">
        <f>'Soda Ash K. B'!E32</f>
        <v>0</v>
      </c>
      <c r="F365" s="244">
        <f>'Soda Ash K. B'!F32</f>
        <v>0</v>
      </c>
      <c r="G365" s="244">
        <f>'Soda Ash K. B'!G32</f>
        <v>0</v>
      </c>
      <c r="H365" s="244">
        <f>'Soda Ash K. B'!H32</f>
        <v>0</v>
      </c>
      <c r="I365" s="244">
        <f>'Soda Ash K. B'!I32</f>
        <v>0</v>
      </c>
      <c r="J365" s="244">
        <f>'Soda Ash K. B'!J32</f>
        <v>0</v>
      </c>
      <c r="K365" s="244">
        <f>'Soda Ash K. B'!K32</f>
        <v>0</v>
      </c>
      <c r="L365" s="242"/>
      <c r="M365" s="242"/>
      <c r="N365" s="242"/>
      <c r="O365" s="242"/>
      <c r="P365" s="242"/>
      <c r="Q365" s="242"/>
    </row>
    <row r="366" spans="1:17" x14ac:dyDescent="0.25">
      <c r="A366" s="243"/>
      <c r="B366" s="244" t="e">
        <f>'Soda Ash K. B'!#REF!</f>
        <v>#REF!</v>
      </c>
      <c r="C366" s="244" t="e">
        <f>'Soda Ash K. B'!#REF!</f>
        <v>#REF!</v>
      </c>
      <c r="D366" s="244" t="e">
        <f>'Soda Ash K. B'!#REF!</f>
        <v>#REF!</v>
      </c>
      <c r="E366" s="244" t="e">
        <f>'Soda Ash K. B'!#REF!</f>
        <v>#REF!</v>
      </c>
      <c r="F366" s="244" t="e">
        <f>'Soda Ash K. B'!#REF!</f>
        <v>#REF!</v>
      </c>
      <c r="G366" s="244" t="e">
        <f>'Soda Ash K. B'!#REF!</f>
        <v>#REF!</v>
      </c>
      <c r="H366" s="244" t="e">
        <f>'Soda Ash K. B'!#REF!</f>
        <v>#REF!</v>
      </c>
      <c r="I366" s="244" t="e">
        <f>'Soda Ash K. B'!#REF!</f>
        <v>#REF!</v>
      </c>
      <c r="J366" s="244" t="e">
        <f>'Soda Ash K. B'!#REF!</f>
        <v>#REF!</v>
      </c>
      <c r="K366" s="244" t="e">
        <f>'Soda Ash K. B'!#REF!</f>
        <v>#REF!</v>
      </c>
      <c r="L366" s="242"/>
      <c r="M366" s="242"/>
      <c r="N366" s="242"/>
      <c r="O366" s="242"/>
      <c r="P366" s="242"/>
      <c r="Q366" s="242"/>
    </row>
    <row r="367" spans="1:17" x14ac:dyDescent="0.25">
      <c r="A367" s="247"/>
      <c r="B367" s="346" t="e">
        <f>'Soda Ash K. B'!#REF!</f>
        <v>#REF!</v>
      </c>
      <c r="C367" s="346" t="e">
        <f>'Soda Ash K. B'!#REF!</f>
        <v>#REF!</v>
      </c>
      <c r="D367" s="346" t="e">
        <f>'Soda Ash K. B'!#REF!</f>
        <v>#REF!</v>
      </c>
      <c r="E367" s="375" t="e">
        <f>'Soda Ash K. B'!#REF!</f>
        <v>#REF!</v>
      </c>
      <c r="F367" s="375" t="e">
        <f>'Soda Ash K. B'!#REF!</f>
        <v>#REF!</v>
      </c>
      <c r="G367" s="375" t="e">
        <f>'Soda Ash K. B'!#REF!</f>
        <v>#REF!</v>
      </c>
      <c r="H367" s="375" t="e">
        <f>'Soda Ash K. B'!#REF!</f>
        <v>#REF!</v>
      </c>
      <c r="I367" s="375" t="e">
        <f>'Soda Ash K. B'!#REF!</f>
        <v>#REF!</v>
      </c>
      <c r="J367" s="375" t="e">
        <f>'Soda Ash K. B'!#REF!</f>
        <v>#REF!</v>
      </c>
      <c r="K367" s="375" t="e">
        <f>'Soda Ash K. B'!#REF!</f>
        <v>#REF!</v>
      </c>
      <c r="L367" s="242"/>
      <c r="M367" s="242"/>
      <c r="N367" s="242"/>
      <c r="O367" s="242"/>
      <c r="P367" s="242"/>
      <c r="Q367" s="242"/>
    </row>
    <row r="368" spans="1:17" x14ac:dyDescent="0.25">
      <c r="A368" s="242"/>
      <c r="B368" s="242"/>
      <c r="C368" s="242"/>
      <c r="D368" s="242"/>
      <c r="E368" s="242"/>
      <c r="F368" s="242"/>
      <c r="G368" s="242"/>
      <c r="H368" s="242"/>
      <c r="I368" s="242"/>
      <c r="J368" s="242"/>
      <c r="K368" s="242"/>
      <c r="L368" s="242"/>
      <c r="M368" s="242"/>
      <c r="N368" s="242"/>
      <c r="O368" s="242"/>
      <c r="P368" s="242"/>
      <c r="Q368" s="242"/>
    </row>
    <row r="369" spans="1:17" x14ac:dyDescent="0.25">
      <c r="A369" s="242"/>
      <c r="B369" s="242"/>
      <c r="C369" s="242"/>
      <c r="D369" s="242"/>
      <c r="E369" s="242"/>
      <c r="F369" s="242"/>
      <c r="G369" s="242"/>
      <c r="H369" s="242"/>
      <c r="I369" s="242"/>
      <c r="J369" s="242"/>
      <c r="K369" s="242"/>
      <c r="L369" s="242"/>
      <c r="M369" s="242"/>
      <c r="N369" s="242"/>
      <c r="O369" s="242"/>
      <c r="P369" s="242"/>
      <c r="Q369" s="242"/>
    </row>
    <row r="370" spans="1:17" x14ac:dyDescent="0.25">
      <c r="A370" s="242"/>
      <c r="B370" s="242"/>
      <c r="C370" s="242"/>
      <c r="D370" s="242"/>
      <c r="E370" s="242"/>
      <c r="F370" s="242"/>
      <c r="G370" s="242"/>
      <c r="H370" s="242"/>
      <c r="I370" s="242"/>
      <c r="J370" s="242"/>
      <c r="K370" s="242"/>
      <c r="L370" s="242"/>
      <c r="M370" s="242"/>
      <c r="N370" s="242"/>
      <c r="O370" s="242"/>
      <c r="P370" s="242"/>
      <c r="Q370" s="242"/>
    </row>
    <row r="371" spans="1:17" x14ac:dyDescent="0.25">
      <c r="A371" s="537" t="s">
        <v>47</v>
      </c>
      <c r="B371" s="537"/>
      <c r="C371" s="537"/>
      <c r="D371" s="537"/>
      <c r="E371" s="537"/>
      <c r="F371" s="537"/>
      <c r="G371" s="537"/>
      <c r="H371" s="537"/>
      <c r="I371" s="537"/>
      <c r="J371" s="537"/>
      <c r="K371" s="537"/>
      <c r="L371" s="242"/>
      <c r="M371" s="242"/>
      <c r="N371" s="242"/>
      <c r="O371" s="242"/>
      <c r="P371" s="242"/>
      <c r="Q371" s="242"/>
    </row>
    <row r="372" spans="1:17" x14ac:dyDescent="0.25">
      <c r="A372" s="536" t="s">
        <v>0</v>
      </c>
      <c r="B372" s="536" t="s">
        <v>7</v>
      </c>
      <c r="C372" s="536"/>
      <c r="D372" s="536"/>
      <c r="E372" s="536" t="s">
        <v>5</v>
      </c>
      <c r="F372" s="536"/>
      <c r="G372" s="536"/>
      <c r="H372" s="536" t="s">
        <v>4</v>
      </c>
      <c r="I372" s="536"/>
      <c r="J372" s="536" t="s">
        <v>6</v>
      </c>
      <c r="K372" s="536"/>
      <c r="L372" s="242"/>
      <c r="M372" s="242"/>
      <c r="N372" s="242"/>
      <c r="O372" s="242"/>
      <c r="P372" s="242"/>
      <c r="Q372" s="242"/>
    </row>
    <row r="373" spans="1:17" x14ac:dyDescent="0.25">
      <c r="A373" s="536"/>
      <c r="B373" s="231" t="s">
        <v>8</v>
      </c>
      <c r="C373" s="231" t="s">
        <v>14</v>
      </c>
      <c r="D373" s="231" t="s">
        <v>13</v>
      </c>
      <c r="E373" s="231" t="s">
        <v>8</v>
      </c>
      <c r="F373" s="231" t="s">
        <v>14</v>
      </c>
      <c r="G373" s="231" t="s">
        <v>10</v>
      </c>
      <c r="H373" s="231" t="s">
        <v>8</v>
      </c>
      <c r="I373" s="231" t="s">
        <v>13</v>
      </c>
      <c r="J373" s="231" t="s">
        <v>8</v>
      </c>
      <c r="K373" s="231" t="s">
        <v>13</v>
      </c>
      <c r="L373" s="242"/>
      <c r="M373" s="242"/>
      <c r="N373" s="242"/>
      <c r="O373" s="242"/>
      <c r="P373" s="242"/>
      <c r="Q373" s="242"/>
    </row>
    <row r="374" spans="1:17" x14ac:dyDescent="0.25">
      <c r="A374" s="232"/>
      <c r="B374" s="233"/>
      <c r="C374" s="267"/>
      <c r="D374" s="233"/>
      <c r="E374" s="233"/>
      <c r="F374" s="233"/>
      <c r="G374" s="233"/>
      <c r="H374" s="233"/>
      <c r="I374" s="233"/>
      <c r="J374" s="233"/>
      <c r="K374" s="233"/>
      <c r="L374" s="242"/>
      <c r="M374" s="242"/>
      <c r="N374" s="242"/>
      <c r="O374" s="242"/>
      <c r="P374" s="242"/>
      <c r="Q374" s="242"/>
    </row>
    <row r="375" spans="1:17" x14ac:dyDescent="0.25">
      <c r="A375" s="243" t="s">
        <v>56</v>
      </c>
      <c r="B375" s="244">
        <f>'Soda Ash Hanau'!B27</f>
        <v>0</v>
      </c>
      <c r="C375" s="244">
        <f>'Soda Ash Hanau'!C27</f>
        <v>0</v>
      </c>
      <c r="D375" s="244">
        <f>'Soda Ash Hanau'!D27</f>
        <v>0</v>
      </c>
      <c r="E375" s="244">
        <f>'Soda Ash Hanau'!E27</f>
        <v>0</v>
      </c>
      <c r="F375" s="244">
        <f>'Soda Ash Hanau'!F27</f>
        <v>0</v>
      </c>
      <c r="G375" s="244">
        <f>'Soda Ash Hanau'!G27</f>
        <v>0</v>
      </c>
      <c r="H375" s="244">
        <f>'Soda Ash Hanau'!H27</f>
        <v>0</v>
      </c>
      <c r="I375" s="244">
        <f>'Soda Ash Hanau'!I27</f>
        <v>0</v>
      </c>
      <c r="J375" s="244">
        <f>'Soda Ash Hanau'!J27</f>
        <v>0</v>
      </c>
      <c r="K375" s="244">
        <f>'Soda Ash Hanau'!K27</f>
        <v>0</v>
      </c>
      <c r="L375" s="242"/>
      <c r="M375" s="242"/>
      <c r="N375" s="242"/>
      <c r="O375" s="242"/>
      <c r="P375" s="242"/>
      <c r="Q375" s="242"/>
    </row>
    <row r="376" spans="1:17" x14ac:dyDescent="0.25">
      <c r="A376" s="243"/>
      <c r="B376" s="244">
        <f>'Soda Ash Hanau'!B28</f>
        <v>0</v>
      </c>
      <c r="C376" s="244">
        <f>'Soda Ash Hanau'!C28</f>
        <v>0</v>
      </c>
      <c r="D376" s="244">
        <f>'Soda Ash Hanau'!D28</f>
        <v>0</v>
      </c>
      <c r="E376" s="244">
        <f>'Soda Ash Hanau'!E28</f>
        <v>0</v>
      </c>
      <c r="F376" s="244">
        <f>'Soda Ash Hanau'!F28</f>
        <v>0</v>
      </c>
      <c r="G376" s="244">
        <f>'Soda Ash Hanau'!G28</f>
        <v>0</v>
      </c>
      <c r="H376" s="244">
        <f>'Soda Ash Hanau'!H28</f>
        <v>0</v>
      </c>
      <c r="I376" s="244">
        <f>'Soda Ash Hanau'!I28</f>
        <v>0</v>
      </c>
      <c r="J376" s="244">
        <f>'Soda Ash Hanau'!J28</f>
        <v>0</v>
      </c>
      <c r="K376" s="244">
        <f>'Soda Ash Hanau'!K28</f>
        <v>0</v>
      </c>
      <c r="L376" s="242"/>
      <c r="M376" s="242"/>
      <c r="N376" s="242"/>
      <c r="O376" s="242"/>
      <c r="P376" s="242"/>
      <c r="Q376" s="242"/>
    </row>
    <row r="377" spans="1:17" x14ac:dyDescent="0.25">
      <c r="A377" s="247"/>
      <c r="B377" s="296" t="e">
        <f>'Soda Ash Hanau'!#REF!</f>
        <v>#REF!</v>
      </c>
      <c r="C377" s="296" t="e">
        <f>'Soda Ash Hanau'!#REF!</f>
        <v>#REF!</v>
      </c>
      <c r="D377" s="296" t="e">
        <f>'Soda Ash Hanau'!#REF!</f>
        <v>#REF!</v>
      </c>
      <c r="E377" s="244" t="e">
        <f>'Soda Ash Hanau'!#REF!</f>
        <v>#REF!</v>
      </c>
      <c r="F377" s="244" t="e">
        <f>'Soda Ash Hanau'!#REF!</f>
        <v>#REF!</v>
      </c>
      <c r="G377" s="244" t="e">
        <f>'Soda Ash Hanau'!#REF!</f>
        <v>#REF!</v>
      </c>
      <c r="H377" s="296" t="e">
        <f>'Soda Ash Hanau'!#REF!</f>
        <v>#REF!</v>
      </c>
      <c r="I377" s="296" t="e">
        <f>'Soda Ash Hanau'!#REF!</f>
        <v>#REF!</v>
      </c>
      <c r="J377" s="296" t="e">
        <f>'Soda Ash Hanau'!#REF!</f>
        <v>#REF!</v>
      </c>
      <c r="K377" s="296" t="e">
        <f>'Soda Ash Hanau'!#REF!</f>
        <v>#REF!</v>
      </c>
      <c r="L377" s="242"/>
      <c r="M377" s="242"/>
      <c r="N377" s="242"/>
      <c r="O377" s="242"/>
      <c r="P377" s="242"/>
      <c r="Q377" s="242"/>
    </row>
    <row r="378" spans="1:17" x14ac:dyDescent="0.25">
      <c r="B378" s="244" t="e">
        <f>'Soda Ash Hanau'!#REF!</f>
        <v>#REF!</v>
      </c>
      <c r="C378" s="244" t="e">
        <f>'Soda Ash Hanau'!#REF!</f>
        <v>#REF!</v>
      </c>
      <c r="D378" s="244" t="e">
        <f>'Soda Ash Hanau'!#REF!</f>
        <v>#REF!</v>
      </c>
      <c r="E378" s="244" t="e">
        <f>'Soda Ash Hanau'!#REF!</f>
        <v>#REF!</v>
      </c>
      <c r="F378" s="244" t="e">
        <f>'Soda Ash Hanau'!#REF!</f>
        <v>#REF!</v>
      </c>
      <c r="G378" s="244" t="e">
        <f>'Soda Ash Hanau'!#REF!</f>
        <v>#REF!</v>
      </c>
      <c r="H378" s="244" t="e">
        <f>'Soda Ash Hanau'!#REF!</f>
        <v>#REF!</v>
      </c>
      <c r="I378" s="244" t="e">
        <f>'Soda Ash Hanau'!#REF!</f>
        <v>#REF!</v>
      </c>
      <c r="J378" s="244" t="e">
        <f>'Soda Ash Hanau'!#REF!</f>
        <v>#REF!</v>
      </c>
      <c r="K378" s="244" t="e">
        <f>'Soda Ash Hanau'!#REF!</f>
        <v>#REF!</v>
      </c>
    </row>
    <row r="379" spans="1:17" x14ac:dyDescent="0.25">
      <c r="A379" s="436"/>
      <c r="B379" s="346" t="e">
        <f>'Soda Ash Hanau'!#REF!</f>
        <v>#REF!</v>
      </c>
      <c r="C379" s="346" t="e">
        <f>'Soda Ash Hanau'!#REF!</f>
        <v>#REF!</v>
      </c>
      <c r="D379" s="346" t="e">
        <f>'Soda Ash Hanau'!#REF!</f>
        <v>#REF!</v>
      </c>
      <c r="E379" s="346" t="e">
        <f>'Soda Ash Hanau'!#REF!</f>
        <v>#REF!</v>
      </c>
      <c r="F379" s="346" t="e">
        <f>'Soda Ash Hanau'!#REF!</f>
        <v>#REF!</v>
      </c>
      <c r="G379" s="346" t="e">
        <f>'Soda Ash Hanau'!#REF!</f>
        <v>#REF!</v>
      </c>
      <c r="H379" s="346" t="e">
        <f>'Soda Ash Hanau'!#REF!</f>
        <v>#REF!</v>
      </c>
      <c r="I379" s="346" t="e">
        <f>'Soda Ash Hanau'!#REF!</f>
        <v>#REF!</v>
      </c>
      <c r="J379" s="375" t="e">
        <f>'Soda Ash Hanau'!#REF!</f>
        <v>#REF!</v>
      </c>
      <c r="K379" s="375" t="e">
        <f>'Soda Ash Hanau'!#REF!</f>
        <v>#REF!</v>
      </c>
    </row>
    <row r="380" spans="1:17" x14ac:dyDescent="0.25">
      <c r="B380" s="420"/>
      <c r="C380" s="420"/>
      <c r="D380" s="420"/>
      <c r="E380" s="420"/>
      <c r="F380" s="420"/>
      <c r="G380" s="420"/>
      <c r="H380" s="420"/>
      <c r="I380" s="420"/>
      <c r="J380" s="420"/>
      <c r="K380" s="420"/>
    </row>
    <row r="382" spans="1:17" ht="21" x14ac:dyDescent="0.35">
      <c r="A382" s="278" t="s">
        <v>107</v>
      </c>
      <c r="B382" s="297"/>
      <c r="C382" s="297"/>
      <c r="D382" s="297"/>
      <c r="E382" s="297"/>
      <c r="F382" s="297"/>
      <c r="G382" s="297"/>
      <c r="H382" s="297"/>
      <c r="I382" s="297"/>
      <c r="J382" s="297"/>
      <c r="K382" s="297"/>
      <c r="L382" s="297"/>
      <c r="M382" s="297"/>
      <c r="N382" s="297"/>
      <c r="O382" s="297"/>
      <c r="P382" s="297"/>
      <c r="Q382" s="297"/>
    </row>
    <row r="383" spans="1:17" x14ac:dyDescent="0.25">
      <c r="A383" s="297"/>
      <c r="B383" s="297"/>
      <c r="C383" s="297"/>
      <c r="D383" s="297"/>
      <c r="E383" s="297"/>
      <c r="F383" s="297"/>
      <c r="G383" s="297"/>
      <c r="H383" s="297"/>
      <c r="I383" s="297"/>
      <c r="J383" s="297"/>
      <c r="K383" s="297"/>
      <c r="L383" s="297"/>
      <c r="M383" s="297"/>
      <c r="N383" s="297"/>
      <c r="O383" s="297"/>
      <c r="P383" s="297"/>
      <c r="Q383" s="297"/>
    </row>
    <row r="384" spans="1:17" x14ac:dyDescent="0.25">
      <c r="A384" s="297"/>
      <c r="B384" s="297"/>
      <c r="C384" s="297"/>
      <c r="D384" s="297"/>
      <c r="E384" s="297"/>
      <c r="F384" s="297"/>
      <c r="G384" s="297"/>
      <c r="H384" s="297"/>
      <c r="I384" s="297"/>
      <c r="J384" s="297"/>
      <c r="K384" s="297"/>
      <c r="L384" s="297"/>
      <c r="M384" s="297"/>
      <c r="N384" s="297"/>
      <c r="O384" s="297"/>
      <c r="P384" s="297"/>
      <c r="Q384" s="297"/>
    </row>
    <row r="385" spans="1:17" x14ac:dyDescent="0.25">
      <c r="A385" s="544" t="s">
        <v>45</v>
      </c>
      <c r="B385" s="544"/>
      <c r="C385" s="544"/>
      <c r="D385" s="544"/>
      <c r="E385" s="544"/>
      <c r="F385" s="544"/>
      <c r="G385" s="544"/>
      <c r="H385" s="544"/>
      <c r="I385" s="544"/>
      <c r="J385" s="544"/>
      <c r="K385" s="544"/>
      <c r="L385" s="544"/>
      <c r="M385" s="544"/>
      <c r="N385" s="544"/>
      <c r="O385" s="544"/>
      <c r="P385" s="544"/>
      <c r="Q385" s="544"/>
    </row>
    <row r="386" spans="1:17" x14ac:dyDescent="0.25">
      <c r="A386" s="313"/>
      <c r="B386" s="314"/>
      <c r="C386" s="314"/>
      <c r="D386" s="314"/>
      <c r="E386" s="315"/>
      <c r="F386" s="315"/>
      <c r="G386" s="314"/>
      <c r="H386" s="314"/>
      <c r="I386" s="314"/>
      <c r="J386" s="314"/>
      <c r="K386" s="314"/>
      <c r="L386" s="314"/>
      <c r="M386" s="314"/>
      <c r="N386" s="314"/>
      <c r="O386" s="314"/>
      <c r="P386" s="314"/>
      <c r="Q386" s="314"/>
    </row>
    <row r="387" spans="1:17" x14ac:dyDescent="0.25">
      <c r="A387" s="530" t="s">
        <v>0</v>
      </c>
      <c r="B387" s="545" t="s">
        <v>7</v>
      </c>
      <c r="C387" s="545"/>
      <c r="D387" s="545"/>
      <c r="E387" s="545" t="s">
        <v>5</v>
      </c>
      <c r="F387" s="545"/>
      <c r="G387" s="545"/>
      <c r="H387" s="533" t="s">
        <v>25</v>
      </c>
      <c r="I387" s="534"/>
      <c r="J387" s="535"/>
      <c r="K387" s="533" t="s">
        <v>26</v>
      </c>
      <c r="L387" s="534"/>
      <c r="M387" s="535"/>
      <c r="N387" s="545" t="s">
        <v>4</v>
      </c>
      <c r="O387" s="545"/>
      <c r="P387" s="545" t="s">
        <v>6</v>
      </c>
      <c r="Q387" s="545"/>
    </row>
    <row r="388" spans="1:17" x14ac:dyDescent="0.25">
      <c r="A388" s="531"/>
      <c r="B388" s="316" t="s">
        <v>8</v>
      </c>
      <c r="C388" s="316" t="s">
        <v>9</v>
      </c>
      <c r="D388" s="316" t="s">
        <v>13</v>
      </c>
      <c r="E388" s="317" t="s">
        <v>8</v>
      </c>
      <c r="F388" s="317" t="s">
        <v>9</v>
      </c>
      <c r="G388" s="316" t="s">
        <v>13</v>
      </c>
      <c r="H388" s="307" t="s">
        <v>8</v>
      </c>
      <c r="I388" s="307" t="s">
        <v>9</v>
      </c>
      <c r="J388" s="307" t="s">
        <v>13</v>
      </c>
      <c r="K388" s="307" t="s">
        <v>8</v>
      </c>
      <c r="L388" s="307" t="s">
        <v>9</v>
      </c>
      <c r="M388" s="307" t="s">
        <v>13</v>
      </c>
      <c r="N388" s="316" t="s">
        <v>8</v>
      </c>
      <c r="O388" s="316" t="s">
        <v>13</v>
      </c>
      <c r="P388" s="316" t="s">
        <v>8</v>
      </c>
      <c r="Q388" s="316" t="s">
        <v>13</v>
      </c>
    </row>
    <row r="389" spans="1:17" x14ac:dyDescent="0.25">
      <c r="A389" s="308"/>
      <c r="B389" s="318"/>
      <c r="C389" s="318"/>
      <c r="D389" s="318"/>
      <c r="E389" s="319"/>
      <c r="F389" s="319"/>
      <c r="G389" s="318"/>
      <c r="H389" s="318"/>
      <c r="I389" s="320"/>
      <c r="J389" s="308"/>
      <c r="K389" s="321"/>
      <c r="L389" s="318"/>
      <c r="M389" s="318"/>
      <c r="N389" s="318"/>
      <c r="O389" s="318"/>
      <c r="P389" s="318"/>
      <c r="Q389" s="318"/>
    </row>
    <row r="390" spans="1:17" x14ac:dyDescent="0.25">
      <c r="A390" s="285" t="s">
        <v>57</v>
      </c>
      <c r="B390" s="311">
        <f>'SODA ASH BENAR'!B50</f>
        <v>0</v>
      </c>
      <c r="C390" s="311">
        <f>'SODA ASH BENAR'!C50</f>
        <v>0</v>
      </c>
      <c r="D390" s="311">
        <f>'SODA ASH BENAR'!D50</f>
        <v>0</v>
      </c>
      <c r="E390" s="311">
        <f>'SODA ASH BENAR'!E50</f>
        <v>0</v>
      </c>
      <c r="F390" s="311">
        <f>'SODA ASH BENAR'!F50</f>
        <v>0</v>
      </c>
      <c r="G390" s="311">
        <f>'SODA ASH BENAR'!G50</f>
        <v>0</v>
      </c>
      <c r="H390" s="311">
        <f>'SODA ASH BENAR'!H50</f>
        <v>0</v>
      </c>
      <c r="I390" s="311">
        <f>'SODA ASH BENAR'!I50</f>
        <v>0</v>
      </c>
      <c r="J390" s="311">
        <f>'SODA ASH BENAR'!J50</f>
        <v>0</v>
      </c>
      <c r="K390" s="311">
        <f>'SODA ASH BENAR'!K50</f>
        <v>0</v>
      </c>
      <c r="L390" s="311">
        <f>'SODA ASH BENAR'!L50</f>
        <v>0</v>
      </c>
      <c r="M390" s="311">
        <f>'SODA ASH BENAR'!M50</f>
        <v>0</v>
      </c>
      <c r="N390" s="311">
        <f>'SODA ASH BENAR'!N50</f>
        <v>0</v>
      </c>
      <c r="O390" s="311">
        <f>'SODA ASH BENAR'!O50</f>
        <v>0</v>
      </c>
      <c r="P390" s="311">
        <f>'SODA ASH BENAR'!P50</f>
        <v>0</v>
      </c>
      <c r="Q390" s="311">
        <f>'SODA ASH BENAR'!Q50</f>
        <v>0</v>
      </c>
    </row>
    <row r="391" spans="1:17" x14ac:dyDescent="0.25">
      <c r="A391" s="243"/>
      <c r="B391" s="311">
        <f>'SODA ASH BENAR'!B51</f>
        <v>0</v>
      </c>
      <c r="C391" s="311">
        <f>'SODA ASH BENAR'!C51</f>
        <v>0</v>
      </c>
      <c r="D391" s="311">
        <f>'SODA ASH BENAR'!D51</f>
        <v>0</v>
      </c>
      <c r="E391" s="311">
        <f>'SODA ASH BENAR'!E51</f>
        <v>0</v>
      </c>
      <c r="F391" s="311">
        <f>'SODA ASH BENAR'!F51</f>
        <v>0</v>
      </c>
      <c r="G391" s="311">
        <f>'SODA ASH BENAR'!G51</f>
        <v>0</v>
      </c>
      <c r="H391" s="311">
        <f>'SODA ASH BENAR'!H51</f>
        <v>0</v>
      </c>
      <c r="I391" s="311">
        <f>'SODA ASH BENAR'!I51</f>
        <v>0</v>
      </c>
      <c r="J391" s="311">
        <f>'SODA ASH BENAR'!J51</f>
        <v>0</v>
      </c>
      <c r="K391" s="311">
        <f>'SODA ASH BENAR'!K51</f>
        <v>0</v>
      </c>
      <c r="L391" s="311">
        <f>'SODA ASH BENAR'!L51</f>
        <v>0</v>
      </c>
      <c r="M391" s="311">
        <f>'SODA ASH BENAR'!M51</f>
        <v>0</v>
      </c>
      <c r="N391" s="311">
        <f>'SODA ASH BENAR'!N51</f>
        <v>0</v>
      </c>
      <c r="O391" s="311">
        <f>'SODA ASH BENAR'!O51</f>
        <v>0</v>
      </c>
      <c r="P391" s="311">
        <f>'SODA ASH BENAR'!P51</f>
        <v>0</v>
      </c>
      <c r="Q391" s="311">
        <f>'SODA ASH BENAR'!Q51</f>
        <v>0</v>
      </c>
    </row>
    <row r="392" spans="1:17" x14ac:dyDescent="0.25">
      <c r="A392" s="243"/>
      <c r="B392" s="311">
        <f>'SODA ASH BENAR'!B52</f>
        <v>0</v>
      </c>
      <c r="C392" s="311">
        <f>'SODA ASH BENAR'!C52</f>
        <v>0</v>
      </c>
      <c r="D392" s="311">
        <f>'SODA ASH BENAR'!D52</f>
        <v>0</v>
      </c>
      <c r="E392" s="311">
        <f>'SODA ASH BENAR'!E52</f>
        <v>0</v>
      </c>
      <c r="F392" s="311">
        <f>'SODA ASH BENAR'!F52</f>
        <v>0</v>
      </c>
      <c r="G392" s="311">
        <f>'SODA ASH BENAR'!G52</f>
        <v>0</v>
      </c>
      <c r="H392" s="311">
        <f>'SODA ASH BENAR'!H52</f>
        <v>0</v>
      </c>
      <c r="I392" s="311">
        <f>'SODA ASH BENAR'!I52</f>
        <v>0</v>
      </c>
      <c r="J392" s="311">
        <f>'SODA ASH BENAR'!J52</f>
        <v>0</v>
      </c>
      <c r="K392" s="311">
        <f>'SODA ASH BENAR'!K52</f>
        <v>0</v>
      </c>
      <c r="L392" s="311">
        <f>'SODA ASH BENAR'!L52</f>
        <v>0</v>
      </c>
      <c r="M392" s="388">
        <f>'SODA ASH BENAR'!M52</f>
        <v>0</v>
      </c>
      <c r="N392" s="388">
        <f>'SODA ASH BENAR'!N52</f>
        <v>0</v>
      </c>
      <c r="O392" s="388">
        <f>'SODA ASH BENAR'!O52</f>
        <v>0</v>
      </c>
      <c r="P392" s="389">
        <f>'SODA ASH BENAR'!P52</f>
        <v>0</v>
      </c>
      <c r="Q392" s="389">
        <f>'SODA ASH BENAR'!Q52</f>
        <v>0</v>
      </c>
    </row>
    <row r="393" spans="1:17" x14ac:dyDescent="0.25">
      <c r="A393" s="295"/>
      <c r="B393" s="295"/>
      <c r="C393" s="295"/>
      <c r="D393" s="295"/>
      <c r="E393" s="295"/>
      <c r="F393" s="295"/>
      <c r="G393" s="295"/>
      <c r="H393" s="295"/>
      <c r="I393" s="295"/>
      <c r="J393" s="295"/>
      <c r="K393" s="295"/>
      <c r="L393" s="295"/>
      <c r="M393" s="242"/>
      <c r="N393" s="242"/>
      <c r="O393" s="242"/>
      <c r="P393" s="242"/>
      <c r="Q393" s="242"/>
    </row>
    <row r="394" spans="1:17" x14ac:dyDescent="0.25">
      <c r="A394" s="242"/>
      <c r="B394" s="242"/>
      <c r="C394" s="242"/>
      <c r="D394" s="242"/>
      <c r="E394" s="242"/>
      <c r="F394" s="242"/>
      <c r="G394" s="242"/>
      <c r="H394" s="242"/>
      <c r="I394" s="242"/>
      <c r="J394" s="242"/>
      <c r="K394" s="242"/>
      <c r="L394" s="242"/>
      <c r="M394" s="242"/>
      <c r="N394" s="242"/>
      <c r="O394" s="242"/>
      <c r="P394" s="242"/>
      <c r="Q394" s="242"/>
    </row>
    <row r="395" spans="1:17" x14ac:dyDescent="0.25">
      <c r="A395" s="242"/>
      <c r="B395" s="242"/>
      <c r="C395" s="242"/>
      <c r="D395" s="242"/>
      <c r="E395" s="242"/>
      <c r="F395" s="242"/>
      <c r="G395" s="242"/>
      <c r="H395" s="242"/>
      <c r="I395" s="242"/>
      <c r="J395" s="242"/>
      <c r="K395" s="242"/>
      <c r="L395" s="242"/>
      <c r="M395" s="242"/>
      <c r="N395" s="242"/>
      <c r="O395" s="242"/>
      <c r="P395" s="242"/>
      <c r="Q395" s="242"/>
    </row>
    <row r="396" spans="1:17" x14ac:dyDescent="0.25">
      <c r="A396" s="537" t="s">
        <v>46</v>
      </c>
      <c r="B396" s="537"/>
      <c r="C396" s="537"/>
      <c r="D396" s="537"/>
      <c r="E396" s="537"/>
      <c r="F396" s="537"/>
      <c r="G396" s="537"/>
      <c r="H396" s="537"/>
      <c r="I396" s="537"/>
      <c r="J396" s="537"/>
      <c r="K396" s="537"/>
      <c r="L396" s="242"/>
      <c r="M396" s="242"/>
      <c r="N396" s="242"/>
      <c r="O396" s="242"/>
      <c r="P396" s="242"/>
      <c r="Q396" s="242"/>
    </row>
    <row r="397" spans="1:17" x14ac:dyDescent="0.25">
      <c r="A397" s="536" t="s">
        <v>0</v>
      </c>
      <c r="B397" s="536" t="s">
        <v>7</v>
      </c>
      <c r="C397" s="536"/>
      <c r="D397" s="536"/>
      <c r="E397" s="536" t="s">
        <v>5</v>
      </c>
      <c r="F397" s="536"/>
      <c r="G397" s="536"/>
      <c r="H397" s="536" t="s">
        <v>4</v>
      </c>
      <c r="I397" s="536"/>
      <c r="J397" s="536" t="s">
        <v>6</v>
      </c>
      <c r="K397" s="536"/>
      <c r="L397" s="242"/>
      <c r="M397" s="242"/>
      <c r="N397" s="242"/>
      <c r="O397" s="242"/>
      <c r="P397" s="242"/>
      <c r="Q397" s="242"/>
    </row>
    <row r="398" spans="1:17" x14ac:dyDescent="0.25">
      <c r="A398" s="536"/>
      <c r="B398" s="231" t="s">
        <v>8</v>
      </c>
      <c r="C398" s="231" t="s">
        <v>14</v>
      </c>
      <c r="D398" s="231" t="s">
        <v>13</v>
      </c>
      <c r="E398" s="231" t="s">
        <v>8</v>
      </c>
      <c r="F398" s="231" t="s">
        <v>14</v>
      </c>
      <c r="G398" s="231" t="s">
        <v>10</v>
      </c>
      <c r="H398" s="231" t="s">
        <v>8</v>
      </c>
      <c r="I398" s="231" t="s">
        <v>13</v>
      </c>
      <c r="J398" s="231" t="s">
        <v>8</v>
      </c>
      <c r="K398" s="231" t="s">
        <v>13</v>
      </c>
      <c r="L398" s="242"/>
      <c r="M398" s="242"/>
      <c r="N398" s="242"/>
      <c r="O398" s="242"/>
      <c r="P398" s="242"/>
      <c r="Q398" s="242"/>
    </row>
    <row r="399" spans="1:17" x14ac:dyDescent="0.25">
      <c r="A399" s="232"/>
      <c r="B399" s="233"/>
      <c r="C399" s="233"/>
      <c r="D399" s="233"/>
      <c r="E399" s="233"/>
      <c r="F399" s="233"/>
      <c r="G399" s="233"/>
      <c r="H399" s="233"/>
      <c r="I399" s="233"/>
      <c r="J399" s="233"/>
      <c r="K399" s="233"/>
      <c r="L399" s="242"/>
      <c r="M399" s="242"/>
      <c r="N399" s="242"/>
      <c r="O399" s="242"/>
      <c r="P399" s="242"/>
      <c r="Q399" s="242"/>
    </row>
    <row r="400" spans="1:17" x14ac:dyDescent="0.25">
      <c r="A400" s="243" t="s">
        <v>57</v>
      </c>
      <c r="B400" s="244">
        <f>'Soda Ash K. B'!B34</f>
        <v>0</v>
      </c>
      <c r="C400" s="244">
        <f>'Soda Ash K. B'!C34</f>
        <v>0</v>
      </c>
      <c r="D400" s="244">
        <f>'Soda Ash K. B'!D34</f>
        <v>0</v>
      </c>
      <c r="E400" s="244">
        <f>'Soda Ash K. B'!E34</f>
        <v>0</v>
      </c>
      <c r="F400" s="244">
        <f>'Soda Ash K. B'!F34</f>
        <v>0</v>
      </c>
      <c r="G400" s="244">
        <f>'Soda Ash K. B'!G34</f>
        <v>0</v>
      </c>
      <c r="H400" s="244">
        <f>'Soda Ash K. B'!H34</f>
        <v>0</v>
      </c>
      <c r="I400" s="244">
        <f>'Soda Ash K. B'!I34</f>
        <v>0</v>
      </c>
      <c r="J400" s="244">
        <f>'Soda Ash K. B'!J34</f>
        <v>0</v>
      </c>
      <c r="K400" s="244">
        <f>'Soda Ash K. B'!K34</f>
        <v>0</v>
      </c>
      <c r="L400" s="242"/>
      <c r="M400" s="242"/>
      <c r="N400" s="242"/>
      <c r="O400" s="242"/>
      <c r="P400" s="242"/>
      <c r="Q400" s="242"/>
    </row>
    <row r="401" spans="1:17" x14ac:dyDescent="0.25">
      <c r="A401" s="243"/>
      <c r="B401" s="244"/>
      <c r="C401" s="245"/>
      <c r="D401" s="245"/>
      <c r="E401" s="246"/>
      <c r="F401" s="245"/>
      <c r="G401" s="245"/>
      <c r="H401" s="246"/>
      <c r="I401" s="245"/>
      <c r="J401" s="237"/>
      <c r="K401" s="245"/>
      <c r="L401" s="242"/>
      <c r="M401" s="242"/>
      <c r="N401" s="242"/>
      <c r="O401" s="242"/>
      <c r="P401" s="242"/>
      <c r="Q401" s="242"/>
    </row>
    <row r="402" spans="1:17" x14ac:dyDescent="0.25">
      <c r="A402" s="243"/>
      <c r="B402" s="244"/>
      <c r="C402" s="245"/>
      <c r="D402" s="245"/>
      <c r="E402" s="246"/>
      <c r="F402" s="245"/>
      <c r="G402" s="245"/>
      <c r="H402" s="246"/>
      <c r="I402" s="245"/>
      <c r="J402" s="237"/>
      <c r="K402" s="245"/>
      <c r="L402" s="242"/>
      <c r="M402" s="242"/>
      <c r="N402" s="242"/>
      <c r="O402" s="242"/>
      <c r="P402" s="242"/>
      <c r="Q402" s="242"/>
    </row>
    <row r="403" spans="1:17" x14ac:dyDescent="0.25">
      <c r="A403" s="247"/>
      <c r="B403" s="248"/>
      <c r="C403" s="248"/>
      <c r="D403" s="249"/>
      <c r="E403" s="250"/>
      <c r="F403" s="249"/>
      <c r="G403" s="349"/>
      <c r="H403" s="363"/>
      <c r="I403" s="251"/>
      <c r="J403" s="241"/>
      <c r="K403" s="275"/>
      <c r="L403" s="242"/>
      <c r="M403" s="242"/>
      <c r="N403" s="242"/>
      <c r="O403" s="242"/>
      <c r="P403" s="242"/>
      <c r="Q403" s="242"/>
    </row>
    <row r="404" spans="1:17" x14ac:dyDescent="0.25">
      <c r="A404" s="242"/>
      <c r="B404" s="242"/>
      <c r="C404" s="242"/>
      <c r="D404" s="242"/>
      <c r="E404" s="242"/>
      <c r="F404" s="242"/>
      <c r="G404" s="242"/>
      <c r="H404" s="242"/>
      <c r="I404" s="242"/>
      <c r="J404" s="242"/>
      <c r="K404" s="242"/>
      <c r="L404" s="242"/>
      <c r="M404" s="242"/>
      <c r="N404" s="242"/>
      <c r="O404" s="242"/>
      <c r="P404" s="242"/>
      <c r="Q404" s="242"/>
    </row>
    <row r="405" spans="1:17" x14ac:dyDescent="0.25">
      <c r="A405" s="242"/>
      <c r="B405" s="242"/>
      <c r="C405" s="242"/>
      <c r="D405" s="242"/>
      <c r="E405" s="242"/>
      <c r="F405" s="242"/>
      <c r="G405" s="242"/>
      <c r="H405" s="242"/>
      <c r="I405" s="242"/>
      <c r="J405" s="242"/>
      <c r="K405" s="242"/>
      <c r="L405" s="242"/>
      <c r="M405" s="242"/>
      <c r="N405" s="242"/>
      <c r="O405" s="242"/>
      <c r="P405" s="242"/>
      <c r="Q405" s="242"/>
    </row>
    <row r="406" spans="1:17" x14ac:dyDescent="0.25">
      <c r="A406" s="242"/>
      <c r="B406" s="242"/>
      <c r="C406" s="242"/>
      <c r="D406" s="242"/>
      <c r="E406" s="242"/>
      <c r="F406" s="242"/>
      <c r="G406" s="242"/>
      <c r="H406" s="242"/>
      <c r="I406" s="242"/>
      <c r="J406" s="242"/>
      <c r="K406" s="242"/>
      <c r="L406" s="242"/>
      <c r="M406" s="242"/>
      <c r="N406" s="242"/>
      <c r="O406" s="242"/>
      <c r="P406" s="242"/>
      <c r="Q406" s="242"/>
    </row>
    <row r="407" spans="1:17" x14ac:dyDescent="0.25">
      <c r="A407" s="537" t="s">
        <v>47</v>
      </c>
      <c r="B407" s="537"/>
      <c r="C407" s="537"/>
      <c r="D407" s="537"/>
      <c r="E407" s="537"/>
      <c r="F407" s="537"/>
      <c r="G407" s="537"/>
      <c r="H407" s="537"/>
      <c r="I407" s="537"/>
      <c r="J407" s="537"/>
      <c r="K407" s="537"/>
      <c r="L407" s="242"/>
      <c r="M407" s="242"/>
      <c r="N407" s="242"/>
      <c r="O407" s="242"/>
      <c r="P407" s="242"/>
      <c r="Q407" s="242"/>
    </row>
    <row r="408" spans="1:17" x14ac:dyDescent="0.25">
      <c r="A408" s="536" t="s">
        <v>0</v>
      </c>
      <c r="B408" s="536" t="s">
        <v>7</v>
      </c>
      <c r="C408" s="536"/>
      <c r="D408" s="536"/>
      <c r="E408" s="536" t="s">
        <v>5</v>
      </c>
      <c r="F408" s="536"/>
      <c r="G408" s="536"/>
      <c r="H408" s="536" t="s">
        <v>4</v>
      </c>
      <c r="I408" s="536"/>
      <c r="J408" s="536" t="s">
        <v>6</v>
      </c>
      <c r="K408" s="536"/>
      <c r="L408" s="242"/>
      <c r="M408" s="242"/>
      <c r="N408" s="242"/>
      <c r="O408" s="242"/>
      <c r="P408" s="242"/>
      <c r="Q408" s="242"/>
    </row>
    <row r="409" spans="1:17" x14ac:dyDescent="0.25">
      <c r="A409" s="536"/>
      <c r="B409" s="231" t="s">
        <v>8</v>
      </c>
      <c r="C409" s="231" t="s">
        <v>14</v>
      </c>
      <c r="D409" s="231" t="s">
        <v>13</v>
      </c>
      <c r="E409" s="231" t="s">
        <v>8</v>
      </c>
      <c r="F409" s="231" t="s">
        <v>14</v>
      </c>
      <c r="G409" s="231" t="s">
        <v>10</v>
      </c>
      <c r="H409" s="231" t="s">
        <v>8</v>
      </c>
      <c r="I409" s="231" t="s">
        <v>13</v>
      </c>
      <c r="J409" s="231" t="s">
        <v>8</v>
      </c>
      <c r="K409" s="231" t="s">
        <v>13</v>
      </c>
      <c r="L409" s="242"/>
      <c r="M409" s="242"/>
      <c r="N409" s="242"/>
      <c r="O409" s="242"/>
      <c r="P409" s="242"/>
      <c r="Q409" s="242"/>
    </row>
    <row r="410" spans="1:17" x14ac:dyDescent="0.25">
      <c r="A410" s="345"/>
      <c r="B410" s="233"/>
      <c r="C410" s="348"/>
      <c r="D410" s="233"/>
      <c r="E410" s="347"/>
      <c r="F410" s="233"/>
      <c r="G410" s="233"/>
      <c r="H410" s="233"/>
      <c r="I410" s="233"/>
      <c r="J410" s="233"/>
      <c r="K410" s="233"/>
      <c r="L410" s="242"/>
      <c r="M410" s="242"/>
      <c r="N410" s="242"/>
      <c r="O410" s="242"/>
      <c r="P410" s="242"/>
      <c r="Q410" s="242"/>
    </row>
    <row r="411" spans="1:17" x14ac:dyDescent="0.25">
      <c r="A411" s="330" t="s">
        <v>57</v>
      </c>
      <c r="B411" s="244">
        <f>'Soda Ash Hanau'!B29</f>
        <v>0</v>
      </c>
      <c r="C411" s="244">
        <f>'Soda Ash Hanau'!C29</f>
        <v>0</v>
      </c>
      <c r="D411" s="244">
        <f>'Soda Ash Hanau'!D29</f>
        <v>0</v>
      </c>
      <c r="E411" s="244">
        <f>'Soda Ash Hanau'!E29</f>
        <v>0</v>
      </c>
      <c r="F411" s="244">
        <f>'Soda Ash Hanau'!F29</f>
        <v>0</v>
      </c>
      <c r="G411" s="244">
        <f>'Soda Ash Hanau'!G29</f>
        <v>0</v>
      </c>
      <c r="H411" s="244">
        <f>'Soda Ash Hanau'!H29</f>
        <v>0</v>
      </c>
      <c r="I411" s="244">
        <f>'Soda Ash Hanau'!I29</f>
        <v>0</v>
      </c>
      <c r="J411" s="244">
        <f>'Soda Ash Hanau'!J29</f>
        <v>0</v>
      </c>
      <c r="K411" s="244">
        <f>'Soda Ash Hanau'!K29</f>
        <v>0</v>
      </c>
      <c r="L411" s="242"/>
      <c r="M411" s="242"/>
      <c r="N411" s="242"/>
      <c r="O411" s="242"/>
      <c r="P411" s="242"/>
      <c r="Q411" s="242"/>
    </row>
    <row r="412" spans="1:17" x14ac:dyDescent="0.25">
      <c r="A412" s="330"/>
      <c r="B412" s="244" t="e">
        <f>'Soda Ash Hanau'!#REF!</f>
        <v>#REF!</v>
      </c>
      <c r="C412" s="244" t="e">
        <f>'Soda Ash Hanau'!#REF!</f>
        <v>#REF!</v>
      </c>
      <c r="D412" s="244" t="e">
        <f>'Soda Ash Hanau'!#REF!</f>
        <v>#REF!</v>
      </c>
      <c r="E412" s="244" t="e">
        <f>'Soda Ash Hanau'!#REF!</f>
        <v>#REF!</v>
      </c>
      <c r="F412" s="244" t="e">
        <f>'Soda Ash Hanau'!#REF!</f>
        <v>#REF!</v>
      </c>
      <c r="G412" s="244" t="e">
        <f>'Soda Ash Hanau'!#REF!</f>
        <v>#REF!</v>
      </c>
      <c r="H412" s="244" t="e">
        <f>'Soda Ash Hanau'!#REF!</f>
        <v>#REF!</v>
      </c>
      <c r="I412" s="244" t="e">
        <f>'Soda Ash Hanau'!#REF!</f>
        <v>#REF!</v>
      </c>
      <c r="J412" s="244" t="e">
        <f>'Soda Ash Hanau'!#REF!</f>
        <v>#REF!</v>
      </c>
      <c r="K412" s="244" t="e">
        <f>'Soda Ash Hanau'!#REF!</f>
        <v>#REF!</v>
      </c>
      <c r="L412" s="242"/>
      <c r="M412" s="242"/>
      <c r="N412" s="242"/>
      <c r="O412" s="242"/>
      <c r="P412" s="242"/>
      <c r="Q412" s="242"/>
    </row>
    <row r="413" spans="1:17" x14ac:dyDescent="0.25">
      <c r="A413" s="344"/>
      <c r="B413" s="375" t="e">
        <f>'Soda Ash Hanau'!#REF!</f>
        <v>#REF!</v>
      </c>
      <c r="C413" s="375" t="e">
        <f>'Soda Ash Hanau'!#REF!</f>
        <v>#REF!</v>
      </c>
      <c r="D413" s="375" t="e">
        <f>'Soda Ash Hanau'!#REF!</f>
        <v>#REF!</v>
      </c>
      <c r="E413" s="346" t="e">
        <f>'Soda Ash Hanau'!#REF!</f>
        <v>#REF!</v>
      </c>
      <c r="F413" s="346" t="e">
        <f>'Soda Ash Hanau'!#REF!</f>
        <v>#REF!</v>
      </c>
      <c r="G413" s="346" t="e">
        <f>'Soda Ash Hanau'!#REF!</f>
        <v>#REF!</v>
      </c>
      <c r="H413" s="346" t="e">
        <f>'Soda Ash Hanau'!#REF!</f>
        <v>#REF!</v>
      </c>
      <c r="I413" s="346" t="e">
        <f>'Soda Ash Hanau'!#REF!</f>
        <v>#REF!</v>
      </c>
      <c r="J413" s="375" t="e">
        <f>'Soda Ash Hanau'!#REF!</f>
        <v>#REF!</v>
      </c>
      <c r="K413" s="375" t="e">
        <f>'Soda Ash Hanau'!#REF!</f>
        <v>#REF!</v>
      </c>
      <c r="L413" s="242"/>
      <c r="M413" s="242"/>
      <c r="N413" s="242"/>
      <c r="O413" s="242"/>
      <c r="P413" s="242"/>
      <c r="Q413" s="242"/>
    </row>
  </sheetData>
  <mergeCells count="266">
    <mergeCell ref="A111:B111"/>
    <mergeCell ref="A362:A363"/>
    <mergeCell ref="B362:D362"/>
    <mergeCell ref="E362:G362"/>
    <mergeCell ref="H362:I362"/>
    <mergeCell ref="J362:K362"/>
    <mergeCell ref="A371:K371"/>
    <mergeCell ref="A372:A373"/>
    <mergeCell ref="B372:D372"/>
    <mergeCell ref="E372:G372"/>
    <mergeCell ref="H372:I372"/>
    <mergeCell ref="J372:K372"/>
    <mergeCell ref="A349:Q349"/>
    <mergeCell ref="A351:A352"/>
    <mergeCell ref="B351:D351"/>
    <mergeCell ref="E351:G351"/>
    <mergeCell ref="H351:J351"/>
    <mergeCell ref="K351:M351"/>
    <mergeCell ref="N351:O351"/>
    <mergeCell ref="P351:Q351"/>
    <mergeCell ref="A361:K361"/>
    <mergeCell ref="A326:A327"/>
    <mergeCell ref="B326:D326"/>
    <mergeCell ref="E326:G326"/>
    <mergeCell ref="A260:A261"/>
    <mergeCell ref="B260:D260"/>
    <mergeCell ref="E260:G260"/>
    <mergeCell ref="H260:I260"/>
    <mergeCell ref="J260:K260"/>
    <mergeCell ref="A267:K267"/>
    <mergeCell ref="A268:A269"/>
    <mergeCell ref="B268:D268"/>
    <mergeCell ref="E268:G268"/>
    <mergeCell ref="H268:I268"/>
    <mergeCell ref="J268:K268"/>
    <mergeCell ref="A249:Q249"/>
    <mergeCell ref="A251:A252"/>
    <mergeCell ref="B251:D251"/>
    <mergeCell ref="E251:G251"/>
    <mergeCell ref="H251:J251"/>
    <mergeCell ref="K251:M251"/>
    <mergeCell ref="N251:O251"/>
    <mergeCell ref="P251:Q251"/>
    <mergeCell ref="A259:K259"/>
    <mergeCell ref="A127:A128"/>
    <mergeCell ref="B127:D127"/>
    <mergeCell ref="E127:G127"/>
    <mergeCell ref="H127:I127"/>
    <mergeCell ref="J127:K127"/>
    <mergeCell ref="A137:K137"/>
    <mergeCell ref="A138:A139"/>
    <mergeCell ref="B138:D138"/>
    <mergeCell ref="E138:G138"/>
    <mergeCell ref="H138:I138"/>
    <mergeCell ref="J138:K138"/>
    <mergeCell ref="A114:Q114"/>
    <mergeCell ref="A116:A117"/>
    <mergeCell ref="B116:D116"/>
    <mergeCell ref="E116:G116"/>
    <mergeCell ref="H116:J116"/>
    <mergeCell ref="K116:M116"/>
    <mergeCell ref="N116:O116"/>
    <mergeCell ref="P116:Q116"/>
    <mergeCell ref="A126:K126"/>
    <mergeCell ref="A89:A90"/>
    <mergeCell ref="B89:D89"/>
    <mergeCell ref="E89:G89"/>
    <mergeCell ref="H89:I89"/>
    <mergeCell ref="J89:K89"/>
    <mergeCell ref="A100:K100"/>
    <mergeCell ref="A101:A102"/>
    <mergeCell ref="B101:D101"/>
    <mergeCell ref="E101:G101"/>
    <mergeCell ref="H101:I101"/>
    <mergeCell ref="J101:K101"/>
    <mergeCell ref="A77:Q77"/>
    <mergeCell ref="A79:A80"/>
    <mergeCell ref="B79:D79"/>
    <mergeCell ref="E79:G79"/>
    <mergeCell ref="H79:J79"/>
    <mergeCell ref="K79:M79"/>
    <mergeCell ref="N79:O79"/>
    <mergeCell ref="P79:Q79"/>
    <mergeCell ref="A88:K88"/>
    <mergeCell ref="A55:A56"/>
    <mergeCell ref="B55:D55"/>
    <mergeCell ref="E55:G55"/>
    <mergeCell ref="H55:I55"/>
    <mergeCell ref="J55:K55"/>
    <mergeCell ref="A65:K65"/>
    <mergeCell ref="A66:A67"/>
    <mergeCell ref="B66:D66"/>
    <mergeCell ref="E66:G66"/>
    <mergeCell ref="H66:I66"/>
    <mergeCell ref="J66:K66"/>
    <mergeCell ref="A41:Q41"/>
    <mergeCell ref="A43:A44"/>
    <mergeCell ref="B43:D43"/>
    <mergeCell ref="E43:G43"/>
    <mergeCell ref="H43:J43"/>
    <mergeCell ref="K43:M43"/>
    <mergeCell ref="N43:O43"/>
    <mergeCell ref="P43:Q43"/>
    <mergeCell ref="A54:K54"/>
    <mergeCell ref="A17:A18"/>
    <mergeCell ref="B17:D17"/>
    <mergeCell ref="E17:G17"/>
    <mergeCell ref="H17:I17"/>
    <mergeCell ref="J17:K17"/>
    <mergeCell ref="A27:K27"/>
    <mergeCell ref="A28:A29"/>
    <mergeCell ref="B28:D28"/>
    <mergeCell ref="E28:G28"/>
    <mergeCell ref="H28:I28"/>
    <mergeCell ref="J28:K28"/>
    <mergeCell ref="A3:Q3"/>
    <mergeCell ref="A5:A6"/>
    <mergeCell ref="B5:D5"/>
    <mergeCell ref="E5:G5"/>
    <mergeCell ref="H5:J5"/>
    <mergeCell ref="K5:M5"/>
    <mergeCell ref="N5:O5"/>
    <mergeCell ref="P5:Q5"/>
    <mergeCell ref="A16:K16"/>
    <mergeCell ref="A161:K161"/>
    <mergeCell ref="A162:A163"/>
    <mergeCell ref="B162:D162"/>
    <mergeCell ref="E162:G162"/>
    <mergeCell ref="H162:I162"/>
    <mergeCell ref="J162:K162"/>
    <mergeCell ref="A151:Q151"/>
    <mergeCell ref="A153:A154"/>
    <mergeCell ref="B153:D153"/>
    <mergeCell ref="E153:G153"/>
    <mergeCell ref="H153:J153"/>
    <mergeCell ref="K153:M153"/>
    <mergeCell ref="N153:O153"/>
    <mergeCell ref="P153:Q153"/>
    <mergeCell ref="A172:K172"/>
    <mergeCell ref="A173:A174"/>
    <mergeCell ref="B173:D173"/>
    <mergeCell ref="E173:G173"/>
    <mergeCell ref="H173:I173"/>
    <mergeCell ref="J173:K173"/>
    <mergeCell ref="BQ184:CG184"/>
    <mergeCell ref="BQ186:BQ187"/>
    <mergeCell ref="BR186:BT186"/>
    <mergeCell ref="BU186:BW186"/>
    <mergeCell ref="BX186:BZ186"/>
    <mergeCell ref="CA186:CC186"/>
    <mergeCell ref="CD186:CE186"/>
    <mergeCell ref="CF186:CG186"/>
    <mergeCell ref="A185:Q185"/>
    <mergeCell ref="A187:A188"/>
    <mergeCell ref="A236:K236"/>
    <mergeCell ref="A237:A238"/>
    <mergeCell ref="B237:D237"/>
    <mergeCell ref="E237:G237"/>
    <mergeCell ref="H237:I237"/>
    <mergeCell ref="J237:K237"/>
    <mergeCell ref="A228:K228"/>
    <mergeCell ref="A229:A230"/>
    <mergeCell ref="B229:D229"/>
    <mergeCell ref="E229:G229"/>
    <mergeCell ref="H229:I229"/>
    <mergeCell ref="J229:K229"/>
    <mergeCell ref="A217:Q217"/>
    <mergeCell ref="A219:A220"/>
    <mergeCell ref="B219:D219"/>
    <mergeCell ref="E219:G219"/>
    <mergeCell ref="H219:J219"/>
    <mergeCell ref="K219:M219"/>
    <mergeCell ref="N187:O187"/>
    <mergeCell ref="P187:Q187"/>
    <mergeCell ref="A195:K195"/>
    <mergeCell ref="A196:A197"/>
    <mergeCell ref="B196:D196"/>
    <mergeCell ref="E196:G196"/>
    <mergeCell ref="H196:I196"/>
    <mergeCell ref="J196:K196"/>
    <mergeCell ref="B187:D187"/>
    <mergeCell ref="E187:G187"/>
    <mergeCell ref="H187:J187"/>
    <mergeCell ref="K187:M187"/>
    <mergeCell ref="N219:O219"/>
    <mergeCell ref="P219:Q219"/>
    <mergeCell ref="BQ194:CA194"/>
    <mergeCell ref="BQ195:BQ196"/>
    <mergeCell ref="BR195:BT195"/>
    <mergeCell ref="BU195:BW195"/>
    <mergeCell ref="BX195:BY195"/>
    <mergeCell ref="BZ195:CA195"/>
    <mergeCell ref="A204:K204"/>
    <mergeCell ref="A205:A206"/>
    <mergeCell ref="B205:D205"/>
    <mergeCell ref="E205:G205"/>
    <mergeCell ref="H205:I205"/>
    <mergeCell ref="J205:K205"/>
    <mergeCell ref="BQ203:CA203"/>
    <mergeCell ref="BQ204:BQ205"/>
    <mergeCell ref="BR204:BT204"/>
    <mergeCell ref="BU204:BW204"/>
    <mergeCell ref="BX204:BY204"/>
    <mergeCell ref="BZ204:CA204"/>
    <mergeCell ref="A408:A409"/>
    <mergeCell ref="B408:D408"/>
    <mergeCell ref="E408:G408"/>
    <mergeCell ref="H408:I408"/>
    <mergeCell ref="J408:K408"/>
    <mergeCell ref="A385:Q385"/>
    <mergeCell ref="A387:A388"/>
    <mergeCell ref="B387:D387"/>
    <mergeCell ref="E387:G387"/>
    <mergeCell ref="H387:J387"/>
    <mergeCell ref="K387:M387"/>
    <mergeCell ref="N387:O387"/>
    <mergeCell ref="P387:Q387"/>
    <mergeCell ref="A396:K396"/>
    <mergeCell ref="A407:K407"/>
    <mergeCell ref="A397:A398"/>
    <mergeCell ref="B397:D397"/>
    <mergeCell ref="E397:G397"/>
    <mergeCell ref="H397:I397"/>
    <mergeCell ref="J397:K397"/>
    <mergeCell ref="A279:Q279"/>
    <mergeCell ref="A281:A282"/>
    <mergeCell ref="B281:D281"/>
    <mergeCell ref="E281:G281"/>
    <mergeCell ref="H281:J281"/>
    <mergeCell ref="K281:M281"/>
    <mergeCell ref="N281:O281"/>
    <mergeCell ref="P281:Q281"/>
    <mergeCell ref="A290:K290"/>
    <mergeCell ref="J336:K336"/>
    <mergeCell ref="P316:Q316"/>
    <mergeCell ref="A325:K325"/>
    <mergeCell ref="H326:I326"/>
    <mergeCell ref="J326:K326"/>
    <mergeCell ref="A335:K335"/>
    <mergeCell ref="E302:G302"/>
    <mergeCell ref="H302:I302"/>
    <mergeCell ref="J302:K302"/>
    <mergeCell ref="A276:D276"/>
    <mergeCell ref="A346:B346"/>
    <mergeCell ref="M266:N267"/>
    <mergeCell ref="O266:O267"/>
    <mergeCell ref="P266:P267"/>
    <mergeCell ref="A314:Q314"/>
    <mergeCell ref="A316:A317"/>
    <mergeCell ref="B316:D316"/>
    <mergeCell ref="E316:G316"/>
    <mergeCell ref="H316:J316"/>
    <mergeCell ref="K316:M316"/>
    <mergeCell ref="N316:O316"/>
    <mergeCell ref="A291:A292"/>
    <mergeCell ref="B291:D291"/>
    <mergeCell ref="E291:G291"/>
    <mergeCell ref="H291:I291"/>
    <mergeCell ref="J291:K291"/>
    <mergeCell ref="A301:K301"/>
    <mergeCell ref="A302:A303"/>
    <mergeCell ref="B302:D302"/>
    <mergeCell ref="A336:A337"/>
    <mergeCell ref="B336:D336"/>
    <mergeCell ref="E336:G336"/>
    <mergeCell ref="H336:I336"/>
  </mergeCells>
  <pageMargins left="0.7" right="0.7" top="0.75" bottom="0.75" header="0.3" footer="0.3"/>
  <pageSetup paperSize="9" scale="75" orientation="landscape" horizontalDpi="360" verticalDpi="360" r:id="rId1"/>
  <rowBreaks count="11" manualBreakCount="11">
    <brk id="36" max="16383" man="1"/>
    <brk id="72" max="16383" man="1"/>
    <brk id="109" max="16383" man="1"/>
    <brk id="146" max="16383" man="1"/>
    <brk id="180" max="16383" man="1"/>
    <brk id="214" max="16383" man="1"/>
    <brk id="244" max="16383" man="1"/>
    <brk id="274" max="16383" man="1"/>
    <brk id="310" max="16383" man="1"/>
    <brk id="343" max="16383" man="1"/>
    <brk id="380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367"/>
  <sheetViews>
    <sheetView topLeftCell="A388" zoomScale="115" zoomScaleNormal="115" zoomScaleSheetLayoutView="112" workbookViewId="0">
      <selection activeCell="F20" sqref="F20"/>
    </sheetView>
  </sheetViews>
  <sheetFormatPr defaultRowHeight="15" x14ac:dyDescent="0.25"/>
  <cols>
    <col min="1" max="1" width="7.7109375" customWidth="1"/>
    <col min="2" max="2" width="6" customWidth="1"/>
    <col min="3" max="3" width="9.28515625" bestFit="1" customWidth="1"/>
    <col min="4" max="4" width="9.5703125" customWidth="1"/>
    <col min="5" max="5" width="9.28515625" bestFit="1" customWidth="1"/>
    <col min="6" max="6" width="9.7109375" bestFit="1" customWidth="1"/>
    <col min="7" max="7" width="11.5703125" bestFit="1" customWidth="1"/>
    <col min="8" max="8" width="9.28515625" bestFit="1" customWidth="1"/>
    <col min="9" max="9" width="11" bestFit="1" customWidth="1"/>
    <col min="10" max="10" width="9.7109375" customWidth="1"/>
    <col min="11" max="11" width="11.5703125" bestFit="1" customWidth="1"/>
    <col min="12" max="12" width="7.5703125" customWidth="1"/>
    <col min="13" max="13" width="10.42578125" customWidth="1"/>
    <col min="14" max="14" width="6.140625" customWidth="1"/>
    <col min="15" max="15" width="9.42578125" customWidth="1"/>
    <col min="17" max="17" width="9.5703125" bestFit="1" customWidth="1"/>
  </cols>
  <sheetData>
    <row r="1" spans="1:17" ht="21" x14ac:dyDescent="0.35">
      <c r="A1" s="278" t="s">
        <v>114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</row>
    <row r="2" spans="1:17" x14ac:dyDescent="0.25">
      <c r="A2" s="529" t="s">
        <v>69</v>
      </c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</row>
    <row r="3" spans="1:17" x14ac:dyDescent="0.25">
      <c r="A3" s="303"/>
      <c r="B3" s="303"/>
      <c r="C3" s="303"/>
      <c r="D3" s="303"/>
      <c r="E3" s="303"/>
      <c r="F3" s="304"/>
      <c r="G3" s="303"/>
      <c r="H3" s="303"/>
      <c r="I3" s="303"/>
      <c r="J3" s="303"/>
      <c r="K3" s="303"/>
      <c r="L3" s="303"/>
      <c r="M3" s="303"/>
      <c r="N3" s="303"/>
      <c r="O3" s="303"/>
      <c r="P3" s="303"/>
      <c r="Q3" s="303"/>
    </row>
    <row r="4" spans="1:17" x14ac:dyDescent="0.25">
      <c r="A4" s="530" t="s">
        <v>0</v>
      </c>
      <c r="B4" s="532" t="s">
        <v>7</v>
      </c>
      <c r="C4" s="532"/>
      <c r="D4" s="532"/>
      <c r="E4" s="532" t="s">
        <v>5</v>
      </c>
      <c r="F4" s="532"/>
      <c r="G4" s="532"/>
      <c r="H4" s="533" t="s">
        <v>25</v>
      </c>
      <c r="I4" s="534"/>
      <c r="J4" s="535"/>
      <c r="K4" s="533" t="s">
        <v>26</v>
      </c>
      <c r="L4" s="534"/>
      <c r="M4" s="535"/>
      <c r="N4" s="532" t="s">
        <v>4</v>
      </c>
      <c r="O4" s="532"/>
      <c r="P4" s="532" t="s">
        <v>6</v>
      </c>
      <c r="Q4" s="532"/>
    </row>
    <row r="5" spans="1:17" x14ac:dyDescent="0.25">
      <c r="A5" s="531"/>
      <c r="B5" s="305" t="s">
        <v>8</v>
      </c>
      <c r="C5" s="305" t="s">
        <v>9</v>
      </c>
      <c r="D5" s="305" t="s">
        <v>13</v>
      </c>
      <c r="E5" s="305" t="s">
        <v>8</v>
      </c>
      <c r="F5" s="306" t="s">
        <v>9</v>
      </c>
      <c r="G5" s="305" t="s">
        <v>10</v>
      </c>
      <c r="H5" s="307" t="s">
        <v>8</v>
      </c>
      <c r="I5" s="307" t="s">
        <v>9</v>
      </c>
      <c r="J5" s="307" t="s">
        <v>13</v>
      </c>
      <c r="K5" s="307" t="s">
        <v>8</v>
      </c>
      <c r="L5" s="307" t="s">
        <v>9</v>
      </c>
      <c r="M5" s="307" t="s">
        <v>13</v>
      </c>
      <c r="N5" s="305" t="s">
        <v>8</v>
      </c>
      <c r="O5" s="305" t="s">
        <v>13</v>
      </c>
      <c r="P5" s="305" t="s">
        <v>8</v>
      </c>
      <c r="Q5" s="305" t="s">
        <v>13</v>
      </c>
    </row>
    <row r="6" spans="1:17" x14ac:dyDescent="0.25">
      <c r="A6" s="308"/>
      <c r="B6" s="309"/>
      <c r="C6" s="309"/>
      <c r="D6" s="309"/>
      <c r="E6" s="309"/>
      <c r="F6" s="310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</row>
    <row r="7" spans="1:17" x14ac:dyDescent="0.25">
      <c r="A7" s="286" t="s">
        <v>1</v>
      </c>
      <c r="B7" s="311">
        <f>POLIMER!B8</f>
        <v>0</v>
      </c>
      <c r="C7" s="311">
        <f>POLIMER!C8</f>
        <v>0</v>
      </c>
      <c r="D7" s="311">
        <f>POLIMER!D8</f>
        <v>0</v>
      </c>
      <c r="E7" s="311">
        <f>POLIMER!E8</f>
        <v>0</v>
      </c>
      <c r="F7" s="311">
        <f>POLIMER!F8</f>
        <v>0</v>
      </c>
      <c r="G7" s="311">
        <f>POLIMER!G8</f>
        <v>0</v>
      </c>
      <c r="H7" s="311">
        <f>POLIMER!H8</f>
        <v>0</v>
      </c>
      <c r="I7" s="311">
        <f>POLIMER!I8</f>
        <v>0</v>
      </c>
      <c r="J7" s="311">
        <f>POLIMER!J8</f>
        <v>0</v>
      </c>
      <c r="K7" s="311">
        <f>POLIMER!K8</f>
        <v>0</v>
      </c>
      <c r="L7" s="311">
        <f>POLIMER!L8</f>
        <v>0</v>
      </c>
      <c r="M7" s="311">
        <f>POLIMER!M8</f>
        <v>0</v>
      </c>
      <c r="N7" s="311">
        <f>POLIMER!N8</f>
        <v>0</v>
      </c>
      <c r="O7" s="311">
        <f>POLIMER!O8</f>
        <v>0</v>
      </c>
      <c r="P7" s="311">
        <f>POLIMER!P8</f>
        <v>0</v>
      </c>
      <c r="Q7" s="311">
        <f>POLIMER!Q8</f>
        <v>0</v>
      </c>
    </row>
    <row r="8" spans="1:17" x14ac:dyDescent="0.25">
      <c r="A8" s="279"/>
      <c r="B8" s="236"/>
      <c r="C8" s="281"/>
      <c r="D8" s="237"/>
      <c r="E8" s="280"/>
      <c r="F8" s="237"/>
      <c r="G8" s="238"/>
      <c r="H8" s="238"/>
      <c r="I8" s="238"/>
      <c r="J8" s="238"/>
      <c r="K8" s="238"/>
      <c r="L8" s="238"/>
      <c r="M8" s="238"/>
      <c r="N8" s="237"/>
      <c r="O8" s="282"/>
      <c r="P8" s="237"/>
      <c r="Q8" s="237"/>
    </row>
    <row r="9" spans="1:17" x14ac:dyDescent="0.25">
      <c r="A9" s="239"/>
      <c r="B9" s="240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71"/>
      <c r="P9" s="273"/>
      <c r="Q9" s="273"/>
    </row>
    <row r="10" spans="1:17" x14ac:dyDescent="0.25">
      <c r="A10" s="242"/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</row>
    <row r="11" spans="1:17" x14ac:dyDescent="0.25">
      <c r="A11" s="242"/>
      <c r="B11" s="242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</row>
    <row r="12" spans="1:17" x14ac:dyDescent="0.25">
      <c r="A12" s="242"/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</row>
    <row r="13" spans="1:17" x14ac:dyDescent="0.25">
      <c r="A13" s="537" t="s">
        <v>70</v>
      </c>
      <c r="B13" s="537"/>
      <c r="C13" s="537"/>
      <c r="D13" s="537"/>
      <c r="E13" s="537"/>
      <c r="F13" s="537"/>
      <c r="G13" s="537"/>
      <c r="H13" s="537"/>
      <c r="I13" s="537"/>
      <c r="J13" s="537"/>
      <c r="K13" s="537"/>
      <c r="L13" s="242"/>
      <c r="M13" s="242"/>
      <c r="N13" s="242"/>
      <c r="O13" s="242"/>
      <c r="P13" s="242"/>
      <c r="Q13" s="242"/>
    </row>
    <row r="14" spans="1:17" x14ac:dyDescent="0.25">
      <c r="A14" s="536" t="s">
        <v>0</v>
      </c>
      <c r="B14" s="536" t="s">
        <v>7</v>
      </c>
      <c r="C14" s="536"/>
      <c r="D14" s="536"/>
      <c r="E14" s="536" t="s">
        <v>5</v>
      </c>
      <c r="F14" s="536"/>
      <c r="G14" s="536"/>
      <c r="H14" s="536" t="s">
        <v>4</v>
      </c>
      <c r="I14" s="536"/>
      <c r="J14" s="536" t="s">
        <v>6</v>
      </c>
      <c r="K14" s="536"/>
      <c r="L14" s="242"/>
      <c r="M14" s="242"/>
      <c r="N14" s="242"/>
      <c r="O14" s="242"/>
      <c r="P14" s="242"/>
      <c r="Q14" s="242"/>
    </row>
    <row r="15" spans="1:17" x14ac:dyDescent="0.25">
      <c r="A15" s="536"/>
      <c r="B15" s="231" t="s">
        <v>8</v>
      </c>
      <c r="C15" s="231" t="s">
        <v>14</v>
      </c>
      <c r="D15" s="231" t="s">
        <v>13</v>
      </c>
      <c r="E15" s="231" t="s">
        <v>8</v>
      </c>
      <c r="F15" s="231" t="s">
        <v>14</v>
      </c>
      <c r="G15" s="231" t="s">
        <v>10</v>
      </c>
      <c r="H15" s="231" t="s">
        <v>8</v>
      </c>
      <c r="I15" s="231" t="s">
        <v>13</v>
      </c>
      <c r="J15" s="231" t="s">
        <v>8</v>
      </c>
      <c r="K15" s="231" t="s">
        <v>13</v>
      </c>
      <c r="L15" s="242"/>
      <c r="M15" s="242"/>
      <c r="N15" s="242"/>
      <c r="O15" s="242"/>
      <c r="P15" s="242"/>
      <c r="Q15" s="242"/>
    </row>
    <row r="16" spans="1:17" x14ac:dyDescent="0.25">
      <c r="A16" s="232"/>
      <c r="B16" s="233"/>
      <c r="C16" s="233"/>
      <c r="D16" s="233"/>
      <c r="E16" s="233"/>
      <c r="F16" s="233"/>
      <c r="G16" s="233"/>
      <c r="H16" s="233"/>
      <c r="I16" s="233"/>
      <c r="J16" s="233"/>
      <c r="K16" s="233"/>
      <c r="L16" s="242"/>
      <c r="M16" s="242"/>
      <c r="N16" s="242"/>
      <c r="O16" s="242"/>
      <c r="P16" s="242"/>
      <c r="Q16" s="242"/>
    </row>
    <row r="17" spans="1:17" x14ac:dyDescent="0.25">
      <c r="A17" s="243" t="s">
        <v>1</v>
      </c>
      <c r="B17" s="244">
        <f>'POLIMER K.B'!B8</f>
        <v>0</v>
      </c>
      <c r="C17" s="244">
        <f>'POLIMER K.B'!C8</f>
        <v>0</v>
      </c>
      <c r="D17" s="244">
        <f>'POLIMER K.B'!D8</f>
        <v>0</v>
      </c>
      <c r="E17" s="244">
        <f>'POLIMER K.B'!E8</f>
        <v>0</v>
      </c>
      <c r="F17" s="244">
        <f>'POLIMER K.B'!F8</f>
        <v>0</v>
      </c>
      <c r="G17" s="244">
        <f>'POLIMER K.B'!G8</f>
        <v>0</v>
      </c>
      <c r="H17" s="244">
        <f>'POLIMER K.B'!H8</f>
        <v>0</v>
      </c>
      <c r="I17" s="244">
        <f>'POLIMER K.B'!I8</f>
        <v>0</v>
      </c>
      <c r="J17" s="244">
        <f>'POLIMER K.B'!J8</f>
        <v>0</v>
      </c>
      <c r="K17" s="244">
        <f>'POLIMER K.B'!K8</f>
        <v>0</v>
      </c>
      <c r="L17" s="242"/>
      <c r="M17" s="242"/>
      <c r="N17" s="242"/>
      <c r="O17" s="242"/>
      <c r="P17" s="242"/>
      <c r="Q17" s="242"/>
    </row>
    <row r="18" spans="1:17" x14ac:dyDescent="0.25">
      <c r="A18" s="243"/>
      <c r="B18" s="244"/>
      <c r="C18" s="245"/>
      <c r="D18" s="245">
        <f>B18*C18</f>
        <v>0</v>
      </c>
      <c r="E18" s="246"/>
      <c r="F18" s="245"/>
      <c r="G18" s="245">
        <f>E18*F18</f>
        <v>0</v>
      </c>
      <c r="H18" s="246"/>
      <c r="I18" s="245">
        <f>H18*C18</f>
        <v>0</v>
      </c>
      <c r="J18" s="237"/>
      <c r="K18" s="245">
        <f>D18+G18-I18</f>
        <v>0</v>
      </c>
      <c r="L18" s="242"/>
      <c r="M18" s="242"/>
      <c r="N18" s="242"/>
      <c r="O18" s="242"/>
      <c r="P18" s="242"/>
      <c r="Q18" s="242"/>
    </row>
    <row r="19" spans="1:17" x14ac:dyDescent="0.25">
      <c r="A19" s="247"/>
      <c r="B19" s="248"/>
      <c r="C19" s="248"/>
      <c r="D19" s="249"/>
      <c r="E19" s="250"/>
      <c r="F19" s="249"/>
      <c r="G19" s="249"/>
      <c r="H19" s="248"/>
      <c r="I19" s="251"/>
      <c r="J19" s="241"/>
      <c r="K19" s="251"/>
      <c r="L19" s="242"/>
      <c r="M19" s="242"/>
      <c r="N19" s="242"/>
      <c r="O19" s="242"/>
      <c r="P19" s="242"/>
      <c r="Q19" s="242"/>
    </row>
    <row r="20" spans="1:17" x14ac:dyDescent="0.25">
      <c r="A20" s="242"/>
      <c r="B20" s="242"/>
      <c r="C20" s="242"/>
      <c r="D20" s="242"/>
      <c r="E20" s="242"/>
      <c r="F20" s="242"/>
      <c r="G20" s="242"/>
      <c r="H20" s="242"/>
      <c r="I20" s="242"/>
      <c r="J20" s="242"/>
      <c r="K20" s="242"/>
      <c r="L20" s="242"/>
      <c r="M20" s="242"/>
      <c r="N20" s="242"/>
      <c r="O20" s="242"/>
      <c r="P20" s="242"/>
      <c r="Q20" s="242"/>
    </row>
    <row r="21" spans="1:17" x14ac:dyDescent="0.25">
      <c r="A21" s="242"/>
      <c r="B21" s="242"/>
      <c r="C21" s="242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242"/>
      <c r="P21" s="242"/>
      <c r="Q21" s="242"/>
    </row>
    <row r="22" spans="1:17" x14ac:dyDescent="0.25">
      <c r="A22" s="242"/>
      <c r="B22" s="242"/>
      <c r="C22" s="242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2"/>
      <c r="O22" s="242"/>
      <c r="P22" s="242"/>
      <c r="Q22" s="242"/>
    </row>
    <row r="23" spans="1:17" x14ac:dyDescent="0.25">
      <c r="A23" s="537" t="s">
        <v>71</v>
      </c>
      <c r="B23" s="537"/>
      <c r="C23" s="537"/>
      <c r="D23" s="537"/>
      <c r="E23" s="537"/>
      <c r="F23" s="537"/>
      <c r="G23" s="537"/>
      <c r="H23" s="537"/>
      <c r="I23" s="537"/>
      <c r="J23" s="537"/>
      <c r="K23" s="537"/>
      <c r="L23" s="242"/>
      <c r="M23" s="242"/>
      <c r="N23" s="242"/>
      <c r="O23" s="242"/>
      <c r="P23" s="242"/>
      <c r="Q23" s="242"/>
    </row>
    <row r="24" spans="1:17" x14ac:dyDescent="0.25">
      <c r="A24" s="536" t="s">
        <v>0</v>
      </c>
      <c r="B24" s="536" t="s">
        <v>7</v>
      </c>
      <c r="C24" s="536"/>
      <c r="D24" s="536"/>
      <c r="E24" s="536" t="s">
        <v>5</v>
      </c>
      <c r="F24" s="536"/>
      <c r="G24" s="536"/>
      <c r="H24" s="536" t="s">
        <v>4</v>
      </c>
      <c r="I24" s="536"/>
      <c r="J24" s="536" t="s">
        <v>6</v>
      </c>
      <c r="K24" s="536"/>
      <c r="L24" s="242"/>
      <c r="M24" s="242"/>
      <c r="N24" s="242"/>
      <c r="O24" s="242"/>
      <c r="P24" s="242"/>
      <c r="Q24" s="242"/>
    </row>
    <row r="25" spans="1:17" x14ac:dyDescent="0.25">
      <c r="A25" s="536"/>
      <c r="B25" s="231" t="s">
        <v>8</v>
      </c>
      <c r="C25" s="231" t="s">
        <v>14</v>
      </c>
      <c r="D25" s="231" t="s">
        <v>13</v>
      </c>
      <c r="E25" s="231" t="s">
        <v>8</v>
      </c>
      <c r="F25" s="231" t="s">
        <v>14</v>
      </c>
      <c r="G25" s="231" t="s">
        <v>10</v>
      </c>
      <c r="H25" s="231" t="s">
        <v>8</v>
      </c>
      <c r="I25" s="231" t="s">
        <v>13</v>
      </c>
      <c r="J25" s="231" t="s">
        <v>8</v>
      </c>
      <c r="K25" s="231" t="s">
        <v>13</v>
      </c>
      <c r="L25" s="242"/>
      <c r="M25" s="242"/>
      <c r="N25" s="242"/>
      <c r="O25" s="242"/>
      <c r="P25" s="242"/>
      <c r="Q25" s="242"/>
    </row>
    <row r="26" spans="1:17" x14ac:dyDescent="0.25">
      <c r="A26" s="232"/>
      <c r="B26" s="233"/>
      <c r="C26" s="233"/>
      <c r="D26" s="233"/>
      <c r="E26" s="233"/>
      <c r="F26" s="233"/>
      <c r="G26" s="233"/>
      <c r="H26" s="233"/>
      <c r="I26" s="233"/>
      <c r="J26" s="233"/>
      <c r="K26" s="233"/>
      <c r="L26" s="242"/>
      <c r="M26" s="242"/>
      <c r="N26" s="242"/>
      <c r="O26" s="242"/>
      <c r="P26" s="242"/>
      <c r="Q26" s="242"/>
    </row>
    <row r="27" spans="1:17" x14ac:dyDescent="0.25">
      <c r="A27" s="243" t="s">
        <v>1</v>
      </c>
      <c r="B27" s="416">
        <f>'Polimer Hanau'!B8</f>
        <v>0</v>
      </c>
      <c r="C27" s="416">
        <f>'Polimer Hanau'!C8</f>
        <v>0</v>
      </c>
      <c r="D27" s="416">
        <f>'Polimer Hanau'!D8</f>
        <v>0</v>
      </c>
      <c r="E27" s="416">
        <f>'Polimer Hanau'!E8</f>
        <v>0</v>
      </c>
      <c r="F27" s="416">
        <f>'Polimer Hanau'!F8</f>
        <v>0</v>
      </c>
      <c r="G27" s="416">
        <f>'Polimer Hanau'!G8</f>
        <v>0</v>
      </c>
      <c r="H27" s="416">
        <f>'Polimer Hanau'!H8</f>
        <v>0</v>
      </c>
      <c r="I27" s="416">
        <f>'Polimer Hanau'!I8</f>
        <v>0</v>
      </c>
      <c r="J27" s="416">
        <f>'Polimer Hanau'!J8</f>
        <v>0</v>
      </c>
      <c r="K27" s="416">
        <f>'Polimer Hanau'!K8</f>
        <v>0</v>
      </c>
      <c r="L27" s="242"/>
      <c r="M27" s="242"/>
      <c r="N27" s="242"/>
      <c r="O27" s="242"/>
      <c r="P27" s="242"/>
      <c r="Q27" s="242"/>
    </row>
    <row r="28" spans="1:17" x14ac:dyDescent="0.25">
      <c r="A28" s="247"/>
      <c r="B28" s="248"/>
      <c r="C28" s="248"/>
      <c r="D28" s="249"/>
      <c r="E28" s="250"/>
      <c r="F28" s="249"/>
      <c r="G28" s="249"/>
      <c r="H28" s="248"/>
      <c r="I28" s="251"/>
      <c r="J28" s="241"/>
      <c r="K28" s="251"/>
      <c r="L28" s="242"/>
      <c r="M28" s="242"/>
      <c r="N28" s="242"/>
      <c r="O28" s="242"/>
      <c r="P28" s="242"/>
      <c r="Q28" s="242"/>
    </row>
    <row r="32" spans="1:17" ht="21" x14ac:dyDescent="0.35">
      <c r="A32" s="278" t="s">
        <v>97</v>
      </c>
      <c r="B32" s="297"/>
      <c r="C32" s="297"/>
      <c r="D32" s="297"/>
      <c r="E32" s="297"/>
      <c r="F32" s="297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</row>
    <row r="33" spans="1:17" x14ac:dyDescent="0.25">
      <c r="A33" s="529" t="s">
        <v>69</v>
      </c>
      <c r="B33" s="529"/>
      <c r="C33" s="529"/>
      <c r="D33" s="529"/>
      <c r="E33" s="529"/>
      <c r="F33" s="529"/>
      <c r="G33" s="529"/>
      <c r="H33" s="529"/>
      <c r="I33" s="529"/>
      <c r="J33" s="529"/>
      <c r="K33" s="529"/>
      <c r="L33" s="529"/>
      <c r="M33" s="529"/>
      <c r="N33" s="529"/>
      <c r="O33" s="529"/>
      <c r="P33" s="529"/>
      <c r="Q33" s="529"/>
    </row>
    <row r="34" spans="1:17" x14ac:dyDescent="0.25">
      <c r="A34" s="303"/>
      <c r="B34" s="303"/>
      <c r="C34" s="303"/>
      <c r="D34" s="303"/>
      <c r="E34" s="303"/>
      <c r="F34" s="304"/>
      <c r="G34" s="303"/>
      <c r="H34" s="303"/>
      <c r="I34" s="303"/>
      <c r="J34" s="303"/>
      <c r="K34" s="303"/>
      <c r="L34" s="303"/>
      <c r="M34" s="303"/>
      <c r="N34" s="303"/>
      <c r="O34" s="303"/>
      <c r="P34" s="303"/>
      <c r="Q34" s="303"/>
    </row>
    <row r="35" spans="1:17" x14ac:dyDescent="0.25">
      <c r="A35" s="530" t="s">
        <v>0</v>
      </c>
      <c r="B35" s="532" t="s">
        <v>7</v>
      </c>
      <c r="C35" s="532"/>
      <c r="D35" s="532"/>
      <c r="E35" s="532" t="s">
        <v>5</v>
      </c>
      <c r="F35" s="532"/>
      <c r="G35" s="532"/>
      <c r="H35" s="533" t="s">
        <v>25</v>
      </c>
      <c r="I35" s="534"/>
      <c r="J35" s="535"/>
      <c r="K35" s="533" t="s">
        <v>26</v>
      </c>
      <c r="L35" s="534"/>
      <c r="M35" s="535"/>
      <c r="N35" s="532" t="s">
        <v>4</v>
      </c>
      <c r="O35" s="532"/>
      <c r="P35" s="532" t="s">
        <v>6</v>
      </c>
      <c r="Q35" s="532"/>
    </row>
    <row r="36" spans="1:17" x14ac:dyDescent="0.25">
      <c r="A36" s="531"/>
      <c r="B36" s="305" t="s">
        <v>8</v>
      </c>
      <c r="C36" s="305" t="s">
        <v>9</v>
      </c>
      <c r="D36" s="305" t="s">
        <v>13</v>
      </c>
      <c r="E36" s="305" t="s">
        <v>8</v>
      </c>
      <c r="F36" s="306" t="s">
        <v>9</v>
      </c>
      <c r="G36" s="305" t="s">
        <v>10</v>
      </c>
      <c r="H36" s="307" t="s">
        <v>8</v>
      </c>
      <c r="I36" s="307" t="s">
        <v>9</v>
      </c>
      <c r="J36" s="307" t="s">
        <v>13</v>
      </c>
      <c r="K36" s="307" t="s">
        <v>8</v>
      </c>
      <c r="L36" s="307" t="s">
        <v>9</v>
      </c>
      <c r="M36" s="307" t="s">
        <v>13</v>
      </c>
      <c r="N36" s="305" t="s">
        <v>8</v>
      </c>
      <c r="O36" s="305" t="s">
        <v>13</v>
      </c>
      <c r="P36" s="305" t="s">
        <v>8</v>
      </c>
      <c r="Q36" s="305" t="s">
        <v>13</v>
      </c>
    </row>
    <row r="37" spans="1:17" x14ac:dyDescent="0.25">
      <c r="A37" s="308"/>
      <c r="B37" s="309"/>
      <c r="C37" s="309"/>
      <c r="D37" s="309"/>
      <c r="E37" s="309"/>
      <c r="F37" s="310"/>
      <c r="G37" s="309"/>
      <c r="H37" s="309"/>
      <c r="I37" s="309"/>
      <c r="J37" s="309"/>
      <c r="K37" s="309"/>
      <c r="L37" s="309"/>
      <c r="M37" s="309"/>
      <c r="N37" s="309"/>
      <c r="O37" s="309"/>
      <c r="P37" s="309"/>
      <c r="Q37" s="309"/>
    </row>
    <row r="38" spans="1:17" x14ac:dyDescent="0.25">
      <c r="A38" s="286" t="s">
        <v>21</v>
      </c>
      <c r="B38" s="311">
        <f>POLIMER!B9</f>
        <v>0</v>
      </c>
      <c r="C38" s="311">
        <f>POLIMER!C9</f>
        <v>0</v>
      </c>
      <c r="D38" s="311">
        <f>POLIMER!D9</f>
        <v>0</v>
      </c>
      <c r="E38" s="311">
        <f>POLIMER!E9</f>
        <v>0</v>
      </c>
      <c r="F38" s="311">
        <f>POLIMER!F9</f>
        <v>0</v>
      </c>
      <c r="G38" s="311">
        <f>POLIMER!G9</f>
        <v>0</v>
      </c>
      <c r="H38" s="311">
        <f>POLIMER!H9</f>
        <v>0</v>
      </c>
      <c r="I38" s="311">
        <f>POLIMER!I9</f>
        <v>0</v>
      </c>
      <c r="J38" s="311">
        <f>POLIMER!J9</f>
        <v>0</v>
      </c>
      <c r="K38" s="311">
        <f>POLIMER!K9</f>
        <v>0</v>
      </c>
      <c r="L38" s="311">
        <f>POLIMER!L9</f>
        <v>0</v>
      </c>
      <c r="M38" s="311">
        <f>POLIMER!M9</f>
        <v>0</v>
      </c>
      <c r="N38" s="311">
        <f>POLIMER!N9</f>
        <v>0</v>
      </c>
      <c r="O38" s="311">
        <f>POLIMER!O9</f>
        <v>0</v>
      </c>
      <c r="P38" s="311">
        <f>POLIMER!P9</f>
        <v>0</v>
      </c>
      <c r="Q38" s="311">
        <f>POLIMER!Q9</f>
        <v>0</v>
      </c>
    </row>
    <row r="39" spans="1:17" x14ac:dyDescent="0.25">
      <c r="A39" s="279"/>
      <c r="B39" s="236"/>
      <c r="C39" s="281"/>
      <c r="D39" s="237"/>
      <c r="E39" s="280"/>
      <c r="F39" s="237"/>
      <c r="G39" s="238"/>
      <c r="H39" s="238"/>
      <c r="I39" s="238"/>
      <c r="J39" s="238"/>
      <c r="K39" s="238"/>
      <c r="L39" s="238"/>
      <c r="M39" s="238"/>
      <c r="N39" s="237"/>
      <c r="O39" s="282"/>
      <c r="P39" s="237"/>
      <c r="Q39" s="237"/>
    </row>
    <row r="40" spans="1:17" x14ac:dyDescent="0.25">
      <c r="A40" s="239"/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71"/>
      <c r="P40" s="273"/>
      <c r="Q40" s="273"/>
    </row>
    <row r="41" spans="1:17" x14ac:dyDescent="0.25">
      <c r="A41" s="242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</row>
    <row r="42" spans="1:17" x14ac:dyDescent="0.25">
      <c r="A42" s="242"/>
      <c r="B42" s="242"/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</row>
    <row r="43" spans="1:17" x14ac:dyDescent="0.25">
      <c r="A43" s="242"/>
      <c r="B43" s="242"/>
      <c r="C43" s="242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  <c r="O43" s="242"/>
      <c r="P43" s="242"/>
      <c r="Q43" s="242"/>
    </row>
    <row r="44" spans="1:17" x14ac:dyDescent="0.25">
      <c r="A44" s="537" t="s">
        <v>70</v>
      </c>
      <c r="B44" s="537"/>
      <c r="C44" s="537"/>
      <c r="D44" s="537"/>
      <c r="E44" s="537"/>
      <c r="F44" s="537"/>
      <c r="G44" s="537"/>
      <c r="H44" s="537"/>
      <c r="I44" s="537"/>
      <c r="J44" s="537"/>
      <c r="K44" s="537"/>
      <c r="L44" s="242"/>
      <c r="M44" s="242"/>
      <c r="N44" s="242"/>
      <c r="O44" s="242"/>
      <c r="P44" s="242"/>
      <c r="Q44" s="242"/>
    </row>
    <row r="45" spans="1:17" x14ac:dyDescent="0.25">
      <c r="A45" s="536" t="s">
        <v>0</v>
      </c>
      <c r="B45" s="536" t="s">
        <v>7</v>
      </c>
      <c r="C45" s="536"/>
      <c r="D45" s="536"/>
      <c r="E45" s="536" t="s">
        <v>5</v>
      </c>
      <c r="F45" s="536"/>
      <c r="G45" s="536"/>
      <c r="H45" s="536" t="s">
        <v>4</v>
      </c>
      <c r="I45" s="536"/>
      <c r="J45" s="536" t="s">
        <v>6</v>
      </c>
      <c r="K45" s="536"/>
      <c r="L45" s="242"/>
      <c r="M45" s="242"/>
      <c r="N45" s="242"/>
      <c r="O45" s="242"/>
      <c r="P45" s="242"/>
      <c r="Q45" s="242"/>
    </row>
    <row r="46" spans="1:17" x14ac:dyDescent="0.25">
      <c r="A46" s="536"/>
      <c r="B46" s="231" t="s">
        <v>8</v>
      </c>
      <c r="C46" s="231" t="s">
        <v>14</v>
      </c>
      <c r="D46" s="231" t="s">
        <v>13</v>
      </c>
      <c r="E46" s="231" t="s">
        <v>8</v>
      </c>
      <c r="F46" s="231" t="s">
        <v>14</v>
      </c>
      <c r="G46" s="231" t="s">
        <v>10</v>
      </c>
      <c r="H46" s="231" t="s">
        <v>8</v>
      </c>
      <c r="I46" s="231" t="s">
        <v>13</v>
      </c>
      <c r="J46" s="231" t="s">
        <v>8</v>
      </c>
      <c r="K46" s="231" t="s">
        <v>13</v>
      </c>
      <c r="L46" s="242"/>
      <c r="M46" s="242"/>
      <c r="N46" s="242"/>
      <c r="O46" s="242"/>
      <c r="P46" s="242"/>
      <c r="Q46" s="242"/>
    </row>
    <row r="47" spans="1:17" x14ac:dyDescent="0.25">
      <c r="A47" s="232"/>
      <c r="B47" s="233"/>
      <c r="C47" s="233"/>
      <c r="D47" s="233"/>
      <c r="E47" s="233"/>
      <c r="F47" s="233"/>
      <c r="G47" s="233"/>
      <c r="H47" s="233"/>
      <c r="I47" s="233"/>
      <c r="J47" s="233"/>
      <c r="K47" s="233"/>
      <c r="L47" s="242"/>
      <c r="M47" s="242"/>
      <c r="N47" s="242"/>
      <c r="O47" s="242"/>
      <c r="P47" s="242"/>
      <c r="Q47" s="242"/>
    </row>
    <row r="48" spans="1:17" x14ac:dyDescent="0.25">
      <c r="A48" s="243" t="s">
        <v>21</v>
      </c>
      <c r="B48" s="244">
        <f>'POLIMER K.B'!B9</f>
        <v>0</v>
      </c>
      <c r="C48" s="244">
        <f>'POLIMER K.B'!C9</f>
        <v>0</v>
      </c>
      <c r="D48" s="244">
        <f>'POLIMER K.B'!D9</f>
        <v>0</v>
      </c>
      <c r="E48" s="244">
        <f>'POLIMER K.B'!E9</f>
        <v>0</v>
      </c>
      <c r="F48" s="244">
        <f>'POLIMER K.B'!F9</f>
        <v>0</v>
      </c>
      <c r="G48" s="244">
        <f>'POLIMER K.B'!G9</f>
        <v>0</v>
      </c>
      <c r="H48" s="244">
        <f>'POLIMER K.B'!H9</f>
        <v>0</v>
      </c>
      <c r="I48" s="244">
        <f>'POLIMER K.B'!I9</f>
        <v>0</v>
      </c>
      <c r="J48" s="244">
        <f>'POLIMER K.B'!J9</f>
        <v>0</v>
      </c>
      <c r="K48" s="244">
        <f>'POLIMER K.B'!K9</f>
        <v>0</v>
      </c>
      <c r="L48" s="242"/>
      <c r="M48" s="242"/>
      <c r="N48" s="242"/>
      <c r="O48" s="242"/>
      <c r="P48" s="242"/>
      <c r="Q48" s="242"/>
    </row>
    <row r="49" spans="1:17" x14ac:dyDescent="0.25">
      <c r="A49" s="243"/>
      <c r="B49" s="244"/>
      <c r="C49" s="245"/>
      <c r="D49" s="245"/>
      <c r="E49" s="246"/>
      <c r="F49" s="245"/>
      <c r="G49" s="245"/>
      <c r="H49" s="246"/>
      <c r="I49" s="245"/>
      <c r="J49" s="237"/>
      <c r="K49" s="245"/>
      <c r="L49" s="242"/>
      <c r="M49" s="242"/>
      <c r="N49" s="242"/>
      <c r="O49" s="242"/>
      <c r="P49" s="242"/>
      <c r="Q49" s="242"/>
    </row>
    <row r="50" spans="1:17" x14ac:dyDescent="0.25">
      <c r="A50" s="247"/>
      <c r="B50" s="248"/>
      <c r="C50" s="248"/>
      <c r="D50" s="249"/>
      <c r="E50" s="250"/>
      <c r="F50" s="249"/>
      <c r="G50" s="249"/>
      <c r="H50" s="248"/>
      <c r="I50" s="251"/>
      <c r="J50" s="241"/>
      <c r="K50" s="251"/>
      <c r="L50" s="242"/>
      <c r="M50" s="242"/>
      <c r="N50" s="242"/>
      <c r="O50" s="242"/>
      <c r="P50" s="242"/>
      <c r="Q50" s="242"/>
    </row>
    <row r="51" spans="1:17" x14ac:dyDescent="0.25">
      <c r="A51" s="242"/>
      <c r="B51" s="242"/>
      <c r="C51" s="242"/>
      <c r="D51" s="242"/>
      <c r="E51" s="242"/>
      <c r="F51" s="242"/>
      <c r="G51" s="242"/>
      <c r="H51" s="242"/>
      <c r="I51" s="242"/>
      <c r="J51" s="242"/>
      <c r="K51" s="242"/>
      <c r="L51" s="242"/>
      <c r="M51" s="242"/>
      <c r="N51" s="242"/>
      <c r="O51" s="242"/>
      <c r="P51" s="242"/>
      <c r="Q51" s="242"/>
    </row>
    <row r="52" spans="1:17" x14ac:dyDescent="0.25">
      <c r="A52" s="242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2"/>
      <c r="N52" s="242"/>
      <c r="O52" s="242"/>
      <c r="P52" s="242"/>
      <c r="Q52" s="242"/>
    </row>
    <row r="53" spans="1:17" x14ac:dyDescent="0.25">
      <c r="A53" s="242"/>
      <c r="B53" s="242"/>
      <c r="C53" s="242"/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</row>
    <row r="54" spans="1:17" x14ac:dyDescent="0.25">
      <c r="A54" s="537" t="s">
        <v>71</v>
      </c>
      <c r="B54" s="537"/>
      <c r="C54" s="537"/>
      <c r="D54" s="537"/>
      <c r="E54" s="537"/>
      <c r="F54" s="537"/>
      <c r="G54" s="537"/>
      <c r="H54" s="537"/>
      <c r="I54" s="537"/>
      <c r="J54" s="537"/>
      <c r="K54" s="537"/>
      <c r="L54" s="242"/>
      <c r="M54" s="242"/>
      <c r="N54" s="242"/>
      <c r="O54" s="242"/>
      <c r="P54" s="242"/>
      <c r="Q54" s="242"/>
    </row>
    <row r="55" spans="1:17" x14ac:dyDescent="0.25">
      <c r="A55" s="536" t="s">
        <v>0</v>
      </c>
      <c r="B55" s="536" t="s">
        <v>7</v>
      </c>
      <c r="C55" s="536"/>
      <c r="D55" s="536"/>
      <c r="E55" s="536" t="s">
        <v>5</v>
      </c>
      <c r="F55" s="536"/>
      <c r="G55" s="536"/>
      <c r="H55" s="536" t="s">
        <v>4</v>
      </c>
      <c r="I55" s="536"/>
      <c r="J55" s="536" t="s">
        <v>6</v>
      </c>
      <c r="K55" s="536"/>
      <c r="L55" s="242"/>
      <c r="M55" s="242"/>
      <c r="N55" s="242"/>
      <c r="O55" s="242"/>
      <c r="P55" s="242"/>
      <c r="Q55" s="242"/>
    </row>
    <row r="56" spans="1:17" x14ac:dyDescent="0.25">
      <c r="A56" s="536"/>
      <c r="B56" s="231" t="s">
        <v>8</v>
      </c>
      <c r="C56" s="231" t="s">
        <v>14</v>
      </c>
      <c r="D56" s="231" t="s">
        <v>13</v>
      </c>
      <c r="E56" s="231" t="s">
        <v>8</v>
      </c>
      <c r="F56" s="231" t="s">
        <v>14</v>
      </c>
      <c r="G56" s="231" t="s">
        <v>10</v>
      </c>
      <c r="H56" s="231" t="s">
        <v>8</v>
      </c>
      <c r="I56" s="231" t="s">
        <v>13</v>
      </c>
      <c r="J56" s="231" t="s">
        <v>8</v>
      </c>
      <c r="K56" s="231" t="s">
        <v>13</v>
      </c>
      <c r="L56" s="242"/>
      <c r="M56" s="242"/>
      <c r="N56" s="242"/>
      <c r="O56" s="242"/>
      <c r="P56" s="242"/>
      <c r="Q56" s="242"/>
    </row>
    <row r="57" spans="1:17" x14ac:dyDescent="0.25">
      <c r="A57" s="232"/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42"/>
      <c r="M57" s="242"/>
      <c r="N57" s="242"/>
      <c r="O57" s="242"/>
      <c r="P57" s="242"/>
      <c r="Q57" s="242"/>
    </row>
    <row r="58" spans="1:17" x14ac:dyDescent="0.25">
      <c r="A58" s="243" t="s">
        <v>21</v>
      </c>
      <c r="B58" s="396">
        <f>'Polimer Hanau'!B9</f>
        <v>0</v>
      </c>
      <c r="C58" s="396">
        <f>'Polimer Hanau'!C9</f>
        <v>0</v>
      </c>
      <c r="D58" s="396">
        <f>'Polimer Hanau'!D9</f>
        <v>0</v>
      </c>
      <c r="E58" s="396">
        <f>'Polimer Hanau'!E9</f>
        <v>0</v>
      </c>
      <c r="F58" s="396">
        <f>'Polimer Hanau'!F9</f>
        <v>0</v>
      </c>
      <c r="G58" s="396">
        <f>'Polimer Hanau'!G9</f>
        <v>0</v>
      </c>
      <c r="H58" s="396">
        <f>'Polimer Hanau'!H9</f>
        <v>0</v>
      </c>
      <c r="I58" s="396">
        <f>'Polimer Hanau'!I9</f>
        <v>0</v>
      </c>
      <c r="J58" s="396">
        <f>'Polimer Hanau'!J9</f>
        <v>0</v>
      </c>
      <c r="K58" s="396">
        <f>'Polimer Hanau'!K9</f>
        <v>0</v>
      </c>
      <c r="L58" s="242"/>
      <c r="M58" s="242"/>
      <c r="N58" s="242"/>
      <c r="O58" s="242"/>
      <c r="P58" s="242"/>
      <c r="Q58" s="242"/>
    </row>
    <row r="59" spans="1:17" x14ac:dyDescent="0.25">
      <c r="A59" s="247"/>
      <c r="B59" s="248"/>
      <c r="C59" s="248"/>
      <c r="D59" s="249"/>
      <c r="E59" s="250"/>
      <c r="F59" s="249"/>
      <c r="G59" s="249"/>
      <c r="H59" s="248"/>
      <c r="I59" s="251"/>
      <c r="J59" s="241"/>
      <c r="K59" s="251"/>
      <c r="L59" s="242"/>
      <c r="M59" s="242"/>
      <c r="N59" s="242"/>
      <c r="O59" s="242"/>
      <c r="P59" s="242"/>
      <c r="Q59" s="242"/>
    </row>
    <row r="63" spans="1:17" ht="21" x14ac:dyDescent="0.35">
      <c r="A63" s="278" t="s">
        <v>117</v>
      </c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297"/>
    </row>
    <row r="64" spans="1:17" x14ac:dyDescent="0.25">
      <c r="A64" s="529" t="s">
        <v>69</v>
      </c>
      <c r="B64" s="529"/>
      <c r="C64" s="529"/>
      <c r="D64" s="529"/>
      <c r="E64" s="529"/>
      <c r="F64" s="529"/>
      <c r="G64" s="529"/>
      <c r="H64" s="529"/>
      <c r="I64" s="529"/>
      <c r="J64" s="529"/>
      <c r="K64" s="529"/>
      <c r="L64" s="529"/>
      <c r="M64" s="529"/>
      <c r="N64" s="529"/>
      <c r="O64" s="529"/>
      <c r="P64" s="529"/>
      <c r="Q64" s="529"/>
    </row>
    <row r="65" spans="1:17" x14ac:dyDescent="0.25">
      <c r="A65" s="303"/>
      <c r="B65" s="303"/>
      <c r="C65" s="303"/>
      <c r="D65" s="303"/>
      <c r="E65" s="303"/>
      <c r="F65" s="304"/>
      <c r="G65" s="303"/>
      <c r="H65" s="303"/>
      <c r="I65" s="303"/>
      <c r="J65" s="303"/>
      <c r="K65" s="303"/>
      <c r="L65" s="303"/>
      <c r="M65" s="303"/>
      <c r="N65" s="303"/>
      <c r="O65" s="303"/>
      <c r="P65" s="303"/>
      <c r="Q65" s="303"/>
    </row>
    <row r="66" spans="1:17" x14ac:dyDescent="0.25">
      <c r="A66" s="530" t="s">
        <v>0</v>
      </c>
      <c r="B66" s="532" t="s">
        <v>7</v>
      </c>
      <c r="C66" s="532"/>
      <c r="D66" s="532"/>
      <c r="E66" s="532" t="s">
        <v>5</v>
      </c>
      <c r="F66" s="532"/>
      <c r="G66" s="532"/>
      <c r="H66" s="533" t="s">
        <v>25</v>
      </c>
      <c r="I66" s="534"/>
      <c r="J66" s="535"/>
      <c r="K66" s="533" t="s">
        <v>26</v>
      </c>
      <c r="L66" s="534"/>
      <c r="M66" s="535"/>
      <c r="N66" s="532" t="s">
        <v>4</v>
      </c>
      <c r="O66" s="532"/>
      <c r="P66" s="532" t="s">
        <v>6</v>
      </c>
      <c r="Q66" s="532"/>
    </row>
    <row r="67" spans="1:17" x14ac:dyDescent="0.25">
      <c r="A67" s="531"/>
      <c r="B67" s="305" t="s">
        <v>8</v>
      </c>
      <c r="C67" s="305" t="s">
        <v>9</v>
      </c>
      <c r="D67" s="305" t="s">
        <v>13</v>
      </c>
      <c r="E67" s="305" t="s">
        <v>8</v>
      </c>
      <c r="F67" s="306" t="s">
        <v>9</v>
      </c>
      <c r="G67" s="305" t="s">
        <v>10</v>
      </c>
      <c r="H67" s="307" t="s">
        <v>8</v>
      </c>
      <c r="I67" s="307" t="s">
        <v>9</v>
      </c>
      <c r="J67" s="307" t="s">
        <v>13</v>
      </c>
      <c r="K67" s="307" t="s">
        <v>8</v>
      </c>
      <c r="L67" s="307" t="s">
        <v>9</v>
      </c>
      <c r="M67" s="307" t="s">
        <v>13</v>
      </c>
      <c r="N67" s="305" t="s">
        <v>8</v>
      </c>
      <c r="O67" s="305" t="s">
        <v>13</v>
      </c>
      <c r="P67" s="305" t="s">
        <v>8</v>
      </c>
      <c r="Q67" s="305" t="s">
        <v>13</v>
      </c>
    </row>
    <row r="68" spans="1:17" x14ac:dyDescent="0.25">
      <c r="A68" s="308"/>
      <c r="B68" s="309"/>
      <c r="C68" s="309"/>
      <c r="D68" s="309"/>
      <c r="E68" s="309"/>
      <c r="F68" s="310"/>
      <c r="G68" s="309"/>
      <c r="H68" s="309"/>
      <c r="I68" s="309"/>
      <c r="J68" s="309"/>
      <c r="K68" s="309"/>
      <c r="L68" s="309"/>
      <c r="M68" s="309"/>
      <c r="N68" s="309"/>
      <c r="O68" s="309"/>
      <c r="P68" s="309"/>
      <c r="Q68" s="309"/>
    </row>
    <row r="69" spans="1:17" x14ac:dyDescent="0.25">
      <c r="A69" s="286" t="s">
        <v>22</v>
      </c>
      <c r="B69" s="311">
        <f>POLIMER!B10</f>
        <v>0</v>
      </c>
      <c r="C69" s="311">
        <f>POLIMER!C10</f>
        <v>0</v>
      </c>
      <c r="D69" s="311">
        <f>POLIMER!D10</f>
        <v>0</v>
      </c>
      <c r="E69" s="311">
        <f>POLIMER!E10</f>
        <v>0</v>
      </c>
      <c r="F69" s="311">
        <f>POLIMER!F10</f>
        <v>0</v>
      </c>
      <c r="G69" s="311">
        <f>POLIMER!G10</f>
        <v>0</v>
      </c>
      <c r="H69" s="311">
        <f>POLIMER!H10</f>
        <v>0</v>
      </c>
      <c r="I69" s="311">
        <f>POLIMER!I10</f>
        <v>0</v>
      </c>
      <c r="J69" s="311">
        <f>POLIMER!J10</f>
        <v>0</v>
      </c>
      <c r="K69" s="311">
        <f>POLIMER!K10</f>
        <v>0</v>
      </c>
      <c r="L69" s="311">
        <f>POLIMER!L10</f>
        <v>0</v>
      </c>
      <c r="M69" s="311">
        <f>POLIMER!M10</f>
        <v>0</v>
      </c>
      <c r="N69" s="311">
        <f>POLIMER!N10</f>
        <v>0</v>
      </c>
      <c r="O69" s="311">
        <f>POLIMER!O10</f>
        <v>0</v>
      </c>
      <c r="P69" s="311">
        <f>POLIMER!P10</f>
        <v>0</v>
      </c>
      <c r="Q69" s="311">
        <f>POLIMER!Q10</f>
        <v>0</v>
      </c>
    </row>
    <row r="70" spans="1:17" x14ac:dyDescent="0.25">
      <c r="A70" s="279"/>
      <c r="B70" s="236"/>
      <c r="C70" s="281"/>
      <c r="D70" s="237"/>
      <c r="E70" s="280"/>
      <c r="F70" s="237"/>
      <c r="G70" s="238"/>
      <c r="H70" s="238"/>
      <c r="I70" s="238"/>
      <c r="J70" s="238"/>
      <c r="K70" s="238"/>
      <c r="L70" s="238"/>
      <c r="M70" s="238"/>
      <c r="N70" s="237"/>
      <c r="O70" s="282"/>
      <c r="P70" s="237"/>
      <c r="Q70" s="237"/>
    </row>
    <row r="71" spans="1:17" x14ac:dyDescent="0.25">
      <c r="A71" s="239"/>
      <c r="B71" s="240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71"/>
      <c r="P71" s="273"/>
      <c r="Q71" s="273"/>
    </row>
    <row r="72" spans="1:17" x14ac:dyDescent="0.25">
      <c r="A72" s="242"/>
      <c r="B72" s="242"/>
      <c r="C72" s="242"/>
      <c r="D72" s="242"/>
      <c r="E72" s="242"/>
      <c r="F72" s="242"/>
      <c r="G72" s="242"/>
      <c r="H72" s="242"/>
      <c r="I72" s="242"/>
      <c r="J72" s="242"/>
      <c r="K72" s="242"/>
      <c r="L72" s="242"/>
      <c r="M72" s="242"/>
      <c r="N72" s="242"/>
      <c r="O72" s="242"/>
      <c r="P72" s="242"/>
      <c r="Q72" s="242"/>
    </row>
    <row r="73" spans="1:17" x14ac:dyDescent="0.25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</row>
    <row r="74" spans="1:17" x14ac:dyDescent="0.25">
      <c r="A74" s="242"/>
      <c r="B74" s="242"/>
      <c r="C74" s="242"/>
      <c r="D74" s="242"/>
      <c r="E74" s="242"/>
      <c r="F74" s="242"/>
      <c r="G74" s="242"/>
      <c r="H74" s="242"/>
      <c r="I74" s="242"/>
      <c r="J74" s="242"/>
      <c r="K74" s="242"/>
      <c r="L74" s="242"/>
      <c r="M74" s="242"/>
      <c r="N74" s="242"/>
      <c r="O74" s="242"/>
      <c r="P74" s="242"/>
      <c r="Q74" s="242"/>
    </row>
    <row r="75" spans="1:17" x14ac:dyDescent="0.25">
      <c r="A75" s="537" t="s">
        <v>70</v>
      </c>
      <c r="B75" s="537"/>
      <c r="C75" s="537"/>
      <c r="D75" s="537"/>
      <c r="E75" s="537"/>
      <c r="F75" s="537"/>
      <c r="G75" s="537"/>
      <c r="H75" s="537"/>
      <c r="I75" s="537"/>
      <c r="J75" s="537"/>
      <c r="K75" s="537"/>
      <c r="L75" s="242"/>
      <c r="M75" s="242"/>
      <c r="N75" s="242"/>
      <c r="O75" s="242"/>
      <c r="P75" s="242"/>
      <c r="Q75" s="242"/>
    </row>
    <row r="76" spans="1:17" x14ac:dyDescent="0.25">
      <c r="A76" s="536" t="s">
        <v>0</v>
      </c>
      <c r="B76" s="536" t="s">
        <v>7</v>
      </c>
      <c r="C76" s="536"/>
      <c r="D76" s="536"/>
      <c r="E76" s="536" t="s">
        <v>5</v>
      </c>
      <c r="F76" s="536"/>
      <c r="G76" s="536"/>
      <c r="H76" s="536" t="s">
        <v>4</v>
      </c>
      <c r="I76" s="536"/>
      <c r="J76" s="536" t="s">
        <v>6</v>
      </c>
      <c r="K76" s="536"/>
      <c r="L76" s="242"/>
      <c r="M76" s="242"/>
      <c r="N76" s="242"/>
      <c r="O76" s="242"/>
      <c r="P76" s="242"/>
      <c r="Q76" s="242"/>
    </row>
    <row r="77" spans="1:17" x14ac:dyDescent="0.25">
      <c r="A77" s="536"/>
      <c r="B77" s="231" t="s">
        <v>8</v>
      </c>
      <c r="C77" s="231" t="s">
        <v>14</v>
      </c>
      <c r="D77" s="231" t="s">
        <v>13</v>
      </c>
      <c r="E77" s="231" t="s">
        <v>8</v>
      </c>
      <c r="F77" s="231" t="s">
        <v>14</v>
      </c>
      <c r="G77" s="231" t="s">
        <v>10</v>
      </c>
      <c r="H77" s="231" t="s">
        <v>8</v>
      </c>
      <c r="I77" s="231" t="s">
        <v>13</v>
      </c>
      <c r="J77" s="231" t="s">
        <v>8</v>
      </c>
      <c r="K77" s="231" t="s">
        <v>13</v>
      </c>
      <c r="L77" s="242"/>
      <c r="M77" s="242"/>
      <c r="N77" s="242"/>
      <c r="O77" s="242"/>
      <c r="P77" s="242"/>
      <c r="Q77" s="242"/>
    </row>
    <row r="78" spans="1:17" x14ac:dyDescent="0.25">
      <c r="A78" s="232"/>
      <c r="B78" s="233"/>
      <c r="C78" s="233"/>
      <c r="D78" s="233"/>
      <c r="E78" s="233"/>
      <c r="F78" s="233"/>
      <c r="G78" s="233"/>
      <c r="H78" s="233"/>
      <c r="I78" s="233"/>
      <c r="J78" s="233"/>
      <c r="K78" s="233"/>
      <c r="L78" s="242"/>
      <c r="M78" s="242"/>
      <c r="N78" s="242"/>
      <c r="O78" s="242"/>
      <c r="P78" s="242"/>
      <c r="Q78" s="242"/>
    </row>
    <row r="79" spans="1:17" x14ac:dyDescent="0.25">
      <c r="A79" s="243" t="s">
        <v>22</v>
      </c>
      <c r="B79" s="244">
        <f>'POLIMER K.B'!B10</f>
        <v>0</v>
      </c>
      <c r="C79" s="244">
        <f>'POLIMER K.B'!C10</f>
        <v>0</v>
      </c>
      <c r="D79" s="244">
        <f>'POLIMER K.B'!D10</f>
        <v>0</v>
      </c>
      <c r="E79" s="244">
        <f>'POLIMER K.B'!E10</f>
        <v>0</v>
      </c>
      <c r="F79" s="244">
        <f>'POLIMER K.B'!F10</f>
        <v>0</v>
      </c>
      <c r="G79" s="244">
        <f>'POLIMER K.B'!G10</f>
        <v>0</v>
      </c>
      <c r="H79" s="244">
        <f>'POLIMER K.B'!H10</f>
        <v>0</v>
      </c>
      <c r="I79" s="244">
        <f>'POLIMER K.B'!I10</f>
        <v>0</v>
      </c>
      <c r="J79" s="244">
        <f>'POLIMER K.B'!J10</f>
        <v>0</v>
      </c>
      <c r="K79" s="244">
        <f>'POLIMER K.B'!K10</f>
        <v>0</v>
      </c>
      <c r="L79" s="242"/>
      <c r="M79" s="242"/>
      <c r="N79" s="242"/>
      <c r="O79" s="242"/>
      <c r="P79" s="242"/>
      <c r="Q79" s="242"/>
    </row>
    <row r="80" spans="1:17" x14ac:dyDescent="0.25">
      <c r="A80" s="243"/>
      <c r="B80" s="244"/>
      <c r="C80" s="245"/>
      <c r="D80" s="245">
        <f>B80*C80</f>
        <v>0</v>
      </c>
      <c r="E80" s="246"/>
      <c r="F80" s="245"/>
      <c r="G80" s="245">
        <f>E80*F80</f>
        <v>0</v>
      </c>
      <c r="H80" s="246"/>
      <c r="I80" s="245">
        <f>H80*C80</f>
        <v>0</v>
      </c>
      <c r="J80" s="237"/>
      <c r="K80" s="245">
        <f>D80+G80-I80</f>
        <v>0</v>
      </c>
      <c r="L80" s="242"/>
      <c r="M80" s="242"/>
      <c r="N80" s="242"/>
      <c r="O80" s="242"/>
      <c r="P80" s="242"/>
      <c r="Q80" s="242"/>
    </row>
    <row r="81" spans="1:17" x14ac:dyDescent="0.25">
      <c r="A81" s="247"/>
      <c r="B81" s="248"/>
      <c r="C81" s="248"/>
      <c r="D81" s="249"/>
      <c r="E81" s="250"/>
      <c r="F81" s="249"/>
      <c r="G81" s="249"/>
      <c r="H81" s="248"/>
      <c r="I81" s="251"/>
      <c r="J81" s="241"/>
      <c r="K81" s="251"/>
      <c r="L81" s="242"/>
      <c r="M81" s="242"/>
      <c r="N81" s="242"/>
      <c r="O81" s="242"/>
      <c r="P81" s="242"/>
      <c r="Q81" s="242"/>
    </row>
    <row r="82" spans="1:17" x14ac:dyDescent="0.25">
      <c r="A82" s="242"/>
      <c r="B82" s="242"/>
      <c r="C82" s="242"/>
      <c r="D82" s="242"/>
      <c r="E82" s="242"/>
      <c r="F82" s="242"/>
      <c r="G82" s="242"/>
      <c r="H82" s="242"/>
      <c r="I82" s="242"/>
      <c r="J82" s="242"/>
      <c r="K82" s="242"/>
      <c r="L82" s="242"/>
      <c r="M82" s="242"/>
      <c r="N82" s="242"/>
      <c r="O82" s="242"/>
      <c r="P82" s="242"/>
      <c r="Q82" s="242"/>
    </row>
    <row r="83" spans="1:17" x14ac:dyDescent="0.25">
      <c r="A83" s="242"/>
      <c r="B83" s="242"/>
      <c r="C83" s="242"/>
      <c r="D83" s="242"/>
      <c r="E83" s="242"/>
      <c r="F83" s="242"/>
      <c r="G83" s="242"/>
      <c r="H83" s="242"/>
      <c r="I83" s="242"/>
      <c r="J83" s="242"/>
      <c r="K83" s="242"/>
      <c r="L83" s="242"/>
      <c r="M83" s="242"/>
      <c r="N83" s="242"/>
      <c r="O83" s="242"/>
      <c r="P83" s="242"/>
      <c r="Q83" s="242"/>
    </row>
    <row r="84" spans="1:17" x14ac:dyDescent="0.25">
      <c r="A84" s="242"/>
      <c r="B84" s="242"/>
      <c r="C84" s="242"/>
      <c r="D84" s="242"/>
      <c r="E84" s="242"/>
      <c r="F84" s="242"/>
      <c r="G84" s="242"/>
      <c r="H84" s="242"/>
      <c r="I84" s="242"/>
      <c r="J84" s="242"/>
      <c r="K84" s="242"/>
      <c r="L84" s="242"/>
      <c r="M84" s="242"/>
      <c r="N84" s="242"/>
      <c r="O84" s="242"/>
      <c r="P84" s="242"/>
      <c r="Q84" s="242"/>
    </row>
    <row r="85" spans="1:17" x14ac:dyDescent="0.25">
      <c r="A85" s="537" t="s">
        <v>71</v>
      </c>
      <c r="B85" s="537"/>
      <c r="C85" s="537"/>
      <c r="D85" s="537"/>
      <c r="E85" s="537"/>
      <c r="F85" s="537"/>
      <c r="G85" s="537"/>
      <c r="H85" s="537"/>
      <c r="I85" s="537"/>
      <c r="J85" s="537"/>
      <c r="K85" s="537"/>
      <c r="L85" s="242"/>
      <c r="M85" s="242"/>
      <c r="N85" s="242"/>
      <c r="O85" s="242"/>
      <c r="P85" s="242"/>
      <c r="Q85" s="242"/>
    </row>
    <row r="86" spans="1:17" x14ac:dyDescent="0.25">
      <c r="A86" s="536" t="s">
        <v>0</v>
      </c>
      <c r="B86" s="536" t="s">
        <v>7</v>
      </c>
      <c r="C86" s="536"/>
      <c r="D86" s="536"/>
      <c r="E86" s="536" t="s">
        <v>5</v>
      </c>
      <c r="F86" s="536"/>
      <c r="G86" s="536"/>
      <c r="H86" s="536" t="s">
        <v>4</v>
      </c>
      <c r="I86" s="536"/>
      <c r="J86" s="536" t="s">
        <v>6</v>
      </c>
      <c r="K86" s="536"/>
      <c r="L86" s="242"/>
      <c r="M86" s="242"/>
      <c r="N86" s="242"/>
      <c r="O86" s="242"/>
      <c r="P86" s="242"/>
      <c r="Q86" s="242"/>
    </row>
    <row r="87" spans="1:17" x14ac:dyDescent="0.25">
      <c r="A87" s="536"/>
      <c r="B87" s="231" t="s">
        <v>8</v>
      </c>
      <c r="C87" s="231" t="s">
        <v>14</v>
      </c>
      <c r="D87" s="231" t="s">
        <v>13</v>
      </c>
      <c r="E87" s="231" t="s">
        <v>8</v>
      </c>
      <c r="F87" s="231" t="s">
        <v>14</v>
      </c>
      <c r="G87" s="231" t="s">
        <v>10</v>
      </c>
      <c r="H87" s="231" t="s">
        <v>8</v>
      </c>
      <c r="I87" s="231" t="s">
        <v>13</v>
      </c>
      <c r="J87" s="231" t="s">
        <v>8</v>
      </c>
      <c r="K87" s="231" t="s">
        <v>13</v>
      </c>
      <c r="L87" s="242"/>
      <c r="M87" s="242"/>
      <c r="N87" s="242"/>
      <c r="O87" s="242"/>
      <c r="P87" s="242"/>
      <c r="Q87" s="242"/>
    </row>
    <row r="88" spans="1:17" x14ac:dyDescent="0.25">
      <c r="A88" s="232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42"/>
      <c r="M88" s="242"/>
      <c r="N88" s="242"/>
      <c r="O88" s="242"/>
      <c r="P88" s="242"/>
      <c r="Q88" s="242"/>
    </row>
    <row r="89" spans="1:17" x14ac:dyDescent="0.25">
      <c r="A89" s="243" t="s">
        <v>72</v>
      </c>
      <c r="B89" s="396">
        <f>'Polimer Hanau'!B10</f>
        <v>0</v>
      </c>
      <c r="C89" s="396">
        <f>'Polimer Hanau'!C10</f>
        <v>0</v>
      </c>
      <c r="D89" s="396">
        <f>'Polimer Hanau'!D10</f>
        <v>0</v>
      </c>
      <c r="E89" s="396">
        <f>'Polimer Hanau'!E10</f>
        <v>0</v>
      </c>
      <c r="F89" s="396">
        <f>'Polimer Hanau'!F10</f>
        <v>0</v>
      </c>
      <c r="G89" s="396">
        <f>'Polimer Hanau'!G10</f>
        <v>0</v>
      </c>
      <c r="H89" s="396">
        <f>'Polimer Hanau'!H10</f>
        <v>0</v>
      </c>
      <c r="I89" s="396">
        <f>'Polimer Hanau'!I10</f>
        <v>0</v>
      </c>
      <c r="J89" s="396">
        <f>'Polimer Hanau'!J10</f>
        <v>0</v>
      </c>
      <c r="K89" s="396">
        <f>'Polimer Hanau'!K10</f>
        <v>0</v>
      </c>
      <c r="L89" s="242"/>
      <c r="M89" s="242"/>
      <c r="N89" s="242"/>
      <c r="O89" s="242"/>
      <c r="P89" s="242"/>
      <c r="Q89" s="242"/>
    </row>
    <row r="90" spans="1:17" x14ac:dyDescent="0.25">
      <c r="A90" s="247"/>
      <c r="B90" s="248"/>
      <c r="C90" s="248"/>
      <c r="D90" s="249"/>
      <c r="E90" s="250"/>
      <c r="F90" s="249"/>
      <c r="G90" s="249"/>
      <c r="H90" s="248"/>
      <c r="I90" s="251"/>
      <c r="J90" s="241"/>
      <c r="K90" s="251"/>
      <c r="L90" s="242"/>
      <c r="M90" s="242"/>
      <c r="N90" s="242"/>
      <c r="O90" s="242"/>
      <c r="P90" s="242"/>
      <c r="Q90" s="242"/>
    </row>
    <row r="94" spans="1:17" ht="21" x14ac:dyDescent="0.35">
      <c r="A94" s="520">
        <v>45748</v>
      </c>
      <c r="B94" s="520"/>
      <c r="C94" s="297"/>
      <c r="D94" s="297"/>
      <c r="E94" s="297"/>
      <c r="F94" s="297"/>
      <c r="G94" s="297"/>
      <c r="H94" s="297"/>
      <c r="I94" s="297"/>
      <c r="J94" s="297"/>
      <c r="K94" s="297"/>
      <c r="L94" s="297"/>
      <c r="M94" s="297"/>
      <c r="N94" s="297"/>
      <c r="O94" s="297"/>
      <c r="P94" s="297"/>
      <c r="Q94" s="297"/>
    </row>
    <row r="95" spans="1:17" x14ac:dyDescent="0.25">
      <c r="A95" s="529" t="s">
        <v>69</v>
      </c>
      <c r="B95" s="529"/>
      <c r="C95" s="529"/>
      <c r="D95" s="529"/>
      <c r="E95" s="529"/>
      <c r="F95" s="529"/>
      <c r="G95" s="529"/>
      <c r="H95" s="529"/>
      <c r="I95" s="529"/>
      <c r="J95" s="529"/>
      <c r="K95" s="529"/>
      <c r="L95" s="529"/>
      <c r="M95" s="529"/>
      <c r="N95" s="529"/>
      <c r="O95" s="529"/>
      <c r="P95" s="529"/>
      <c r="Q95" s="529"/>
    </row>
    <row r="96" spans="1:17" x14ac:dyDescent="0.25">
      <c r="A96" s="303"/>
      <c r="B96" s="303"/>
      <c r="C96" s="303"/>
      <c r="D96" s="303"/>
      <c r="E96" s="303"/>
      <c r="F96" s="304"/>
      <c r="G96" s="303"/>
      <c r="H96" s="303"/>
      <c r="I96" s="303"/>
      <c r="J96" s="303"/>
      <c r="K96" s="303"/>
      <c r="L96" s="303"/>
      <c r="M96" s="303"/>
      <c r="N96" s="303"/>
      <c r="O96" s="303"/>
      <c r="P96" s="303"/>
      <c r="Q96" s="303"/>
    </row>
    <row r="97" spans="1:17" x14ac:dyDescent="0.25">
      <c r="A97" s="530" t="s">
        <v>0</v>
      </c>
      <c r="B97" s="532" t="s">
        <v>7</v>
      </c>
      <c r="C97" s="532"/>
      <c r="D97" s="532"/>
      <c r="E97" s="532" t="s">
        <v>5</v>
      </c>
      <c r="F97" s="532"/>
      <c r="G97" s="532"/>
      <c r="H97" s="533" t="s">
        <v>25</v>
      </c>
      <c r="I97" s="534"/>
      <c r="J97" s="535"/>
      <c r="K97" s="533" t="s">
        <v>26</v>
      </c>
      <c r="L97" s="534"/>
      <c r="M97" s="535"/>
      <c r="N97" s="532" t="s">
        <v>4</v>
      </c>
      <c r="O97" s="532"/>
      <c r="P97" s="532" t="s">
        <v>6</v>
      </c>
      <c r="Q97" s="532"/>
    </row>
    <row r="98" spans="1:17" x14ac:dyDescent="0.25">
      <c r="A98" s="531"/>
      <c r="B98" s="305" t="s">
        <v>8</v>
      </c>
      <c r="C98" s="305" t="s">
        <v>9</v>
      </c>
      <c r="D98" s="305" t="s">
        <v>13</v>
      </c>
      <c r="E98" s="305" t="s">
        <v>8</v>
      </c>
      <c r="F98" s="306" t="s">
        <v>9</v>
      </c>
      <c r="G98" s="305" t="s">
        <v>10</v>
      </c>
      <c r="H98" s="307" t="s">
        <v>8</v>
      </c>
      <c r="I98" s="307" t="s">
        <v>9</v>
      </c>
      <c r="J98" s="307" t="s">
        <v>13</v>
      </c>
      <c r="K98" s="307" t="s">
        <v>8</v>
      </c>
      <c r="L98" s="307" t="s">
        <v>9</v>
      </c>
      <c r="M98" s="307" t="s">
        <v>13</v>
      </c>
      <c r="N98" s="305" t="s">
        <v>8</v>
      </c>
      <c r="O98" s="305" t="s">
        <v>13</v>
      </c>
      <c r="P98" s="305" t="s">
        <v>8</v>
      </c>
      <c r="Q98" s="305" t="s">
        <v>13</v>
      </c>
    </row>
    <row r="99" spans="1:17" x14ac:dyDescent="0.25">
      <c r="A99" s="308"/>
      <c r="B99" s="309"/>
      <c r="C99" s="309"/>
      <c r="D99" s="309"/>
      <c r="E99" s="309"/>
      <c r="F99" s="310"/>
      <c r="G99" s="309"/>
      <c r="H99" s="309"/>
      <c r="I99" s="309"/>
      <c r="J99" s="309"/>
      <c r="K99" s="309"/>
      <c r="L99" s="309"/>
      <c r="M99" s="309"/>
      <c r="N99" s="309"/>
      <c r="O99" s="309"/>
      <c r="P99" s="309"/>
      <c r="Q99" s="309"/>
    </row>
    <row r="100" spans="1:17" x14ac:dyDescent="0.25">
      <c r="A100" s="286" t="s">
        <v>24</v>
      </c>
      <c r="B100" s="311">
        <f>POLIMER!B11</f>
        <v>0</v>
      </c>
      <c r="C100" s="311">
        <f>POLIMER!C11</f>
        <v>0</v>
      </c>
      <c r="D100" s="311">
        <f>POLIMER!D11</f>
        <v>0</v>
      </c>
      <c r="E100" s="311">
        <f>POLIMER!E11</f>
        <v>0</v>
      </c>
      <c r="F100" s="311">
        <f>POLIMER!F11</f>
        <v>0</v>
      </c>
      <c r="G100" s="311">
        <f>POLIMER!G11</f>
        <v>0</v>
      </c>
      <c r="H100" s="311">
        <f>POLIMER!H11</f>
        <v>0</v>
      </c>
      <c r="I100" s="311">
        <f>POLIMER!I11</f>
        <v>0</v>
      </c>
      <c r="J100" s="311">
        <f>POLIMER!J11</f>
        <v>0</v>
      </c>
      <c r="K100" s="311">
        <f>POLIMER!K11</f>
        <v>0</v>
      </c>
      <c r="L100" s="311">
        <f>POLIMER!L11</f>
        <v>0</v>
      </c>
      <c r="M100" s="311">
        <f>POLIMER!M11</f>
        <v>0</v>
      </c>
      <c r="N100" s="311">
        <f>POLIMER!N11</f>
        <v>0</v>
      </c>
      <c r="O100" s="311">
        <f>POLIMER!O11</f>
        <v>0</v>
      </c>
      <c r="P100" s="311">
        <f>POLIMER!P11</f>
        <v>0</v>
      </c>
      <c r="Q100" s="311">
        <f>POLIMER!Q11</f>
        <v>0</v>
      </c>
    </row>
    <row r="101" spans="1:17" x14ac:dyDescent="0.25">
      <c r="A101" s="279"/>
      <c r="B101" s="311"/>
      <c r="C101" s="311"/>
      <c r="D101" s="311"/>
      <c r="E101" s="311"/>
      <c r="F101" s="311"/>
      <c r="G101" s="311"/>
      <c r="H101" s="311"/>
      <c r="I101" s="311"/>
      <c r="J101" s="311"/>
      <c r="K101" s="311"/>
      <c r="L101" s="311"/>
      <c r="M101" s="311"/>
      <c r="N101" s="311"/>
      <c r="O101" s="311"/>
      <c r="P101" s="311"/>
      <c r="Q101" s="311"/>
    </row>
    <row r="102" spans="1:17" x14ac:dyDescent="0.25">
      <c r="A102" s="239"/>
      <c r="B102" s="388"/>
      <c r="C102" s="388"/>
      <c r="D102" s="388"/>
      <c r="E102" s="388"/>
      <c r="F102" s="388"/>
      <c r="G102" s="388"/>
      <c r="H102" s="388"/>
      <c r="I102" s="388"/>
      <c r="J102" s="388"/>
      <c r="K102" s="388"/>
      <c r="L102" s="388"/>
      <c r="M102" s="388"/>
      <c r="N102" s="388"/>
      <c r="O102" s="388"/>
      <c r="P102" s="388"/>
      <c r="Q102" s="388"/>
    </row>
    <row r="103" spans="1:17" x14ac:dyDescent="0.25">
      <c r="A103" s="242"/>
      <c r="B103" s="242"/>
      <c r="C103" s="242"/>
      <c r="D103" s="242"/>
      <c r="E103" s="242"/>
      <c r="F103" s="242"/>
      <c r="G103" s="242"/>
      <c r="H103" s="242"/>
      <c r="I103" s="242"/>
      <c r="J103" s="242"/>
      <c r="K103" s="242"/>
      <c r="L103" s="242"/>
      <c r="M103" s="242"/>
      <c r="N103" s="242"/>
      <c r="O103" s="242"/>
      <c r="P103" s="242"/>
      <c r="Q103" s="242"/>
    </row>
    <row r="104" spans="1:17" x14ac:dyDescent="0.25">
      <c r="A104" s="242"/>
      <c r="B104" s="242"/>
      <c r="C104" s="242"/>
      <c r="D104" s="242"/>
      <c r="E104" s="242"/>
      <c r="F104" s="242"/>
      <c r="G104" s="242"/>
      <c r="H104" s="242"/>
      <c r="I104" s="242"/>
      <c r="J104" s="242"/>
      <c r="K104" s="242"/>
      <c r="L104" s="242"/>
      <c r="M104" s="242"/>
      <c r="N104" s="242"/>
      <c r="O104" s="242"/>
      <c r="P104" s="242"/>
      <c r="Q104" s="242"/>
    </row>
    <row r="105" spans="1:17" x14ac:dyDescent="0.25">
      <c r="A105" s="242"/>
      <c r="B105" s="242"/>
      <c r="C105" s="242"/>
      <c r="D105" s="242"/>
      <c r="E105" s="242"/>
      <c r="F105" s="242"/>
      <c r="G105" s="242"/>
      <c r="H105" s="242"/>
      <c r="I105" s="242"/>
      <c r="J105" s="242"/>
      <c r="K105" s="242"/>
      <c r="L105" s="242"/>
      <c r="M105" s="242"/>
      <c r="N105" s="242"/>
      <c r="O105" s="242"/>
      <c r="P105" s="242"/>
      <c r="Q105" s="242"/>
    </row>
    <row r="106" spans="1:17" x14ac:dyDescent="0.25">
      <c r="A106" s="537" t="s">
        <v>70</v>
      </c>
      <c r="B106" s="537"/>
      <c r="C106" s="537"/>
      <c r="D106" s="537"/>
      <c r="E106" s="537"/>
      <c r="F106" s="537"/>
      <c r="G106" s="537"/>
      <c r="H106" s="537"/>
      <c r="I106" s="537"/>
      <c r="J106" s="537"/>
      <c r="K106" s="537"/>
      <c r="L106" s="242"/>
      <c r="M106" s="242"/>
      <c r="N106" s="242"/>
      <c r="O106" s="242"/>
      <c r="P106" s="242"/>
      <c r="Q106" s="242"/>
    </row>
    <row r="107" spans="1:17" x14ac:dyDescent="0.25">
      <c r="A107" s="536" t="s">
        <v>0</v>
      </c>
      <c r="B107" s="536" t="s">
        <v>7</v>
      </c>
      <c r="C107" s="536"/>
      <c r="D107" s="536"/>
      <c r="E107" s="536" t="s">
        <v>5</v>
      </c>
      <c r="F107" s="536"/>
      <c r="G107" s="536"/>
      <c r="H107" s="536" t="s">
        <v>4</v>
      </c>
      <c r="I107" s="536"/>
      <c r="J107" s="536" t="s">
        <v>6</v>
      </c>
      <c r="K107" s="536"/>
      <c r="L107" s="242"/>
      <c r="M107" s="242"/>
      <c r="N107" s="242"/>
      <c r="O107" s="242"/>
      <c r="P107" s="242"/>
      <c r="Q107" s="242"/>
    </row>
    <row r="108" spans="1:17" x14ac:dyDescent="0.25">
      <c r="A108" s="536"/>
      <c r="B108" s="231" t="s">
        <v>8</v>
      </c>
      <c r="C108" s="231" t="s">
        <v>14</v>
      </c>
      <c r="D108" s="231" t="s">
        <v>13</v>
      </c>
      <c r="E108" s="231" t="s">
        <v>8</v>
      </c>
      <c r="F108" s="231" t="s">
        <v>14</v>
      </c>
      <c r="G108" s="231" t="s">
        <v>10</v>
      </c>
      <c r="H108" s="231" t="s">
        <v>8</v>
      </c>
      <c r="I108" s="231" t="s">
        <v>13</v>
      </c>
      <c r="J108" s="231" t="s">
        <v>8</v>
      </c>
      <c r="K108" s="231" t="s">
        <v>13</v>
      </c>
      <c r="L108" s="242"/>
      <c r="M108" s="242"/>
      <c r="N108" s="242"/>
      <c r="O108" s="242"/>
      <c r="P108" s="242"/>
      <c r="Q108" s="242"/>
    </row>
    <row r="109" spans="1:17" x14ac:dyDescent="0.25">
      <c r="A109" s="232"/>
      <c r="B109" s="233"/>
      <c r="C109" s="233"/>
      <c r="D109" s="233"/>
      <c r="E109" s="233"/>
      <c r="F109" s="233"/>
      <c r="G109" s="233"/>
      <c r="H109" s="233"/>
      <c r="I109" s="233"/>
      <c r="J109" s="233"/>
      <c r="K109" s="233"/>
      <c r="L109" s="242"/>
      <c r="M109" s="242"/>
      <c r="N109" s="242"/>
      <c r="O109" s="242"/>
      <c r="P109" s="242"/>
      <c r="Q109" s="242"/>
    </row>
    <row r="110" spans="1:17" x14ac:dyDescent="0.25">
      <c r="A110" s="243" t="s">
        <v>24</v>
      </c>
      <c r="B110" s="244">
        <f>'POLIMER K.B'!B11</f>
        <v>0</v>
      </c>
      <c r="C110" s="244">
        <f>'POLIMER K.B'!C11</f>
        <v>0</v>
      </c>
      <c r="D110" s="244">
        <f>'POLIMER K.B'!D11</f>
        <v>0</v>
      </c>
      <c r="E110" s="244">
        <f>'POLIMER K.B'!E11</f>
        <v>0</v>
      </c>
      <c r="F110" s="244">
        <f>'POLIMER K.B'!F11</f>
        <v>0</v>
      </c>
      <c r="G110" s="244">
        <f>'POLIMER K.B'!G11</f>
        <v>0</v>
      </c>
      <c r="H110" s="244">
        <f>'POLIMER K.B'!H11</f>
        <v>0</v>
      </c>
      <c r="I110" s="244">
        <f>'POLIMER K.B'!I11</f>
        <v>0</v>
      </c>
      <c r="J110" s="244">
        <f>'POLIMER K.B'!J11</f>
        <v>0</v>
      </c>
      <c r="K110" s="244">
        <f>'POLIMER K.B'!K11</f>
        <v>0</v>
      </c>
      <c r="L110" s="242"/>
      <c r="M110" s="242"/>
      <c r="N110" s="242"/>
      <c r="O110" s="242"/>
      <c r="P110" s="242"/>
      <c r="Q110" s="242"/>
    </row>
    <row r="111" spans="1:17" x14ac:dyDescent="0.25">
      <c r="A111" s="243"/>
      <c r="B111" s="244"/>
      <c r="C111" s="244"/>
      <c r="D111" s="244"/>
      <c r="E111" s="244"/>
      <c r="F111" s="244"/>
      <c r="G111" s="244"/>
      <c r="H111" s="244"/>
      <c r="I111" s="244"/>
      <c r="J111" s="244"/>
      <c r="K111" s="244"/>
      <c r="L111" s="242"/>
      <c r="M111" s="242"/>
      <c r="N111" s="242"/>
      <c r="O111" s="242"/>
      <c r="P111" s="242"/>
      <c r="Q111" s="242"/>
    </row>
    <row r="112" spans="1:17" x14ac:dyDescent="0.25">
      <c r="A112" s="247"/>
      <c r="B112" s="346"/>
      <c r="C112" s="346"/>
      <c r="D112" s="346"/>
      <c r="E112" s="346"/>
      <c r="F112" s="346"/>
      <c r="G112" s="346"/>
      <c r="H112" s="346"/>
      <c r="I112" s="346"/>
      <c r="J112" s="346"/>
      <c r="K112" s="346"/>
      <c r="L112" s="242"/>
      <c r="M112" s="242"/>
      <c r="N112" s="242"/>
      <c r="O112" s="242"/>
      <c r="P112" s="242"/>
      <c r="Q112" s="242"/>
    </row>
    <row r="113" spans="1:17" x14ac:dyDescent="0.25">
      <c r="A113" s="242"/>
      <c r="B113" s="242"/>
      <c r="C113" s="242"/>
      <c r="D113" s="242"/>
      <c r="E113" s="242"/>
      <c r="F113" s="242"/>
      <c r="G113" s="242"/>
      <c r="H113" s="242"/>
      <c r="I113" s="242"/>
      <c r="J113" s="242"/>
      <c r="K113" s="242"/>
      <c r="L113" s="242"/>
      <c r="M113" s="242"/>
      <c r="N113" s="242"/>
      <c r="O113" s="242"/>
      <c r="P113" s="242"/>
      <c r="Q113" s="242"/>
    </row>
    <row r="114" spans="1:17" x14ac:dyDescent="0.25">
      <c r="A114" s="242"/>
      <c r="B114" s="242"/>
      <c r="C114" s="242"/>
      <c r="D114" s="242"/>
      <c r="E114" s="242"/>
      <c r="F114" s="242"/>
      <c r="G114" s="242"/>
      <c r="H114" s="242"/>
      <c r="I114" s="242"/>
      <c r="J114" s="242"/>
      <c r="K114" s="242"/>
      <c r="L114" s="242"/>
      <c r="M114" s="242"/>
      <c r="N114" s="242"/>
      <c r="O114" s="242"/>
      <c r="P114" s="242"/>
      <c r="Q114" s="242"/>
    </row>
    <row r="115" spans="1:17" x14ac:dyDescent="0.25">
      <c r="A115" s="242"/>
      <c r="B115" s="242"/>
      <c r="C115" s="242"/>
      <c r="D115" s="242"/>
      <c r="E115" s="242"/>
      <c r="F115" s="242"/>
      <c r="G115" s="242"/>
      <c r="H115" s="242"/>
      <c r="I115" s="242"/>
      <c r="J115" s="242"/>
      <c r="K115" s="242"/>
      <c r="L115" s="242"/>
      <c r="M115" s="242"/>
      <c r="N115" s="242"/>
      <c r="O115" s="242"/>
      <c r="P115" s="242"/>
      <c r="Q115" s="242"/>
    </row>
    <row r="116" spans="1:17" x14ac:dyDescent="0.25">
      <c r="A116" s="537" t="s">
        <v>71</v>
      </c>
      <c r="B116" s="537"/>
      <c r="C116" s="537"/>
      <c r="D116" s="537"/>
      <c r="E116" s="537"/>
      <c r="F116" s="537"/>
      <c r="G116" s="537"/>
      <c r="H116" s="537"/>
      <c r="I116" s="537"/>
      <c r="J116" s="537"/>
      <c r="K116" s="537"/>
      <c r="L116" s="242"/>
      <c r="M116" s="242"/>
      <c r="N116" s="242"/>
      <c r="O116" s="242"/>
      <c r="P116" s="242"/>
      <c r="Q116" s="242"/>
    </row>
    <row r="117" spans="1:17" x14ac:dyDescent="0.25">
      <c r="A117" s="536" t="s">
        <v>0</v>
      </c>
      <c r="B117" s="536" t="s">
        <v>7</v>
      </c>
      <c r="C117" s="536"/>
      <c r="D117" s="536"/>
      <c r="E117" s="536" t="s">
        <v>5</v>
      </c>
      <c r="F117" s="536"/>
      <c r="G117" s="536"/>
      <c r="H117" s="536" t="s">
        <v>4</v>
      </c>
      <c r="I117" s="536"/>
      <c r="J117" s="536" t="s">
        <v>6</v>
      </c>
      <c r="K117" s="536"/>
      <c r="L117" s="242"/>
      <c r="M117" s="242"/>
      <c r="N117" s="242"/>
      <c r="O117" s="242"/>
      <c r="P117" s="242"/>
      <c r="Q117" s="242"/>
    </row>
    <row r="118" spans="1:17" x14ac:dyDescent="0.25">
      <c r="A118" s="536"/>
      <c r="B118" s="231" t="s">
        <v>8</v>
      </c>
      <c r="C118" s="231" t="s">
        <v>14</v>
      </c>
      <c r="D118" s="231" t="s">
        <v>13</v>
      </c>
      <c r="E118" s="231" t="s">
        <v>8</v>
      </c>
      <c r="F118" s="231" t="s">
        <v>14</v>
      </c>
      <c r="G118" s="231" t="s">
        <v>10</v>
      </c>
      <c r="H118" s="231" t="s">
        <v>8</v>
      </c>
      <c r="I118" s="231" t="s">
        <v>13</v>
      </c>
      <c r="J118" s="231" t="s">
        <v>8</v>
      </c>
      <c r="K118" s="231" t="s">
        <v>13</v>
      </c>
      <c r="L118" s="242"/>
      <c r="M118" s="242"/>
      <c r="N118" s="242"/>
      <c r="O118" s="242"/>
      <c r="P118" s="242"/>
      <c r="Q118" s="242"/>
    </row>
    <row r="119" spans="1:17" x14ac:dyDescent="0.25">
      <c r="A119" s="232"/>
      <c r="B119" s="233"/>
      <c r="C119" s="233"/>
      <c r="D119" s="233"/>
      <c r="E119" s="233"/>
      <c r="F119" s="233"/>
      <c r="G119" s="233"/>
      <c r="H119" s="233"/>
      <c r="I119" s="233"/>
      <c r="J119" s="233"/>
      <c r="K119" s="233"/>
      <c r="L119" s="242"/>
      <c r="M119" s="242"/>
      <c r="N119" s="242"/>
      <c r="O119" s="242"/>
      <c r="P119" s="242"/>
      <c r="Q119" s="242"/>
    </row>
    <row r="120" spans="1:17" x14ac:dyDescent="0.25">
      <c r="A120" s="243" t="s">
        <v>24</v>
      </c>
      <c r="B120" s="397">
        <f>'Polimer Hanau'!B11</f>
        <v>0</v>
      </c>
      <c r="C120" s="397">
        <f>'Polimer Hanau'!C11</f>
        <v>0</v>
      </c>
      <c r="D120" s="397">
        <f>'Polimer Hanau'!D11</f>
        <v>0</v>
      </c>
      <c r="E120" s="397">
        <f>'Polimer Hanau'!E11</f>
        <v>0</v>
      </c>
      <c r="F120" s="397">
        <f>'Polimer Hanau'!F11</f>
        <v>0</v>
      </c>
      <c r="G120" s="397">
        <f>'Polimer Hanau'!G11</f>
        <v>0</v>
      </c>
      <c r="H120" s="397">
        <f>'Polimer Hanau'!H11</f>
        <v>0</v>
      </c>
      <c r="I120" s="397">
        <f>'Polimer Hanau'!I11</f>
        <v>0</v>
      </c>
      <c r="J120" s="397">
        <f>'Polimer Hanau'!J11</f>
        <v>0</v>
      </c>
      <c r="K120" s="397">
        <f>'Polimer Hanau'!K11</f>
        <v>0</v>
      </c>
      <c r="L120" s="242"/>
      <c r="M120" s="242"/>
      <c r="N120" s="242"/>
      <c r="O120" s="242"/>
      <c r="P120" s="242"/>
      <c r="Q120" s="242"/>
    </row>
    <row r="121" spans="1:17" x14ac:dyDescent="0.25">
      <c r="A121" s="247"/>
      <c r="B121" s="248"/>
      <c r="C121" s="248"/>
      <c r="D121" s="249"/>
      <c r="E121" s="250"/>
      <c r="F121" s="249"/>
      <c r="G121" s="249"/>
      <c r="H121" s="248"/>
      <c r="I121" s="251"/>
      <c r="J121" s="241"/>
      <c r="K121" s="251"/>
      <c r="L121" s="242"/>
      <c r="M121" s="242"/>
      <c r="N121" s="242"/>
      <c r="O121" s="242"/>
      <c r="P121" s="242"/>
      <c r="Q121" s="242"/>
    </row>
    <row r="125" spans="1:17" ht="21" x14ac:dyDescent="0.35">
      <c r="A125" s="520" t="s">
        <v>98</v>
      </c>
      <c r="B125" s="520"/>
      <c r="C125" s="297"/>
      <c r="D125" s="297"/>
      <c r="E125" s="297"/>
      <c r="F125" s="297"/>
      <c r="G125" s="297"/>
      <c r="H125" s="297"/>
      <c r="I125" s="297"/>
      <c r="J125" s="297"/>
      <c r="K125" s="297"/>
      <c r="L125" s="297"/>
      <c r="M125" s="297"/>
      <c r="N125" s="297"/>
      <c r="O125" s="297"/>
      <c r="P125" s="297"/>
      <c r="Q125" s="297"/>
    </row>
    <row r="126" spans="1:17" x14ac:dyDescent="0.25">
      <c r="A126" s="529" t="s">
        <v>69</v>
      </c>
      <c r="B126" s="529"/>
      <c r="C126" s="529"/>
      <c r="D126" s="529"/>
      <c r="E126" s="529"/>
      <c r="F126" s="529"/>
      <c r="G126" s="529"/>
      <c r="H126" s="529"/>
      <c r="I126" s="529"/>
      <c r="J126" s="529"/>
      <c r="K126" s="529"/>
      <c r="L126" s="529"/>
      <c r="M126" s="529"/>
      <c r="N126" s="529"/>
      <c r="O126" s="529"/>
      <c r="P126" s="529"/>
      <c r="Q126" s="529"/>
    </row>
    <row r="127" spans="1:17" x14ac:dyDescent="0.25">
      <c r="A127" s="303"/>
      <c r="B127" s="303"/>
      <c r="C127" s="303"/>
      <c r="D127" s="303"/>
      <c r="E127" s="303"/>
      <c r="F127" s="304"/>
      <c r="G127" s="303"/>
      <c r="H127" s="303"/>
      <c r="I127" s="303"/>
      <c r="J127" s="303"/>
      <c r="K127" s="303"/>
      <c r="L127" s="303"/>
      <c r="M127" s="303"/>
      <c r="N127" s="303"/>
      <c r="O127" s="303"/>
      <c r="P127" s="303"/>
      <c r="Q127" s="303"/>
    </row>
    <row r="128" spans="1:17" x14ac:dyDescent="0.25">
      <c r="A128" s="530" t="s">
        <v>0</v>
      </c>
      <c r="B128" s="532" t="s">
        <v>7</v>
      </c>
      <c r="C128" s="532"/>
      <c r="D128" s="532"/>
      <c r="E128" s="532" t="s">
        <v>5</v>
      </c>
      <c r="F128" s="532"/>
      <c r="G128" s="532"/>
      <c r="H128" s="533" t="s">
        <v>25</v>
      </c>
      <c r="I128" s="534"/>
      <c r="J128" s="535"/>
      <c r="K128" s="533" t="s">
        <v>26</v>
      </c>
      <c r="L128" s="534"/>
      <c r="M128" s="535"/>
      <c r="N128" s="532" t="s">
        <v>4</v>
      </c>
      <c r="O128" s="532"/>
      <c r="P128" s="532" t="s">
        <v>6</v>
      </c>
      <c r="Q128" s="532"/>
    </row>
    <row r="129" spans="1:17" x14ac:dyDescent="0.25">
      <c r="A129" s="531"/>
      <c r="B129" s="305" t="s">
        <v>8</v>
      </c>
      <c r="C129" s="305" t="s">
        <v>9</v>
      </c>
      <c r="D129" s="305" t="s">
        <v>13</v>
      </c>
      <c r="E129" s="305" t="s">
        <v>8</v>
      </c>
      <c r="F129" s="306" t="s">
        <v>9</v>
      </c>
      <c r="G129" s="305" t="s">
        <v>10</v>
      </c>
      <c r="H129" s="307" t="s">
        <v>8</v>
      </c>
      <c r="I129" s="307" t="s">
        <v>9</v>
      </c>
      <c r="J129" s="307" t="s">
        <v>13</v>
      </c>
      <c r="K129" s="307" t="s">
        <v>8</v>
      </c>
      <c r="L129" s="307" t="s">
        <v>9</v>
      </c>
      <c r="M129" s="307" t="s">
        <v>13</v>
      </c>
      <c r="N129" s="305" t="s">
        <v>8</v>
      </c>
      <c r="O129" s="305" t="s">
        <v>13</v>
      </c>
      <c r="P129" s="305" t="s">
        <v>8</v>
      </c>
      <c r="Q129" s="305" t="s">
        <v>13</v>
      </c>
    </row>
    <row r="130" spans="1:17" x14ac:dyDescent="0.25">
      <c r="A130" s="308"/>
      <c r="B130" s="309"/>
      <c r="C130" s="309"/>
      <c r="D130" s="309"/>
      <c r="E130" s="309"/>
      <c r="F130" s="310"/>
      <c r="G130" s="309"/>
      <c r="H130" s="309"/>
      <c r="I130" s="309"/>
      <c r="J130" s="309"/>
      <c r="K130" s="309"/>
      <c r="L130" s="309"/>
      <c r="M130" s="309"/>
      <c r="N130" s="309"/>
      <c r="O130" s="309"/>
      <c r="P130" s="309"/>
      <c r="Q130" s="309"/>
    </row>
    <row r="131" spans="1:17" x14ac:dyDescent="0.25">
      <c r="A131" s="286" t="s">
        <v>27</v>
      </c>
      <c r="B131" s="311">
        <f>POLIMER!B12</f>
        <v>0</v>
      </c>
      <c r="C131" s="311">
        <f>POLIMER!C12</f>
        <v>0</v>
      </c>
      <c r="D131" s="311">
        <f>POLIMER!D12</f>
        <v>0</v>
      </c>
      <c r="E131" s="311">
        <f>POLIMER!E12</f>
        <v>0</v>
      </c>
      <c r="F131" s="311">
        <f>POLIMER!F12</f>
        <v>0</v>
      </c>
      <c r="G131" s="311">
        <f>POLIMER!G12</f>
        <v>0</v>
      </c>
      <c r="H131" s="311">
        <f>POLIMER!H12</f>
        <v>0</v>
      </c>
      <c r="I131" s="311">
        <f>POLIMER!I12</f>
        <v>0</v>
      </c>
      <c r="J131" s="311">
        <f>POLIMER!J12</f>
        <v>0</v>
      </c>
      <c r="K131" s="311">
        <f>POLIMER!K12</f>
        <v>0</v>
      </c>
      <c r="L131" s="311">
        <f>POLIMER!L12</f>
        <v>0</v>
      </c>
      <c r="M131" s="311">
        <f>POLIMER!M12</f>
        <v>0</v>
      </c>
      <c r="N131" s="311">
        <f>POLIMER!N12</f>
        <v>0</v>
      </c>
      <c r="O131" s="311">
        <f>POLIMER!O12</f>
        <v>0</v>
      </c>
      <c r="P131" s="311">
        <f>POLIMER!P12</f>
        <v>0</v>
      </c>
      <c r="Q131" s="311">
        <f>POLIMER!Q12</f>
        <v>0</v>
      </c>
    </row>
    <row r="132" spans="1:17" x14ac:dyDescent="0.25">
      <c r="A132" s="279"/>
      <c r="B132" s="311">
        <f>POLIMER!B41</f>
        <v>0</v>
      </c>
      <c r="C132" s="311">
        <f>POLIMER!C41</f>
        <v>0</v>
      </c>
      <c r="D132" s="311">
        <f>POLIMER!D41</f>
        <v>0</v>
      </c>
      <c r="E132" s="311">
        <f>POLIMER!E41</f>
        <v>0</v>
      </c>
      <c r="F132" s="311">
        <f>POLIMER!F41</f>
        <v>0</v>
      </c>
      <c r="G132" s="311">
        <f>POLIMER!G41</f>
        <v>0</v>
      </c>
      <c r="H132" s="311">
        <f>POLIMER!H41</f>
        <v>0</v>
      </c>
      <c r="I132" s="311">
        <f>POLIMER!I41</f>
        <v>0</v>
      </c>
      <c r="J132" s="311">
        <f>POLIMER!J41</f>
        <v>0</v>
      </c>
      <c r="K132" s="311">
        <f>POLIMER!K41</f>
        <v>0</v>
      </c>
      <c r="L132" s="311">
        <f>POLIMER!L41</f>
        <v>0</v>
      </c>
      <c r="M132" s="311">
        <f>POLIMER!M41</f>
        <v>0</v>
      </c>
      <c r="N132" s="311">
        <f>POLIMER!N41</f>
        <v>0</v>
      </c>
      <c r="O132" s="311">
        <f>POLIMER!O41</f>
        <v>0</v>
      </c>
      <c r="P132" s="311">
        <f>POLIMER!P41</f>
        <v>0</v>
      </c>
      <c r="Q132" s="311">
        <f>POLIMER!Q41</f>
        <v>0</v>
      </c>
    </row>
    <row r="133" spans="1:17" x14ac:dyDescent="0.25">
      <c r="A133" s="239"/>
      <c r="B133" s="388">
        <f>POLIMER!B42</f>
        <v>0</v>
      </c>
      <c r="C133" s="388">
        <f>POLIMER!C42</f>
        <v>0</v>
      </c>
      <c r="D133" s="388">
        <f>POLIMER!D42</f>
        <v>0</v>
      </c>
      <c r="E133" s="388">
        <f>POLIMER!E42</f>
        <v>0</v>
      </c>
      <c r="F133" s="388">
        <f>POLIMER!F42</f>
        <v>0</v>
      </c>
      <c r="G133" s="388">
        <f>POLIMER!G42</f>
        <v>0</v>
      </c>
      <c r="H133" s="388">
        <f>POLIMER!H42</f>
        <v>0</v>
      </c>
      <c r="I133" s="388">
        <f>POLIMER!I42</f>
        <v>0</v>
      </c>
      <c r="J133" s="388">
        <f>POLIMER!J42</f>
        <v>0</v>
      </c>
      <c r="K133" s="388">
        <f>POLIMER!K42</f>
        <v>0</v>
      </c>
      <c r="L133" s="388">
        <f>POLIMER!L42</f>
        <v>0</v>
      </c>
      <c r="M133" s="388">
        <f>POLIMER!M42</f>
        <v>0</v>
      </c>
      <c r="N133" s="388">
        <f>POLIMER!N42</f>
        <v>0</v>
      </c>
      <c r="O133" s="388">
        <f>POLIMER!O42</f>
        <v>0</v>
      </c>
      <c r="P133" s="388">
        <f>POLIMER!P42</f>
        <v>0</v>
      </c>
      <c r="Q133" s="388">
        <f>POLIMER!Q42</f>
        <v>0</v>
      </c>
    </row>
    <row r="134" spans="1:17" x14ac:dyDescent="0.25">
      <c r="A134" s="242"/>
      <c r="B134" s="242"/>
      <c r="C134" s="242"/>
      <c r="D134" s="242"/>
      <c r="E134" s="242"/>
      <c r="F134" s="242"/>
      <c r="G134" s="242"/>
      <c r="H134" s="242"/>
      <c r="I134" s="242"/>
      <c r="J134" s="242"/>
      <c r="K134" s="242"/>
      <c r="L134" s="242"/>
      <c r="M134" s="242"/>
      <c r="N134" s="242"/>
      <c r="O134" s="242"/>
      <c r="P134" s="242"/>
      <c r="Q134" s="242"/>
    </row>
    <row r="135" spans="1:17" x14ac:dyDescent="0.25">
      <c r="A135" s="242"/>
      <c r="B135" s="242"/>
      <c r="C135" s="242"/>
      <c r="D135" s="242"/>
      <c r="E135" s="242"/>
      <c r="F135" s="242"/>
      <c r="G135" s="242"/>
      <c r="H135" s="242"/>
      <c r="I135" s="242"/>
      <c r="J135" s="242"/>
      <c r="K135" s="242"/>
      <c r="L135" s="242"/>
      <c r="M135" s="242"/>
      <c r="N135" s="242"/>
      <c r="O135" s="242"/>
      <c r="P135" s="242"/>
      <c r="Q135" s="242"/>
    </row>
    <row r="136" spans="1:17" x14ac:dyDescent="0.25">
      <c r="A136" s="242"/>
      <c r="B136" s="242"/>
      <c r="C136" s="242"/>
      <c r="D136" s="242"/>
      <c r="E136" s="242"/>
      <c r="F136" s="242"/>
      <c r="G136" s="242"/>
      <c r="H136" s="242"/>
      <c r="I136" s="242"/>
      <c r="J136" s="242"/>
      <c r="K136" s="242"/>
      <c r="L136" s="242"/>
      <c r="M136" s="242"/>
      <c r="N136" s="242"/>
      <c r="O136" s="242"/>
      <c r="P136" s="242"/>
      <c r="Q136" s="242"/>
    </row>
    <row r="137" spans="1:17" x14ac:dyDescent="0.25">
      <c r="A137" s="537" t="s">
        <v>70</v>
      </c>
      <c r="B137" s="537"/>
      <c r="C137" s="537"/>
      <c r="D137" s="537"/>
      <c r="E137" s="537"/>
      <c r="F137" s="537"/>
      <c r="G137" s="537"/>
      <c r="H137" s="537"/>
      <c r="I137" s="537"/>
      <c r="J137" s="537"/>
      <c r="K137" s="537"/>
      <c r="L137" s="242"/>
      <c r="M137" s="242"/>
      <c r="N137" s="242"/>
      <c r="O137" s="242"/>
      <c r="P137" s="242"/>
      <c r="Q137" s="242"/>
    </row>
    <row r="138" spans="1:17" x14ac:dyDescent="0.25">
      <c r="A138" s="536" t="s">
        <v>0</v>
      </c>
      <c r="B138" s="536" t="s">
        <v>7</v>
      </c>
      <c r="C138" s="536"/>
      <c r="D138" s="536"/>
      <c r="E138" s="536" t="s">
        <v>5</v>
      </c>
      <c r="F138" s="536"/>
      <c r="G138" s="536"/>
      <c r="H138" s="536" t="s">
        <v>4</v>
      </c>
      <c r="I138" s="536"/>
      <c r="J138" s="536" t="s">
        <v>6</v>
      </c>
      <c r="K138" s="536"/>
      <c r="L138" s="242"/>
      <c r="M138" s="242"/>
      <c r="N138" s="242"/>
      <c r="O138" s="242"/>
      <c r="P138" s="242"/>
      <c r="Q138" s="242"/>
    </row>
    <row r="139" spans="1:17" x14ac:dyDescent="0.25">
      <c r="A139" s="536"/>
      <c r="B139" s="231" t="s">
        <v>8</v>
      </c>
      <c r="C139" s="231" t="s">
        <v>14</v>
      </c>
      <c r="D139" s="231" t="s">
        <v>13</v>
      </c>
      <c r="E139" s="231" t="s">
        <v>8</v>
      </c>
      <c r="F139" s="231" t="s">
        <v>14</v>
      </c>
      <c r="G139" s="231" t="s">
        <v>10</v>
      </c>
      <c r="H139" s="231" t="s">
        <v>8</v>
      </c>
      <c r="I139" s="231" t="s">
        <v>13</v>
      </c>
      <c r="J139" s="231" t="s">
        <v>8</v>
      </c>
      <c r="K139" s="231" t="s">
        <v>13</v>
      </c>
      <c r="L139" s="242"/>
      <c r="M139" s="242"/>
      <c r="N139" s="242"/>
      <c r="O139" s="242"/>
      <c r="P139" s="242"/>
      <c r="Q139" s="242"/>
    </row>
    <row r="140" spans="1:17" x14ac:dyDescent="0.25">
      <c r="A140" s="232"/>
      <c r="B140" s="233"/>
      <c r="C140" s="233"/>
      <c r="D140" s="233"/>
      <c r="E140" s="233"/>
      <c r="F140" s="233"/>
      <c r="G140" s="233"/>
      <c r="H140" s="233"/>
      <c r="I140" s="233"/>
      <c r="J140" s="233"/>
      <c r="K140" s="233"/>
      <c r="L140" s="242"/>
      <c r="M140" s="242"/>
      <c r="N140" s="242"/>
      <c r="O140" s="242"/>
      <c r="P140" s="242"/>
      <c r="Q140" s="242"/>
    </row>
    <row r="141" spans="1:17" x14ac:dyDescent="0.25">
      <c r="A141" s="243" t="s">
        <v>27</v>
      </c>
      <c r="B141" s="244">
        <f>'POLIMER K.B'!B12</f>
        <v>0</v>
      </c>
      <c r="C141" s="244">
        <f>'POLIMER K.B'!C12</f>
        <v>0</v>
      </c>
      <c r="D141" s="244">
        <f>'POLIMER K.B'!D12</f>
        <v>0</v>
      </c>
      <c r="E141" s="244">
        <f>'POLIMER K.B'!E12</f>
        <v>0</v>
      </c>
      <c r="F141" s="244">
        <f>'POLIMER K.B'!F12</f>
        <v>0</v>
      </c>
      <c r="G141" s="244">
        <f>'POLIMER K.B'!G12</f>
        <v>0</v>
      </c>
      <c r="H141" s="244">
        <f>'POLIMER K.B'!H12</f>
        <v>0</v>
      </c>
      <c r="I141" s="244">
        <f>'POLIMER K.B'!I12</f>
        <v>0</v>
      </c>
      <c r="J141" s="244">
        <f>'POLIMER K.B'!J12</f>
        <v>0</v>
      </c>
      <c r="K141" s="244">
        <f>'POLIMER K.B'!K12</f>
        <v>0</v>
      </c>
      <c r="L141" s="242"/>
      <c r="M141" s="242"/>
      <c r="N141" s="242"/>
      <c r="O141" s="242"/>
      <c r="P141" s="242"/>
      <c r="Q141" s="242"/>
    </row>
    <row r="142" spans="1:17" x14ac:dyDescent="0.25">
      <c r="A142" s="243"/>
      <c r="B142" s="244"/>
      <c r="C142" s="244"/>
      <c r="D142" s="244"/>
      <c r="E142" s="244"/>
      <c r="F142" s="244"/>
      <c r="G142" s="244"/>
      <c r="H142" s="244"/>
      <c r="I142" s="244"/>
      <c r="J142" s="244"/>
      <c r="K142" s="244"/>
      <c r="L142" s="242"/>
      <c r="M142" s="242"/>
      <c r="N142" s="242"/>
      <c r="O142" s="242"/>
      <c r="P142" s="242"/>
      <c r="Q142" s="242"/>
    </row>
    <row r="143" spans="1:17" x14ac:dyDescent="0.25">
      <c r="A143" s="247"/>
      <c r="B143" s="346"/>
      <c r="C143" s="346"/>
      <c r="D143" s="346"/>
      <c r="E143" s="346"/>
      <c r="F143" s="346"/>
      <c r="G143" s="346"/>
      <c r="H143" s="346"/>
      <c r="I143" s="346"/>
      <c r="J143" s="346"/>
      <c r="K143" s="346"/>
      <c r="L143" s="242"/>
      <c r="M143" s="242"/>
      <c r="N143" s="242"/>
      <c r="O143" s="242"/>
      <c r="P143" s="242"/>
      <c r="Q143" s="242"/>
    </row>
    <row r="144" spans="1:17" x14ac:dyDescent="0.25">
      <c r="A144" s="242"/>
      <c r="B144" s="242"/>
      <c r="C144" s="242"/>
      <c r="D144" s="242"/>
      <c r="E144" s="242"/>
      <c r="F144" s="242"/>
      <c r="G144" s="242"/>
      <c r="H144" s="242"/>
      <c r="I144" s="242"/>
      <c r="J144" s="242"/>
      <c r="K144" s="242"/>
      <c r="L144" s="242"/>
      <c r="M144" s="242"/>
      <c r="N144" s="242"/>
      <c r="O144" s="242"/>
      <c r="P144" s="242"/>
      <c r="Q144" s="242"/>
    </row>
    <row r="145" spans="1:17" x14ac:dyDescent="0.25">
      <c r="A145" s="242"/>
      <c r="B145" s="242"/>
      <c r="C145" s="242"/>
      <c r="D145" s="242"/>
      <c r="E145" s="242"/>
      <c r="F145" s="242"/>
      <c r="G145" s="242"/>
      <c r="H145" s="242"/>
      <c r="I145" s="242"/>
      <c r="J145" s="242"/>
      <c r="K145" s="242"/>
      <c r="L145" s="242"/>
      <c r="M145" s="242"/>
      <c r="N145" s="242"/>
      <c r="O145" s="242"/>
      <c r="P145" s="242"/>
      <c r="Q145" s="242"/>
    </row>
    <row r="146" spans="1:17" x14ac:dyDescent="0.25">
      <c r="A146" s="242"/>
      <c r="B146" s="242"/>
      <c r="C146" s="242"/>
      <c r="D146" s="242"/>
      <c r="E146" s="242"/>
      <c r="F146" s="242"/>
      <c r="G146" s="242"/>
      <c r="H146" s="242"/>
      <c r="I146" s="242"/>
      <c r="J146" s="242"/>
      <c r="K146" s="242"/>
      <c r="L146" s="242"/>
      <c r="M146" s="242"/>
      <c r="N146" s="242"/>
      <c r="O146" s="242"/>
      <c r="P146" s="242"/>
      <c r="Q146" s="242"/>
    </row>
    <row r="147" spans="1:17" x14ac:dyDescent="0.25">
      <c r="A147" s="537" t="s">
        <v>71</v>
      </c>
      <c r="B147" s="537"/>
      <c r="C147" s="537"/>
      <c r="D147" s="537"/>
      <c r="E147" s="537"/>
      <c r="F147" s="537"/>
      <c r="G147" s="537"/>
      <c r="H147" s="537"/>
      <c r="I147" s="537"/>
      <c r="J147" s="537"/>
      <c r="K147" s="537"/>
      <c r="L147" s="242"/>
      <c r="M147" s="242"/>
      <c r="N147" s="242"/>
      <c r="O147" s="242"/>
      <c r="P147" s="242"/>
      <c r="Q147" s="242"/>
    </row>
    <row r="148" spans="1:17" x14ac:dyDescent="0.25">
      <c r="A148" s="536" t="s">
        <v>0</v>
      </c>
      <c r="B148" s="536" t="s">
        <v>7</v>
      </c>
      <c r="C148" s="536"/>
      <c r="D148" s="536"/>
      <c r="E148" s="536" t="s">
        <v>5</v>
      </c>
      <c r="F148" s="536"/>
      <c r="G148" s="536"/>
      <c r="H148" s="536" t="s">
        <v>4</v>
      </c>
      <c r="I148" s="536"/>
      <c r="J148" s="536" t="s">
        <v>6</v>
      </c>
      <c r="K148" s="536"/>
      <c r="L148" s="242"/>
      <c r="M148" s="242"/>
      <c r="N148" s="242"/>
      <c r="O148" s="242"/>
      <c r="P148" s="242"/>
      <c r="Q148" s="242"/>
    </row>
    <row r="149" spans="1:17" x14ac:dyDescent="0.25">
      <c r="A149" s="536"/>
      <c r="B149" s="231" t="s">
        <v>8</v>
      </c>
      <c r="C149" s="231" t="s">
        <v>14</v>
      </c>
      <c r="D149" s="231" t="s">
        <v>13</v>
      </c>
      <c r="E149" s="231" t="s">
        <v>8</v>
      </c>
      <c r="F149" s="231" t="s">
        <v>14</v>
      </c>
      <c r="G149" s="231" t="s">
        <v>10</v>
      </c>
      <c r="H149" s="231" t="s">
        <v>8</v>
      </c>
      <c r="I149" s="231" t="s">
        <v>13</v>
      </c>
      <c r="J149" s="231" t="s">
        <v>8</v>
      </c>
      <c r="K149" s="231" t="s">
        <v>13</v>
      </c>
      <c r="L149" s="242"/>
      <c r="M149" s="242"/>
      <c r="N149" s="242"/>
      <c r="O149" s="242"/>
      <c r="P149" s="242"/>
      <c r="Q149" s="242"/>
    </row>
    <row r="150" spans="1:17" x14ac:dyDescent="0.25">
      <c r="A150" s="232"/>
      <c r="B150" s="233"/>
      <c r="C150" s="233"/>
      <c r="D150" s="233"/>
      <c r="E150" s="233"/>
      <c r="F150" s="233"/>
      <c r="G150" s="233"/>
      <c r="H150" s="233"/>
      <c r="I150" s="233"/>
      <c r="J150" s="233"/>
      <c r="K150" s="233"/>
      <c r="L150" s="242"/>
      <c r="M150" s="242"/>
      <c r="N150" s="242"/>
      <c r="O150" s="242"/>
      <c r="P150" s="242"/>
      <c r="Q150" s="242"/>
    </row>
    <row r="151" spans="1:17" x14ac:dyDescent="0.25">
      <c r="A151" s="243" t="s">
        <v>27</v>
      </c>
      <c r="B151" s="427">
        <f>'Polimer Hanau'!B12</f>
        <v>0</v>
      </c>
      <c r="C151" s="427">
        <f>'Polimer Hanau'!C12</f>
        <v>0</v>
      </c>
      <c r="D151" s="427">
        <f>'Polimer Hanau'!D12</f>
        <v>0</v>
      </c>
      <c r="E151" s="427">
        <f>'Polimer Hanau'!E12</f>
        <v>0</v>
      </c>
      <c r="F151" s="427">
        <f>'Polimer Hanau'!F12</f>
        <v>0</v>
      </c>
      <c r="G151" s="427">
        <f>'Polimer Hanau'!G12</f>
        <v>0</v>
      </c>
      <c r="H151" s="427">
        <f>'Polimer Hanau'!H12</f>
        <v>0</v>
      </c>
      <c r="I151" s="427">
        <f>'Polimer Hanau'!I12</f>
        <v>0</v>
      </c>
      <c r="J151" s="427">
        <f>'Polimer Hanau'!J12</f>
        <v>0</v>
      </c>
      <c r="K151" s="427">
        <f>'Polimer Hanau'!K12</f>
        <v>0</v>
      </c>
      <c r="L151" s="242"/>
      <c r="M151" s="242"/>
      <c r="N151" s="242"/>
      <c r="O151" s="242"/>
      <c r="P151" s="242"/>
      <c r="Q151" s="242"/>
    </row>
    <row r="152" spans="1:17" x14ac:dyDescent="0.25">
      <c r="A152" s="247"/>
      <c r="B152" s="248"/>
      <c r="C152" s="248"/>
      <c r="D152" s="249"/>
      <c r="E152" s="250"/>
      <c r="F152" s="249"/>
      <c r="G152" s="249"/>
      <c r="H152" s="248"/>
      <c r="I152" s="251"/>
      <c r="J152" s="241"/>
      <c r="K152" s="251"/>
      <c r="L152" s="242"/>
      <c r="M152" s="242"/>
      <c r="N152" s="242"/>
      <c r="O152" s="242"/>
      <c r="P152" s="242"/>
      <c r="Q152" s="242"/>
    </row>
    <row r="156" spans="1:17" ht="21" x14ac:dyDescent="0.35">
      <c r="A156" s="520" t="s">
        <v>101</v>
      </c>
      <c r="B156" s="520"/>
      <c r="C156" s="297"/>
      <c r="D156" s="297"/>
      <c r="E156" s="297"/>
      <c r="F156" s="297"/>
      <c r="G156" s="297"/>
      <c r="H156" s="297"/>
      <c r="I156" s="297"/>
      <c r="J156" s="297"/>
      <c r="K156" s="297"/>
      <c r="L156" s="297"/>
      <c r="M156" s="297"/>
      <c r="N156" s="297"/>
      <c r="O156" s="297"/>
      <c r="P156" s="297"/>
      <c r="Q156" s="297"/>
    </row>
    <row r="157" spans="1:17" x14ac:dyDescent="0.25">
      <c r="A157" s="529" t="s">
        <v>69</v>
      </c>
      <c r="B157" s="529"/>
      <c r="C157" s="529"/>
      <c r="D157" s="529"/>
      <c r="E157" s="529"/>
      <c r="F157" s="529"/>
      <c r="G157" s="529"/>
      <c r="H157" s="529"/>
      <c r="I157" s="529"/>
      <c r="J157" s="529"/>
      <c r="K157" s="529"/>
      <c r="L157" s="529"/>
      <c r="M157" s="529"/>
      <c r="N157" s="529"/>
      <c r="O157" s="529"/>
      <c r="P157" s="529"/>
      <c r="Q157" s="529"/>
    </row>
    <row r="158" spans="1:17" x14ac:dyDescent="0.25">
      <c r="A158" s="303"/>
      <c r="B158" s="303"/>
      <c r="C158" s="303"/>
      <c r="D158" s="303"/>
      <c r="E158" s="303"/>
      <c r="F158" s="304"/>
      <c r="G158" s="303"/>
      <c r="H158" s="303"/>
      <c r="I158" s="303"/>
      <c r="J158" s="303"/>
      <c r="K158" s="303"/>
      <c r="L158" s="303"/>
      <c r="M158" s="303"/>
      <c r="N158" s="303"/>
      <c r="O158" s="303"/>
      <c r="P158" s="303"/>
      <c r="Q158" s="303"/>
    </row>
    <row r="159" spans="1:17" x14ac:dyDescent="0.25">
      <c r="A159" s="530" t="s">
        <v>0</v>
      </c>
      <c r="B159" s="532" t="s">
        <v>7</v>
      </c>
      <c r="C159" s="532"/>
      <c r="D159" s="532"/>
      <c r="E159" s="532" t="s">
        <v>5</v>
      </c>
      <c r="F159" s="532"/>
      <c r="G159" s="532"/>
      <c r="H159" s="533" t="s">
        <v>25</v>
      </c>
      <c r="I159" s="534"/>
      <c r="J159" s="535"/>
      <c r="K159" s="533" t="s">
        <v>26</v>
      </c>
      <c r="L159" s="534"/>
      <c r="M159" s="535"/>
      <c r="N159" s="532" t="s">
        <v>4</v>
      </c>
      <c r="O159" s="532"/>
      <c r="P159" s="532" t="s">
        <v>6</v>
      </c>
      <c r="Q159" s="532"/>
    </row>
    <row r="160" spans="1:17" x14ac:dyDescent="0.25">
      <c r="A160" s="531"/>
      <c r="B160" s="305" t="s">
        <v>8</v>
      </c>
      <c r="C160" s="305" t="s">
        <v>9</v>
      </c>
      <c r="D160" s="305" t="s">
        <v>13</v>
      </c>
      <c r="E160" s="305" t="s">
        <v>8</v>
      </c>
      <c r="F160" s="306" t="s">
        <v>9</v>
      </c>
      <c r="G160" s="305" t="s">
        <v>10</v>
      </c>
      <c r="H160" s="307" t="s">
        <v>8</v>
      </c>
      <c r="I160" s="307" t="s">
        <v>9</v>
      </c>
      <c r="J160" s="307" t="s">
        <v>13</v>
      </c>
      <c r="K160" s="307" t="s">
        <v>8</v>
      </c>
      <c r="L160" s="307" t="s">
        <v>9</v>
      </c>
      <c r="M160" s="307" t="s">
        <v>13</v>
      </c>
      <c r="N160" s="305" t="s">
        <v>8</v>
      </c>
      <c r="O160" s="305" t="s">
        <v>13</v>
      </c>
      <c r="P160" s="305" t="s">
        <v>8</v>
      </c>
      <c r="Q160" s="305" t="s">
        <v>13</v>
      </c>
    </row>
    <row r="161" spans="1:17" x14ac:dyDescent="0.25">
      <c r="A161" s="308"/>
      <c r="B161" s="309"/>
      <c r="C161" s="309"/>
      <c r="D161" s="309"/>
      <c r="E161" s="309"/>
      <c r="F161" s="310"/>
      <c r="G161" s="309"/>
      <c r="H161" s="309"/>
      <c r="I161" s="309"/>
      <c r="J161" s="309"/>
      <c r="K161" s="309"/>
      <c r="L161" s="309"/>
      <c r="M161" s="309"/>
      <c r="N161" s="309"/>
      <c r="O161" s="309"/>
      <c r="P161" s="309"/>
      <c r="Q161" s="309"/>
    </row>
    <row r="162" spans="1:17" x14ac:dyDescent="0.25">
      <c r="A162" s="286" t="s">
        <v>51</v>
      </c>
      <c r="B162" s="311">
        <f>POLIMER!B13</f>
        <v>0</v>
      </c>
      <c r="C162" s="311">
        <f>POLIMER!C13</f>
        <v>0</v>
      </c>
      <c r="D162" s="311">
        <f>POLIMER!D13</f>
        <v>0</v>
      </c>
      <c r="E162" s="311">
        <f>POLIMER!E13</f>
        <v>0</v>
      </c>
      <c r="F162" s="311">
        <f>POLIMER!F13</f>
        <v>0</v>
      </c>
      <c r="G162" s="311">
        <f>POLIMER!G13</f>
        <v>0</v>
      </c>
      <c r="H162" s="311">
        <f>POLIMER!H13</f>
        <v>0</v>
      </c>
      <c r="I162" s="311">
        <f>POLIMER!I13</f>
        <v>0</v>
      </c>
      <c r="J162" s="311">
        <f>POLIMER!J13</f>
        <v>0</v>
      </c>
      <c r="K162" s="311">
        <f>POLIMER!K13</f>
        <v>0</v>
      </c>
      <c r="L162" s="311">
        <f>POLIMER!L13</f>
        <v>0</v>
      </c>
      <c r="M162" s="311">
        <f>POLIMER!M13</f>
        <v>0</v>
      </c>
      <c r="N162" s="311">
        <f>POLIMER!N13</f>
        <v>0</v>
      </c>
      <c r="O162" s="311">
        <f>POLIMER!O13</f>
        <v>0</v>
      </c>
      <c r="P162" s="311">
        <f>POLIMER!P13</f>
        <v>0</v>
      </c>
      <c r="Q162" s="311">
        <f>POLIMER!Q13</f>
        <v>0</v>
      </c>
    </row>
    <row r="163" spans="1:17" x14ac:dyDescent="0.25">
      <c r="A163" s="403"/>
      <c r="B163" s="388" t="e">
        <f>POLIMER!#REF!</f>
        <v>#REF!</v>
      </c>
      <c r="C163" s="388" t="e">
        <f>POLIMER!#REF!</f>
        <v>#REF!</v>
      </c>
      <c r="D163" s="388" t="e">
        <f>POLIMER!#REF!</f>
        <v>#REF!</v>
      </c>
      <c r="E163" s="388" t="e">
        <f>POLIMER!#REF!</f>
        <v>#REF!</v>
      </c>
      <c r="F163" s="388" t="e">
        <f>POLIMER!#REF!</f>
        <v>#REF!</v>
      </c>
      <c r="G163" s="388" t="e">
        <f>POLIMER!#REF!</f>
        <v>#REF!</v>
      </c>
      <c r="H163" s="388" t="e">
        <f>POLIMER!#REF!</f>
        <v>#REF!</v>
      </c>
      <c r="I163" s="388" t="e">
        <f>POLIMER!#REF!</f>
        <v>#REF!</v>
      </c>
      <c r="J163" s="388" t="e">
        <f>POLIMER!#REF!</f>
        <v>#REF!</v>
      </c>
      <c r="K163" s="388" t="e">
        <f>POLIMER!#REF!</f>
        <v>#REF!</v>
      </c>
      <c r="L163" s="388" t="e">
        <f>POLIMER!#REF!</f>
        <v>#REF!</v>
      </c>
      <c r="M163" s="388" t="e">
        <f>POLIMER!#REF!</f>
        <v>#REF!</v>
      </c>
      <c r="N163" s="388" t="e">
        <f>POLIMER!#REF!</f>
        <v>#REF!</v>
      </c>
      <c r="O163" s="388" t="e">
        <f>POLIMER!#REF!</f>
        <v>#REF!</v>
      </c>
      <c r="P163" s="388" t="e">
        <f>POLIMER!#REF!</f>
        <v>#REF!</v>
      </c>
      <c r="Q163" s="388" t="e">
        <f>POLIMER!#REF!</f>
        <v>#REF!</v>
      </c>
    </row>
    <row r="164" spans="1:17" x14ac:dyDescent="0.25">
      <c r="A164" s="242"/>
      <c r="B164" s="242"/>
      <c r="C164" s="242"/>
      <c r="D164" s="242"/>
      <c r="E164" s="242"/>
      <c r="F164" s="242"/>
      <c r="G164" s="242"/>
      <c r="H164" s="242"/>
      <c r="I164" s="242"/>
      <c r="J164" s="242"/>
      <c r="K164" s="242"/>
      <c r="L164" s="242"/>
      <c r="M164" s="242"/>
      <c r="N164" s="242"/>
      <c r="O164" s="242"/>
      <c r="P164" s="242"/>
      <c r="Q164" s="242"/>
    </row>
    <row r="165" spans="1:17" x14ac:dyDescent="0.25">
      <c r="A165" s="242"/>
      <c r="B165" s="242"/>
      <c r="C165" s="242"/>
      <c r="D165" s="242"/>
      <c r="E165" s="242"/>
      <c r="F165" s="242"/>
      <c r="G165" s="242"/>
      <c r="H165" s="242"/>
      <c r="I165" s="242"/>
      <c r="J165" s="242"/>
      <c r="K165" s="242"/>
      <c r="L165" s="242"/>
      <c r="M165" s="242"/>
      <c r="N165" s="242"/>
      <c r="O165" s="242"/>
      <c r="P165" s="242"/>
      <c r="Q165" s="242"/>
    </row>
    <row r="166" spans="1:17" x14ac:dyDescent="0.25">
      <c r="A166" s="242"/>
      <c r="B166" s="242"/>
      <c r="C166" s="242"/>
      <c r="D166" s="242"/>
      <c r="E166" s="242"/>
      <c r="F166" s="242"/>
      <c r="G166" s="242"/>
      <c r="H166" s="242"/>
      <c r="I166" s="242"/>
      <c r="J166" s="242"/>
      <c r="K166" s="242"/>
      <c r="L166" s="242"/>
      <c r="M166" s="242"/>
      <c r="N166" s="242"/>
      <c r="O166" s="242"/>
      <c r="P166" s="242"/>
      <c r="Q166" s="242"/>
    </row>
    <row r="167" spans="1:17" x14ac:dyDescent="0.25">
      <c r="A167" s="537" t="s">
        <v>70</v>
      </c>
      <c r="B167" s="537"/>
      <c r="C167" s="537"/>
      <c r="D167" s="537"/>
      <c r="E167" s="537"/>
      <c r="F167" s="537"/>
      <c r="G167" s="537"/>
      <c r="H167" s="537"/>
      <c r="I167" s="537"/>
      <c r="J167" s="537"/>
      <c r="K167" s="537"/>
      <c r="L167" s="242"/>
      <c r="M167" s="242"/>
      <c r="N167" s="242"/>
      <c r="O167" s="242"/>
      <c r="P167" s="242"/>
      <c r="Q167" s="242"/>
    </row>
    <row r="168" spans="1:17" x14ac:dyDescent="0.25">
      <c r="A168" s="536" t="s">
        <v>0</v>
      </c>
      <c r="B168" s="536" t="s">
        <v>7</v>
      </c>
      <c r="C168" s="536"/>
      <c r="D168" s="536"/>
      <c r="E168" s="536" t="s">
        <v>5</v>
      </c>
      <c r="F168" s="536"/>
      <c r="G168" s="536"/>
      <c r="H168" s="536" t="s">
        <v>4</v>
      </c>
      <c r="I168" s="536"/>
      <c r="J168" s="536" t="s">
        <v>6</v>
      </c>
      <c r="K168" s="536"/>
      <c r="L168" s="242"/>
      <c r="M168" s="242"/>
      <c r="N168" s="242"/>
      <c r="O168" s="242"/>
      <c r="P168" s="242"/>
      <c r="Q168" s="242"/>
    </row>
    <row r="169" spans="1:17" x14ac:dyDescent="0.25">
      <c r="A169" s="536"/>
      <c r="B169" s="231" t="s">
        <v>8</v>
      </c>
      <c r="C169" s="231" t="s">
        <v>14</v>
      </c>
      <c r="D169" s="231" t="s">
        <v>13</v>
      </c>
      <c r="E169" s="231" t="s">
        <v>8</v>
      </c>
      <c r="F169" s="231" t="s">
        <v>14</v>
      </c>
      <c r="G169" s="231" t="s">
        <v>10</v>
      </c>
      <c r="H169" s="231" t="s">
        <v>8</v>
      </c>
      <c r="I169" s="231" t="s">
        <v>13</v>
      </c>
      <c r="J169" s="231" t="s">
        <v>8</v>
      </c>
      <c r="K169" s="231" t="s">
        <v>13</v>
      </c>
      <c r="L169" s="242"/>
      <c r="M169" s="242"/>
      <c r="N169" s="242"/>
      <c r="O169" s="242"/>
      <c r="P169" s="242"/>
      <c r="Q169" s="242"/>
    </row>
    <row r="170" spans="1:17" x14ac:dyDescent="0.25">
      <c r="A170" s="232"/>
      <c r="B170" s="233"/>
      <c r="C170" s="233"/>
      <c r="D170" s="233"/>
      <c r="E170" s="233"/>
      <c r="F170" s="233"/>
      <c r="G170" s="233"/>
      <c r="H170" s="233"/>
      <c r="I170" s="233"/>
      <c r="J170" s="233"/>
      <c r="K170" s="233"/>
      <c r="L170" s="242"/>
      <c r="M170" s="242"/>
      <c r="N170" s="242"/>
      <c r="O170" s="242"/>
      <c r="P170" s="242"/>
      <c r="Q170" s="242"/>
    </row>
    <row r="171" spans="1:17" x14ac:dyDescent="0.25">
      <c r="A171" s="243" t="s">
        <v>51</v>
      </c>
      <c r="B171" s="244">
        <f>'POLIMER K.B'!B13</f>
        <v>0</v>
      </c>
      <c r="C171" s="244">
        <f>'POLIMER K.B'!C13</f>
        <v>0</v>
      </c>
      <c r="D171" s="244">
        <f>'POLIMER K.B'!D13</f>
        <v>0</v>
      </c>
      <c r="E171" s="244">
        <f>'POLIMER K.B'!E13</f>
        <v>0</v>
      </c>
      <c r="F171" s="244">
        <f>'POLIMER K.B'!F13</f>
        <v>0</v>
      </c>
      <c r="G171" s="244">
        <f>'POLIMER K.B'!G13</f>
        <v>0</v>
      </c>
      <c r="H171" s="244">
        <f>'POLIMER K.B'!H13</f>
        <v>0</v>
      </c>
      <c r="I171" s="244">
        <f>'POLIMER K.B'!I13</f>
        <v>0</v>
      </c>
      <c r="J171" s="244">
        <f>'POLIMER K.B'!J13</f>
        <v>0</v>
      </c>
      <c r="K171" s="244">
        <f>'POLIMER K.B'!K13</f>
        <v>0</v>
      </c>
      <c r="L171" s="242"/>
      <c r="M171" s="242"/>
      <c r="N171" s="242"/>
      <c r="O171" s="242"/>
      <c r="P171" s="242"/>
      <c r="Q171" s="242"/>
    </row>
    <row r="172" spans="1:17" x14ac:dyDescent="0.25">
      <c r="A172" s="247"/>
      <c r="B172" s="346" t="e">
        <f>'POLIMER K.B'!#REF!</f>
        <v>#REF!</v>
      </c>
      <c r="C172" s="346" t="e">
        <f>'POLIMER K.B'!#REF!</f>
        <v>#REF!</v>
      </c>
      <c r="D172" s="346" t="e">
        <f>'POLIMER K.B'!#REF!</f>
        <v>#REF!</v>
      </c>
      <c r="E172" s="346" t="e">
        <f>'POLIMER K.B'!#REF!</f>
        <v>#REF!</v>
      </c>
      <c r="F172" s="346" t="e">
        <f>'POLIMER K.B'!#REF!</f>
        <v>#REF!</v>
      </c>
      <c r="G172" s="346" t="e">
        <f>'POLIMER K.B'!#REF!</f>
        <v>#REF!</v>
      </c>
      <c r="H172" s="346" t="e">
        <f>'POLIMER K.B'!#REF!</f>
        <v>#REF!</v>
      </c>
      <c r="I172" s="346" t="e">
        <f>'POLIMER K.B'!#REF!</f>
        <v>#REF!</v>
      </c>
      <c r="J172" s="346" t="e">
        <f>'POLIMER K.B'!#REF!</f>
        <v>#REF!</v>
      </c>
      <c r="K172" s="346" t="e">
        <f>'POLIMER K.B'!#REF!</f>
        <v>#REF!</v>
      </c>
      <c r="L172" s="242"/>
      <c r="M172" s="242"/>
      <c r="N172" s="242"/>
      <c r="O172" s="242"/>
      <c r="P172" s="242"/>
      <c r="Q172" s="242"/>
    </row>
    <row r="173" spans="1:17" x14ac:dyDescent="0.25">
      <c r="A173" s="242"/>
      <c r="B173" s="242"/>
      <c r="C173" s="242"/>
      <c r="D173" s="242"/>
      <c r="E173" s="242"/>
      <c r="F173" s="242"/>
      <c r="G173" s="242"/>
      <c r="H173" s="242"/>
      <c r="I173" s="242"/>
      <c r="J173" s="242"/>
      <c r="K173" s="242"/>
      <c r="L173" s="242"/>
      <c r="M173" s="242"/>
      <c r="N173" s="242"/>
      <c r="O173" s="242"/>
      <c r="P173" s="242"/>
      <c r="Q173" s="242"/>
    </row>
    <row r="174" spans="1:17" x14ac:dyDescent="0.25">
      <c r="A174" s="242"/>
      <c r="B174" s="242"/>
      <c r="C174" s="242"/>
      <c r="D174" s="242"/>
      <c r="E174" s="242"/>
      <c r="F174" s="242"/>
      <c r="G174" s="242"/>
      <c r="H174" s="242"/>
      <c r="I174" s="242"/>
      <c r="J174" s="242"/>
      <c r="K174" s="242"/>
      <c r="L174" s="242"/>
      <c r="M174" s="242"/>
      <c r="N174" s="242"/>
      <c r="O174" s="242"/>
      <c r="P174" s="242"/>
      <c r="Q174" s="242"/>
    </row>
    <row r="175" spans="1:17" x14ac:dyDescent="0.25">
      <c r="A175" s="242"/>
      <c r="B175" s="242"/>
      <c r="C175" s="242"/>
      <c r="D175" s="242"/>
      <c r="E175" s="242"/>
      <c r="F175" s="242"/>
      <c r="G175" s="242"/>
      <c r="H175" s="242"/>
      <c r="I175" s="242"/>
      <c r="J175" s="242"/>
      <c r="K175" s="242"/>
      <c r="L175" s="242"/>
      <c r="M175" s="242"/>
      <c r="N175" s="242"/>
      <c r="O175" s="242"/>
      <c r="P175" s="242"/>
      <c r="Q175" s="242"/>
    </row>
    <row r="176" spans="1:17" x14ac:dyDescent="0.25">
      <c r="A176" s="537" t="s">
        <v>71</v>
      </c>
      <c r="B176" s="537"/>
      <c r="C176" s="537"/>
      <c r="D176" s="537"/>
      <c r="E176" s="537"/>
      <c r="F176" s="537"/>
      <c r="G176" s="537"/>
      <c r="H176" s="537"/>
      <c r="I176" s="537"/>
      <c r="J176" s="537"/>
      <c r="K176" s="537"/>
      <c r="L176" s="242"/>
      <c r="M176" s="242"/>
      <c r="N176" s="242"/>
      <c r="O176" s="242"/>
      <c r="P176" s="242"/>
      <c r="Q176" s="242"/>
    </row>
    <row r="177" spans="1:17" x14ac:dyDescent="0.25">
      <c r="A177" s="536" t="s">
        <v>0</v>
      </c>
      <c r="B177" s="536" t="s">
        <v>7</v>
      </c>
      <c r="C177" s="536"/>
      <c r="D177" s="536"/>
      <c r="E177" s="536" t="s">
        <v>5</v>
      </c>
      <c r="F177" s="536"/>
      <c r="G177" s="536"/>
      <c r="H177" s="536" t="s">
        <v>4</v>
      </c>
      <c r="I177" s="536"/>
      <c r="J177" s="536" t="s">
        <v>6</v>
      </c>
      <c r="K177" s="536"/>
      <c r="L177" s="242"/>
      <c r="M177" s="242"/>
      <c r="N177" s="242"/>
      <c r="O177" s="242"/>
      <c r="P177" s="242"/>
      <c r="Q177" s="242"/>
    </row>
    <row r="178" spans="1:17" x14ac:dyDescent="0.25">
      <c r="A178" s="536"/>
      <c r="B178" s="231" t="s">
        <v>8</v>
      </c>
      <c r="C178" s="231" t="s">
        <v>14</v>
      </c>
      <c r="D178" s="231" t="s">
        <v>13</v>
      </c>
      <c r="E178" s="231" t="s">
        <v>8</v>
      </c>
      <c r="F178" s="231" t="s">
        <v>14</v>
      </c>
      <c r="G178" s="231" t="s">
        <v>10</v>
      </c>
      <c r="H178" s="231" t="s">
        <v>8</v>
      </c>
      <c r="I178" s="231" t="s">
        <v>13</v>
      </c>
      <c r="J178" s="231" t="s">
        <v>8</v>
      </c>
      <c r="K178" s="231" t="s">
        <v>13</v>
      </c>
      <c r="L178" s="242"/>
      <c r="M178" s="242"/>
      <c r="N178" s="242"/>
      <c r="O178" s="242"/>
      <c r="P178" s="242"/>
      <c r="Q178" s="242"/>
    </row>
    <row r="179" spans="1:17" x14ac:dyDescent="0.25">
      <c r="A179" s="232"/>
      <c r="B179" s="233"/>
      <c r="C179" s="233"/>
      <c r="D179" s="233"/>
      <c r="E179" s="233"/>
      <c r="F179" s="233"/>
      <c r="G179" s="233"/>
      <c r="H179" s="233"/>
      <c r="I179" s="233"/>
      <c r="J179" s="233"/>
      <c r="K179" s="233"/>
      <c r="L179" s="242"/>
      <c r="M179" s="242"/>
      <c r="N179" s="242"/>
      <c r="O179" s="242"/>
      <c r="P179" s="242"/>
      <c r="Q179" s="242"/>
    </row>
    <row r="180" spans="1:17" s="242" customFormat="1" ht="11.25" x14ac:dyDescent="0.2">
      <c r="A180" s="243" t="s">
        <v>51</v>
      </c>
      <c r="B180" s="397">
        <f>'Polimer Hanau'!B13</f>
        <v>0</v>
      </c>
      <c r="C180" s="397">
        <f>'Polimer Hanau'!C13</f>
        <v>0</v>
      </c>
      <c r="D180" s="397">
        <f>'Polimer Hanau'!D13</f>
        <v>0</v>
      </c>
      <c r="E180" s="397">
        <f>'Polimer Hanau'!E13</f>
        <v>0</v>
      </c>
      <c r="F180" s="397">
        <f>'Polimer Hanau'!F13</f>
        <v>0</v>
      </c>
      <c r="G180" s="397">
        <f>'Polimer Hanau'!G13</f>
        <v>0</v>
      </c>
      <c r="H180" s="397">
        <f>'Polimer Hanau'!H13</f>
        <v>0</v>
      </c>
      <c r="I180" s="397">
        <f>'Polimer Hanau'!I13</f>
        <v>0</v>
      </c>
      <c r="J180" s="397">
        <f>'Polimer Hanau'!J13</f>
        <v>0</v>
      </c>
      <c r="K180" s="397">
        <f>'Polimer Hanau'!K13</f>
        <v>0</v>
      </c>
    </row>
    <row r="181" spans="1:17" x14ac:dyDescent="0.25">
      <c r="A181" s="247"/>
      <c r="B181" s="248"/>
      <c r="C181" s="248"/>
      <c r="D181" s="249"/>
      <c r="E181" s="250"/>
      <c r="F181" s="249"/>
      <c r="G181" s="249"/>
      <c r="H181" s="248"/>
      <c r="I181" s="251"/>
      <c r="J181" s="241"/>
      <c r="K181" s="251"/>
      <c r="L181" s="242"/>
      <c r="M181" s="242"/>
      <c r="N181" s="242"/>
      <c r="O181" s="242"/>
      <c r="P181" s="242"/>
      <c r="Q181" s="242"/>
    </row>
    <row r="185" spans="1:17" ht="21" x14ac:dyDescent="0.35">
      <c r="A185" s="520" t="s">
        <v>102</v>
      </c>
      <c r="B185" s="520"/>
      <c r="C185" s="297"/>
      <c r="D185" s="297"/>
      <c r="E185" s="297"/>
      <c r="F185" s="297"/>
      <c r="G185" s="297"/>
      <c r="H185" s="297"/>
      <c r="I185" s="297"/>
      <c r="J185" s="297"/>
      <c r="K185" s="297"/>
      <c r="L185" s="297"/>
      <c r="M185" s="297"/>
      <c r="N185" s="297"/>
      <c r="O185" s="297"/>
      <c r="P185" s="297"/>
      <c r="Q185" s="297"/>
    </row>
    <row r="186" spans="1:17" x14ac:dyDescent="0.25">
      <c r="A186" s="529" t="s">
        <v>69</v>
      </c>
      <c r="B186" s="529"/>
      <c r="C186" s="529"/>
      <c r="D186" s="529"/>
      <c r="E186" s="529"/>
      <c r="F186" s="529"/>
      <c r="G186" s="529"/>
      <c r="H186" s="529"/>
      <c r="I186" s="529"/>
      <c r="J186" s="529"/>
      <c r="K186" s="529"/>
      <c r="L186" s="529"/>
      <c r="M186" s="529"/>
      <c r="N186" s="529"/>
      <c r="O186" s="529"/>
      <c r="P186" s="529"/>
      <c r="Q186" s="529"/>
    </row>
    <row r="187" spans="1:17" x14ac:dyDescent="0.25">
      <c r="A187" s="303"/>
      <c r="B187" s="303"/>
      <c r="C187" s="303"/>
      <c r="D187" s="303"/>
      <c r="E187" s="303"/>
      <c r="F187" s="304"/>
      <c r="G187" s="303"/>
      <c r="H187" s="303"/>
      <c r="I187" s="303"/>
      <c r="J187" s="303"/>
      <c r="K187" s="303"/>
      <c r="L187" s="303"/>
      <c r="M187" s="303"/>
      <c r="N187" s="303"/>
      <c r="O187" s="303"/>
      <c r="P187" s="303"/>
      <c r="Q187" s="303"/>
    </row>
    <row r="188" spans="1:17" x14ac:dyDescent="0.25">
      <c r="A188" s="530" t="s">
        <v>0</v>
      </c>
      <c r="B188" s="532" t="s">
        <v>7</v>
      </c>
      <c r="C188" s="532"/>
      <c r="D188" s="532"/>
      <c r="E188" s="532" t="s">
        <v>5</v>
      </c>
      <c r="F188" s="532"/>
      <c r="G188" s="532"/>
      <c r="H188" s="533" t="s">
        <v>25</v>
      </c>
      <c r="I188" s="534"/>
      <c r="J188" s="535"/>
      <c r="K188" s="533" t="s">
        <v>26</v>
      </c>
      <c r="L188" s="534"/>
      <c r="M188" s="535"/>
      <c r="N188" s="532" t="s">
        <v>4</v>
      </c>
      <c r="O188" s="532"/>
      <c r="P188" s="532" t="s">
        <v>6</v>
      </c>
      <c r="Q188" s="532"/>
    </row>
    <row r="189" spans="1:17" x14ac:dyDescent="0.25">
      <c r="A189" s="531"/>
      <c r="B189" s="305" t="s">
        <v>8</v>
      </c>
      <c r="C189" s="305" t="s">
        <v>9</v>
      </c>
      <c r="D189" s="305" t="s">
        <v>13</v>
      </c>
      <c r="E189" s="305" t="s">
        <v>8</v>
      </c>
      <c r="F189" s="306" t="s">
        <v>9</v>
      </c>
      <c r="G189" s="305" t="s">
        <v>10</v>
      </c>
      <c r="H189" s="307" t="s">
        <v>8</v>
      </c>
      <c r="I189" s="307" t="s">
        <v>9</v>
      </c>
      <c r="J189" s="307" t="s">
        <v>13</v>
      </c>
      <c r="K189" s="307" t="s">
        <v>8</v>
      </c>
      <c r="L189" s="307" t="s">
        <v>9</v>
      </c>
      <c r="M189" s="307" t="s">
        <v>13</v>
      </c>
      <c r="N189" s="305" t="s">
        <v>8</v>
      </c>
      <c r="O189" s="305" t="s">
        <v>13</v>
      </c>
      <c r="P189" s="305" t="s">
        <v>8</v>
      </c>
      <c r="Q189" s="305" t="s">
        <v>13</v>
      </c>
    </row>
    <row r="190" spans="1:17" x14ac:dyDescent="0.25">
      <c r="A190" s="308"/>
      <c r="B190" s="309"/>
      <c r="C190" s="309"/>
      <c r="D190" s="309"/>
      <c r="E190" s="309"/>
      <c r="F190" s="310"/>
      <c r="G190" s="309"/>
      <c r="H190" s="309"/>
      <c r="I190" s="309"/>
      <c r="J190" s="309"/>
      <c r="K190" s="309"/>
      <c r="L190" s="309"/>
      <c r="M190" s="309"/>
      <c r="N190" s="309"/>
      <c r="O190" s="309"/>
      <c r="P190" s="309"/>
      <c r="Q190" s="309"/>
    </row>
    <row r="191" spans="1:17" x14ac:dyDescent="0.25">
      <c r="A191" s="286" t="s">
        <v>52</v>
      </c>
      <c r="B191" s="311">
        <f>POLIMER!B14</f>
        <v>0</v>
      </c>
      <c r="C191" s="311">
        <f>POLIMER!C14</f>
        <v>0</v>
      </c>
      <c r="D191" s="311">
        <f>POLIMER!D14</f>
        <v>0</v>
      </c>
      <c r="E191" s="311">
        <f>POLIMER!E14</f>
        <v>0</v>
      </c>
      <c r="F191" s="311">
        <f>POLIMER!F14</f>
        <v>0</v>
      </c>
      <c r="G191" s="311">
        <f>POLIMER!G14</f>
        <v>0</v>
      </c>
      <c r="H191" s="311">
        <f>POLIMER!H14</f>
        <v>0</v>
      </c>
      <c r="I191" s="311">
        <f>POLIMER!I14</f>
        <v>0</v>
      </c>
      <c r="J191" s="311">
        <f>POLIMER!J14</f>
        <v>0</v>
      </c>
      <c r="K191" s="311">
        <f>POLIMER!K14</f>
        <v>0</v>
      </c>
      <c r="L191" s="311">
        <f>POLIMER!L14</f>
        <v>0</v>
      </c>
      <c r="M191" s="311">
        <f>POLIMER!M14</f>
        <v>0</v>
      </c>
      <c r="N191" s="311">
        <f>POLIMER!N14</f>
        <v>0</v>
      </c>
      <c r="O191" s="311">
        <f>POLIMER!O14</f>
        <v>0</v>
      </c>
      <c r="P191" s="311">
        <f>POLIMER!P14</f>
        <v>0</v>
      </c>
      <c r="Q191" s="311">
        <f>POLIMER!Q14</f>
        <v>0</v>
      </c>
    </row>
    <row r="192" spans="1:17" x14ac:dyDescent="0.25">
      <c r="A192" s="279"/>
      <c r="B192" s="311" t="e">
        <f>POLIMER!#REF!</f>
        <v>#REF!</v>
      </c>
      <c r="C192" s="311" t="e">
        <f>POLIMER!#REF!</f>
        <v>#REF!</v>
      </c>
      <c r="D192" s="311" t="e">
        <f>POLIMER!#REF!</f>
        <v>#REF!</v>
      </c>
      <c r="E192" s="311" t="e">
        <f>POLIMER!#REF!</f>
        <v>#REF!</v>
      </c>
      <c r="F192" s="311" t="e">
        <f>POLIMER!#REF!</f>
        <v>#REF!</v>
      </c>
      <c r="G192" s="311" t="e">
        <f>POLIMER!#REF!</f>
        <v>#REF!</v>
      </c>
      <c r="H192" s="311" t="e">
        <f>POLIMER!#REF!</f>
        <v>#REF!</v>
      </c>
      <c r="I192" s="311" t="e">
        <f>POLIMER!#REF!</f>
        <v>#REF!</v>
      </c>
      <c r="J192" s="311" t="e">
        <f>POLIMER!#REF!</f>
        <v>#REF!</v>
      </c>
      <c r="K192" s="311" t="e">
        <f>POLIMER!#REF!</f>
        <v>#REF!</v>
      </c>
      <c r="L192" s="311" t="e">
        <f>POLIMER!#REF!</f>
        <v>#REF!</v>
      </c>
      <c r="M192" s="311" t="e">
        <f>POLIMER!#REF!</f>
        <v>#REF!</v>
      </c>
      <c r="N192" s="311" t="e">
        <f>POLIMER!#REF!</f>
        <v>#REF!</v>
      </c>
      <c r="O192" s="311" t="e">
        <f>POLIMER!#REF!</f>
        <v>#REF!</v>
      </c>
      <c r="P192" s="311" t="e">
        <f>POLIMER!#REF!</f>
        <v>#REF!</v>
      </c>
      <c r="Q192" s="311" t="e">
        <f>POLIMER!#REF!</f>
        <v>#REF!</v>
      </c>
    </row>
    <row r="193" spans="1:17" x14ac:dyDescent="0.25">
      <c r="A193" s="239"/>
      <c r="B193" s="388" t="e">
        <f>POLIMER!#REF!</f>
        <v>#REF!</v>
      </c>
      <c r="C193" s="388" t="e">
        <f>POLIMER!#REF!</f>
        <v>#REF!</v>
      </c>
      <c r="D193" s="388" t="e">
        <f>POLIMER!#REF!</f>
        <v>#REF!</v>
      </c>
      <c r="E193" s="388" t="e">
        <f>POLIMER!#REF!</f>
        <v>#REF!</v>
      </c>
      <c r="F193" s="388" t="e">
        <f>POLIMER!#REF!</f>
        <v>#REF!</v>
      </c>
      <c r="G193" s="388" t="e">
        <f>POLIMER!#REF!</f>
        <v>#REF!</v>
      </c>
      <c r="H193" s="388" t="e">
        <f>POLIMER!#REF!</f>
        <v>#REF!</v>
      </c>
      <c r="I193" s="388" t="e">
        <f>POLIMER!#REF!</f>
        <v>#REF!</v>
      </c>
      <c r="J193" s="388" t="e">
        <f>POLIMER!#REF!</f>
        <v>#REF!</v>
      </c>
      <c r="K193" s="388" t="e">
        <f>POLIMER!#REF!</f>
        <v>#REF!</v>
      </c>
      <c r="L193" s="388" t="e">
        <f>POLIMER!#REF!</f>
        <v>#REF!</v>
      </c>
      <c r="M193" s="388" t="e">
        <f>POLIMER!#REF!</f>
        <v>#REF!</v>
      </c>
      <c r="N193" s="388" t="e">
        <f>POLIMER!#REF!</f>
        <v>#REF!</v>
      </c>
      <c r="O193" s="388" t="e">
        <f>POLIMER!#REF!</f>
        <v>#REF!</v>
      </c>
      <c r="P193" s="388" t="e">
        <f>POLIMER!#REF!</f>
        <v>#REF!</v>
      </c>
      <c r="Q193" s="388" t="e">
        <f>POLIMER!#REF!</f>
        <v>#REF!</v>
      </c>
    </row>
    <row r="194" spans="1:17" x14ac:dyDescent="0.25">
      <c r="A194" s="242"/>
      <c r="B194" s="242"/>
      <c r="C194" s="242"/>
      <c r="D194" s="242"/>
      <c r="E194" s="242"/>
      <c r="F194" s="242"/>
      <c r="G194" s="242"/>
      <c r="H194" s="242"/>
      <c r="I194" s="242"/>
      <c r="J194" s="242"/>
      <c r="K194" s="242"/>
      <c r="L194" s="242"/>
      <c r="M194" s="242"/>
      <c r="N194" s="242"/>
      <c r="O194" s="242"/>
      <c r="P194" s="242"/>
      <c r="Q194" s="242"/>
    </row>
    <row r="195" spans="1:17" x14ac:dyDescent="0.25">
      <c r="A195" s="242"/>
      <c r="B195" s="242"/>
      <c r="C195" s="242"/>
      <c r="D195" s="242"/>
      <c r="E195" s="242"/>
      <c r="F195" s="242"/>
      <c r="G195" s="242"/>
      <c r="H195" s="242"/>
      <c r="I195" s="242"/>
      <c r="J195" s="242"/>
      <c r="K195" s="242"/>
      <c r="L195" s="242"/>
      <c r="M195" s="242"/>
      <c r="N195" s="242"/>
      <c r="O195" s="242"/>
      <c r="P195" s="242"/>
      <c r="Q195" s="242"/>
    </row>
    <row r="196" spans="1:17" x14ac:dyDescent="0.25">
      <c r="A196" s="242"/>
      <c r="B196" s="242"/>
      <c r="C196" s="242"/>
      <c r="D196" s="242"/>
      <c r="E196" s="242"/>
      <c r="F196" s="242"/>
      <c r="G196" s="242"/>
      <c r="H196" s="242"/>
      <c r="I196" s="242"/>
      <c r="J196" s="242"/>
      <c r="K196" s="242"/>
      <c r="L196" s="242"/>
      <c r="M196" s="242"/>
      <c r="N196" s="242"/>
      <c r="O196" s="242"/>
      <c r="P196" s="242"/>
      <c r="Q196" s="242"/>
    </row>
    <row r="197" spans="1:17" x14ac:dyDescent="0.25">
      <c r="A197" s="537" t="s">
        <v>70</v>
      </c>
      <c r="B197" s="537"/>
      <c r="C197" s="537"/>
      <c r="D197" s="537"/>
      <c r="E197" s="537"/>
      <c r="F197" s="537"/>
      <c r="G197" s="537"/>
      <c r="H197" s="537"/>
      <c r="I197" s="537"/>
      <c r="J197" s="537"/>
      <c r="K197" s="537"/>
      <c r="L197" s="242"/>
      <c r="M197" s="242"/>
      <c r="N197" s="242"/>
      <c r="O197" s="242"/>
      <c r="P197" s="242"/>
      <c r="Q197" s="242"/>
    </row>
    <row r="198" spans="1:17" x14ac:dyDescent="0.25">
      <c r="A198" s="536" t="s">
        <v>0</v>
      </c>
      <c r="B198" s="536" t="s">
        <v>7</v>
      </c>
      <c r="C198" s="536"/>
      <c r="D198" s="536"/>
      <c r="E198" s="536" t="s">
        <v>5</v>
      </c>
      <c r="F198" s="536"/>
      <c r="G198" s="536"/>
      <c r="H198" s="536" t="s">
        <v>4</v>
      </c>
      <c r="I198" s="536"/>
      <c r="J198" s="536" t="s">
        <v>6</v>
      </c>
      <c r="K198" s="536"/>
      <c r="L198" s="242"/>
      <c r="M198" s="242"/>
      <c r="N198" s="242"/>
      <c r="O198" s="242"/>
      <c r="P198" s="242"/>
      <c r="Q198" s="242"/>
    </row>
    <row r="199" spans="1:17" x14ac:dyDescent="0.25">
      <c r="A199" s="536"/>
      <c r="B199" s="231" t="s">
        <v>8</v>
      </c>
      <c r="C199" s="231" t="s">
        <v>14</v>
      </c>
      <c r="D199" s="231" t="s">
        <v>13</v>
      </c>
      <c r="E199" s="231" t="s">
        <v>8</v>
      </c>
      <c r="F199" s="231" t="s">
        <v>14</v>
      </c>
      <c r="G199" s="231" t="s">
        <v>10</v>
      </c>
      <c r="H199" s="231" t="s">
        <v>8</v>
      </c>
      <c r="I199" s="231" t="s">
        <v>13</v>
      </c>
      <c r="J199" s="231" t="s">
        <v>8</v>
      </c>
      <c r="K199" s="231" t="s">
        <v>13</v>
      </c>
      <c r="L199" s="242"/>
      <c r="M199" s="242"/>
      <c r="N199" s="242"/>
      <c r="O199" s="242"/>
      <c r="P199" s="242"/>
      <c r="Q199" s="242"/>
    </row>
    <row r="200" spans="1:17" x14ac:dyDescent="0.25">
      <c r="A200" s="232"/>
      <c r="B200" s="233"/>
      <c r="C200" s="233"/>
      <c r="D200" s="233"/>
      <c r="E200" s="233"/>
      <c r="F200" s="233"/>
      <c r="G200" s="233"/>
      <c r="H200" s="233"/>
      <c r="I200" s="233"/>
      <c r="J200" s="233"/>
      <c r="K200" s="233"/>
      <c r="L200" s="242"/>
      <c r="M200" s="242"/>
      <c r="N200" s="242"/>
      <c r="O200" s="242"/>
      <c r="P200" s="242"/>
      <c r="Q200" s="242"/>
    </row>
    <row r="201" spans="1:17" x14ac:dyDescent="0.25">
      <c r="A201" s="243" t="s">
        <v>52</v>
      </c>
      <c r="B201" s="244">
        <f>'POLIMER K.B'!B14</f>
        <v>0</v>
      </c>
      <c r="C201" s="244">
        <f>'POLIMER K.B'!C14</f>
        <v>0</v>
      </c>
      <c r="D201" s="244">
        <f>'POLIMER K.B'!D14</f>
        <v>0</v>
      </c>
      <c r="E201" s="244">
        <f>'POLIMER K.B'!E14</f>
        <v>0</v>
      </c>
      <c r="F201" s="244">
        <f>'POLIMER K.B'!F14</f>
        <v>0</v>
      </c>
      <c r="G201" s="244">
        <f>'POLIMER K.B'!G14</f>
        <v>0</v>
      </c>
      <c r="H201" s="244">
        <f>'POLIMER K.B'!H14</f>
        <v>0</v>
      </c>
      <c r="I201" s="244">
        <f>'POLIMER K.B'!I14</f>
        <v>0</v>
      </c>
      <c r="J201" s="244">
        <f>'POLIMER K.B'!J14</f>
        <v>0</v>
      </c>
      <c r="K201" s="244">
        <f>'POLIMER K.B'!K14</f>
        <v>0</v>
      </c>
      <c r="L201" s="242"/>
      <c r="M201" s="242"/>
      <c r="N201" s="242"/>
      <c r="O201" s="242"/>
      <c r="P201" s="242"/>
      <c r="Q201" s="242"/>
    </row>
    <row r="202" spans="1:17" x14ac:dyDescent="0.25">
      <c r="A202" s="243"/>
      <c r="B202" s="244">
        <f>'POLIMER K.B'!B45</f>
        <v>0</v>
      </c>
      <c r="C202" s="244">
        <f>'POLIMER K.B'!C45</f>
        <v>0</v>
      </c>
      <c r="D202" s="244">
        <f>'POLIMER K.B'!D45</f>
        <v>0</v>
      </c>
      <c r="E202" s="244">
        <f>'POLIMER K.B'!E45</f>
        <v>0</v>
      </c>
      <c r="F202" s="244">
        <f>'POLIMER K.B'!F45</f>
        <v>0</v>
      </c>
      <c r="G202" s="244">
        <f>'POLIMER K.B'!G45</f>
        <v>0</v>
      </c>
      <c r="H202" s="244">
        <f>'POLIMER K.B'!H45</f>
        <v>0</v>
      </c>
      <c r="I202" s="244">
        <f>'POLIMER K.B'!I45</f>
        <v>0</v>
      </c>
      <c r="J202" s="244">
        <f>'POLIMER K.B'!J45</f>
        <v>0</v>
      </c>
      <c r="K202" s="244">
        <f>'POLIMER K.B'!K45</f>
        <v>0</v>
      </c>
      <c r="L202" s="242"/>
      <c r="M202" s="242"/>
      <c r="N202" s="242"/>
      <c r="O202" s="242"/>
      <c r="P202" s="242"/>
      <c r="Q202" s="242"/>
    </row>
    <row r="203" spans="1:17" x14ac:dyDescent="0.25">
      <c r="A203" s="247"/>
      <c r="B203" s="346">
        <f>'POLIMER K.B'!B46</f>
        <v>0</v>
      </c>
      <c r="C203" s="346">
        <f>'POLIMER K.B'!C46</f>
        <v>0</v>
      </c>
      <c r="D203" s="346">
        <f>'POLIMER K.B'!D46</f>
        <v>0</v>
      </c>
      <c r="E203" s="346">
        <f>'POLIMER K.B'!E46</f>
        <v>0</v>
      </c>
      <c r="F203" s="346">
        <f>'POLIMER K.B'!F46</f>
        <v>0</v>
      </c>
      <c r="G203" s="346">
        <f>'POLIMER K.B'!G46</f>
        <v>0</v>
      </c>
      <c r="H203" s="346">
        <f>'POLIMER K.B'!H46</f>
        <v>0</v>
      </c>
      <c r="I203" s="346">
        <f>'POLIMER K.B'!I46</f>
        <v>0</v>
      </c>
      <c r="J203" s="346">
        <f>'POLIMER K.B'!J46</f>
        <v>0</v>
      </c>
      <c r="K203" s="346">
        <f>'POLIMER K.B'!K46</f>
        <v>0</v>
      </c>
      <c r="L203" s="242"/>
      <c r="M203" s="242"/>
      <c r="N203" s="242"/>
      <c r="O203" s="242"/>
      <c r="P203" s="242"/>
      <c r="Q203" s="242"/>
    </row>
    <row r="204" spans="1:17" x14ac:dyDescent="0.25">
      <c r="A204" s="242"/>
      <c r="B204" s="242"/>
      <c r="C204" s="242"/>
      <c r="D204" s="242"/>
      <c r="E204" s="242"/>
      <c r="F204" s="242"/>
      <c r="G204" s="242"/>
      <c r="H204" s="242"/>
      <c r="I204" s="242"/>
      <c r="J204" s="242"/>
      <c r="K204" s="242"/>
      <c r="L204" s="242"/>
      <c r="M204" s="242"/>
      <c r="N204" s="242"/>
      <c r="O204" s="242"/>
      <c r="P204" s="242"/>
      <c r="Q204" s="242"/>
    </row>
    <row r="205" spans="1:17" x14ac:dyDescent="0.25">
      <c r="A205" s="242"/>
      <c r="B205" s="242"/>
      <c r="C205" s="242"/>
      <c r="D205" s="242"/>
      <c r="E205" s="242"/>
      <c r="F205" s="242"/>
      <c r="G205" s="242"/>
      <c r="H205" s="242"/>
      <c r="I205" s="242"/>
      <c r="J205" s="242"/>
      <c r="K205" s="242"/>
      <c r="L205" s="242"/>
      <c r="M205" s="242"/>
      <c r="N205" s="242"/>
      <c r="O205" s="242"/>
      <c r="P205" s="242"/>
      <c r="Q205" s="242"/>
    </row>
    <row r="206" spans="1:17" x14ac:dyDescent="0.25">
      <c r="A206" s="242"/>
      <c r="B206" s="242"/>
      <c r="C206" s="242"/>
      <c r="D206" s="242"/>
      <c r="E206" s="242"/>
      <c r="F206" s="242"/>
      <c r="G206" s="242"/>
      <c r="H206" s="242"/>
      <c r="I206" s="242"/>
      <c r="J206" s="242"/>
      <c r="K206" s="242"/>
      <c r="L206" s="242"/>
      <c r="M206" s="242"/>
      <c r="N206" s="242"/>
      <c r="O206" s="242"/>
      <c r="P206" s="242"/>
      <c r="Q206" s="242"/>
    </row>
    <row r="207" spans="1:17" x14ac:dyDescent="0.25">
      <c r="A207" s="537" t="s">
        <v>71</v>
      </c>
      <c r="B207" s="537"/>
      <c r="C207" s="537"/>
      <c r="D207" s="537"/>
      <c r="E207" s="537"/>
      <c r="F207" s="537"/>
      <c r="G207" s="537"/>
      <c r="H207" s="537"/>
      <c r="I207" s="537"/>
      <c r="J207" s="537"/>
      <c r="K207" s="537"/>
      <c r="L207" s="242"/>
      <c r="M207" s="242"/>
      <c r="N207" s="242"/>
      <c r="O207" s="242"/>
      <c r="P207" s="242"/>
      <c r="Q207" s="242"/>
    </row>
    <row r="208" spans="1:17" x14ac:dyDescent="0.25">
      <c r="A208" s="536" t="s">
        <v>0</v>
      </c>
      <c r="B208" s="536" t="s">
        <v>7</v>
      </c>
      <c r="C208" s="536"/>
      <c r="D208" s="536"/>
      <c r="E208" s="536" t="s">
        <v>5</v>
      </c>
      <c r="F208" s="536"/>
      <c r="G208" s="536"/>
      <c r="H208" s="536" t="s">
        <v>4</v>
      </c>
      <c r="I208" s="536"/>
      <c r="J208" s="536" t="s">
        <v>6</v>
      </c>
      <c r="K208" s="536"/>
      <c r="L208" s="242"/>
      <c r="M208" s="242"/>
      <c r="N208" s="242"/>
      <c r="O208" s="242"/>
      <c r="P208" s="242"/>
      <c r="Q208" s="242"/>
    </row>
    <row r="209" spans="1:17" x14ac:dyDescent="0.25">
      <c r="A209" s="536"/>
      <c r="B209" s="231" t="s">
        <v>8</v>
      </c>
      <c r="C209" s="231" t="s">
        <v>14</v>
      </c>
      <c r="D209" s="231" t="s">
        <v>13</v>
      </c>
      <c r="E209" s="231" t="s">
        <v>8</v>
      </c>
      <c r="F209" s="231" t="s">
        <v>14</v>
      </c>
      <c r="G209" s="231" t="s">
        <v>10</v>
      </c>
      <c r="H209" s="231" t="s">
        <v>8</v>
      </c>
      <c r="I209" s="231" t="s">
        <v>13</v>
      </c>
      <c r="J209" s="231" t="s">
        <v>8</v>
      </c>
      <c r="K209" s="231" t="s">
        <v>13</v>
      </c>
      <c r="L209" s="242"/>
      <c r="M209" s="242"/>
      <c r="N209" s="242"/>
      <c r="O209" s="242"/>
      <c r="P209" s="242"/>
      <c r="Q209" s="242"/>
    </row>
    <row r="210" spans="1:17" x14ac:dyDescent="0.25">
      <c r="A210" s="232"/>
      <c r="B210" s="233"/>
      <c r="C210" s="233"/>
      <c r="D210" s="233"/>
      <c r="E210" s="233"/>
      <c r="F210" s="233"/>
      <c r="G210" s="233"/>
      <c r="H210" s="233"/>
      <c r="I210" s="233"/>
      <c r="J210" s="233"/>
      <c r="K210" s="233"/>
      <c r="L210" s="242"/>
      <c r="M210" s="242"/>
      <c r="N210" s="242"/>
      <c r="O210" s="242"/>
      <c r="P210" s="242"/>
      <c r="Q210" s="242"/>
    </row>
    <row r="211" spans="1:17" x14ac:dyDescent="0.25">
      <c r="A211" s="243" t="s">
        <v>52</v>
      </c>
      <c r="B211" s="396">
        <f>'Polimer Hanau'!B14</f>
        <v>0</v>
      </c>
      <c r="C211" s="397">
        <f>'Polimer Hanau'!C14</f>
        <v>0</v>
      </c>
      <c r="D211" s="396">
        <f>'Polimer Hanau'!D14</f>
        <v>0</v>
      </c>
      <c r="E211" s="397">
        <f>'Polimer Hanau'!E14</f>
        <v>0</v>
      </c>
      <c r="F211" s="396">
        <f>'Polimer Hanau'!F14</f>
        <v>0</v>
      </c>
      <c r="G211" s="397">
        <f>'Polimer Hanau'!G14</f>
        <v>0</v>
      </c>
      <c r="H211" s="396">
        <f>'Polimer Hanau'!H14</f>
        <v>0</v>
      </c>
      <c r="I211" s="397">
        <f>'Polimer Hanau'!I14</f>
        <v>0</v>
      </c>
      <c r="J211" s="396">
        <f>'Polimer Hanau'!J14</f>
        <v>0</v>
      </c>
      <c r="K211" s="397">
        <f>'Polimer Hanau'!K14</f>
        <v>0</v>
      </c>
      <c r="L211" s="242"/>
      <c r="M211" s="242"/>
      <c r="N211" s="242"/>
      <c r="O211" s="242"/>
      <c r="P211" s="242"/>
      <c r="Q211" s="242"/>
    </row>
    <row r="212" spans="1:17" x14ac:dyDescent="0.25">
      <c r="A212" s="247"/>
      <c r="B212" s="248"/>
      <c r="C212" s="248"/>
      <c r="D212" s="249"/>
      <c r="E212" s="250"/>
      <c r="F212" s="249"/>
      <c r="G212" s="249"/>
      <c r="H212" s="248"/>
      <c r="I212" s="251"/>
      <c r="J212" s="241"/>
      <c r="K212" s="251"/>
      <c r="L212" s="242"/>
      <c r="M212" s="242"/>
      <c r="N212" s="242"/>
      <c r="O212" s="242"/>
      <c r="P212" s="242"/>
      <c r="Q212" s="242"/>
    </row>
    <row r="216" spans="1:17" ht="21" x14ac:dyDescent="0.35">
      <c r="A216" s="399" t="s">
        <v>103</v>
      </c>
      <c r="B216" s="399"/>
      <c r="C216" s="297"/>
      <c r="D216" s="297"/>
      <c r="E216" s="297"/>
      <c r="F216" s="297"/>
      <c r="G216" s="297"/>
      <c r="H216" s="297"/>
      <c r="I216" s="297"/>
      <c r="J216" s="297"/>
      <c r="K216" s="297"/>
      <c r="L216" s="297"/>
      <c r="M216" s="297"/>
      <c r="N216" s="297"/>
      <c r="O216" s="297"/>
      <c r="P216" s="297"/>
      <c r="Q216" s="297"/>
    </row>
    <row r="217" spans="1:17" x14ac:dyDescent="0.25">
      <c r="A217" s="529" t="s">
        <v>69</v>
      </c>
      <c r="B217" s="529"/>
      <c r="C217" s="529"/>
      <c r="D217" s="529"/>
      <c r="E217" s="529"/>
      <c r="F217" s="529"/>
      <c r="G217" s="529"/>
      <c r="H217" s="529"/>
      <c r="I217" s="529"/>
      <c r="J217" s="529"/>
      <c r="K217" s="529"/>
      <c r="L217" s="529"/>
      <c r="M217" s="529"/>
      <c r="N217" s="529"/>
      <c r="O217" s="529"/>
      <c r="P217" s="529"/>
      <c r="Q217" s="529"/>
    </row>
    <row r="218" spans="1:17" x14ac:dyDescent="0.25">
      <c r="A218" s="303"/>
      <c r="B218" s="303"/>
      <c r="C218" s="303"/>
      <c r="D218" s="303"/>
      <c r="E218" s="303"/>
      <c r="F218" s="304"/>
      <c r="G218" s="303"/>
      <c r="H218" s="303"/>
      <c r="I218" s="303"/>
      <c r="J218" s="303"/>
      <c r="K218" s="303"/>
      <c r="L218" s="303"/>
      <c r="M218" s="303"/>
      <c r="N218" s="303"/>
      <c r="O218" s="303"/>
      <c r="P218" s="303"/>
      <c r="Q218" s="303"/>
    </row>
    <row r="219" spans="1:17" x14ac:dyDescent="0.25">
      <c r="A219" s="530" t="s">
        <v>0</v>
      </c>
      <c r="B219" s="532" t="s">
        <v>7</v>
      </c>
      <c r="C219" s="532"/>
      <c r="D219" s="532"/>
      <c r="E219" s="532" t="s">
        <v>5</v>
      </c>
      <c r="F219" s="532"/>
      <c r="G219" s="532"/>
      <c r="H219" s="533" t="s">
        <v>25</v>
      </c>
      <c r="I219" s="534"/>
      <c r="J219" s="535"/>
      <c r="K219" s="533" t="s">
        <v>26</v>
      </c>
      <c r="L219" s="534"/>
      <c r="M219" s="535"/>
      <c r="N219" s="532" t="s">
        <v>4</v>
      </c>
      <c r="O219" s="532"/>
      <c r="P219" s="532" t="s">
        <v>6</v>
      </c>
      <c r="Q219" s="532"/>
    </row>
    <row r="220" spans="1:17" x14ac:dyDescent="0.25">
      <c r="A220" s="531"/>
      <c r="B220" s="305" t="s">
        <v>8</v>
      </c>
      <c r="C220" s="305" t="s">
        <v>9</v>
      </c>
      <c r="D220" s="305" t="s">
        <v>13</v>
      </c>
      <c r="E220" s="305" t="s">
        <v>8</v>
      </c>
      <c r="F220" s="306" t="s">
        <v>9</v>
      </c>
      <c r="G220" s="305" t="s">
        <v>10</v>
      </c>
      <c r="H220" s="307" t="s">
        <v>8</v>
      </c>
      <c r="I220" s="307" t="s">
        <v>9</v>
      </c>
      <c r="J220" s="307" t="s">
        <v>13</v>
      </c>
      <c r="K220" s="307" t="s">
        <v>8</v>
      </c>
      <c r="L220" s="307" t="s">
        <v>9</v>
      </c>
      <c r="M220" s="307" t="s">
        <v>13</v>
      </c>
      <c r="N220" s="305" t="s">
        <v>8</v>
      </c>
      <c r="O220" s="305" t="s">
        <v>13</v>
      </c>
      <c r="P220" s="305" t="s">
        <v>8</v>
      </c>
      <c r="Q220" s="305" t="s">
        <v>13</v>
      </c>
    </row>
    <row r="221" spans="1:17" x14ac:dyDescent="0.25">
      <c r="A221" s="308"/>
      <c r="B221" s="309"/>
      <c r="C221" s="309"/>
      <c r="D221" s="309"/>
      <c r="E221" s="309"/>
      <c r="F221" s="310"/>
      <c r="G221" s="309"/>
      <c r="H221" s="309"/>
      <c r="I221" s="309"/>
      <c r="J221" s="309"/>
      <c r="K221" s="309"/>
      <c r="L221" s="309"/>
      <c r="M221" s="309"/>
      <c r="N221" s="309"/>
      <c r="O221" s="309"/>
      <c r="P221" s="309"/>
      <c r="Q221" s="309"/>
    </row>
    <row r="222" spans="1:17" x14ac:dyDescent="0.25">
      <c r="A222" s="286" t="s">
        <v>53</v>
      </c>
      <c r="B222" s="311">
        <f>POLIMER!B15</f>
        <v>0</v>
      </c>
      <c r="C222" s="311">
        <f>POLIMER!C15</f>
        <v>0</v>
      </c>
      <c r="D222" s="311">
        <f>POLIMER!D15</f>
        <v>0</v>
      </c>
      <c r="E222" s="311">
        <f>POLIMER!E15</f>
        <v>0</v>
      </c>
      <c r="F222" s="311">
        <f>POLIMER!F15</f>
        <v>0</v>
      </c>
      <c r="G222" s="311">
        <f>POLIMER!G15</f>
        <v>0</v>
      </c>
      <c r="H222" s="311">
        <f>POLIMER!H15</f>
        <v>0</v>
      </c>
      <c r="I222" s="311">
        <f>POLIMER!I15</f>
        <v>0</v>
      </c>
      <c r="J222" s="311">
        <f>POLIMER!J15</f>
        <v>0</v>
      </c>
      <c r="K222" s="311">
        <f>POLIMER!K15</f>
        <v>0</v>
      </c>
      <c r="L222" s="311">
        <f>POLIMER!L15</f>
        <v>0</v>
      </c>
      <c r="M222" s="311">
        <f>POLIMER!M15</f>
        <v>0</v>
      </c>
      <c r="N222" s="311">
        <f>POLIMER!N15</f>
        <v>0</v>
      </c>
      <c r="O222" s="311">
        <f>POLIMER!O15</f>
        <v>0</v>
      </c>
      <c r="P222" s="311">
        <f>POLIMER!P15</f>
        <v>0</v>
      </c>
      <c r="Q222" s="311">
        <f>POLIMER!Q15</f>
        <v>0</v>
      </c>
    </row>
    <row r="223" spans="1:17" x14ac:dyDescent="0.25">
      <c r="A223" s="239"/>
      <c r="B223" s="388"/>
      <c r="C223" s="388"/>
      <c r="D223" s="388"/>
      <c r="E223" s="388"/>
      <c r="F223" s="388"/>
      <c r="G223" s="388"/>
      <c r="H223" s="388"/>
      <c r="I223" s="388"/>
      <c r="J223" s="388"/>
      <c r="K223" s="388"/>
      <c r="L223" s="388"/>
      <c r="M223" s="388"/>
      <c r="N223" s="388"/>
      <c r="O223" s="388"/>
      <c r="P223" s="388"/>
      <c r="Q223" s="388"/>
    </row>
    <row r="224" spans="1:17" x14ac:dyDescent="0.25">
      <c r="A224" s="242"/>
      <c r="B224" s="242"/>
      <c r="C224" s="242"/>
      <c r="D224" s="242"/>
      <c r="E224" s="242"/>
      <c r="F224" s="242"/>
      <c r="G224" s="242"/>
      <c r="H224" s="242"/>
      <c r="I224" s="242"/>
      <c r="J224" s="242"/>
      <c r="K224" s="242"/>
      <c r="L224" s="242"/>
      <c r="M224" s="242"/>
      <c r="N224" s="242"/>
      <c r="O224" s="242"/>
      <c r="P224" s="242"/>
      <c r="Q224" s="242"/>
    </row>
    <row r="225" spans="1:17" x14ac:dyDescent="0.25">
      <c r="A225" s="242"/>
      <c r="B225" s="242"/>
      <c r="C225" s="242"/>
      <c r="D225" s="242"/>
      <c r="E225" s="242"/>
      <c r="F225" s="242"/>
      <c r="G225" s="242"/>
      <c r="H225" s="242"/>
      <c r="I225" s="242"/>
      <c r="J225" s="242"/>
      <c r="K225" s="242"/>
      <c r="L225" s="242"/>
      <c r="M225" s="242"/>
      <c r="N225" s="242"/>
      <c r="O225" s="242"/>
      <c r="P225" s="242"/>
      <c r="Q225" s="242"/>
    </row>
    <row r="226" spans="1:17" x14ac:dyDescent="0.25">
      <c r="A226" s="242"/>
      <c r="B226" s="242"/>
      <c r="C226" s="242"/>
      <c r="D226" s="242"/>
      <c r="E226" s="242"/>
      <c r="F226" s="242"/>
      <c r="G226" s="242"/>
      <c r="H226" s="242"/>
      <c r="I226" s="242"/>
      <c r="J226" s="242"/>
      <c r="K226" s="242"/>
      <c r="L226" s="242"/>
      <c r="M226" s="242"/>
      <c r="N226" s="242"/>
      <c r="O226" s="242"/>
      <c r="P226" s="242"/>
      <c r="Q226" s="242"/>
    </row>
    <row r="227" spans="1:17" x14ac:dyDescent="0.25">
      <c r="A227" s="537" t="s">
        <v>70</v>
      </c>
      <c r="B227" s="537"/>
      <c r="C227" s="537"/>
      <c r="D227" s="537"/>
      <c r="E227" s="537"/>
      <c r="F227" s="537"/>
      <c r="G227" s="537"/>
      <c r="H227" s="537"/>
      <c r="I227" s="537"/>
      <c r="J227" s="537"/>
      <c r="K227" s="537"/>
      <c r="L227" s="242"/>
      <c r="M227" s="242"/>
      <c r="N227" s="242"/>
      <c r="O227" s="242"/>
      <c r="P227" s="242"/>
      <c r="Q227" s="242"/>
    </row>
    <row r="228" spans="1:17" x14ac:dyDescent="0.25">
      <c r="A228" s="536" t="s">
        <v>0</v>
      </c>
      <c r="B228" s="536" t="s">
        <v>7</v>
      </c>
      <c r="C228" s="536"/>
      <c r="D228" s="536"/>
      <c r="E228" s="536" t="s">
        <v>5</v>
      </c>
      <c r="F228" s="536"/>
      <c r="G228" s="536"/>
      <c r="H228" s="536" t="s">
        <v>4</v>
      </c>
      <c r="I228" s="536"/>
      <c r="J228" s="536" t="s">
        <v>6</v>
      </c>
      <c r="K228" s="536"/>
      <c r="L228" s="242"/>
      <c r="M228" s="242"/>
      <c r="N228" s="242"/>
      <c r="O228" s="242"/>
      <c r="P228" s="242"/>
      <c r="Q228" s="242"/>
    </row>
    <row r="229" spans="1:17" x14ac:dyDescent="0.25">
      <c r="A229" s="536"/>
      <c r="B229" s="231" t="s">
        <v>8</v>
      </c>
      <c r="C229" s="231" t="s">
        <v>14</v>
      </c>
      <c r="D229" s="231" t="s">
        <v>13</v>
      </c>
      <c r="E229" s="231" t="s">
        <v>8</v>
      </c>
      <c r="F229" s="231" t="s">
        <v>14</v>
      </c>
      <c r="G229" s="231" t="s">
        <v>10</v>
      </c>
      <c r="H229" s="231" t="s">
        <v>8</v>
      </c>
      <c r="I229" s="231" t="s">
        <v>13</v>
      </c>
      <c r="J229" s="231" t="s">
        <v>8</v>
      </c>
      <c r="K229" s="231" t="s">
        <v>13</v>
      </c>
      <c r="L229" s="242"/>
      <c r="M229" s="242"/>
      <c r="N229" s="242"/>
      <c r="O229" s="242"/>
      <c r="P229" s="242"/>
      <c r="Q229" s="242"/>
    </row>
    <row r="230" spans="1:17" x14ac:dyDescent="0.25">
      <c r="A230" s="232"/>
      <c r="B230" s="233"/>
      <c r="C230" s="233"/>
      <c r="D230" s="233"/>
      <c r="E230" s="233"/>
      <c r="F230" s="233"/>
      <c r="G230" s="233"/>
      <c r="H230" s="233"/>
      <c r="I230" s="233"/>
      <c r="J230" s="233"/>
      <c r="K230" s="233"/>
      <c r="L230" s="242"/>
      <c r="M230" s="242"/>
      <c r="N230" s="242"/>
      <c r="O230" s="242"/>
      <c r="P230" s="242"/>
      <c r="Q230" s="242"/>
    </row>
    <row r="231" spans="1:17" x14ac:dyDescent="0.25">
      <c r="A231" s="243" t="s">
        <v>53</v>
      </c>
      <c r="B231" s="244">
        <f>'POLIMER K.B'!B15</f>
        <v>0</v>
      </c>
      <c r="C231" s="244">
        <f>'POLIMER K.B'!C15</f>
        <v>0</v>
      </c>
      <c r="D231" s="244">
        <f>'POLIMER K.B'!D15</f>
        <v>0</v>
      </c>
      <c r="E231" s="244">
        <f>'POLIMER K.B'!E15</f>
        <v>0</v>
      </c>
      <c r="F231" s="244">
        <f>'POLIMER K.B'!F15</f>
        <v>0</v>
      </c>
      <c r="G231" s="244">
        <f>'POLIMER K.B'!G15</f>
        <v>0</v>
      </c>
      <c r="H231" s="244">
        <f>'POLIMER K.B'!H15</f>
        <v>0</v>
      </c>
      <c r="I231" s="244">
        <f>'POLIMER K.B'!I15</f>
        <v>0</v>
      </c>
      <c r="J231" s="244">
        <f>'POLIMER K.B'!J15</f>
        <v>0</v>
      </c>
      <c r="K231" s="244">
        <f>'POLIMER K.B'!K15</f>
        <v>0</v>
      </c>
      <c r="L231" s="242"/>
      <c r="M231" s="242"/>
      <c r="N231" s="242"/>
      <c r="O231" s="242"/>
      <c r="P231" s="242"/>
      <c r="Q231" s="242"/>
    </row>
    <row r="232" spans="1:17" x14ac:dyDescent="0.25">
      <c r="A232" s="247"/>
      <c r="B232" s="346"/>
      <c r="C232" s="346"/>
      <c r="D232" s="346"/>
      <c r="E232" s="346"/>
      <c r="F232" s="346"/>
      <c r="G232" s="346"/>
      <c r="H232" s="346"/>
      <c r="I232" s="346"/>
      <c r="J232" s="346"/>
      <c r="K232" s="346"/>
      <c r="L232" s="242"/>
      <c r="M232" s="242"/>
      <c r="N232" s="242"/>
      <c r="O232" s="242"/>
      <c r="P232" s="242"/>
      <c r="Q232" s="242"/>
    </row>
    <row r="233" spans="1:17" x14ac:dyDescent="0.25">
      <c r="A233" s="242"/>
      <c r="B233" s="242"/>
      <c r="C233" s="242"/>
      <c r="D233" s="242"/>
      <c r="E233" s="242"/>
      <c r="F233" s="242"/>
      <c r="G233" s="242"/>
      <c r="H233" s="242"/>
      <c r="I233" s="242"/>
      <c r="J233" s="242"/>
      <c r="K233" s="242"/>
      <c r="L233" s="242"/>
      <c r="M233" s="242"/>
      <c r="N233" s="242"/>
      <c r="O233" s="242"/>
      <c r="P233" s="242"/>
      <c r="Q233" s="242"/>
    </row>
    <row r="234" spans="1:17" x14ac:dyDescent="0.25">
      <c r="A234" s="242"/>
      <c r="B234" s="242"/>
      <c r="C234" s="242"/>
      <c r="D234" s="242"/>
      <c r="E234" s="242"/>
      <c r="F234" s="242"/>
      <c r="G234" s="242"/>
      <c r="H234" s="242"/>
      <c r="I234" s="242"/>
      <c r="J234" s="242"/>
      <c r="K234" s="242"/>
      <c r="L234" s="242"/>
      <c r="M234" s="242"/>
      <c r="N234" s="242"/>
      <c r="O234" s="242"/>
      <c r="P234" s="242"/>
      <c r="Q234" s="242"/>
    </row>
    <row r="235" spans="1:17" x14ac:dyDescent="0.25">
      <c r="A235" s="242"/>
      <c r="B235" s="242"/>
      <c r="C235" s="242"/>
      <c r="D235" s="242"/>
      <c r="E235" s="242"/>
      <c r="F235" s="242"/>
      <c r="G235" s="242"/>
      <c r="H235" s="242"/>
      <c r="I235" s="242"/>
      <c r="J235" s="242"/>
      <c r="K235" s="242"/>
      <c r="L235" s="242"/>
      <c r="M235" s="242"/>
      <c r="N235" s="242"/>
      <c r="O235" s="242"/>
      <c r="P235" s="242"/>
      <c r="Q235" s="242"/>
    </row>
    <row r="236" spans="1:17" x14ac:dyDescent="0.25">
      <c r="A236" s="537" t="s">
        <v>71</v>
      </c>
      <c r="B236" s="537"/>
      <c r="C236" s="537"/>
      <c r="D236" s="537"/>
      <c r="E236" s="537"/>
      <c r="F236" s="537"/>
      <c r="G236" s="537"/>
      <c r="H236" s="537"/>
      <c r="I236" s="537"/>
      <c r="J236" s="537"/>
      <c r="K236" s="537"/>
      <c r="L236" s="242"/>
      <c r="M236" s="242"/>
      <c r="N236" s="242"/>
      <c r="O236" s="242"/>
      <c r="P236" s="242"/>
      <c r="Q236" s="242"/>
    </row>
    <row r="237" spans="1:17" x14ac:dyDescent="0.25">
      <c r="A237" s="536" t="s">
        <v>0</v>
      </c>
      <c r="B237" s="536" t="s">
        <v>7</v>
      </c>
      <c r="C237" s="536"/>
      <c r="D237" s="536"/>
      <c r="E237" s="536" t="s">
        <v>5</v>
      </c>
      <c r="F237" s="536"/>
      <c r="G237" s="536"/>
      <c r="H237" s="536" t="s">
        <v>4</v>
      </c>
      <c r="I237" s="536"/>
      <c r="J237" s="536" t="s">
        <v>6</v>
      </c>
      <c r="K237" s="536"/>
      <c r="L237" s="242"/>
      <c r="M237" s="242"/>
      <c r="N237" s="242"/>
      <c r="O237" s="242"/>
      <c r="P237" s="242"/>
      <c r="Q237" s="242"/>
    </row>
    <row r="238" spans="1:17" x14ac:dyDescent="0.25">
      <c r="A238" s="536"/>
      <c r="B238" s="231" t="s">
        <v>8</v>
      </c>
      <c r="C238" s="231" t="s">
        <v>14</v>
      </c>
      <c r="D238" s="231" t="s">
        <v>13</v>
      </c>
      <c r="E238" s="231" t="s">
        <v>8</v>
      </c>
      <c r="F238" s="231" t="s">
        <v>14</v>
      </c>
      <c r="G238" s="231" t="s">
        <v>10</v>
      </c>
      <c r="H238" s="231" t="s">
        <v>8</v>
      </c>
      <c r="I238" s="231" t="s">
        <v>13</v>
      </c>
      <c r="J238" s="231" t="s">
        <v>8</v>
      </c>
      <c r="K238" s="231" t="s">
        <v>13</v>
      </c>
      <c r="L238" s="242"/>
      <c r="M238" s="242"/>
      <c r="N238" s="242"/>
      <c r="O238" s="242"/>
      <c r="P238" s="242"/>
      <c r="Q238" s="242"/>
    </row>
    <row r="239" spans="1:17" x14ac:dyDescent="0.25">
      <c r="A239" s="232"/>
      <c r="B239" s="233"/>
      <c r="C239" s="233"/>
      <c r="D239" s="233"/>
      <c r="E239" s="233"/>
      <c r="F239" s="233"/>
      <c r="G239" s="233"/>
      <c r="H239" s="233"/>
      <c r="I239" s="233"/>
      <c r="J239" s="233"/>
      <c r="K239" s="233"/>
      <c r="L239" s="242"/>
      <c r="M239" s="242"/>
      <c r="N239" s="242"/>
      <c r="O239" s="242"/>
      <c r="P239" s="242"/>
      <c r="Q239" s="242"/>
    </row>
    <row r="240" spans="1:17" x14ac:dyDescent="0.25">
      <c r="A240" s="243" t="s">
        <v>93</v>
      </c>
      <c r="B240" s="396">
        <f>'Polimer Hanau'!B15</f>
        <v>0</v>
      </c>
      <c r="C240" s="397">
        <f>'Polimer Hanau'!C15</f>
        <v>0</v>
      </c>
      <c r="D240" s="396">
        <f>'Polimer Hanau'!D15</f>
        <v>0</v>
      </c>
      <c r="E240" s="397">
        <f>'Polimer Hanau'!E15</f>
        <v>0</v>
      </c>
      <c r="F240" s="396">
        <f>'Polimer Hanau'!F15</f>
        <v>0</v>
      </c>
      <c r="G240" s="397">
        <f>'Polimer Hanau'!G15</f>
        <v>0</v>
      </c>
      <c r="H240" s="396">
        <f>'Polimer Hanau'!H15</f>
        <v>0</v>
      </c>
      <c r="I240" s="397">
        <f>'Polimer Hanau'!I15</f>
        <v>0</v>
      </c>
      <c r="J240" s="396">
        <f>'Polimer Hanau'!J15</f>
        <v>0</v>
      </c>
      <c r="K240" s="397">
        <f>'Polimer Hanau'!K15</f>
        <v>0</v>
      </c>
      <c r="L240" s="242"/>
      <c r="M240" s="242"/>
      <c r="N240" s="242"/>
      <c r="O240" s="242"/>
      <c r="P240" s="242"/>
      <c r="Q240" s="242"/>
    </row>
    <row r="241" spans="1:17" x14ac:dyDescent="0.25">
      <c r="A241" s="247"/>
      <c r="B241" s="248"/>
      <c r="C241" s="248"/>
      <c r="D241" s="249"/>
      <c r="E241" s="250"/>
      <c r="F241" s="249"/>
      <c r="G241" s="249"/>
      <c r="H241" s="248"/>
      <c r="I241" s="251"/>
      <c r="J241" s="241"/>
      <c r="K241" s="251"/>
      <c r="L241" s="242"/>
      <c r="M241" s="242"/>
      <c r="N241" s="242"/>
      <c r="O241" s="242"/>
      <c r="P241" s="242"/>
      <c r="Q241" s="242"/>
    </row>
    <row r="245" spans="1:17" ht="21" x14ac:dyDescent="0.35">
      <c r="A245" s="520">
        <v>45901</v>
      </c>
      <c r="B245" s="520"/>
      <c r="C245" s="520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297"/>
      <c r="P245" s="297"/>
      <c r="Q245" s="297"/>
    </row>
    <row r="246" spans="1:17" x14ac:dyDescent="0.25">
      <c r="A246" s="529" t="s">
        <v>69</v>
      </c>
      <c r="B246" s="529"/>
      <c r="C246" s="529"/>
      <c r="D246" s="529"/>
      <c r="E246" s="529"/>
      <c r="F246" s="529"/>
      <c r="G246" s="529"/>
      <c r="H246" s="529"/>
      <c r="I246" s="529"/>
      <c r="J246" s="529"/>
      <c r="K246" s="529"/>
      <c r="L246" s="529"/>
      <c r="M246" s="529"/>
      <c r="N246" s="529"/>
      <c r="O246" s="529"/>
      <c r="P246" s="529"/>
      <c r="Q246" s="529"/>
    </row>
    <row r="247" spans="1:17" x14ac:dyDescent="0.25">
      <c r="A247" s="303"/>
      <c r="B247" s="303"/>
      <c r="C247" s="303"/>
      <c r="D247" s="303"/>
      <c r="E247" s="303"/>
      <c r="F247" s="304"/>
      <c r="G247" s="303"/>
      <c r="H247" s="303"/>
      <c r="I247" s="303"/>
      <c r="J247" s="303"/>
      <c r="K247" s="303"/>
      <c r="L247" s="303"/>
      <c r="M247" s="303"/>
      <c r="N247" s="303"/>
      <c r="O247" s="303"/>
      <c r="P247" s="303"/>
      <c r="Q247" s="303"/>
    </row>
    <row r="248" spans="1:17" x14ac:dyDescent="0.25">
      <c r="A248" s="530" t="s">
        <v>0</v>
      </c>
      <c r="B248" s="532" t="s">
        <v>7</v>
      </c>
      <c r="C248" s="532"/>
      <c r="D248" s="532"/>
      <c r="E248" s="532" t="s">
        <v>5</v>
      </c>
      <c r="F248" s="532"/>
      <c r="G248" s="532"/>
      <c r="H248" s="533" t="s">
        <v>25</v>
      </c>
      <c r="I248" s="534"/>
      <c r="J248" s="535"/>
      <c r="K248" s="533" t="s">
        <v>26</v>
      </c>
      <c r="L248" s="534"/>
      <c r="M248" s="535"/>
      <c r="N248" s="532" t="s">
        <v>4</v>
      </c>
      <c r="O248" s="532"/>
      <c r="P248" s="532" t="s">
        <v>6</v>
      </c>
      <c r="Q248" s="532"/>
    </row>
    <row r="249" spans="1:17" x14ac:dyDescent="0.25">
      <c r="A249" s="531"/>
      <c r="B249" s="305" t="s">
        <v>8</v>
      </c>
      <c r="C249" s="305" t="s">
        <v>9</v>
      </c>
      <c r="D249" s="305" t="s">
        <v>13</v>
      </c>
      <c r="E249" s="305" t="s">
        <v>8</v>
      </c>
      <c r="F249" s="306" t="s">
        <v>9</v>
      </c>
      <c r="G249" s="305" t="s">
        <v>10</v>
      </c>
      <c r="H249" s="307" t="s">
        <v>8</v>
      </c>
      <c r="I249" s="307" t="s">
        <v>9</v>
      </c>
      <c r="J249" s="307" t="s">
        <v>13</v>
      </c>
      <c r="K249" s="307" t="s">
        <v>8</v>
      </c>
      <c r="L249" s="307" t="s">
        <v>9</v>
      </c>
      <c r="M249" s="307" t="s">
        <v>13</v>
      </c>
      <c r="N249" s="305" t="s">
        <v>8</v>
      </c>
      <c r="O249" s="305" t="s">
        <v>13</v>
      </c>
      <c r="P249" s="305" t="s">
        <v>8</v>
      </c>
      <c r="Q249" s="305" t="s">
        <v>13</v>
      </c>
    </row>
    <row r="250" spans="1:17" x14ac:dyDescent="0.25">
      <c r="A250" s="308"/>
      <c r="B250" s="309"/>
      <c r="C250" s="309"/>
      <c r="D250" s="309"/>
      <c r="E250" s="309"/>
      <c r="F250" s="310"/>
      <c r="G250" s="309"/>
      <c r="H250" s="309"/>
      <c r="I250" s="309"/>
      <c r="J250" s="309"/>
      <c r="K250" s="309"/>
      <c r="L250" s="309"/>
      <c r="M250" s="309"/>
      <c r="N250" s="309"/>
      <c r="O250" s="309"/>
      <c r="P250" s="309"/>
      <c r="Q250" s="309"/>
    </row>
    <row r="251" spans="1:17" x14ac:dyDescent="0.25">
      <c r="A251" s="286" t="s">
        <v>94</v>
      </c>
      <c r="B251" s="311">
        <f>POLIMER!B16</f>
        <v>0</v>
      </c>
      <c r="C251" s="311">
        <f>POLIMER!C16</f>
        <v>0</v>
      </c>
      <c r="D251" s="311">
        <f>POLIMER!D16</f>
        <v>0</v>
      </c>
      <c r="E251" s="311">
        <f>POLIMER!E16</f>
        <v>0</v>
      </c>
      <c r="F251" s="311">
        <f>POLIMER!F16</f>
        <v>0</v>
      </c>
      <c r="G251" s="311">
        <f>POLIMER!G16</f>
        <v>0</v>
      </c>
      <c r="H251" s="311">
        <f>POLIMER!H16</f>
        <v>0</v>
      </c>
      <c r="I251" s="311">
        <f>POLIMER!I16</f>
        <v>0</v>
      </c>
      <c r="J251" s="311">
        <f>POLIMER!J16</f>
        <v>0</v>
      </c>
      <c r="K251" s="311">
        <f>POLIMER!K16</f>
        <v>0</v>
      </c>
      <c r="L251" s="311">
        <f>POLIMER!L16</f>
        <v>0</v>
      </c>
      <c r="M251" s="311">
        <f>POLIMER!M16</f>
        <v>0</v>
      </c>
      <c r="N251" s="311">
        <f>POLIMER!N16</f>
        <v>0</v>
      </c>
      <c r="O251" s="311">
        <f>POLIMER!O16</f>
        <v>0</v>
      </c>
      <c r="P251" s="311">
        <f>POLIMER!P16</f>
        <v>0</v>
      </c>
      <c r="Q251" s="311">
        <f>POLIMER!Q16</f>
        <v>0</v>
      </c>
    </row>
    <row r="252" spans="1:17" x14ac:dyDescent="0.25">
      <c r="A252" s="403"/>
      <c r="B252" s="388"/>
      <c r="C252" s="388"/>
      <c r="D252" s="388"/>
      <c r="E252" s="388"/>
      <c r="F252" s="388"/>
      <c r="G252" s="388"/>
      <c r="H252" s="388"/>
      <c r="I252" s="388"/>
      <c r="J252" s="388"/>
      <c r="K252" s="388"/>
      <c r="L252" s="388"/>
      <c r="M252" s="388"/>
      <c r="N252" s="388"/>
      <c r="O252" s="388"/>
      <c r="P252" s="388"/>
      <c r="Q252" s="388"/>
    </row>
    <row r="253" spans="1:17" x14ac:dyDescent="0.25">
      <c r="A253" s="242"/>
      <c r="B253" s="242"/>
      <c r="C253" s="242"/>
      <c r="D253" s="242"/>
      <c r="E253" s="242"/>
      <c r="F253" s="242"/>
      <c r="G253" s="242"/>
      <c r="H253" s="242"/>
      <c r="I253" s="242"/>
      <c r="J253" s="242"/>
      <c r="K253" s="242"/>
      <c r="L253" s="242"/>
      <c r="M253" s="242"/>
      <c r="N253" s="242"/>
      <c r="O253" s="242"/>
      <c r="P253" s="242"/>
      <c r="Q253" s="242"/>
    </row>
    <row r="254" spans="1:17" x14ac:dyDescent="0.25">
      <c r="A254" s="242"/>
      <c r="B254" s="242"/>
      <c r="C254" s="242"/>
      <c r="D254" s="242"/>
      <c r="E254" s="242"/>
      <c r="F254" s="242"/>
      <c r="G254" s="242"/>
      <c r="H254" s="242"/>
      <c r="I254" s="242"/>
      <c r="J254" s="242"/>
      <c r="K254" s="242"/>
      <c r="L254" s="242"/>
      <c r="M254" s="242"/>
      <c r="N254" s="242"/>
      <c r="O254" s="242"/>
      <c r="P254" s="242"/>
      <c r="Q254" s="242"/>
    </row>
    <row r="255" spans="1:17" x14ac:dyDescent="0.25">
      <c r="A255" s="242"/>
      <c r="B255" s="242"/>
      <c r="C255" s="242"/>
      <c r="D255" s="242"/>
      <c r="E255" s="242"/>
      <c r="F255" s="242"/>
      <c r="G255" s="242"/>
      <c r="H255" s="242"/>
      <c r="I255" s="242"/>
      <c r="J255" s="242"/>
      <c r="K255" s="242"/>
      <c r="L255" s="242"/>
      <c r="M255" s="242"/>
      <c r="N255" s="242"/>
      <c r="O255" s="242"/>
      <c r="P255" s="242"/>
      <c r="Q255" s="242"/>
    </row>
    <row r="256" spans="1:17" x14ac:dyDescent="0.25">
      <c r="A256" s="537" t="s">
        <v>70</v>
      </c>
      <c r="B256" s="537"/>
      <c r="C256" s="537"/>
      <c r="D256" s="537"/>
      <c r="E256" s="537"/>
      <c r="F256" s="537"/>
      <c r="G256" s="537"/>
      <c r="H256" s="537"/>
      <c r="I256" s="537"/>
      <c r="J256" s="537"/>
      <c r="K256" s="537"/>
      <c r="L256" s="242"/>
      <c r="M256" s="242"/>
      <c r="N256" s="242"/>
      <c r="O256" s="242"/>
      <c r="P256" s="242"/>
      <c r="Q256" s="242"/>
    </row>
    <row r="257" spans="1:17" x14ac:dyDescent="0.25">
      <c r="A257" s="536" t="s">
        <v>0</v>
      </c>
      <c r="B257" s="536" t="s">
        <v>7</v>
      </c>
      <c r="C257" s="536"/>
      <c r="D257" s="536"/>
      <c r="E257" s="536" t="s">
        <v>5</v>
      </c>
      <c r="F257" s="536"/>
      <c r="G257" s="536"/>
      <c r="H257" s="536" t="s">
        <v>4</v>
      </c>
      <c r="I257" s="536"/>
      <c r="J257" s="536" t="s">
        <v>6</v>
      </c>
      <c r="K257" s="536"/>
      <c r="L257" s="242"/>
      <c r="M257" s="242"/>
      <c r="N257" s="242"/>
      <c r="O257" s="242"/>
      <c r="P257" s="242"/>
      <c r="Q257" s="242"/>
    </row>
    <row r="258" spans="1:17" x14ac:dyDescent="0.25">
      <c r="A258" s="536"/>
      <c r="B258" s="231" t="s">
        <v>8</v>
      </c>
      <c r="C258" s="231" t="s">
        <v>14</v>
      </c>
      <c r="D258" s="231" t="s">
        <v>13</v>
      </c>
      <c r="E258" s="231" t="s">
        <v>8</v>
      </c>
      <c r="F258" s="231" t="s">
        <v>14</v>
      </c>
      <c r="G258" s="231" t="s">
        <v>10</v>
      </c>
      <c r="H258" s="231" t="s">
        <v>8</v>
      </c>
      <c r="I258" s="231" t="s">
        <v>13</v>
      </c>
      <c r="J258" s="231" t="s">
        <v>8</v>
      </c>
      <c r="K258" s="231" t="s">
        <v>13</v>
      </c>
      <c r="L258" s="242"/>
      <c r="M258" s="242"/>
      <c r="N258" s="242"/>
      <c r="O258" s="402"/>
      <c r="P258" s="242"/>
      <c r="Q258" s="242"/>
    </row>
    <row r="259" spans="1:17" x14ac:dyDescent="0.25">
      <c r="A259" s="232"/>
      <c r="B259" s="233"/>
      <c r="C259" s="233"/>
      <c r="D259" s="233"/>
      <c r="E259" s="233"/>
      <c r="F259" s="233"/>
      <c r="G259" s="233"/>
      <c r="H259" s="233"/>
      <c r="I259" s="233"/>
      <c r="J259" s="233"/>
      <c r="K259" s="233"/>
      <c r="L259" s="242"/>
      <c r="M259" s="242"/>
      <c r="N259" s="242"/>
      <c r="O259" s="402"/>
      <c r="P259" s="242"/>
      <c r="Q259" s="242"/>
    </row>
    <row r="260" spans="1:17" x14ac:dyDescent="0.25">
      <c r="A260" s="243" t="s">
        <v>94</v>
      </c>
      <c r="B260" s="244">
        <f>'POLIMER K.B'!B16</f>
        <v>0</v>
      </c>
      <c r="C260" s="244">
        <f>'POLIMER K.B'!C16</f>
        <v>0</v>
      </c>
      <c r="D260" s="244">
        <f>'POLIMER K.B'!D16</f>
        <v>0</v>
      </c>
      <c r="E260" s="244">
        <f>'POLIMER K.B'!E16</f>
        <v>0</v>
      </c>
      <c r="F260" s="244">
        <f>'POLIMER K.B'!F16</f>
        <v>0</v>
      </c>
      <c r="G260" s="244">
        <f>'POLIMER K.B'!G16</f>
        <v>0</v>
      </c>
      <c r="H260" s="244">
        <f>'POLIMER K.B'!H16</f>
        <v>0</v>
      </c>
      <c r="I260" s="244">
        <f>'POLIMER K.B'!I16</f>
        <v>0</v>
      </c>
      <c r="J260" s="244">
        <f>'POLIMER K.B'!J16</f>
        <v>0</v>
      </c>
      <c r="K260" s="244">
        <f>'POLIMER K.B'!K16</f>
        <v>0</v>
      </c>
      <c r="L260" s="242"/>
      <c r="M260" s="242"/>
      <c r="N260" s="242"/>
      <c r="O260" s="242"/>
      <c r="P260" s="242"/>
      <c r="Q260" s="242"/>
    </row>
    <row r="261" spans="1:17" x14ac:dyDescent="0.25">
      <c r="A261" s="243"/>
      <c r="B261" s="244">
        <f>'POLIMER K.B'!B111</f>
        <v>0</v>
      </c>
      <c r="C261" s="244">
        <f>'POLIMER K.B'!C111</f>
        <v>0</v>
      </c>
      <c r="D261" s="244">
        <f>'POLIMER K.B'!D111</f>
        <v>0</v>
      </c>
      <c r="E261" s="244">
        <f>'POLIMER K.B'!E111</f>
        <v>0</v>
      </c>
      <c r="F261" s="244">
        <f>'POLIMER K.B'!F111</f>
        <v>0</v>
      </c>
      <c r="G261" s="244">
        <f>'POLIMER K.B'!G111</f>
        <v>0</v>
      </c>
      <c r="H261" s="244">
        <f>'POLIMER K.B'!H111</f>
        <v>0</v>
      </c>
      <c r="I261" s="244">
        <f>'POLIMER K.B'!I111</f>
        <v>0</v>
      </c>
      <c r="J261" s="244">
        <f>'POLIMER K.B'!J111</f>
        <v>0</v>
      </c>
      <c r="K261" s="244">
        <f>'POLIMER K.B'!K111</f>
        <v>0</v>
      </c>
      <c r="L261" s="242"/>
      <c r="M261" s="242"/>
      <c r="N261" s="242"/>
      <c r="O261" s="242"/>
      <c r="P261" s="242"/>
      <c r="Q261" s="242"/>
    </row>
    <row r="262" spans="1:17" x14ac:dyDescent="0.25">
      <c r="A262" s="247"/>
      <c r="B262" s="346">
        <f>'POLIMER K.B'!B112</f>
        <v>0</v>
      </c>
      <c r="C262" s="346">
        <f>'POLIMER K.B'!C112</f>
        <v>0</v>
      </c>
      <c r="D262" s="346">
        <f>'POLIMER K.B'!D112</f>
        <v>0</v>
      </c>
      <c r="E262" s="346">
        <f>'POLIMER K.B'!E112</f>
        <v>0</v>
      </c>
      <c r="F262" s="346">
        <f>'POLIMER K.B'!F112</f>
        <v>0</v>
      </c>
      <c r="G262" s="346">
        <f>'POLIMER K.B'!G112</f>
        <v>0</v>
      </c>
      <c r="H262" s="346">
        <f>'POLIMER K.B'!H112</f>
        <v>0</v>
      </c>
      <c r="I262" s="346">
        <f>'POLIMER K.B'!I112</f>
        <v>0</v>
      </c>
      <c r="J262" s="346">
        <f>'POLIMER K.B'!J112</f>
        <v>0</v>
      </c>
      <c r="K262" s="346">
        <f>'POLIMER K.B'!K112</f>
        <v>0</v>
      </c>
      <c r="L262" s="242"/>
      <c r="M262" s="242"/>
      <c r="N262" s="242"/>
      <c r="O262" s="242"/>
      <c r="P262" s="242"/>
      <c r="Q262" s="242"/>
    </row>
    <row r="263" spans="1:17" x14ac:dyDescent="0.25">
      <c r="A263" s="242"/>
      <c r="B263" s="242"/>
      <c r="C263" s="242"/>
      <c r="D263" s="242"/>
      <c r="E263" s="242"/>
      <c r="F263" s="242"/>
      <c r="G263" s="242"/>
      <c r="H263" s="242"/>
      <c r="I263" s="242"/>
      <c r="J263" s="242"/>
      <c r="K263" s="242"/>
      <c r="L263" s="242"/>
      <c r="M263" s="242"/>
      <c r="N263" s="242"/>
      <c r="O263" s="242"/>
      <c r="P263" s="242"/>
      <c r="Q263" s="242"/>
    </row>
    <row r="264" spans="1:17" x14ac:dyDescent="0.25">
      <c r="A264" s="242"/>
      <c r="B264" s="242"/>
      <c r="C264" s="242"/>
      <c r="D264" s="242"/>
      <c r="E264" s="242"/>
      <c r="F264" s="242"/>
      <c r="G264" s="242"/>
      <c r="H264" s="242"/>
      <c r="I264" s="242"/>
      <c r="J264" s="242"/>
      <c r="K264" s="242"/>
      <c r="L264" s="242"/>
      <c r="M264" s="242"/>
      <c r="N264" s="242"/>
      <c r="O264" s="242"/>
      <c r="P264" s="242"/>
      <c r="Q264" s="242"/>
    </row>
    <row r="265" spans="1:17" x14ac:dyDescent="0.25">
      <c r="A265" s="242"/>
      <c r="B265" s="242"/>
      <c r="C265" s="242"/>
      <c r="D265" s="242"/>
      <c r="E265" s="242"/>
      <c r="F265" s="242"/>
      <c r="G265" s="242"/>
      <c r="H265" s="242"/>
      <c r="I265" s="242"/>
      <c r="J265" s="242"/>
      <c r="K265" s="242"/>
      <c r="L265" s="242"/>
      <c r="M265" s="242"/>
      <c r="N265" s="242"/>
      <c r="O265" s="242"/>
      <c r="P265" s="242"/>
      <c r="Q265" s="242"/>
    </row>
    <row r="266" spans="1:17" x14ac:dyDescent="0.25">
      <c r="A266" s="537" t="s">
        <v>71</v>
      </c>
      <c r="B266" s="537"/>
      <c r="C266" s="537"/>
      <c r="D266" s="537"/>
      <c r="E266" s="537"/>
      <c r="F266" s="537"/>
      <c r="G266" s="537"/>
      <c r="H266" s="537"/>
      <c r="I266" s="537"/>
      <c r="J266" s="537"/>
      <c r="K266" s="537"/>
      <c r="L266" s="242"/>
      <c r="M266" s="242"/>
      <c r="N266" s="242"/>
      <c r="O266" s="242"/>
      <c r="P266" s="242"/>
      <c r="Q266" s="242"/>
    </row>
    <row r="267" spans="1:17" x14ac:dyDescent="0.25">
      <c r="A267" s="536" t="s">
        <v>0</v>
      </c>
      <c r="B267" s="536" t="s">
        <v>7</v>
      </c>
      <c r="C267" s="536"/>
      <c r="D267" s="536"/>
      <c r="E267" s="536" t="s">
        <v>5</v>
      </c>
      <c r="F267" s="536"/>
      <c r="G267" s="536"/>
      <c r="H267" s="536" t="s">
        <v>4</v>
      </c>
      <c r="I267" s="536"/>
      <c r="J267" s="536" t="s">
        <v>6</v>
      </c>
      <c r="K267" s="536"/>
      <c r="L267" s="242"/>
      <c r="M267" s="242"/>
      <c r="N267" s="242"/>
      <c r="O267" s="242"/>
      <c r="P267" s="242"/>
      <c r="Q267" s="242"/>
    </row>
    <row r="268" spans="1:17" x14ac:dyDescent="0.25">
      <c r="A268" s="536"/>
      <c r="B268" s="231" t="s">
        <v>8</v>
      </c>
      <c r="C268" s="231" t="s">
        <v>14</v>
      </c>
      <c r="D268" s="231" t="s">
        <v>13</v>
      </c>
      <c r="E268" s="231" t="s">
        <v>8</v>
      </c>
      <c r="F268" s="231" t="s">
        <v>14</v>
      </c>
      <c r="G268" s="231" t="s">
        <v>10</v>
      </c>
      <c r="H268" s="231" t="s">
        <v>8</v>
      </c>
      <c r="I268" s="231" t="s">
        <v>13</v>
      </c>
      <c r="J268" s="231" t="s">
        <v>8</v>
      </c>
      <c r="K268" s="231" t="s">
        <v>13</v>
      </c>
      <c r="L268" s="242"/>
      <c r="M268" s="242"/>
      <c r="N268" s="242"/>
      <c r="O268" s="242"/>
      <c r="P268" s="242"/>
      <c r="Q268" s="242"/>
    </row>
    <row r="269" spans="1:17" x14ac:dyDescent="0.25">
      <c r="A269" s="232"/>
      <c r="B269" s="233"/>
      <c r="C269" s="233"/>
      <c r="D269" s="233"/>
      <c r="E269" s="233"/>
      <c r="F269" s="233"/>
      <c r="G269" s="233"/>
      <c r="H269" s="233"/>
      <c r="I269" s="233"/>
      <c r="J269" s="233"/>
      <c r="K269" s="233"/>
      <c r="L269" s="242"/>
      <c r="M269" s="242"/>
      <c r="N269" s="242"/>
      <c r="O269" s="242"/>
      <c r="P269" s="242"/>
      <c r="Q269" s="242"/>
    </row>
    <row r="270" spans="1:17" x14ac:dyDescent="0.25">
      <c r="A270" s="243" t="s">
        <v>95</v>
      </c>
      <c r="B270" s="397">
        <f>'Polimer Hanau'!B16</f>
        <v>0</v>
      </c>
      <c r="C270" s="397">
        <f>'Polimer Hanau'!C16</f>
        <v>0</v>
      </c>
      <c r="D270" s="397">
        <f>'Polimer Hanau'!D16</f>
        <v>0</v>
      </c>
      <c r="E270" s="397">
        <f>'Polimer Hanau'!E16</f>
        <v>0</v>
      </c>
      <c r="F270" s="397">
        <f>'Polimer Hanau'!F16</f>
        <v>0</v>
      </c>
      <c r="G270" s="397">
        <f>'Polimer Hanau'!G16</f>
        <v>0</v>
      </c>
      <c r="H270" s="397">
        <f>'Polimer Hanau'!H16</f>
        <v>0</v>
      </c>
      <c r="I270" s="397">
        <f>'Polimer Hanau'!I16</f>
        <v>0</v>
      </c>
      <c r="J270" s="397">
        <f>'Polimer Hanau'!J16</f>
        <v>0</v>
      </c>
      <c r="K270" s="397">
        <f>'Polimer Hanau'!K16</f>
        <v>0</v>
      </c>
      <c r="L270" s="242"/>
      <c r="M270" s="242"/>
      <c r="N270" s="242"/>
      <c r="O270" s="242"/>
      <c r="P270" s="242"/>
      <c r="Q270" s="242"/>
    </row>
    <row r="271" spans="1:17" x14ac:dyDescent="0.25">
      <c r="A271" s="247"/>
      <c r="B271" s="248"/>
      <c r="C271" s="248"/>
      <c r="D271" s="249"/>
      <c r="E271" s="250"/>
      <c r="F271" s="249"/>
      <c r="G271" s="249"/>
      <c r="H271" s="248"/>
      <c r="I271" s="251"/>
      <c r="J271" s="241"/>
      <c r="K271" s="251"/>
      <c r="L271" s="242"/>
      <c r="M271" s="242"/>
      <c r="N271" s="242"/>
      <c r="O271" s="242"/>
      <c r="P271" s="242"/>
      <c r="Q271" s="242"/>
    </row>
    <row r="275" spans="1:17" ht="21" x14ac:dyDescent="0.35">
      <c r="A275" s="520">
        <v>45931</v>
      </c>
      <c r="B275" s="520"/>
      <c r="C275" s="520"/>
      <c r="D275" s="297"/>
      <c r="E275" s="297"/>
      <c r="F275" s="297"/>
      <c r="G275" s="297"/>
      <c r="H275" s="297"/>
      <c r="I275" s="297"/>
      <c r="J275" s="297"/>
      <c r="K275" s="297"/>
      <c r="L275" s="297"/>
      <c r="M275" s="297"/>
      <c r="N275" s="297"/>
      <c r="O275" s="297"/>
      <c r="P275" s="297"/>
      <c r="Q275" s="297"/>
    </row>
    <row r="276" spans="1:17" x14ac:dyDescent="0.25">
      <c r="A276" s="529" t="s">
        <v>69</v>
      </c>
      <c r="B276" s="529"/>
      <c r="C276" s="529"/>
      <c r="D276" s="529"/>
      <c r="E276" s="529"/>
      <c r="F276" s="529"/>
      <c r="G276" s="529"/>
      <c r="H276" s="529"/>
      <c r="I276" s="529"/>
      <c r="J276" s="529"/>
      <c r="K276" s="529"/>
      <c r="L276" s="529"/>
      <c r="M276" s="529"/>
      <c r="N276" s="529"/>
      <c r="O276" s="529"/>
      <c r="P276" s="529"/>
      <c r="Q276" s="529"/>
    </row>
    <row r="277" spans="1:17" x14ac:dyDescent="0.25">
      <c r="A277" s="303"/>
      <c r="B277" s="303"/>
      <c r="C277" s="303"/>
      <c r="D277" s="303"/>
      <c r="E277" s="303"/>
      <c r="F277" s="304"/>
      <c r="G277" s="303"/>
      <c r="H277" s="303"/>
      <c r="I277" s="303"/>
      <c r="J277" s="303"/>
      <c r="K277" s="303"/>
      <c r="L277" s="303"/>
      <c r="M277" s="303"/>
      <c r="N277" s="303"/>
      <c r="O277" s="303"/>
      <c r="P277" s="303"/>
      <c r="Q277" s="303"/>
    </row>
    <row r="278" spans="1:17" x14ac:dyDescent="0.25">
      <c r="A278" s="530" t="s">
        <v>0</v>
      </c>
      <c r="B278" s="532" t="s">
        <v>7</v>
      </c>
      <c r="C278" s="532"/>
      <c r="D278" s="532"/>
      <c r="E278" s="532" t="s">
        <v>5</v>
      </c>
      <c r="F278" s="532"/>
      <c r="G278" s="532"/>
      <c r="H278" s="533" t="s">
        <v>25</v>
      </c>
      <c r="I278" s="534"/>
      <c r="J278" s="535"/>
      <c r="K278" s="533" t="s">
        <v>26</v>
      </c>
      <c r="L278" s="534"/>
      <c r="M278" s="535"/>
      <c r="N278" s="532" t="s">
        <v>4</v>
      </c>
      <c r="O278" s="532"/>
      <c r="P278" s="532" t="s">
        <v>6</v>
      </c>
      <c r="Q278" s="532"/>
    </row>
    <row r="279" spans="1:17" x14ac:dyDescent="0.25">
      <c r="A279" s="531"/>
      <c r="B279" s="305" t="s">
        <v>8</v>
      </c>
      <c r="C279" s="305" t="s">
        <v>9</v>
      </c>
      <c r="D279" s="305" t="s">
        <v>13</v>
      </c>
      <c r="E279" s="305" t="s">
        <v>8</v>
      </c>
      <c r="F279" s="306" t="s">
        <v>9</v>
      </c>
      <c r="G279" s="305" t="s">
        <v>10</v>
      </c>
      <c r="H279" s="307" t="s">
        <v>8</v>
      </c>
      <c r="I279" s="307" t="s">
        <v>9</v>
      </c>
      <c r="J279" s="307" t="s">
        <v>13</v>
      </c>
      <c r="K279" s="307" t="s">
        <v>8</v>
      </c>
      <c r="L279" s="307" t="s">
        <v>9</v>
      </c>
      <c r="M279" s="307" t="s">
        <v>13</v>
      </c>
      <c r="N279" s="305" t="s">
        <v>8</v>
      </c>
      <c r="O279" s="305" t="s">
        <v>13</v>
      </c>
      <c r="P279" s="305" t="s">
        <v>8</v>
      </c>
      <c r="Q279" s="305" t="s">
        <v>13</v>
      </c>
    </row>
    <row r="280" spans="1:17" x14ac:dyDescent="0.25">
      <c r="A280" s="308"/>
      <c r="B280" s="309"/>
      <c r="C280" s="309"/>
      <c r="D280" s="309"/>
      <c r="E280" s="309"/>
      <c r="F280" s="310"/>
      <c r="G280" s="309"/>
      <c r="H280" s="309"/>
      <c r="I280" s="309"/>
      <c r="J280" s="309"/>
      <c r="K280" s="309"/>
      <c r="L280" s="309"/>
      <c r="M280" s="309"/>
      <c r="N280" s="309"/>
      <c r="O280" s="309"/>
      <c r="P280" s="309"/>
      <c r="Q280" s="309"/>
    </row>
    <row r="281" spans="1:17" x14ac:dyDescent="0.25">
      <c r="A281" s="286" t="s">
        <v>55</v>
      </c>
      <c r="B281" s="311">
        <f>POLIMER!B17</f>
        <v>0</v>
      </c>
      <c r="C281" s="311">
        <f>POLIMER!C17</f>
        <v>0</v>
      </c>
      <c r="D281" s="311">
        <f>POLIMER!D17</f>
        <v>0</v>
      </c>
      <c r="E281" s="311">
        <f>POLIMER!E17</f>
        <v>0</v>
      </c>
      <c r="F281" s="311">
        <f>POLIMER!F17</f>
        <v>0</v>
      </c>
      <c r="G281" s="311">
        <f>POLIMER!G17</f>
        <v>0</v>
      </c>
      <c r="H281" s="311">
        <f>POLIMER!H17</f>
        <v>0</v>
      </c>
      <c r="I281" s="311">
        <f>POLIMER!I17</f>
        <v>0</v>
      </c>
      <c r="J281" s="311">
        <f>POLIMER!J17</f>
        <v>0</v>
      </c>
      <c r="K281" s="311">
        <f>POLIMER!K17</f>
        <v>0</v>
      </c>
      <c r="L281" s="311">
        <f>POLIMER!L17</f>
        <v>0</v>
      </c>
      <c r="M281" s="311">
        <f>POLIMER!M17</f>
        <v>0</v>
      </c>
      <c r="N281" s="311">
        <f>POLIMER!N17</f>
        <v>0</v>
      </c>
      <c r="O281" s="311">
        <f>POLIMER!O17</f>
        <v>0</v>
      </c>
      <c r="P281" s="311">
        <f>POLIMER!P17</f>
        <v>0</v>
      </c>
      <c r="Q281" s="311">
        <f>POLIMER!Q17</f>
        <v>0</v>
      </c>
    </row>
    <row r="282" spans="1:17" x14ac:dyDescent="0.25">
      <c r="A282" s="406"/>
      <c r="B282" s="311"/>
      <c r="C282" s="311"/>
      <c r="D282" s="311"/>
      <c r="E282" s="311"/>
      <c r="F282" s="311"/>
      <c r="G282" s="311"/>
      <c r="H282" s="311"/>
      <c r="I282" s="311"/>
      <c r="J282" s="311"/>
      <c r="K282" s="311"/>
      <c r="L282" s="311"/>
      <c r="M282" s="311"/>
      <c r="N282" s="311"/>
      <c r="O282" s="311"/>
      <c r="P282" s="311"/>
      <c r="Q282" s="311"/>
    </row>
    <row r="283" spans="1:17" x14ac:dyDescent="0.25">
      <c r="A283" s="403"/>
      <c r="B283" s="388"/>
      <c r="C283" s="388"/>
      <c r="D283" s="388"/>
      <c r="E283" s="388"/>
      <c r="F283" s="388"/>
      <c r="G283" s="388"/>
      <c r="H283" s="388"/>
      <c r="I283" s="388"/>
      <c r="J283" s="388"/>
      <c r="K283" s="388"/>
      <c r="L283" s="388"/>
      <c r="M283" s="388"/>
      <c r="N283" s="388"/>
      <c r="O283" s="388"/>
      <c r="P283" s="388"/>
      <c r="Q283" s="388"/>
    </row>
    <row r="284" spans="1:17" x14ac:dyDescent="0.25">
      <c r="A284" s="242"/>
      <c r="B284" s="242"/>
      <c r="C284" s="242"/>
      <c r="D284" s="242"/>
      <c r="E284" s="242"/>
      <c r="F284" s="242"/>
      <c r="G284" s="242"/>
      <c r="H284" s="242"/>
      <c r="I284" s="242"/>
      <c r="J284" s="242"/>
      <c r="K284" s="242"/>
      <c r="L284" s="242"/>
      <c r="M284" s="242"/>
      <c r="N284" s="242"/>
      <c r="O284" s="242"/>
      <c r="P284" s="242"/>
      <c r="Q284" s="242"/>
    </row>
    <row r="285" spans="1:17" x14ac:dyDescent="0.25">
      <c r="A285" s="242"/>
      <c r="B285" s="242"/>
      <c r="C285" s="242"/>
      <c r="D285" s="242"/>
      <c r="E285" s="242"/>
      <c r="F285" s="242"/>
      <c r="G285" s="242"/>
      <c r="H285" s="242"/>
      <c r="I285" s="242"/>
      <c r="J285" s="242"/>
      <c r="K285" s="242"/>
      <c r="L285" s="242"/>
      <c r="M285" s="242"/>
      <c r="N285" s="242"/>
      <c r="O285" s="242"/>
      <c r="P285" s="242"/>
      <c r="Q285" s="242"/>
    </row>
    <row r="286" spans="1:17" x14ac:dyDescent="0.25">
      <c r="A286" s="242"/>
      <c r="B286" s="242"/>
      <c r="C286" s="242"/>
      <c r="D286" s="242"/>
      <c r="E286" s="242"/>
      <c r="F286" s="242"/>
      <c r="G286" s="242"/>
      <c r="H286" s="242"/>
      <c r="I286" s="242"/>
      <c r="J286" s="242"/>
      <c r="K286" s="242"/>
      <c r="L286" s="242"/>
      <c r="M286" s="242"/>
      <c r="N286" s="242"/>
      <c r="O286" s="242"/>
      <c r="P286" s="242"/>
      <c r="Q286" s="242"/>
    </row>
    <row r="287" spans="1:17" x14ac:dyDescent="0.25">
      <c r="A287" s="537" t="s">
        <v>70</v>
      </c>
      <c r="B287" s="537"/>
      <c r="C287" s="537"/>
      <c r="D287" s="537"/>
      <c r="E287" s="537"/>
      <c r="F287" s="537"/>
      <c r="G287" s="537"/>
      <c r="H287" s="537"/>
      <c r="I287" s="537"/>
      <c r="J287" s="537"/>
      <c r="K287" s="537"/>
      <c r="L287" s="242"/>
      <c r="M287" s="242"/>
      <c r="N287" s="242"/>
      <c r="O287" s="242"/>
      <c r="P287" s="242"/>
      <c r="Q287" s="242"/>
    </row>
    <row r="288" spans="1:17" x14ac:dyDescent="0.25">
      <c r="A288" s="536" t="s">
        <v>0</v>
      </c>
      <c r="B288" s="536" t="s">
        <v>7</v>
      </c>
      <c r="C288" s="536"/>
      <c r="D288" s="536"/>
      <c r="E288" s="536" t="s">
        <v>5</v>
      </c>
      <c r="F288" s="536"/>
      <c r="G288" s="536"/>
      <c r="H288" s="536" t="s">
        <v>4</v>
      </c>
      <c r="I288" s="536"/>
      <c r="J288" s="536" t="s">
        <v>6</v>
      </c>
      <c r="K288" s="536"/>
      <c r="L288" s="242"/>
      <c r="M288" s="242"/>
      <c r="N288" s="242"/>
      <c r="O288" s="242"/>
      <c r="P288" s="242"/>
      <c r="Q288" s="242"/>
    </row>
    <row r="289" spans="1:17" x14ac:dyDescent="0.25">
      <c r="A289" s="536"/>
      <c r="B289" s="231" t="s">
        <v>8</v>
      </c>
      <c r="C289" s="231" t="s">
        <v>14</v>
      </c>
      <c r="D289" s="231" t="s">
        <v>13</v>
      </c>
      <c r="E289" s="231" t="s">
        <v>8</v>
      </c>
      <c r="F289" s="231" t="s">
        <v>14</v>
      </c>
      <c r="G289" s="231" t="s">
        <v>10</v>
      </c>
      <c r="H289" s="231" t="s">
        <v>8</v>
      </c>
      <c r="I289" s="231" t="s">
        <v>13</v>
      </c>
      <c r="J289" s="231" t="s">
        <v>8</v>
      </c>
      <c r="K289" s="231" t="s">
        <v>13</v>
      </c>
      <c r="L289" s="242"/>
      <c r="M289" s="242"/>
      <c r="N289" s="242"/>
      <c r="O289" s="402"/>
      <c r="P289" s="242"/>
      <c r="Q289" s="242"/>
    </row>
    <row r="290" spans="1:17" x14ac:dyDescent="0.25">
      <c r="A290" s="232"/>
      <c r="B290" s="233"/>
      <c r="C290" s="233"/>
      <c r="D290" s="233"/>
      <c r="E290" s="233"/>
      <c r="F290" s="233"/>
      <c r="G290" s="233"/>
      <c r="H290" s="233"/>
      <c r="I290" s="233"/>
      <c r="J290" s="233"/>
      <c r="K290" s="233"/>
      <c r="L290" s="242"/>
      <c r="M290" s="242"/>
      <c r="N290" s="242"/>
      <c r="O290" s="402"/>
      <c r="P290" s="242"/>
      <c r="Q290" s="242"/>
    </row>
    <row r="291" spans="1:17" x14ac:dyDescent="0.25">
      <c r="A291" s="243" t="s">
        <v>55</v>
      </c>
      <c r="B291" s="244">
        <f>'POLIMER K.B'!B17</f>
        <v>0</v>
      </c>
      <c r="C291" s="244">
        <f>'POLIMER K.B'!C17</f>
        <v>0</v>
      </c>
      <c r="D291" s="244">
        <f>'POLIMER K.B'!D17</f>
        <v>0</v>
      </c>
      <c r="E291" s="244">
        <f>'POLIMER K.B'!E17</f>
        <v>0</v>
      </c>
      <c r="F291" s="244">
        <f>'POLIMER K.B'!F17</f>
        <v>0</v>
      </c>
      <c r="G291" s="244">
        <f>'POLIMER K.B'!G17</f>
        <v>0</v>
      </c>
      <c r="H291" s="244">
        <f>'POLIMER K.B'!H17</f>
        <v>0</v>
      </c>
      <c r="I291" s="244">
        <f>'POLIMER K.B'!I17</f>
        <v>0</v>
      </c>
      <c r="J291" s="244">
        <f>'POLIMER K.B'!J17</f>
        <v>0</v>
      </c>
      <c r="K291" s="244">
        <f>'POLIMER K.B'!K17</f>
        <v>0</v>
      </c>
      <c r="L291" s="242"/>
      <c r="M291" s="242"/>
      <c r="N291" s="242"/>
      <c r="O291" s="242"/>
      <c r="P291" s="242"/>
      <c r="Q291" s="242"/>
    </row>
    <row r="292" spans="1:17" x14ac:dyDescent="0.25">
      <c r="A292" s="243"/>
      <c r="B292" s="244">
        <f>'POLIMER K.B'!B141</f>
        <v>0</v>
      </c>
      <c r="C292" s="244">
        <f>'POLIMER K.B'!C141</f>
        <v>0</v>
      </c>
      <c r="D292" s="244">
        <f>'POLIMER K.B'!D141</f>
        <v>0</v>
      </c>
      <c r="E292" s="244">
        <f>'POLIMER K.B'!E141</f>
        <v>0</v>
      </c>
      <c r="F292" s="244">
        <f>'POLIMER K.B'!F141</f>
        <v>0</v>
      </c>
      <c r="G292" s="244">
        <f>'POLIMER K.B'!G141</f>
        <v>0</v>
      </c>
      <c r="H292" s="244">
        <f>'POLIMER K.B'!H141</f>
        <v>0</v>
      </c>
      <c r="I292" s="244">
        <f>'POLIMER K.B'!I141</f>
        <v>0</v>
      </c>
      <c r="J292" s="244">
        <f>'POLIMER K.B'!J141</f>
        <v>0</v>
      </c>
      <c r="K292" s="244">
        <f>'POLIMER K.B'!K141</f>
        <v>0</v>
      </c>
      <c r="L292" s="242"/>
      <c r="M292" s="242"/>
      <c r="N292" s="242"/>
      <c r="O292" s="242"/>
      <c r="P292" s="242"/>
      <c r="Q292" s="242"/>
    </row>
    <row r="293" spans="1:17" x14ac:dyDescent="0.25">
      <c r="A293" s="247"/>
      <c r="B293" s="346">
        <f>'POLIMER K.B'!B142</f>
        <v>0</v>
      </c>
      <c r="C293" s="346">
        <f>'POLIMER K.B'!C142</f>
        <v>0</v>
      </c>
      <c r="D293" s="346">
        <f>'POLIMER K.B'!D142</f>
        <v>0</v>
      </c>
      <c r="E293" s="346">
        <f>'POLIMER K.B'!E142</f>
        <v>0</v>
      </c>
      <c r="F293" s="346">
        <f>'POLIMER K.B'!F142</f>
        <v>0</v>
      </c>
      <c r="G293" s="346">
        <f>'POLIMER K.B'!G142</f>
        <v>0</v>
      </c>
      <c r="H293" s="346">
        <f>'POLIMER K.B'!H142</f>
        <v>0</v>
      </c>
      <c r="I293" s="346">
        <f>'POLIMER K.B'!I142</f>
        <v>0</v>
      </c>
      <c r="J293" s="346">
        <f>'POLIMER K.B'!J142</f>
        <v>0</v>
      </c>
      <c r="K293" s="346">
        <f>'POLIMER K.B'!K142</f>
        <v>0</v>
      </c>
      <c r="L293" s="242"/>
      <c r="M293" s="242"/>
      <c r="N293" s="242"/>
      <c r="O293" s="242"/>
      <c r="P293" s="242"/>
      <c r="Q293" s="242"/>
    </row>
    <row r="294" spans="1:17" x14ac:dyDescent="0.25">
      <c r="A294" s="242"/>
      <c r="B294" s="242"/>
      <c r="C294" s="242"/>
      <c r="D294" s="242"/>
      <c r="E294" s="242"/>
      <c r="F294" s="242"/>
      <c r="G294" s="242"/>
      <c r="H294" s="242"/>
      <c r="I294" s="242"/>
      <c r="J294" s="242"/>
      <c r="K294" s="242"/>
      <c r="L294" s="242"/>
      <c r="M294" s="242"/>
      <c r="N294" s="242"/>
      <c r="O294" s="242"/>
      <c r="P294" s="242"/>
      <c r="Q294" s="242"/>
    </row>
    <row r="295" spans="1:17" x14ac:dyDescent="0.25">
      <c r="A295" s="242"/>
      <c r="B295" s="242"/>
      <c r="C295" s="242"/>
      <c r="D295" s="242"/>
      <c r="E295" s="242"/>
      <c r="F295" s="242"/>
      <c r="G295" s="242"/>
      <c r="H295" s="242"/>
      <c r="I295" s="242"/>
      <c r="J295" s="242"/>
      <c r="K295" s="242"/>
      <c r="L295" s="242"/>
      <c r="M295" s="242"/>
      <c r="N295" s="242"/>
      <c r="O295" s="242"/>
      <c r="P295" s="242"/>
      <c r="Q295" s="242"/>
    </row>
    <row r="296" spans="1:17" x14ac:dyDescent="0.25">
      <c r="A296" s="242"/>
      <c r="B296" s="242"/>
      <c r="C296" s="242"/>
      <c r="D296" s="242"/>
      <c r="E296" s="242"/>
      <c r="F296" s="242"/>
      <c r="G296" s="242"/>
      <c r="H296" s="242"/>
      <c r="I296" s="242"/>
      <c r="J296" s="242"/>
      <c r="K296" s="242"/>
      <c r="L296" s="242"/>
      <c r="M296" s="242"/>
      <c r="N296" s="242"/>
      <c r="O296" s="242"/>
      <c r="P296" s="242"/>
      <c r="Q296" s="242"/>
    </row>
    <row r="297" spans="1:17" x14ac:dyDescent="0.25">
      <c r="A297" s="537" t="s">
        <v>71</v>
      </c>
      <c r="B297" s="537"/>
      <c r="C297" s="537"/>
      <c r="D297" s="537"/>
      <c r="E297" s="537"/>
      <c r="F297" s="537"/>
      <c r="G297" s="537"/>
      <c r="H297" s="537"/>
      <c r="I297" s="537"/>
      <c r="J297" s="537"/>
      <c r="K297" s="537"/>
      <c r="L297" s="242"/>
      <c r="M297" s="242"/>
      <c r="N297" s="242"/>
      <c r="O297" s="242"/>
      <c r="P297" s="242"/>
      <c r="Q297" s="242"/>
    </row>
    <row r="298" spans="1:17" x14ac:dyDescent="0.25">
      <c r="A298" s="536" t="s">
        <v>0</v>
      </c>
      <c r="B298" s="536" t="s">
        <v>7</v>
      </c>
      <c r="C298" s="536"/>
      <c r="D298" s="536"/>
      <c r="E298" s="536" t="s">
        <v>5</v>
      </c>
      <c r="F298" s="536"/>
      <c r="G298" s="536"/>
      <c r="H298" s="536" t="s">
        <v>4</v>
      </c>
      <c r="I298" s="536"/>
      <c r="J298" s="536" t="s">
        <v>6</v>
      </c>
      <c r="K298" s="536"/>
      <c r="L298" s="242"/>
      <c r="M298" s="242"/>
      <c r="N298" s="242"/>
      <c r="O298" s="242"/>
      <c r="P298" s="242"/>
      <c r="Q298" s="242"/>
    </row>
    <row r="299" spans="1:17" x14ac:dyDescent="0.25">
      <c r="A299" s="536"/>
      <c r="B299" s="231" t="s">
        <v>8</v>
      </c>
      <c r="C299" s="231" t="s">
        <v>14</v>
      </c>
      <c r="D299" s="231" t="s">
        <v>13</v>
      </c>
      <c r="E299" s="231" t="s">
        <v>8</v>
      </c>
      <c r="F299" s="231" t="s">
        <v>14</v>
      </c>
      <c r="G299" s="231" t="s">
        <v>10</v>
      </c>
      <c r="H299" s="231" t="s">
        <v>8</v>
      </c>
      <c r="I299" s="231" t="s">
        <v>13</v>
      </c>
      <c r="J299" s="231" t="s">
        <v>8</v>
      </c>
      <c r="K299" s="231" t="s">
        <v>13</v>
      </c>
      <c r="L299" s="242"/>
      <c r="M299" s="242"/>
      <c r="N299" s="242"/>
      <c r="O299" s="242"/>
      <c r="P299" s="242"/>
      <c r="Q299" s="242"/>
    </row>
    <row r="300" spans="1:17" x14ac:dyDescent="0.25">
      <c r="A300" s="232"/>
      <c r="B300" s="233"/>
      <c r="C300" s="233"/>
      <c r="D300" s="233"/>
      <c r="E300" s="233"/>
      <c r="F300" s="233"/>
      <c r="G300" s="233"/>
      <c r="H300" s="233"/>
      <c r="I300" s="233"/>
      <c r="J300" s="233"/>
      <c r="K300" s="233"/>
      <c r="L300" s="242"/>
      <c r="M300" s="242"/>
      <c r="N300" s="242"/>
      <c r="O300" s="242"/>
      <c r="P300" s="242"/>
      <c r="Q300" s="242"/>
    </row>
    <row r="301" spans="1:17" x14ac:dyDescent="0.25">
      <c r="A301" s="243" t="s">
        <v>55</v>
      </c>
      <c r="B301" s="397">
        <f>'Polimer Hanau'!B17</f>
        <v>0</v>
      </c>
      <c r="C301" s="397">
        <f>'Polimer Hanau'!C17</f>
        <v>0</v>
      </c>
      <c r="D301" s="397">
        <f>'Polimer Hanau'!D17</f>
        <v>0</v>
      </c>
      <c r="E301" s="397">
        <f>'Polimer Hanau'!E17</f>
        <v>0</v>
      </c>
      <c r="F301" s="397">
        <f>'Polimer Hanau'!F17</f>
        <v>0</v>
      </c>
      <c r="G301" s="397">
        <f>'Polimer Hanau'!G17</f>
        <v>0</v>
      </c>
      <c r="H301" s="397">
        <f>'Polimer Hanau'!H17</f>
        <v>0</v>
      </c>
      <c r="I301" s="397">
        <f>'Polimer Hanau'!I17</f>
        <v>0</v>
      </c>
      <c r="J301" s="397">
        <f>'Polimer Hanau'!J17</f>
        <v>0</v>
      </c>
      <c r="K301" s="397">
        <f>'Polimer Hanau'!K17</f>
        <v>0</v>
      </c>
      <c r="L301" s="242"/>
      <c r="M301" s="242"/>
      <c r="N301" s="242"/>
      <c r="O301" s="242"/>
      <c r="P301" s="242"/>
      <c r="Q301" s="242"/>
    </row>
    <row r="302" spans="1:17" x14ac:dyDescent="0.25">
      <c r="A302" s="247"/>
      <c r="B302" s="248"/>
      <c r="C302" s="248"/>
      <c r="D302" s="249"/>
      <c r="E302" s="250"/>
      <c r="F302" s="249"/>
      <c r="G302" s="249"/>
      <c r="H302" s="248"/>
      <c r="I302" s="251"/>
      <c r="J302" s="241"/>
      <c r="K302" s="251"/>
      <c r="L302" s="242"/>
      <c r="M302" s="242"/>
      <c r="N302" s="242"/>
      <c r="O302" s="242"/>
      <c r="P302" s="242"/>
      <c r="Q302" s="242"/>
    </row>
    <row r="305" spans="1:17" ht="21" x14ac:dyDescent="0.35">
      <c r="A305" s="520">
        <v>45962</v>
      </c>
      <c r="B305" s="520"/>
      <c r="C305" s="520"/>
      <c r="D305" s="297"/>
      <c r="E305" s="297"/>
      <c r="F305" s="297"/>
      <c r="G305" s="297"/>
      <c r="H305" s="297"/>
      <c r="I305" s="297"/>
      <c r="J305" s="297"/>
      <c r="K305" s="297"/>
      <c r="L305" s="297"/>
      <c r="M305" s="297"/>
      <c r="N305" s="297"/>
      <c r="O305" s="297"/>
      <c r="P305" s="297"/>
      <c r="Q305" s="297"/>
    </row>
    <row r="306" spans="1:17" x14ac:dyDescent="0.25">
      <c r="A306" s="529" t="s">
        <v>69</v>
      </c>
      <c r="B306" s="529"/>
      <c r="C306" s="529"/>
      <c r="D306" s="529"/>
      <c r="E306" s="529"/>
      <c r="F306" s="529"/>
      <c r="G306" s="529"/>
      <c r="H306" s="529"/>
      <c r="I306" s="529"/>
      <c r="J306" s="529"/>
      <c r="K306" s="529"/>
      <c r="L306" s="529"/>
      <c r="M306" s="529"/>
      <c r="N306" s="529"/>
      <c r="O306" s="529"/>
      <c r="P306" s="529"/>
      <c r="Q306" s="529"/>
    </row>
    <row r="307" spans="1:17" x14ac:dyDescent="0.25">
      <c r="A307" s="303"/>
      <c r="B307" s="303"/>
      <c r="C307" s="303"/>
      <c r="D307" s="303"/>
      <c r="E307" s="303"/>
      <c r="F307" s="304"/>
      <c r="G307" s="303"/>
      <c r="H307" s="303"/>
      <c r="I307" s="303"/>
      <c r="J307" s="303"/>
      <c r="K307" s="303"/>
      <c r="L307" s="303"/>
      <c r="M307" s="303"/>
      <c r="N307" s="303"/>
      <c r="O307" s="303"/>
      <c r="P307" s="303"/>
      <c r="Q307" s="303"/>
    </row>
    <row r="308" spans="1:17" x14ac:dyDescent="0.25">
      <c r="A308" s="530" t="s">
        <v>0</v>
      </c>
      <c r="B308" s="532" t="s">
        <v>7</v>
      </c>
      <c r="C308" s="532"/>
      <c r="D308" s="532"/>
      <c r="E308" s="532" t="s">
        <v>5</v>
      </c>
      <c r="F308" s="532"/>
      <c r="G308" s="532"/>
      <c r="H308" s="533" t="s">
        <v>25</v>
      </c>
      <c r="I308" s="534"/>
      <c r="J308" s="535"/>
      <c r="K308" s="533" t="s">
        <v>26</v>
      </c>
      <c r="L308" s="534"/>
      <c r="M308" s="535"/>
      <c r="N308" s="532" t="s">
        <v>4</v>
      </c>
      <c r="O308" s="532"/>
      <c r="P308" s="532" t="s">
        <v>6</v>
      </c>
      <c r="Q308" s="532"/>
    </row>
    <row r="309" spans="1:17" x14ac:dyDescent="0.25">
      <c r="A309" s="531"/>
      <c r="B309" s="305" t="s">
        <v>8</v>
      </c>
      <c r="C309" s="305" t="s">
        <v>9</v>
      </c>
      <c r="D309" s="305" t="s">
        <v>13</v>
      </c>
      <c r="E309" s="305" t="s">
        <v>8</v>
      </c>
      <c r="F309" s="306" t="s">
        <v>9</v>
      </c>
      <c r="G309" s="305" t="s">
        <v>10</v>
      </c>
      <c r="H309" s="307" t="s">
        <v>8</v>
      </c>
      <c r="I309" s="307" t="s">
        <v>9</v>
      </c>
      <c r="J309" s="307" t="s">
        <v>13</v>
      </c>
      <c r="K309" s="307" t="s">
        <v>8</v>
      </c>
      <c r="L309" s="307" t="s">
        <v>9</v>
      </c>
      <c r="M309" s="307" t="s">
        <v>13</v>
      </c>
      <c r="N309" s="305" t="s">
        <v>8</v>
      </c>
      <c r="O309" s="305" t="s">
        <v>13</v>
      </c>
      <c r="P309" s="305" t="s">
        <v>8</v>
      </c>
      <c r="Q309" s="305" t="s">
        <v>13</v>
      </c>
    </row>
    <row r="310" spans="1:17" x14ac:dyDescent="0.25">
      <c r="A310" s="308"/>
      <c r="B310" s="309"/>
      <c r="C310" s="309"/>
      <c r="D310" s="309"/>
      <c r="E310" s="309"/>
      <c r="F310" s="310"/>
      <c r="G310" s="309"/>
      <c r="H310" s="309"/>
      <c r="I310" s="309"/>
      <c r="J310" s="309"/>
      <c r="K310" s="309"/>
      <c r="L310" s="309"/>
      <c r="M310" s="309"/>
      <c r="N310" s="309"/>
      <c r="O310" s="309"/>
      <c r="P310" s="309"/>
      <c r="Q310" s="309"/>
    </row>
    <row r="311" spans="1:17" x14ac:dyDescent="0.25">
      <c r="A311" s="286" t="s">
        <v>64</v>
      </c>
      <c r="B311" s="311">
        <f>POLIMER!B18</f>
        <v>0</v>
      </c>
      <c r="C311" s="311">
        <f>POLIMER!C18</f>
        <v>0</v>
      </c>
      <c r="D311" s="311">
        <f>POLIMER!D18</f>
        <v>0</v>
      </c>
      <c r="E311" s="311">
        <f>POLIMER!E18</f>
        <v>0</v>
      </c>
      <c r="F311" s="311">
        <f>POLIMER!F18</f>
        <v>0</v>
      </c>
      <c r="G311" s="311">
        <f>POLIMER!G18</f>
        <v>0</v>
      </c>
      <c r="H311" s="311">
        <f>POLIMER!H18</f>
        <v>0</v>
      </c>
      <c r="I311" s="311">
        <f>POLIMER!I18</f>
        <v>0</v>
      </c>
      <c r="J311" s="311">
        <f>POLIMER!J18</f>
        <v>0</v>
      </c>
      <c r="K311" s="311">
        <f>POLIMER!K18</f>
        <v>0</v>
      </c>
      <c r="L311" s="311">
        <f>POLIMER!L18</f>
        <v>0</v>
      </c>
      <c r="M311" s="311">
        <f>POLIMER!M18</f>
        <v>0</v>
      </c>
      <c r="N311" s="311"/>
      <c r="O311" s="311">
        <f>POLIMER!O18</f>
        <v>0</v>
      </c>
      <c r="P311" s="311">
        <f>POLIMER!P18</f>
        <v>0</v>
      </c>
      <c r="Q311" s="311">
        <f>POLIMER!Q18</f>
        <v>0</v>
      </c>
    </row>
    <row r="312" spans="1:17" x14ac:dyDescent="0.25">
      <c r="A312" s="406"/>
      <c r="B312" s="311"/>
      <c r="C312" s="311"/>
      <c r="D312" s="311"/>
      <c r="E312" s="311"/>
      <c r="F312" s="311"/>
      <c r="G312" s="311"/>
      <c r="H312" s="311"/>
      <c r="I312" s="311"/>
      <c r="J312" s="311"/>
      <c r="K312" s="311"/>
      <c r="L312" s="311"/>
      <c r="M312" s="311"/>
      <c r="N312" s="311"/>
      <c r="O312" s="311"/>
      <c r="P312" s="311"/>
      <c r="Q312" s="311"/>
    </row>
    <row r="313" spans="1:17" x14ac:dyDescent="0.25">
      <c r="A313" s="406"/>
      <c r="B313" s="311"/>
      <c r="C313" s="311"/>
      <c r="D313" s="311"/>
      <c r="E313" s="311"/>
      <c r="F313" s="311"/>
      <c r="G313" s="311"/>
      <c r="H313" s="311"/>
      <c r="I313" s="311"/>
      <c r="J313" s="311"/>
      <c r="K313" s="311"/>
      <c r="L313" s="311"/>
      <c r="M313" s="311"/>
      <c r="N313" s="311"/>
      <c r="O313" s="311"/>
      <c r="P313" s="311"/>
      <c r="Q313" s="311"/>
    </row>
    <row r="314" spans="1:17" x14ac:dyDescent="0.25">
      <c r="A314" s="415"/>
      <c r="B314" s="388"/>
      <c r="C314" s="388"/>
      <c r="D314" s="388"/>
      <c r="E314" s="388"/>
      <c r="F314" s="388"/>
      <c r="G314" s="388"/>
      <c r="H314" s="388"/>
      <c r="I314" s="388"/>
      <c r="J314" s="388"/>
      <c r="K314" s="388"/>
      <c r="L314" s="388"/>
      <c r="M314" s="388"/>
      <c r="N314" s="388"/>
      <c r="O314" s="388"/>
      <c r="P314" s="388"/>
      <c r="Q314" s="388"/>
    </row>
    <row r="315" spans="1:17" x14ac:dyDescent="0.25">
      <c r="A315" s="413"/>
      <c r="B315" s="414"/>
      <c r="C315" s="414"/>
      <c r="D315" s="414"/>
      <c r="E315" s="414"/>
      <c r="F315" s="414"/>
      <c r="G315" s="414"/>
      <c r="H315" s="414"/>
      <c r="I315" s="414"/>
      <c r="J315" s="414"/>
      <c r="K315" s="414"/>
      <c r="L315" s="414"/>
      <c r="M315" s="414"/>
      <c r="N315" s="414"/>
      <c r="O315" s="414"/>
      <c r="P315" s="414"/>
      <c r="Q315" s="414"/>
    </row>
    <row r="316" spans="1:17" x14ac:dyDescent="0.25">
      <c r="A316" s="413"/>
      <c r="B316" s="414"/>
      <c r="C316" s="414"/>
      <c r="D316" s="414"/>
      <c r="E316" s="414"/>
      <c r="F316" s="414"/>
      <c r="G316" s="414"/>
      <c r="H316" s="414"/>
      <c r="I316" s="414"/>
      <c r="J316" s="414"/>
      <c r="K316" s="414"/>
      <c r="L316" s="414"/>
      <c r="M316" s="414"/>
      <c r="N316" s="414"/>
      <c r="O316" s="414"/>
      <c r="P316" s="414"/>
      <c r="Q316" s="414"/>
    </row>
    <row r="317" spans="1:17" x14ac:dyDescent="0.25">
      <c r="A317" s="242"/>
      <c r="B317" s="242"/>
      <c r="C317" s="242"/>
      <c r="D317" s="242"/>
      <c r="E317" s="242"/>
      <c r="F317" s="242"/>
      <c r="G317" s="242"/>
      <c r="H317" s="242"/>
      <c r="I317" s="242"/>
      <c r="J317" s="242"/>
      <c r="K317" s="242"/>
      <c r="L317" s="242"/>
      <c r="M317" s="242"/>
      <c r="N317" s="242"/>
      <c r="O317" s="242"/>
      <c r="P317" s="242"/>
      <c r="Q317" s="242"/>
    </row>
    <row r="318" spans="1:17" x14ac:dyDescent="0.25">
      <c r="A318" s="242"/>
      <c r="B318" s="242"/>
      <c r="C318" s="242"/>
      <c r="D318" s="242"/>
      <c r="E318" s="242"/>
      <c r="F318" s="242"/>
      <c r="G318" s="242"/>
      <c r="H318" s="242"/>
      <c r="I318" s="242"/>
      <c r="J318" s="242"/>
      <c r="K318" s="242"/>
      <c r="L318" s="242"/>
      <c r="M318" s="242"/>
      <c r="N318" s="242"/>
      <c r="O318" s="242"/>
      <c r="P318" s="242"/>
      <c r="Q318" s="242"/>
    </row>
    <row r="319" spans="1:17" x14ac:dyDescent="0.25">
      <c r="A319" s="242"/>
      <c r="B319" s="242"/>
      <c r="C319" s="242"/>
      <c r="D319" s="242"/>
      <c r="E319" s="242"/>
      <c r="F319" s="242"/>
      <c r="G319" s="242"/>
      <c r="H319" s="242"/>
      <c r="I319" s="242"/>
      <c r="J319" s="242"/>
      <c r="K319" s="242"/>
      <c r="L319" s="242"/>
      <c r="M319" s="242"/>
      <c r="N319" s="242"/>
      <c r="O319" s="242"/>
      <c r="P319" s="242"/>
      <c r="Q319" s="242"/>
    </row>
    <row r="320" spans="1:17" x14ac:dyDescent="0.25">
      <c r="A320" s="537" t="s">
        <v>70</v>
      </c>
      <c r="B320" s="537"/>
      <c r="C320" s="537"/>
      <c r="D320" s="537"/>
      <c r="E320" s="537"/>
      <c r="F320" s="537"/>
      <c r="G320" s="537"/>
      <c r="H320" s="537"/>
      <c r="I320" s="537"/>
      <c r="J320" s="537"/>
      <c r="K320" s="537"/>
      <c r="L320" s="242"/>
      <c r="M320" s="242"/>
      <c r="N320" s="242"/>
      <c r="O320" s="242"/>
      <c r="P320" s="242"/>
      <c r="Q320" s="242"/>
    </row>
    <row r="321" spans="1:17" x14ac:dyDescent="0.25">
      <c r="A321" s="536" t="s">
        <v>0</v>
      </c>
      <c r="B321" s="536" t="s">
        <v>7</v>
      </c>
      <c r="C321" s="536"/>
      <c r="D321" s="536"/>
      <c r="E321" s="536" t="s">
        <v>5</v>
      </c>
      <c r="F321" s="536"/>
      <c r="G321" s="536"/>
      <c r="H321" s="536" t="s">
        <v>4</v>
      </c>
      <c r="I321" s="536"/>
      <c r="J321" s="536" t="s">
        <v>6</v>
      </c>
      <c r="K321" s="536"/>
      <c r="L321" s="242"/>
      <c r="M321" s="242"/>
      <c r="N321" s="242"/>
      <c r="O321" s="242"/>
      <c r="P321" s="242"/>
      <c r="Q321" s="242"/>
    </row>
    <row r="322" spans="1:17" x14ac:dyDescent="0.25">
      <c r="A322" s="536"/>
      <c r="B322" s="231" t="s">
        <v>8</v>
      </c>
      <c r="C322" s="231" t="s">
        <v>14</v>
      </c>
      <c r="D322" s="231" t="s">
        <v>13</v>
      </c>
      <c r="E322" s="231" t="s">
        <v>8</v>
      </c>
      <c r="F322" s="231" t="s">
        <v>14</v>
      </c>
      <c r="G322" s="231" t="s">
        <v>10</v>
      </c>
      <c r="H322" s="231" t="s">
        <v>8</v>
      </c>
      <c r="I322" s="231" t="s">
        <v>13</v>
      </c>
      <c r="J322" s="231" t="s">
        <v>8</v>
      </c>
      <c r="K322" s="231" t="s">
        <v>13</v>
      </c>
      <c r="L322" s="242"/>
      <c r="M322" s="242"/>
      <c r="N322" s="242"/>
      <c r="O322" s="402"/>
      <c r="P322" s="242"/>
      <c r="Q322" s="242"/>
    </row>
    <row r="323" spans="1:17" x14ac:dyDescent="0.25">
      <c r="A323" s="232"/>
      <c r="B323" s="233"/>
      <c r="C323" s="233"/>
      <c r="D323" s="233"/>
      <c r="E323" s="233"/>
      <c r="F323" s="233"/>
      <c r="G323" s="233"/>
      <c r="H323" s="233"/>
      <c r="I323" s="233"/>
      <c r="J323" s="233"/>
      <c r="K323" s="233"/>
      <c r="L323" s="242"/>
      <c r="M323" s="242"/>
      <c r="N323" s="242"/>
      <c r="O323" s="402"/>
      <c r="P323" s="242"/>
      <c r="Q323" s="242"/>
    </row>
    <row r="324" spans="1:17" x14ac:dyDescent="0.25">
      <c r="A324" s="243" t="s">
        <v>64</v>
      </c>
      <c r="B324" s="244">
        <f>'POLIMER K.B'!B18</f>
        <v>0</v>
      </c>
      <c r="C324" s="244">
        <f>'POLIMER K.B'!C18</f>
        <v>0</v>
      </c>
      <c r="D324" s="244">
        <f>'POLIMER K.B'!D18</f>
        <v>0</v>
      </c>
      <c r="E324" s="244">
        <f>'POLIMER K.B'!E18</f>
        <v>0</v>
      </c>
      <c r="F324" s="244">
        <f>'POLIMER K.B'!F18</f>
        <v>0</v>
      </c>
      <c r="G324" s="244">
        <f>'POLIMER K.B'!G18</f>
        <v>0</v>
      </c>
      <c r="H324" s="244">
        <f>'POLIMER K.B'!H18</f>
        <v>0</v>
      </c>
      <c r="I324" s="244">
        <f>'POLIMER K.B'!I18</f>
        <v>0</v>
      </c>
      <c r="J324" s="244">
        <f>'POLIMER K.B'!J18</f>
        <v>0</v>
      </c>
      <c r="K324" s="244">
        <f>'POLIMER K.B'!K18</f>
        <v>0</v>
      </c>
      <c r="L324" s="242"/>
      <c r="M324" s="242"/>
      <c r="N324" s="242"/>
      <c r="O324" s="242"/>
      <c r="P324" s="242"/>
      <c r="Q324" s="242"/>
    </row>
    <row r="325" spans="1:17" x14ac:dyDescent="0.25">
      <c r="A325" s="243"/>
      <c r="B325" s="244"/>
      <c r="C325" s="244"/>
      <c r="D325" s="244"/>
      <c r="E325" s="244"/>
      <c r="F325" s="244"/>
      <c r="G325" s="244"/>
      <c r="H325" s="244"/>
      <c r="I325" s="244"/>
      <c r="J325" s="244"/>
      <c r="K325" s="244"/>
      <c r="L325" s="242"/>
      <c r="M325" s="242"/>
      <c r="N325" s="242"/>
      <c r="O325" s="242"/>
      <c r="P325" s="242"/>
      <c r="Q325" s="242"/>
    </row>
    <row r="326" spans="1:17" x14ac:dyDescent="0.25">
      <c r="A326" s="243"/>
      <c r="B326" s="244"/>
      <c r="C326" s="244"/>
      <c r="D326" s="244"/>
      <c r="E326" s="244"/>
      <c r="F326" s="244"/>
      <c r="G326" s="244"/>
      <c r="H326" s="244"/>
      <c r="I326" s="244"/>
      <c r="J326" s="244"/>
      <c r="K326" s="244"/>
      <c r="L326" s="242"/>
      <c r="M326" s="242"/>
      <c r="N326" s="242"/>
      <c r="O326" s="242"/>
      <c r="P326" s="242"/>
      <c r="Q326" s="242"/>
    </row>
    <row r="327" spans="1:17" x14ac:dyDescent="0.25">
      <c r="A327" s="247"/>
      <c r="B327" s="346">
        <f>'POLIMER K.B'!B172</f>
        <v>0</v>
      </c>
      <c r="C327" s="346">
        <f>'POLIMER K.B'!C172</f>
        <v>0</v>
      </c>
      <c r="D327" s="346">
        <f>'POLIMER K.B'!D172</f>
        <v>0</v>
      </c>
      <c r="E327" s="346">
        <f>'POLIMER K.B'!E172</f>
        <v>0</v>
      </c>
      <c r="F327" s="346">
        <f>'POLIMER K.B'!F172</f>
        <v>0</v>
      </c>
      <c r="G327" s="346">
        <f>'POLIMER K.B'!G172</f>
        <v>0</v>
      </c>
      <c r="H327" s="346">
        <f>'POLIMER K.B'!H172</f>
        <v>0</v>
      </c>
      <c r="I327" s="346">
        <f>'POLIMER K.B'!I172</f>
        <v>0</v>
      </c>
      <c r="J327" s="346">
        <f>'POLIMER K.B'!J172</f>
        <v>0</v>
      </c>
      <c r="K327" s="346">
        <f>'POLIMER K.B'!K172</f>
        <v>0</v>
      </c>
      <c r="L327" s="242"/>
      <c r="M327" s="242"/>
      <c r="N327" s="242"/>
      <c r="O327" s="242"/>
      <c r="P327" s="242"/>
      <c r="Q327" s="242"/>
    </row>
    <row r="328" spans="1:17" x14ac:dyDescent="0.25">
      <c r="A328" s="242"/>
      <c r="B328" s="242"/>
      <c r="C328" s="242"/>
      <c r="D328" s="242"/>
      <c r="E328" s="242"/>
      <c r="F328" s="242"/>
      <c r="G328" s="242"/>
      <c r="H328" s="242"/>
      <c r="I328" s="242"/>
      <c r="J328" s="242"/>
      <c r="K328" s="242"/>
      <c r="L328" s="242"/>
      <c r="M328" s="242"/>
      <c r="N328" s="242"/>
      <c r="O328" s="242"/>
      <c r="P328" s="242"/>
      <c r="Q328" s="242"/>
    </row>
    <row r="329" spans="1:17" x14ac:dyDescent="0.25">
      <c r="A329" s="242"/>
      <c r="B329" s="242"/>
      <c r="C329" s="242"/>
      <c r="D329" s="242"/>
      <c r="E329" s="242"/>
      <c r="F329" s="242"/>
      <c r="G329" s="242"/>
      <c r="H329" s="242"/>
      <c r="I329" s="242"/>
      <c r="J329" s="242"/>
      <c r="K329" s="242"/>
      <c r="L329" s="242"/>
      <c r="M329" s="242"/>
      <c r="N329" s="242"/>
      <c r="O329" s="242"/>
      <c r="P329" s="242"/>
      <c r="Q329" s="242"/>
    </row>
    <row r="330" spans="1:17" x14ac:dyDescent="0.25">
      <c r="A330" s="242"/>
      <c r="B330" s="242"/>
      <c r="C330" s="242"/>
      <c r="D330" s="242"/>
      <c r="E330" s="242"/>
      <c r="F330" s="242"/>
      <c r="G330" s="242"/>
      <c r="H330" s="242"/>
      <c r="I330" s="242"/>
      <c r="J330" s="242"/>
      <c r="K330" s="242"/>
      <c r="L330" s="242"/>
      <c r="M330" s="242"/>
      <c r="N330" s="242"/>
      <c r="O330" s="242"/>
      <c r="P330" s="242"/>
      <c r="Q330" s="242"/>
    </row>
    <row r="331" spans="1:17" x14ac:dyDescent="0.25">
      <c r="A331" s="537" t="s">
        <v>71</v>
      </c>
      <c r="B331" s="537"/>
      <c r="C331" s="537"/>
      <c r="D331" s="537"/>
      <c r="E331" s="537"/>
      <c r="F331" s="537"/>
      <c r="G331" s="537"/>
      <c r="H331" s="537"/>
      <c r="I331" s="537"/>
      <c r="J331" s="537"/>
      <c r="K331" s="537"/>
      <c r="L331" s="242"/>
      <c r="M331" s="242"/>
      <c r="N331" s="242"/>
      <c r="O331" s="242"/>
      <c r="P331" s="242"/>
      <c r="Q331" s="242"/>
    </row>
    <row r="332" spans="1:17" x14ac:dyDescent="0.25">
      <c r="A332" s="536" t="s">
        <v>0</v>
      </c>
      <c r="B332" s="536" t="s">
        <v>7</v>
      </c>
      <c r="C332" s="536"/>
      <c r="D332" s="536"/>
      <c r="E332" s="536" t="s">
        <v>5</v>
      </c>
      <c r="F332" s="536"/>
      <c r="G332" s="536"/>
      <c r="H332" s="536" t="s">
        <v>4</v>
      </c>
      <c r="I332" s="536"/>
      <c r="J332" s="536" t="s">
        <v>6</v>
      </c>
      <c r="K332" s="536"/>
      <c r="L332" s="242"/>
      <c r="M332" s="242"/>
      <c r="N332" s="242"/>
      <c r="O332" s="242"/>
      <c r="P332" s="242"/>
      <c r="Q332" s="242"/>
    </row>
    <row r="333" spans="1:17" x14ac:dyDescent="0.25">
      <c r="A333" s="536"/>
      <c r="B333" s="231" t="s">
        <v>8</v>
      </c>
      <c r="C333" s="231" t="s">
        <v>14</v>
      </c>
      <c r="D333" s="231" t="s">
        <v>13</v>
      </c>
      <c r="E333" s="231" t="s">
        <v>8</v>
      </c>
      <c r="F333" s="231" t="s">
        <v>14</v>
      </c>
      <c r="G333" s="231" t="s">
        <v>10</v>
      </c>
      <c r="H333" s="231" t="s">
        <v>8</v>
      </c>
      <c r="I333" s="231" t="s">
        <v>13</v>
      </c>
      <c r="J333" s="231" t="s">
        <v>8</v>
      </c>
      <c r="K333" s="231" t="s">
        <v>13</v>
      </c>
      <c r="L333" s="242"/>
      <c r="M333" s="242"/>
      <c r="N333" s="242"/>
      <c r="O333" s="242"/>
      <c r="P333" s="242"/>
      <c r="Q333" s="242"/>
    </row>
    <row r="334" spans="1:17" x14ac:dyDescent="0.25">
      <c r="A334" s="232"/>
      <c r="B334" s="233"/>
      <c r="C334" s="233"/>
      <c r="D334" s="233"/>
      <c r="E334" s="233"/>
      <c r="F334" s="233"/>
      <c r="G334" s="233"/>
      <c r="H334" s="233"/>
      <c r="I334" s="233"/>
      <c r="J334" s="233"/>
      <c r="K334" s="233"/>
      <c r="L334" s="242"/>
      <c r="M334" s="242"/>
      <c r="N334" s="242"/>
      <c r="O334" s="242"/>
      <c r="P334" s="242"/>
      <c r="Q334" s="242"/>
    </row>
    <row r="335" spans="1:17" x14ac:dyDescent="0.25">
      <c r="A335" s="243" t="s">
        <v>56</v>
      </c>
      <c r="B335" s="397">
        <f>'Polimer Hanau'!B18</f>
        <v>0</v>
      </c>
      <c r="C335" s="397">
        <f>'Polimer Hanau'!C18</f>
        <v>0</v>
      </c>
      <c r="D335" s="397">
        <f>'Polimer Hanau'!D18</f>
        <v>0</v>
      </c>
      <c r="E335" s="397">
        <f>'Polimer Hanau'!E18</f>
        <v>0</v>
      </c>
      <c r="F335" s="397">
        <f>'Polimer Hanau'!F18</f>
        <v>0</v>
      </c>
      <c r="G335" s="397">
        <f>'Polimer Hanau'!G18</f>
        <v>0</v>
      </c>
      <c r="H335" s="397">
        <f>'Polimer Hanau'!H18</f>
        <v>0</v>
      </c>
      <c r="I335" s="397">
        <f>'Polimer Hanau'!I18</f>
        <v>0</v>
      </c>
      <c r="J335" s="397">
        <f>'Polimer Hanau'!J18</f>
        <v>0</v>
      </c>
      <c r="K335" s="397">
        <f>'Polimer Hanau'!K18</f>
        <v>0</v>
      </c>
      <c r="L335" s="242"/>
      <c r="M335" s="242"/>
      <c r="N335" s="242"/>
      <c r="O335" s="242"/>
      <c r="P335" s="242"/>
      <c r="Q335" s="242"/>
    </row>
    <row r="336" spans="1:17" x14ac:dyDescent="0.25">
      <c r="A336" s="247"/>
      <c r="B336" s="248"/>
      <c r="C336" s="248"/>
      <c r="D336" s="249"/>
      <c r="E336" s="250"/>
      <c r="F336" s="249"/>
      <c r="G336" s="249"/>
      <c r="H336" s="248"/>
      <c r="I336" s="251"/>
      <c r="J336" s="241"/>
      <c r="K336" s="251"/>
      <c r="L336" s="242"/>
      <c r="M336" s="242"/>
      <c r="N336" s="242"/>
      <c r="O336" s="242"/>
      <c r="P336" s="242"/>
      <c r="Q336" s="242"/>
    </row>
    <row r="339" spans="1:17" ht="21" x14ac:dyDescent="0.35">
      <c r="A339" s="520">
        <v>45992</v>
      </c>
      <c r="B339" s="520"/>
      <c r="C339" s="520"/>
      <c r="D339" s="297"/>
      <c r="E339" s="297"/>
      <c r="F339" s="297"/>
      <c r="G339" s="297"/>
      <c r="H339" s="297"/>
      <c r="I339" s="297"/>
      <c r="J339" s="297"/>
      <c r="K339" s="297"/>
      <c r="L339" s="297"/>
      <c r="M339" s="297"/>
      <c r="N339" s="297"/>
      <c r="O339" s="297"/>
      <c r="P339" s="297"/>
      <c r="Q339" s="297"/>
    </row>
    <row r="340" spans="1:17" x14ac:dyDescent="0.25">
      <c r="A340" s="529" t="s">
        <v>69</v>
      </c>
      <c r="B340" s="529"/>
      <c r="C340" s="529"/>
      <c r="D340" s="529"/>
      <c r="E340" s="529"/>
      <c r="F340" s="529"/>
      <c r="G340" s="529"/>
      <c r="H340" s="529"/>
      <c r="I340" s="529"/>
      <c r="J340" s="529"/>
      <c r="K340" s="529"/>
      <c r="L340" s="529"/>
      <c r="M340" s="529"/>
      <c r="N340" s="529"/>
      <c r="O340" s="529"/>
      <c r="P340" s="529"/>
      <c r="Q340" s="529"/>
    </row>
    <row r="341" spans="1:17" x14ac:dyDescent="0.25">
      <c r="A341" s="303"/>
      <c r="B341" s="303"/>
      <c r="C341" s="303"/>
      <c r="D341" s="303"/>
      <c r="E341" s="303"/>
      <c r="F341" s="304"/>
      <c r="G341" s="303"/>
      <c r="H341" s="303"/>
      <c r="I341" s="303"/>
      <c r="J341" s="303"/>
      <c r="K341" s="303"/>
      <c r="L341" s="303"/>
      <c r="M341" s="303"/>
      <c r="N341" s="303"/>
      <c r="O341" s="303"/>
      <c r="P341" s="303"/>
      <c r="Q341" s="303"/>
    </row>
    <row r="342" spans="1:17" x14ac:dyDescent="0.25">
      <c r="A342" s="530" t="s">
        <v>0</v>
      </c>
      <c r="B342" s="532" t="s">
        <v>7</v>
      </c>
      <c r="C342" s="532"/>
      <c r="D342" s="532"/>
      <c r="E342" s="532" t="s">
        <v>5</v>
      </c>
      <c r="F342" s="532"/>
      <c r="G342" s="532"/>
      <c r="H342" s="533" t="s">
        <v>25</v>
      </c>
      <c r="I342" s="534"/>
      <c r="J342" s="535"/>
      <c r="K342" s="533" t="s">
        <v>26</v>
      </c>
      <c r="L342" s="534"/>
      <c r="M342" s="535"/>
      <c r="N342" s="532" t="s">
        <v>4</v>
      </c>
      <c r="O342" s="532"/>
      <c r="P342" s="532" t="s">
        <v>6</v>
      </c>
      <c r="Q342" s="532"/>
    </row>
    <row r="343" spans="1:17" x14ac:dyDescent="0.25">
      <c r="A343" s="531"/>
      <c r="B343" s="305" t="s">
        <v>8</v>
      </c>
      <c r="C343" s="305" t="s">
        <v>9</v>
      </c>
      <c r="D343" s="305" t="s">
        <v>13</v>
      </c>
      <c r="E343" s="305" t="s">
        <v>8</v>
      </c>
      <c r="F343" s="306" t="s">
        <v>9</v>
      </c>
      <c r="G343" s="305" t="s">
        <v>10</v>
      </c>
      <c r="H343" s="307" t="s">
        <v>8</v>
      </c>
      <c r="I343" s="307" t="s">
        <v>9</v>
      </c>
      <c r="J343" s="307" t="s">
        <v>13</v>
      </c>
      <c r="K343" s="307" t="s">
        <v>8</v>
      </c>
      <c r="L343" s="307" t="s">
        <v>9</v>
      </c>
      <c r="M343" s="307" t="s">
        <v>13</v>
      </c>
      <c r="N343" s="305" t="s">
        <v>8</v>
      </c>
      <c r="O343" s="305" t="s">
        <v>13</v>
      </c>
      <c r="P343" s="305" t="s">
        <v>8</v>
      </c>
      <c r="Q343" s="305" t="s">
        <v>13</v>
      </c>
    </row>
    <row r="344" spans="1:17" x14ac:dyDescent="0.25">
      <c r="A344" s="308"/>
      <c r="B344" s="309"/>
      <c r="C344" s="309"/>
      <c r="D344" s="309"/>
      <c r="E344" s="309"/>
      <c r="F344" s="310"/>
      <c r="G344" s="309"/>
      <c r="H344" s="309"/>
      <c r="I344" s="309"/>
      <c r="J344" s="309"/>
      <c r="K344" s="309"/>
      <c r="L344" s="309"/>
      <c r="M344" s="309"/>
      <c r="N344" s="309"/>
      <c r="O344" s="309"/>
      <c r="P344" s="309"/>
      <c r="Q344" s="309"/>
    </row>
    <row r="345" spans="1:17" x14ac:dyDescent="0.25">
      <c r="A345" s="286" t="s">
        <v>57</v>
      </c>
      <c r="B345" s="311">
        <f>POLIMER!B19</f>
        <v>0</v>
      </c>
      <c r="C345" s="311">
        <f>POLIMER!C19</f>
        <v>0</v>
      </c>
      <c r="D345" s="311">
        <f>POLIMER!D19</f>
        <v>0</v>
      </c>
      <c r="E345" s="311">
        <f>POLIMER!E19</f>
        <v>0</v>
      </c>
      <c r="F345" s="311">
        <f>POLIMER!F19</f>
        <v>0</v>
      </c>
      <c r="G345" s="311">
        <f>POLIMER!G19</f>
        <v>0</v>
      </c>
      <c r="H345" s="311">
        <f>POLIMER!H19</f>
        <v>0</v>
      </c>
      <c r="I345" s="311">
        <f>POLIMER!I19</f>
        <v>0</v>
      </c>
      <c r="J345" s="311">
        <f>POLIMER!J19</f>
        <v>0</v>
      </c>
      <c r="K345" s="311">
        <f>POLIMER!K19</f>
        <v>0</v>
      </c>
      <c r="L345" s="311">
        <f>POLIMER!L19</f>
        <v>0</v>
      </c>
      <c r="M345" s="311">
        <f>POLIMER!M19</f>
        <v>0</v>
      </c>
      <c r="N345" s="311">
        <f>POLIMER!N19</f>
        <v>0</v>
      </c>
      <c r="O345" s="311">
        <f>POLIMER!O19</f>
        <v>0</v>
      </c>
      <c r="P345" s="311">
        <f>POLIMER!P19</f>
        <v>0</v>
      </c>
      <c r="Q345" s="311">
        <f>POLIMER!Q19</f>
        <v>0</v>
      </c>
    </row>
    <row r="346" spans="1:17" x14ac:dyDescent="0.25">
      <c r="A346" s="406"/>
      <c r="B346" s="311"/>
      <c r="C346" s="311"/>
      <c r="D346" s="311"/>
      <c r="E346" s="311"/>
      <c r="F346" s="311"/>
      <c r="G346" s="311"/>
      <c r="H346" s="311"/>
      <c r="I346" s="311"/>
      <c r="J346" s="311"/>
      <c r="K346" s="311"/>
      <c r="L346" s="311"/>
      <c r="M346" s="311"/>
      <c r="N346" s="311"/>
      <c r="O346" s="311"/>
      <c r="P346" s="311"/>
      <c r="Q346" s="311"/>
    </row>
    <row r="347" spans="1:17" x14ac:dyDescent="0.25">
      <c r="A347" s="415"/>
      <c r="B347" s="388"/>
      <c r="C347" s="388"/>
      <c r="D347" s="388"/>
      <c r="E347" s="388"/>
      <c r="F347" s="388"/>
      <c r="G347" s="388"/>
      <c r="H347" s="388"/>
      <c r="I347" s="388"/>
      <c r="J347" s="388"/>
      <c r="K347" s="388"/>
      <c r="L347" s="388"/>
      <c r="M347" s="388"/>
      <c r="N347" s="388"/>
      <c r="O347" s="388"/>
      <c r="P347" s="388"/>
      <c r="Q347" s="388"/>
    </row>
    <row r="348" spans="1:17" x14ac:dyDescent="0.25">
      <c r="A348" s="413"/>
      <c r="B348" s="414"/>
      <c r="C348" s="414"/>
      <c r="D348" s="414"/>
      <c r="E348" s="414"/>
      <c r="F348" s="414"/>
      <c r="G348" s="414"/>
      <c r="H348" s="414"/>
      <c r="I348" s="414"/>
      <c r="J348" s="414"/>
      <c r="K348" s="414"/>
      <c r="L348" s="414"/>
      <c r="M348" s="414"/>
      <c r="N348" s="414"/>
      <c r="O348" s="414"/>
      <c r="P348" s="414"/>
      <c r="Q348" s="414"/>
    </row>
    <row r="349" spans="1:17" x14ac:dyDescent="0.25">
      <c r="A349" s="413"/>
      <c r="B349" s="414"/>
      <c r="C349" s="414"/>
      <c r="D349" s="414"/>
      <c r="E349" s="414"/>
      <c r="F349" s="414"/>
      <c r="G349" s="414"/>
      <c r="H349" s="414"/>
      <c r="I349" s="414"/>
      <c r="J349" s="414"/>
      <c r="K349" s="414"/>
      <c r="L349" s="414"/>
      <c r="M349" s="414"/>
      <c r="N349" s="414"/>
      <c r="O349" s="414"/>
      <c r="P349" s="414"/>
      <c r="Q349" s="414"/>
    </row>
    <row r="350" spans="1:17" x14ac:dyDescent="0.25">
      <c r="A350" s="242"/>
      <c r="B350" s="242"/>
      <c r="C350" s="242"/>
      <c r="D350" s="242"/>
      <c r="E350" s="242"/>
      <c r="F350" s="242"/>
      <c r="G350" s="242"/>
      <c r="H350" s="242"/>
      <c r="I350" s="242"/>
      <c r="J350" s="242"/>
      <c r="K350" s="242"/>
      <c r="L350" s="242"/>
      <c r="M350" s="242"/>
      <c r="N350" s="242"/>
      <c r="O350" s="242"/>
      <c r="P350" s="242"/>
      <c r="Q350" s="242"/>
    </row>
    <row r="351" spans="1:17" x14ac:dyDescent="0.25">
      <c r="A351" s="242"/>
      <c r="B351" s="242"/>
      <c r="C351" s="242"/>
      <c r="D351" s="242"/>
      <c r="E351" s="242"/>
      <c r="F351" s="242"/>
      <c r="G351" s="242"/>
      <c r="H351" s="242"/>
      <c r="I351" s="242"/>
      <c r="J351" s="242"/>
      <c r="K351" s="242"/>
      <c r="L351" s="242"/>
      <c r="M351" s="242"/>
      <c r="N351" s="242"/>
      <c r="O351" s="242"/>
      <c r="P351" s="242"/>
      <c r="Q351" s="242"/>
    </row>
    <row r="352" spans="1:17" x14ac:dyDescent="0.25">
      <c r="A352" s="242"/>
      <c r="B352" s="242"/>
      <c r="C352" s="242"/>
      <c r="D352" s="242"/>
      <c r="E352" s="242"/>
      <c r="F352" s="242"/>
      <c r="G352" s="242"/>
      <c r="H352" s="242"/>
      <c r="I352" s="242"/>
      <c r="J352" s="242"/>
      <c r="K352" s="242"/>
      <c r="L352" s="242"/>
      <c r="M352" s="242"/>
      <c r="N352" s="242"/>
      <c r="O352" s="242"/>
      <c r="P352" s="242"/>
      <c r="Q352" s="242"/>
    </row>
    <row r="353" spans="1:17" x14ac:dyDescent="0.25">
      <c r="A353" s="537" t="s">
        <v>70</v>
      </c>
      <c r="B353" s="537"/>
      <c r="C353" s="537"/>
      <c r="D353" s="537"/>
      <c r="E353" s="537"/>
      <c r="F353" s="537"/>
      <c r="G353" s="537"/>
      <c r="H353" s="537"/>
      <c r="I353" s="537"/>
      <c r="J353" s="537"/>
      <c r="K353" s="537"/>
      <c r="L353" s="242"/>
      <c r="M353" s="242"/>
      <c r="N353" s="242"/>
      <c r="O353" s="242"/>
      <c r="P353" s="242"/>
      <c r="Q353" s="242"/>
    </row>
    <row r="354" spans="1:17" x14ac:dyDescent="0.25">
      <c r="A354" s="536" t="s">
        <v>0</v>
      </c>
      <c r="B354" s="536" t="s">
        <v>7</v>
      </c>
      <c r="C354" s="536"/>
      <c r="D354" s="536"/>
      <c r="E354" s="536" t="s">
        <v>5</v>
      </c>
      <c r="F354" s="536"/>
      <c r="G354" s="536"/>
      <c r="H354" s="536" t="s">
        <v>4</v>
      </c>
      <c r="I354" s="536"/>
      <c r="J354" s="536" t="s">
        <v>6</v>
      </c>
      <c r="K354" s="536"/>
      <c r="L354" s="242"/>
      <c r="M354" s="242"/>
      <c r="N354" s="242"/>
      <c r="O354" s="242"/>
      <c r="P354" s="242"/>
      <c r="Q354" s="242"/>
    </row>
    <row r="355" spans="1:17" x14ac:dyDescent="0.25">
      <c r="A355" s="536"/>
      <c r="B355" s="231" t="s">
        <v>8</v>
      </c>
      <c r="C355" s="231" t="s">
        <v>14</v>
      </c>
      <c r="D355" s="231" t="s">
        <v>13</v>
      </c>
      <c r="E355" s="231" t="s">
        <v>8</v>
      </c>
      <c r="F355" s="231" t="s">
        <v>14</v>
      </c>
      <c r="G355" s="231" t="s">
        <v>10</v>
      </c>
      <c r="H355" s="231" t="s">
        <v>8</v>
      </c>
      <c r="I355" s="231" t="s">
        <v>13</v>
      </c>
      <c r="J355" s="231" t="s">
        <v>8</v>
      </c>
      <c r="K355" s="231" t="s">
        <v>13</v>
      </c>
      <c r="L355" s="242"/>
      <c r="M355" s="242"/>
      <c r="N355" s="242"/>
      <c r="O355" s="402"/>
      <c r="P355" s="242"/>
      <c r="Q355" s="242"/>
    </row>
    <row r="356" spans="1:17" x14ac:dyDescent="0.25">
      <c r="A356" s="232"/>
      <c r="B356" s="233"/>
      <c r="C356" s="233"/>
      <c r="D356" s="233"/>
      <c r="E356" s="233"/>
      <c r="F356" s="233"/>
      <c r="G356" s="233"/>
      <c r="H356" s="233"/>
      <c r="I356" s="233"/>
      <c r="J356" s="233"/>
      <c r="K356" s="233"/>
      <c r="L356" s="242"/>
      <c r="M356" s="242"/>
      <c r="N356" s="242"/>
      <c r="O356" s="402"/>
      <c r="P356" s="242"/>
      <c r="Q356" s="242"/>
    </row>
    <row r="357" spans="1:17" x14ac:dyDescent="0.25">
      <c r="A357" s="243" t="s">
        <v>57</v>
      </c>
      <c r="B357" s="244">
        <f>'POLIMER K.B'!B19</f>
        <v>0</v>
      </c>
      <c r="C357" s="244">
        <f>'POLIMER K.B'!C19</f>
        <v>0</v>
      </c>
      <c r="D357" s="244">
        <f>'POLIMER K.B'!D19</f>
        <v>0</v>
      </c>
      <c r="E357" s="244">
        <f>'POLIMER K.B'!E19</f>
        <v>0</v>
      </c>
      <c r="F357" s="244">
        <f>'POLIMER K.B'!F19</f>
        <v>0</v>
      </c>
      <c r="G357" s="244">
        <f>'POLIMER K.B'!G19</f>
        <v>0</v>
      </c>
      <c r="H357" s="244">
        <f>'POLIMER K.B'!H19</f>
        <v>0</v>
      </c>
      <c r="I357" s="244">
        <f>'POLIMER K.B'!I19</f>
        <v>0</v>
      </c>
      <c r="J357" s="244">
        <f>'POLIMER K.B'!J19</f>
        <v>0</v>
      </c>
      <c r="K357" s="244">
        <f>'POLIMER K.B'!K19</f>
        <v>0</v>
      </c>
      <c r="L357" s="242"/>
      <c r="M357" s="242"/>
      <c r="N357" s="242"/>
      <c r="O357" s="242"/>
      <c r="P357" s="242"/>
      <c r="Q357" s="242"/>
    </row>
    <row r="358" spans="1:17" x14ac:dyDescent="0.25">
      <c r="A358" s="247"/>
      <c r="B358" s="346" t="e">
        <f>'POLIMER K.B'!#REF!</f>
        <v>#REF!</v>
      </c>
      <c r="C358" s="346" t="e">
        <f>'POLIMER K.B'!#REF!</f>
        <v>#REF!</v>
      </c>
      <c r="D358" s="346" t="e">
        <f>'POLIMER K.B'!#REF!</f>
        <v>#REF!</v>
      </c>
      <c r="E358" s="346" t="e">
        <f>'POLIMER K.B'!#REF!</f>
        <v>#REF!</v>
      </c>
      <c r="F358" s="346" t="e">
        <f>'POLIMER K.B'!#REF!</f>
        <v>#REF!</v>
      </c>
      <c r="G358" s="346" t="e">
        <f>'POLIMER K.B'!#REF!</f>
        <v>#REF!</v>
      </c>
      <c r="H358" s="346" t="e">
        <f>'POLIMER K.B'!#REF!</f>
        <v>#REF!</v>
      </c>
      <c r="I358" s="346" t="e">
        <f>'POLIMER K.B'!#REF!</f>
        <v>#REF!</v>
      </c>
      <c r="J358" s="346" t="e">
        <f>'POLIMER K.B'!#REF!</f>
        <v>#REF!</v>
      </c>
      <c r="K358" s="346" t="e">
        <f>'POLIMER K.B'!#REF!</f>
        <v>#REF!</v>
      </c>
      <c r="L358" s="242"/>
      <c r="M358" s="242"/>
      <c r="N358" s="242"/>
      <c r="O358" s="242"/>
      <c r="P358" s="242"/>
      <c r="Q358" s="242"/>
    </row>
    <row r="359" spans="1:17" x14ac:dyDescent="0.25">
      <c r="A359" s="242"/>
      <c r="B359" s="242"/>
      <c r="C359" s="242"/>
      <c r="D359" s="242"/>
      <c r="E359" s="242"/>
      <c r="F359" s="242"/>
      <c r="G359" s="242"/>
      <c r="H359" s="242"/>
      <c r="I359" s="242"/>
      <c r="J359" s="242"/>
      <c r="K359" s="242"/>
      <c r="L359" s="242"/>
      <c r="M359" s="242"/>
      <c r="N359" s="242"/>
      <c r="O359" s="242"/>
      <c r="P359" s="242"/>
      <c r="Q359" s="242"/>
    </row>
    <row r="360" spans="1:17" x14ac:dyDescent="0.25">
      <c r="A360" s="242"/>
      <c r="B360" s="242"/>
      <c r="C360" s="242"/>
      <c r="D360" s="242"/>
      <c r="E360" s="242"/>
      <c r="F360" s="242"/>
      <c r="G360" s="242"/>
      <c r="H360" s="242"/>
      <c r="I360" s="242"/>
      <c r="J360" s="242"/>
      <c r="K360" s="242"/>
      <c r="L360" s="242"/>
      <c r="M360" s="242"/>
      <c r="N360" s="242"/>
      <c r="O360" s="242"/>
      <c r="P360" s="242"/>
      <c r="Q360" s="242"/>
    </row>
    <row r="361" spans="1:17" x14ac:dyDescent="0.25">
      <c r="A361" s="242"/>
      <c r="B361" s="242"/>
      <c r="C361" s="242"/>
      <c r="D361" s="242"/>
      <c r="E361" s="242"/>
      <c r="F361" s="242"/>
      <c r="G361" s="242"/>
      <c r="H361" s="242"/>
      <c r="I361" s="242"/>
      <c r="J361" s="242"/>
      <c r="K361" s="242"/>
      <c r="L361" s="242"/>
      <c r="M361" s="242"/>
      <c r="N361" s="242"/>
      <c r="O361" s="242"/>
      <c r="P361" s="242"/>
      <c r="Q361" s="242"/>
    </row>
    <row r="362" spans="1:17" x14ac:dyDescent="0.25">
      <c r="A362" s="537" t="s">
        <v>71</v>
      </c>
      <c r="B362" s="537"/>
      <c r="C362" s="537"/>
      <c r="D362" s="537"/>
      <c r="E362" s="537"/>
      <c r="F362" s="537"/>
      <c r="G362" s="537"/>
      <c r="H362" s="537"/>
      <c r="I362" s="537"/>
      <c r="J362" s="537"/>
      <c r="K362" s="537"/>
      <c r="L362" s="242"/>
      <c r="M362" s="242"/>
      <c r="N362" s="242"/>
      <c r="O362" s="242"/>
      <c r="P362" s="242"/>
      <c r="Q362" s="242"/>
    </row>
    <row r="363" spans="1:17" x14ac:dyDescent="0.25">
      <c r="A363" s="536" t="s">
        <v>0</v>
      </c>
      <c r="B363" s="536" t="s">
        <v>7</v>
      </c>
      <c r="C363" s="536"/>
      <c r="D363" s="536"/>
      <c r="E363" s="536" t="s">
        <v>5</v>
      </c>
      <c r="F363" s="536"/>
      <c r="G363" s="536"/>
      <c r="H363" s="536" t="s">
        <v>4</v>
      </c>
      <c r="I363" s="536"/>
      <c r="J363" s="536" t="s">
        <v>6</v>
      </c>
      <c r="K363" s="536"/>
      <c r="L363" s="242"/>
      <c r="M363" s="242"/>
      <c r="N363" s="242"/>
      <c r="O363" s="242"/>
      <c r="P363" s="242"/>
      <c r="Q363" s="242"/>
    </row>
    <row r="364" spans="1:17" x14ac:dyDescent="0.25">
      <c r="A364" s="536"/>
      <c r="B364" s="231" t="s">
        <v>8</v>
      </c>
      <c r="C364" s="231" t="s">
        <v>14</v>
      </c>
      <c r="D364" s="231" t="s">
        <v>13</v>
      </c>
      <c r="E364" s="231" t="s">
        <v>8</v>
      </c>
      <c r="F364" s="231" t="s">
        <v>14</v>
      </c>
      <c r="G364" s="231" t="s">
        <v>10</v>
      </c>
      <c r="H364" s="231" t="s">
        <v>8</v>
      </c>
      <c r="I364" s="231" t="s">
        <v>13</v>
      </c>
      <c r="J364" s="231" t="s">
        <v>8</v>
      </c>
      <c r="K364" s="231" t="s">
        <v>13</v>
      </c>
      <c r="L364" s="242"/>
      <c r="M364" s="242"/>
      <c r="N364" s="242"/>
      <c r="O364" s="242"/>
      <c r="P364" s="242"/>
      <c r="Q364" s="242"/>
    </row>
    <row r="365" spans="1:17" x14ac:dyDescent="0.25">
      <c r="A365" s="232"/>
      <c r="B365" s="233"/>
      <c r="C365" s="233"/>
      <c r="D365" s="233"/>
      <c r="E365" s="233"/>
      <c r="F365" s="233"/>
      <c r="G365" s="233"/>
      <c r="H365" s="233"/>
      <c r="I365" s="233"/>
      <c r="J365" s="233"/>
      <c r="K365" s="233"/>
      <c r="L365" s="242"/>
      <c r="M365" s="242"/>
      <c r="N365" s="242"/>
      <c r="O365" s="242"/>
      <c r="P365" s="242"/>
      <c r="Q365" s="242"/>
    </row>
    <row r="366" spans="1:17" x14ac:dyDescent="0.25">
      <c r="A366" s="243" t="s">
        <v>65</v>
      </c>
      <c r="B366" s="397">
        <f>'Polimer Hanau'!B19</f>
        <v>0</v>
      </c>
      <c r="C366" s="397">
        <f>'Polimer Hanau'!C19</f>
        <v>0</v>
      </c>
      <c r="D366" s="397">
        <f>'Polimer Hanau'!D19</f>
        <v>0</v>
      </c>
      <c r="E366" s="397">
        <f>'Polimer Hanau'!E19</f>
        <v>0</v>
      </c>
      <c r="F366" s="397">
        <f>'Polimer Hanau'!F19</f>
        <v>0</v>
      </c>
      <c r="G366" s="397">
        <f>'Polimer Hanau'!G19</f>
        <v>0</v>
      </c>
      <c r="H366" s="397">
        <f>'Polimer Hanau'!H19</f>
        <v>10</v>
      </c>
      <c r="I366" s="397">
        <f>'Polimer Hanau'!I19</f>
        <v>0</v>
      </c>
      <c r="J366" s="397">
        <f>'Polimer Hanau'!J19</f>
        <v>-10</v>
      </c>
      <c r="K366" s="397">
        <f>'Polimer Hanau'!K19</f>
        <v>0</v>
      </c>
      <c r="L366" s="242"/>
      <c r="M366" s="242"/>
      <c r="N366" s="242"/>
      <c r="O366" s="242"/>
      <c r="P366" s="242"/>
      <c r="Q366" s="242"/>
    </row>
    <row r="367" spans="1:17" x14ac:dyDescent="0.25">
      <c r="A367" s="247"/>
      <c r="B367" s="248"/>
      <c r="C367" s="248"/>
      <c r="D367" s="249"/>
      <c r="E367" s="250"/>
      <c r="F367" s="249"/>
      <c r="G367" s="249"/>
      <c r="H367" s="248"/>
      <c r="I367" s="251"/>
      <c r="J367" s="241"/>
      <c r="K367" s="251"/>
      <c r="L367" s="242"/>
      <c r="M367" s="242"/>
      <c r="N367" s="242"/>
      <c r="O367" s="242"/>
      <c r="P367" s="242"/>
      <c r="Q367" s="242"/>
    </row>
  </sheetData>
  <mergeCells count="248">
    <mergeCell ref="A353:K353"/>
    <mergeCell ref="A354:A355"/>
    <mergeCell ref="B354:D354"/>
    <mergeCell ref="E354:G354"/>
    <mergeCell ref="H354:I354"/>
    <mergeCell ref="J354:K354"/>
    <mergeCell ref="A362:K362"/>
    <mergeCell ref="A363:A364"/>
    <mergeCell ref="B363:D363"/>
    <mergeCell ref="E363:G363"/>
    <mergeCell ref="H363:I363"/>
    <mergeCell ref="J363:K363"/>
    <mergeCell ref="A339:C339"/>
    <mergeCell ref="A340:Q340"/>
    <mergeCell ref="A342:A343"/>
    <mergeCell ref="B342:D342"/>
    <mergeCell ref="E342:G342"/>
    <mergeCell ref="H342:J342"/>
    <mergeCell ref="K342:M342"/>
    <mergeCell ref="N342:O342"/>
    <mergeCell ref="P342:Q342"/>
    <mergeCell ref="A320:K320"/>
    <mergeCell ref="A321:A322"/>
    <mergeCell ref="B321:D321"/>
    <mergeCell ref="E321:G321"/>
    <mergeCell ref="H321:I321"/>
    <mergeCell ref="J321:K321"/>
    <mergeCell ref="A331:K331"/>
    <mergeCell ref="A332:A333"/>
    <mergeCell ref="B332:D332"/>
    <mergeCell ref="E332:G332"/>
    <mergeCell ref="H332:I332"/>
    <mergeCell ref="J332:K332"/>
    <mergeCell ref="A305:C305"/>
    <mergeCell ref="A306:Q306"/>
    <mergeCell ref="A308:A309"/>
    <mergeCell ref="B308:D308"/>
    <mergeCell ref="E308:G308"/>
    <mergeCell ref="H308:J308"/>
    <mergeCell ref="K308:M308"/>
    <mergeCell ref="N308:O308"/>
    <mergeCell ref="P308:Q308"/>
    <mergeCell ref="A287:K287"/>
    <mergeCell ref="A288:A289"/>
    <mergeCell ref="B288:D288"/>
    <mergeCell ref="E288:G288"/>
    <mergeCell ref="H288:I288"/>
    <mergeCell ref="J288:K288"/>
    <mergeCell ref="A297:K297"/>
    <mergeCell ref="A298:A299"/>
    <mergeCell ref="B298:D298"/>
    <mergeCell ref="E298:G298"/>
    <mergeCell ref="H298:I298"/>
    <mergeCell ref="J298:K298"/>
    <mergeCell ref="A275:C275"/>
    <mergeCell ref="A276:Q276"/>
    <mergeCell ref="A278:A279"/>
    <mergeCell ref="B278:D278"/>
    <mergeCell ref="E278:G278"/>
    <mergeCell ref="H278:J278"/>
    <mergeCell ref="K278:M278"/>
    <mergeCell ref="N278:O278"/>
    <mergeCell ref="P278:Q278"/>
    <mergeCell ref="A227:K227"/>
    <mergeCell ref="A228:A229"/>
    <mergeCell ref="B228:D228"/>
    <mergeCell ref="E228:G228"/>
    <mergeCell ref="H228:I228"/>
    <mergeCell ref="J228:K228"/>
    <mergeCell ref="A236:K236"/>
    <mergeCell ref="A237:A238"/>
    <mergeCell ref="B237:D237"/>
    <mergeCell ref="E237:G237"/>
    <mergeCell ref="H237:I237"/>
    <mergeCell ref="J237:K237"/>
    <mergeCell ref="A217:Q217"/>
    <mergeCell ref="A219:A220"/>
    <mergeCell ref="B219:D219"/>
    <mergeCell ref="E219:G219"/>
    <mergeCell ref="H219:J219"/>
    <mergeCell ref="K219:M219"/>
    <mergeCell ref="N219:O219"/>
    <mergeCell ref="P219:Q219"/>
    <mergeCell ref="A197:K197"/>
    <mergeCell ref="A198:A199"/>
    <mergeCell ref="B198:D198"/>
    <mergeCell ref="E198:G198"/>
    <mergeCell ref="H198:I198"/>
    <mergeCell ref="J198:K198"/>
    <mergeCell ref="A207:K207"/>
    <mergeCell ref="A208:A209"/>
    <mergeCell ref="B208:D208"/>
    <mergeCell ref="E208:G208"/>
    <mergeCell ref="H208:I208"/>
    <mergeCell ref="J208:K208"/>
    <mergeCell ref="A185:B185"/>
    <mergeCell ref="A186:Q186"/>
    <mergeCell ref="A188:A189"/>
    <mergeCell ref="B188:D188"/>
    <mergeCell ref="E188:G188"/>
    <mergeCell ref="H188:J188"/>
    <mergeCell ref="K188:M188"/>
    <mergeCell ref="N188:O188"/>
    <mergeCell ref="P188:Q188"/>
    <mergeCell ref="A167:K167"/>
    <mergeCell ref="A168:A169"/>
    <mergeCell ref="B168:D168"/>
    <mergeCell ref="E168:G168"/>
    <mergeCell ref="H168:I168"/>
    <mergeCell ref="J168:K168"/>
    <mergeCell ref="A176:K176"/>
    <mergeCell ref="A177:A178"/>
    <mergeCell ref="B177:D177"/>
    <mergeCell ref="E177:G177"/>
    <mergeCell ref="H177:I177"/>
    <mergeCell ref="J177:K177"/>
    <mergeCell ref="A156:B156"/>
    <mergeCell ref="A157:Q157"/>
    <mergeCell ref="A159:A160"/>
    <mergeCell ref="B159:D159"/>
    <mergeCell ref="E159:G159"/>
    <mergeCell ref="H159:J159"/>
    <mergeCell ref="K159:M159"/>
    <mergeCell ref="N159:O159"/>
    <mergeCell ref="P159:Q159"/>
    <mergeCell ref="A147:K147"/>
    <mergeCell ref="A148:A149"/>
    <mergeCell ref="B148:D148"/>
    <mergeCell ref="E148:G148"/>
    <mergeCell ref="H148:I148"/>
    <mergeCell ref="J148:K148"/>
    <mergeCell ref="A137:K137"/>
    <mergeCell ref="A138:A139"/>
    <mergeCell ref="B138:D138"/>
    <mergeCell ref="E138:G138"/>
    <mergeCell ref="H138:I138"/>
    <mergeCell ref="J138:K138"/>
    <mergeCell ref="A125:B125"/>
    <mergeCell ref="A126:Q126"/>
    <mergeCell ref="A128:A129"/>
    <mergeCell ref="B128:D128"/>
    <mergeCell ref="E128:G128"/>
    <mergeCell ref="H128:J128"/>
    <mergeCell ref="K128:M128"/>
    <mergeCell ref="N128:O128"/>
    <mergeCell ref="P128:Q128"/>
    <mergeCell ref="A85:K85"/>
    <mergeCell ref="A86:A87"/>
    <mergeCell ref="B86:D86"/>
    <mergeCell ref="E86:G86"/>
    <mergeCell ref="H86:I86"/>
    <mergeCell ref="J86:K86"/>
    <mergeCell ref="A75:K75"/>
    <mergeCell ref="A76:A77"/>
    <mergeCell ref="B76:D76"/>
    <mergeCell ref="E76:G76"/>
    <mergeCell ref="H76:I76"/>
    <mergeCell ref="J76:K76"/>
    <mergeCell ref="A64:Q64"/>
    <mergeCell ref="A66:A67"/>
    <mergeCell ref="B66:D66"/>
    <mergeCell ref="E66:G66"/>
    <mergeCell ref="H66:J66"/>
    <mergeCell ref="K66:M66"/>
    <mergeCell ref="N66:O66"/>
    <mergeCell ref="P66:Q66"/>
    <mergeCell ref="A54:K54"/>
    <mergeCell ref="A55:A56"/>
    <mergeCell ref="B55:D55"/>
    <mergeCell ref="E55:G55"/>
    <mergeCell ref="H55:I55"/>
    <mergeCell ref="J55:K55"/>
    <mergeCell ref="A44:K44"/>
    <mergeCell ref="A45:A46"/>
    <mergeCell ref="B45:D45"/>
    <mergeCell ref="E45:G45"/>
    <mergeCell ref="H45:I45"/>
    <mergeCell ref="J45:K45"/>
    <mergeCell ref="A33:Q33"/>
    <mergeCell ref="A35:A36"/>
    <mergeCell ref="B35:D35"/>
    <mergeCell ref="E35:G35"/>
    <mergeCell ref="H35:J35"/>
    <mergeCell ref="K35:M35"/>
    <mergeCell ref="N35:O35"/>
    <mergeCell ref="P35:Q35"/>
    <mergeCell ref="A2:Q2"/>
    <mergeCell ref="A4:A5"/>
    <mergeCell ref="B4:D4"/>
    <mergeCell ref="E4:G4"/>
    <mergeCell ref="H4:J4"/>
    <mergeCell ref="K4:M4"/>
    <mergeCell ref="N4:O4"/>
    <mergeCell ref="P4:Q4"/>
    <mergeCell ref="A13:K13"/>
    <mergeCell ref="A14:A15"/>
    <mergeCell ref="B14:D14"/>
    <mergeCell ref="E14:G14"/>
    <mergeCell ref="H14:I14"/>
    <mergeCell ref="J14:K14"/>
    <mergeCell ref="A23:K23"/>
    <mergeCell ref="A24:A25"/>
    <mergeCell ref="B24:D24"/>
    <mergeCell ref="E24:G24"/>
    <mergeCell ref="H24:I24"/>
    <mergeCell ref="J24:K24"/>
    <mergeCell ref="E97:G97"/>
    <mergeCell ref="H97:J97"/>
    <mergeCell ref="K97:M97"/>
    <mergeCell ref="N97:O97"/>
    <mergeCell ref="P97:Q97"/>
    <mergeCell ref="A94:B94"/>
    <mergeCell ref="A116:K116"/>
    <mergeCell ref="A117:A118"/>
    <mergeCell ref="B117:D117"/>
    <mergeCell ref="E117:G117"/>
    <mergeCell ref="H117:I117"/>
    <mergeCell ref="J117:K117"/>
    <mergeCell ref="A106:K106"/>
    <mergeCell ref="A107:A108"/>
    <mergeCell ref="B107:D107"/>
    <mergeCell ref="E107:G107"/>
    <mergeCell ref="H107:I107"/>
    <mergeCell ref="J107:K107"/>
    <mergeCell ref="A95:Q95"/>
    <mergeCell ref="A97:A98"/>
    <mergeCell ref="B97:D97"/>
    <mergeCell ref="A245:C245"/>
    <mergeCell ref="A257:A258"/>
    <mergeCell ref="B257:D257"/>
    <mergeCell ref="E257:G257"/>
    <mergeCell ref="H257:I257"/>
    <mergeCell ref="J257:K257"/>
    <mergeCell ref="A266:K266"/>
    <mergeCell ref="A267:A268"/>
    <mergeCell ref="B267:D267"/>
    <mergeCell ref="E267:G267"/>
    <mergeCell ref="H267:I267"/>
    <mergeCell ref="J267:K267"/>
    <mergeCell ref="A246:Q246"/>
    <mergeCell ref="A248:A249"/>
    <mergeCell ref="B248:D248"/>
    <mergeCell ref="E248:G248"/>
    <mergeCell ref="H248:J248"/>
    <mergeCell ref="K248:M248"/>
    <mergeCell ref="N248:O248"/>
    <mergeCell ref="P248:Q248"/>
    <mergeCell ref="A256:K256"/>
  </mergeCells>
  <pageMargins left="0.7" right="0.7" top="0.75" bottom="0.75" header="0.3" footer="0.3"/>
  <pageSetup paperSize="9" scale="80" orientation="landscape" horizontalDpi="360" verticalDpi="360" r:id="rId1"/>
  <rowBreaks count="11" manualBreakCount="11">
    <brk id="30" max="17" man="1"/>
    <brk id="61" max="17" man="1"/>
    <brk id="92" max="17" man="1"/>
    <brk id="123" max="17" man="1"/>
    <brk id="154" max="17" man="1"/>
    <brk id="183" max="17" man="1"/>
    <brk id="214" max="17" man="1"/>
    <brk id="243" max="17" man="1"/>
    <brk id="274" max="17" man="1"/>
    <brk id="304" max="17" man="1"/>
    <brk id="338" max="17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70C0"/>
  </sheetPr>
  <dimension ref="A1:L83"/>
  <sheetViews>
    <sheetView view="pageBreakPreview" zoomScale="89" zoomScaleNormal="115" zoomScaleSheetLayoutView="89" workbookViewId="0">
      <selection activeCell="A86" sqref="A86:L486"/>
    </sheetView>
  </sheetViews>
  <sheetFormatPr defaultRowHeight="15" x14ac:dyDescent="0.25"/>
  <cols>
    <col min="1" max="1" width="17.28515625" customWidth="1"/>
    <col min="2" max="2" width="22.42578125" customWidth="1"/>
    <col min="3" max="3" width="15.7109375" customWidth="1"/>
    <col min="4" max="4" width="13.5703125" customWidth="1"/>
    <col min="5" max="5" width="24.42578125" customWidth="1"/>
    <col min="6" max="6" width="11.140625" bestFit="1" customWidth="1"/>
    <col min="7" max="7" width="12.85546875" customWidth="1"/>
    <col min="8" max="8" width="16.85546875" customWidth="1"/>
    <col min="9" max="9" width="10.28515625" customWidth="1"/>
    <col min="10" max="10" width="14" customWidth="1"/>
    <col min="11" max="11" width="18.42578125" customWidth="1"/>
    <col min="12" max="12" width="14.140625" customWidth="1"/>
    <col min="13" max="13" width="12" bestFit="1" customWidth="1"/>
    <col min="14" max="14" width="14.42578125" customWidth="1"/>
    <col min="15" max="15" width="15.5703125" customWidth="1"/>
    <col min="17" max="17" width="12" bestFit="1" customWidth="1"/>
  </cols>
  <sheetData>
    <row r="1" spans="1:12" ht="18.75" x14ac:dyDescent="0.3">
      <c r="A1" s="554" t="s">
        <v>114</v>
      </c>
      <c r="B1" s="554"/>
      <c r="C1" s="554"/>
      <c r="D1" s="554"/>
      <c r="E1" s="554"/>
      <c r="F1" s="554"/>
      <c r="G1" s="554"/>
      <c r="H1" s="554"/>
      <c r="I1" s="554"/>
      <c r="J1" s="554"/>
      <c r="K1" s="554"/>
      <c r="L1" s="554"/>
    </row>
    <row r="3" spans="1:12" ht="25.5" customHeight="1" x14ac:dyDescent="0.25">
      <c r="A3" s="555" t="s">
        <v>2</v>
      </c>
      <c r="B3" s="456" t="s">
        <v>7</v>
      </c>
      <c r="C3" s="456" t="s">
        <v>61</v>
      </c>
      <c r="D3" s="456" t="s">
        <v>16</v>
      </c>
      <c r="E3" s="456" t="s">
        <v>5</v>
      </c>
      <c r="F3" s="456" t="s">
        <v>61</v>
      </c>
      <c r="G3" s="456" t="s">
        <v>16</v>
      </c>
      <c r="H3" s="456" t="s">
        <v>4</v>
      </c>
      <c r="I3" s="456" t="s">
        <v>61</v>
      </c>
      <c r="J3" s="456" t="s">
        <v>16</v>
      </c>
      <c r="K3" s="456" t="s">
        <v>6</v>
      </c>
      <c r="L3" s="456" t="s">
        <v>16</v>
      </c>
    </row>
    <row r="4" spans="1:12" ht="25.5" customHeight="1" x14ac:dyDescent="0.25">
      <c r="A4" s="556"/>
      <c r="B4" s="457"/>
      <c r="C4" s="457"/>
      <c r="D4" s="457">
        <f>B4*C4</f>
        <v>0</v>
      </c>
      <c r="E4" s="457"/>
      <c r="F4" s="457"/>
      <c r="G4" s="457"/>
      <c r="H4" s="457"/>
      <c r="I4" s="457"/>
      <c r="J4" s="457">
        <f>H4*I4</f>
        <v>0</v>
      </c>
      <c r="K4" s="457">
        <f>B4+E4-H4</f>
        <v>0</v>
      </c>
      <c r="L4" s="457">
        <f>K4*C4</f>
        <v>0</v>
      </c>
    </row>
    <row r="5" spans="1:12" ht="25.5" customHeight="1" x14ac:dyDescent="0.25">
      <c r="A5" s="557"/>
      <c r="B5" s="457"/>
      <c r="C5" s="457"/>
      <c r="D5" s="457">
        <f>B5*C5</f>
        <v>0</v>
      </c>
      <c r="E5" s="457"/>
      <c r="F5" s="457"/>
      <c r="G5" s="457">
        <f>E5*F5</f>
        <v>0</v>
      </c>
      <c r="H5" s="457"/>
      <c r="I5" s="457"/>
      <c r="J5" s="457">
        <f>H5*I5</f>
        <v>0</v>
      </c>
      <c r="K5" s="457">
        <f>B5+E5-H5</f>
        <v>0</v>
      </c>
      <c r="L5" s="457">
        <f>K5*C5</f>
        <v>0</v>
      </c>
    </row>
    <row r="6" spans="1:12" ht="39" customHeight="1" x14ac:dyDescent="0.25">
      <c r="A6" s="458" t="s">
        <v>62</v>
      </c>
      <c r="B6" s="459">
        <f>SUM(B4:B5)</f>
        <v>0</v>
      </c>
      <c r="C6" s="459"/>
      <c r="D6" s="459">
        <f>SUM(D4:D5)</f>
        <v>0</v>
      </c>
      <c r="E6" s="459">
        <f>SUM(E4:E5)</f>
        <v>0</v>
      </c>
      <c r="F6" s="459"/>
      <c r="G6" s="459">
        <f>SUM(G4:G5)</f>
        <v>0</v>
      </c>
      <c r="H6" s="459">
        <f>SUM(H4:H5)</f>
        <v>0</v>
      </c>
      <c r="I6" s="459"/>
      <c r="J6" s="459">
        <f>SUM(J4:J5)</f>
        <v>0</v>
      </c>
      <c r="K6" s="459">
        <f>SUM(K4:K5)</f>
        <v>0</v>
      </c>
      <c r="L6" s="459">
        <f>SUM(L4:L5)</f>
        <v>0</v>
      </c>
    </row>
    <row r="7" spans="1:12" ht="25.5" customHeight="1" x14ac:dyDescent="0.25">
      <c r="A7" s="460"/>
      <c r="B7" s="460"/>
      <c r="C7" s="460"/>
      <c r="D7" s="460"/>
      <c r="E7" s="460"/>
      <c r="F7" s="460"/>
      <c r="G7" s="460"/>
      <c r="H7" s="460"/>
      <c r="I7" s="460"/>
      <c r="J7" s="460"/>
      <c r="K7" s="460"/>
      <c r="L7" s="460"/>
    </row>
    <row r="8" spans="1:12" ht="25.5" customHeight="1" x14ac:dyDescent="0.25">
      <c r="A8" s="460"/>
      <c r="B8" s="460"/>
      <c r="C8" s="460"/>
      <c r="D8" s="460"/>
      <c r="E8" s="460"/>
      <c r="F8" s="460"/>
      <c r="G8" s="460"/>
      <c r="H8" s="460"/>
      <c r="I8" s="460"/>
      <c r="J8" s="460"/>
      <c r="K8" s="460"/>
      <c r="L8" s="460"/>
    </row>
    <row r="9" spans="1:12" ht="25.5" customHeight="1" x14ac:dyDescent="0.25">
      <c r="A9" s="555" t="s">
        <v>3</v>
      </c>
      <c r="B9" s="456" t="s">
        <v>7</v>
      </c>
      <c r="C9" s="456" t="s">
        <v>61</v>
      </c>
      <c r="D9" s="456" t="s">
        <v>16</v>
      </c>
      <c r="E9" s="456" t="s">
        <v>5</v>
      </c>
      <c r="F9" s="456" t="s">
        <v>61</v>
      </c>
      <c r="G9" s="456" t="s">
        <v>16</v>
      </c>
      <c r="H9" s="456" t="s">
        <v>4</v>
      </c>
      <c r="I9" s="456" t="s">
        <v>61</v>
      </c>
      <c r="J9" s="456" t="s">
        <v>16</v>
      </c>
      <c r="K9" s="456" t="s">
        <v>6</v>
      </c>
      <c r="L9" s="456" t="s">
        <v>16</v>
      </c>
    </row>
    <row r="10" spans="1:12" ht="25.5" customHeight="1" x14ac:dyDescent="0.25">
      <c r="A10" s="556"/>
      <c r="B10" s="457"/>
      <c r="C10" s="457"/>
      <c r="D10" s="457">
        <f>B10*C10</f>
        <v>0</v>
      </c>
      <c r="E10" s="457"/>
      <c r="F10" s="457"/>
      <c r="G10" s="457"/>
      <c r="H10" s="457"/>
      <c r="I10" s="457"/>
      <c r="J10" s="457">
        <f>H10*I10</f>
        <v>0</v>
      </c>
      <c r="K10" s="457">
        <f>B10+E10-H10</f>
        <v>0</v>
      </c>
      <c r="L10" s="457">
        <f>K10*C10</f>
        <v>0</v>
      </c>
    </row>
    <row r="11" spans="1:12" ht="25.5" customHeight="1" x14ac:dyDescent="0.25">
      <c r="A11" s="556"/>
      <c r="B11" s="457"/>
      <c r="C11" s="457"/>
      <c r="D11" s="457">
        <f t="shared" ref="D11:D12" si="0">B11*C11</f>
        <v>0</v>
      </c>
      <c r="E11" s="457"/>
      <c r="F11" s="457"/>
      <c r="G11" s="457"/>
      <c r="H11" s="457"/>
      <c r="I11" s="457"/>
      <c r="J11" s="457">
        <f t="shared" ref="J11:J12" si="1">H11*I11</f>
        <v>0</v>
      </c>
      <c r="K11" s="457">
        <f t="shared" ref="K11:K12" si="2">B11+E11-H11</f>
        <v>0</v>
      </c>
      <c r="L11" s="457">
        <f t="shared" ref="L11:L12" si="3">K11*C11</f>
        <v>0</v>
      </c>
    </row>
    <row r="12" spans="1:12" ht="25.5" customHeight="1" x14ac:dyDescent="0.25">
      <c r="A12" s="557"/>
      <c r="B12" s="457"/>
      <c r="C12" s="457"/>
      <c r="D12" s="457">
        <f t="shared" si="0"/>
        <v>0</v>
      </c>
      <c r="E12" s="457"/>
      <c r="F12" s="457"/>
      <c r="G12" s="457">
        <f>E12*F12</f>
        <v>0</v>
      </c>
      <c r="H12" s="457"/>
      <c r="I12" s="457"/>
      <c r="J12" s="457">
        <f t="shared" si="1"/>
        <v>0</v>
      </c>
      <c r="K12" s="457">
        <f t="shared" si="2"/>
        <v>0</v>
      </c>
      <c r="L12" s="457">
        <f t="shared" si="3"/>
        <v>0</v>
      </c>
    </row>
    <row r="13" spans="1:12" ht="36.75" customHeight="1" x14ac:dyDescent="0.25">
      <c r="A13" s="458" t="s">
        <v>62</v>
      </c>
      <c r="B13" s="459">
        <f>SUM(B10:B12)</f>
        <v>0</v>
      </c>
      <c r="C13" s="459"/>
      <c r="D13" s="459">
        <f>SUM(D10:D12)</f>
        <v>0</v>
      </c>
      <c r="E13" s="459">
        <f>SUM(E10:E12)</f>
        <v>0</v>
      </c>
      <c r="F13" s="459"/>
      <c r="G13" s="459">
        <f>SUM(G10:G12)</f>
        <v>0</v>
      </c>
      <c r="H13" s="459">
        <f>SUM(H10:H12)</f>
        <v>0</v>
      </c>
      <c r="I13" s="459"/>
      <c r="J13" s="459">
        <f>SUM(J10:J12)</f>
        <v>0</v>
      </c>
      <c r="K13" s="459">
        <f>SUM(K10:K12)</f>
        <v>0</v>
      </c>
      <c r="L13" s="461">
        <f>SUM(L10:L12)</f>
        <v>0</v>
      </c>
    </row>
    <row r="14" spans="1:12" ht="25.5" customHeight="1" x14ac:dyDescent="0.25">
      <c r="A14" s="460"/>
      <c r="B14" s="460"/>
      <c r="C14" s="460"/>
      <c r="D14" s="460"/>
      <c r="E14" s="460"/>
      <c r="F14" s="460"/>
      <c r="G14" s="460"/>
      <c r="H14" s="460"/>
      <c r="I14" s="460"/>
      <c r="J14" s="460"/>
      <c r="K14" s="460"/>
      <c r="L14" s="460"/>
    </row>
    <row r="15" spans="1:12" ht="25.5" customHeight="1" x14ac:dyDescent="0.25">
      <c r="A15" s="460"/>
      <c r="B15" s="460"/>
      <c r="C15" s="460"/>
      <c r="D15" s="460"/>
      <c r="E15" s="460"/>
      <c r="F15" s="460"/>
      <c r="G15" s="460"/>
      <c r="H15" s="460"/>
      <c r="I15" s="460"/>
      <c r="J15" s="460"/>
      <c r="K15" s="460"/>
      <c r="L15" s="460"/>
    </row>
    <row r="16" spans="1:12" ht="25.5" customHeight="1" x14ac:dyDescent="0.25">
      <c r="A16" s="555" t="s">
        <v>23</v>
      </c>
      <c r="B16" s="456" t="s">
        <v>7</v>
      </c>
      <c r="C16" s="456" t="s">
        <v>61</v>
      </c>
      <c r="D16" s="456" t="s">
        <v>16</v>
      </c>
      <c r="E16" s="456" t="s">
        <v>5</v>
      </c>
      <c r="F16" s="456" t="s">
        <v>61</v>
      </c>
      <c r="G16" s="456" t="s">
        <v>16</v>
      </c>
      <c r="H16" s="456" t="s">
        <v>4</v>
      </c>
      <c r="I16" s="456" t="s">
        <v>61</v>
      </c>
      <c r="J16" s="456" t="s">
        <v>16</v>
      </c>
      <c r="K16" s="456" t="s">
        <v>6</v>
      </c>
      <c r="L16" s="456" t="s">
        <v>16</v>
      </c>
    </row>
    <row r="17" spans="1:12" ht="25.5" customHeight="1" x14ac:dyDescent="0.25">
      <c r="A17" s="556"/>
      <c r="B17" s="457"/>
      <c r="C17" s="457"/>
      <c r="D17" s="457">
        <f>B17*C17</f>
        <v>0</v>
      </c>
      <c r="E17" s="457"/>
      <c r="F17" s="457"/>
      <c r="G17" s="457"/>
      <c r="H17" s="457"/>
      <c r="I17" s="457"/>
      <c r="J17" s="457">
        <f>H17*I17</f>
        <v>0</v>
      </c>
      <c r="K17" s="457">
        <f>B17+E17-H17</f>
        <v>0</v>
      </c>
      <c r="L17" s="457">
        <f>K17*C17</f>
        <v>0</v>
      </c>
    </row>
    <row r="18" spans="1:12" ht="25.5" customHeight="1" x14ac:dyDescent="0.25">
      <c r="A18" s="556"/>
      <c r="B18" s="457"/>
      <c r="C18" s="457"/>
      <c r="D18" s="457">
        <f>B18*C18</f>
        <v>0</v>
      </c>
      <c r="E18" s="457"/>
      <c r="F18" s="457"/>
      <c r="G18" s="457"/>
      <c r="H18" s="457"/>
      <c r="I18" s="457"/>
      <c r="J18" s="457">
        <f>H18*I18</f>
        <v>0</v>
      </c>
      <c r="K18" s="457">
        <f>B18+E18-H18</f>
        <v>0</v>
      </c>
      <c r="L18" s="457">
        <f>K18*C18</f>
        <v>0</v>
      </c>
    </row>
    <row r="19" spans="1:12" ht="25.5" customHeight="1" x14ac:dyDescent="0.25">
      <c r="A19" s="557"/>
      <c r="B19" s="457"/>
      <c r="C19" s="457"/>
      <c r="D19" s="457">
        <f>B19*C19</f>
        <v>0</v>
      </c>
      <c r="E19" s="457"/>
      <c r="F19" s="457"/>
      <c r="G19" s="457">
        <f>E19*F19</f>
        <v>0</v>
      </c>
      <c r="H19" s="457"/>
      <c r="I19" s="457"/>
      <c r="J19" s="457">
        <f>H19*I19</f>
        <v>0</v>
      </c>
      <c r="K19" s="457">
        <f>B19+E19-H19</f>
        <v>0</v>
      </c>
      <c r="L19" s="457">
        <f>K19*F19</f>
        <v>0</v>
      </c>
    </row>
    <row r="20" spans="1:12" ht="31.5" customHeight="1" x14ac:dyDescent="0.25">
      <c r="A20" s="458" t="s">
        <v>62</v>
      </c>
      <c r="B20" s="459">
        <f>SUM(B17:B19)</f>
        <v>0</v>
      </c>
      <c r="C20" s="459"/>
      <c r="D20" s="459">
        <f>SUM(D17:D19)</f>
        <v>0</v>
      </c>
      <c r="E20" s="459">
        <f>SUM(E17:E19)</f>
        <v>0</v>
      </c>
      <c r="F20" s="459"/>
      <c r="G20" s="459">
        <f>SUM(G17:G19)</f>
        <v>0</v>
      </c>
      <c r="H20" s="459">
        <f>SUM(H17:H19)</f>
        <v>0</v>
      </c>
      <c r="I20" s="459"/>
      <c r="J20" s="459">
        <f>SUM(J17:J19)</f>
        <v>0</v>
      </c>
      <c r="K20" s="459">
        <f>SUM(K17:K19)</f>
        <v>0</v>
      </c>
      <c r="L20" s="459">
        <f>SUM(L17:L19)</f>
        <v>0</v>
      </c>
    </row>
    <row r="21" spans="1:12" ht="25.5" customHeight="1" x14ac:dyDescent="0.25">
      <c r="A21" s="460"/>
      <c r="B21" s="460"/>
      <c r="C21" s="460"/>
      <c r="D21" s="460"/>
      <c r="E21" s="460"/>
      <c r="F21" s="460"/>
      <c r="G21" s="460"/>
      <c r="H21" s="460"/>
      <c r="I21" s="460"/>
      <c r="J21" s="460"/>
      <c r="K21" s="460"/>
      <c r="L21" s="460"/>
    </row>
    <row r="22" spans="1:12" ht="25.5" customHeight="1" x14ac:dyDescent="0.25">
      <c r="A22" s="460"/>
      <c r="B22" s="460"/>
      <c r="C22" s="460"/>
      <c r="D22" s="460"/>
      <c r="E22" s="460"/>
      <c r="F22" s="460"/>
      <c r="G22" s="460"/>
      <c r="H22" s="460"/>
      <c r="I22" s="460"/>
      <c r="J22" s="460"/>
      <c r="K22" s="460"/>
      <c r="L22" s="460"/>
    </row>
    <row r="23" spans="1:12" ht="25.5" customHeight="1" x14ac:dyDescent="0.25">
      <c r="A23" s="555" t="s">
        <v>68</v>
      </c>
      <c r="B23" s="456" t="s">
        <v>7</v>
      </c>
      <c r="C23" s="456" t="s">
        <v>61</v>
      </c>
      <c r="D23" s="456" t="s">
        <v>16</v>
      </c>
      <c r="E23" s="456" t="s">
        <v>5</v>
      </c>
      <c r="F23" s="456" t="s">
        <v>61</v>
      </c>
      <c r="G23" s="456" t="s">
        <v>16</v>
      </c>
      <c r="H23" s="456" t="s">
        <v>4</v>
      </c>
      <c r="I23" s="456" t="s">
        <v>61</v>
      </c>
      <c r="J23" s="456" t="s">
        <v>16</v>
      </c>
      <c r="K23" s="456" t="s">
        <v>6</v>
      </c>
      <c r="L23" s="456" t="s">
        <v>16</v>
      </c>
    </row>
    <row r="24" spans="1:12" ht="25.5" customHeight="1" x14ac:dyDescent="0.25">
      <c r="A24" s="557"/>
      <c r="B24" s="457"/>
      <c r="C24" s="457"/>
      <c r="D24" s="457">
        <f>B24*C24</f>
        <v>0</v>
      </c>
      <c r="E24" s="457"/>
      <c r="F24" s="457"/>
      <c r="G24" s="457">
        <f>E24*F24</f>
        <v>0</v>
      </c>
      <c r="H24" s="457"/>
      <c r="I24" s="457"/>
      <c r="J24" s="457">
        <f>H24*I24</f>
        <v>0</v>
      </c>
      <c r="K24" s="457">
        <f>B24+E24-H24</f>
        <v>0</v>
      </c>
      <c r="L24" s="457">
        <f>K24*C24</f>
        <v>0</v>
      </c>
    </row>
    <row r="25" spans="1:12" ht="33" customHeight="1" x14ac:dyDescent="0.25">
      <c r="A25" s="458" t="s">
        <v>62</v>
      </c>
      <c r="B25" s="459">
        <f>SUM(B24:B24)</f>
        <v>0</v>
      </c>
      <c r="C25" s="459"/>
      <c r="D25" s="459">
        <f>SUM(D24:D24)</f>
        <v>0</v>
      </c>
      <c r="E25" s="459">
        <f>SUM(E24:E24)</f>
        <v>0</v>
      </c>
      <c r="F25" s="459"/>
      <c r="G25" s="459">
        <f>SUM(G24:G24)</f>
        <v>0</v>
      </c>
      <c r="H25" s="459">
        <f>SUM(H24:H24)</f>
        <v>0</v>
      </c>
      <c r="I25" s="459"/>
      <c r="J25" s="459">
        <f>SUM(J24:J24)</f>
        <v>0</v>
      </c>
      <c r="K25" s="459">
        <f>SUM(K24:K24)</f>
        <v>0</v>
      </c>
      <c r="L25" s="459">
        <f>SUM(L24:L24)</f>
        <v>0</v>
      </c>
    </row>
    <row r="29" spans="1:12" ht="18.75" x14ac:dyDescent="0.3">
      <c r="A29" s="551" t="s">
        <v>115</v>
      </c>
      <c r="B29" s="551"/>
      <c r="C29" s="551"/>
      <c r="D29" s="551"/>
      <c r="E29" s="551"/>
      <c r="F29" s="551"/>
      <c r="G29" s="551"/>
      <c r="H29" s="551"/>
      <c r="I29" s="551"/>
      <c r="J29" s="551"/>
      <c r="K29" s="551"/>
      <c r="L29" s="551"/>
    </row>
    <row r="31" spans="1:12" ht="25.5" customHeight="1" x14ac:dyDescent="0.25">
      <c r="A31" s="555" t="s">
        <v>2</v>
      </c>
      <c r="B31" s="456" t="s">
        <v>7</v>
      </c>
      <c r="C31" s="456" t="s">
        <v>61</v>
      </c>
      <c r="D31" s="456" t="s">
        <v>16</v>
      </c>
      <c r="E31" s="456" t="s">
        <v>5</v>
      </c>
      <c r="F31" s="456" t="s">
        <v>61</v>
      </c>
      <c r="G31" s="456" t="s">
        <v>16</v>
      </c>
      <c r="H31" s="456" t="s">
        <v>4</v>
      </c>
      <c r="I31" s="456" t="s">
        <v>61</v>
      </c>
      <c r="J31" s="456" t="s">
        <v>16</v>
      </c>
      <c r="K31" s="456" t="s">
        <v>6</v>
      </c>
      <c r="L31" s="456" t="s">
        <v>16</v>
      </c>
    </row>
    <row r="32" spans="1:12" ht="25.5" customHeight="1" x14ac:dyDescent="0.25">
      <c r="A32" s="556"/>
      <c r="B32" s="457"/>
      <c r="C32" s="457"/>
      <c r="D32" s="457">
        <f>B32*C32</f>
        <v>0</v>
      </c>
      <c r="E32" s="457"/>
      <c r="F32" s="457"/>
      <c r="G32" s="457"/>
      <c r="H32" s="457"/>
      <c r="I32" s="457">
        <f>C32</f>
        <v>0</v>
      </c>
      <c r="J32" s="457">
        <f>H32*I32</f>
        <v>0</v>
      </c>
      <c r="K32" s="457">
        <f>B32+E32-H32</f>
        <v>0</v>
      </c>
      <c r="L32" s="457">
        <f>K32*C32</f>
        <v>0</v>
      </c>
    </row>
    <row r="33" spans="1:12" ht="25.5" customHeight="1" x14ac:dyDescent="0.25">
      <c r="A33" s="556"/>
      <c r="B33" s="457"/>
      <c r="C33" s="457"/>
      <c r="D33" s="457">
        <f>B33*C33</f>
        <v>0</v>
      </c>
      <c r="E33" s="457"/>
      <c r="F33" s="457"/>
      <c r="G33" s="457"/>
      <c r="H33" s="457"/>
      <c r="I33" s="457">
        <f>C33</f>
        <v>0</v>
      </c>
      <c r="J33" s="457">
        <f>H33*I33</f>
        <v>0</v>
      </c>
      <c r="K33" s="457">
        <f t="shared" ref="K33:K34" si="4">B33+E33-H33</f>
        <v>0</v>
      </c>
      <c r="L33" s="457">
        <f t="shared" ref="L33" si="5">K33*C33</f>
        <v>0</v>
      </c>
    </row>
    <row r="34" spans="1:12" ht="25.5" customHeight="1" x14ac:dyDescent="0.25">
      <c r="A34" s="557"/>
      <c r="B34" s="457"/>
      <c r="C34" s="457"/>
      <c r="D34" s="457">
        <f>B34*C34</f>
        <v>0</v>
      </c>
      <c r="E34" s="457"/>
      <c r="F34" s="457"/>
      <c r="G34" s="457">
        <f>E34*F34</f>
        <v>0</v>
      </c>
      <c r="H34" s="457"/>
      <c r="I34" s="457"/>
      <c r="J34" s="457">
        <f>H34*I34</f>
        <v>0</v>
      </c>
      <c r="K34" s="457">
        <f t="shared" si="4"/>
        <v>0</v>
      </c>
      <c r="L34" s="457">
        <f>K34*F34</f>
        <v>0</v>
      </c>
    </row>
    <row r="35" spans="1:12" ht="31.5" customHeight="1" x14ac:dyDescent="0.25">
      <c r="A35" s="458" t="s">
        <v>62</v>
      </c>
      <c r="B35" s="459">
        <f>SUM(B32:B34)</f>
        <v>0</v>
      </c>
      <c r="C35" s="459"/>
      <c r="D35" s="459">
        <f>SUM(D32:D34)</f>
        <v>0</v>
      </c>
      <c r="E35" s="459">
        <f>SUM(E32:E34)</f>
        <v>0</v>
      </c>
      <c r="F35" s="459"/>
      <c r="G35" s="459">
        <f>SUM(G32:G34)</f>
        <v>0</v>
      </c>
      <c r="H35" s="459">
        <f>SUM(H32:H34)</f>
        <v>0</v>
      </c>
      <c r="I35" s="459"/>
      <c r="J35" s="459">
        <f>SUM(J32:J34)</f>
        <v>0</v>
      </c>
      <c r="K35" s="459">
        <f>SUM(K32:K34)</f>
        <v>0</v>
      </c>
      <c r="L35" s="459">
        <f>SUM(L32:L34)</f>
        <v>0</v>
      </c>
    </row>
    <row r="36" spans="1:12" ht="25.5" customHeight="1" x14ac:dyDescent="0.25">
      <c r="A36" s="460"/>
      <c r="B36" s="460"/>
      <c r="C36" s="460"/>
      <c r="D36" s="460"/>
      <c r="E36" s="460"/>
      <c r="F36" s="460"/>
      <c r="G36" s="460"/>
      <c r="H36" s="460"/>
      <c r="I36" s="460"/>
      <c r="J36" s="460"/>
      <c r="K36" s="460"/>
      <c r="L36" s="460"/>
    </row>
    <row r="37" spans="1:12" ht="25.5" customHeight="1" x14ac:dyDescent="0.25">
      <c r="A37" s="460"/>
      <c r="B37" s="460"/>
      <c r="C37" s="460"/>
      <c r="D37" s="460"/>
      <c r="E37" s="460"/>
      <c r="F37" s="460"/>
      <c r="G37" s="460"/>
      <c r="H37" s="460"/>
      <c r="I37" s="460"/>
      <c r="J37" s="460"/>
      <c r="K37" s="460"/>
      <c r="L37" s="460"/>
    </row>
    <row r="38" spans="1:12" ht="25.5" customHeight="1" x14ac:dyDescent="0.25">
      <c r="A38" s="555" t="s">
        <v>3</v>
      </c>
      <c r="B38" s="456" t="s">
        <v>7</v>
      </c>
      <c r="C38" s="456" t="s">
        <v>61</v>
      </c>
      <c r="D38" s="456" t="s">
        <v>16</v>
      </c>
      <c r="E38" s="456" t="s">
        <v>5</v>
      </c>
      <c r="F38" s="456" t="s">
        <v>61</v>
      </c>
      <c r="G38" s="456" t="s">
        <v>16</v>
      </c>
      <c r="H38" s="456" t="s">
        <v>4</v>
      </c>
      <c r="I38" s="456" t="s">
        <v>61</v>
      </c>
      <c r="J38" s="456" t="s">
        <v>16</v>
      </c>
      <c r="K38" s="456" t="s">
        <v>6</v>
      </c>
      <c r="L38" s="456" t="s">
        <v>16</v>
      </c>
    </row>
    <row r="39" spans="1:12" ht="25.5" customHeight="1" x14ac:dyDescent="0.25">
      <c r="A39" s="556"/>
      <c r="B39" s="457"/>
      <c r="C39" s="457"/>
      <c r="D39" s="457">
        <f>B39*C39</f>
        <v>0</v>
      </c>
      <c r="E39" s="457"/>
      <c r="F39" s="457"/>
      <c r="G39" s="457"/>
      <c r="H39" s="457"/>
      <c r="I39" s="457">
        <f>C39</f>
        <v>0</v>
      </c>
      <c r="J39" s="457">
        <f>H39*I39</f>
        <v>0</v>
      </c>
      <c r="K39" s="457">
        <f>B39+E39-H39</f>
        <v>0</v>
      </c>
      <c r="L39" s="457">
        <f>K39*C39</f>
        <v>0</v>
      </c>
    </row>
    <row r="40" spans="1:12" ht="25.5" customHeight="1" x14ac:dyDescent="0.25">
      <c r="A40" s="556"/>
      <c r="B40" s="457"/>
      <c r="C40" s="457"/>
      <c r="D40" s="457">
        <f t="shared" ref="D40:D41" si="6">B40*C40</f>
        <v>0</v>
      </c>
      <c r="E40" s="457"/>
      <c r="F40" s="457"/>
      <c r="G40" s="457"/>
      <c r="H40" s="457"/>
      <c r="I40" s="457">
        <f t="shared" ref="I40:I41" si="7">C40</f>
        <v>0</v>
      </c>
      <c r="J40" s="457">
        <f t="shared" ref="J40:J41" si="8">H40*I40</f>
        <v>0</v>
      </c>
      <c r="K40" s="457">
        <f t="shared" ref="K40:K41" si="9">B40+E40-H40</f>
        <v>0</v>
      </c>
      <c r="L40" s="457">
        <f t="shared" ref="L40" si="10">K40*C40</f>
        <v>0</v>
      </c>
    </row>
    <row r="41" spans="1:12" ht="25.5" customHeight="1" x14ac:dyDescent="0.25">
      <c r="A41" s="557"/>
      <c r="B41" s="457"/>
      <c r="C41" s="457"/>
      <c r="D41" s="457">
        <f t="shared" si="6"/>
        <v>0</v>
      </c>
      <c r="E41" s="457"/>
      <c r="F41" s="457"/>
      <c r="G41" s="457">
        <f>E41*F41</f>
        <v>0</v>
      </c>
      <c r="H41" s="457"/>
      <c r="I41" s="457">
        <f t="shared" si="7"/>
        <v>0</v>
      </c>
      <c r="J41" s="457">
        <f t="shared" si="8"/>
        <v>0</v>
      </c>
      <c r="K41" s="457">
        <f t="shared" si="9"/>
        <v>0</v>
      </c>
      <c r="L41" s="457">
        <f>K41*F41</f>
        <v>0</v>
      </c>
    </row>
    <row r="42" spans="1:12" ht="33" customHeight="1" x14ac:dyDescent="0.25">
      <c r="A42" s="458" t="s">
        <v>62</v>
      </c>
      <c r="B42" s="459">
        <f>SUM(B39:B41)</f>
        <v>0</v>
      </c>
      <c r="C42" s="459"/>
      <c r="D42" s="459">
        <f>SUM(D39:D41)</f>
        <v>0</v>
      </c>
      <c r="E42" s="459">
        <f>SUM(E39:E41)</f>
        <v>0</v>
      </c>
      <c r="F42" s="459"/>
      <c r="G42" s="459">
        <f>SUM(G39:G41)</f>
        <v>0</v>
      </c>
      <c r="H42" s="459">
        <f>SUM(H39:H41)</f>
        <v>0</v>
      </c>
      <c r="I42" s="459"/>
      <c r="J42" s="459">
        <f>SUM(J39:J41)</f>
        <v>0</v>
      </c>
      <c r="K42" s="459">
        <f>SUM(K39:K41)</f>
        <v>0</v>
      </c>
      <c r="L42" s="459">
        <f>SUM(L39:L41)</f>
        <v>0</v>
      </c>
    </row>
    <row r="43" spans="1:12" ht="25.5" customHeight="1" x14ac:dyDescent="0.25">
      <c r="A43" s="460"/>
      <c r="B43" s="460"/>
      <c r="C43" s="460"/>
      <c r="D43" s="460"/>
      <c r="E43" s="460"/>
      <c r="F43" s="460"/>
      <c r="G43" s="460"/>
      <c r="H43" s="460"/>
      <c r="I43" s="460"/>
      <c r="J43" s="460"/>
      <c r="K43" s="460"/>
      <c r="L43" s="460"/>
    </row>
    <row r="44" spans="1:12" ht="25.5" customHeight="1" x14ac:dyDescent="0.25">
      <c r="A44" s="460"/>
      <c r="B44" s="460"/>
      <c r="C44" s="460"/>
      <c r="D44" s="460"/>
      <c r="E44" s="460"/>
      <c r="F44" s="460"/>
      <c r="G44" s="460"/>
      <c r="H44" s="460"/>
      <c r="I44" s="460"/>
      <c r="J44" s="460"/>
      <c r="K44" s="460"/>
      <c r="L44" s="460"/>
    </row>
    <row r="45" spans="1:12" ht="25.5" customHeight="1" x14ac:dyDescent="0.25">
      <c r="A45" s="555" t="s">
        <v>23</v>
      </c>
      <c r="B45" s="456" t="s">
        <v>7</v>
      </c>
      <c r="C45" s="456" t="s">
        <v>61</v>
      </c>
      <c r="D45" s="456" t="s">
        <v>16</v>
      </c>
      <c r="E45" s="456" t="s">
        <v>5</v>
      </c>
      <c r="F45" s="456" t="s">
        <v>61</v>
      </c>
      <c r="G45" s="456" t="s">
        <v>16</v>
      </c>
      <c r="H45" s="456" t="s">
        <v>4</v>
      </c>
      <c r="I45" s="456" t="s">
        <v>61</v>
      </c>
      <c r="J45" s="456" t="s">
        <v>16</v>
      </c>
      <c r="K45" s="456" t="s">
        <v>6</v>
      </c>
      <c r="L45" s="456" t="s">
        <v>16</v>
      </c>
    </row>
    <row r="46" spans="1:12" ht="25.5" customHeight="1" x14ac:dyDescent="0.25">
      <c r="A46" s="556"/>
      <c r="B46" s="457"/>
      <c r="C46" s="457"/>
      <c r="D46" s="457">
        <f>B46*C46</f>
        <v>0</v>
      </c>
      <c r="E46" s="457"/>
      <c r="F46" s="457"/>
      <c r="G46" s="457"/>
      <c r="H46" s="457"/>
      <c r="I46" s="457">
        <f>C46</f>
        <v>0</v>
      </c>
      <c r="J46" s="457">
        <f>H46*I46</f>
        <v>0</v>
      </c>
      <c r="K46" s="457">
        <f>B46+E46-H46</f>
        <v>0</v>
      </c>
      <c r="L46" s="457">
        <f>K46*C46</f>
        <v>0</v>
      </c>
    </row>
    <row r="47" spans="1:12" ht="25.5" customHeight="1" x14ac:dyDescent="0.25">
      <c r="A47" s="556"/>
      <c r="B47" s="457"/>
      <c r="C47" s="457"/>
      <c r="D47" s="457">
        <f>B47*C47</f>
        <v>0</v>
      </c>
      <c r="E47" s="457"/>
      <c r="F47" s="457"/>
      <c r="G47" s="457">
        <f>E47*F47</f>
        <v>0</v>
      </c>
      <c r="H47" s="457"/>
      <c r="I47" s="457">
        <f>C47</f>
        <v>0</v>
      </c>
      <c r="J47" s="457">
        <f>H47*I47</f>
        <v>0</v>
      </c>
      <c r="K47" s="457">
        <f>B47+E47-H47</f>
        <v>0</v>
      </c>
      <c r="L47" s="457">
        <f>K47*F47</f>
        <v>0</v>
      </c>
    </row>
    <row r="48" spans="1:12" ht="35.25" customHeight="1" x14ac:dyDescent="0.25">
      <c r="A48" s="458" t="s">
        <v>62</v>
      </c>
      <c r="B48" s="459">
        <f>SUM(B46:B47)</f>
        <v>0</v>
      </c>
      <c r="C48" s="459"/>
      <c r="D48" s="459">
        <f>SUM(D46:D47)</f>
        <v>0</v>
      </c>
      <c r="E48" s="459">
        <f>SUM(E46:E47)</f>
        <v>0</v>
      </c>
      <c r="F48" s="459"/>
      <c r="G48" s="459">
        <f>SUM(G46:G47)</f>
        <v>0</v>
      </c>
      <c r="H48" s="459">
        <f>SUM(H46:H47)</f>
        <v>0</v>
      </c>
      <c r="I48" s="459"/>
      <c r="J48" s="459">
        <f>SUM(J46:J47)</f>
        <v>0</v>
      </c>
      <c r="K48" s="459">
        <f>SUM(K46:K47)</f>
        <v>0</v>
      </c>
      <c r="L48" s="459">
        <f>SUM(L46:L47)</f>
        <v>0</v>
      </c>
    </row>
    <row r="49" spans="1:12" ht="25.5" customHeight="1" x14ac:dyDescent="0.25">
      <c r="A49" s="460"/>
      <c r="B49" s="460"/>
      <c r="C49" s="460"/>
      <c r="D49" s="460"/>
      <c r="E49" s="460"/>
      <c r="F49" s="460"/>
      <c r="G49" s="460"/>
      <c r="H49" s="460"/>
      <c r="I49" s="460"/>
      <c r="J49" s="460"/>
      <c r="K49" s="460"/>
      <c r="L49" s="460"/>
    </row>
    <row r="50" spans="1:12" ht="25.5" customHeight="1" x14ac:dyDescent="0.25">
      <c r="A50" s="460"/>
      <c r="B50" s="460"/>
      <c r="C50" s="460"/>
      <c r="D50" s="460"/>
      <c r="E50" s="460"/>
      <c r="F50" s="460"/>
      <c r="G50" s="460"/>
      <c r="H50" s="460"/>
      <c r="I50" s="460"/>
      <c r="J50" s="460"/>
      <c r="K50" s="460"/>
      <c r="L50" s="460"/>
    </row>
    <row r="51" spans="1:12" ht="25.5" customHeight="1" x14ac:dyDescent="0.25">
      <c r="A51" s="555" t="s">
        <v>68</v>
      </c>
      <c r="B51" s="456" t="s">
        <v>7</v>
      </c>
      <c r="C51" s="456" t="s">
        <v>61</v>
      </c>
      <c r="D51" s="456" t="s">
        <v>16</v>
      </c>
      <c r="E51" s="456" t="s">
        <v>5</v>
      </c>
      <c r="F51" s="456" t="s">
        <v>61</v>
      </c>
      <c r="G51" s="456" t="s">
        <v>16</v>
      </c>
      <c r="H51" s="456" t="s">
        <v>4</v>
      </c>
      <c r="I51" s="456" t="s">
        <v>61</v>
      </c>
      <c r="J51" s="456" t="s">
        <v>16</v>
      </c>
      <c r="K51" s="456" t="s">
        <v>6</v>
      </c>
      <c r="L51" s="456" t="s">
        <v>16</v>
      </c>
    </row>
    <row r="52" spans="1:12" ht="25.5" customHeight="1" x14ac:dyDescent="0.25">
      <c r="A52" s="557"/>
      <c r="B52" s="457">
        <f>350+18+4</f>
        <v>372</v>
      </c>
      <c r="C52" s="457">
        <v>140000</v>
      </c>
      <c r="D52" s="457">
        <f>B52*C52</f>
        <v>52080000</v>
      </c>
      <c r="E52" s="457"/>
      <c r="F52" s="457"/>
      <c r="G52" s="457">
        <f>E52*F52</f>
        <v>0</v>
      </c>
      <c r="H52" s="457">
        <f>50</f>
        <v>50</v>
      </c>
      <c r="I52" s="457">
        <f>C52</f>
        <v>140000</v>
      </c>
      <c r="J52" s="457">
        <f>H52*I52</f>
        <v>7000000</v>
      </c>
      <c r="K52" s="457">
        <f>B52+E52-H52</f>
        <v>322</v>
      </c>
      <c r="L52" s="457">
        <f>K52*C52</f>
        <v>45080000</v>
      </c>
    </row>
    <row r="53" spans="1:12" ht="33" customHeight="1" x14ac:dyDescent="0.25">
      <c r="A53" s="458" t="s">
        <v>62</v>
      </c>
      <c r="B53" s="459">
        <f>SUM(B52:B52)</f>
        <v>372</v>
      </c>
      <c r="C53" s="459"/>
      <c r="D53" s="459">
        <f>SUM(D52:D52)</f>
        <v>52080000</v>
      </c>
      <c r="E53" s="459">
        <f>SUM(E52:E52)</f>
        <v>0</v>
      </c>
      <c r="F53" s="459"/>
      <c r="G53" s="459">
        <f>SUM(G52:G52)</f>
        <v>0</v>
      </c>
      <c r="H53" s="459">
        <f>SUM(H52:H52)</f>
        <v>50</v>
      </c>
      <c r="I53" s="459"/>
      <c r="J53" s="459">
        <f>SUM(J52:J52)</f>
        <v>7000000</v>
      </c>
      <c r="K53" s="459">
        <f>SUM(K52:K52)</f>
        <v>322</v>
      </c>
      <c r="L53" s="459">
        <f>SUM(L52:L52)</f>
        <v>45080000</v>
      </c>
    </row>
    <row r="58" spans="1:12" ht="18.75" x14ac:dyDescent="0.3">
      <c r="A58" s="551" t="s">
        <v>116</v>
      </c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</row>
    <row r="60" spans="1:12" ht="26.25" customHeight="1" x14ac:dyDescent="0.25">
      <c r="A60" s="558" t="s">
        <v>2</v>
      </c>
      <c r="B60" s="462" t="s">
        <v>7</v>
      </c>
      <c r="C60" s="462" t="s">
        <v>61</v>
      </c>
      <c r="D60" s="462" t="s">
        <v>16</v>
      </c>
      <c r="E60" s="462" t="s">
        <v>5</v>
      </c>
      <c r="F60" s="462" t="s">
        <v>61</v>
      </c>
      <c r="G60" s="462" t="s">
        <v>16</v>
      </c>
      <c r="H60" s="462" t="s">
        <v>4</v>
      </c>
      <c r="I60" s="462" t="s">
        <v>61</v>
      </c>
      <c r="J60" s="462" t="s">
        <v>16</v>
      </c>
      <c r="K60" s="462" t="s">
        <v>6</v>
      </c>
      <c r="L60" s="462" t="s">
        <v>16</v>
      </c>
    </row>
    <row r="61" spans="1:12" ht="26.25" customHeight="1" x14ac:dyDescent="0.25">
      <c r="A61" s="559"/>
      <c r="B61" s="463"/>
      <c r="C61" s="463"/>
      <c r="D61" s="463">
        <f>C61*B61</f>
        <v>0</v>
      </c>
      <c r="E61" s="463"/>
      <c r="F61" s="463"/>
      <c r="G61" s="463"/>
      <c r="H61" s="463"/>
      <c r="I61" s="463">
        <f>C61</f>
        <v>0</v>
      </c>
      <c r="J61" s="463">
        <f>I61*H61</f>
        <v>0</v>
      </c>
      <c r="K61" s="463">
        <f>B61+E61-H61</f>
        <v>0</v>
      </c>
      <c r="L61" s="467">
        <f>K61*C61</f>
        <v>0</v>
      </c>
    </row>
    <row r="62" spans="1:12" ht="26.25" customHeight="1" x14ac:dyDescent="0.25">
      <c r="A62" s="559"/>
      <c r="B62" s="463"/>
      <c r="C62" s="463"/>
      <c r="D62" s="463"/>
      <c r="E62" s="463"/>
      <c r="F62" s="463"/>
      <c r="G62" s="463"/>
      <c r="H62" s="463"/>
      <c r="I62" s="463">
        <f>C62</f>
        <v>0</v>
      </c>
      <c r="J62" s="463">
        <f>I62*H62</f>
        <v>0</v>
      </c>
      <c r="K62" s="463">
        <f>B62+E62-H62</f>
        <v>0</v>
      </c>
      <c r="L62" s="467">
        <f>K62*C62</f>
        <v>0</v>
      </c>
    </row>
    <row r="63" spans="1:12" ht="26.25" customHeight="1" x14ac:dyDescent="0.25">
      <c r="A63" s="559"/>
      <c r="B63" s="463"/>
      <c r="C63" s="463"/>
      <c r="D63" s="463"/>
      <c r="E63" s="463"/>
      <c r="F63" s="463"/>
      <c r="G63" s="463">
        <f>E63*F63</f>
        <v>0</v>
      </c>
      <c r="H63" s="463"/>
      <c r="I63" s="463"/>
      <c r="J63" s="463"/>
      <c r="K63" s="463"/>
      <c r="L63" s="467"/>
    </row>
    <row r="64" spans="1:12" ht="26.25" customHeight="1" x14ac:dyDescent="0.25">
      <c r="A64" s="464" t="s">
        <v>62</v>
      </c>
      <c r="B64" s="465">
        <f>SUM(B61:B63)</f>
        <v>0</v>
      </c>
      <c r="C64" s="465"/>
      <c r="D64" s="465">
        <f>SUM(D61:D63)</f>
        <v>0</v>
      </c>
      <c r="E64" s="465">
        <f>SUM(E61:E63)</f>
        <v>0</v>
      </c>
      <c r="F64" s="465"/>
      <c r="G64" s="465">
        <f>SUM(G61:G63)</f>
        <v>0</v>
      </c>
      <c r="H64" s="465">
        <f>SUM(H61:H63)</f>
        <v>0</v>
      </c>
      <c r="I64" s="465"/>
      <c r="J64" s="465">
        <f>SUM(J61:J63)</f>
        <v>0</v>
      </c>
      <c r="K64" s="465">
        <f>SUM(K61:K63)</f>
        <v>0</v>
      </c>
      <c r="L64" s="468">
        <f>SUM(L61:L63)</f>
        <v>0</v>
      </c>
    </row>
    <row r="65" spans="1:12" ht="26.25" customHeight="1" x14ac:dyDescent="0.25">
      <c r="A65" s="466"/>
      <c r="B65" s="466"/>
      <c r="C65" s="466"/>
      <c r="D65" s="466"/>
      <c r="E65" s="466"/>
      <c r="F65" s="466"/>
      <c r="G65" s="466"/>
      <c r="H65" s="466"/>
      <c r="I65" s="466"/>
      <c r="J65" s="466"/>
      <c r="K65" s="466"/>
      <c r="L65" s="469"/>
    </row>
    <row r="66" spans="1:12" ht="26.25" customHeight="1" x14ac:dyDescent="0.25">
      <c r="A66" s="466"/>
      <c r="B66" s="466"/>
      <c r="C66" s="466"/>
      <c r="D66" s="466"/>
      <c r="E66" s="466"/>
      <c r="F66" s="466"/>
      <c r="G66" s="466"/>
      <c r="H66" s="466"/>
      <c r="I66" s="466"/>
      <c r="J66" s="466"/>
      <c r="K66" s="466"/>
      <c r="L66" s="469"/>
    </row>
    <row r="67" spans="1:12" ht="26.25" customHeight="1" x14ac:dyDescent="0.25">
      <c r="A67" s="558" t="s">
        <v>3</v>
      </c>
      <c r="B67" s="462" t="s">
        <v>7</v>
      </c>
      <c r="C67" s="462" t="s">
        <v>61</v>
      </c>
      <c r="D67" s="462" t="s">
        <v>16</v>
      </c>
      <c r="E67" s="462" t="s">
        <v>5</v>
      </c>
      <c r="F67" s="462" t="s">
        <v>61</v>
      </c>
      <c r="G67" s="462" t="s">
        <v>16</v>
      </c>
      <c r="H67" s="462" t="s">
        <v>4</v>
      </c>
      <c r="I67" s="462" t="s">
        <v>61</v>
      </c>
      <c r="J67" s="462" t="s">
        <v>16</v>
      </c>
      <c r="K67" s="462" t="s">
        <v>6</v>
      </c>
      <c r="L67" s="470" t="s">
        <v>16</v>
      </c>
    </row>
    <row r="68" spans="1:12" ht="26.25" customHeight="1" x14ac:dyDescent="0.25">
      <c r="A68" s="559"/>
      <c r="B68" s="463"/>
      <c r="C68" s="463"/>
      <c r="D68" s="463">
        <f>C68*B68</f>
        <v>0</v>
      </c>
      <c r="E68" s="463"/>
      <c r="F68" s="463"/>
      <c r="G68" s="463">
        <f>F68*E68</f>
        <v>0</v>
      </c>
      <c r="H68" s="463"/>
      <c r="I68" s="463">
        <f>C68</f>
        <v>0</v>
      </c>
      <c r="J68" s="463">
        <f>H68*C68</f>
        <v>0</v>
      </c>
      <c r="K68" s="463">
        <f>B68+E68-H68</f>
        <v>0</v>
      </c>
      <c r="L68" s="467">
        <f>K68*C68</f>
        <v>0</v>
      </c>
    </row>
    <row r="69" spans="1:12" ht="26.25" customHeight="1" x14ac:dyDescent="0.25">
      <c r="A69" s="559"/>
      <c r="B69" s="463"/>
      <c r="C69" s="463"/>
      <c r="D69" s="463">
        <f>C69*B69</f>
        <v>0</v>
      </c>
      <c r="E69" s="463"/>
      <c r="F69" s="463"/>
      <c r="G69" s="463"/>
      <c r="H69" s="463"/>
      <c r="I69" s="463">
        <f>C69</f>
        <v>0</v>
      </c>
      <c r="J69" s="463">
        <f>H69*C69</f>
        <v>0</v>
      </c>
      <c r="K69" s="463">
        <f>B69+E69-H69</f>
        <v>0</v>
      </c>
      <c r="L69" s="467">
        <f t="shared" ref="L69" si="11">K69*C69</f>
        <v>0</v>
      </c>
    </row>
    <row r="70" spans="1:12" ht="26.25" customHeight="1" x14ac:dyDescent="0.25">
      <c r="A70" s="560"/>
      <c r="B70" s="463"/>
      <c r="C70" s="463"/>
      <c r="D70" s="463"/>
      <c r="E70" s="463"/>
      <c r="F70" s="463"/>
      <c r="G70" s="463">
        <f>F70*E70</f>
        <v>0</v>
      </c>
      <c r="H70" s="463"/>
      <c r="I70" s="463">
        <f>F70</f>
        <v>0</v>
      </c>
      <c r="J70" s="463">
        <f>I70*H70</f>
        <v>0</v>
      </c>
      <c r="K70" s="463">
        <f>B70+E70-H70</f>
        <v>0</v>
      </c>
      <c r="L70" s="467">
        <f>K70*F70</f>
        <v>0</v>
      </c>
    </row>
    <row r="71" spans="1:12" ht="26.25" customHeight="1" x14ac:dyDescent="0.25">
      <c r="A71" s="464" t="s">
        <v>62</v>
      </c>
      <c r="B71" s="465">
        <f>SUM(B68:B70)</f>
        <v>0</v>
      </c>
      <c r="C71" s="465"/>
      <c r="D71" s="465">
        <f>SUM(D68:D70)</f>
        <v>0</v>
      </c>
      <c r="E71" s="465">
        <f>SUM(E68:E70)</f>
        <v>0</v>
      </c>
      <c r="F71" s="465"/>
      <c r="G71" s="465">
        <f>SUM(G68:G70)</f>
        <v>0</v>
      </c>
      <c r="H71" s="465">
        <f>SUM(H68:H70)</f>
        <v>0</v>
      </c>
      <c r="I71" s="465"/>
      <c r="J71" s="465">
        <f>SUM(J68:J70)</f>
        <v>0</v>
      </c>
      <c r="K71" s="465">
        <f>SUM(K68:K70)</f>
        <v>0</v>
      </c>
      <c r="L71" s="468">
        <f>SUM(L68:L70)</f>
        <v>0</v>
      </c>
    </row>
    <row r="72" spans="1:12" ht="26.25" customHeight="1" x14ac:dyDescent="0.25">
      <c r="A72" s="466"/>
      <c r="B72" s="466"/>
      <c r="C72" s="466"/>
      <c r="D72" s="466"/>
      <c r="E72" s="466"/>
      <c r="F72" s="466"/>
      <c r="G72" s="466"/>
      <c r="H72" s="466"/>
      <c r="I72" s="466"/>
      <c r="J72" s="466"/>
      <c r="K72" s="466"/>
      <c r="L72" s="469"/>
    </row>
    <row r="73" spans="1:12" ht="26.25" customHeight="1" x14ac:dyDescent="0.25">
      <c r="A73" s="466"/>
      <c r="B73" s="466"/>
      <c r="C73" s="466"/>
      <c r="D73" s="466"/>
      <c r="E73" s="466"/>
      <c r="F73" s="466"/>
      <c r="G73" s="466"/>
      <c r="H73" s="466"/>
      <c r="I73" s="466"/>
      <c r="J73" s="466"/>
      <c r="K73" s="466"/>
      <c r="L73" s="469"/>
    </row>
    <row r="74" spans="1:12" ht="26.25" customHeight="1" x14ac:dyDescent="0.25">
      <c r="A74" s="558" t="s">
        <v>23</v>
      </c>
      <c r="B74" s="462" t="s">
        <v>7</v>
      </c>
      <c r="C74" s="462" t="s">
        <v>61</v>
      </c>
      <c r="D74" s="462" t="s">
        <v>16</v>
      </c>
      <c r="E74" s="462" t="s">
        <v>5</v>
      </c>
      <c r="F74" s="462" t="s">
        <v>61</v>
      </c>
      <c r="G74" s="462" t="s">
        <v>16</v>
      </c>
      <c r="H74" s="462" t="s">
        <v>4</v>
      </c>
      <c r="I74" s="462" t="s">
        <v>61</v>
      </c>
      <c r="J74" s="462" t="s">
        <v>16</v>
      </c>
      <c r="K74" s="462" t="s">
        <v>6</v>
      </c>
      <c r="L74" s="470" t="s">
        <v>16</v>
      </c>
    </row>
    <row r="75" spans="1:12" ht="26.25" customHeight="1" x14ac:dyDescent="0.25">
      <c r="A75" s="559"/>
      <c r="B75" s="463"/>
      <c r="C75" s="463">
        <v>17400</v>
      </c>
      <c r="D75" s="463">
        <f>B75*C75</f>
        <v>0</v>
      </c>
      <c r="E75" s="463"/>
      <c r="F75" s="463"/>
      <c r="G75" s="463">
        <f>F75*E75</f>
        <v>0</v>
      </c>
      <c r="H75" s="463"/>
      <c r="I75" s="463">
        <f>F75</f>
        <v>0</v>
      </c>
      <c r="J75" s="463">
        <f>C75*H75</f>
        <v>0</v>
      </c>
      <c r="K75" s="463">
        <f>B75+E75-H75</f>
        <v>0</v>
      </c>
      <c r="L75" s="467">
        <f>K75*I75</f>
        <v>0</v>
      </c>
    </row>
    <row r="76" spans="1:12" ht="26.25" customHeight="1" x14ac:dyDescent="0.25">
      <c r="A76" s="559"/>
      <c r="B76" s="463"/>
      <c r="C76" s="463">
        <v>17600</v>
      </c>
      <c r="D76" s="463">
        <f>B76*C76</f>
        <v>0</v>
      </c>
      <c r="E76" s="463"/>
      <c r="F76" s="463"/>
      <c r="G76" s="463"/>
      <c r="H76" s="463"/>
      <c r="I76" s="463">
        <f>C76</f>
        <v>17600</v>
      </c>
      <c r="J76" s="463">
        <f>I76*H76</f>
        <v>0</v>
      </c>
      <c r="K76" s="463">
        <f t="shared" ref="K76:K77" si="12">B76+E76-H76</f>
        <v>0</v>
      </c>
      <c r="L76" s="467">
        <f>K76*I76</f>
        <v>0</v>
      </c>
    </row>
    <row r="77" spans="1:12" ht="26.25" customHeight="1" x14ac:dyDescent="0.25">
      <c r="A77" s="559"/>
      <c r="B77" s="463"/>
      <c r="C77" s="463"/>
      <c r="D77" s="463"/>
      <c r="E77" s="463"/>
      <c r="F77" s="463"/>
      <c r="G77" s="463">
        <f>E77*F77</f>
        <v>0</v>
      </c>
      <c r="H77" s="463"/>
      <c r="I77" s="463">
        <f>F77</f>
        <v>0</v>
      </c>
      <c r="J77" s="463">
        <f>I77*H77</f>
        <v>0</v>
      </c>
      <c r="K77" s="463">
        <f t="shared" si="12"/>
        <v>0</v>
      </c>
      <c r="L77" s="467">
        <f>K77*I77</f>
        <v>0</v>
      </c>
    </row>
    <row r="78" spans="1:12" ht="26.25" customHeight="1" x14ac:dyDescent="0.25">
      <c r="A78" s="464" t="s">
        <v>62</v>
      </c>
      <c r="B78" s="465">
        <f>SUM(B75:B77)</f>
        <v>0</v>
      </c>
      <c r="C78" s="465"/>
      <c r="D78" s="465">
        <f>SUM(D75:D77)</f>
        <v>0</v>
      </c>
      <c r="E78" s="465">
        <f>SUM(E75:E77)</f>
        <v>0</v>
      </c>
      <c r="F78" s="465"/>
      <c r="G78" s="465">
        <f>SUM(G75:G77)</f>
        <v>0</v>
      </c>
      <c r="H78" s="465">
        <f>SUM(H75:H77)</f>
        <v>0</v>
      </c>
      <c r="I78" s="465"/>
      <c r="J78" s="465">
        <f>SUM(J75:J77)</f>
        <v>0</v>
      </c>
      <c r="K78" s="465">
        <f>SUM(K75:K77)</f>
        <v>0</v>
      </c>
      <c r="L78" s="468">
        <f>SUM(L75:L77)</f>
        <v>0</v>
      </c>
    </row>
    <row r="79" spans="1:12" ht="26.25" customHeight="1" x14ac:dyDescent="0.25">
      <c r="L79" s="297"/>
    </row>
    <row r="80" spans="1:12" ht="26.25" customHeight="1" x14ac:dyDescent="0.25">
      <c r="L80" s="297"/>
    </row>
    <row r="81" spans="1:12" ht="26.25" customHeight="1" x14ac:dyDescent="0.25">
      <c r="A81" s="552" t="s">
        <v>68</v>
      </c>
      <c r="B81" s="28" t="s">
        <v>7</v>
      </c>
      <c r="C81" s="28" t="s">
        <v>61</v>
      </c>
      <c r="D81" s="28" t="s">
        <v>16</v>
      </c>
      <c r="E81" s="28" t="s">
        <v>5</v>
      </c>
      <c r="F81" s="28" t="s">
        <v>61</v>
      </c>
      <c r="G81" s="28" t="s">
        <v>16</v>
      </c>
      <c r="H81" s="28" t="s">
        <v>4</v>
      </c>
      <c r="I81" s="28" t="s">
        <v>61</v>
      </c>
      <c r="J81" s="28" t="s">
        <v>16</v>
      </c>
      <c r="K81" s="28" t="s">
        <v>6</v>
      </c>
      <c r="L81" s="424" t="s">
        <v>16</v>
      </c>
    </row>
    <row r="82" spans="1:12" ht="26.25" customHeight="1" x14ac:dyDescent="0.25">
      <c r="A82" s="553"/>
      <c r="B82" s="361"/>
      <c r="C82" s="361"/>
      <c r="D82" s="361">
        <f>C82*B82</f>
        <v>0</v>
      </c>
      <c r="E82" s="361"/>
      <c r="F82" s="361"/>
      <c r="G82" s="361"/>
      <c r="H82" s="361"/>
      <c r="I82" s="361"/>
      <c r="J82" s="361">
        <f>I82*H82</f>
        <v>0</v>
      </c>
      <c r="K82" s="361">
        <f>B82+E82-H82</f>
        <v>0</v>
      </c>
      <c r="L82" s="423">
        <f>K82*I82</f>
        <v>0</v>
      </c>
    </row>
    <row r="83" spans="1:12" ht="26.25" customHeight="1" x14ac:dyDescent="0.25">
      <c r="A83" s="359" t="s">
        <v>62</v>
      </c>
      <c r="B83" s="361"/>
      <c r="C83" s="360"/>
      <c r="D83" s="360">
        <f>SUM(D82:D82)</f>
        <v>0</v>
      </c>
      <c r="E83" s="360">
        <f>SUM(E82:E82)</f>
        <v>0</v>
      </c>
      <c r="F83" s="360"/>
      <c r="G83" s="360">
        <f>SUM(G82:G82)</f>
        <v>0</v>
      </c>
      <c r="H83" s="360">
        <f>SUM(H82:H82)</f>
        <v>0</v>
      </c>
      <c r="I83" s="360"/>
      <c r="J83" s="360">
        <f>SUM(J82:J82)</f>
        <v>0</v>
      </c>
      <c r="K83" s="360">
        <f>SUM(K82:K82)</f>
        <v>0</v>
      </c>
      <c r="L83" s="417">
        <f>SUM(L82:L82)</f>
        <v>0</v>
      </c>
    </row>
  </sheetData>
  <mergeCells count="15">
    <mergeCell ref="A31:A34"/>
    <mergeCell ref="A38:A41"/>
    <mergeCell ref="A74:A77"/>
    <mergeCell ref="A45:A47"/>
    <mergeCell ref="A51:A52"/>
    <mergeCell ref="A58:L58"/>
    <mergeCell ref="A60:A63"/>
    <mergeCell ref="A67:A70"/>
    <mergeCell ref="A29:L29"/>
    <mergeCell ref="A1:L1"/>
    <mergeCell ref="A3:A5"/>
    <mergeCell ref="A9:A12"/>
    <mergeCell ref="A16:A19"/>
    <mergeCell ref="A23:A24"/>
    <mergeCell ref="A81:A82"/>
  </mergeCells>
  <pageMargins left="0.7" right="0.7" top="0.75" bottom="0.75" header="0.3" footer="0.3"/>
  <pageSetup paperSize="9" scale="69" orientation="landscape" horizontalDpi="360" verticalDpi="360" r:id="rId1"/>
  <rowBreaks count="3" manualBreakCount="3">
    <brk id="28" max="16383" man="1"/>
    <brk id="57" max="16383" man="1"/>
    <brk id="84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51"/>
  <sheetViews>
    <sheetView topLeftCell="A49" zoomScale="115" zoomScaleNormal="115" workbookViewId="0">
      <selection activeCell="B14" sqref="B14"/>
    </sheetView>
  </sheetViews>
  <sheetFormatPr defaultRowHeight="15" x14ac:dyDescent="0.25"/>
  <cols>
    <col min="1" max="1" width="13.42578125" customWidth="1"/>
    <col min="2" max="2" width="16.42578125" customWidth="1"/>
    <col min="3" max="3" width="16.85546875" customWidth="1"/>
    <col min="4" max="4" width="17.140625" customWidth="1"/>
    <col min="5" max="5" width="15.28515625" customWidth="1"/>
  </cols>
  <sheetData>
    <row r="1" spans="1:5" ht="15.75" x14ac:dyDescent="0.25">
      <c r="A1" s="563" t="s">
        <v>81</v>
      </c>
      <c r="B1" s="563"/>
      <c r="C1" s="563"/>
      <c r="D1" s="563"/>
      <c r="E1" s="563"/>
    </row>
    <row r="2" spans="1:5" ht="15.75" x14ac:dyDescent="0.25">
      <c r="A2" s="378" t="s">
        <v>0</v>
      </c>
      <c r="B2" s="378" t="s">
        <v>73</v>
      </c>
      <c r="C2" s="378" t="s">
        <v>5</v>
      </c>
      <c r="D2" s="378" t="s">
        <v>4</v>
      </c>
      <c r="E2" s="378" t="s">
        <v>74</v>
      </c>
    </row>
    <row r="3" spans="1:5" x14ac:dyDescent="0.25">
      <c r="A3" s="379" t="s">
        <v>76</v>
      </c>
      <c r="B3" s="380"/>
      <c r="C3" s="380"/>
      <c r="D3" s="380"/>
      <c r="E3" s="380"/>
    </row>
    <row r="4" spans="1:5" x14ac:dyDescent="0.25">
      <c r="A4" s="379" t="s">
        <v>77</v>
      </c>
      <c r="B4" s="380"/>
      <c r="C4" s="380"/>
      <c r="D4" s="380"/>
      <c r="E4" s="380"/>
    </row>
    <row r="5" spans="1:5" x14ac:dyDescent="0.25">
      <c r="A5" s="379" t="s">
        <v>78</v>
      </c>
      <c r="B5" s="380"/>
      <c r="C5" s="380"/>
      <c r="D5" s="380"/>
      <c r="E5" s="380"/>
    </row>
    <row r="6" spans="1:5" x14ac:dyDescent="0.25">
      <c r="A6" s="379" t="s">
        <v>79</v>
      </c>
      <c r="B6" s="380"/>
      <c r="C6" s="380"/>
      <c r="D6" s="380"/>
      <c r="E6" s="380"/>
    </row>
    <row r="7" spans="1:5" x14ac:dyDescent="0.25">
      <c r="A7" s="379" t="s">
        <v>28</v>
      </c>
      <c r="B7" s="380"/>
      <c r="C7" s="380"/>
      <c r="D7" s="380"/>
      <c r="E7" s="380"/>
    </row>
    <row r="8" spans="1:5" x14ac:dyDescent="0.25">
      <c r="A8" s="379" t="s">
        <v>29</v>
      </c>
      <c r="B8" s="380"/>
      <c r="C8" s="380"/>
      <c r="D8" s="380"/>
      <c r="E8" s="380"/>
    </row>
    <row r="9" spans="1:5" x14ac:dyDescent="0.25">
      <c r="A9" s="379" t="s">
        <v>30</v>
      </c>
      <c r="B9" s="380"/>
      <c r="C9" s="380"/>
      <c r="D9" s="380"/>
      <c r="E9" s="380"/>
    </row>
    <row r="10" spans="1:5" x14ac:dyDescent="0.25">
      <c r="A10" s="379" t="s">
        <v>31</v>
      </c>
      <c r="B10" s="380"/>
      <c r="C10" s="380"/>
      <c r="D10" s="380"/>
      <c r="E10" s="380"/>
    </row>
    <row r="11" spans="1:5" x14ac:dyDescent="0.25">
      <c r="A11" s="379" t="s">
        <v>32</v>
      </c>
      <c r="B11" s="380"/>
      <c r="C11" s="380"/>
      <c r="D11" s="380"/>
      <c r="E11" s="380"/>
    </row>
    <row r="12" spans="1:5" x14ac:dyDescent="0.25">
      <c r="A12" s="379" t="s">
        <v>33</v>
      </c>
      <c r="B12" s="380"/>
      <c r="C12" s="380"/>
      <c r="D12" s="380"/>
      <c r="E12" s="380"/>
    </row>
    <row r="13" spans="1:5" x14ac:dyDescent="0.25">
      <c r="A13" s="379" t="s">
        <v>34</v>
      </c>
      <c r="B13" s="380"/>
      <c r="C13" s="380"/>
      <c r="D13" s="380"/>
      <c r="E13" s="380"/>
    </row>
    <row r="14" spans="1:5" x14ac:dyDescent="0.25">
      <c r="A14" s="379" t="s">
        <v>35</v>
      </c>
      <c r="B14" s="380"/>
      <c r="C14" s="380"/>
      <c r="D14" s="380"/>
      <c r="E14" s="380"/>
    </row>
    <row r="15" spans="1:5" x14ac:dyDescent="0.25">
      <c r="A15" s="561" t="s">
        <v>80</v>
      </c>
      <c r="B15" s="562"/>
      <c r="C15" s="380"/>
      <c r="D15" s="380"/>
      <c r="E15" s="380"/>
    </row>
    <row r="19" spans="1:5" ht="15.75" x14ac:dyDescent="0.25">
      <c r="A19" s="563" t="s">
        <v>82</v>
      </c>
      <c r="B19" s="563"/>
      <c r="C19" s="563"/>
      <c r="D19" s="563"/>
      <c r="E19" s="563"/>
    </row>
    <row r="20" spans="1:5" ht="15.75" x14ac:dyDescent="0.25">
      <c r="A20" s="378" t="s">
        <v>0</v>
      </c>
      <c r="B20" s="378" t="s">
        <v>73</v>
      </c>
      <c r="C20" s="378" t="s">
        <v>5</v>
      </c>
      <c r="D20" s="378" t="s">
        <v>4</v>
      </c>
      <c r="E20" s="378" t="s">
        <v>74</v>
      </c>
    </row>
    <row r="21" spans="1:5" x14ac:dyDescent="0.25">
      <c r="A21" s="379" t="s">
        <v>76</v>
      </c>
      <c r="B21" s="380"/>
      <c r="C21" s="380"/>
      <c r="D21" s="380"/>
      <c r="E21" s="380"/>
    </row>
    <row r="22" spans="1:5" x14ac:dyDescent="0.25">
      <c r="A22" s="379" t="s">
        <v>77</v>
      </c>
      <c r="B22" s="380"/>
      <c r="C22" s="380"/>
      <c r="D22" s="380"/>
      <c r="E22" s="380"/>
    </row>
    <row r="23" spans="1:5" x14ac:dyDescent="0.25">
      <c r="A23" s="379" t="s">
        <v>78</v>
      </c>
      <c r="B23" s="380"/>
      <c r="C23" s="380"/>
      <c r="D23" s="380"/>
      <c r="E23" s="380"/>
    </row>
    <row r="24" spans="1:5" x14ac:dyDescent="0.25">
      <c r="A24" s="379" t="s">
        <v>79</v>
      </c>
      <c r="B24" s="380"/>
      <c r="C24" s="380"/>
      <c r="D24" s="380"/>
      <c r="E24" s="380"/>
    </row>
    <row r="25" spans="1:5" x14ac:dyDescent="0.25">
      <c r="A25" s="379" t="s">
        <v>28</v>
      </c>
      <c r="B25" s="380"/>
      <c r="C25" s="380"/>
      <c r="D25" s="380"/>
      <c r="E25" s="380"/>
    </row>
    <row r="26" spans="1:5" x14ac:dyDescent="0.25">
      <c r="A26" s="379" t="s">
        <v>29</v>
      </c>
      <c r="B26" s="380"/>
      <c r="C26" s="380"/>
      <c r="D26" s="380"/>
      <c r="E26" s="380"/>
    </row>
    <row r="27" spans="1:5" x14ac:dyDescent="0.25">
      <c r="A27" s="379" t="s">
        <v>30</v>
      </c>
      <c r="B27" s="380"/>
      <c r="C27" s="380"/>
      <c r="D27" s="380"/>
      <c r="E27" s="380"/>
    </row>
    <row r="28" spans="1:5" x14ac:dyDescent="0.25">
      <c r="A28" s="379" t="s">
        <v>31</v>
      </c>
      <c r="B28" s="380"/>
      <c r="C28" s="380"/>
      <c r="D28" s="380"/>
      <c r="E28" s="380"/>
    </row>
    <row r="29" spans="1:5" x14ac:dyDescent="0.25">
      <c r="A29" s="379" t="s">
        <v>32</v>
      </c>
      <c r="B29" s="380"/>
      <c r="C29" s="380"/>
      <c r="D29" s="380"/>
      <c r="E29" s="380"/>
    </row>
    <row r="30" spans="1:5" x14ac:dyDescent="0.25">
      <c r="A30" s="379" t="s">
        <v>33</v>
      </c>
      <c r="B30" s="380"/>
      <c r="C30" s="380"/>
      <c r="D30" s="380"/>
      <c r="E30" s="380"/>
    </row>
    <row r="31" spans="1:5" x14ac:dyDescent="0.25">
      <c r="A31" s="379" t="s">
        <v>34</v>
      </c>
      <c r="B31" s="380"/>
      <c r="C31" s="380"/>
      <c r="D31" s="380"/>
      <c r="E31" s="380"/>
    </row>
    <row r="32" spans="1:5" x14ac:dyDescent="0.25">
      <c r="A32" s="379" t="s">
        <v>35</v>
      </c>
      <c r="B32" s="380"/>
      <c r="C32" s="380"/>
      <c r="D32" s="380"/>
      <c r="E32" s="380"/>
    </row>
    <row r="33" spans="1:5" x14ac:dyDescent="0.25">
      <c r="A33" s="561" t="s">
        <v>80</v>
      </c>
      <c r="B33" s="562"/>
      <c r="C33" s="380"/>
      <c r="D33" s="380"/>
      <c r="E33" s="380"/>
    </row>
    <row r="37" spans="1:5" ht="15.75" x14ac:dyDescent="0.25">
      <c r="A37" s="563" t="s">
        <v>75</v>
      </c>
      <c r="B37" s="563"/>
      <c r="C37" s="563"/>
      <c r="D37" s="563"/>
      <c r="E37" s="563"/>
    </row>
    <row r="38" spans="1:5" ht="15.75" x14ac:dyDescent="0.25">
      <c r="A38" s="378" t="s">
        <v>0</v>
      </c>
      <c r="B38" s="378" t="s">
        <v>73</v>
      </c>
      <c r="C38" s="378" t="s">
        <v>5</v>
      </c>
      <c r="D38" s="378" t="s">
        <v>4</v>
      </c>
      <c r="E38" s="378" t="s">
        <v>74</v>
      </c>
    </row>
    <row r="39" spans="1:5" x14ac:dyDescent="0.25">
      <c r="A39" s="379" t="s">
        <v>76</v>
      </c>
      <c r="B39" s="380"/>
      <c r="C39" s="380"/>
      <c r="D39" s="380"/>
      <c r="E39" s="380"/>
    </row>
    <row r="40" spans="1:5" x14ac:dyDescent="0.25">
      <c r="A40" s="379" t="s">
        <v>77</v>
      </c>
      <c r="B40" s="380"/>
      <c r="C40" s="380"/>
      <c r="D40" s="380"/>
      <c r="E40" s="380"/>
    </row>
    <row r="41" spans="1:5" x14ac:dyDescent="0.25">
      <c r="A41" s="379" t="s">
        <v>78</v>
      </c>
      <c r="B41" s="380"/>
      <c r="C41" s="380"/>
      <c r="D41" s="380"/>
      <c r="E41" s="380"/>
    </row>
    <row r="42" spans="1:5" x14ac:dyDescent="0.25">
      <c r="A42" s="379" t="s">
        <v>79</v>
      </c>
      <c r="B42" s="380"/>
      <c r="C42" s="380"/>
      <c r="D42" s="380"/>
      <c r="E42" s="380"/>
    </row>
    <row r="43" spans="1:5" x14ac:dyDescent="0.25">
      <c r="A43" s="379" t="s">
        <v>28</v>
      </c>
      <c r="B43" s="380"/>
      <c r="C43" s="380"/>
      <c r="D43" s="380"/>
      <c r="E43" s="380"/>
    </row>
    <row r="44" spans="1:5" x14ac:dyDescent="0.25">
      <c r="A44" s="379" t="s">
        <v>29</v>
      </c>
      <c r="B44" s="380"/>
      <c r="C44" s="380"/>
      <c r="D44" s="380"/>
      <c r="E44" s="380"/>
    </row>
    <row r="45" spans="1:5" x14ac:dyDescent="0.25">
      <c r="A45" s="379" t="s">
        <v>30</v>
      </c>
      <c r="B45" s="380"/>
      <c r="C45" s="380"/>
      <c r="D45" s="380"/>
      <c r="E45" s="380"/>
    </row>
    <row r="46" spans="1:5" x14ac:dyDescent="0.25">
      <c r="A46" s="379" t="s">
        <v>31</v>
      </c>
      <c r="B46" s="380"/>
      <c r="C46" s="380"/>
      <c r="D46" s="380"/>
      <c r="E46" s="380"/>
    </row>
    <row r="47" spans="1:5" x14ac:dyDescent="0.25">
      <c r="A47" s="379" t="s">
        <v>32</v>
      </c>
      <c r="B47" s="380"/>
      <c r="C47" s="380"/>
      <c r="D47" s="380"/>
      <c r="E47" s="380"/>
    </row>
    <row r="48" spans="1:5" x14ac:dyDescent="0.25">
      <c r="A48" s="379" t="s">
        <v>33</v>
      </c>
      <c r="B48" s="380"/>
      <c r="C48" s="380"/>
      <c r="D48" s="380"/>
      <c r="E48" s="380"/>
    </row>
    <row r="49" spans="1:5" x14ac:dyDescent="0.25">
      <c r="A49" s="379" t="s">
        <v>34</v>
      </c>
      <c r="B49" s="380"/>
      <c r="C49" s="380"/>
      <c r="D49" s="380"/>
      <c r="E49" s="380"/>
    </row>
    <row r="50" spans="1:5" x14ac:dyDescent="0.25">
      <c r="A50" s="379" t="s">
        <v>35</v>
      </c>
      <c r="B50" s="380"/>
      <c r="C50" s="380"/>
      <c r="D50" s="380"/>
      <c r="E50" s="380"/>
    </row>
    <row r="51" spans="1:5" x14ac:dyDescent="0.25">
      <c r="A51" s="561" t="s">
        <v>80</v>
      </c>
      <c r="B51" s="562"/>
      <c r="C51" s="380"/>
      <c r="D51" s="380"/>
      <c r="E51" s="380"/>
    </row>
  </sheetData>
  <mergeCells count="6">
    <mergeCell ref="A51:B51"/>
    <mergeCell ref="A1:E1"/>
    <mergeCell ref="A15:B15"/>
    <mergeCell ref="A19:E19"/>
    <mergeCell ref="A33:B33"/>
    <mergeCell ref="A37:E37"/>
  </mergeCells>
  <pageMargins left="0.7" right="0.7" top="0.75" bottom="0.75" header="0.3" footer="0.3"/>
  <pageSetup paperSize="5" scale="95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2"/>
  <sheetViews>
    <sheetView zoomScaleNormal="100" workbookViewId="0">
      <selection activeCell="F20" sqref="F20"/>
    </sheetView>
  </sheetViews>
  <sheetFormatPr defaultRowHeight="15" x14ac:dyDescent="0.25"/>
  <cols>
    <col min="1" max="1" width="17.85546875" customWidth="1"/>
    <col min="2" max="2" width="27.5703125" customWidth="1"/>
    <col min="3" max="3" width="46.85546875" customWidth="1"/>
    <col min="4" max="4" width="13.28515625" customWidth="1"/>
    <col min="5" max="5" width="18.5703125" customWidth="1"/>
    <col min="6" max="6" width="15.140625" customWidth="1"/>
  </cols>
  <sheetData>
    <row r="1" spans="1:6" ht="15.75" x14ac:dyDescent="0.25">
      <c r="A1" s="563" t="s">
        <v>81</v>
      </c>
      <c r="B1" s="563"/>
      <c r="C1" s="563"/>
      <c r="D1" s="563"/>
      <c r="E1" s="563"/>
      <c r="F1" s="563"/>
    </row>
    <row r="2" spans="1:6" ht="15.75" x14ac:dyDescent="0.25">
      <c r="A2" s="95"/>
      <c r="B2" s="95"/>
      <c r="C2" s="95"/>
    </row>
    <row r="3" spans="1:6" ht="15.75" x14ac:dyDescent="0.25">
      <c r="A3" s="569" t="s">
        <v>85</v>
      </c>
      <c r="B3" s="569" t="s">
        <v>83</v>
      </c>
      <c r="C3" s="566" t="s">
        <v>84</v>
      </c>
      <c r="D3" s="568" t="s">
        <v>87</v>
      </c>
      <c r="E3" s="568"/>
      <c r="F3" s="568"/>
    </row>
    <row r="4" spans="1:6" x14ac:dyDescent="0.25">
      <c r="A4" s="569"/>
      <c r="B4" s="569"/>
      <c r="C4" s="566"/>
      <c r="D4" s="381" t="s">
        <v>88</v>
      </c>
      <c r="E4" s="381" t="s">
        <v>89</v>
      </c>
      <c r="F4" s="381" t="s">
        <v>90</v>
      </c>
    </row>
    <row r="5" spans="1:6" ht="30.75" customHeight="1" x14ac:dyDescent="0.25">
      <c r="A5" s="385" t="s">
        <v>2</v>
      </c>
      <c r="B5" s="386"/>
      <c r="C5" s="387"/>
      <c r="D5" s="382"/>
      <c r="E5" s="382"/>
      <c r="F5" s="382"/>
    </row>
    <row r="6" spans="1:6" ht="30.75" customHeight="1" x14ac:dyDescent="0.25">
      <c r="A6" s="384" t="s">
        <v>23</v>
      </c>
      <c r="B6" s="383"/>
      <c r="C6" s="387"/>
      <c r="D6" s="382"/>
      <c r="E6" s="382"/>
      <c r="F6" s="382"/>
    </row>
    <row r="7" spans="1:6" ht="15.75" x14ac:dyDescent="0.25">
      <c r="A7" s="566" t="s">
        <v>3</v>
      </c>
      <c r="B7" s="567"/>
      <c r="C7" s="577"/>
      <c r="D7" s="564"/>
      <c r="E7" s="564"/>
      <c r="F7" s="564"/>
    </row>
    <row r="8" spans="1:6" ht="15.75" x14ac:dyDescent="0.25">
      <c r="A8" s="566"/>
      <c r="B8" s="567"/>
      <c r="C8" s="387"/>
      <c r="D8" s="565"/>
      <c r="E8" s="565"/>
      <c r="F8" s="565"/>
    </row>
    <row r="9" spans="1:6" ht="30.75" customHeight="1" x14ac:dyDescent="0.25">
      <c r="A9" s="384" t="s">
        <v>67</v>
      </c>
      <c r="B9" s="382"/>
      <c r="C9" s="380"/>
      <c r="D9" s="382"/>
      <c r="E9" s="382"/>
      <c r="F9" s="382"/>
    </row>
    <row r="12" spans="1:6" x14ac:dyDescent="0.25">
      <c r="A12" t="s">
        <v>86</v>
      </c>
    </row>
  </sheetData>
  <mergeCells count="10">
    <mergeCell ref="A1:F1"/>
    <mergeCell ref="E7:E8"/>
    <mergeCell ref="F7:F8"/>
    <mergeCell ref="A7:A8"/>
    <mergeCell ref="B7:B8"/>
    <mergeCell ref="D3:F3"/>
    <mergeCell ref="A3:A4"/>
    <mergeCell ref="B3:B4"/>
    <mergeCell ref="C3:C4"/>
    <mergeCell ref="D7:D8"/>
  </mergeCells>
  <pageMargins left="0.7" right="0.7" top="0.75" bottom="0.75" header="0.3" footer="0.3"/>
  <pageSetup paperSize="5" scale="95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tabSelected="1" workbookViewId="0">
      <selection activeCell="P17" sqref="P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5</vt:i4>
      </vt:variant>
    </vt:vector>
  </HeadingPairs>
  <TitlesOfParts>
    <vt:vector size="29" baseType="lpstr">
      <vt:lpstr>Tawas</vt:lpstr>
      <vt:lpstr>Kaporit</vt:lpstr>
      <vt:lpstr>Soda Ash</vt:lpstr>
      <vt:lpstr>BBM Solar</vt:lpstr>
      <vt:lpstr>Tawas Hanau</vt:lpstr>
      <vt:lpstr>Kaporit Hanau</vt:lpstr>
      <vt:lpstr>Soda Ash Hanau</vt:lpstr>
      <vt:lpstr>Polimer Hanau</vt:lpstr>
      <vt:lpstr>Tawas K. B</vt:lpstr>
      <vt:lpstr>Kaporit K. B</vt:lpstr>
      <vt:lpstr>Soda Ash K. B</vt:lpstr>
      <vt:lpstr>POLIMER K.B</vt:lpstr>
      <vt:lpstr>TAWAS BENAR</vt:lpstr>
      <vt:lpstr>Kaporit BENAR</vt:lpstr>
      <vt:lpstr>SODA ASH BENAR</vt:lpstr>
      <vt:lpstr>POLIMER</vt:lpstr>
      <vt:lpstr>REKAP TAWAS</vt:lpstr>
      <vt:lpstr>REKAP KAPORIT</vt:lpstr>
      <vt:lpstr>REKAP SODA ASH</vt:lpstr>
      <vt:lpstr>REKAP POLIMER</vt:lpstr>
      <vt:lpstr>REKAP TOTAL</vt:lpstr>
      <vt:lpstr>Sheet3</vt:lpstr>
      <vt:lpstr>Sheet2</vt:lpstr>
      <vt:lpstr>Sheet4</vt:lpstr>
      <vt:lpstr>'REKAP KAPORIT'!Print_Area</vt:lpstr>
      <vt:lpstr>'REKAP POLIMER'!Print_Area</vt:lpstr>
      <vt:lpstr>'REKAP SODA ASH'!Print_Area</vt:lpstr>
      <vt:lpstr>'REKAP TAWAS'!Print_Area</vt:lpstr>
      <vt:lpstr>'REKAP TOTAL'!Print_Area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2026-07-08T04:06:04Z</dcterms:modified>
</cp:coreProperties>
</file>